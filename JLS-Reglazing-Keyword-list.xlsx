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refs" sheetId="1" r:id="rId5"/>
    <sheet state="hidden" name="Sheet10" sheetId="2" r:id="rId6"/>
    <sheet state="visible" name="final" sheetId="3" r:id="rId7"/>
    <sheet state="visible" name="SEMRUSH" sheetId="4" r:id="rId8"/>
    <sheet state="visible" name="SEMRUSH-Questions" sheetId="5" r:id="rId9"/>
    <sheet state="visible" name="SEMRUSH-Keyword-Variations" sheetId="6" r:id="rId10"/>
    <sheet state="visible" name="SEMRUSH-BroadMatch1" sheetId="7" r:id="rId11"/>
    <sheet state="visible" name="SEMRUSH-BroadMatch2" sheetId="8" r:id="rId12"/>
    <sheet state="visible" name="SEMRUSH-BroadMatch3" sheetId="9" r:id="rId13"/>
    <sheet state="visible" name="competitor" sheetId="10" r:id="rId14"/>
  </sheets>
  <definedNames>
    <definedName hidden="1" localSheetId="3" name="_xlnm._FilterDatabase">SEMRUSH!$A$1:$I$154</definedName>
    <definedName hidden="1" localSheetId="4" name="_xlnm._FilterDatabase">'SEMRUSH-Questions'!$A$1:$G$401</definedName>
    <definedName hidden="1" localSheetId="5" name="_xlnm._FilterDatabase">'SEMRUSH-Keyword-Variations'!$A$1:$G$5366</definedName>
    <definedName hidden="1" localSheetId="6" name="_xlnm._FilterDatabase">'SEMRUSH-BroadMatch1'!$A$2:$H$5333</definedName>
    <definedName hidden="1" localSheetId="7" name="_xlnm._FilterDatabase">'SEMRUSH-BroadMatch2'!$A$2:$H$5367</definedName>
    <definedName hidden="1" localSheetId="8" name="_xlnm._FilterDatabase">'SEMRUSH-BroadMatch3'!$A$2:$G$7768</definedName>
    <definedName hidden="1" localSheetId="9" name="_xlnm._FilterDatabase">competitor!$C$6:$K$447</definedName>
  </definedNames>
  <calcPr/>
</workbook>
</file>

<file path=xl/sharedStrings.xml><?xml version="1.0" encoding="utf-8"?>
<sst xmlns="http://schemas.openxmlformats.org/spreadsheetml/2006/main" count="23687" uniqueCount="14210">
  <si>
    <t>source: hrefs</t>
  </si>
  <si>
    <t>Keyword</t>
  </si>
  <si>
    <t>KD</t>
  </si>
  <si>
    <t>Volume ↓</t>
  </si>
  <si>
    <t>Updated</t>
  </si>
  <si>
    <t>bathtub reglazing</t>
  </si>
  <si>
    <t>Easy</t>
  </si>
  <si>
    <t>&gt;1000</t>
  </si>
  <si>
    <t>bathtub reglazing cost</t>
  </si>
  <si>
    <t>tub reglazing</t>
  </si>
  <si>
    <t>about 17 hours</t>
  </si>
  <si>
    <t>shower reglazing</t>
  </si>
  <si>
    <t>bathtub reglazing near me</t>
  </si>
  <si>
    <t>Medium</t>
  </si>
  <si>
    <t>&gt;100</t>
  </si>
  <si>
    <t>reglazing bathtub</t>
  </si>
  <si>
    <t>reglazing windows</t>
  </si>
  <si>
    <t>reglazing tub</t>
  </si>
  <si>
    <t>tile reglazing</t>
  </si>
  <si>
    <t>tub reglazing near me</t>
  </si>
  <si>
    <t>Hard</t>
  </si>
  <si>
    <t>sink reglazing</t>
  </si>
  <si>
    <r>
      <rPr>
        <rFont val="Ahrefs, sans-serif"/>
        <color rgb="FF1155CC"/>
        <sz val="15.0"/>
        <u/>
      </rPr>
      <t>Sign up</t>
    </r>
  </si>
  <si>
    <t>6 days</t>
  </si>
  <si>
    <t>tub reglazing cost</t>
  </si>
  <si>
    <t>reglazing tile</t>
  </si>
  <si>
    <t>reglazing</t>
  </si>
  <si>
    <t>8 days</t>
  </si>
  <si>
    <t>bathtub reglazing cost near me</t>
  </si>
  <si>
    <t>bath tub reglazing</t>
  </si>
  <si>
    <t>sink reglazing near me</t>
  </si>
  <si>
    <t>bathtub reglazing kit</t>
  </si>
  <si>
    <t>bathroom reglazing</t>
  </si>
  <si>
    <t>tile reglazing near me</t>
  </si>
  <si>
    <t>bathtub reglazing san bernardino ca</t>
  </si>
  <si>
    <t>N/A</t>
  </si>
  <si>
    <t>&lt;100</t>
  </si>
  <si>
    <t>bathtub reglazing los angeles</t>
  </si>
  <si>
    <t>tub reglazing los angeles</t>
  </si>
  <si>
    <t>about 22 hours</t>
  </si>
  <si>
    <t>sink reglazing los angeles</t>
  </si>
  <si>
    <t>reglazing los angeles</t>
  </si>
  <si>
    <t>bathtub reglazing los angeles ca</t>
  </si>
  <si>
    <t>mega reglazing los angeles, ca</t>
  </si>
  <si>
    <t>shower tub reglazing los angeles ca</t>
  </si>
  <si>
    <t>countertop reglazing los angeles</t>
  </si>
  <si>
    <t>bathtub reglazing los angeles yelp</t>
  </si>
  <si>
    <t>tile reglazing los angeles</t>
  </si>
  <si>
    <t>porcelain bathtub reglazing los angeles</t>
  </si>
  <si>
    <r>
      <rPr>
        <rFont val="Ahrefs, sans-serif"/>
        <color rgb="FF1155CC"/>
        <sz val="15.0"/>
        <u/>
      </rPr>
      <t>Sign up</t>
    </r>
  </si>
  <si>
    <t>pacific reglazing los angeles</t>
  </si>
  <si>
    <t>bathroom reglazing los angeles ca</t>
  </si>
  <si>
    <t>tub reglazing los angeles jlf</t>
  </si>
  <si>
    <t>fiberglass bathtub reglazing los angeles</t>
  </si>
  <si>
    <t>tile wall reglazing los angeles</t>
  </si>
  <si>
    <t>kitchen refinishing</t>
  </si>
  <si>
    <t>kitchen refinishing near me</t>
  </si>
  <si>
    <t>kitchen refinishing st peters mo</t>
  </si>
  <si>
    <t>kitchen refinishing services st charles mo</t>
  </si>
  <si>
    <t>kitchen refinishing st charles mo</t>
  </si>
  <si>
    <t>kitchen refinishing services st peters mo</t>
  </si>
  <si>
    <t>kitchen refinishing st louis</t>
  </si>
  <si>
    <t>kitchen refinishing dallas-fort worth metroplex</t>
  </si>
  <si>
    <t>kitchen refinishing utah</t>
  </si>
  <si>
    <t>utah kitchen refinishing</t>
  </si>
  <si>
    <t>kitchen refinishing services</t>
  </si>
  <si>
    <r>
      <rPr>
        <rFont val="Ahrefs, sans-serif"/>
        <color rgb="FF1155CC"/>
        <sz val="15.0"/>
        <u/>
      </rPr>
      <t>Sign up</t>
    </r>
  </si>
  <si>
    <t>kitchen refinishing in austin, tx</t>
  </si>
  <si>
    <t>kitchen refinishing class</t>
  </si>
  <si>
    <t>kitchen refinishing boulder</t>
  </si>
  <si>
    <t>kitchen refinishing cost</t>
  </si>
  <si>
    <t>kitchen refinishing cabinets</t>
  </si>
  <si>
    <t>mckinney kitchen refinishing services</t>
  </si>
  <si>
    <t>kitchen refinishing training</t>
  </si>
  <si>
    <t>best kitchen refinishing</t>
  </si>
  <si>
    <t>upscale kitchen refinishing</t>
  </si>
  <si>
    <t>Starting List</t>
  </si>
  <si>
    <t>Keywords</t>
  </si>
  <si>
    <t>Competitor Keyword</t>
  </si>
  <si>
    <t>Intent</t>
  </si>
  <si>
    <t>Volume</t>
  </si>
  <si>
    <t>Trend</t>
  </si>
  <si>
    <t>Keyword Difficulty</t>
  </si>
  <si>
    <t>CPC (USD)</t>
  </si>
  <si>
    <t>SERP Features</t>
  </si>
  <si>
    <t>Page/Blog Title Ideas</t>
  </si>
  <si>
    <t>reglazing san bernardino</t>
  </si>
  <si>
    <t>Commercial</t>
  </si>
  <si>
    <t>Sitelinks, Video, Local pack, Related searches, Popular products, See results about, Ads bottom</t>
  </si>
  <si>
    <t>san bernardino reglazing</t>
  </si>
  <si>
    <t>Transactional</t>
  </si>
  <si>
    <t>Sitelinks, Image, Video, Local pack, Related searches, Ads top, Ads bottom</t>
  </si>
  <si>
    <t>kitchen reglazing san bernardino</t>
  </si>
  <si>
    <t>reglaze bathtub</t>
  </si>
  <si>
    <t>Sitelinks, AI Overview, Image pack, Video, Video carousel, Local pack, Related searches, Popular products, See results about</t>
  </si>
  <si>
    <t>kitchen reglazing</t>
  </si>
  <si>
    <t>Sitelinks, Image pack, Video, Video carousel, Short videos, Local pack, Related searches, Popular products</t>
  </si>
  <si>
    <t>Sitelinks, Video, Local pack, Related searches, Ads bottom</t>
  </si>
  <si>
    <t>bathtub cut out</t>
  </si>
  <si>
    <t>Informational, Transactional</t>
  </si>
  <si>
    <t>Sitelinks, AI Overview, Image, Image pack, Video, Video carousel, Related searches</t>
  </si>
  <si>
    <t>bathtub tub enclosure reglazing</t>
  </si>
  <si>
    <t>reglaze tub near me</t>
  </si>
  <si>
    <t>Sitelinks, Video, People also ask, Local pack, Related searches, Ads bottom, Ads middle</t>
  </si>
  <si>
    <t>bathtub refinishing</t>
  </si>
  <si>
    <t>bathtub reglazers near me</t>
  </si>
  <si>
    <t>Sitelinks, Video, Video carousel, People also ask, Local pack, Discussions and forums, Related searches</t>
  </si>
  <si>
    <t>porcelain reglazing</t>
  </si>
  <si>
    <t>bath tub reglaze</t>
  </si>
  <si>
    <t>Sitelinks, Video, People also ask, Local pack, Discussions and forums, Related searches, Popular products, Things to know, Ads bottom, Ads middle</t>
  </si>
  <si>
    <t>bath mat for reglazed tub</t>
  </si>
  <si>
    <t>Sitelinks, Image, Image pack, Video, Discussions and forums, Related searches, Popular products</t>
  </si>
  <si>
    <t>tub refinishing</t>
  </si>
  <si>
    <t>refinish bathtub</t>
  </si>
  <si>
    <t>Sitelinks, Video, Video carousel, Local pack, Related searches, See results about</t>
  </si>
  <si>
    <t>bath vanitiy reglazing</t>
  </si>
  <si>
    <t>bathtub refinishing cost</t>
  </si>
  <si>
    <t>Informational</t>
  </si>
  <si>
    <t>Featured snippet, Sitelinks, Video, People also ask, Discussions and forums, Related searches, Ads bottom</t>
  </si>
  <si>
    <t>bath vanity refinishing</t>
  </si>
  <si>
    <t>bathtub refinishing reglazing</t>
  </si>
  <si>
    <t>Sitelinks, Video, Video carousel, People also ask, Local pack, Related searches, Things to know, Ads bottom</t>
  </si>
  <si>
    <t>tile refinishing</t>
  </si>
  <si>
    <t>refinishing bathtub</t>
  </si>
  <si>
    <t>Sitelinks, Video, Video carousel, Local pack, Related searches, Popular products, Ads bottom</t>
  </si>
  <si>
    <t>jazuzzi reglazing</t>
  </si>
  <si>
    <t>bathtub refinish</t>
  </si>
  <si>
    <t>Sitelinks, Image, Video, People also ask, Local pack, Related searches, Popular products, Ads bottom</t>
  </si>
  <si>
    <t>jazuzzi refinishing</t>
  </si>
  <si>
    <t>how to refinish a bathtub</t>
  </si>
  <si>
    <t>Sitelinks, AI Overview, Video, Video carousel, People also ask, Discussions and forums, Related searches</t>
  </si>
  <si>
    <t>los angeles reglazing</t>
  </si>
  <si>
    <t>how can you refinish a bathtub</t>
  </si>
  <si>
    <t>Sitelinks, AI Overview, Video, Video carousel, People also ask, Discussions and forums, Related searches, Ads bottom</t>
  </si>
  <si>
    <t>los angeles bathtub refinishing</t>
  </si>
  <si>
    <t>bathtub refinishers</t>
  </si>
  <si>
    <t>Sitelinks, Video, People also ask, Local pack, Related searches, Popular products, See results about, Things to know</t>
  </si>
  <si>
    <t>los angeles refinishing</t>
  </si>
  <si>
    <t>bathtub refinishing prices</t>
  </si>
  <si>
    <t>Featured snippet, Sitelinks, Image pack, Video carousel, People also ask, Related searches, Popular products</t>
  </si>
  <si>
    <t>refinish fiberglass bathtub</t>
  </si>
  <si>
    <t>Sitelinks, AI Overview, Image pack, Video, Video carousel, People also ask, Local pack, Related searches, Ads top, Ads bottom, Ads middle</t>
  </si>
  <si>
    <t>reglazing near me los angeles</t>
  </si>
  <si>
    <t>fiberglass bathtub refinishing</t>
  </si>
  <si>
    <t>Sitelinks, Video, Video carousel, Local pack, Discussions and forums, Related searches, Popular products</t>
  </si>
  <si>
    <t>before after reglazing los angeles</t>
  </si>
  <si>
    <t>porcelain bathtub refinishing</t>
  </si>
  <si>
    <t>Sitelinks, Image pack, Video, Local pack, Related searches</t>
  </si>
  <si>
    <t>refinish acrylic tub</t>
  </si>
  <si>
    <t>professional bathtub refinishing</t>
  </si>
  <si>
    <t>reglazing acrylic bathtubs</t>
  </si>
  <si>
    <t>bathtub refinishing riverside ca</t>
  </si>
  <si>
    <t>Image, Video, People also ask, Local pack</t>
  </si>
  <si>
    <t>acrylic bathtub refinishing</t>
  </si>
  <si>
    <t>bathtub refinishing los angeles ca</t>
  </si>
  <si>
    <t>Sitelinks, Image, Image pack, Video, Local pack, Related searches</t>
  </si>
  <si>
    <t>bathtub refinishing and reglazing</t>
  </si>
  <si>
    <t>reglaze bath tub</t>
  </si>
  <si>
    <t>Sitelinks, Video, Video carousel, People also ask, Local pack, Discussions and forums, Related searches, Popular products, Things to know, Ads bottom</t>
  </si>
  <si>
    <t>reglaze tub</t>
  </si>
  <si>
    <t>Informational, Commercial</t>
  </si>
  <si>
    <t>Sitelinks, Video, Video carousel, Related searches, Popular products, Ads bottom</t>
  </si>
  <si>
    <t>Sitelinks, AI Overview, Image pack, Video, Video carousel, Local pack, Related searches, Popular products, Ads top, Ads bottom</t>
  </si>
  <si>
    <t>reglazing fiberglass bathtub</t>
  </si>
  <si>
    <t>Sitelinks, Video, Video carousel, Short videos, Local pack, Discussions and forums, Related searches, Popular products</t>
  </si>
  <si>
    <t>cast iron bathtub reglazing</t>
  </si>
  <si>
    <t>Sitelinks, Video, Video carousel, Short videos, People also ask, Local pack, Related searches</t>
  </si>
  <si>
    <t>diy bathtub refinishing</t>
  </si>
  <si>
    <t>Sitelinks, AI Overview, Image, Video, Video carousel, Short videos, People also ask, Related searches</t>
  </si>
  <si>
    <t>refinish cast iron bathtub</t>
  </si>
  <si>
    <t>Sitelinks, AI Overview, Image pack, Video, People also ask, Discussions and forums, Related searches</t>
  </si>
  <si>
    <t>0.66,1.00,0.29,0.81,0.81,1.00,0.66,0.66,0.24,0.44,0.54,0.54</t>
  </si>
  <si>
    <t>Sitelinks, Video, Video carousel, Short videos, Local pack, Related searches, Popular products, See results about</t>
  </si>
  <si>
    <t>0.68,0.68,0.68,0.68,0.68,0.77,0.68,0.77,0.77,1.00,1.00,0.77</t>
  </si>
  <si>
    <t>Sitelinks, AI Overview, Image pack, Video, People also ask, Local pack, Related searches</t>
  </si>
  <si>
    <t>0.44,0.44,0.28,0.81,0.81,1.00,0.54,0.81,0.44,0.81,0.81,0.66</t>
  </si>
  <si>
    <t>Image pack, Video, People also ask, Local pack, Related searches, Things to know</t>
  </si>
  <si>
    <t>0.18,0.18,0.18,1.00,0.27,0.36,0.18,0.27,0.18,0.81,1.00,0.81</t>
  </si>
  <si>
    <t>Sitelinks, Image, Video, People also ask, Local pack, Related searches</t>
  </si>
  <si>
    <t>Image pack, Video carousel, People also ask, Local pack, Related searches, Popular products</t>
  </si>
  <si>
    <t>Video, Video carousel, People also ask, Local pack, Related searches</t>
  </si>
  <si>
    <t>refinishing kitchen countertops</t>
  </si>
  <si>
    <t>Sitelinks, AI Overview, Image pack, Video, Video carousel, Local pack, Discussions and forums, Related searches, Ads bottom</t>
  </si>
  <si>
    <t>refinish kitchen countertops</t>
  </si>
  <si>
    <t>Sitelinks, AI Overview, Image pack, Video, Local pack, Related searches, Popular products</t>
  </si>
  <si>
    <t>kitchen countertop refinishing</t>
  </si>
  <si>
    <t>Sitelinks, Image pack, Video, Discussions and forums, Related searches, Popular products</t>
  </si>
  <si>
    <t>kitchen countertop refinishing near me</t>
  </si>
  <si>
    <t>Sitelinks, Video, People also ask, Local pack, Related searches</t>
  </si>
  <si>
    <t xml:space="preserve">bathtub refinishing los angeles
</t>
  </si>
  <si>
    <t>JLFReglazing.com</t>
  </si>
  <si>
    <t>1.00,0.84,0.84,0.84,0.67,1.00,0.84,1.00,0.84,1.00,0.84,0.67</t>
  </si>
  <si>
    <t>Sitelinks, Image pack, Video, Video carousel, People also ask, Local pack, Related searches, Popular products</t>
  </si>
  <si>
    <t>resurfacing bathtubs los angeles</t>
  </si>
  <si>
    <t>ceramic tile refinishing</t>
  </si>
  <si>
    <t>resurfacing baths los angeles</t>
  </si>
  <si>
    <t xml:space="preserve">bathtub refinishing los angeles
</t>
  </si>
  <si>
    <t>Competitor</t>
  </si>
  <si>
    <t>0.55,0.55,0.67,1.00,0.82,0.82,0.82,0.82,0.82,0.82,0.67,0.67</t>
  </si>
  <si>
    <t>Sitelinks, Video, Video carousel, Local pack, Related searches, Popular products, See results about, Ads top, Ads middle</t>
  </si>
  <si>
    <t>0.28,0.44,1.00,1.00,1.00,1.00,0.54,0.54,0.36,0.44,0.54,0.54</t>
  </si>
  <si>
    <t>Sitelinks, Video, People also ask, Local pack, Related searches, Popular products, See results about, Ads bottom</t>
  </si>
  <si>
    <t>1.00,0.81,1.00,0.67,0.81,1.00,0.28,0.28,0.36,0.19,0.19,0.67</t>
  </si>
  <si>
    <t>Sitelinks, Image, Video, People also ask, Local pack, Related searches, Ads top, Ads bottom</t>
  </si>
  <si>
    <t>"A recommended strategy for keyword density would be to aim for a 1-3% density for your primary target keywords [4, 5]. Since the data provided is a list of keywords and their intent, volume, and difficulty, a good structure would involve:  * **Commercial Keywords (High Volume/High Difficulty):** Target high-volume commercial keywords like ""bathtub refinishing"" (Volume: 9900, Difficulty: 55) for core service pages. Use this as the primary keyword, aiming for 1-3% density, especially in the title, meta description, and first paragraph \[3\].
  * **Transactional Keywords (Near Me):** For transactional, location-specific keywords such as ""bathtub reglazing near me"" (Volume: 6600), use these in landing pages specifically tailored to local services.
  * **Informational Keywords:** Use informational terms like ""how to refinish a bathtub"" (Volume: 1600) for blog content or informational guides. These articles can then naturally incorporate related commercial keywords, using them as secondary keywords or variations \[2, 3\].
  * **Long-Tail Keywords and Variations:** Incorporate variations of the primary keyword (e.g., ""tub refinishing,"" ""reglaze bathtub,"" ""reglaze tub"") naturally throughout the content to signal relevance without keyword stuffing \[2\].
  * **Alt Text and Subheadings:** Utilize keywords or their variations in image alt text and subheadings (H2, H3) for both commercial and informational content \[3\]."</t>
  </si>
  <si>
    <t>1.00,0.29,0.81,0.81,1.00,0.66,0.66,0.24,0.44,0.54,0.54,0.54</t>
  </si>
  <si>
    <t>Sitelinks, Video, Video carousel, Short videos, Local pack, Related searches, See results about</t>
  </si>
  <si>
    <t>1.00,0.64,1.00,0.64,1.00,0.81,0.64,1.00,1.00,0.53,0.81,0.81</t>
  </si>
  <si>
    <t>AI Overview, Video, Video carousel, Local pack, Related searches, Popular products, See results about</t>
  </si>
  <si>
    <t>0.43,0.43,0.66,0.82,1.00,0.66,0.66,0.52,0.52,0.66,0.52,0.52</t>
  </si>
  <si>
    <t>Sitelinks, AI Overview, Video, Video carousel, Short videos, Local pack, Related searches, Popular products</t>
  </si>
  <si>
    <t>1.00,0.44,0.67,0.35,0.29,0.23,0.11,0.29,0.55,0.23,0.23,0.44</t>
  </si>
  <si>
    <t>Sitelinks, Video, Local pack, Related searches</t>
  </si>
  <si>
    <t>1.00,0.23,0.44,0.20,0.35,0.29,0.29,0.23,0.35,0.44,0.23,0.29</t>
  </si>
  <si>
    <t>Sitelinks, Video, Video carousel, Local pack, Related searches, See results about, Ads bottom</t>
  </si>
  <si>
    <t>0.16,0.80,0.36,0.52,0.66,0.52,0.80,0.44,1.00,0.36,0.66,1.00</t>
  </si>
  <si>
    <t>Sitelinks, AI Overview, Image, Image pack, Video, Video carousel, Related searches, Popular products</t>
  </si>
  <si>
    <t>1.00,0.83,0.55,0.66,0.55,1.00,0.55,0.45,0.55,0.66,0.45,0.45</t>
  </si>
  <si>
    <t>Sitelinks, AI Overview, Video, Related searches</t>
  </si>
  <si>
    <t>0.03,0.07,0.10,1.00,0.81,0.16,0.19,0.08,0.03,0.03,0.02,0.01</t>
  </si>
  <si>
    <t>0.66,0.36,1.00,0.79,1.00,0.54,0.54,0.54,0.66,0.66,0.66,0.66</t>
  </si>
  <si>
    <t>Sitelinks, AI Overview, Image, Video, Video carousel, Short videos, Discussions and forums, Related searches, Ads bottom</t>
  </si>
  <si>
    <t>0.79,1.00,0.50,0.08,0.42,0.42,0.17,0.13,0.21,0.13,0.13,0.79</t>
  </si>
  <si>
    <t>0.46,0.83,0.83,0.83,0.66,0.54,0.46,0.83,0.23,1.00,0.46,0.14</t>
  </si>
  <si>
    <t>Sitelinks, AI Overview, Video, Video carousel, Short videos, Local pack, Related searches</t>
  </si>
  <si>
    <t>0.84,0.84,0.84,0.67,1.00,0.84,1.00,0.84,1.00,0.84,0.67,0.67</t>
  </si>
  <si>
    <t>0.16,1.00,0.53,0.80,0.36,0.16,0.16,0.06,0.16,0.36,0.27,0.12</t>
  </si>
  <si>
    <t>1.00,0.52,0.67,0.13,1.00,0.07,0.15,0.07,0.28,0.09,0.09,0.07</t>
  </si>
  <si>
    <t>Sitelinks, AI Overview, Image pack, Video, Video carousel, Local pack, Related searches</t>
  </si>
  <si>
    <t>0.03,0.08,0.07,0.01,0.01,0.01,0.03,0.08,0.02,0.05,1.00,0.02</t>
  </si>
  <si>
    <t>Sitelinks, AI Overview, Video, People also ask, Related searches, Popular products, Ads bottom, Ads middle</t>
  </si>
  <si>
    <t>0.03,0.27,0.05,0.07,1.00,0.80,0.36,0.44,0.03,0.13,0.36,0.36</t>
  </si>
  <si>
    <t>1.00,0.08,0.30,0.02,1.00,0.09,0.06,0.45,0.15,0.66,0.08,0.34</t>
  </si>
  <si>
    <t>0.68,0.68,0.68,0.68,0.77,0.68,0.77,0.77,1.00,1.00,0.77,1.00</t>
  </si>
  <si>
    <t>0.13,0.05,0.04,0.18,0.02,0.08,0.01,1.00,0.05,0.03,0.04,0.03</t>
  </si>
  <si>
    <t>0.54,1.00,0.66,0.08,0.05,0.05,0.05,0.05,0.05,0.04,0.08,0.03</t>
  </si>
  <si>
    <t>0.88,0.47,0.88,0.71,1.00,0.88,0.88,0.71,1.00,0.47,0.32,0.24</t>
  </si>
  <si>
    <t>Sitelinks, AI Overview, Video, Video carousel, People also ask, Local pack, Discussions and forums, Related searches</t>
  </si>
  <si>
    <t>0.24,0.46,0.54,0.76,1.00,0.76,0.54,0.29,0.54,0.29,0.24,0.37</t>
  </si>
  <si>
    <t>0.24,0.55,0.30,0.67,0.45,1.00,0.45,1.00,1.00,0.55,0.10,0.20</t>
  </si>
  <si>
    <t>0.16,0.45,0.24,0.36,0.45,0.24,0.45,0.20,0.24,1.00,0.81,0.81</t>
  </si>
  <si>
    <t>0.66,0.66,0.81,0.81,1.00,0.81,0.81,0.54,1.00,0.54,1.00,0.66</t>
  </si>
  <si>
    <t>0.80,0.37,0.67,0.80,1.00,0.80,0.80,0.53,0.67,0.43,0.43,0.37</t>
  </si>
  <si>
    <t>0.67,0.54,0.81,0.54,1.00,0.54,0.67,0.81,0.67,0.81,0.54,0.44</t>
  </si>
  <si>
    <t>0.55,0.55,0.08,0.55,1.00,0.20,0.55,0.36,0.36,0.36,0.16,0.45</t>
  </si>
  <si>
    <t>0.20,0.27,0.47,0.33,1.00,0.67,0.27,0.27,0.27,0.20,0.53,0.27</t>
  </si>
  <si>
    <t>1.00,0.65,1.00,0.18,0.44,0.36,0.36,0.29,0.18,0.09,0.15,0.11</t>
  </si>
  <si>
    <t>0.19,0.23,0.36,0.81,0.54,1.00,0.81,1.00,0.54,0.81,0.67,1.00</t>
  </si>
  <si>
    <t>0.66,0.81,0.81,1.00,1.00,1.00,0.34,0.43,0.66,0.43,0.34,0.81</t>
  </si>
  <si>
    <t>Sitelinks, AI Overview, Image, Video, Video carousel, Short videos, Local pack, Related searches, Ads bottom, Ads middle</t>
  </si>
  <si>
    <t>0.39,1.00,0.04,0.03,0.04</t>
  </si>
  <si>
    <t>0.11,1.00,0.03,0.00,0.01</t>
  </si>
  <si>
    <t>0.44,0.28,0.81,0.81,1.00,0.54,0.81,0.44,0.81,0.81,0.66,0.28</t>
  </si>
  <si>
    <t>0.06,0.08,1.00,0.10,0.13,0.03,0.04,0.05,0.05,0.10,0.45,0.08</t>
  </si>
  <si>
    <t>Sitelinks, AI Overview, Image pack, Video, Video carousel, Related searches, Popular products</t>
  </si>
  <si>
    <t>0.12,0.07,0.28,0.28,0.35,0.28,0.43,1.00,0.43,0.35,0.35,1.00</t>
  </si>
  <si>
    <t>0.00,0.00,0.03,0.73,0.00,0.02,0.03,0.00,0.03,1.00,0.08,0.06</t>
  </si>
  <si>
    <t>bathtub refinishing los angeles</t>
  </si>
  <si>
    <t>0.42,0.65,0.65,0.42,0.53,0.26,0.34,0.42,1.00,0.80,0.80,0.42</t>
  </si>
  <si>
    <t>Sitelinks, Video, People also ask, Local pack, Related searches, Ads bottom</t>
  </si>
  <si>
    <t>0.11,0.11,0.11,0.11,0.29,0.29,0.41,0.29,0.82,1.00,0.52,0.17</t>
  </si>
  <si>
    <t>0.78,1.00,0.78,0.56,0.56,0.11,0.22,0.22,0.78,0.78,1.00,0.78</t>
  </si>
  <si>
    <t>0.23,1.00,0.05,0.64,0.11,0.52,0.23,0.41,0.05,0.41,0.11,0.11</t>
  </si>
  <si>
    <t>0.18,0.18,1.00,0.27,0.36,0.18,0.27,0.18,0.81,1.00,0.81,0.36</t>
  </si>
  <si>
    <t>1.00,0.71,0.71,1.00,1.00,0.71,0.29,0.29,0.29,0.29,0.29,0.29</t>
  </si>
  <si>
    <t>Sitelinks, AI Overview, Image, Image pack, Video, Discussions and forums, Related searches, Popular products</t>
  </si>
  <si>
    <t>Final List</t>
  </si>
  <si>
    <t>yes</t>
  </si>
  <si>
    <t>0.67,0.55,0.55,0.67,1.00,0.82,0.82,0.82,0.82,0.82,0.82,0.67</t>
  </si>
  <si>
    <t>Bathtub Refinishing vs. Bathtub Reglazing</t>
  </si>
  <si>
    <t>0.36,0.28,0.44,1.00,1.00,1.00,1.00,0.54,0.54,0.36,0.44,0.54</t>
  </si>
  <si>
    <t>0.66,0.43,0.43,0.66,0.82,1.00,0.66,0.66,0.52,0.52,0.66,0.52</t>
  </si>
  <si>
    <t>0.88,0.72,0.72,1.00,0.72,0.88,0.88,0.88,0.48,0.88,0.59,0.72</t>
  </si>
  <si>
    <t>Sitelinks, Image, Image pack, Video, Video carousel, Discussions and forums, Related searches, Popular products</t>
  </si>
  <si>
    <t>Bathtub Cutout Before and After</t>
  </si>
  <si>
    <t>0.42,0.07,0.53,0.42,0.42,1.00,0.53,0.11,0.15,0.15,0.19,0.15</t>
  </si>
  <si>
    <t>Sitelinks, Video, Video carousel, People also ask, Local pack, Related searches, Ads bottom</t>
  </si>
  <si>
    <t>Yes</t>
  </si>
  <si>
    <t>1.00,1.00,1.00,1.00,1.00,1.00,1.00,1.00,1.00,1.00,1.00,1.00</t>
  </si>
  <si>
    <t>0.00,0.00,0.00,0.00,0.25,0.25,0.00,0.25,0.00,0.75,0.75,1.00</t>
  </si>
  <si>
    <t>0.00,0.00,0.00,0.00,0.00,0.00,0.00,0.00,0.00,0.00,0.00,0.00</t>
  </si>
  <si>
    <t>Video carousel, People also ask, Local pack, Discussions and forums, Related searches, Popular products</t>
  </si>
  <si>
    <t>Video, Video carousel, People also ask, Local pack, Related searches, Popular products</t>
  </si>
  <si>
    <t>Sitelinks, Video, Video carousel, People also ask, Local pack, Discussions and forums, Related searches, Popular products</t>
  </si>
  <si>
    <t>Sitelinks, Video carousel, People also ask, Related searches</t>
  </si>
  <si>
    <t>Before and After Bathtub Reglazing in Los Angeles</t>
  </si>
  <si>
    <t>Reviews, People also ask, Local pack, Related searches</t>
  </si>
  <si>
    <t>Sitelinks, Reviews, Image, People also ask, Local pack, Related searches</t>
  </si>
  <si>
    <t>Sitelinks, Reviews, People also ask, Local pack, Related searches</t>
  </si>
  <si>
    <t>Reglazing Near Me (page)</t>
  </si>
  <si>
    <t>Reviews, Image, People also ask, Local pack, Related searches</t>
  </si>
  <si>
    <t>Reviews, Image, Local pack, Related searches</t>
  </si>
  <si>
    <t>kitchen countertop refinish</t>
  </si>
  <si>
    <t>kitchen countertop refinishing kit</t>
  </si>
  <si>
    <t>Sitelinks, Image, Video, Video carousel, Discussions and forums, Related searches, Popular products</t>
  </si>
  <si>
    <t>refinish kitchen tile countertops</t>
  </si>
  <si>
    <t>Sitelinks, AI Overview, Image, Image pack, Video, Video carousel, People also ask, Related searches, Popular products</t>
  </si>
  <si>
    <t>refinishing kitchen countertops company</t>
  </si>
  <si>
    <t>bathtub and kitchen countertop refinishing</t>
  </si>
  <si>
    <t>best way to refinish kitchen countertops</t>
  </si>
  <si>
    <t>can you refinish kitchen countertops</t>
  </si>
  <si>
    <t>diy refinish kitchen countertops</t>
  </si>
  <si>
    <t>how to refinish formica kitchen countertops</t>
  </si>
  <si>
    <t>how to refinish kitchen countertops</t>
  </si>
  <si>
    <t>how to refinish laminate countertop kitchen</t>
  </si>
  <si>
    <t>how to refinish laminate kitchen countertops</t>
  </si>
  <si>
    <t>how to refinish wood kitchen countertops</t>
  </si>
  <si>
    <t>how to refinish wooden kitchen countertops</t>
  </si>
  <si>
    <t>kitchen countertop refinishing cost</t>
  </si>
  <si>
    <t>kitchen countertop refinishing ideas</t>
  </si>
  <si>
    <t>kitchen countertop refinishing kits</t>
  </si>
  <si>
    <t>kitchen countertop refinishing services</t>
  </si>
  <si>
    <t>kitchen countertops refinishing</t>
  </si>
  <si>
    <t>kitchen tile countertop refinishing</t>
  </si>
  <si>
    <t>marble kitchen countertop refinishing services</t>
  </si>
  <si>
    <t>refinish kitchen countertops diy</t>
  </si>
  <si>
    <t>refinish kitchen countertops lowes</t>
  </si>
  <si>
    <t>refinish wood kitchen countertops</t>
  </si>
  <si>
    <t>refinishing formica kitchen countertops</t>
  </si>
  <si>
    <t>refinishing kitchen countertops laminate</t>
  </si>
  <si>
    <t>refinishing wood kitchen countertops</t>
  </si>
  <si>
    <t>how to refinish kitchen countertops yourself</t>
  </si>
  <si>
    <t>kitchen and bath countertop refinishing</t>
  </si>
  <si>
    <t>kitchen countertop refinishing lodi ca</t>
  </si>
  <si>
    <t>kitchen countertop refinishing options</t>
  </si>
  <si>
    <t>kitchen countertop refinishing products</t>
  </si>
  <si>
    <t>kitchen countertop refinishing stockton ca</t>
  </si>
  <si>
    <t>kitchen countertops refinishing dallas tx</t>
  </si>
  <si>
    <t>refinish corian kitchen countertops</t>
  </si>
  <si>
    <t>refinish kitchen countertop</t>
  </si>
  <si>
    <t>refinish kitchen countertops rustoleum</t>
  </si>
  <si>
    <t>refinishing old kitchen countertops</t>
  </si>
  <si>
    <t>bathtub and kitchen countertop refinishing jacksonville fl</t>
  </si>
  <si>
    <t>best kitchen countertop refinishing kit</t>
  </si>
  <si>
    <t>cheap way to refinish kitchen countertops</t>
  </si>
  <si>
    <t>cheapest way to refinish kitchen countertops</t>
  </si>
  <si>
    <t>cost to refinish corian countertops in a kitchen</t>
  </si>
  <si>
    <t>cost to refinish kitchen countertops</t>
  </si>
  <si>
    <t>countertop refinishing hell's kitchen</t>
  </si>
  <si>
    <t>diy kitchen countertop refinishing</t>
  </si>
  <si>
    <t>do it yourself refinishing kitchen countertops</t>
  </si>
  <si>
    <t>epoxy kitchen countertop refinishing kit</t>
  </si>
  <si>
    <t>home depot kitchen countertop refinishing kit</t>
  </si>
  <si>
    <t>how much does refinishing a kitchen countertop cost</t>
  </si>
  <si>
    <t>how much to refinish a kitchen countertop</t>
  </si>
  <si>
    <t>how to refinish a kitchen countertop</t>
  </si>
  <si>
    <t>how to refinish a wood kitchen countertop</t>
  </si>
  <si>
    <t>how to refinish a wooden kitchen countertop</t>
  </si>
  <si>
    <t>how to refinish kitchen countertops made of formica</t>
  </si>
  <si>
    <t>how to refinish kitchen tile countertops</t>
  </si>
  <si>
    <t>how to refinish leather formica kitchen countertops</t>
  </si>
  <si>
    <t>how to refinish my kitchen countertops</t>
  </si>
  <si>
    <t>how to refinish old kitchen countertops</t>
  </si>
  <si>
    <t>how to refinish polyurethane kitchen countertops</t>
  </si>
  <si>
    <t>ideas for refinishing a kitchen countertop</t>
  </si>
  <si>
    <t>kitchen countertop &amp; bathroom refinishing kits</t>
  </si>
  <si>
    <t>kitchen countertop refinishers</t>
  </si>
  <si>
    <t>kitchen countertop refinishing austin</t>
  </si>
  <si>
    <t>kitchen countertop refinishing boynton</t>
  </si>
  <si>
    <t>kitchen countertop refinishing boynton beach</t>
  </si>
  <si>
    <t>kitchen countertop refinishing companies</t>
  </si>
  <si>
    <t>kitchen countertop refinishing diy</t>
  </si>
  <si>
    <t>kitchen countertop refinishing kit lowes</t>
  </si>
  <si>
    <t>kitchen countertop refinishing kits reviews</t>
  </si>
  <si>
    <t>kitchen countertop refinishing longmont</t>
  </si>
  <si>
    <t>kitchen countertop refinishing north miami beach</t>
  </si>
  <si>
    <t>kitchen countertop refinishing paint</t>
  </si>
  <si>
    <t>kitchen countertop refinishing pittsburgh pa</t>
  </si>
  <si>
    <t>kitchen countertop refinishing pompano beach</t>
  </si>
  <si>
    <t>kitchen countertop refinishing rustoleum</t>
  </si>
  <si>
    <t>kitchen countertop refinishing services in connecticut</t>
  </si>
  <si>
    <t>kitchen countertop refinishing st louis</t>
  </si>
  <si>
    <t>kitchen countertops refinished</t>
  </si>
  <si>
    <t>kitchen countertops refinishing boca raton</t>
  </si>
  <si>
    <t>kitchen countertops refinishing deerfield beach</t>
  </si>
  <si>
    <t>kitchen countertops refinishing delray beach</t>
  </si>
  <si>
    <t>kitchen countertops refinishing fort lauderdale</t>
  </si>
  <si>
    <t>kitchen countertops refinishing margate</t>
  </si>
  <si>
    <t>kitchen countertops refinishing south florida</t>
  </si>
  <si>
    <t>kitchen countertops refinishing west palm beach</t>
  </si>
  <si>
    <t>kitchen laminate countertop refinishing</t>
  </si>
  <si>
    <t>laminate kitchen countertop refinishing</t>
  </si>
  <si>
    <t>meta lic epoxy kitchen countertop refinishing tutorial</t>
  </si>
  <si>
    <t>old tiled kitchen countertop refinish</t>
  </si>
  <si>
    <t>options for refinishing kitchen countertops</t>
  </si>
  <si>
    <t>orange county kitchen countertop refinishing</t>
  </si>
  <si>
    <t>oro valley kitchen countertop refinishing</t>
  </si>
  <si>
    <t>oro valley kitchen countertop refinishing cost</t>
  </si>
  <si>
    <t>paint kitchen countertop refinishing</t>
  </si>
  <si>
    <t>products to refinish kitchen countertops</t>
  </si>
  <si>
    <t>refinish bucher block kitchen countertops</t>
  </si>
  <si>
    <t>refinish kitchen countertop ideas</t>
  </si>
  <si>
    <t>refinish kitchen countertop kit</t>
  </si>
  <si>
    <t>refinish kitchen countertops yourself</t>
  </si>
  <si>
    <t>refinish kitchen formica countertops</t>
  </si>
  <si>
    <t>refinish kitchen sink built into countertop</t>
  </si>
  <si>
    <t>refinish laminate kitchen countertops</t>
  </si>
  <si>
    <t>refinish old kitchen countertops</t>
  </si>
  <si>
    <t>refinish vs replace kitchen countertops</t>
  </si>
  <si>
    <t>refinish wooden kitchen countertops</t>
  </si>
  <si>
    <t>refinish your kitchen countertops</t>
  </si>
  <si>
    <t>refinished kitchen tile countertops black</t>
  </si>
  <si>
    <t>refinished kitchen tile countertops brown</t>
  </si>
  <si>
    <t>refinished kitchen tile countertops tan</t>
  </si>
  <si>
    <t>refinished tile in kitchen countertops grey</t>
  </si>
  <si>
    <t>refinished tile kitchen countertops</t>
  </si>
  <si>
    <t>refinished tile kitchen countertops grey</t>
  </si>
  <si>
    <t>refinishing bathtub and kitchen countertop</t>
  </si>
  <si>
    <t>refinishing kitchen cabinets and countertops</t>
  </si>
  <si>
    <t>refinishing kitchen countertop</t>
  </si>
  <si>
    <t>refinishing kitchen countertops diy</t>
  </si>
  <si>
    <t>refinishing kitchen countertops tile</t>
  </si>
  <si>
    <t>refinishing kitchen countertops with granite look alike</t>
  </si>
  <si>
    <t>refinishing kitchen countertops yourself</t>
  </si>
  <si>
    <t>refinishing kitchen tile countertops</t>
  </si>
  <si>
    <t>refinishing laminate kitchen countertops</t>
  </si>
  <si>
    <t>refinishing tile kitchen countertops</t>
  </si>
  <si>
    <t>rustoleum refinishing kitchen countertops</t>
  </si>
  <si>
    <t>tile refinishing kitchen countertops</t>
  </si>
  <si>
    <t>how to refinish a zinc bathtub</t>
  </si>
  <si>
    <t>Sitelinks, AI Overview, Image pack, Video, Video carousel, People also ask, Related searches</t>
  </si>
  <si>
    <t>how much does bathtub refinishing cost</t>
  </si>
  <si>
    <t>how to refinish bathtub</t>
  </si>
  <si>
    <t>Featured snippet, Sitelinks, Image pack, Video, People also ask, Related searches</t>
  </si>
  <si>
    <t>how to refinish the bathtub</t>
  </si>
  <si>
    <t>AI Overview, Video, Video carousel, People also ask, Related searches</t>
  </si>
  <si>
    <t>do it yourself bathtub refinishing</t>
  </si>
  <si>
    <t>AI Overview, Image pack, Video, Video carousel, People also ask, Discussions and forums, Related searches</t>
  </si>
  <si>
    <t>can you refinish a bathtub</t>
  </si>
  <si>
    <t>Sitelinks, AI Overview, Image pack, Video, Discussions and forums, Related searches</t>
  </si>
  <si>
    <t>how much does it cost to refinish a bathtub</t>
  </si>
  <si>
    <t>Sitelinks, AI Overview, Video, Discussions and forums, Related searches</t>
  </si>
  <si>
    <t>how to refinish a cast iron bathtub</t>
  </si>
  <si>
    <t>Sitelinks, AI Overview, Image pack, Video, Video carousel, Short videos, People also ask, Related searches</t>
  </si>
  <si>
    <t>how do you refinish a porcelain bathtub</t>
  </si>
  <si>
    <t>Sitelinks, AI Overview, Image pack, Video, Video carousel, People also ask, Discussions and forums, Related searches, Ads top, Ads bottom</t>
  </si>
  <si>
    <t>how long does bathtub refinishing last</t>
  </si>
  <si>
    <t>Sitelinks, AI Overview, Video, People also ask, Related searches</t>
  </si>
  <si>
    <t>how much to refinish a bathtub</t>
  </si>
  <si>
    <t>Sitelinks, Image pack, Video, People also ask, Discussions and forums, Related searches</t>
  </si>
  <si>
    <t>do it yourself bathtub refinishing kit</t>
  </si>
  <si>
    <t>Sitelinks, AI Overview, Image pack, Video, Video carousel, Discussions and forums, Related searches</t>
  </si>
  <si>
    <t>how do you refinish a bathtub</t>
  </si>
  <si>
    <t>how do you refinish a cast iron bathtub</t>
  </si>
  <si>
    <t>Sitelinks, AI Overview, Image, Video, Video carousel, Short videos, Related searches, Ads bottom</t>
  </si>
  <si>
    <t>how to refinish a fiberglass bathtub</t>
  </si>
  <si>
    <t>Sitelinks, AI Overview, Image pack, Video, Video carousel, People also ask, Discussions and forums, Related searches, Ads bottom</t>
  </si>
  <si>
    <t>how to refinish a porcelain bathtub</t>
  </si>
  <si>
    <t>can you refinish a fiberglass bathtub</t>
  </si>
  <si>
    <t>how to refinish a clawfoot bathtub</t>
  </si>
  <si>
    <t>Sitelinks, AI Overview, Image, Image pack, Video, Video carousel, People also ask, Discussions and forums, Related searches</t>
  </si>
  <si>
    <t>is bathtub refinishing worth it</t>
  </si>
  <si>
    <t>what is bathtub refinishing</t>
  </si>
  <si>
    <t>Sitelinks, AI Overview, Image pack, Video, People also ask, Related searches, See results about</t>
  </si>
  <si>
    <t>can fiberglass bathtubs be refinished</t>
  </si>
  <si>
    <t>Sitelinks, AI Overview, Image, Video, Video carousel, People also ask, Related searches, Ads bottom</t>
  </si>
  <si>
    <t>how to clean a refinished bathtub</t>
  </si>
  <si>
    <t>AI Overview, Image pack, Video, People also ask, Discussions and forums, Related searches</t>
  </si>
  <si>
    <t>how much does it cost to have a bathtub refinished</t>
  </si>
  <si>
    <t>how to clean refinished bathtub</t>
  </si>
  <si>
    <t>how to refinish my bathtub</t>
  </si>
  <si>
    <t>Featured snippet, Sitelinks, Image pack, Video, People also ask, Discussions and forums, Related searches</t>
  </si>
  <si>
    <t>can a bathtub be refinished</t>
  </si>
  <si>
    <t>Sitelinks, AI Overview, Video, Video carousel, Short videos, Discussions and forums, Related searches</t>
  </si>
  <si>
    <t>can a fiberglass bathtub be refinished</t>
  </si>
  <si>
    <t>Sitelinks, AI Overview, Image pack, Video, People also ask, Related searches, Ads bottom, Ads middle</t>
  </si>
  <si>
    <t>do it yourself porcelain bathtub refinishing</t>
  </si>
  <si>
    <t>how do i refinish my bathtub</t>
  </si>
  <si>
    <t>how long does it take to refinish a bathtub</t>
  </si>
  <si>
    <t>how many times can a bathtub be refinished</t>
  </si>
  <si>
    <t>AI Overview, Video, Related searches</t>
  </si>
  <si>
    <t>how much bathtub refinishing cost</t>
  </si>
  <si>
    <t>Featured snippet, Sitelinks, Video carousel, People also ask, Discussions and forums, Related searches</t>
  </si>
  <si>
    <t>how much cost to refinish bathtub</t>
  </si>
  <si>
    <t>Sitelinks, AI Overview, Video, People also ask, Discussions and forums, Related searches, Ads top, Ads bottom</t>
  </si>
  <si>
    <t>how much is it to refinish a bathtub</t>
  </si>
  <si>
    <t>Sitelinks, AI Overview, Video, People also ask, Discussions and forums, Related searches</t>
  </si>
  <si>
    <t>how to refinish a bathtub yourself</t>
  </si>
  <si>
    <t>AI Overview, Image pack, Video, Discussions and forums, Related searches</t>
  </si>
  <si>
    <t>how to refinish a cast iron clawfoot bathtub</t>
  </si>
  <si>
    <t>how to refinish an old bathtub</t>
  </si>
  <si>
    <t>how to refinish your bathtub</t>
  </si>
  <si>
    <t>is it worth refinishing a bathtub</t>
  </si>
  <si>
    <t>should i refinish or replace my bathtub</t>
  </si>
  <si>
    <t>who refinishes bathtubs</t>
  </si>
  <si>
    <t>Sitelinks, Image pack, Video, People also ask, Local pack, Related searches, See results about, Ads top, Ads bottom, Ads middle</t>
  </si>
  <si>
    <t>a bathtub refinishing</t>
  </si>
  <si>
    <t>Sitelinks, AI Overview, Video, Local pack, Related searches, Popular products</t>
  </si>
  <si>
    <t>can i refinish my bathtub</t>
  </si>
  <si>
    <t>can i refinish my bathtub myself</t>
  </si>
  <si>
    <t>can you refinish a cast iron bathtub</t>
  </si>
  <si>
    <t>can you refinish a porcelain bathtub</t>
  </si>
  <si>
    <t>does bathtub refinishing work</t>
  </si>
  <si>
    <t>Sitelinks, AI Overview, Image, Video, Video carousel, Discussions and forums, Related searches</t>
  </si>
  <si>
    <t>does refinishing a bathtub work</t>
  </si>
  <si>
    <t>Sitelinks, AI Overview, Image, Video, Video carousel, Related searches</t>
  </si>
  <si>
    <t>how long does a refinished bathtub last</t>
  </si>
  <si>
    <t>how long does refinishing a bathtub last</t>
  </si>
  <si>
    <t>how to refinish a bathtub diy</t>
  </si>
  <si>
    <t>AI Overview, Video, Discussions and forums, Related searches</t>
  </si>
  <si>
    <t>how to refinish a bathtub do it yourself</t>
  </si>
  <si>
    <t>how to refinish a bathtub surface</t>
  </si>
  <si>
    <t>Sitelinks, AI Overview, Video, Video carousel, Short videos, Discussions and forums, Related searches, Ads bottom</t>
  </si>
  <si>
    <t>how to refinish a metal bathtub</t>
  </si>
  <si>
    <t>how to refinish porcelain bathtub</t>
  </si>
  <si>
    <t>AI Overview, Image pack, Video, Related searches</t>
  </si>
  <si>
    <t>should i refinish my bathtub</t>
  </si>
  <si>
    <t>Sitelinks, AI Overview, Image, Image pack, Video, Video carousel, Discussions and forums, Related searches, Ads bottom</t>
  </si>
  <si>
    <t>what is the cost to refinish a bathtub</t>
  </si>
  <si>
    <t>a+ bathtub &amp; tile refinishing houston</t>
  </si>
  <si>
    <t>how much does it cost to refinish a fiberglass bathtub</t>
  </si>
  <si>
    <t>how refinish bathtub</t>
  </si>
  <si>
    <t>Sitelinks, AI Overview, Image, Video, Video carousel, Short videos, Related searches</t>
  </si>
  <si>
    <t>how to refinish old bathtub</t>
  </si>
  <si>
    <t>is it worth it to refinish a bathtub</t>
  </si>
  <si>
    <t>is refinishing a bathtub worth it</t>
  </si>
  <si>
    <t>what is the cost of refinishing a bathtub</t>
  </si>
  <si>
    <t>Sitelinks, Image pack, Video carousel, Discussions and forums, Related searches, Popular products</t>
  </si>
  <si>
    <t>what is the difference between resurfacing and refinishing a bathtub</t>
  </si>
  <si>
    <t>a &amp; e bathtub refinishing</t>
  </si>
  <si>
    <t>a 1 bathtub refinishing</t>
  </si>
  <si>
    <t>a new look bathtub refinishing</t>
  </si>
  <si>
    <t>a&amp;e bathtub refinishing</t>
  </si>
  <si>
    <t>a+ bathtub refinishing</t>
  </si>
  <si>
    <t>can a bathtub be refinished twice</t>
  </si>
  <si>
    <t>can an acrylic bathtub be refinished</t>
  </si>
  <si>
    <t>can you refinish a bathtub more than once</t>
  </si>
  <si>
    <t>can you refinish a bathtub yourself</t>
  </si>
  <si>
    <t>can you refinish a plastic bathtub</t>
  </si>
  <si>
    <t>can you refinish acrylic bathtub</t>
  </si>
  <si>
    <t>can you refinish an acrylic bathtub</t>
  </si>
  <si>
    <t>can you refinish fiberglass bathtubs</t>
  </si>
  <si>
    <t>can you refinish plastic bathtub</t>
  </si>
  <si>
    <t>does bathtub refinishing last</t>
  </si>
  <si>
    <t>does bathtub refinishing really work</t>
  </si>
  <si>
    <t>how long to wait after bathtub refinishing</t>
  </si>
  <si>
    <t>how many times can you refinish a bathtub</t>
  </si>
  <si>
    <t>how much does it cost to get a bathtub refinished</t>
  </si>
  <si>
    <t>how much does miracle method bathtub refinishing cost</t>
  </si>
  <si>
    <t>how much to get bathtub refinished</t>
  </si>
  <si>
    <t>how much to refinish bathtub</t>
  </si>
  <si>
    <t>how to get rid of bathtub refinishing smell</t>
  </si>
  <si>
    <t>how to prep a bathtub for refinishing</t>
  </si>
  <si>
    <t>how to refinish a bathtub with epoxy</t>
  </si>
  <si>
    <t>how to refinish a bathtub youtube</t>
  </si>
  <si>
    <t>how to refinish a plastic bathtub</t>
  </si>
  <si>
    <t>how to refinish acrylic bathtub</t>
  </si>
  <si>
    <t>how to refinish an acrylic bathtub</t>
  </si>
  <si>
    <t>how to refinish an enamel bathtub</t>
  </si>
  <si>
    <t>how to refinish an old porcelain bathtub</t>
  </si>
  <si>
    <t>how to refinish bathtub enamel</t>
  </si>
  <si>
    <t>how to refinish bathtub surface</t>
  </si>
  <si>
    <t>how to refinish cast iron bathtub</t>
  </si>
  <si>
    <t>how to refinish clawfoot bathtub</t>
  </si>
  <si>
    <t>how to refinish old cast iron bathtub</t>
  </si>
  <si>
    <t>how to refinish your bathtub yourself</t>
  </si>
  <si>
    <t>how to remove bathtub refinishing</t>
  </si>
  <si>
    <t>how to strip bathtub refinishing</t>
  </si>
  <si>
    <t>is bathtub refinishing toxic</t>
  </si>
  <si>
    <t>what do you use to refinish a bathtub</t>
  </si>
  <si>
    <t>what does it cost to refinish a bathtub</t>
  </si>
  <si>
    <t>what is refinishing a bathtub</t>
  </si>
  <si>
    <t>what is the average cost of bathtub refinishing</t>
  </si>
  <si>
    <t>what is the average cost to refinish a bathtub</t>
  </si>
  <si>
    <t>what is the best bathtub refinishing kit</t>
  </si>
  <si>
    <t>what is the difference between bathtub refinishing and reglazing</t>
  </si>
  <si>
    <t>what is the difference between bathtub reglazing and refinishing</t>
  </si>
  <si>
    <t>what is the difference between reglazing and refinishing a bathtub</t>
  </si>
  <si>
    <t>what is the difference between reglazing and refinishing bathtub</t>
  </si>
  <si>
    <t>who does bathtub refinishing</t>
  </si>
  <si>
    <t>can bathtubs be refinished</t>
  </si>
  <si>
    <t>can you refinish a steel bathtub</t>
  </si>
  <si>
    <t>can you refinish your bathtub yourself</t>
  </si>
  <si>
    <t>how durable is bathtub refinishing</t>
  </si>
  <si>
    <t>how much is bathtub refinishing</t>
  </si>
  <si>
    <t>how to refinish a bathtub video</t>
  </si>
  <si>
    <t>how to refinish a bathtub yourself video</t>
  </si>
  <si>
    <t>how to refinish a fiberglass bathtub yourself</t>
  </si>
  <si>
    <t>how to refinish bathtub diy</t>
  </si>
  <si>
    <t>how to refinish bathtub porcelain</t>
  </si>
  <si>
    <t>how to refinish bathtub video</t>
  </si>
  <si>
    <t>how to refinish bathtub with rustoleum</t>
  </si>
  <si>
    <t>how to refinish bathtub yourself</t>
  </si>
  <si>
    <t>how to refinish bathtubs</t>
  </si>
  <si>
    <t>how to restore a bathtub refinish</t>
  </si>
  <si>
    <t>what is the best bathtub refinishing process</t>
  </si>
  <si>
    <t>what is the best diy bathtub refinishing kit</t>
  </si>
  <si>
    <t>what is the cost of bathtub refinishing</t>
  </si>
  <si>
    <t>who refinishes bathtubs near me</t>
  </si>
  <si>
    <t>a &amp; e bathtub refinishing altadena ca</t>
  </si>
  <si>
    <t>a and e bathtub refinishing</t>
  </si>
  <si>
    <t>a and k bathtub refinishing</t>
  </si>
  <si>
    <t>a and k bathtub refinishing md va dc kensington md</t>
  </si>
  <si>
    <t>a bathtub &amp; tile refinishing houston</t>
  </si>
  <si>
    <t>a bathtub and tile refinisher cleveland oh</t>
  </si>
  <si>
    <t>a bathtub refinishing company</t>
  </si>
  <si>
    <t>a bathtub refinishing don mccowan</t>
  </si>
  <si>
    <t>a bathtub reglazing refinishing</t>
  </si>
  <si>
    <t>a best bathtub refinishing and repair</t>
  </si>
  <si>
    <t>a new bathtub repair &amp; refinishing reno nv</t>
  </si>
  <si>
    <t>a plus bathtub refinishing</t>
  </si>
  <si>
    <t>a r bathtub refinishing cleveland oh</t>
  </si>
  <si>
    <t>a r bathtub refinishing l.l.c</t>
  </si>
  <si>
    <t>a touch of magic bathtub refinishing west springfield ma</t>
  </si>
  <si>
    <t>a&amp;e bathtub refinish</t>
  </si>
  <si>
    <t>a+ bathtub &amp; tile refinishing houston houston tx</t>
  </si>
  <si>
    <t>a+ bathtub &amp; tile refinishing houston hull street houston tx</t>
  </si>
  <si>
    <t>a+ bathtub and kitchen refinishing and repair conroe tx</t>
  </si>
  <si>
    <t>a+ bathtub refinishing houston</t>
  </si>
  <si>
    <t>a-touch of magic bathtub refinishing</t>
  </si>
  <si>
    <t>are bathtub refinishing fumes dangerous</t>
  </si>
  <si>
    <t>are dry bathtub refinishing fumes dangerous off gassing hot shower</t>
  </si>
  <si>
    <t>are dry bathtub refinishing fumes dangerous offgas hot shower</t>
  </si>
  <si>
    <t>can a bathtub be refinished more than once</t>
  </si>
  <si>
    <t>can a bathtub be refinished twice and how</t>
  </si>
  <si>
    <t>can a cast iron bathtub be refinished</t>
  </si>
  <si>
    <t>can a fibreglass bathtub be refinished</t>
  </si>
  <si>
    <t>can a plastic bathtub be refinished</t>
  </si>
  <si>
    <t>can a steel bathtub be refinished</t>
  </si>
  <si>
    <t>can a steel bathtub be refinished if it's rusted through</t>
  </si>
  <si>
    <t>can a vinyl bathtub be refinished</t>
  </si>
  <si>
    <t>can acrylic bathtubs be refinished</t>
  </si>
  <si>
    <t>can bathtubs be refinished twice</t>
  </si>
  <si>
    <t>can existing bathtubs be refinished</t>
  </si>
  <si>
    <t>can i refinish a bathtub</t>
  </si>
  <si>
    <t>can i refinish a fiberglass bathtub</t>
  </si>
  <si>
    <t>can i refinish my acrylic bathtub</t>
  </si>
  <si>
    <t>can i refinish my fiberglass bathtub</t>
  </si>
  <si>
    <t>can i refinish my own bathtub</t>
  </si>
  <si>
    <t>can my bathtub be refinished</t>
  </si>
  <si>
    <t>can nyou refinish an acrylic bathtub</t>
  </si>
  <si>
    <t>can resin be used to refinish a bathtub</t>
  </si>
  <si>
    <t>can u refinish a bathtub</t>
  </si>
  <si>
    <t>can you coat a bathtub to refinish it</t>
  </si>
  <si>
    <t>can you epoxy a bathtub after refinishing tub</t>
  </si>
  <si>
    <t>can you refinish a bathtub twice</t>
  </si>
  <si>
    <t>can you refinish a bathtub with paint</t>
  </si>
  <si>
    <t>can you refinish a refinished bathtub</t>
  </si>
  <si>
    <t>can you refinish acrylic bathtub and surround</t>
  </si>
  <si>
    <t>can you refinish acrylic bathtubs</t>
  </si>
  <si>
    <t>can you refinish an old bathtub</t>
  </si>
  <si>
    <t>can you refinish bathtub yourself</t>
  </si>
  <si>
    <t>can you refinish bathtubs</t>
  </si>
  <si>
    <t>can you refinish porcelain bathtub</t>
  </si>
  <si>
    <t>can you refinish your bathtub</t>
  </si>
  <si>
    <t>can you use your bathtub without refinishing it</t>
  </si>
  <si>
    <t>do bathtub refinishers use paint</t>
  </si>
  <si>
    <t>do bathtub refinishing smell toxic</t>
  </si>
  <si>
    <t>do bathtubs refinish by miracle method chip easily</t>
  </si>
  <si>
    <t>do diy bathroom bathtub refinishers really work</t>
  </si>
  <si>
    <t>do it yourself bathtub refinishing paint</t>
  </si>
  <si>
    <t>do it yourself bathtub refinishing paint &amp;amp</t>
  </si>
  <si>
    <t>do it yourself bathtub refinishing products</t>
  </si>
  <si>
    <t>do it yourself bathtub refinishing reviews</t>
  </si>
  <si>
    <t>do it yourself fiberglass bathtub refinishing</t>
  </si>
  <si>
    <t>do it yourself refinish bathtub</t>
  </si>
  <si>
    <t>do refinished bathtubs last</t>
  </si>
  <si>
    <t>do they recaulk when a bathtub is refinished</t>
  </si>
  <si>
    <t>does bathtub get refinished inside the drain</t>
  </si>
  <si>
    <t>does bathtub refinishing leave a lot of dust</t>
  </si>
  <si>
    <t>does home depot do bathtub refinishing</t>
  </si>
  <si>
    <t>does refinishing bathtub last long</t>
  </si>
  <si>
    <t>does refinishing bathtub use chemicals</t>
  </si>
  <si>
    <t>don't replace your bathtub refinish</t>
  </si>
  <si>
    <t>how are bathtubs refinished</t>
  </si>
  <si>
    <t>how can i refinish my bathtub</t>
  </si>
  <si>
    <t>how do i refinish a bathtub</t>
  </si>
  <si>
    <t>how do i refinish a cast iron bathtub</t>
  </si>
  <si>
    <t>how do i refinish a clawfoot bathtub</t>
  </si>
  <si>
    <t>how do i refinish a porcelain bathtub</t>
  </si>
  <si>
    <t>how do they refinish a bathtub</t>
  </si>
  <si>
    <t>how do u refinish a bathtub</t>
  </si>
  <si>
    <t>how do you prep a bathtub for refinishing</t>
  </si>
  <si>
    <t>how do you refinish a clawfoot bathtub</t>
  </si>
  <si>
    <t>how do you refinish a fiberglass bathtub</t>
  </si>
  <si>
    <t>how do you refinish a steel bathtub</t>
  </si>
  <si>
    <t>how do you refinish an old bathtub</t>
  </si>
  <si>
    <t>how hard is it to refinish a bathtub</t>
  </si>
  <si>
    <t>how hard is it to refinish a clawfoot bathtub</t>
  </si>
  <si>
    <t>how is a bathtub refinished</t>
  </si>
  <si>
    <t>how long are bathtub refinishing fumes dangerous</t>
  </si>
  <si>
    <t>how long do bathtub refinishing fumes last</t>
  </si>
  <si>
    <t>how long does a bathtub refinish take</t>
  </si>
  <si>
    <t>how long does a bathtub refinishing last</t>
  </si>
  <si>
    <t>how long does bathtub refinishing fumes last</t>
  </si>
  <si>
    <t>how long does bathtub refinishing take</t>
  </si>
  <si>
    <t>how long does refinished bathtub last</t>
  </si>
  <si>
    <t>how long does refinishing bathtub last</t>
  </si>
  <si>
    <t>how long does rustoleum bathtub refinishing last</t>
  </si>
  <si>
    <t>how long should i wait after having bathtub refinished</t>
  </si>
  <si>
    <t>how long will a refinished bathtub last</t>
  </si>
  <si>
    <t>how many square feet is a bathtub for refinishing</t>
  </si>
  <si>
    <t>how much bathtub refinishing goes on in north carolina</t>
  </si>
  <si>
    <t>how much cost to refinish a bathtub</t>
  </si>
  <si>
    <t>how much dies it cost to refinish a bathtub</t>
  </si>
  <si>
    <t>how much does bathtub refinishing cost angie's list</t>
  </si>
  <si>
    <t>how much does it caust to get your bathtub refinished</t>
  </si>
  <si>
    <t>how much does it cost for bathtub refinishing</t>
  </si>
  <si>
    <t>how much does it cost to have bathtub refinished</t>
  </si>
  <si>
    <t>how much does it cost to professionally refinish bathtub</t>
  </si>
  <si>
    <t>how much does it cost to refinish a clawfoot bathtub</t>
  </si>
  <si>
    <t>how much does it cost to refinish a porcelain bathtub</t>
  </si>
  <si>
    <t>how much does it cost to refinish an old bathtub</t>
  </si>
  <si>
    <t>how much does it cost to refinish bathtub</t>
  </si>
  <si>
    <t>how much does it cost to refinish my bathtub</t>
  </si>
  <si>
    <t>how much does it cost to refinish your bathtub</t>
  </si>
  <si>
    <t>how much does labor cost to refinish bathtub</t>
  </si>
  <si>
    <t>how much does refinishing a bathtub cost</t>
  </si>
  <si>
    <t>how much does refinishing bathtub cost</t>
  </si>
  <si>
    <t>how much for bathtub refinishing</t>
  </si>
  <si>
    <t>how much is a bathtub refinish</t>
  </si>
  <si>
    <t>how much is an average bathtub refinishing</t>
  </si>
  <si>
    <t>how much it cost to refinish a bathtub</t>
  </si>
  <si>
    <t>how much refinish bathtub</t>
  </si>
  <si>
    <t>how much should bathtub refinishing cost</t>
  </si>
  <si>
    <t>how much should it cost to refinish a bathtub</t>
  </si>
  <si>
    <t>how much should it cost to refinish and bathtub shower</t>
  </si>
  <si>
    <t>how much to charge to refinish a bathtub</t>
  </si>
  <si>
    <t>how much to have bathtub refinished</t>
  </si>
  <si>
    <t>how much to refinish clawfoot bathtub</t>
  </si>
  <si>
    <t>how much will cost to refinish bathtub</t>
  </si>
  <si>
    <t>how much worth to refinish a bathtub</t>
  </si>
  <si>
    <t>how refinish a bathtub</t>
  </si>
  <si>
    <t>how safe is porcelain bathtub refinishing</t>
  </si>
  <si>
    <t>how to bathtub refinishing</t>
  </si>
  <si>
    <t>how to easily refinish old bathtub</t>
  </si>
  <si>
    <t>how to easily refinish old bathtub tile</t>
  </si>
  <si>
    <t>how to fake a refinished bathtub</t>
  </si>
  <si>
    <t>how to fix a refinished bathtub</t>
  </si>
  <si>
    <t>how to polish a refinished bathtub</t>
  </si>
  <si>
    <t>how to prepare bathtub for refinishing</t>
  </si>
  <si>
    <t>how to professionally refinish bathtub</t>
  </si>
  <si>
    <t>how to recaulk a refinished bathtub</t>
  </si>
  <si>
    <t>how to refinish a acrylic bathtub</t>
  </si>
  <si>
    <t>how to refinish a almond vinyl bathtub</t>
  </si>
  <si>
    <t>how to refinish a bathtub - youtube</t>
  </si>
  <si>
    <t>how to refinish a bathtub methelyne chloride</t>
  </si>
  <si>
    <t>how to refinish a bathtub methylene chloride</t>
  </si>
  <si>
    <t>how to refinish a bathtub polishing stage</t>
  </si>
  <si>
    <t>how to refinish a bathtub shower</t>
  </si>
  <si>
    <t>how to refinish a bathtub shower replace tub shower</t>
  </si>
  <si>
    <t>how to refinish a bathtub spout</t>
  </si>
  <si>
    <t>how to refinish a bathtub surround</t>
  </si>
  <si>
    <t>how to refinish a bathtub that has been painted</t>
  </si>
  <si>
    <t>how to refinish a bathtub that has been redone before</t>
  </si>
  <si>
    <t>how to refinish a ceramic bathtub</t>
  </si>
  <si>
    <t>how to refinish a chipped bathtub</t>
  </si>
  <si>
    <t>how to refinish a claw foot bathtub</t>
  </si>
  <si>
    <t>how to refinish a faux marble bathtub with epoxy paint</t>
  </si>
  <si>
    <t>how to refinish a peeling bathtub</t>
  </si>
  <si>
    <t>how to refinish a steel bathtub</t>
  </si>
  <si>
    <t>how to refinish a vinyl bathtub</t>
  </si>
  <si>
    <t>how to refinish a white bathtub</t>
  </si>
  <si>
    <t>how to refinish an antique bathtub</t>
  </si>
  <si>
    <t>how to refinish an antique claw foot bathtub</t>
  </si>
  <si>
    <t>how to refinish an old bathtub diy</t>
  </si>
  <si>
    <t>how to refinish an old cast iron bathtub</t>
  </si>
  <si>
    <t>how to refinish an old clawfoot bathtub</t>
  </si>
  <si>
    <t>how to refinish an old metal bathtub</t>
  </si>
  <si>
    <t>how to refinish bathtub and tile</t>
  </si>
  <si>
    <t>how to refinish bathtub calk yourself</t>
  </si>
  <si>
    <t>how to refinish bathtub tiles</t>
  </si>
  <si>
    <t>how to refinish bathtub with holes cracks</t>
  </si>
  <si>
    <t>how to refinish bottom of bathtub</t>
  </si>
  <si>
    <t>how to refinish cast iron bathtubs</t>
  </si>
  <si>
    <t>how to refinish cultured marble bathtub</t>
  </si>
  <si>
    <t>how to refinish enamel bathtub</t>
  </si>
  <si>
    <t>how to refinish fiberglass bathtub</t>
  </si>
  <si>
    <t>how to refinish fiberglass bathtub yourself</t>
  </si>
  <si>
    <t>how to refinish inside of a bathtub</t>
  </si>
  <si>
    <t>how to refinish inside of bathtub</t>
  </si>
  <si>
    <t>how to refinish metal bathtub</t>
  </si>
  <si>
    <t>how to refinish my pelling bathtub</t>
  </si>
  <si>
    <t>how to refinish plastic bathtub</t>
  </si>
  <si>
    <t>how to refinish porceliad bathtub</t>
  </si>
  <si>
    <t>how to refinish stained bathtub</t>
  </si>
  <si>
    <t>how to refinish the bottom of a bathtub</t>
  </si>
  <si>
    <t>how to refinish tile bathtub</t>
  </si>
  <si>
    <t>how to refinish your bathtub diy</t>
  </si>
  <si>
    <t>how to refinish your own bathtub</t>
  </si>
  <si>
    <t>how to refinishing a bathtub</t>
  </si>
  <si>
    <t>how to refinishing bathtub</t>
  </si>
  <si>
    <t>how to refinishing fiberglass bathtub</t>
  </si>
  <si>
    <t>how to remove paint from bathtub refinishing from glass</t>
  </si>
  <si>
    <t>how to remove refinishing paint from bathtub</t>
  </si>
  <si>
    <t>how to remove scratches from refinished bathtub</t>
  </si>
  <si>
    <t>how to repair and refinish a clawfoot bathtub</t>
  </si>
  <si>
    <t>how to sand and refinish a bathtub</t>
  </si>
  <si>
    <t>how to spray refinish bathtub</t>
  </si>
  <si>
    <t>how to strip a refinished bathtub</t>
  </si>
  <si>
    <t>how to stripe refinish paint code from the bathtub</t>
  </si>
  <si>
    <t>how to tell if a bathtub has been refinished</t>
  </si>
  <si>
    <t>how to use rustoleum bathtub refinishing kit</t>
  </si>
  <si>
    <t>how well does bathtub refinishing work</t>
  </si>
  <si>
    <t>how.refinish your bathtub</t>
  </si>
  <si>
    <t>is bathtub refinishing manual labor</t>
  </si>
  <si>
    <t>is bathtub refinishing smell toxic for baby</t>
  </si>
  <si>
    <t>is it a good idea to refinish a bathtub</t>
  </si>
  <si>
    <t>is it ok to refinish a bathtub</t>
  </si>
  <si>
    <t>is it possible to refinish a bathtub</t>
  </si>
  <si>
    <t>is it safe to bathe in a refinished bathtub</t>
  </si>
  <si>
    <t>is the refinishing on a bathtub paint</t>
  </si>
  <si>
    <t>is tub cast 5000 bathtub refinishing kit any good</t>
  </si>
  <si>
    <t>por-tec bathtub refinishing</t>
  </si>
  <si>
    <t>por-tec bathtub refinishing solution</t>
  </si>
  <si>
    <t>should i leave the house after bathtub refinishing</t>
  </si>
  <si>
    <t>should you choose bathtub refinishing or a liner angie's list</t>
  </si>
  <si>
    <t>should you refinish a bathtub</t>
  </si>
  <si>
    <t>what all can be used to refinish bathtub</t>
  </si>
  <si>
    <t>what chemicals are used in bathtub refinishing</t>
  </si>
  <si>
    <t>what colors can a bathtub be refinished in</t>
  </si>
  <si>
    <t>what consists of the miracle method of bathtub refinishing</t>
  </si>
  <si>
    <t>what does bathtub refinishing cost</t>
  </si>
  <si>
    <t>what does bathtub refinishing do</t>
  </si>
  <si>
    <t>what does it cost to refinish old clawfoot bathtub</t>
  </si>
  <si>
    <t>what does refinish bathtub mean</t>
  </si>
  <si>
    <t>what is best bathtub refinishing process</t>
  </si>
  <si>
    <t>what is best to use to refinish bathtub</t>
  </si>
  <si>
    <t>what is best way to refinish an iron bathtub</t>
  </si>
  <si>
    <t>what is bodyworks bathtub refinisher made of</t>
  </si>
  <si>
    <t>what is miracle method bathtub refinish</t>
  </si>
  <si>
    <t>what is miracle method bathtub refinishing</t>
  </si>
  <si>
    <t>what is the average cost in refinishing a bathtub</t>
  </si>
  <si>
    <t>what is the best bathtub refinishing</t>
  </si>
  <si>
    <t>what is the best refinishing bathtub kit</t>
  </si>
  <si>
    <t>what is the best way to refinish a porcelain bathtub</t>
  </si>
  <si>
    <t>what is the correct word refurbish or refinish a bathtub</t>
  </si>
  <si>
    <t>what is used to refinish bathtubs</t>
  </si>
  <si>
    <t>what kind of paint to refinish a bathtub</t>
  </si>
  <si>
    <t>what kind of paint to refinish bathtub</t>
  </si>
  <si>
    <t>what kind of paint to use to refinish a bathtub</t>
  </si>
  <si>
    <t>what license do you need in nys to refinish bathtubs</t>
  </si>
  <si>
    <t>what sandpaper for refinishing bathtub</t>
  </si>
  <si>
    <t>what should it cost to refinish a bathtub</t>
  </si>
  <si>
    <t>what stripper to use refinish bathtub</t>
  </si>
  <si>
    <t>what to do when bathtub refinishing starts peeling off</t>
  </si>
  <si>
    <t>what type of bathtubs can be refinished</t>
  </si>
  <si>
    <t>what's it called when you refinish your bathtub</t>
  </si>
  <si>
    <t>when can i return home after bathtub refinishing</t>
  </si>
  <si>
    <t>when to replace or refinish bathtub</t>
  </si>
  <si>
    <t>where can i get my bathtub faucet hand refinished</t>
  </si>
  <si>
    <t>where to buy aquafinish bathtub and tile refinishing kit</t>
  </si>
  <si>
    <t>which is better a bathtub liner or refinishing</t>
  </si>
  <si>
    <t>which is the best bathtub refinishing firm</t>
  </si>
  <si>
    <t>who does bathtub refinishing near me</t>
  </si>
  <si>
    <t>who makes aquafinish bathtub refinishing</t>
  </si>
  <si>
    <t>who refinishes bathtubs in harrogate tn</t>
  </si>
  <si>
    <t>who refinishes clawfoot bathtubs</t>
  </si>
  <si>
    <t>who refinishes clawfoot bathtubs in minnesota</t>
  </si>
  <si>
    <t>why bathtub refinishing doesn't work</t>
  </si>
  <si>
    <t>why does the bathtub refinishing job bubble</t>
  </si>
  <si>
    <t>why refinish a bathtub</t>
  </si>
  <si>
    <t>bathtub refinishing near me</t>
  </si>
  <si>
    <t>bathtub refinishing kit</t>
  </si>
  <si>
    <t>Sitelinks, Image, Video, Video carousel, Related searches, Popular products</t>
  </si>
  <si>
    <t>bathtub refinishers near me</t>
  </si>
  <si>
    <t>Sitelinks, Image pack, Video, Local pack, Related searches, Ads bottom</t>
  </si>
  <si>
    <t>bathtub and tile refinishing</t>
  </si>
  <si>
    <t>Sitelinks, Image pack, Video, People also ask, Local pack, Related searches, Popular products, Ads bottom</t>
  </si>
  <si>
    <t>bathtub and tile refinishing kit</t>
  </si>
  <si>
    <t>Sitelinks, Image, Video, Video carousel, People also ask, Discussions and forums, Explore brands, Related searches, Popular products</t>
  </si>
  <si>
    <t>bathtub refinishing co</t>
  </si>
  <si>
    <t>Sitelinks, Image, Video, People also ask, Local pack, Related searches, Things to know</t>
  </si>
  <si>
    <t>bathtub refinishing paint</t>
  </si>
  <si>
    <t>Image, Image pack, Video, Video carousel, Discussions and forums, Related searches, Popular products</t>
  </si>
  <si>
    <t>best bathtub refinishing kit</t>
  </si>
  <si>
    <t>Sitelinks, AI Overview, Image pack, Video, Video carousel, People also ask, Discussions and forums, Related searches</t>
  </si>
  <si>
    <t>diy bathtub refinishing kit</t>
  </si>
  <si>
    <t>Sitelinks, Image pack, Video, Video carousel, People also ask, Discussions and forums, Related searches, Popular products</t>
  </si>
  <si>
    <t>ekopel 2k bathtub refinishing kit</t>
  </si>
  <si>
    <t>Sitelinks, Video, Video carousel, People also ask, Knowledge panel, Discussions and forums, Related searches</t>
  </si>
  <si>
    <t>refinishing bathtubs cost</t>
  </si>
  <si>
    <t>Featured snippet, Sitelinks, Video, Video carousel, People also ask, Related searches, Popular products</t>
  </si>
  <si>
    <t>bathtub and shower refinishing</t>
  </si>
  <si>
    <t>Sitelinks, Video, Video carousel, People also ask, Local pack, Related searches, Popular products, Ads bottom</t>
  </si>
  <si>
    <t>bathtub refinished</t>
  </si>
  <si>
    <t>Sitelinks, Image pack, Video, Local pack, Related searches, Popular products, See results about</t>
  </si>
  <si>
    <t>bathtub refinishing companies</t>
  </si>
  <si>
    <t>cast iron bathtub refinishing</t>
  </si>
  <si>
    <t>Sitelinks, Video, Video carousel, People also ask, Local pack, Related searches, Things to know, Ads bottom, Ads middle</t>
  </si>
  <si>
    <t>bathtub refinishing before and after</t>
  </si>
  <si>
    <t>Sitelinks, Image, Image pack, Video, People also ask, Discussions and forums, Related searches</t>
  </si>
  <si>
    <t>bathtub refinishing kits</t>
  </si>
  <si>
    <t>bathtub refinishing services</t>
  </si>
  <si>
    <t>Sitelinks, Image pack, Local pack, Related searches</t>
  </si>
  <si>
    <t>cast iron bathtub refinishing near me</t>
  </si>
  <si>
    <t>Image pack, Video, Local pack, Related searches</t>
  </si>
  <si>
    <t>refinish bathtub cost</t>
  </si>
  <si>
    <t>bathtub refinishing san diego</t>
  </si>
  <si>
    <t>bathworks bathtub refinishing kit</t>
  </si>
  <si>
    <t>Sitelinks, Image pack, Video, Video carousel, Knowledge panel, Discussions and forums, Related searches, Popular products</t>
  </si>
  <si>
    <t>cost to refinish bathtub</t>
  </si>
  <si>
    <t>fiberglass bathtub refinishing cost</t>
  </si>
  <si>
    <t>Sitelinks, AI Overview, Video, Discussions and forums, Related searches, Ads bottom</t>
  </si>
  <si>
    <t>pictures of refinished bathtubs</t>
  </si>
  <si>
    <t>refinishing a porcelain bathtub</t>
  </si>
  <si>
    <t>bathtub refinishing boston</t>
  </si>
  <si>
    <t>Sitelinks, Image pack, Video, Local pack, Discussions and forums, Related searches</t>
  </si>
  <si>
    <t>bathtub refinishing costs</t>
  </si>
  <si>
    <t>Sitelinks, AI Overview, Image pack, Video, Discussions and forums, Related searches, Popular products</t>
  </si>
  <si>
    <t>bathtub refinishing dallas tx</t>
  </si>
  <si>
    <t>Sitelinks, Image, Video, People also ask, Local pack, Discussions and forums, Related searches</t>
  </si>
  <si>
    <t>bathtub refinishing denver</t>
  </si>
  <si>
    <t>Video, Local pack, Related searches, Ads bottom</t>
  </si>
  <si>
    <t>bathtub refinishing nj</t>
  </si>
  <si>
    <t>Sitelinks, Image, Video, Local pack, Related searches, Ads bottom</t>
  </si>
  <si>
    <t>bathtub refinishing products</t>
  </si>
  <si>
    <t>bathtub refinishing spray</t>
  </si>
  <si>
    <t>Sitelinks, Image, Video, Video carousel, People also ask, Discussions and forums, Related searches, Popular products, Ads bottom</t>
  </si>
  <si>
    <t>cost to refinish a bathtub</t>
  </si>
  <si>
    <t>ekopel bathtub refinishing kit</t>
  </si>
  <si>
    <t>Sitelinks, Image pack, Video, Video carousel, People also ask, Knowledge panel, Related searches, Popular products, Ads bottom</t>
  </si>
  <si>
    <t>fiberglass bathtub refinishing kit</t>
  </si>
  <si>
    <t>refinish a bathtub</t>
  </si>
  <si>
    <t>Sitelinks, AI Overview, Image pack, Video, Video carousel, People also ask, Local pack, Discussions and forums, Related searches, See results about, Things to know, Ads bottom</t>
  </si>
  <si>
    <t>refinish bathtubs cost</t>
  </si>
  <si>
    <t>Featured snippet, Sitelinks, Image pack, Video, Related searches</t>
  </si>
  <si>
    <t>refinished bathtub</t>
  </si>
  <si>
    <t>refinishing a bathtub</t>
  </si>
  <si>
    <t>Sitelinks, AI Overview, Image pack, Video, Local pack, Discussions and forums, Related searches, See results about, Ads bottom, Ads middle</t>
  </si>
  <si>
    <t>refinishing bathtubs</t>
  </si>
  <si>
    <t>Sitelinks, Image pack, Video, Local pack, Related searches, Popular products, See results about, Ads bottom, Ads middle</t>
  </si>
  <si>
    <t>refinishing fiberglass bathtub</t>
  </si>
  <si>
    <t>Sitelinks, AI Overview, Image pack, Video, Video carousel, Short videos, Local pack, Related searches, Popular products</t>
  </si>
  <si>
    <t>bathtub refinish kit</t>
  </si>
  <si>
    <t>Sitelinks, Image, Image pack, Video, Video carousel, People also ask, Discussions and forums, Related searches, Popular products, Things to know</t>
  </si>
  <si>
    <t>bathtub refinishing atlanta</t>
  </si>
  <si>
    <t>bathtub refinishing chicago</t>
  </si>
  <si>
    <t>bathtub refinishing companies near me</t>
  </si>
  <si>
    <t>Sitelinks, People also ask, Local pack, Related searches, Ads bottom</t>
  </si>
  <si>
    <t>bathtub refinishing contractors</t>
  </si>
  <si>
    <t>Sitelinks, Video, People also ask, Local pack, Discussions and forums, Related searches, Ads bottom</t>
  </si>
  <si>
    <t>bathtub refinishing dallas</t>
  </si>
  <si>
    <t>bathtub refinishing houston</t>
  </si>
  <si>
    <t>Sitelinks, Image pack, Video, People also ask, Local pack, Related searches, Ads bottom</t>
  </si>
  <si>
    <t>bathtub refinishing kit home depot</t>
  </si>
  <si>
    <t>Sitelinks, Image, Image pack, Video, Related searches, Popular products</t>
  </si>
  <si>
    <t>cast iron bathtub refinishing kit</t>
  </si>
  <si>
    <t>Sitelinks, AI Overview, Image pack, Video, Video carousel, People also ask, Discussions and forums, Related searches, Popular products</t>
  </si>
  <si>
    <t>cost of bathtub refinishing</t>
  </si>
  <si>
    <t>cost of refinishing a bathtub</t>
  </si>
  <si>
    <t>refinish bathtub near me</t>
  </si>
  <si>
    <t>refinish bathtubs</t>
  </si>
  <si>
    <t>Sitelinks, Image pack, Video, Local pack, Related searches, See results about</t>
  </si>
  <si>
    <t>rustoleum bathtub refinishing kit</t>
  </si>
  <si>
    <t>Sitelinks, Image, Image pack, Video, Video carousel, Knowledge panel, Discussions and forums, Related searches, Popular products</t>
  </si>
  <si>
    <t>bathtub refinishing boise</t>
  </si>
  <si>
    <t>bathtub refinishing boston ma</t>
  </si>
  <si>
    <t>Sitelinks, Image, Video, People also ask, Local pack, Related searches, Ads bottom</t>
  </si>
  <si>
    <t>bathtub refinishing in my area</t>
  </si>
  <si>
    <t>Sitelinks, AI Overview, Video, People also ask, Local pack, Related searches</t>
  </si>
  <si>
    <t>bathtub refinishing new york</t>
  </si>
  <si>
    <t>bathtub refinishing st louis</t>
  </si>
  <si>
    <t>bathtub refinishing tampa</t>
  </si>
  <si>
    <t>cast iron bathtub refinishing cost</t>
  </si>
  <si>
    <t>Sitelinks, AI Overview, Video, People also ask, Discussions and forums, Related searches, Ads bottom</t>
  </si>
  <si>
    <t>chicago bathtub refinishing</t>
  </si>
  <si>
    <t>Sitelinks, Video, People also ask, Local pack, Ads bottom</t>
  </si>
  <si>
    <t>florida bathtub refinishing</t>
  </si>
  <si>
    <t>Navigational, Commercial</t>
  </si>
  <si>
    <t>refinish bathtub kit</t>
  </si>
  <si>
    <t>Sitelinks, Image, Image pack, Video, Video carousel, People also ask, Discussions and forums, Related searches, Popular products</t>
  </si>
  <si>
    <t>affordable bathtub refinishing</t>
  </si>
  <si>
    <t>armoglaze bathtub refinishing kit</t>
  </si>
  <si>
    <t>Sitelinks, Image, Image pack, Video, Knowledge panel, Related searches, Popular products</t>
  </si>
  <si>
    <t>bathtub refinishers in my area</t>
  </si>
  <si>
    <t>Video, Local pack, Related searches</t>
  </si>
  <si>
    <t>bathtub refinishing &amp; repair</t>
  </si>
  <si>
    <t>Sitelinks, Image, Video, Video carousel, People also ask, Local pack, Related searches, Ads bottom</t>
  </si>
  <si>
    <t>bathtub refinishing atlanta ga</t>
  </si>
  <si>
    <t>Sitelinks, Image, Image pack, Video, Local pack, Discussions and forums, Related searches</t>
  </si>
  <si>
    <t>bathtub refinishing boise idaho</t>
  </si>
  <si>
    <t>Image pack, Video, Local pack, Discussions and forums, Related searches</t>
  </si>
  <si>
    <t>bathtub refinishing charlotte</t>
  </si>
  <si>
    <t>bathtub refinishing charlotte nc</t>
  </si>
  <si>
    <t>bathtub refinishing chicago il</t>
  </si>
  <si>
    <t>Sitelinks, Image, Image pack, Video, Local pack, Related searches, Ads bottom, Ads middle</t>
  </si>
  <si>
    <t>bathtub refinishing colors</t>
  </si>
  <si>
    <t>Sitelinks, AI Overview, Image, Image pack, Video, People also ask, Related searches, Popular products</t>
  </si>
  <si>
    <t>bathtub refinishing fort worth</t>
  </si>
  <si>
    <t>bathtub refinishing kit lowes</t>
  </si>
  <si>
    <t>Sitelinks, Image, Image pack, Video, Related searches</t>
  </si>
  <si>
    <t>bathtub refinishing miami</t>
  </si>
  <si>
    <t>bathtub refinishing orlando</t>
  </si>
  <si>
    <t>bathtub refinishing phoenix</t>
  </si>
  <si>
    <t>Sitelinks, Video, People also ask, Knowledge panel, Related searches</t>
  </si>
  <si>
    <t>bathtub refinishing portland</t>
  </si>
  <si>
    <t>bathtub refinishing portland oregon</t>
  </si>
  <si>
    <t>Sitelinks, Image pack, Video, People also ask, Local pack, Discussions and forums, Related searches</t>
  </si>
  <si>
    <t>bathtub refinishing pros and cons</t>
  </si>
  <si>
    <t>bathtub refinishing riverside</t>
  </si>
  <si>
    <t>bathtub refinishing sacramento</t>
  </si>
  <si>
    <t>bathtub refinishing st louis mo</t>
  </si>
  <si>
    <t>Sitelinks, Image, Video, People also ask, Local pack, Discussions and forums, Related searches, Ads bottom</t>
  </si>
  <si>
    <t>bathtub refinishing tampa fl</t>
  </si>
  <si>
    <t>Sitelinks, Image, Image pack, Video, People also ask, Local pack, Discussions and forums, Related searches, Ads bottom, Ads middle</t>
  </si>
  <si>
    <t>bathtub refinishing tucson</t>
  </si>
  <si>
    <t>bathtub shower refinishing</t>
  </si>
  <si>
    <t>Sitelinks, Image pack, Video, People also ask, Local pack, Discussions and forums, Related searches, Popular products, See results about</t>
  </si>
  <si>
    <t>bathtub sink refinishing</t>
  </si>
  <si>
    <t>Sitelinks, AI Overview, Image pack, Video, Video carousel, Discussions and forums, Related searches, Popular products, Ads bottom</t>
  </si>
  <si>
    <t>like new bathtub refinishing</t>
  </si>
  <si>
    <t>metal bathtub refinishing</t>
  </si>
  <si>
    <t>Image pack, Video, People also ask, Local pack, Related searches, Popular products</t>
  </si>
  <si>
    <t>refinish old bathtub</t>
  </si>
  <si>
    <t>Sitelinks, AI Overview, Image pack, Video, Local pack, Discussions and forums, Related searches</t>
  </si>
  <si>
    <t>refinishing bathtubs near me</t>
  </si>
  <si>
    <t>Sitelinks, Video, People also ask, Local pack, Related searches, Ads top, Ads bottom</t>
  </si>
  <si>
    <t>rust oleum bathtub refinishing kit</t>
  </si>
  <si>
    <t>Sitelinks, Video, Video carousel, People also ask, Knowledge panel, Discussions and forums, Related searches, Popular products</t>
  </si>
  <si>
    <t>spray bathtub refinishing kit</t>
  </si>
  <si>
    <t>Image, Image pack, Video, Discussions and forums, Related searches, Popular products</t>
  </si>
  <si>
    <t>bathtub king refinishing</t>
  </si>
  <si>
    <t>bathtub refinishing and repair</t>
  </si>
  <si>
    <t>Sitelinks, Image, Video, Video carousel, Local pack, Discussions and forums, Related searches, Ads bottom</t>
  </si>
  <si>
    <t>bathtub refinishing austin</t>
  </si>
  <si>
    <t>Sitelinks, Video, People also ask, Knowledge panel, Discussions and forums, Related searches</t>
  </si>
  <si>
    <t>bathtub refinishing austin tx</t>
  </si>
  <si>
    <t>Sitelinks, Image, Video, Video carousel, People also ask, Local pack, Discussions and forums, Related searches</t>
  </si>
  <si>
    <t>bathtub refinishing home depot</t>
  </si>
  <si>
    <t>bathtub refinishing houston tx</t>
  </si>
  <si>
    <t>Image, Image pack, Video, Local pack, Related searches</t>
  </si>
  <si>
    <t>bathtub refinishing jacksonville fl</t>
  </si>
  <si>
    <t>bathtub refinishing nyc</t>
  </si>
  <si>
    <t>bathtub refinishing orlando fl</t>
  </si>
  <si>
    <t>bathtub refinishing pittsburgh</t>
  </si>
  <si>
    <t>bathtub refinishing pittsburgh pa</t>
  </si>
  <si>
    <t>Sitelinks, Image, Video, Local pack, Related searches</t>
  </si>
  <si>
    <t>bathtub refinishing portland or</t>
  </si>
  <si>
    <t>Sitelinks, Image, Image pack, Video, People also ask, Local pack, Discussions and forums, Related searches, Ads bottom</t>
  </si>
  <si>
    <t>bathtub refinishing san antonio tx</t>
  </si>
  <si>
    <t>bathtub refinishing seattle</t>
  </si>
  <si>
    <t>bathtub refinishing st. louis</t>
  </si>
  <si>
    <t>Sitelinks, Video, Local pack, Discussions and forums, Related searches</t>
  </si>
  <si>
    <t>bathtub refinishing training classes</t>
  </si>
  <si>
    <t>Sitelinks, Video, Video carousel, Related searches</t>
  </si>
  <si>
    <t>bathtubs repair &amp; refinish</t>
  </si>
  <si>
    <t>Sitelinks, AI Overview, Image, Video, Local pack, Related searches</t>
  </si>
  <si>
    <t>best bathtub refinishing method</t>
  </si>
  <si>
    <t>Sitelinks, AI Overview, Video, Video carousel, Discussions and forums, Related searches, Ads bottom</t>
  </si>
  <si>
    <t>clawfoot bathtub refinishing</t>
  </si>
  <si>
    <t>Sitelinks, Video, Video carousel, People also ask, Local pack, Related searches, Popular products</t>
  </si>
  <si>
    <t>clawfoot bathtub refinishing near me</t>
  </si>
  <si>
    <t>commercial bathtub refinishing</t>
  </si>
  <si>
    <t>fiberglass bathtub refinishing near me</t>
  </si>
  <si>
    <t>Sitelinks, Video, Local pack, Related searches, Ads bottom, Ads middle</t>
  </si>
  <si>
    <t>home depot bathtub refinishing kit</t>
  </si>
  <si>
    <t>iron bathtub refinishing</t>
  </si>
  <si>
    <t>Sitelinks, Image pack, Video, People also ask, Local pack, Related searches, Popular products, Ads top, Ads bottom, Ads middle</t>
  </si>
  <si>
    <t>miracle method bathtub refinishing</t>
  </si>
  <si>
    <t>Navigational, Transactional</t>
  </si>
  <si>
    <t>one day bathtub refinishing</t>
  </si>
  <si>
    <t>Sitelinks, Video, Video carousel, People also ask, Local pack, Discussions and forums, Related searches, Popular products, Ads bottom</t>
  </si>
  <si>
    <t>paint for bathtub refinishing</t>
  </si>
  <si>
    <t>AI Overview, Image, Image pack, Video, Discussions and forums, Related searches, Popular products</t>
  </si>
  <si>
    <t>plastic bathtub refinishing kit</t>
  </si>
  <si>
    <t>Image, Image pack, Video, Discussions and forums, Related searches</t>
  </si>
  <si>
    <t>porcelain bathtub refinishing kit</t>
  </si>
  <si>
    <t>refinish a bathtub diy</t>
  </si>
  <si>
    <t>Sitelinks, AI Overview, Image, Video, Video carousel, Short videos, Discussions and forums, Related searches</t>
  </si>
  <si>
    <t>refinish bathtubs near me</t>
  </si>
  <si>
    <t>refinishing bathtub boston</t>
  </si>
  <si>
    <t>sharon bathtub refinishing</t>
  </si>
  <si>
    <t>AI Overview, Image pack, Video, Local pack, Related searches</t>
  </si>
  <si>
    <t>wvh bathtub refinishing</t>
  </si>
  <si>
    <t>Navigational</t>
  </si>
  <si>
    <t>Sitelinks, Video, People also ask, Knowledge panel</t>
  </si>
  <si>
    <t>24 hour bathtub refinishing</t>
  </si>
  <si>
    <t>Sitelinks, AI Overview, Image, Image pack, Video, People also ask, Local pack, Related searches, Ads bottom</t>
  </si>
  <si>
    <t>american bathtub refinishers</t>
  </si>
  <si>
    <t>american bathtub refinishers seattle</t>
  </si>
  <si>
    <t>AI Overview, Video, People also ask, Local pack, Related searches</t>
  </si>
  <si>
    <t>antique bathtub refinishing</t>
  </si>
  <si>
    <t>AI Overview, Image, Image pack, Video, Video carousel, People also ask, Related searches, Popular products, Ads bottom</t>
  </si>
  <si>
    <t>auburndale bathtub refinishing</t>
  </si>
  <si>
    <t>Image, Video, Local pack, Related searches, Popular products</t>
  </si>
  <si>
    <t>bath mat for refinished bathtub</t>
  </si>
  <si>
    <t>Sitelinks, AI Overview, Image, Video, Video carousel, Discussions and forums, Related searches, Popular products</t>
  </si>
  <si>
    <t>bathtub diy refinishing</t>
  </si>
  <si>
    <t>Featured snippet, Sitelinks, Image, Video, Video carousel, Short videos, People also ask, Discussions and forums, Related searches</t>
  </si>
  <si>
    <t>bathtub epoxy refinishing</t>
  </si>
  <si>
    <t>Image pack, Video, People also ask, Discussions and forums, Related searches, Popular products</t>
  </si>
  <si>
    <t>bathtub epoxy refinishing kit</t>
  </si>
  <si>
    <t>Sitelinks, Image, Image pack, Video, People also ask, Discussions and forums, Related searches, Popular products</t>
  </si>
  <si>
    <t>bathtub refinish cost</t>
  </si>
  <si>
    <t>Sitelinks, AI Overview, Image pack, Video, Video carousel, Discussions and forums, Related searches, Ads bottom</t>
  </si>
  <si>
    <t>bathtub refinishers association</t>
  </si>
  <si>
    <t>AI Overview, Image, Image pack, Video, Video carousel, Local pack</t>
  </si>
  <si>
    <t>bathtub refinishing and fiberglass expert</t>
  </si>
  <si>
    <t>Video, Video carousel, People also ask, Local pack, Related searches, Ads bottom</t>
  </si>
  <si>
    <t>bathtub refinishing company</t>
  </si>
  <si>
    <t>bathtub refinishing cost estimate</t>
  </si>
  <si>
    <t>bathtub refinishing detroit</t>
  </si>
  <si>
    <t>Sitelinks, Video, People also ask, Local pack, Discussions and forums, Related searches, Popular products</t>
  </si>
  <si>
    <t>bathtub refinishing fiberglass</t>
  </si>
  <si>
    <t>Image pack, Video, People also ask, Local pack, Related searches, Ads bottom, Ads middle</t>
  </si>
  <si>
    <t>bathtub refinishing fort lauderdale</t>
  </si>
  <si>
    <t>bathtub refinishing indianapolis</t>
  </si>
  <si>
    <t>bathtub refinishing jacksonville</t>
  </si>
  <si>
    <t>bathtub refinishing las vegas</t>
  </si>
  <si>
    <t>bathtub refinishing minneapolis</t>
  </si>
  <si>
    <t>bathtub refinishing new jersey</t>
  </si>
  <si>
    <t>Sitelinks, Image, Image pack, Local pack, Discussions and forums, Related searches</t>
  </si>
  <si>
    <t>bathtub refinishing of detroit</t>
  </si>
  <si>
    <t>Sitelinks, Image pack, Video, Video carousel, People also ask, Local pack, Discussions and forums, Related searches, Ads bottom</t>
  </si>
  <si>
    <t>bathtub refinishing philadelphia</t>
  </si>
  <si>
    <t>Image pack, Video, People also ask, Local pack, Related searches</t>
  </si>
  <si>
    <t>bathtub refinishing phoenix az</t>
  </si>
  <si>
    <t>bathtub refinishing price</t>
  </si>
  <si>
    <t>Featured snippet, Sitelinks, Video, Video carousel, People also ask, Discussions and forums, Related searches, Popular products, Ads bottom</t>
  </si>
  <si>
    <t>bathtub refinishing problems</t>
  </si>
  <si>
    <t>Sitelinks, AI Overview, Video, Video carousel, Discussions and forums, Related searches</t>
  </si>
  <si>
    <t>bathtub refinishing process</t>
  </si>
  <si>
    <t>bathtub refinishing raleigh</t>
  </si>
  <si>
    <t>bathtub refinishing raleigh nc</t>
  </si>
  <si>
    <t>bathtub refinishing repair</t>
  </si>
  <si>
    <t>Sitelinks, Video, Video carousel, People also ask, Local pack, Discussions and forums, Related searches, Ads bottom</t>
  </si>
  <si>
    <t>bathtub refinishing sacramento ca</t>
  </si>
  <si>
    <t>bathtub refinishing supplies</t>
  </si>
  <si>
    <t>Sitelinks, Image, Video, Video carousel, People also ask, Discussions and forums, Related searches, Popular products</t>
  </si>
  <si>
    <t>bathtub refinishing technician</t>
  </si>
  <si>
    <t>bathtub refinishing training</t>
  </si>
  <si>
    <t>Sitelinks, AI Overview, Image pack, Video, Video carousel, Related searches</t>
  </si>
  <si>
    <t>bathtub refinishing tulsa</t>
  </si>
  <si>
    <t>Sitelinks, Image pack, Video, People also ask, Local pack, Related searches</t>
  </si>
  <si>
    <t>bathtub refinishing vs replacement</t>
  </si>
  <si>
    <t>bathtub refinishing walnut creek</t>
  </si>
  <si>
    <t>Video, Video carousel, Local pack, Related searches</t>
  </si>
  <si>
    <t>bathtub refinishing warranty</t>
  </si>
  <si>
    <t>bathtub repair and refinish</t>
  </si>
  <si>
    <t>best bathtub refinishing</t>
  </si>
  <si>
    <t>Sitelinks, Image pack, Video, Video carousel, Local pack, Discussions and forums, Related searches</t>
  </si>
  <si>
    <t>best way to refinish a bathtub</t>
  </si>
  <si>
    <t>classic bathtub refinishing</t>
  </si>
  <si>
    <t>clawfoot bathtub refinishing cost</t>
  </si>
  <si>
    <t>clawfoot bathtub refinishing kit</t>
  </si>
  <si>
    <t>Sitelinks, Image pack, Video, Video carousel, People also ask, Popular products, Ads bottom</t>
  </si>
  <si>
    <t>companies that refinish bathtubs</t>
  </si>
  <si>
    <t>Sitelinks, Video, Video carousel, Local pack, Related searches, Ads bottom</t>
  </si>
  <si>
    <t>cost of miracle method bathtub refinishing</t>
  </si>
  <si>
    <t>Sitelinks, AI Overview, Image pack, Video, People also ask, Related searches, Ads bottom</t>
  </si>
  <si>
    <t>cost of refinishing bathtub</t>
  </si>
  <si>
    <t>Sitelinks, AI Overview, Video, Video carousel, Related searches, Ads bottom</t>
  </si>
  <si>
    <t>cost to have bathtub refinished</t>
  </si>
  <si>
    <t>Sitelinks, AI Overview, Video, Video carousel, Discussions and forums, Related searches, Ads bottom, Ads middle</t>
  </si>
  <si>
    <t>ekopel pour on bathtub refinishing kit</t>
  </si>
  <si>
    <t>Sitelinks, Image pack, Video, Discussions and forums, Related searches, Popular products, See results about</t>
  </si>
  <si>
    <t>epoxy bathtub refinishing</t>
  </si>
  <si>
    <t>Sitelinks, Image pack, Video, People also ask, Local pack, Discussions and forums, Related searches, Popular products</t>
  </si>
  <si>
    <t>glaze bathtub refinishing</t>
  </si>
  <si>
    <t>Sitelinks, Video, Video carousel, People also ask, Local pack, Discussions and forums, Related searches, Popular products, See results about</t>
  </si>
  <si>
    <t>hotel bathtub refinishing</t>
  </si>
  <si>
    <t>Sitelinks, AI Overview, Image, Video, Video carousel, Local pack, Related searches</t>
  </si>
  <si>
    <t>jacksonville fl bathtub refinishing</t>
  </si>
  <si>
    <t>jersey bathtub refinishing</t>
  </si>
  <si>
    <t>Sitelinks, Video, Knowledge panel, Related searches</t>
  </si>
  <si>
    <t>miracle method bathtub refinishing cost</t>
  </si>
  <si>
    <t>newton bathtub refinishing</t>
  </si>
  <si>
    <t>AI Overview, Image, Image pack, Video, Video carousel, People also ask, Local pack, Related searches, Ads bottom</t>
  </si>
  <si>
    <t>north reading bathtub refinishing</t>
  </si>
  <si>
    <t>AI Overview, Image, Image pack, Video, People also ask, Local pack, Related searches</t>
  </si>
  <si>
    <t>odorless bathtub refinishing</t>
  </si>
  <si>
    <t>Sitelinks, Image pack, Video, Local pack, Discussions and forums, Related searches, Popular products</t>
  </si>
  <si>
    <t>pittsburgh bathtub refinishing</t>
  </si>
  <si>
    <t>porcelain bathtub refinishing cost</t>
  </si>
  <si>
    <t>porcelain bathtub refinishing near me</t>
  </si>
  <si>
    <t>refinish my bathtub</t>
  </si>
  <si>
    <t>refinish plastic bathtub</t>
  </si>
  <si>
    <t>Sitelinks, AI Overview, Image pack, Video, Video carousel, Local pack, Related searches, Ads bottom</t>
  </si>
  <si>
    <t>refinish porcelain bathtub</t>
  </si>
  <si>
    <t>Sitelinks, AI Overview, Image pack, Video, Video carousel, People also ask, Local pack, Discussions and forums, Related searches, Ads bottom</t>
  </si>
  <si>
    <t>refinishing a bathtub diy</t>
  </si>
  <si>
    <t>refinishing antique clawfoot bathtub</t>
  </si>
  <si>
    <t>refinishing bathtub cost</t>
  </si>
  <si>
    <t>Sitelinks, AI Overview, Image, Video, Video carousel, Discussions and forums, Related searches, Ads bottom</t>
  </si>
  <si>
    <t>refinishing bathtubs yourself</t>
  </si>
  <si>
    <t>AI Overview, Image, Image pack, Video, Video carousel, Short videos, People also ask, Local pack, Discussions and forums, Related searches, Popular products</t>
  </si>
  <si>
    <t>refinishing cast iron bathtub</t>
  </si>
  <si>
    <t>rustoleum bathtub refinishing</t>
  </si>
  <si>
    <t>Sitelinks, Video, Video carousel, Short videos, People also ask, Knowledge panel, Discussions and forums, Related searches</t>
  </si>
  <si>
    <t>steel bathtub refinishing</t>
  </si>
  <si>
    <t>true glaze bathtub refinishing</t>
  </si>
  <si>
    <t>wrentham bathtub refinishing</t>
  </si>
  <si>
    <t>AI Overview, Image, Image pack, Video, Local pack, Related searches</t>
  </si>
  <si>
    <t>acrylic bathtub refinishing kit</t>
  </si>
  <si>
    <t>arlington bathtub refinishing</t>
  </si>
  <si>
    <t>average cost to refinish a bathtub</t>
  </si>
  <si>
    <t>Sitelinks, AI Overview, Image, Image pack, Video, Video carousel, People also ask, Discussions and forums, Related searches, Ads top, Ads bottom, Ads middle</t>
  </si>
  <si>
    <t>avon bathtub refinishing</t>
  </si>
  <si>
    <t>bathtub and sink refinishing</t>
  </si>
  <si>
    <t>bathtub and sink refinishing polymer resin</t>
  </si>
  <si>
    <t>AI Overview, Image pack, Video, People also ask, Local pack, Discussions and forums, Related searches</t>
  </si>
  <si>
    <t>bathtub and surround refinishing</t>
  </si>
  <si>
    <t>bathtub refinish diy</t>
  </si>
  <si>
    <t>bathtub refinishing buffalo ny</t>
  </si>
  <si>
    <t>Image, Image pack, Video, People also ask, Local pack, Related searches</t>
  </si>
  <si>
    <t>bathtub refinishing business</t>
  </si>
  <si>
    <t>Sitelinks, Video, People also ask, Local pack, Discussions and forums, Related searches</t>
  </si>
  <si>
    <t>bathtub refinishing classes</t>
  </si>
  <si>
    <t>bathtub refinishing company near me</t>
  </si>
  <si>
    <t>bathtub refinishing contractors near me</t>
  </si>
  <si>
    <t>bathtub refinishing ct</t>
  </si>
  <si>
    <t>bathtub refinishing denver colorado</t>
  </si>
  <si>
    <t>bathtub refinishing diy kit</t>
  </si>
  <si>
    <t>bathtub refinishing glaze</t>
  </si>
  <si>
    <t>Sitelinks, Image, Video, Video carousel, Local pack, Discussions and forums, Related searches, Popular products, Ads bottom</t>
  </si>
  <si>
    <t>bathtub refinishing how much does it cost</t>
  </si>
  <si>
    <t>bathtub refinishing kit spray</t>
  </si>
  <si>
    <t>Sitelinks, Image, Video, Video carousel, People also ask, Discussions and forums, Popular products</t>
  </si>
  <si>
    <t>bathtub refinishing maryland</t>
  </si>
  <si>
    <t>bathtub refinishing massachusetts</t>
  </si>
  <si>
    <t>bathtub refinishing md</t>
  </si>
  <si>
    <t>Sitelinks, Image, Image pack, Video, People also ask, Local pack, Related searches</t>
  </si>
  <si>
    <t>bathtub refinishing memphis</t>
  </si>
  <si>
    <t>Sitelinks, AI Overview, Image pack, Video, Knowledge panel, Related searches</t>
  </si>
  <si>
    <t>bathtub refinishing methods</t>
  </si>
  <si>
    <t>bathtub refinishing milwaukee</t>
  </si>
  <si>
    <t>Sitelinks, Video, People also ask, Local pack, Related searches, Popular products</t>
  </si>
  <si>
    <t>bathtub refinishing near me cost</t>
  </si>
  <si>
    <t>bathtub refinishing professional</t>
  </si>
  <si>
    <t>Sitelinks, Video, Video carousel, Local pack, Related searches</t>
  </si>
  <si>
    <t>bathtub refinishing rhode island</t>
  </si>
  <si>
    <t>bathtub refinishing ri</t>
  </si>
  <si>
    <t>bathtub refinishing richmond va</t>
  </si>
  <si>
    <t>bathtub refinishing san antonio</t>
  </si>
  <si>
    <t>bathtub refinishing service</t>
  </si>
  <si>
    <t>Sitelinks, Image, Video carousel, People also ask, Local pack, Related searches</t>
  </si>
  <si>
    <t>bathtub refinishing vs reglazing</t>
  </si>
  <si>
    <t>Sitelinks, AI Overview, People also ask, Related searches</t>
  </si>
  <si>
    <t>bathtub repair &amp; refinish</t>
  </si>
  <si>
    <t>AI Overview, Image, Video, Local pack, Related searches, See results about</t>
  </si>
  <si>
    <t>bathtub resurfacing bathtub refinishing cost</t>
  </si>
  <si>
    <t>bathtub shower refinishing companies</t>
  </si>
  <si>
    <t>bathtub surface refinishing</t>
  </si>
  <si>
    <t>Sitelinks, Video, Video carousel, Local pack, Discussions and forums, Related searches, Ads bottom</t>
  </si>
  <si>
    <t>bathtubs refinishing costs</t>
  </si>
  <si>
    <t>Featured snippet, Sitelinks, Image pack, Video carousel, Related searches, Popular products, Ads bottom, Ads middle</t>
  </si>
  <si>
    <t>before and after bathtub refinishing</t>
  </si>
  <si>
    <t>best bathtub refinishing near me</t>
  </si>
  <si>
    <t>Sitelinks, Video, Local pack, Related searches, Ads top</t>
  </si>
  <si>
    <t>best paint for bathtub refinishing</t>
  </si>
  <si>
    <t>boston bathtub refinishing</t>
  </si>
  <si>
    <t>cambridge bathtub refinishing</t>
  </si>
  <si>
    <t>Image, Video, Local pack, Related searches, Ads bottom</t>
  </si>
  <si>
    <t>canton bathtub refinishing</t>
  </si>
  <si>
    <t>ceramic bathtub refinishing</t>
  </si>
  <si>
    <t>cost to refinish cast iron bathtub</t>
  </si>
  <si>
    <t>cost to refinish porcelain bathtub</t>
  </si>
  <si>
    <t>dallas bathtub refinishing</t>
  </si>
  <si>
    <t>diy refinishing bathtub</t>
  </si>
  <si>
    <t>ekopel bathtub refinishing kit reviews</t>
  </si>
  <si>
    <t>fiberglass bathtub refinish</t>
  </si>
  <si>
    <t>local bathtub refinishers</t>
  </si>
  <si>
    <t>Image pack, Video, Local pack, Related searches, Ads bottom, Ads middle</t>
  </si>
  <si>
    <t>lynn commercial bathtub refinishing</t>
  </si>
  <si>
    <t>AI Overview, Image, Image pack, Video, Related searches</t>
  </si>
  <si>
    <t>mass bathtub refinishing</t>
  </si>
  <si>
    <t>Video, Knowledge panel, Related searches, Ads bottom</t>
  </si>
  <si>
    <t>millis bathtub refinishing</t>
  </si>
  <si>
    <t>miracle bathtub refinishing</t>
  </si>
  <si>
    <t>Sitelinks, Image pack, Video, Video carousel, People also ask, Local pack, Related searches, Popular products, Ads top, Ads bottom</t>
  </si>
  <si>
    <t>munro bathtub refinishing</t>
  </si>
  <si>
    <t>Sitelinks, Image pack, Video, Knowledge panel, Related searches</t>
  </si>
  <si>
    <t>professional bathtub refinishers</t>
  </si>
  <si>
    <t>quincy bathtub refinishing</t>
  </si>
  <si>
    <t>AI Overview, Image, Image pack, Video, Knowledge panel, Related searches</t>
  </si>
  <si>
    <t>refinish bathtub tile miami gardens fl</t>
  </si>
  <si>
    <t>refinish cast iron bathtub yourself</t>
  </si>
  <si>
    <t>refinish clawfoot bathtubs yourself</t>
  </si>
  <si>
    <t>Sitelinks, AI Overview, Image, Video, Video carousel, Short videos, Local pack, Related searches</t>
  </si>
  <si>
    <t>refinished bathtub maintenance</t>
  </si>
  <si>
    <t>Sitelinks, AI Overview, Video carousel, Related searches, Ads bottom, Ads middle</t>
  </si>
  <si>
    <t>refinishing a bathtub yourself</t>
  </si>
  <si>
    <t>refinishing bathtub before and after</t>
  </si>
  <si>
    <t>Sitelinks, Image, Image pack, Video, Discussions and forums, Related searches</t>
  </si>
  <si>
    <t>refinishing bathtub near me</t>
  </si>
  <si>
    <t>refinishing fiberglass bathtubs</t>
  </si>
  <si>
    <t>refinishing old cast iron bathtubs</t>
  </si>
  <si>
    <t>Sitelinks, AI Overview, Image pack, Video, Video carousel, People also ask, Related searches, Ads bottom, Ads middle</t>
  </si>
  <si>
    <t>refinishing porcelain bathtub</t>
  </si>
  <si>
    <t>Sitelinks, AI Overview, Video, Video carousel, Short videos, People also ask, Local pack, Discussions and forums, Related searches</t>
  </si>
  <si>
    <t>salem bathtub refinishing</t>
  </si>
  <si>
    <t>sink and bathtub refinishing</t>
  </si>
  <si>
    <t>Sitelinks, AI Overview, Image pack, Video, Video carousel, People also ask, Local pack, Discussions and forums, Related searches, Things to know</t>
  </si>
  <si>
    <t>spray bathtub refinishing cost</t>
  </si>
  <si>
    <t>Featured snippet, Sitelinks, Image pack, Video, Discussions and forums, Related searches, Popular products</t>
  </si>
  <si>
    <t>winchester bathtub refinishing</t>
  </si>
  <si>
    <t>AI Overview, Image, Image pack, Video, Local pack, Related searches, Popular products</t>
  </si>
  <si>
    <t>bathtub and sink refinishing near me</t>
  </si>
  <si>
    <t>bathtub and tile refinishing cost</t>
  </si>
  <si>
    <t>Sitelinks, AI Overview, Image pack, Video, Video carousel, Discussions and forums, Related searches, Popular products</t>
  </si>
  <si>
    <t>bathtub coating refinishing</t>
  </si>
  <si>
    <t>bathtub professional refinishing</t>
  </si>
  <si>
    <t>bathtub refinisher</t>
  </si>
  <si>
    <t>Sitelinks, Video, People also ask, Local pack, Related searches, See results about, Ads top, Ads bottom</t>
  </si>
  <si>
    <t>Sitelinks, Image pack, Video, Local pack, Related searches, Ads top, Ads bottom, Ads middle</t>
  </si>
  <si>
    <t>bathtub refinishing chemicals</t>
  </si>
  <si>
    <t>bathtub refinishing cincinnati</t>
  </si>
  <si>
    <t>Sitelinks, Image pack, Video, People also ask, Local pack, Discussions and forums, Related searches, Ads bottom, Ads middle</t>
  </si>
  <si>
    <t>bathtub refinishing cleveland</t>
  </si>
  <si>
    <t>bathtub refinishing columbus ohio</t>
  </si>
  <si>
    <t>bathtub refinishing denver co</t>
  </si>
  <si>
    <t>bathtub refinishing houston cost</t>
  </si>
  <si>
    <t>bathtub refinishing how to</t>
  </si>
  <si>
    <t>AI Overview, Video, Video carousel, People also ask, Discussions and forums, Related searches, Ads bottom</t>
  </si>
  <si>
    <t>bathtub refinishing in pittsburgh pa</t>
  </si>
  <si>
    <t>bathtub refinishing kit - spray</t>
  </si>
  <si>
    <t>bathtub refinishing kit reviews</t>
  </si>
  <si>
    <t>bathtub refinishing louisville ky</t>
  </si>
  <si>
    <t>bathtub refinishing memphis tn</t>
  </si>
  <si>
    <t>Sitelinks, AI Overview, Image, Video, People also ask, Knowledge panel, Discussions and forums, Related searches</t>
  </si>
  <si>
    <t>bathtub refinishing meridian</t>
  </si>
  <si>
    <t>bathtub refinishing minneapolis mn</t>
  </si>
  <si>
    <t>Sitelinks, Image, Video, People also ask, Local pack, Discussions and forums, Related searches, Ads top, Ads bottom</t>
  </si>
  <si>
    <t>bathtub refinishing oahu</t>
  </si>
  <si>
    <t>bathtub refinishing of chicago</t>
  </si>
  <si>
    <t>bathtub refinishing pro</t>
  </si>
  <si>
    <t>bathtub refinishing staten island</t>
  </si>
  <si>
    <t>bathtub refinishing union</t>
  </si>
  <si>
    <t>bathtub refinishing ventilation</t>
  </si>
  <si>
    <t>bathtub refinishing vs replacement cost</t>
  </si>
  <si>
    <t>bathtub refinishing worcester ma</t>
  </si>
  <si>
    <t>bathtub reglazing refinishing in raleigh nc</t>
  </si>
  <si>
    <t>bathtub repair and refinishing</t>
  </si>
  <si>
    <t>Sitelinks, Video, Video carousel, Local pack, Discussions and forums, Related searches, See results about</t>
  </si>
  <si>
    <t>bathtubs and surrounds refinish or replace</t>
  </si>
  <si>
    <t>best bathtub refinishing company</t>
  </si>
  <si>
    <t>Image pack, Video, Local pack, Discussions and forums, Related searches, Popular products</t>
  </si>
  <si>
    <t>boise bathtub refinishing</t>
  </si>
  <si>
    <t>cambridge commercial bathtub refinishing</t>
  </si>
  <si>
    <t>chelsea bathtub refinishing</t>
  </si>
  <si>
    <t>eco tub restoration bathtub refinishing</t>
  </si>
  <si>
    <t>Sitelinks, Image pack, Video, Video carousel, People also ask, Local pack, Related searches, Popular products, Ads bottom</t>
  </si>
  <si>
    <t>ekopel roll on bathtub refinishing kit</t>
  </si>
  <si>
    <t>Sitelinks, Image pack, Video, People also ask, Knowledge panel, Discussions and forums, Related searches, Popular products</t>
  </si>
  <si>
    <t>fort worth bathtub refinishing</t>
  </si>
  <si>
    <t>Sitelinks, Image, Video, People also ask, Local pack</t>
  </si>
  <si>
    <t>home bathtub refinishing</t>
  </si>
  <si>
    <t>Sitelinks, AI Overview, Video, Video carousel, Local pack, Discussions and forums, Related searches, Popular products</t>
  </si>
  <si>
    <t>hotel bathtub refinishing joliet</t>
  </si>
  <si>
    <t>local bathtub refinishing</t>
  </si>
  <si>
    <t>michigan bathtub refinishing</t>
  </si>
  <si>
    <t>new braunfels tx bathtub refinishing</t>
  </si>
  <si>
    <t>old to new bathtub refinishing</t>
  </si>
  <si>
    <t>Video, Video carousel, Local pack, Discussions and forums, Related searches</t>
  </si>
  <si>
    <t>premium bathtub refinishing</t>
  </si>
  <si>
    <t>prime bathtub and tiles refinishing</t>
  </si>
  <si>
    <t>Image pack, Video, People also ask, Knowledge panel, Related searches, Popular products, Ads bottom</t>
  </si>
  <si>
    <t>pro gloss bathtub refinishing &amp; reglazing</t>
  </si>
  <si>
    <t>refinish bathtub diy</t>
  </si>
  <si>
    <t>refinish bathtub fiberglass</t>
  </si>
  <si>
    <t>Sitelinks, AI Overview, Image pack, Video, Related searches</t>
  </si>
  <si>
    <t>refinish bathtub miami gardens fl</t>
  </si>
  <si>
    <t>refinish bathtub pembroke pines fl</t>
  </si>
  <si>
    <t>refinish bathtub price</t>
  </si>
  <si>
    <t>refinish bathtub tile pembroke pines fl</t>
  </si>
  <si>
    <t>refinish my bathtub myself</t>
  </si>
  <si>
    <t>refinish steel bathtub</t>
  </si>
  <si>
    <t>Video, Video carousel, Short videos, People also ask, Local pack, Related searches, Ads bottom</t>
  </si>
  <si>
    <t>refinish your bathtub</t>
  </si>
  <si>
    <t>refinished bathtub peeling</t>
  </si>
  <si>
    <t>Sitelinks, AI Overview, Video, Video carousel, Short videos, Related searches</t>
  </si>
  <si>
    <t>refinishing a bathtub does it work</t>
  </si>
  <si>
    <t>refinishing a fiberglass bathtub</t>
  </si>
  <si>
    <t>AI Overview, Image, Video, Video carousel, Related searches, Ads bottom</t>
  </si>
  <si>
    <t>refinishing bathtub price</t>
  </si>
  <si>
    <t>refinishing clawfoot bathtub</t>
  </si>
  <si>
    <t>AI Overview, Image, Image pack, Video, Video carousel, People also ask, Related searches, Ads bottom</t>
  </si>
  <si>
    <t>refinishing cracked bathtub</t>
  </si>
  <si>
    <t>refinishing your bathtub</t>
  </si>
  <si>
    <t>somerville commercial bathtub refinishing</t>
  </si>
  <si>
    <t>Image, Image pack, Video, People also ask, Local pack</t>
  </si>
  <si>
    <t>spray bathtub refinishing</t>
  </si>
  <si>
    <t>Image, Image pack, Video, Local pack, Discussions and forums, Related searches, Popular products</t>
  </si>
  <si>
    <t>stoughton bathtub refinishing</t>
  </si>
  <si>
    <t>westchester bathtub repair/refinishing &amp; tile reglazing</t>
  </si>
  <si>
    <t>arlington commercial bathtub refinishing</t>
  </si>
  <si>
    <t>austin bathtub sink refinishing</t>
  </si>
  <si>
    <t>average cost of bathtub refinishing</t>
  </si>
  <si>
    <t>bathtub enamel refinishing</t>
  </si>
  <si>
    <t>Sitelinks, Video, Video carousel, Local pack, Discussions and forums, Related searches, Popular products, Ads bottom</t>
  </si>
  <si>
    <t>bathtub guys refinishing</t>
  </si>
  <si>
    <t>bathtub refinish near me</t>
  </si>
  <si>
    <t>Image, Video, People also ask, Local pack, Related searches</t>
  </si>
  <si>
    <t>bathtub refinish paint</t>
  </si>
  <si>
    <t>bathtub refinisher near me</t>
  </si>
  <si>
    <t>bathtub refinishers reviews</t>
  </si>
  <si>
    <t>bathtub refinishing association</t>
  </si>
  <si>
    <t>bathtub refinishing baltimore</t>
  </si>
  <si>
    <t>bathtub refinishing buffalo</t>
  </si>
  <si>
    <t>Sitelinks, Video, People also ask, Local pack, Popular products</t>
  </si>
  <si>
    <t>bathtub refinishing canal winchester oh</t>
  </si>
  <si>
    <t>bathtub refinishing cincinnati oh</t>
  </si>
  <si>
    <t>bathtub refinishing cincinnati ohio</t>
  </si>
  <si>
    <t>bathtub refinishing cleveland ohio</t>
  </si>
  <si>
    <t>bathtub refinishing columbus</t>
  </si>
  <si>
    <t>bathtub refinishing columbus oh</t>
  </si>
  <si>
    <t>bathtub refinishing company east texas</t>
  </si>
  <si>
    <t>bathtub refinishing cost calculator</t>
  </si>
  <si>
    <t>bathtub refinishing epoxy</t>
  </si>
  <si>
    <t>Sitelinks, AI Overview, Video, Video carousel, Short videos, Local pack, Discussions and forums, Related searches, Popular products, Ads bottom</t>
  </si>
  <si>
    <t>bathtub refinishing epoxy paint</t>
  </si>
  <si>
    <t>bathtub refinishing fort worth tx</t>
  </si>
  <si>
    <t>bathtub refinishing hollywood fl</t>
  </si>
  <si>
    <t>bathtub refinishing in houston texas</t>
  </si>
  <si>
    <t>bathtub refinishing in south masaryktown fl</t>
  </si>
  <si>
    <t>bathtub refinishing kansas city</t>
  </si>
  <si>
    <t>bathtub refinishing kit black</t>
  </si>
  <si>
    <t>bathtub refinishing kit for fiberglass</t>
  </si>
  <si>
    <t>bathtub refinishing lancaster oh</t>
  </si>
  <si>
    <t>bathtub refinishing las vegas nevada</t>
  </si>
  <si>
    <t>bathtub refinishing long beach ca</t>
  </si>
  <si>
    <t>bathtub refinishing louisville</t>
  </si>
  <si>
    <t>Video, Local pack, Related searches, Popular products, Ads bottom</t>
  </si>
  <si>
    <t>bathtub refinishing miami fl</t>
  </si>
  <si>
    <t>bathtub refinishing miami florida</t>
  </si>
  <si>
    <t>bathtub refinishing miami gardens fl</t>
  </si>
  <si>
    <t>bathtub refinishing nashville</t>
  </si>
  <si>
    <t>bathtub refinishing nashville tn</t>
  </si>
  <si>
    <t>Sitelinks, Image, Image pack, Video, Knowledge panel, Related searches</t>
  </si>
  <si>
    <t>bathtub refinishing orange county</t>
  </si>
  <si>
    <t>bathtub refinishing pembroke pines</t>
  </si>
  <si>
    <t>bathtub refinishing pembroke pines fl</t>
  </si>
  <si>
    <t>bathtub refinishing primer</t>
  </si>
  <si>
    <t>bathtub refinishing queens ny</t>
  </si>
  <si>
    <t>Image, Video, Local pack, Related searches</t>
  </si>
  <si>
    <t>bathtub refinishing reviews</t>
  </si>
  <si>
    <t>bathtub refinishing richmond</t>
  </si>
  <si>
    <t>Sitelinks, Image, Video, Local pack, Related searches, Popular products, Ads bottom</t>
  </si>
  <si>
    <t>bathtub refinishing rochester ny</t>
  </si>
  <si>
    <t>bathtub refinishing salt lake city utah</t>
  </si>
  <si>
    <t>bathtub refinishing san diego ca</t>
  </si>
  <si>
    <t>bathtub refinishing seattle wa</t>
  </si>
  <si>
    <t>bathtub refinishing tools</t>
  </si>
  <si>
    <t>bathtub refinishing tucson az</t>
  </si>
  <si>
    <t>bathtub refinishing virginia beach</t>
  </si>
  <si>
    <t>bathtub refinishing west palm beach</t>
  </si>
  <si>
    <t>bathtub restoration refinishing</t>
  </si>
  <si>
    <t>bathtub tile refinishing</t>
  </si>
  <si>
    <t>best bathtub refinishing products</t>
  </si>
  <si>
    <t>boston commercial bathtub refinishing</t>
  </si>
  <si>
    <t>cast iron bathtub refinish</t>
  </si>
  <si>
    <t>Sitelinks, AI Overview, Image pack, Video, Video carousel, People also ask, Local pack, Related searches, Ads top, Ads bottom</t>
  </si>
  <si>
    <t>columbus bathtub refinishing</t>
  </si>
  <si>
    <t>converse tx bathtub refinishing</t>
  </si>
  <si>
    <t>diy refinish bathtub</t>
  </si>
  <si>
    <t>duraglaze bathtub refinishing</t>
  </si>
  <si>
    <t>enamel bathtub refinishing</t>
  </si>
  <si>
    <t>Video, Video carousel, People also ask, Local pack, Related searches, Popular products, Ads bottom</t>
  </si>
  <si>
    <t>epoxy bathtub refinishing kit</t>
  </si>
  <si>
    <t>franklin bathtub refinishing</t>
  </si>
  <si>
    <t>homax bathtub refinishing kit</t>
  </si>
  <si>
    <t>home depot bathtub refinishing</t>
  </si>
  <si>
    <t>kit bathtub refinishing</t>
  </si>
  <si>
    <t>liquid porcelain bathtub and tile refinishing</t>
  </si>
  <si>
    <t>live oak tx epoxy bathtub refinishing</t>
  </si>
  <si>
    <t>louisville bathtub refinishing</t>
  </si>
  <si>
    <t>Sitelinks, Image, Image pack, Video, Local pack, Related searches, Popular products</t>
  </si>
  <si>
    <t>lowes bathtub refinishing</t>
  </si>
  <si>
    <t>Image, Image pack, Video, Related searches, Popular products</t>
  </si>
  <si>
    <t>marlborough bathtub refinishing</t>
  </si>
  <si>
    <t>melrose bathtub refinishing</t>
  </si>
  <si>
    <t>miami commercial bathtub refinishing</t>
  </si>
  <si>
    <t>odorless bathtub refinishing kit</t>
  </si>
  <si>
    <t>pour on bathtub refinishing kit</t>
  </si>
  <si>
    <t>pro bathtub refinishing</t>
  </si>
  <si>
    <t>Sitelinks, Image pack, Video, Video carousel, People also ask, Local pack, Discussions and forums, Related searches, Popular products, Ads bottom</t>
  </si>
  <si>
    <t>professional bathtub refinishing cost</t>
  </si>
  <si>
    <t>professional bathtub refinishing kit</t>
  </si>
  <si>
    <t>quality bathtub refinishing</t>
  </si>
  <si>
    <t>quincy commercial bathtub refinishing</t>
  </si>
  <si>
    <t>refinish a bathtub cost</t>
  </si>
  <si>
    <t>refinish a bathtub floor</t>
  </si>
  <si>
    <t>refinish acrylic bathtub</t>
  </si>
  <si>
    <t>refinish bathtub hollywood fl</t>
  </si>
  <si>
    <t>refinish bathtub instead of replacing</t>
  </si>
  <si>
    <t>refinish bathtubs do yourself</t>
  </si>
  <si>
    <t>refinished bathtubs</t>
  </si>
  <si>
    <t>refinishing a bathtub cost</t>
  </si>
  <si>
    <t>Sitelinks, AI Overview, Image pack, Video, Video carousel, People also ask, Related searches, Ads bottom</t>
  </si>
  <si>
    <t>refinishing cast iron bathtubs</t>
  </si>
  <si>
    <t>Sitelinks, AI Overview, Image, Video, Video carousel, Related searches, Ads bottom</t>
  </si>
  <si>
    <t>refinishing vs replacing bathtub</t>
  </si>
  <si>
    <t>restoring bathtub refinish</t>
  </si>
  <si>
    <t>seattle bathtub refinishing</t>
  </si>
  <si>
    <t>superior bathtub refinishing</t>
  </si>
  <si>
    <t>waltham bathtub refinishing</t>
  </si>
  <si>
    <t>watertown commercial bathtub refinishing</t>
  </si>
  <si>
    <t>winthrop bathtub refinishing</t>
  </si>
  <si>
    <t>woburn bathtub refinishing</t>
  </si>
  <si>
    <t>3 in 1 bathtub and kitchen refinishing inc</t>
  </si>
  <si>
    <t>3 in 1 bathtub refinishing</t>
  </si>
  <si>
    <t>3 in 1 bathtub refinishing san diego</t>
  </si>
  <si>
    <t>a1 bathtub refinishing</t>
  </si>
  <si>
    <t>aaa bathtub refinishing</t>
  </si>
  <si>
    <t>aaa bathtub refinishing co</t>
  </si>
  <si>
    <t>absolutely smooth bathtub refinishing</t>
  </si>
  <si>
    <t>acrylic bathtub refinishing cost</t>
  </si>
  <si>
    <t>acrylic bathtub refinishing near me</t>
  </si>
  <si>
    <t>acrylic urethane bathtub refinishing</t>
  </si>
  <si>
    <t>acton bathtub refinishing</t>
  </si>
  <si>
    <t>advanced bathtub refinishing</t>
  </si>
  <si>
    <t>ak bathtub refinishing</t>
  </si>
  <si>
    <t>al's bathtub refinishing</t>
  </si>
  <si>
    <t>alan's bathtub refinishing</t>
  </si>
  <si>
    <t>albany bathtub refinishing</t>
  </si>
  <si>
    <t>all star pros bathtub refinishing</t>
  </si>
  <si>
    <t>amazing bathtub refinishing</t>
  </si>
  <si>
    <t>america bathtub &amp; tile refinishing</t>
  </si>
  <si>
    <t>america bathtub and tile refinishing</t>
  </si>
  <si>
    <t>american bathtub and tile refinishing</t>
  </si>
  <si>
    <t>american bathtub refinishers san diego</t>
  </si>
  <si>
    <t>american bathtub refinishers san diego ca</t>
  </si>
  <si>
    <t>american bathtub refinishing</t>
  </si>
  <si>
    <t>anew bathtub repair &amp; refinishing</t>
  </si>
  <si>
    <t>angie's list bathtub refinishing</t>
  </si>
  <si>
    <t>anti-slip bathtub refinishing solutions near me</t>
  </si>
  <si>
    <t>antique bathtub refinishing cumming</t>
  </si>
  <si>
    <t>ar bathtub refinishing</t>
  </si>
  <si>
    <t>arc bathtub refinishing</t>
  </si>
  <si>
    <t>arizona bathtub refinishing</t>
  </si>
  <si>
    <t>ark bathtub refinishing</t>
  </si>
  <si>
    <t>arlington heights bathtub refinishing co</t>
  </si>
  <si>
    <t>armoglaze odorless bathtub refinishing kit</t>
  </si>
  <si>
    <t>armorkote refinishing and bathtub reglazing</t>
  </si>
  <si>
    <t>aron bathtub refinishing</t>
  </si>
  <si>
    <t>average cost to refinish bathtub</t>
  </si>
  <si>
    <t>bath mat for refinished or reglazed bathtub</t>
  </si>
  <si>
    <t>bathtub and countertop refinishing</t>
  </si>
  <si>
    <t>bathtub and tile refinishing near me</t>
  </si>
  <si>
    <t>bathtub master refinishing</t>
  </si>
  <si>
    <t>bathtub refinish boise</t>
  </si>
  <si>
    <t>bathtub refinish worn off</t>
  </si>
  <si>
    <t>bathtub refinishers redding ca</t>
  </si>
  <si>
    <t>bathtub refinishing &amp; more</t>
  </si>
  <si>
    <t>bathtub refinishing abilene tx</t>
  </si>
  <si>
    <t>bathtub refinishing akron</t>
  </si>
  <si>
    <t>bathtub refinishing akron ohio</t>
  </si>
  <si>
    <t>bathtub refinishing albany ny</t>
  </si>
  <si>
    <t>bathtub refinishing albuquerque</t>
  </si>
  <si>
    <t>bathtub refinishing albuquerque nm</t>
  </si>
  <si>
    <t>bathtub refinishing alexandria va</t>
  </si>
  <si>
    <t>bathtub refinishing allentown pa</t>
  </si>
  <si>
    <t>bathtub refinishing alpharetta</t>
  </si>
  <si>
    <t>bathtub refinishing amarillo tx</t>
  </si>
  <si>
    <t>bathtub refinishing anchorage</t>
  </si>
  <si>
    <t>bathtub refinishing anchorage alaska</t>
  </si>
  <si>
    <t>bathtub refinishing ann arbor mi</t>
  </si>
  <si>
    <t>bathtub refinishing arizona</t>
  </si>
  <si>
    <t>bathtub refinishing arkansas</t>
  </si>
  <si>
    <t>bathtub refinishing arlington heights il</t>
  </si>
  <si>
    <t>bathtub refinishing arlington tx</t>
  </si>
  <si>
    <t>bathtub refinishing arlington va</t>
  </si>
  <si>
    <t>bathtub refinishing asheville</t>
  </si>
  <si>
    <t>bathtub refinishing asheville nc</t>
  </si>
  <si>
    <t>bathtub refinishing athens ga</t>
  </si>
  <si>
    <t>bathtub refinishing atlanta cost</t>
  </si>
  <si>
    <t>bathtub refinishing augusta ga</t>
  </si>
  <si>
    <t>bathtub refinishing aurora co</t>
  </si>
  <si>
    <t>bathtub refinishing bakersfield ca</t>
  </si>
  <si>
    <t>bathtub refinishing baltimore md</t>
  </si>
  <si>
    <t>bathtub refinishing baton rouge</t>
  </si>
  <si>
    <t>bathtub refinishing baton rouge la</t>
  </si>
  <si>
    <t>bathtub refinishing bay area</t>
  </si>
  <si>
    <t>bathtub refinishing beaumont tx</t>
  </si>
  <si>
    <t>bathtub refinishing bellingham wa</t>
  </si>
  <si>
    <t>bathtub refinishing bend oregon</t>
  </si>
  <si>
    <t>bathtub refinishing billings mt</t>
  </si>
  <si>
    <t>bathtub refinishing birmingham al</t>
  </si>
  <si>
    <t>bathtub refinishing boca raton</t>
  </si>
  <si>
    <t>bathtub refinishing boynton beach</t>
  </si>
  <si>
    <t>bathtub refinishing boynton beach fl</t>
  </si>
  <si>
    <t>bathtub refinishing bradenton</t>
  </si>
  <si>
    <t>bathtub refinishing bradenton fl</t>
  </si>
  <si>
    <t>bathtub refinishing bronx</t>
  </si>
  <si>
    <t>bathtub refinishing broward</t>
  </si>
  <si>
    <t>bathtub refinishing broward county</t>
  </si>
  <si>
    <t>bathtub refinishing buford</t>
  </si>
  <si>
    <t>bathtub refinishing business for sale</t>
  </si>
  <si>
    <t>bathtub refinishing business opportunity</t>
  </si>
  <si>
    <t>bathtub refinishing caldwell</t>
  </si>
  <si>
    <t>bathtub refinishing california</t>
  </si>
  <si>
    <t>bathtub refinishing cambridge</t>
  </si>
  <si>
    <t>bathtub refinishing canton ohio</t>
  </si>
  <si>
    <t>bathtub refinishing cape cod</t>
  </si>
  <si>
    <t>bathtub refinishing cape cod ma</t>
  </si>
  <si>
    <t>bathtub refinishing cary nc</t>
  </si>
  <si>
    <t>bathtub refinishing charleston</t>
  </si>
  <si>
    <t>bathtub refinishing charleston sc</t>
  </si>
  <si>
    <t>bathtub refinishing charlottesville va</t>
  </si>
  <si>
    <t>bathtub refinishing chattanooga</t>
  </si>
  <si>
    <t>bathtub refinishing chattanooga tn</t>
  </si>
  <si>
    <t>bathtub refinishing chula vista</t>
  </si>
  <si>
    <t>bathtub refinishing clearwater</t>
  </si>
  <si>
    <t>bathtub refinishing clearwater fl</t>
  </si>
  <si>
    <t>bathtub refinishing coatings</t>
  </si>
  <si>
    <t>bathtub refinishing colorado springs</t>
  </si>
  <si>
    <t>bathtub refinishing columbia sc</t>
  </si>
  <si>
    <t>bathtub refinishing columbus ga</t>
  </si>
  <si>
    <t>bathtub refinishing companies lansing</t>
  </si>
  <si>
    <t>bathtub refinishing coral springs</t>
  </si>
  <si>
    <t>bathtub refinishing corpus christi</t>
  </si>
  <si>
    <t>bathtub refinishing cost near me</t>
  </si>
  <si>
    <t>bathtub refinishing dayton ohio</t>
  </si>
  <si>
    <t>bathtub refinishing daytona beach</t>
  </si>
  <si>
    <t>bathtub refinishing daytona beach fl</t>
  </si>
  <si>
    <t>bathtub refinishing dc</t>
  </si>
  <si>
    <t>bathtub refinishing delaware</t>
  </si>
  <si>
    <t>bathtub refinishing delray beach</t>
  </si>
  <si>
    <t>bathtub refinishing delray beach fl</t>
  </si>
  <si>
    <t>bathtub refinishing des moines ia</t>
  </si>
  <si>
    <t>bathtub refinishing diy</t>
  </si>
  <si>
    <t>bathtub refinishing duluth mn</t>
  </si>
  <si>
    <t>bathtub refinishing durham nc</t>
  </si>
  <si>
    <t>bathtub refinishing eagle</t>
  </si>
  <si>
    <t>bathtub refinishing east point ga</t>
  </si>
  <si>
    <t>bathtub refinishing el paso</t>
  </si>
  <si>
    <t>bathtub refinishing el paso tx</t>
  </si>
  <si>
    <t>bathtub refinishing elizabeth nj</t>
  </si>
  <si>
    <t>bathtub refinishing equipment</t>
  </si>
  <si>
    <t>bathtub refinishing erie pa</t>
  </si>
  <si>
    <t>bathtub refinishing eugene oregon</t>
  </si>
  <si>
    <t>bathtub refinishing evansville</t>
  </si>
  <si>
    <t>bathtub refinishing evansville in</t>
  </si>
  <si>
    <t>bathtub refinishing fayetteville</t>
  </si>
  <si>
    <t>bathtub refinishing fayetteville ar</t>
  </si>
  <si>
    <t>bathtub refinishing fayetteville nc</t>
  </si>
  <si>
    <t>bathtub refinishing fort collins</t>
  </si>
  <si>
    <t>bathtub refinishing fort myers</t>
  </si>
  <si>
    <t>bathtub refinishing fort myers fl</t>
  </si>
  <si>
    <t>bathtub refinishing fort wayne</t>
  </si>
  <si>
    <t>bathtub refinishing franchise</t>
  </si>
  <si>
    <t>bathtub refinishing frederick md</t>
  </si>
  <si>
    <t>bathtub refinishing fredericksburg va</t>
  </si>
  <si>
    <t>bathtub refinishing fresno</t>
  </si>
  <si>
    <t>bathtub refinishing fresno ca</t>
  </si>
  <si>
    <t>bathtub refinishing gainesville fl</t>
  </si>
  <si>
    <t>bathtub refinishing glendale az</t>
  </si>
  <si>
    <t>bathtub refinishing grand rapids</t>
  </si>
  <si>
    <t>bathtub refinishing grand rapids mi</t>
  </si>
  <si>
    <t>bathtub refinishing green bay</t>
  </si>
  <si>
    <t>bathtub refinishing green bay wi</t>
  </si>
  <si>
    <t>bathtub refinishing greensboro</t>
  </si>
  <si>
    <t>bathtub refinishing greensboro nc</t>
  </si>
  <si>
    <t>bathtub refinishing greenville nc</t>
  </si>
  <si>
    <t>bathtub refinishing greenville sc</t>
  </si>
  <si>
    <t>bathtub refinishing hamilton</t>
  </si>
  <si>
    <t>bathtub refinishing harrisburg pa</t>
  </si>
  <si>
    <t>bathtub refinishing hartford ct</t>
  </si>
  <si>
    <t>bathtub refinishing hawaii</t>
  </si>
  <si>
    <t>bathtub refinishing hialeah</t>
  </si>
  <si>
    <t>bathtub refinishing hollywood</t>
  </si>
  <si>
    <t>bathtub refinishing honolulu</t>
  </si>
  <si>
    <t>bathtub refinishing how long to dry</t>
  </si>
  <si>
    <t>bathtub refinishing huntsville al</t>
  </si>
  <si>
    <t>bathtub refinishing ideas</t>
  </si>
  <si>
    <t>bathtub refinishing in aripeka fl</t>
  </si>
  <si>
    <t>bathtub refinishing in bayport fl</t>
  </si>
  <si>
    <t>bathtub refinishing in brookridge fl</t>
  </si>
  <si>
    <t>bathtub refinishing in brooksville fl</t>
  </si>
  <si>
    <t>bathtub refinishing in cooglers beach fl</t>
  </si>
  <si>
    <t>bathtub refinishing in ct</t>
  </si>
  <si>
    <t>bathtub refinishing in elfers fl</t>
  </si>
  <si>
    <t>bathtub refinishing in fivay junction fl</t>
  </si>
  <si>
    <t>bathtub refinishing in hernando beach fl</t>
  </si>
  <si>
    <t>bathtub refinishing in houston</t>
  </si>
  <si>
    <t>bathtub refinishing in hudson fl</t>
  </si>
  <si>
    <t>bathtub refinishing in jasmine estates fl</t>
  </si>
  <si>
    <t>bathtub refinishing in longview texas</t>
  </si>
  <si>
    <t>bathtub refinishing in masaryktown fl</t>
  </si>
  <si>
    <t>bathtub refinishing in new port richey fl</t>
  </si>
  <si>
    <t>bathtub refinishing in palm grove colony fl</t>
  </si>
  <si>
    <t>bathtub refinishing in timber pines fl</t>
  </si>
  <si>
    <t>bathtub refinishing in trinity fl</t>
  </si>
  <si>
    <t>bathtub refinishing in tyler texas</t>
  </si>
  <si>
    <t>bathtub refinishing in weekiwachee gardens fl</t>
  </si>
  <si>
    <t>bathtub refinishing indiana</t>
  </si>
  <si>
    <t>bathtub refinishing jackson ms</t>
  </si>
  <si>
    <t>bathtub refinishing jackson tn</t>
  </si>
  <si>
    <t>bathtub refinishing jacksonville florida</t>
  </si>
  <si>
    <t>bathtub refinishing jobs</t>
  </si>
  <si>
    <t>bathtub refinishing jupiter fl</t>
  </si>
  <si>
    <t>bathtub refinishing kansas city mo</t>
  </si>
  <si>
    <t>bathtub refinishing katy tx</t>
  </si>
  <si>
    <t>bathtub refinishing kit amazon</t>
  </si>
  <si>
    <t>bathtub refinishing kit canada</t>
  </si>
  <si>
    <t>bathtub refinishing kit colors</t>
  </si>
  <si>
    <t>bathtub refinishing kit lowe's</t>
  </si>
  <si>
    <t>bathtub refinishing kit menards</t>
  </si>
  <si>
    <t>bathtub refinishing kit near me</t>
  </si>
  <si>
    <t>bathtub refinishing kit walmart</t>
  </si>
  <si>
    <t>bathtub refinishing knoxville</t>
  </si>
  <si>
    <t>bathtub refinishing knoxville tn</t>
  </si>
  <si>
    <t>bathtub refinishing kokomo</t>
  </si>
  <si>
    <t>bathtub refinishing kuna</t>
  </si>
  <si>
    <t>bathtub refinishing lafayette</t>
  </si>
  <si>
    <t>bathtub refinishing lafayette la</t>
  </si>
  <si>
    <t>bathtub refinishing lakeland fl</t>
  </si>
  <si>
    <t>bathtub refinishing lancaster pa</t>
  </si>
  <si>
    <t>bathtub refinishing lansing mi</t>
  </si>
  <si>
    <t>bathtub refinishing las vegas nv</t>
  </si>
  <si>
    <t>bathtub refinishing lazy lake</t>
  </si>
  <si>
    <t>bathtub refinishing lehigh valley pa</t>
  </si>
  <si>
    <t>bathtub refinishing lexington ky</t>
  </si>
  <si>
    <t>bathtub refinishing license</t>
  </si>
  <si>
    <t>bathtub refinishing lincoln ne</t>
  </si>
  <si>
    <t>bathtub refinishing little rock</t>
  </si>
  <si>
    <t>bathtub refinishing little rock ar</t>
  </si>
  <si>
    <t>bathtub refinishing livonia</t>
  </si>
  <si>
    <t>bathtub refinishing long island ny</t>
  </si>
  <si>
    <t>bathtub refinishing lowell ma</t>
  </si>
  <si>
    <t>bathtub refinishing lubbock tx</t>
  </si>
  <si>
    <t>bathtub refinishing lynchburg va</t>
  </si>
  <si>
    <t>bathtub refinishing macon ga</t>
  </si>
  <si>
    <t>bathtub refinishing madison</t>
  </si>
  <si>
    <t>bathtub refinishing madison wi</t>
  </si>
  <si>
    <t>bathtub refinishing maine</t>
  </si>
  <si>
    <t>bathtub refinishing manchester nh</t>
  </si>
  <si>
    <t>bathtub refinishing marietta ga</t>
  </si>
  <si>
    <t>bathtub refinishing materials</t>
  </si>
  <si>
    <t>bathtub refinishing maui</t>
  </si>
  <si>
    <t>bathtub refinishing medford oregon</t>
  </si>
  <si>
    <t>bathtub refinishing melbourne fl</t>
  </si>
  <si>
    <t>bathtub refinishing mesa az</t>
  </si>
  <si>
    <t>bathtub refinishing metairie</t>
  </si>
  <si>
    <t>bathtub refinishing mn</t>
  </si>
  <si>
    <t>bathtub refinishing mobile al</t>
  </si>
  <si>
    <t>bathtub refinishing modesto ca</t>
  </si>
  <si>
    <t>bathtub refinishing montgomery al</t>
  </si>
  <si>
    <t>bathtub refinishing montreal</t>
  </si>
  <si>
    <t>bathtub refinishing morristown</t>
  </si>
  <si>
    <t>bathtub refinishing murfreesboro tn</t>
  </si>
  <si>
    <t>bathtub refinishing myrtle beach sc</t>
  </si>
  <si>
    <t>bathtub refinishing nampa</t>
  </si>
  <si>
    <t>bathtub refinishing naperville</t>
  </si>
  <si>
    <t>bathtub refinishing naperville il</t>
  </si>
  <si>
    <t>bathtub refinishing naples</t>
  </si>
  <si>
    <t>bathtub refinishing naples fl</t>
  </si>
  <si>
    <t>bathtub refinishing nassau</t>
  </si>
  <si>
    <t>bathtub refinishing new orleans</t>
  </si>
  <si>
    <t>bathtub refinishing new orleans la</t>
  </si>
  <si>
    <t>bathtub refinishing nh</t>
  </si>
  <si>
    <t>bathtub refinishing non slip</t>
  </si>
  <si>
    <t>bathtub refinishing norfolk va</t>
  </si>
  <si>
    <t>bathtub refinishing northern virginia</t>
  </si>
  <si>
    <t>bathtub refinishing oakland</t>
  </si>
  <si>
    <t>bathtub refinishing oakland ca</t>
  </si>
  <si>
    <t>bathtub refinishing ocala fl</t>
  </si>
  <si>
    <t>bathtub refinishing ogden utah</t>
  </si>
  <si>
    <t>bathtub refinishing okc</t>
  </si>
  <si>
    <t>bathtub refinishing oklahoma city</t>
  </si>
  <si>
    <t>bathtub refinishing omaha</t>
  </si>
  <si>
    <t>bathtub refinishing omaha ne</t>
  </si>
  <si>
    <t>bathtub refinishing options</t>
  </si>
  <si>
    <t>bathtub refinishing orange county ca</t>
  </si>
  <si>
    <t>bathtub refinishing paint home depot</t>
  </si>
  <si>
    <t>bathtub refinishing paint kit</t>
  </si>
  <si>
    <t>bathtub refinishing palm beach</t>
  </si>
  <si>
    <t>bathtub refinishing palm beach county</t>
  </si>
  <si>
    <t>bathtub refinishing pensacola</t>
  </si>
  <si>
    <t>bathtub refinishing pensacola fl</t>
  </si>
  <si>
    <t>bathtub refinishing peoria il</t>
  </si>
  <si>
    <t>bathtub refinishing philadelphia pa</t>
  </si>
  <si>
    <t>bathtub refinishing plano</t>
  </si>
  <si>
    <t>bathtub refinishing plano tx</t>
  </si>
  <si>
    <t>bathtub refinishing pompano beach</t>
  </si>
  <si>
    <t>bathtub refinishing portland maine</t>
  </si>
  <si>
    <t>bathtub refinishing portland me</t>
  </si>
  <si>
    <t>bathtub refinishing pros</t>
  </si>
  <si>
    <t>bathtub refinishing quad cities</t>
  </si>
  <si>
    <t>bathtub refinishing quote</t>
  </si>
  <si>
    <t>bathtub refinishing redding ca</t>
  </si>
  <si>
    <t>bathtub refinishing reddit</t>
  </si>
  <si>
    <t>bathtub refinishing referral network</t>
  </si>
  <si>
    <t>bathtub refinishing reno</t>
  </si>
  <si>
    <t>bathtub refinishing reno nv</t>
  </si>
  <si>
    <t>bathtub refinishing roanoke va</t>
  </si>
  <si>
    <t>bathtub refinishing rochester mn</t>
  </si>
  <si>
    <t>bathtub refinishing rockford il</t>
  </si>
  <si>
    <t>bathtub refinishing roswell ga</t>
  </si>
  <si>
    <t>bathtub refinishing salem oregon</t>
  </si>
  <si>
    <t>bathtub refinishing salt lake city</t>
  </si>
  <si>
    <t>bathtub refinishing san francisco</t>
  </si>
  <si>
    <t>bathtub refinishing san francisco bay area</t>
  </si>
  <si>
    <t>bathtub refinishing san jose</t>
  </si>
  <si>
    <t>bathtub refinishing san jose ca</t>
  </si>
  <si>
    <t>bathtub refinishing san luis obispo</t>
  </si>
  <si>
    <t>bathtub refinishing santa barbara</t>
  </si>
  <si>
    <t>bathtub refinishing santa barbara ca</t>
  </si>
  <si>
    <t>bathtub refinishing santa cruz</t>
  </si>
  <si>
    <t>bathtub refinishing sarasota</t>
  </si>
  <si>
    <t>bathtub refinishing sarasota florida</t>
  </si>
  <si>
    <t>bathtub refinishing savannah ga</t>
  </si>
  <si>
    <t>bathtub refinishing scottsdale az</t>
  </si>
  <si>
    <t>bathtub refinishing seattle washington</t>
  </si>
  <si>
    <t>bathtub refinishing seguin tx</t>
  </si>
  <si>
    <t>bathtub refinishing services san diego ca</t>
  </si>
  <si>
    <t>bathtub refinishing shreveport</t>
  </si>
  <si>
    <t>bathtub refinishing sioux falls</t>
  </si>
  <si>
    <t>bathtub refinishing sioux falls sd</t>
  </si>
  <si>
    <t>bathtub refinishing smell</t>
  </si>
  <si>
    <t>bathtub refinishing smryna</t>
  </si>
  <si>
    <t>bathtub refinishing south florida</t>
  </si>
  <si>
    <t>bathtub refinishing south jersey</t>
  </si>
  <si>
    <t>bathtub refinishing spokane</t>
  </si>
  <si>
    <t>bathtub refinishing spokane wa</t>
  </si>
  <si>
    <t>bathtub refinishing spray equipment</t>
  </si>
  <si>
    <t>bathtub refinishing spray home depot</t>
  </si>
  <si>
    <t>bathtub refinishing spray paint</t>
  </si>
  <si>
    <t>bathtub refinishing spring hill fl</t>
  </si>
  <si>
    <t>bathtub refinishing springfield il</t>
  </si>
  <si>
    <t>bathtub refinishing springfield ma</t>
  </si>
  <si>
    <t>bathtub refinishing springfield mo</t>
  </si>
  <si>
    <t>bathtub refinishing st paul mn</t>
  </si>
  <si>
    <t>bathtub refinishing st petersburg</t>
  </si>
  <si>
    <t>bathtub refinishing st petersburg fl</t>
  </si>
  <si>
    <t>bathtub refinishing stockton ca</t>
  </si>
  <si>
    <t>bathtub refinishing stuart fl</t>
  </si>
  <si>
    <t>bathtub refinishing syracuse ny</t>
  </si>
  <si>
    <t>bathtub refinishing tacoma</t>
  </si>
  <si>
    <t>bathtub refinishing tallahassee</t>
  </si>
  <si>
    <t>bathtub refinishing texas</t>
  </si>
  <si>
    <t>bathtub refinishing toledo</t>
  </si>
  <si>
    <t>bathtub refinishing toledo ohio</t>
  </si>
  <si>
    <t>bathtub refinishing toms river nj</t>
  </si>
  <si>
    <t>bathtub refinishing toronto</t>
  </si>
  <si>
    <t>bathtub refinishing torrance</t>
  </si>
  <si>
    <t>bathtub refinishing training near me</t>
  </si>
  <si>
    <t>bathtub refinishing traverse city</t>
  </si>
  <si>
    <t>bathtub refinishing twin cities</t>
  </si>
  <si>
    <t>bathtub refinishing tyler texas</t>
  </si>
  <si>
    <t>bathtub refinishing tyler tx</t>
  </si>
  <si>
    <t>bathtub refinishing utah</t>
  </si>
  <si>
    <t>bathtub refinishing valdosta ga</t>
  </si>
  <si>
    <t>bathtub refinishing vancouver</t>
  </si>
  <si>
    <t>bathtub refinishing vancouver bc</t>
  </si>
  <si>
    <t>bathtub refinishing vancouver wa</t>
  </si>
  <si>
    <t>bathtub refinishing ventura county</t>
  </si>
  <si>
    <t>bathtub refinishing vermont</t>
  </si>
  <si>
    <t>bathtub refinishing video</t>
  </si>
  <si>
    <t>bathtub refinishing videos</t>
  </si>
  <si>
    <t>bathtub refinishing vs liners</t>
  </si>
  <si>
    <t>bathtub refinishing waco tx</t>
  </si>
  <si>
    <t>bathtub refinishing warren</t>
  </si>
  <si>
    <t>bathtub refinishing washington dc</t>
  </si>
  <si>
    <t>bathtub refinishing wausau wi</t>
  </si>
  <si>
    <t>bathtub refinishing west park</t>
  </si>
  <si>
    <t>bathtub refinishing westchester ny</t>
  </si>
  <si>
    <t>bathtub refinishing wichita</t>
  </si>
  <si>
    <t>bathtub refinishing wichita ks</t>
  </si>
  <si>
    <t>bathtub refinishing wilmington nc</t>
  </si>
  <si>
    <t>bathtub refinishing wilton manors</t>
  </si>
  <si>
    <t>bathtub refinishing winston salem</t>
  </si>
  <si>
    <t>bathtub refinishing winston salem nc</t>
  </si>
  <si>
    <t>bathtub refinishing with non-slip texture</t>
  </si>
  <si>
    <t>bathtub refinishing yelp</t>
  </si>
  <si>
    <t>bathtub refinishing york pa</t>
  </si>
  <si>
    <t>bathtub refinishing youngstown oh</t>
  </si>
  <si>
    <t>bathtub refinishing youngstown ohio</t>
  </si>
  <si>
    <t>bathtub refinishing youtube</t>
  </si>
  <si>
    <t>bathtub reglazing refinishing</t>
  </si>
  <si>
    <t>bathtub reglazing refinishing orange county</t>
  </si>
  <si>
    <t>bathtub restorations &amp; refinishing</t>
  </si>
  <si>
    <t>bathtub+refinishing+miami+fl</t>
  </si>
  <si>
    <t>bathworks diy bathtub and tile refinishing kit</t>
  </si>
  <si>
    <t>bathworks diy bathtub refinishing kit</t>
  </si>
  <si>
    <t>bay area bathtub refinishing</t>
  </si>
  <si>
    <t>beautiful finishes bathtub refinishing</t>
  </si>
  <si>
    <t>best bathtub refinishing companies in usa</t>
  </si>
  <si>
    <t>best diy bathtub refinishing kit</t>
  </si>
  <si>
    <t>best product to refinish bathtub</t>
  </si>
  <si>
    <t>best spray gun for bathtub refinishing</t>
  </si>
  <si>
    <t>best way to refinish bathtub</t>
  </si>
  <si>
    <t>boca raton commercial bathtub refinishing</t>
  </si>
  <si>
    <t>brookline commercial bathtub refinishing</t>
  </si>
  <si>
    <t>bt techs bathtub and tiles refinishing</t>
  </si>
  <si>
    <t>bt techs bathtub refinishing</t>
  </si>
  <si>
    <t>buffalo bathtub refinishing</t>
  </si>
  <si>
    <t>california bathtub refinishers</t>
  </si>
  <si>
    <t>california bathtub refinishers inc</t>
  </si>
  <si>
    <t>cheap bathtub refinishing</t>
  </si>
  <si>
    <t>chelmsford bathtub refinishing</t>
  </si>
  <si>
    <t>chicago odorless bathtub refinishing</t>
  </si>
  <si>
    <t>cleaning a refinished bathtub</t>
  </si>
  <si>
    <t>cmc bathtub refinishing</t>
  </si>
  <si>
    <t>commercial bathtub refinishing auburn</t>
  </si>
  <si>
    <t>commercial bathtub refinishing chesapeake</t>
  </si>
  <si>
    <t>commercial bathtub refinishing company joliet</t>
  </si>
  <si>
    <t>commercial bathtub refinishing company lewiston</t>
  </si>
  <si>
    <t>commercial bathtub refinishing company minneapolis</t>
  </si>
  <si>
    <t>commercial bathtub refinishing company owensboro</t>
  </si>
  <si>
    <t>commercial bathtub refinishing joliet</t>
  </si>
  <si>
    <t>commercial bathtub refinishing lakewood</t>
  </si>
  <si>
    <t>commercial bathtub refinishing service auburn</t>
  </si>
  <si>
    <t>commercial bathtub refinishing service casper</t>
  </si>
  <si>
    <t>commercial bathtub refinishing service cheyenne</t>
  </si>
  <si>
    <t>commercial bathtub refinishing service gulfport</t>
  </si>
  <si>
    <t>commercial bathtub refinishing service joliet</t>
  </si>
  <si>
    <t>commercial bathtub refinishing service lexington</t>
  </si>
  <si>
    <t>commercial bathtub refinishing service provo</t>
  </si>
  <si>
    <t>commercial bathtub refinishing service rockford</t>
  </si>
  <si>
    <t>commercial bathtub refinishing solutions</t>
  </si>
  <si>
    <t>commercial bathtub refinishing specialists</t>
  </si>
  <si>
    <t>commercial bathtub refinishing virginia beach</t>
  </si>
  <si>
    <t>concord bathtub refinishing</t>
  </si>
  <si>
    <t>cost-effective bathtub refinishing</t>
  </si>
  <si>
    <t>cozy bathtub reglazing &amp; refinishing</t>
  </si>
  <si>
    <t>cultured marble bathtub refinishing</t>
  </si>
  <si>
    <t>cutting edge bathtub refinishing</t>
  </si>
  <si>
    <t>dallas bathtub refinishing reviews</t>
  </si>
  <si>
    <t>dayton bathtub refinishing</t>
  </si>
  <si>
    <t>dc bathtub refinishing</t>
  </si>
  <si>
    <t>dedham bathtub refinishing</t>
  </si>
  <si>
    <t>dedham commercial bathtub refinishing</t>
  </si>
  <si>
    <t>deluxe bathtub refinishing</t>
  </si>
  <si>
    <t>difference between reglazing and refinishing a bathtub</t>
  </si>
  <si>
    <t>diy bathtub refinishing kit reviews</t>
  </si>
  <si>
    <t>diy bathtub refinishing spray</t>
  </si>
  <si>
    <t>diy fiberglass bathtub refinishing</t>
  </si>
  <si>
    <t>dover bathtub refinishing</t>
  </si>
  <si>
    <t>eah bathtub refinishing</t>
  </si>
  <si>
    <t>easy bathtub refinishing</t>
  </si>
  <si>
    <t>edmond bathtub refinishing</t>
  </si>
  <si>
    <t>ekopel 2k bathtub refinishing</t>
  </si>
  <si>
    <t>ekopel 2k bathtub refinishing kit home depot</t>
  </si>
  <si>
    <t>ekopel 2k bathtub refinishing kit instructions</t>
  </si>
  <si>
    <t>ekopel 2k bathtub refinishing kit near me</t>
  </si>
  <si>
    <t>ekopel 2k bathtub refinishing kit reviews</t>
  </si>
  <si>
    <t>ekopel 2k bathtub refinishing kit video</t>
  </si>
  <si>
    <t>ekopel bathtub refinishing</t>
  </si>
  <si>
    <t>everglaze coatings bathtub refinishing and reglazing services nottingham reviews</t>
  </si>
  <si>
    <t>ez bathtub refinishing</t>
  </si>
  <si>
    <t>five star bathtub reglazing &amp; refinishing</t>
  </si>
  <si>
    <t>florida bathtub refinishing corp</t>
  </si>
  <si>
    <t>florida bathtub refinishing reviews</t>
  </si>
  <si>
    <t>florida bathtub refinishing tampa</t>
  </si>
  <si>
    <t>fox valley bathtub refinishing</t>
  </si>
  <si>
    <t>get a grip bathtub refinishing</t>
  </si>
  <si>
    <t>gfr bathtub refinishing</t>
  </si>
  <si>
    <t>green bathtub refinishing</t>
  </si>
  <si>
    <t>hawk bathtub refinishing</t>
  </si>
  <si>
    <t>homax bathtub refinishing</t>
  </si>
  <si>
    <t>hotel bathtub refinishing georgia</t>
  </si>
  <si>
    <t>hotel bathtub refinishing naperville</t>
  </si>
  <si>
    <t>houston bathtub refinishing</t>
  </si>
  <si>
    <t>jd bathtub refinishers</t>
  </si>
  <si>
    <t>jersey bathtub refinishing reviews</t>
  </si>
  <si>
    <t>local bathtub refinishing bellevue wa</t>
  </si>
  <si>
    <t>local bathtub refinishing kirkland wa</t>
  </si>
  <si>
    <t>local bathtub refinishing seattle wa</t>
  </si>
  <si>
    <t>low voc bathtub refinishing</t>
  </si>
  <si>
    <t>lynnfield bathtub refinishing</t>
  </si>
  <si>
    <t>magic bathtub refinishing</t>
  </si>
  <si>
    <t>magic bathtub refinishing kit</t>
  </si>
  <si>
    <t>mansfield bathtub refinishing</t>
  </si>
  <si>
    <t>maui bathtub refinishing</t>
  </si>
  <si>
    <t>menards bathtub refinishing kit</t>
  </si>
  <si>
    <t>miami bathtub refinishing</t>
  </si>
  <si>
    <t>midwest chemicals bathtub refinishing</t>
  </si>
  <si>
    <t>milligan bathtub refinishing</t>
  </si>
  <si>
    <t>milton bathtub refinishing</t>
  </si>
  <si>
    <t>miracle method bathtub refinishing reviews</t>
  </si>
  <si>
    <t>miracle tub refinishing bathtub refinishing</t>
  </si>
  <si>
    <t>monroe bathtub refinishing</t>
  </si>
  <si>
    <t>mr ugly bathtub refinishing</t>
  </si>
  <si>
    <t>napco bathtub refinishing</t>
  </si>
  <si>
    <t>new shine bathtub refinishing</t>
  </si>
  <si>
    <t>new vision bathtub refinishing</t>
  </si>
  <si>
    <t>newton commercial bathtub refinishing</t>
  </si>
  <si>
    <t>non toxic bathtub refinishing</t>
  </si>
  <si>
    <t>north coast bathtub refinishing</t>
  </si>
  <si>
    <t>nu finish bathtub refinishing</t>
  </si>
  <si>
    <t>nu look bathtub refinishing</t>
  </si>
  <si>
    <t>odorless bathtub refinishing chicago</t>
  </si>
  <si>
    <t>old bathtub refinishing</t>
  </si>
  <si>
    <t>pacific bathtub refinishers</t>
  </si>
  <si>
    <t>perma glaze bathtub refinishing</t>
  </si>
  <si>
    <t>pittsburgh bathtub refinishing reviews</t>
  </si>
  <si>
    <t>plastic bathtub refinishing</t>
  </si>
  <si>
    <t>polyurethane bathtub refinishing</t>
  </si>
  <si>
    <t>porcelite bathtub refinishing</t>
  </si>
  <si>
    <t>porcelite bathtub refinishing mn</t>
  </si>
  <si>
    <t>premier glaze bathtub refinishing</t>
  </si>
  <si>
    <t>prestige bathtub refinishing</t>
  </si>
  <si>
    <t>professional anti-slip bathtub refinishing</t>
  </si>
  <si>
    <t>professional bathtub refinishers association</t>
  </si>
  <si>
    <t>professional bathtub refinishing near me</t>
  </si>
  <si>
    <t>professional bathtub refinishing products</t>
  </si>
  <si>
    <t>protub refinish bathtub refinishing &amp; reglazing</t>
  </si>
  <si>
    <t>rainbow bathtub refinishers</t>
  </si>
  <si>
    <t>rainbow bathtub refinishers hawaii</t>
  </si>
  <si>
    <t>randolph bathtub refinishing</t>
  </si>
  <si>
    <t>reading bathtub refinishing</t>
  </si>
  <si>
    <t>refinish a bathtub yourself</t>
  </si>
  <si>
    <t>refinish bathtub and tile</t>
  </si>
  <si>
    <t>refinish bathtub holland</t>
  </si>
  <si>
    <t>refinish bathtub insert</t>
  </si>
  <si>
    <t>refinish bathtub kalamazoo</t>
  </si>
  <si>
    <t>refinish bathtub tile hollywood fl</t>
  </si>
  <si>
    <t>refinish enamel bathtub</t>
  </si>
  <si>
    <t>refinish metal bathtub</t>
  </si>
  <si>
    <t>refinish mobile home bathtub</t>
  </si>
  <si>
    <t>refinish or reglaze the bathtub</t>
  </si>
  <si>
    <t>refinish vs replace bathtub</t>
  </si>
  <si>
    <t>refinished bathtub cleaner</t>
  </si>
  <si>
    <t>refinished bathtub mat</t>
  </si>
  <si>
    <t>refinished bathtub solutions</t>
  </si>
  <si>
    <t>refinishing a plastic bathtub</t>
  </si>
  <si>
    <t>refinishing acrylic bathtubs</t>
  </si>
  <si>
    <t>refinishing bathtub tile</t>
  </si>
  <si>
    <t>refinishing bathtub tiles</t>
  </si>
  <si>
    <t>refinishing old bathtub</t>
  </si>
  <si>
    <t>refinishing old bathtubs</t>
  </si>
  <si>
    <t>refinishing plastic bathtub</t>
  </si>
  <si>
    <t>refinishing pros - bathtub and tile</t>
  </si>
  <si>
    <t>renew bathtub refinishing</t>
  </si>
  <si>
    <t>renew it bathtub refinishing</t>
  </si>
  <si>
    <t>replace or refinish bathtub</t>
  </si>
  <si>
    <t>resurface solutions bathtub refinishing</t>
  </si>
  <si>
    <t>rustoleum bathtub refinish</t>
  </si>
  <si>
    <t>rustoleum bathtub refinish kit</t>
  </si>
  <si>
    <t>rustoleum bathtub refinishing kit reviews</t>
  </si>
  <si>
    <t>sam's bathtub refinishing</t>
  </si>
  <si>
    <t>san diego bathtub refinishers</t>
  </si>
  <si>
    <t>san diego bathtub refinishing</t>
  </si>
  <si>
    <t>scorpio bathtub refinishing</t>
  </si>
  <si>
    <t>sfl bathtub refinishing</t>
  </si>
  <si>
    <t>sherwin williams bathtub refinishing</t>
  </si>
  <si>
    <t>sherwin williams bathtub refinishing kit</t>
  </si>
  <si>
    <t>shurbond bathtub refinishing</t>
  </si>
  <si>
    <t>slip-resistant bathtub refinishing</t>
  </si>
  <si>
    <t>smooth bathtub refinishing</t>
  </si>
  <si>
    <t>soggy bottom bathtub refinishing</t>
  </si>
  <si>
    <t>somerville bathtub refinishing</t>
  </si>
  <si>
    <t>south florida bathtub and tile refinishing</t>
  </si>
  <si>
    <t>spr bathtub refinishing</t>
  </si>
  <si>
    <t>steel bathtub refinishing kit</t>
  </si>
  <si>
    <t>sterling bathtub refinishing</t>
  </si>
  <si>
    <t>stoneham bathtub refinishing</t>
  </si>
  <si>
    <t>sudbury bathtub refinishing</t>
  </si>
  <si>
    <t>superior bathtub refinishing reviews</t>
  </si>
  <si>
    <t>surface pro bathtub refinishing</t>
  </si>
  <si>
    <t>tampa bathtub refinishing</t>
  </si>
  <si>
    <t>texas bathtub refinishers</t>
  </si>
  <si>
    <t>texas bathtub refinishers inc</t>
  </si>
  <si>
    <t>the original refinished bathtub mat</t>
  </si>
  <si>
    <t>thermoglaze bathtub refinishing</t>
  </si>
  <si>
    <t>this old house bathtub refinishing</t>
  </si>
  <si>
    <t>top rated bathtub refinishing</t>
  </si>
  <si>
    <t>topkote bathtub refinishing</t>
  </si>
  <si>
    <t>topkote bathtub refinishing reviews</t>
  </si>
  <si>
    <t>tough as tile tub &amp; tile bathtub refinishing</t>
  </si>
  <si>
    <t>tub coaters bathtub and tile refinishing</t>
  </si>
  <si>
    <t>tubman bathtub refinishing</t>
  </si>
  <si>
    <t>types of bathtub refinishing</t>
  </si>
  <si>
    <t>unique bathtub refinishing</t>
  </si>
  <si>
    <t>usa bathtub &amp; tile refinishing</t>
  </si>
  <si>
    <t>usa bathtub refinishing</t>
  </si>
  <si>
    <t>utah bathtub refinish</t>
  </si>
  <si>
    <t>valley bathtub refinishing</t>
  </si>
  <si>
    <t>virginia bathtub refinishing</t>
  </si>
  <si>
    <t>virginia bathtub refinishing reviews</t>
  </si>
  <si>
    <t>walk-in bathtub refinishing</t>
  </si>
  <si>
    <t>weston bathtub refinishing</t>
  </si>
  <si>
    <t>westwood bathtub refinishing</t>
  </si>
  <si>
    <t>yelp bathtub refinishing</t>
  </si>
  <si>
    <t>youtube bathtub refinishing</t>
  </si>
  <si>
    <t>youtube refinish bathtub</t>
  </si>
  <si>
    <t>22 oz. diy bathtub refinish kit with slipguard in white</t>
  </si>
  <si>
    <t>aaa bathtub refinishers san diego</t>
  </si>
  <si>
    <t>aaa bathtub refinishers san diego ca</t>
  </si>
  <si>
    <t>aaa bathtub refinishing reviews</t>
  </si>
  <si>
    <t>aaa bathtub refinishing san diego</t>
  </si>
  <si>
    <t>acrylic bathtub refinishing paint</t>
  </si>
  <si>
    <t>advanced bathtub refinishing austin</t>
  </si>
  <si>
    <t>advanced bathtub refinishing austin tx</t>
  </si>
  <si>
    <t>alternative bathtub refinishers</t>
  </si>
  <si>
    <t>american bathtub refinishers columbus ohio</t>
  </si>
  <si>
    <t>american bathtub refinishing inc</t>
  </si>
  <si>
    <t>anti-slip bathtub refinishing options</t>
  </si>
  <si>
    <t>antique bathtub refinishing alpharetta</t>
  </si>
  <si>
    <t>antique bathtub refinishing suwanee</t>
  </si>
  <si>
    <t>aquafinish bathtub and tile refinishing kit</t>
  </si>
  <si>
    <t>aquafinish bathtub and tile refinishing kit canada</t>
  </si>
  <si>
    <t>aquafinish bathtub refinishing kit</t>
  </si>
  <si>
    <t>armoglaze bathtub refinishing kit reviews</t>
  </si>
  <si>
    <t>armoglaze odorless bathtub refinishing</t>
  </si>
  <si>
    <t>armoglaze usa-made bathtub refinishing kit easy pour-on application</t>
  </si>
  <si>
    <t>armour bathtub refinishing</t>
  </si>
  <si>
    <t>artistic bathtub refinishing</t>
  </si>
  <si>
    <t>atlanta bathtub refinishing</t>
  </si>
  <si>
    <t>bathtub &amp; tile refinishing coatings</t>
  </si>
  <si>
    <t>bathtub and shower refinishing ottawa</t>
  </si>
  <si>
    <t>bathtub coating refinishing charlotte nc</t>
  </si>
  <si>
    <t>bathtub coating refinishing in charlotte nc</t>
  </si>
  <si>
    <t>bathtub enamel refinishing kit</t>
  </si>
  <si>
    <t>bathtub king refinishing ltd</t>
  </si>
  <si>
    <t>bathtub king refinishing reviews</t>
  </si>
  <si>
    <t>bathtub porcelain refinishing</t>
  </si>
  <si>
    <t>bathtub refinish in tracy ca</t>
  </si>
  <si>
    <t>bathtub refinish spray</t>
  </si>
  <si>
    <t>bathtub refinishing &amp; repair 89120</t>
  </si>
  <si>
    <t>bathtub refinishing &amp; repair services las vegas nv</t>
  </si>
  <si>
    <t>bathtub refinishing 83704</t>
  </si>
  <si>
    <t>bathtub refinishing 83706</t>
  </si>
  <si>
    <t>bathtub refinishing 83712</t>
  </si>
  <si>
    <t>bathtub refinishing 89120</t>
  </si>
  <si>
    <t>bathtub refinishing acworth ga</t>
  </si>
  <si>
    <t>bathtub refinishing and fiberglass expert llc</t>
  </si>
  <si>
    <t>bathtub refinishing ann arbor</t>
  </si>
  <si>
    <t>bathtub refinishing annapolis md</t>
  </si>
  <si>
    <t>bathtub refinishing appleton wi</t>
  </si>
  <si>
    <t>bathtub refinishing association of america</t>
  </si>
  <si>
    <t>bathtub refinishing atlanta reviews</t>
  </si>
  <si>
    <t>bathtub refinishing aurora il</t>
  </si>
  <si>
    <t>bathtub refinishing aventura</t>
  </si>
  <si>
    <t>bathtub refinishing ball ground ga</t>
  </si>
  <si>
    <t>bathtub refinishing basics</t>
  </si>
  <si>
    <t>bathtub refinishing bethesda</t>
  </si>
  <si>
    <t>bathtub refinishing birmingham alabama</t>
  </si>
  <si>
    <t>bathtub refinishing blairsville ga</t>
  </si>
  <si>
    <t>bathtub refinishing bloomington il</t>
  </si>
  <si>
    <t>bathtub refinishing bloomington in</t>
  </si>
  <si>
    <t>bathtub refinishing blue ridge ga</t>
  </si>
  <si>
    <t>bathtub refinishing boca raton fl</t>
  </si>
  <si>
    <t>bathtub refinishing boise id</t>
  </si>
  <si>
    <t>bathtub refinishing boulder co</t>
  </si>
  <si>
    <t>bathtub refinishing boulevard gardens</t>
  </si>
  <si>
    <t>bathtub refinishing bowie md</t>
  </si>
  <si>
    <t>bathtub refinishing brandon</t>
  </si>
  <si>
    <t>bathtub refinishing brandon fl</t>
  </si>
  <si>
    <t>bathtub refinishing brentwood ca</t>
  </si>
  <si>
    <t>bathtub refinishing bridgewater</t>
  </si>
  <si>
    <t>bathtub refinishing brookhaven</t>
  </si>
  <si>
    <t>bathtub refinishing brooklyn</t>
  </si>
  <si>
    <t>bathtub refinishing buckhead</t>
  </si>
  <si>
    <t>bathtub refinishing calgary</t>
  </si>
  <si>
    <t>bathtub refinishing camarillo</t>
  </si>
  <si>
    <t>bathtub refinishing canada</t>
  </si>
  <si>
    <t>bathtub refinishing canton ga</t>
  </si>
  <si>
    <t>bathtub refinishing cape coral</t>
  </si>
  <si>
    <t>bathtub refinishing cape coral fl</t>
  </si>
  <si>
    <t>bathtub refinishing carlsbad ca</t>
  </si>
  <si>
    <t>bathtub refinishing cedar rapids iowa</t>
  </si>
  <si>
    <t>bathtub refinishing chamblee</t>
  </si>
  <si>
    <t>bathtub refinishing champaign il</t>
  </si>
  <si>
    <t>bathtub refinishing chandler az</t>
  </si>
  <si>
    <t>bathtub refinishing cherry hill nj</t>
  </si>
  <si>
    <t>bathtub refinishing chesapeake va</t>
  </si>
  <si>
    <t>bathtub refinishing chicago area</t>
  </si>
  <si>
    <t>bathtub refinishing chicago reviews</t>
  </si>
  <si>
    <t>bathtub refinishing clarksville tn</t>
  </si>
  <si>
    <t>bathtub refinishing coating</t>
  </si>
  <si>
    <t>bathtub refinishing coconut creek</t>
  </si>
  <si>
    <t>bathtub refinishing college park ga</t>
  </si>
  <si>
    <t>bathtub refinishing colorado</t>
  </si>
  <si>
    <t>bathtub refinishing columbia md</t>
  </si>
  <si>
    <t>bathtub refinishing columbia mo</t>
  </si>
  <si>
    <t>bathtub refinishing companies grand rapids</t>
  </si>
  <si>
    <t>bathtub refinishing companies holland</t>
  </si>
  <si>
    <t>bathtub refinishing companies in miami</t>
  </si>
  <si>
    <t>bathtub refinishing companies kalamazoo</t>
  </si>
  <si>
    <t>bathtub refinishing companies muskegon</t>
  </si>
  <si>
    <t>bathtub refinishing companies seattle wa</t>
  </si>
  <si>
    <t>bathtub refinishing company braselton</t>
  </si>
  <si>
    <t>bathtub refinishing company sacramento ca</t>
  </si>
  <si>
    <t>bathtub refinishing company suwanee</t>
  </si>
  <si>
    <t>bathtub refinishing concord ca</t>
  </si>
  <si>
    <t>bathtub refinishing conroe tx</t>
  </si>
  <si>
    <t>bathtub refinishing contractor</t>
  </si>
  <si>
    <t>bathtub refinishing cooper city</t>
  </si>
  <si>
    <t>bathtub refinishing cottondale</t>
  </si>
  <si>
    <t>bathtub refinishing cumming</t>
  </si>
  <si>
    <t>bathtub refinishing danbury ct</t>
  </si>
  <si>
    <t>bathtub refinishing dania beach</t>
  </si>
  <si>
    <t>bathtub refinishing davie</t>
  </si>
  <si>
    <t>bathtub refinishing daytona</t>
  </si>
  <si>
    <t>bathtub refinishing deerfield beach</t>
  </si>
  <si>
    <t>bathtub refinishing dekalb il</t>
  </si>
  <si>
    <t>bathtub refinishing denton tx</t>
  </si>
  <si>
    <t>bathtub refinishing des moines</t>
  </si>
  <si>
    <t>bathtub refinishing detroit mi</t>
  </si>
  <si>
    <t>bathtub refinishing dfw</t>
  </si>
  <si>
    <t>bathtub refinishing discovery bay ca</t>
  </si>
  <si>
    <t>bathtub refinishing dunwoody</t>
  </si>
  <si>
    <t>bathtub refinishing edmonton</t>
  </si>
  <si>
    <t>bathtub refinishing everett wa</t>
  </si>
  <si>
    <t>bathtub refinishing fairfax va</t>
  </si>
  <si>
    <t>bathtub refinishing fargo nd</t>
  </si>
  <si>
    <t>bathtub refinishing fayetteville ga</t>
  </si>
  <si>
    <t>bathtub refinishing flagstaff az</t>
  </si>
  <si>
    <t>bathtub refinishing florida</t>
  </si>
  <si>
    <t>bathtub refinishing forum</t>
  </si>
  <si>
    <t>bathtub refinishing franklin park</t>
  </si>
  <si>
    <t>bathtub refinishing freeport il</t>
  </si>
  <si>
    <t>bathtub refinishing gastonia nc</t>
  </si>
  <si>
    <t>bathtub refinishing glendale ca</t>
  </si>
  <si>
    <t>bathtub refinishing grand junction co</t>
  </si>
  <si>
    <t>bathtub refinishing grass valley ca</t>
  </si>
  <si>
    <t>bathtub refinishing greenwood sc</t>
  </si>
  <si>
    <t>bathtub refinishing griffin ga</t>
  </si>
  <si>
    <t>bathtub refinishing hallandale</t>
  </si>
  <si>
    <t>bathtub refinishing helen ga</t>
  </si>
  <si>
    <t>bathtub refinishing hendersonville nc</t>
  </si>
  <si>
    <t>bathtub refinishing hickory nc</t>
  </si>
  <si>
    <t>bathtub refinishing highland beach</t>
  </si>
  <si>
    <t>bathtub refinishing hillsboro beach</t>
  </si>
  <si>
    <t>bathtub refinishing hornsby</t>
  </si>
  <si>
    <t>bathtub refinishing hoschton ga</t>
  </si>
  <si>
    <t>bathtub refinishing houston texas</t>
  </si>
  <si>
    <t>bathtub refinishing hudson</t>
  </si>
  <si>
    <t>bathtub refinishing huntington wv</t>
  </si>
  <si>
    <t>bathtub refinishing il</t>
  </si>
  <si>
    <t>bathtub refinishing illinois</t>
  </si>
  <si>
    <t>bathtub refinishing in ayers fl</t>
  </si>
  <si>
    <t>bathtub refinishing in bayonet point fl</t>
  </si>
  <si>
    <t>bathtub refinishing in bradenton fl</t>
  </si>
  <si>
    <t>bathtub refinishing in brandon fl</t>
  </si>
  <si>
    <t>bathtub refinishing in brentwood ca</t>
  </si>
  <si>
    <t>bathtub refinishing in detroit</t>
  </si>
  <si>
    <t>bathtub refinishing in dunedin fl</t>
  </si>
  <si>
    <t>bathtub refinishing in garden grove fl</t>
  </si>
  <si>
    <t>bathtub refinishing in lakeland fl</t>
  </si>
  <si>
    <t>bathtub refinishing in land o' lakes fl</t>
  </si>
  <si>
    <t>bathtub refinishing in loyce fl</t>
  </si>
  <si>
    <t>bathtub refinishing in lutz fl</t>
  </si>
  <si>
    <t>bathtub refinishing in massachusetts</t>
  </si>
  <si>
    <t>bathtub refinishing in md</t>
  </si>
  <si>
    <t>bathtub refinishing in miami</t>
  </si>
  <si>
    <t>bathtub refinishing in odessa fl</t>
  </si>
  <si>
    <t>bathtub refinishing in oldsmar fl</t>
  </si>
  <si>
    <t>bathtub refinishing in ozona fl</t>
  </si>
  <si>
    <t>bathtub refinishing in port richey fl</t>
  </si>
  <si>
    <t>bathtub refinishing in riverview fl</t>
  </si>
  <si>
    <t>bathtub refinishing in san diego</t>
  </si>
  <si>
    <t>bathtub refinishing in shady hills fl</t>
  </si>
  <si>
    <t>bathtub refinishing in tampa fl</t>
  </si>
  <si>
    <t>bathtub refinishing in tarpon springs fl</t>
  </si>
  <si>
    <t>bathtub refinishing in weeki wachee acres fl</t>
  </si>
  <si>
    <t>bathtub refinishing in weeki wachee gardens fl</t>
  </si>
  <si>
    <t>bathtub refinishing in weekiwachee woodlands fl</t>
  </si>
  <si>
    <t>bathtub refinishing in willow sink fl</t>
  </si>
  <si>
    <t>bathtub refinishing in ybor fl</t>
  </si>
  <si>
    <t>bathtub refinishing independence mo</t>
  </si>
  <si>
    <t>bathtub refinishing inland empire</t>
  </si>
  <si>
    <t>bathtub refinishing iowa</t>
  </si>
  <si>
    <t>bathtub refinishing iowa city</t>
  </si>
  <si>
    <t>bathtub refinishing jax fl</t>
  </si>
  <si>
    <t>bathtub refinishing johns creek</t>
  </si>
  <si>
    <t>bathtub refinishing johnson city tn</t>
  </si>
  <si>
    <t>bathtub refinishing joliet il</t>
  </si>
  <si>
    <t>bathtub refinishing joplin mo</t>
  </si>
  <si>
    <t>bathtub refinishing jupiter</t>
  </si>
  <si>
    <t>bathtub refinishing kalamazoo mi</t>
  </si>
  <si>
    <t>bathtub refinishing kc</t>
  </si>
  <si>
    <t>bathtub refinishing kenosha</t>
  </si>
  <si>
    <t>bathtub refinishing kentucky</t>
  </si>
  <si>
    <t>bathtub refinishing killeen tx</t>
  </si>
  <si>
    <t>bathtub refinishing kissimmee</t>
  </si>
  <si>
    <t>bathtub refinishing kit nearby</t>
  </si>
  <si>
    <t>bathtub refinishing kitchener</t>
  </si>
  <si>
    <t>bathtub refinishing kitsap county</t>
  </si>
  <si>
    <t>bathtub refinishing la crosse wi</t>
  </si>
  <si>
    <t>bathtub refinishing lafayette ga</t>
  </si>
  <si>
    <t>bathtub refinishing lafayette indiana</t>
  </si>
  <si>
    <t>bathtub refinishing lake worth</t>
  </si>
  <si>
    <t>bathtub refinishing lakeland</t>
  </si>
  <si>
    <t>bathtub refinishing lantana</t>
  </si>
  <si>
    <t>bathtub refinishing largo fl</t>
  </si>
  <si>
    <t>bathtub refinishing lauderdale by the sea</t>
  </si>
  <si>
    <t>bathtub refinishing lauderdale lakes</t>
  </si>
  <si>
    <t>bathtub refinishing lauderhill</t>
  </si>
  <si>
    <t>bathtub refinishing league city tx</t>
  </si>
  <si>
    <t>bathtub refinishing lighthouse point</t>
  </si>
  <si>
    <t>bathtub refinishing lilburn</t>
  </si>
  <si>
    <t>bathtub refinishing livermore ca</t>
  </si>
  <si>
    <t>bathtub refinishing lodi ca</t>
  </si>
  <si>
    <t>bathtub refinishing london ontario</t>
  </si>
  <si>
    <t>bathtub refinishing longmont</t>
  </si>
  <si>
    <t>bathtub refinishing longview texas</t>
  </si>
  <si>
    <t>bathtub refinishing longview tx</t>
  </si>
  <si>
    <t>bathtub refinishing longview wa</t>
  </si>
  <si>
    <t>bathtub refinishing lowell</t>
  </si>
  <si>
    <t>bathtub refinishing ma</t>
  </si>
  <si>
    <t>bathtub refinishing manassas va</t>
  </si>
  <si>
    <t>bathtub refinishing manhattan</t>
  </si>
  <si>
    <t>bathtub refinishing mankato mn</t>
  </si>
  <si>
    <t>bathtub refinishing margate</t>
  </si>
  <si>
    <t>bathtub refinishing marietta</t>
  </si>
  <si>
    <t>bathtub refinishing mcallen tx</t>
  </si>
  <si>
    <t>bathtub refinishing melbourne</t>
  </si>
  <si>
    <t>bathtub refinishing mesquite tx</t>
  </si>
  <si>
    <t>bathtub refinishing miramar</t>
  </si>
  <si>
    <t>bathtub refinishing mississauga</t>
  </si>
  <si>
    <t>bathtub refinishing modesto</t>
  </si>
  <si>
    <t>bathtub refinishing morganton ga</t>
  </si>
  <si>
    <t>bathtub refinishing nashua nh</t>
  </si>
  <si>
    <t>bathtub refinishing nc</t>
  </si>
  <si>
    <t>bathtub refinishing near clearwater</t>
  </si>
  <si>
    <t>bathtub refinishing near livonia mi</t>
  </si>
  <si>
    <t>bathtub refinishing nebraska</t>
  </si>
  <si>
    <t>bathtub refinishing new bern nc</t>
  </si>
  <si>
    <t>bathtub refinishing newton ma</t>
  </si>
  <si>
    <t>bathtub refinishing newton mass</t>
  </si>
  <si>
    <t>bathtub refinishing north atlanta ga</t>
  </si>
  <si>
    <t>bathtub refinishing north druid hills ga</t>
  </si>
  <si>
    <t>bathtub refinishing north lauderdale</t>
  </si>
  <si>
    <t>bathtub refinishing northwest indiana</t>
  </si>
  <si>
    <t>bathtub refinishing oakland park</t>
  </si>
  <si>
    <t>bathtub refinishing oceanside ca</t>
  </si>
  <si>
    <t>bathtub refinishing of atlanta reviews</t>
  </si>
  <si>
    <t>bathtub refinishing ohio</t>
  </si>
  <si>
    <t>bathtub refinishing olympia wa</t>
  </si>
  <si>
    <t>bathtub refinishing ontario</t>
  </si>
  <si>
    <t>bathtub refinishing oregon</t>
  </si>
  <si>
    <t>bathtub refinishing ottawa</t>
  </si>
  <si>
    <t>bathtub refinishing paducah ky</t>
  </si>
  <si>
    <t>bathtub refinishing paint lowes</t>
  </si>
  <si>
    <t>bathtub refinishing palm beach gardens</t>
  </si>
  <si>
    <t>bathtub refinishing palm desert</t>
  </si>
  <si>
    <t>bathtub refinishing palm springs ca</t>
  </si>
  <si>
    <t>bathtub refinishing panama city fl</t>
  </si>
  <si>
    <t>bathtub refinishing parkland</t>
  </si>
  <si>
    <t>bathtub refinishing pembroke park</t>
  </si>
  <si>
    <t>bathtub refinishing pictures</t>
  </si>
  <si>
    <t>bathtub refinishing pine island ridge</t>
  </si>
  <si>
    <t>bathtub refinishing pinellas county</t>
  </si>
  <si>
    <t>bathtub refinishing plantation</t>
  </si>
  <si>
    <t>bathtub refinishing plymouth mn</t>
  </si>
  <si>
    <t>bathtub refinishing port charlotte fl</t>
  </si>
  <si>
    <t>bathtub refinishing port st lucie fl</t>
  </si>
  <si>
    <t>bathtub refinishing pro columbia sc</t>
  </si>
  <si>
    <t>bathtub refinishing products home depot</t>
  </si>
  <si>
    <t>bathtub refinishing providence ri</t>
  </si>
  <si>
    <t>bathtub refinishing provo utah</t>
  </si>
  <si>
    <t>bathtub refinishing puerto rico</t>
  </si>
  <si>
    <t>bathtub refinishing queens</t>
  </si>
  <si>
    <t>bathtub refinishing racine wi</t>
  </si>
  <si>
    <t>bathtub refinishing reading pa</t>
  </si>
  <si>
    <t>bathtub refinishing redan ga</t>
  </si>
  <si>
    <t>bathtub refinishing redondo beach</t>
  </si>
  <si>
    <t>bathtub refinishing regina</t>
  </si>
  <si>
    <t>bathtub refinishing riviera beach</t>
  </si>
  <si>
    <t>bathtub refinishing rock hill sc</t>
  </si>
  <si>
    <t>bathtub refinishing rockville md</t>
  </si>
  <si>
    <t>bathtub refinishing roosevelt gardens</t>
  </si>
  <si>
    <t>bathtub refinishing rustoleum</t>
  </si>
  <si>
    <t>bathtub refinishing saginaw mi</t>
  </si>
  <si>
    <t>bathtub refinishing salinas ca</t>
  </si>
  <si>
    <t>bathtub refinishing san diego cost</t>
  </si>
  <si>
    <t>bathtub refinishing san francisco ca</t>
  </si>
  <si>
    <t>bathtub refinishing san mateo</t>
  </si>
  <si>
    <t>bathtub refinishing san mateo ca</t>
  </si>
  <si>
    <t>bathtub refinishing santa fe nm</t>
  </si>
  <si>
    <t>bathtub refinishing santa rosa ca</t>
  </si>
  <si>
    <t>bathtub refinishing sarasota fl</t>
  </si>
  <si>
    <t>bathtub refinishing scarborough</t>
  </si>
  <si>
    <t>bathtub refinishing schaumburg</t>
  </si>
  <si>
    <t>bathtub refinishing seattle cost</t>
  </si>
  <si>
    <t>bathtub refinishing services dallas-fort worth metroplex</t>
  </si>
  <si>
    <t>bathtub refinishing services near me</t>
  </si>
  <si>
    <t>bathtub refinishing services sacramento ca</t>
  </si>
  <si>
    <t>bathtub refinishing services seattle wa</t>
  </si>
  <si>
    <t>bathtub refinishing simi valley ca</t>
  </si>
  <si>
    <t>bathtub refinishing slidell la</t>
  </si>
  <si>
    <t>bathtub refinishing social circle ga</t>
  </si>
  <si>
    <t>bathtub refinishing solutions</t>
  </si>
  <si>
    <t>bathtub refinishing south orange</t>
  </si>
  <si>
    <t>bathtub refinishing south shore ma</t>
  </si>
  <si>
    <t>bathtub refinishing southwest ranches</t>
  </si>
  <si>
    <t>bathtub refinishing spartanburg sc</t>
  </si>
  <si>
    <t>bathtub refinishing spring tx</t>
  </si>
  <si>
    <t>bathtub refinishing st charles il</t>
  </si>
  <si>
    <t>bathtub refinishing stamford ct</t>
  </si>
  <si>
    <t>bathtub refinishing staten island ny</t>
  </si>
  <si>
    <t>bathtub refinishing stuart</t>
  </si>
  <si>
    <t>bathtub refinishing summit nj</t>
  </si>
  <si>
    <t>bathtub refinishing sunrise</t>
  </si>
  <si>
    <t>bathtub refinishing sunshine acres</t>
  </si>
  <si>
    <t>bathtub refinishing tamarac</t>
  </si>
  <si>
    <t>bathtub refinishing tampa bay</t>
  </si>
  <si>
    <t>bathtub refinishing temecula ca</t>
  </si>
  <si>
    <t>bathtub refinishing tempe az</t>
  </si>
  <si>
    <t>bathtub refinishing texarkana</t>
  </si>
  <si>
    <t>bathtub refinishing thousand oaks</t>
  </si>
  <si>
    <t>bathtub refinishing toccoa falls ga</t>
  </si>
  <si>
    <t>bathtub refinishing topeka ks</t>
  </si>
  <si>
    <t>bathtub refinishing torrance ca</t>
  </si>
  <si>
    <t>bathtub refinishing training program</t>
  </si>
  <si>
    <t>bathtub refinishing tunnel hill ga</t>
  </si>
  <si>
    <t>bathtub refinishing tuscaloosa al</t>
  </si>
  <si>
    <t>bathtub refinishing union nj</t>
  </si>
  <si>
    <t>bathtub refinishing vacaville ca</t>
  </si>
  <si>
    <t>bathtub refinishing venice fl</t>
  </si>
  <si>
    <t>bathtub refinishing ventura</t>
  </si>
  <si>
    <t>bathtub refinishing ventura ca</t>
  </si>
  <si>
    <t>bathtub refinishing vero beach fl</t>
  </si>
  <si>
    <t>bathtub refinishing victoria</t>
  </si>
  <si>
    <t>bathtub refinishing victoria bc</t>
  </si>
  <si>
    <t>bathtub refinishing villa park il</t>
  </si>
  <si>
    <t>bathtub refinishing vinings</t>
  </si>
  <si>
    <t>bathtub refinishing walnut creek ca</t>
  </si>
  <si>
    <t>bathtub refinishing warner robins ga</t>
  </si>
  <si>
    <t>bathtub refinishing washington county</t>
  </si>
  <si>
    <t>bathtub refinishing washington park</t>
  </si>
  <si>
    <t>bathtub refinishing waterbury ct</t>
  </si>
  <si>
    <t>bathtub refinishing waukesha wi</t>
  </si>
  <si>
    <t>bathtub refinishing westchester</t>
  </si>
  <si>
    <t>bathtub refinishing weston</t>
  </si>
  <si>
    <t>bathtub refinishing williamsburg va</t>
  </si>
  <si>
    <t>bathtub refinishing winchester va</t>
  </si>
  <si>
    <t>bathtub refinishing windsor</t>
  </si>
  <si>
    <t>bathtub refinishing winnipeg</t>
  </si>
  <si>
    <t>bathtub refinishing winnipeg mb</t>
  </si>
  <si>
    <t>bathtub refinishing winter haven fl</t>
  </si>
  <si>
    <t>bathtub refinishing wisconsin</t>
  </si>
  <si>
    <t>bathtub refinishing woodbridge nj</t>
  </si>
  <si>
    <t>bathtub refinishing woodstock</t>
  </si>
  <si>
    <t>bathtub refinishing yuba city ca</t>
  </si>
  <si>
    <t>bathtub+refinishing+allentown+pa</t>
  </si>
  <si>
    <t>bathtub+refinishing+delray+beach+fl</t>
  </si>
  <si>
    <t>bathtub+refinishing+in+philadelphia+pa</t>
  </si>
  <si>
    <t>bathtub+refinishing+lehigh+valley+pa</t>
  </si>
  <si>
    <t>bathtubs &amp; sinks repair &amp; refinish</t>
  </si>
  <si>
    <t>bathtubs &amp; sinks repairing &amp; refinishing</t>
  </si>
  <si>
    <t>bathtubs and sinks refinishing inc</t>
  </si>
  <si>
    <t>bathtubs refinishing</t>
  </si>
  <si>
    <t>bathworks 20 oz diy bathtub and tile refinishing kit</t>
  </si>
  <si>
    <t>bathworks 20 oz. diy bathtub and tile refinishing kit</t>
  </si>
  <si>
    <t>bathworks bathtub refinishing kit reviews</t>
  </si>
  <si>
    <t>bathworks diy bathtub refinishing kit reviews</t>
  </si>
  <si>
    <t>bathworks premium bathtub refinishing kit for tub</t>
  </si>
  <si>
    <t>bedford bathtub refinishing</t>
  </si>
  <si>
    <t>best bathtub refinishers 89120</t>
  </si>
  <si>
    <t>best bathtub refinishers las vegas nv</t>
  </si>
  <si>
    <t>best paint to refinish bathtub</t>
  </si>
  <si>
    <t>beverly bathtub refinishing</t>
  </si>
  <si>
    <t>boxborough bathtub refinishing</t>
  </si>
  <si>
    <t>braintree bathtub refinishing</t>
  </si>
  <si>
    <t>brookline bathtub refinishing</t>
  </si>
  <si>
    <t>calgary bathtub refinishing</t>
  </si>
  <si>
    <t>carlisle bathtub refinishing</t>
  </si>
  <si>
    <t>cincinnati bathtub refinishing</t>
  </si>
  <si>
    <t>commercial bathtub refinishers aurora</t>
  </si>
  <si>
    <t>commercial bathtub refinishers colorado springs</t>
  </si>
  <si>
    <t>commercial bathtub refinishing ann arbor</t>
  </si>
  <si>
    <t>commercial bathtub refinishing bangor</t>
  </si>
  <si>
    <t>commercial bathtub refinishing bowling green</t>
  </si>
  <si>
    <t>commercial bathtub refinishing casper</t>
  </si>
  <si>
    <t>commercial bathtub refinishing cheyenne</t>
  </si>
  <si>
    <t>commercial bathtub refinishing clifton</t>
  </si>
  <si>
    <t>commercial bathtub refinishing company ann arbor</t>
  </si>
  <si>
    <t>commercial bathtub refinishing company aurora</t>
  </si>
  <si>
    <t>commercial bathtub refinishing company bangor</t>
  </si>
  <si>
    <t>commercial bathtub refinishing company broken arrow</t>
  </si>
  <si>
    <t>commercial bathtub refinishing company casper</t>
  </si>
  <si>
    <t>commercial bathtub refinishing company cheyenne</t>
  </si>
  <si>
    <t>commercial bathtub refinishing company cranston</t>
  </si>
  <si>
    <t>commercial bathtub refinishing company delaware</t>
  </si>
  <si>
    <t>commercial bathtub refinishing company detroit</t>
  </si>
  <si>
    <t>commercial bathtub refinishing company dover</t>
  </si>
  <si>
    <t>commercial bathtub refinishing company elizabeth</t>
  </si>
  <si>
    <t>commercial bathtub refinishing company eugene</t>
  </si>
  <si>
    <t>commercial bathtub refinishing company georgia</t>
  </si>
  <si>
    <t>commercial bathtub refinishing company gresham</t>
  </si>
  <si>
    <t>commercial bathtub refinishing company gulfport</t>
  </si>
  <si>
    <t>commercial bathtub refinishing company illinois</t>
  </si>
  <si>
    <t>commercial bathtub refinishing company kansas</t>
  </si>
  <si>
    <t>commercial bathtub refinishing company kentucky</t>
  </si>
  <si>
    <t>commercial bathtub refinishing company klahoma city</t>
  </si>
  <si>
    <t>commercial bathtub refinishing company lansing</t>
  </si>
  <si>
    <t>commercial bathtub refinishing company lawton</t>
  </si>
  <si>
    <t>commercial bathtub refinishing company lincoln</t>
  </si>
  <si>
    <t>commercial bathtub refinishing company michigan</t>
  </si>
  <si>
    <t>commercial bathtub refinishing company nevada</t>
  </si>
  <si>
    <t>commercial bathtub refinishing company newark</t>
  </si>
  <si>
    <t>commercial bathtub refinishing company norman</t>
  </si>
  <si>
    <t>commercial bathtub refinishing company omaha</t>
  </si>
  <si>
    <t>commercial bathtub refinishing company paterson</t>
  </si>
  <si>
    <t>commercial bathtub refinishing company pawtucket</t>
  </si>
  <si>
    <t>commercial bathtub refinishing company providence</t>
  </si>
  <si>
    <t>commercial bathtub refinishing company provo</t>
  </si>
  <si>
    <t>commercial bathtub refinishing company rhode island</t>
  </si>
  <si>
    <t>commercial bathtub refinishing company rockford</t>
  </si>
  <si>
    <t>commercial bathtub refinishing company salt lake city</t>
  </si>
  <si>
    <t>commercial bathtub refinishing company springfield</t>
  </si>
  <si>
    <t>commercial bathtub refinishing company warwick</t>
  </si>
  <si>
    <t>commercial bathtub refinishing company west valley city</t>
  </si>
  <si>
    <t>commercial bathtub refinishing company wichita</t>
  </si>
  <si>
    <t>commercial bathtub refinishing cranston</t>
  </si>
  <si>
    <t>commercial bathtub refinishing detroit</t>
  </si>
  <si>
    <t>commercial bathtub refinishing elizabeth</t>
  </si>
  <si>
    <t>commercial bathtub refinishing eugene</t>
  </si>
  <si>
    <t>commercial bathtub refinishing georgia</t>
  </si>
  <si>
    <t>commercial bathtub refinishing gresham</t>
  </si>
  <si>
    <t>commercial bathtub refinishing gulfport</t>
  </si>
  <si>
    <t>commercial bathtub refinishing kansas city</t>
  </si>
  <si>
    <t>commercial bathtub refinishing kentucky</t>
  </si>
  <si>
    <t>commercial bathtub refinishing klahoma city</t>
  </si>
  <si>
    <t>commercial bathtub refinishing lawton</t>
  </si>
  <si>
    <t>commercial bathtub refinishing lewiston</t>
  </si>
  <si>
    <t>commercial bathtub refinishing lexington</t>
  </si>
  <si>
    <t>commercial bathtub refinishing lincoln</t>
  </si>
  <si>
    <t>commercial bathtub refinishing macon</t>
  </si>
  <si>
    <t>commercial bathtub refinishing naperville</t>
  </si>
  <si>
    <t>commercial bathtub refinishing newport news</t>
  </si>
  <si>
    <t>commercial bathtub refinishing norfolk</t>
  </si>
  <si>
    <t>commercial bathtub refinishing norman</t>
  </si>
  <si>
    <t>commercial bathtub refinishing omaha</t>
  </si>
  <si>
    <t>commercial bathtub refinishing paterson</t>
  </si>
  <si>
    <t>commercial bathtub refinishing provo</t>
  </si>
  <si>
    <t>commercial bathtub refinishing rhode island</t>
  </si>
  <si>
    <t>commercial bathtub refinishing richmond</t>
  </si>
  <si>
    <t>commercial bathtub refinishing rickmond</t>
  </si>
  <si>
    <t>commercial bathtub refinishing rochester ny</t>
  </si>
  <si>
    <t>commercial bathtub refinishing salt lake city</t>
  </si>
  <si>
    <t>commercial bathtub refinishing seattle wa</t>
  </si>
  <si>
    <t>commercial bathtub refinishing service alexandria</t>
  </si>
  <si>
    <t>commercial bathtub refinishing service ann arbor</t>
  </si>
  <si>
    <t>commercial bathtub refinishing service aurora</t>
  </si>
  <si>
    <t>commercial bathtub refinishing service bangor</t>
  </si>
  <si>
    <t>commercial bathtub refinishing service bowling green</t>
  </si>
  <si>
    <t>commercial bathtub refinishing service clifton</t>
  </si>
  <si>
    <t>commercial bathtub refinishing service cranston</t>
  </si>
  <si>
    <t>commercial bathtub refinishing service detroit</t>
  </si>
  <si>
    <t>commercial bathtub refinishing service dover</t>
  </si>
  <si>
    <t>commercial bathtub refinishing service elizabeth</t>
  </si>
  <si>
    <t>commercial bathtub refinishing service eugene</t>
  </si>
  <si>
    <t>commercial bathtub refinishing service georgia</t>
  </si>
  <si>
    <t>commercial bathtub refinishing service gresham</t>
  </si>
  <si>
    <t>commercial bathtub refinishing service illinois</t>
  </si>
  <si>
    <t>commercial bathtub refinishing service independence</t>
  </si>
  <si>
    <t>commercial bathtub refinishing service iowa city</t>
  </si>
  <si>
    <t>commercial bathtub refinishing service jersey city</t>
  </si>
  <si>
    <t>commercial bathtub refinishing service kansas</t>
  </si>
  <si>
    <t>commercial bathtub refinishing service kansas city</t>
  </si>
  <si>
    <t>commercial bathtub refinishing service kentucky</t>
  </si>
  <si>
    <t>commercial bathtub refinishing service klahoma city</t>
  </si>
  <si>
    <t>commercial bathtub refinishing service lawton</t>
  </si>
  <si>
    <t>commercial bathtub refinishing service lewiston</t>
  </si>
  <si>
    <t>commercial bathtub refinishing service lincoln</t>
  </si>
  <si>
    <t>commercial bathtub refinishing service michigan</t>
  </si>
  <si>
    <t>commercial bathtub refinishing service minneapolis</t>
  </si>
  <si>
    <t>commercial bathtub refinishing service naperville</t>
  </si>
  <si>
    <t>commercial bathtub refinishing service nevada</t>
  </si>
  <si>
    <t>commercial bathtub refinishing service newark</t>
  </si>
  <si>
    <t>commercial bathtub refinishing service norman</t>
  </si>
  <si>
    <t>commercial bathtub refinishing service omaha</t>
  </si>
  <si>
    <t>commercial bathtub refinishing service owensboro</t>
  </si>
  <si>
    <t>commercial bathtub refinishing service paterson</t>
  </si>
  <si>
    <t>commercial bathtub refinishing service pawtucket</t>
  </si>
  <si>
    <t>commercial bathtub refinishing service providence</t>
  </si>
  <si>
    <t>commercial bathtub refinishing service salt lake city</t>
  </si>
  <si>
    <t>commercial bathtub refinishing service springfield</t>
  </si>
  <si>
    <t>commercial bathtub refinishing service tulsa</t>
  </si>
  <si>
    <t>commercial bathtub refinishing service west valley city</t>
  </si>
  <si>
    <t>commercial bathtub refinishing service wichita</t>
  </si>
  <si>
    <t>commercial bathtub refinishing springfield</t>
  </si>
  <si>
    <t>commercial bathtub refinishing sterling heights</t>
  </si>
  <si>
    <t>commercial bathtub refinishing tulsa</t>
  </si>
  <si>
    <t>commercial bathtub refinishing virginia</t>
  </si>
  <si>
    <t>commercial bathtub refinishing warwick</t>
  </si>
  <si>
    <t>commercial bathtub refinishing west valley city</t>
  </si>
  <si>
    <t>commercial bathtub refinishing wichita</t>
  </si>
  <si>
    <t>diy acrylic bathtub refinishing</t>
  </si>
  <si>
    <t>diy bathtub refinishing kit home depot</t>
  </si>
  <si>
    <t>diy bathtub refinishing kits</t>
  </si>
  <si>
    <t>dove bathtub refinishing baton rouge</t>
  </si>
  <si>
    <t>dr duck bathtub refinishing</t>
  </si>
  <si>
    <t>durafinish bathtub refinishing</t>
  </si>
  <si>
    <t>e.a.h bathtub refinishing</t>
  </si>
  <si>
    <t>eco-friendly bathtub refinishing</t>
  </si>
  <si>
    <t>eco-friendly bathtub refinishing 89120</t>
  </si>
  <si>
    <t>eco-friendly bathtub refinishing las vegas nv</t>
  </si>
  <si>
    <t>ekopel 2k bathtub refinishing kit lowe's</t>
  </si>
  <si>
    <t>ekopel 2k roll on bathtub refinishing kit</t>
  </si>
  <si>
    <t>elite bathtub refinishing</t>
  </si>
  <si>
    <t>enamel for bathtub refinish</t>
  </si>
  <si>
    <t>everett bathtub refinishing</t>
  </si>
  <si>
    <t>fiberglass bathtub refinishing in fresno ca</t>
  </si>
  <si>
    <t>florida bathtub refinishing miami fl</t>
  </si>
  <si>
    <t>foxborough bathtub refinishing</t>
  </si>
  <si>
    <t>glaze master bathtub refinishing</t>
  </si>
  <si>
    <t>good as new bathtub refinishing</t>
  </si>
  <si>
    <t>great lakes bathtub refinishing</t>
  </si>
  <si>
    <t>homax bathtub refinishing reviews</t>
  </si>
  <si>
    <t>home depot bathtub refinishing kits</t>
  </si>
  <si>
    <t>hotel bathtub refinishing chicago</t>
  </si>
  <si>
    <t>hotel bathtub refinishing company ann arbor</t>
  </si>
  <si>
    <t>hotel bathtub refinishing dover</t>
  </si>
  <si>
    <t>hotel bathtub refinishing illinois</t>
  </si>
  <si>
    <t>hotel bathtub refinishing iowa city</t>
  </si>
  <si>
    <t>hotel bathtub refinishing lexington</t>
  </si>
  <si>
    <t>hotel bathtub refinishing michigan</t>
  </si>
  <si>
    <t>hotel bathtub refinishing richmond</t>
  </si>
  <si>
    <t>hotel bathtub refinishing springfield</t>
  </si>
  <si>
    <t>houston bathtub refinishing specialists</t>
  </si>
  <si>
    <t>joliet bathtub refinishing</t>
  </si>
  <si>
    <t>lakeland bathtub refinishing</t>
  </si>
  <si>
    <t>landlord bathtub refinishing california law</t>
  </si>
  <si>
    <t>landlord bathtub refinishing do i move out</t>
  </si>
  <si>
    <t>las vegas bathtub refinishing</t>
  </si>
  <si>
    <t>lexington bathtub refinishing</t>
  </si>
  <si>
    <t>lowes bathtub refinishing kit</t>
  </si>
  <si>
    <t>lynn bathtub refinishing</t>
  </si>
  <si>
    <t>malden bathtub refinishing</t>
  </si>
  <si>
    <t>maryland bathtub refinishing</t>
  </si>
  <si>
    <t>medway bathtub refinishing</t>
  </si>
  <si>
    <t>miracle method bathtub refinishing complaints</t>
  </si>
  <si>
    <t>mr. ugly bathtub refinishing</t>
  </si>
  <si>
    <t>msl bathtub and tile refinishing and repair</t>
  </si>
  <si>
    <t>natick bathtub refinishing</t>
  </si>
  <si>
    <t>new surface bathtub refinishing</t>
  </si>
  <si>
    <t>niagara bathtub refinishing</t>
  </si>
  <si>
    <t>nj bathtub refinishing</t>
  </si>
  <si>
    <t>nj refinishing tile &amp; bathtub reglazing</t>
  </si>
  <si>
    <t>non toxic bathtub refinishing diy</t>
  </si>
  <si>
    <t>non-toxic bathtub refinishing</t>
  </si>
  <si>
    <t>norfolk bathtub refinishing</t>
  </si>
  <si>
    <t>norwood bathtub refinishing</t>
  </si>
  <si>
    <t>nu-coat bathtub refinishing</t>
  </si>
  <si>
    <t>nu-finish bathtub refinishing</t>
  </si>
  <si>
    <t>odorless bathtub refinishing serving austin area</t>
  </si>
  <si>
    <t>odorless bathtub refinishing. serving austin area</t>
  </si>
  <si>
    <t>old to new bathtub refinishing rochester ny</t>
  </si>
  <si>
    <t>omaha bathtub refinishing</t>
  </si>
  <si>
    <t>one day bathtub refinishers</t>
  </si>
  <si>
    <t>paint to refinish bathtub</t>
  </si>
  <si>
    <t>perma brite bathtub refinishing</t>
  </si>
  <si>
    <t>pittsburgh bathtub refinishing bethel park pa</t>
  </si>
  <si>
    <t>porcelain bathtub refinish</t>
  </si>
  <si>
    <t>porcelite bathtub refinishing company</t>
  </si>
  <si>
    <t>pour on bathtub refinishing</t>
  </si>
  <si>
    <t>pour on ekopel bathtub refinishing kit product info and reviews</t>
  </si>
  <si>
    <t>pour on ekopel bathtub refinishing kit reviews</t>
  </si>
  <si>
    <t>powell and sons bathtub refinishing</t>
  </si>
  <si>
    <t>prestige bathtub refinishing reviews</t>
  </si>
  <si>
    <t>prime bathtub &amp; tiles refinishing</t>
  </si>
  <si>
    <t>professional bathtub refinishing 89120</t>
  </si>
  <si>
    <t>professional bathtub refinishing ny</t>
  </si>
  <si>
    <t>refinish a fiberglass bathtub</t>
  </si>
  <si>
    <t>refinish bathtub alpharetta</t>
  </si>
  <si>
    <t>refinish bathtub grand rapids</t>
  </si>
  <si>
    <t>refinish bathtub lansing</t>
  </si>
  <si>
    <t>refinish bathtub minneapolis</t>
  </si>
  <si>
    <t>refinish bathtub muskegon</t>
  </si>
  <si>
    <t>refinish bathtub paint</t>
  </si>
  <si>
    <t>refinish bathtub roswell</t>
  </si>
  <si>
    <t>refinish clawfoot bathtub</t>
  </si>
  <si>
    <t>refinish or replace bathtub</t>
  </si>
  <si>
    <t>refinish rusted bathtub</t>
  </si>
  <si>
    <t>refinish the bathtub</t>
  </si>
  <si>
    <t>refinished bath solutions the original refinished bathtub mat</t>
  </si>
  <si>
    <t>refinishing a cast iron bathtub</t>
  </si>
  <si>
    <t>refinishing an old bathtub</t>
  </si>
  <si>
    <t>refinishing bathtub and tile</t>
  </si>
  <si>
    <t>refinishing bathtub kit</t>
  </si>
  <si>
    <t>refinishing bathtub reviews</t>
  </si>
  <si>
    <t>refinishing bathtub with epoxy</t>
  </si>
  <si>
    <t>refinishing fibreglass bathtub</t>
  </si>
  <si>
    <t>refinishing kit for bathtub</t>
  </si>
  <si>
    <t>refinishing porcelain bathtubs</t>
  </si>
  <si>
    <t>refinishing steel bathtub</t>
  </si>
  <si>
    <t>refinishing the bathtub</t>
  </si>
  <si>
    <t>renov8- bathtub refinishing raleigh nc</t>
  </si>
  <si>
    <t>residential bathtub refinishing alpharetta</t>
  </si>
  <si>
    <t>residential bathtub refinishing atlanta</t>
  </si>
  <si>
    <t>residential bathtub refinishing bellevue wa</t>
  </si>
  <si>
    <t>residential bathtub refinishing company alpharetta</t>
  </si>
  <si>
    <t>residential bathtub refinishing company roswell</t>
  </si>
  <si>
    <t>resin bathtub refinishing kit</t>
  </si>
  <si>
    <t>revere bathtub refinishing</t>
  </si>
  <si>
    <t>rise n shine bathtub and tile refinishing</t>
  </si>
  <si>
    <t>roll on bathtub refinishing kit</t>
  </si>
  <si>
    <t>rustoleum bathtub refinishing kit instructions</t>
  </si>
  <si>
    <t>rustoleum bathtub refinishing paint</t>
  </si>
  <si>
    <t>sacramento bathtub refinishing</t>
  </si>
  <si>
    <t>spray on bathtub refinishing</t>
  </si>
  <si>
    <t>spraying bathtub refinish</t>
  </si>
  <si>
    <t>st louis bathtub refinishing</t>
  </si>
  <si>
    <t>tewksbury bathtub refinishing</t>
  </si>
  <si>
    <t>tile and bathtub refinishing</t>
  </si>
  <si>
    <t>trc bathtub refinishing</t>
  </si>
  <si>
    <t>tri star bathtub refinishing</t>
  </si>
  <si>
    <t>tubby bathtub refinishing kit</t>
  </si>
  <si>
    <t>tucson bathtub refinishing</t>
  </si>
  <si>
    <t>uv bathtub refinishing</t>
  </si>
  <si>
    <t>wakefield bathtub refinishing</t>
  </si>
  <si>
    <t>watertown bathtub refinishing</t>
  </si>
  <si>
    <t>wayland bathtub refinishing</t>
  </si>
  <si>
    <t>west medford bathtub refinishing</t>
  </si>
  <si>
    <t>wilmington bathtub refinishing</t>
  </si>
  <si>
    <t>20 oz diy bathtub and tile refinishing kit white</t>
  </si>
  <si>
    <t>20 oz. diy bathtub and tile refinishing kit- white</t>
  </si>
  <si>
    <t>20 oz. diy bathtub refinishing kit</t>
  </si>
  <si>
    <t>2018 bathtub refinishing costs tub reglazing &amp; resurfacing</t>
  </si>
  <si>
    <t>22 oz diy bathtub refinish kit with slipguard in white</t>
  </si>
  <si>
    <t>3 in 1 bathtub refinishing reviews</t>
  </si>
  <si>
    <t>342 chip bathtub refinisher</t>
  </si>
  <si>
    <t>3m bathtub refinishing</t>
  </si>
  <si>
    <t>4 27 2016 illinois death from refinishing bathtub</t>
  </si>
  <si>
    <t>623-692-8702 az bathtub refinishing</t>
  </si>
  <si>
    <t>77095 bathtub tile refinishing</t>
  </si>
  <si>
    <t>816-533-3111 surface pros bathtub refinishing</t>
  </si>
  <si>
    <t>8327798880 bathtub refinishing reviews</t>
  </si>
  <si>
    <t>aaa bathtub refinishers</t>
  </si>
  <si>
    <t>aaa bathtub refinishing pittsburgh</t>
  </si>
  <si>
    <t>aaa bathtub refinishing portland or</t>
  </si>
  <si>
    <t>aaa handyman &amp; bathtub refinishing gresham or</t>
  </si>
  <si>
    <t>aarco baths bathtub refinishing</t>
  </si>
  <si>
    <t>aarco bathtub refinishing</t>
  </si>
  <si>
    <t>abbot bathtub refinishing</t>
  </si>
  <si>
    <t>abbot bathtub tile and porcelain refinishers</t>
  </si>
  <si>
    <t>able tub repair bathtub refinishing</t>
  </si>
  <si>
    <t>about bathtub refinishing</t>
  </si>
  <si>
    <t>absolute bathtub refinishing</t>
  </si>
  <si>
    <t>absolutely smooth bathtub refinishing ann arbor mi</t>
  </si>
  <si>
    <t>ace bathtub refinishing</t>
  </si>
  <si>
    <t>ace bathtub refinishing glendale</t>
  </si>
  <si>
    <t>ace bathtub refinishing phone 818 951-3992 thomas sims</t>
  </si>
  <si>
    <t>acid for refinishing bathtub</t>
  </si>
  <si>
    <t>acrylic bathtub liners vs refinishing</t>
  </si>
  <si>
    <t>acrylic bathtub refinish</t>
  </si>
  <si>
    <t>acrylic bathtub refinishing asheville nc</t>
  </si>
  <si>
    <t>acrylic bathtub refinishing calgary</t>
  </si>
  <si>
    <t>acrylic bathtub refinishing reviews</t>
  </si>
  <si>
    <t>acrylic bathtub refinishing vancouver</t>
  </si>
  <si>
    <t>acrylic refinishing bathtubs</t>
  </si>
  <si>
    <t>acrylic resin bathtub refinishing</t>
  </si>
  <si>
    <t>advance bathtub refinishing</t>
  </si>
  <si>
    <t>advance bathtub refinishing tigard or</t>
  </si>
  <si>
    <t>advance tech bathtub refinishing</t>
  </si>
  <si>
    <t>advance tech bathtub refinishing ottawa on</t>
  </si>
  <si>
    <t>advanced bathtub &amp; tile refinishing</t>
  </si>
  <si>
    <t>advanced bathtub and tile refinishing</t>
  </si>
  <si>
    <t>advanced bathtub refinishing 421 w 3rd st</t>
  </si>
  <si>
    <t>advanced bathtub refinishing address</t>
  </si>
  <si>
    <t>advanced bathtub refinishing portland</t>
  </si>
  <si>
    <t>advanced bathtub refinishing portland reviews</t>
  </si>
  <si>
    <t>advanced bathtub refinishing tigard or</t>
  </si>
  <si>
    <t>advanced bathtub tile refinishing inc</t>
  </si>
  <si>
    <t>advantage bathtub refinishing</t>
  </si>
  <si>
    <t>adx refinishing bathtub cut out</t>
  </si>
  <si>
    <t>affordable bathtub refinishers</t>
  </si>
  <si>
    <t>affordable bathtub refinishing &amp; bathtub repair service</t>
  </si>
  <si>
    <t>affordable bathtub refinishing clear lake tx</t>
  </si>
  <si>
    <t>affordable bathtub refinishing houston tx</t>
  </si>
  <si>
    <t>affordable bathtub refinishing in arlington</t>
  </si>
  <si>
    <t>affordable bathtub refinishing in carrollton</t>
  </si>
  <si>
    <t>affordable bathtub refinishing in dallas</t>
  </si>
  <si>
    <t>affordable bathtub refinishing in frisco</t>
  </si>
  <si>
    <t>affordable bathtub refinishing in garland</t>
  </si>
  <si>
    <t>affordable bathtub refinishing in grand prairie</t>
  </si>
  <si>
    <t>affordable bathtub refinishing in irving</t>
  </si>
  <si>
    <t>affordable bathtub refinishing in mckinney</t>
  </si>
  <si>
    <t>affordable bathtub refinishing in mesquite</t>
  </si>
  <si>
    <t>affordable bathtub refinishing in plano</t>
  </si>
  <si>
    <t>affordable bathtub refinishing in richardson</t>
  </si>
  <si>
    <t>affordable bathtub refinishing katy tx</t>
  </si>
  <si>
    <t>affordable bathtub refinishing spring tx</t>
  </si>
  <si>
    <t>affordable bathtub refinishing sugarland tx</t>
  </si>
  <si>
    <t>affordable bathtub refinishing tucson</t>
  </si>
  <si>
    <t>after bathtub refinishing white stuff on floor</t>
  </si>
  <si>
    <t>after bathtub refinishing will it off gassing hot shower</t>
  </si>
  <si>
    <t>ak bathtub refinishing reviews</t>
  </si>
  <si>
    <t>al's bathtub refinishing ewa beach hi</t>
  </si>
  <si>
    <t>al's bathtub refinishing reviews</t>
  </si>
  <si>
    <t>alamo bathtub refinishing</t>
  </si>
  <si>
    <t>alans bathtub refinishing</t>
  </si>
  <si>
    <t>albany bathtub refinishing albany ny</t>
  </si>
  <si>
    <t>alexandria va bathtub refinishers</t>
  </si>
  <si>
    <t>alfredos refinish bathtub refinish in lo</t>
  </si>
  <si>
    <t>alfredos refinish bathtub refinish in los angeles bathtub reglaze</t>
  </si>
  <si>
    <t>all american refinishing inc bathtub &amp; kitchen refinishing fort lauderdale</t>
  </si>
  <si>
    <t>all surface renew bathtub refinishing</t>
  </si>
  <si>
    <t>all surface renew bathtub refinishing austin tx</t>
  </si>
  <si>
    <t>all surface renew bathtub refinishing round rock tx</t>
  </si>
  <si>
    <t>almond bathtub refinishing kit</t>
  </si>
  <si>
    <t>als bathtub refinishing</t>
  </si>
  <si>
    <t>amazing bathtub refinishing ca</t>
  </si>
  <si>
    <t>amazing bathtub refinishing charlest</t>
  </si>
  <si>
    <t>amazing bathtub refinishing charleston sc</t>
  </si>
  <si>
    <t>amazing bathtub refinishing nj</t>
  </si>
  <si>
    <t>amazing bathtub refinishing nj reviews</t>
  </si>
  <si>
    <t>amazing bathtub refinishing tampa fl</t>
  </si>
  <si>
    <t>amazing bathtub refinishing tampa fl tampa fl</t>
  </si>
  <si>
    <t>amazing glaze bathtub refinishing</t>
  </si>
  <si>
    <t>amazing glazings bathtub refinishing</t>
  </si>
  <si>
    <t>amazon bath mats for refinished bathtubs</t>
  </si>
  <si>
    <t>amazon bathtub.refinish kit</t>
  </si>
  <si>
    <t>america bathtub &amp; tile refinishing miami fl</t>
  </si>
  <si>
    <t>america bathtub &amp; tile refinishing miami fl 33186</t>
  </si>
  <si>
    <t>america bathtub and tile refinishing corp</t>
  </si>
  <si>
    <t>america bathtub and tile refinishing miami fl</t>
  </si>
  <si>
    <t>america bathtub refinish</t>
  </si>
  <si>
    <t>american bathtub and tile refinishing miami fl</t>
  </si>
  <si>
    <t>american bathtub refinishers athens al</t>
  </si>
  <si>
    <t>american bathtub refinishers columbus oh</t>
  </si>
  <si>
    <t>american bathtub refinishers huntsville al</t>
  </si>
  <si>
    <t>american bathtub refinishers inc</t>
  </si>
  <si>
    <t>american bathtub refinishers miami</t>
  </si>
  <si>
    <t>american bathtub refinishers powell oh</t>
  </si>
  <si>
    <t>american bathtub refinishers reviews</t>
  </si>
  <si>
    <t>american bathtub refinishers san diego ca 92105</t>
  </si>
  <si>
    <t>american bathtub refinishers san diego reviews</t>
  </si>
  <si>
    <t>american bathtub refinishing austin</t>
  </si>
  <si>
    <t>american bathtub refinishing baytown texas</t>
  </si>
  <si>
    <t>american bathtub refinishing baytown tx</t>
  </si>
  <si>
    <t>american bathtub refinishing brattleboro vt</t>
  </si>
  <si>
    <t>american bathtub refinishing chicago</t>
  </si>
  <si>
    <t>american bathtub refinishing miami</t>
  </si>
  <si>
    <t>american bathtub refinishing nc</t>
  </si>
  <si>
    <t>american bathtub refinishing reviews</t>
  </si>
  <si>
    <t>american bathtub refinishing san diego</t>
  </si>
  <si>
    <t>amour bathtub refinishing</t>
  </si>
  <si>
    <t>anchorage bathtub refinishing</t>
  </si>
  <si>
    <t>anew bathtub repair &amp; refinishing reno nv</t>
  </si>
  <si>
    <t>anew it bathtub refinishing</t>
  </si>
  <si>
    <t>anew it bathtub refinishing llc merrill wi</t>
  </si>
  <si>
    <t>angie's list for new york new york bathtub refinishing</t>
  </si>
  <si>
    <t>angies list bathtub refinishing</t>
  </si>
  <si>
    <t>annapolis bathtub refinishing</t>
  </si>
  <si>
    <t>anthony's bathtubs &amp; sinks porcelain &amp; fiberglass refinishing</t>
  </si>
  <si>
    <t>anti slip for bathtub refinishing</t>
  </si>
  <si>
    <t>antique bathtub refinishing braselton</t>
  </si>
  <si>
    <t>antique bathtub refinishing buford</t>
  </si>
  <si>
    <t>antique bathtub refinishing dacula</t>
  </si>
  <si>
    <t>antique bathtub refinishing lawrenceville</t>
  </si>
  <si>
    <t>antique bathtub refinishing roswell</t>
  </si>
  <si>
    <t>antique bathtub refinishing sugar hill</t>
  </si>
  <si>
    <t>antique clawfoot bathtub refinishing</t>
  </si>
  <si>
    <t>apartment bathtub refinishing</t>
  </si>
  <si>
    <t>apartment counter top and bathtub refinishing</t>
  </si>
  <si>
    <t>apartment counter top and bathtub refinishing near me</t>
  </si>
  <si>
    <t>apartment wont refinish bathtub</t>
  </si>
  <si>
    <t>april 2016 worker dies from refinishing bathtub illinois</t>
  </si>
  <si>
    <t>april 2016 worker dies from refinishing bathtub illinois methylene chloride</t>
  </si>
  <si>
    <t>aqua finish bathtub refinish club</t>
  </si>
  <si>
    <t>aqua finish bathtub refinish color</t>
  </si>
  <si>
    <t>aqua finish bathtub refinishing club</t>
  </si>
  <si>
    <t>aqua finish bathtub refinishing color</t>
  </si>
  <si>
    <t>aqua finish bathtub refinishing kit</t>
  </si>
  <si>
    <t>aqua finish bathtub refinishing kit reviews</t>
  </si>
  <si>
    <t>aqua surface bathtub refinishing</t>
  </si>
  <si>
    <t>aquafinish 32 oz bathtub and tile refinishing kit</t>
  </si>
  <si>
    <t>aquafinish 32 oz bathtub and tile refinishing kit vs bathworks</t>
  </si>
  <si>
    <t>aquafinish bathtub and tile refinishing double kit</t>
  </si>
  <si>
    <t>aquafinish bathtub and tile refinishing kit austin tx</t>
  </si>
  <si>
    <t>aquafinish bathtub and tile refinishing kit australia</t>
  </si>
  <si>
    <t>aquafinish bathtub and tile refinishing kit colors</t>
  </si>
  <si>
    <t>aquafinish bathtub and tile refinishing kit in store</t>
  </si>
  <si>
    <t>aquafinish bathtub and tile refinishing kit instructions</t>
  </si>
  <si>
    <t>aquafinish bathtub and tile refinishing kit lowe's</t>
  </si>
  <si>
    <t>aquafinish bathtub and tile refinishing kit lowes</t>
  </si>
  <si>
    <t>aquafinish bathtub and tile refinishing kit pdf</t>
  </si>
  <si>
    <t>aquafinish bathtub and tile refinishing kit reiews</t>
  </si>
  <si>
    <t>aquafinish bathtub and tile refinishing kit reviews</t>
  </si>
  <si>
    <t>aquafinish bathtub and tile refinishing kit youtube</t>
  </si>
  <si>
    <t>aquafinish bathtub refinishing</t>
  </si>
  <si>
    <t>aquafinish bathtub refinishing company website</t>
  </si>
  <si>
    <t>aquafinish bathtub refinishing kit reviews</t>
  </si>
  <si>
    <t>aquafinish bathtub refinishing kit youtube</t>
  </si>
  <si>
    <t>ar bathtub refinishing reviews</t>
  </si>
  <si>
    <t>arco bathtub refinishing</t>
  </si>
  <si>
    <t>ark bathtub refinishing chicago</t>
  </si>
  <si>
    <t>arkansas bathtub refinishing</t>
  </si>
  <si>
    <t>arlington bathtub refinishing pros</t>
  </si>
  <si>
    <t>arlington heights bathtub refinishing co.</t>
  </si>
  <si>
    <t>armaglaze odorless bathtub refinishing kit</t>
  </si>
  <si>
    <t>armoglaze 2k bathtub refinishing kit odorless no pell diy</t>
  </si>
  <si>
    <t>armoglaze bathtub refinishing</t>
  </si>
  <si>
    <t>armoglaze bathtub refinishing kit easy pour-on application odorless</t>
  </si>
  <si>
    <t>armoglaze bathtube refinishing kit</t>
  </si>
  <si>
    <t>armoglaze odorless bathtub refinishing kit reviews</t>
  </si>
  <si>
    <t>armoglaze odorless bathtub refinishing kit.</t>
  </si>
  <si>
    <t>armorproxy bathtub &amp; tile refinishing kit</t>
  </si>
  <si>
    <t>armour bathtub refinishing of lethbridge lethbridge ab</t>
  </si>
  <si>
    <t>armour bathtub refinishing okanagan</t>
  </si>
  <si>
    <t>armour bathtub refinishing reviews</t>
  </si>
  <si>
    <t>armour bathtub refinishing st catharines</t>
  </si>
  <si>
    <t>ashland bathtub refinishing</t>
  </si>
  <si>
    <t>atlanta area bathtub refinishing</t>
  </si>
  <si>
    <t>atlanta bathtub refinishers</t>
  </si>
  <si>
    <t>atlanta bathtub refinishing reviews</t>
  </si>
  <si>
    <t>auburn al bathtub refinishing</t>
  </si>
  <si>
    <t>austin bathtub refinishing</t>
  </si>
  <si>
    <t>austin bathtub sink refinishing leander tx 78641</t>
  </si>
  <si>
    <t>austin texas bathtub refinishing</t>
  </si>
  <si>
    <t>authorized spr of tidewater bathtub refinishing chip crack repair</t>
  </si>
  <si>
    <t>avalon bathtub refinishing</t>
  </si>
  <si>
    <t>average cost of a bathtub refinish</t>
  </si>
  <si>
    <t>average cost of refinishing a bathtub</t>
  </si>
  <si>
    <t>average cost refinish bathtub</t>
  </si>
  <si>
    <t>average cost to have a bathtub refinished</t>
  </si>
  <si>
    <t>average cost to refinish a fiberglass bathtub</t>
  </si>
  <si>
    <t>average cost to refinish bathtub florida</t>
  </si>
  <si>
    <t>az bathtub refinishing</t>
  </si>
  <si>
    <t>baltimore bathtub refinishing</t>
  </si>
  <si>
    <t>bath mats for refinished bathtubs</t>
  </si>
  <si>
    <t>bathcare bathtub refinishing minneapolis mn</t>
  </si>
  <si>
    <t>bathcare bathtub refinishing st paul</t>
  </si>
  <si>
    <t>bathcare bathtub refinishing st paul mn</t>
  </si>
  <si>
    <t>bathcrest bathtub refinishing</t>
  </si>
  <si>
    <t>bathroom bathtub refinishing with shortest cure time</t>
  </si>
  <si>
    <t>bathroom bathtub sink tub and tile refinishing kit spray paint</t>
  </si>
  <si>
    <t>bathroom refinishing bathtub</t>
  </si>
  <si>
    <t>bathroom remodeler for bathtub refinishing</t>
  </si>
  <si>
    <t>bathroom tile refinishing bathtub reglazing</t>
  </si>
  <si>
    <t>bathtub &amp; shower refinishing co of hawaii</t>
  </si>
  <si>
    <t>bathtub &amp; tile refinishing houston hull street houston tx</t>
  </si>
  <si>
    <t>bathtub and counter refinishing near me</t>
  </si>
  <si>
    <t>bathtub and shower refinish</t>
  </si>
  <si>
    <t>bathtub and shower refinish paint</t>
  </si>
  <si>
    <t>bathtub and shower refinishing company of hawaii</t>
  </si>
  <si>
    <t>bathtub and shower refinishing in dc area</t>
  </si>
  <si>
    <t>bathtub and shower refinishing salem oregon</t>
  </si>
  <si>
    <t>bathtub and shower refinishing toms river nj</t>
  </si>
  <si>
    <t>bathtub and sink refinishing las vegas nv</t>
  </si>
  <si>
    <t>bathtub and sink refinishing san antonio</t>
  </si>
  <si>
    <t>bathtub and tile floor refinishing</t>
  </si>
  <si>
    <t>bathtub and tile refinish co bath pal inc</t>
  </si>
  <si>
    <t>bathtub and tile refinishing chicago</t>
  </si>
  <si>
    <t>bathtub and tile refinishing coatings</t>
  </si>
  <si>
    <t>bathtub and tile refinishing for dummies</t>
  </si>
  <si>
    <t>bathtub and tile refinishing kelowna bc</t>
  </si>
  <si>
    <t>bathtub and tile refinishing kit in white</t>
  </si>
  <si>
    <t>bathtub and tile refinishing philadelphia</t>
  </si>
  <si>
    <t>bathtub and tile repair refinish</t>
  </si>
  <si>
    <t>bathtub cast iron refinishing</t>
  </si>
  <si>
    <t>bathtub ceramic colored refinishing</t>
  </si>
  <si>
    <t>bathtub coating refinishing raleigh nc</t>
  </si>
  <si>
    <t>bathtub epoxy refinishing gainesville florida</t>
  </si>
  <si>
    <t>bathtub glaze refinishing</t>
  </si>
  <si>
    <t>bathtub king refinishing barrie</t>
  </si>
  <si>
    <t>bathtub king refinishing halifax</t>
  </si>
  <si>
    <t>bathtub king refinishing hamilton on</t>
  </si>
  <si>
    <t>bathtub king refinishing kitchener on</t>
  </si>
  <si>
    <t>bathtub king refinishing kitchener on n2b 3c7</t>
  </si>
  <si>
    <t>bathtub king refinishing mississauga</t>
  </si>
  <si>
    <t>bathtub king refinishing owen sound</t>
  </si>
  <si>
    <t>bathtub king refinishing peterborough</t>
  </si>
  <si>
    <t>bathtub king refinishing windsor</t>
  </si>
  <si>
    <t>bathtub king refinishing windsor on</t>
  </si>
  <si>
    <t>bathtub liner or refinish</t>
  </si>
  <si>
    <t>bathtub liner or refinish in denver</t>
  </si>
  <si>
    <t>bathtub liners &amp; refinishing</t>
  </si>
  <si>
    <t>bathtub liners &amp; refinishing phoenix az</t>
  </si>
  <si>
    <t>bathtub liners vs refinishing</t>
  </si>
  <si>
    <t>bathtub master refinishing miami</t>
  </si>
  <si>
    <t>bathtub mat for refinished tubs</t>
  </si>
  <si>
    <t>bathtub mat for refinished tubs site www.amazon.com</t>
  </si>
  <si>
    <t>bathtub mat vs refinishing</t>
  </si>
  <si>
    <t>bathtub professional refinishing san diego</t>
  </si>
  <si>
    <t>bathtub refinish abs</t>
  </si>
  <si>
    <t>bathtub refinish alexandria virginia</t>
  </si>
  <si>
    <t>bathtub refinish arlington</t>
  </si>
  <si>
    <t>bathtub refinish baton rouge</t>
  </si>
  <si>
    <t>bathtub refinish baton rouge la</t>
  </si>
  <si>
    <t>bathtub refinish birmingham</t>
  </si>
  <si>
    <t>bathtub refinish class</t>
  </si>
  <si>
    <t>bathtub refinish coating</t>
  </si>
  <si>
    <t>bathtub refinish colors</t>
  </si>
  <si>
    <t>bathtub refinish denver</t>
  </si>
  <si>
    <t>bathtub refinish fort worth</t>
  </si>
  <si>
    <t>bathtub refinish hawaii</t>
  </si>
  <si>
    <t>bathtub refinish home depot</t>
  </si>
  <si>
    <t>bathtub refinish if it has crack in it</t>
  </si>
  <si>
    <t>bathtub refinish in grand island ne</t>
  </si>
  <si>
    <t>bathtub refinish in los angeles</t>
  </si>
  <si>
    <t>bathtub refinish indiana</t>
  </si>
  <si>
    <t>bathtub refinish inserts</t>
  </si>
  <si>
    <t>bathtub refinish janesvillewisconsin</t>
  </si>
  <si>
    <t>bathtub refinish kit home depot</t>
  </si>
  <si>
    <t>bathtub refinish kit lowes</t>
  </si>
  <si>
    <t>bathtub refinish los gatos ca</t>
  </si>
  <si>
    <t>bathtub refinish lowes</t>
  </si>
  <si>
    <t>bathtub refinish minneapolis</t>
  </si>
  <si>
    <t>bathtub refinish near 34714</t>
  </si>
  <si>
    <t>bathtub refinish new albany indiana</t>
  </si>
  <si>
    <t>bathtub refinish northbrook il</t>
  </si>
  <si>
    <t>bathtub refinish oahu</t>
  </si>
  <si>
    <t>bathtub refinish odor</t>
  </si>
  <si>
    <t>bathtub refinish overspray lacquer thinner</t>
  </si>
  <si>
    <t>bathtub refinish overspray tile</t>
  </si>
  <si>
    <t>bathtub refinish peeling</t>
  </si>
  <si>
    <t>bathtub refinish products</t>
  </si>
  <si>
    <t>bathtub refinish quote venice fl</t>
  </si>
  <si>
    <t>bathtub refinish red streaks</t>
  </si>
  <si>
    <t>bathtub refinish removing overspray</t>
  </si>
  <si>
    <t>bathtub refinish repair</t>
  </si>
  <si>
    <t>bathtub refinish repair company</t>
  </si>
  <si>
    <t>bathtub refinish santa fe</t>
  </si>
  <si>
    <t>bathtub refinish snata cruz</t>
  </si>
  <si>
    <t>bathtub refinish supplies</t>
  </si>
  <si>
    <t>bathtub refinish temecula</t>
  </si>
  <si>
    <t>bathtub refinish tub in cleveland</t>
  </si>
  <si>
    <t>bathtub refinish vs reglaze</t>
  </si>
  <si>
    <t>bathtub refinish vs replacement</t>
  </si>
  <si>
    <t>bathtub refinished boise</t>
  </si>
  <si>
    <t>bathtub refinished lacrosse wi</t>
  </si>
  <si>
    <t>bathtub refinisher albany albany ny</t>
  </si>
  <si>
    <t>bathtub refinisher albuquerque albuquerque nm</t>
  </si>
  <si>
    <t>bathtub refinisher alexandria alexandria va</t>
  </si>
  <si>
    <t>bathtub refinisher asheville asheville nc</t>
  </si>
  <si>
    <t>bathtub refinisher augusta augusta ga</t>
  </si>
  <si>
    <t>bathtub refinisher austin austin tx</t>
  </si>
  <si>
    <t>bathtub refinisher baltimore baltimore md</t>
  </si>
  <si>
    <t>bathtub refinisher baton baton rouge la</t>
  </si>
  <si>
    <t>bathtub refinisher baton rouge baton rouge la</t>
  </si>
  <si>
    <t>bathtub refinisher boca raton</t>
  </si>
  <si>
    <t>bathtub refinisher boca raton boca raton fl</t>
  </si>
  <si>
    <t>bathtub refinisher boise boise id</t>
  </si>
  <si>
    <t>bathtub refinisher bradenton bradenton fl</t>
  </si>
  <si>
    <t>bathtub refinisher brooklyn brooklyn ny</t>
  </si>
  <si>
    <t>bathtub refinisher charleston charleston sc</t>
  </si>
  <si>
    <t>bathtub refinisher chattanooga chattanooga tn</t>
  </si>
  <si>
    <t>bathtub refinisher cincinnati cincinnati oh</t>
  </si>
  <si>
    <t>bathtub refinisher clear lake tx</t>
  </si>
  <si>
    <t>bathtub refinisher clearwater clearwater fl</t>
  </si>
  <si>
    <t>bathtub refinisher cleveland cleveland oh</t>
  </si>
  <si>
    <t>bathtub refinisher colorado springs colorado springs co</t>
  </si>
  <si>
    <t>bathtub refinisher columbia columbia sc</t>
  </si>
  <si>
    <t>bathtub refinisher columbus columbus oh</t>
  </si>
  <si>
    <t>bathtub refinisher dayton dayton oh</t>
  </si>
  <si>
    <t>bathtub refinisher daytona beach daytona beach fl</t>
  </si>
  <si>
    <t>bathtub refinisher denver denver co</t>
  </si>
  <si>
    <t>bathtub refinisher des moines des moines ia</t>
  </si>
  <si>
    <t>bathtub refinisher dies from exposure to methylene chloride</t>
  </si>
  <si>
    <t>bathtub refinisher durham durham nc</t>
  </si>
  <si>
    <t>bathtub refinisher fayetteville fayetteville nc</t>
  </si>
  <si>
    <t>bathtub refinisher fort lauderdale</t>
  </si>
  <si>
    <t>bathtub refinisher fort lauderdale fort lauderdale fl</t>
  </si>
  <si>
    <t>bathtub refinisher fort wayne fort wayne in</t>
  </si>
  <si>
    <t>bathtub refinisher fort worth fort worth tx</t>
  </si>
  <si>
    <t>bathtub refinisher ft worth fort worth tx</t>
  </si>
  <si>
    <t>bathtub refinisher grand rapids grand rapids mi</t>
  </si>
  <si>
    <t>bathtub refinisher greensboro greensboro nc</t>
  </si>
  <si>
    <t>bathtub refinisher greenville greenville sc</t>
  </si>
  <si>
    <t>bathtub refinisher harrisburg harrisburg pa</t>
  </si>
  <si>
    <t>bathtub refinisher hartford hartford ct</t>
  </si>
  <si>
    <t>bathtub refinisher houston tx</t>
  </si>
  <si>
    <t>bathtub refinisher huntsville huntsville al</t>
  </si>
  <si>
    <t>bathtub refinisher in arlington</t>
  </si>
  <si>
    <t>bathtub refinisher in carrollton</t>
  </si>
  <si>
    <t>bathtub refinisher in dallas</t>
  </si>
  <si>
    <t>bathtub refinisher in escondido ca</t>
  </si>
  <si>
    <t>bathtub refinisher in frisco</t>
  </si>
  <si>
    <t>bathtub refinisher in garland</t>
  </si>
  <si>
    <t>bathtub refinisher in grand prairie</t>
  </si>
  <si>
    <t>bathtub refinisher in irving</t>
  </si>
  <si>
    <t>bathtub refinisher in mckinney</t>
  </si>
  <si>
    <t>bathtub refinisher in mesquite</t>
  </si>
  <si>
    <t>bathtub refinisher in okc area</t>
  </si>
  <si>
    <t>bathtub refinisher in plano</t>
  </si>
  <si>
    <t>bathtub refinisher in richardson</t>
  </si>
  <si>
    <t>bathtub refinisher indianapolis indianapolis in</t>
  </si>
  <si>
    <t>bathtub refinisher jacksonville jacksonville fl</t>
  </si>
  <si>
    <t>bathtub refinisher kansas city kansas city ks</t>
  </si>
  <si>
    <t>bathtub refinisher katy tx</t>
  </si>
  <si>
    <t>bathtub refinisher knoxville knoxville tn</t>
  </si>
  <si>
    <t>bathtub refinisher lakeland lakeland fl</t>
  </si>
  <si>
    <t>bathtub refinisher lansing lansing mi</t>
  </si>
  <si>
    <t>bathtub refinisher las vegas las vegas nv</t>
  </si>
  <si>
    <t>bathtub refinisher lewisville lewisville tx</t>
  </si>
  <si>
    <t>bathtub refinisher lexington lexington ky</t>
  </si>
  <si>
    <t>bathtub refinisher lincoln lincoln ne</t>
  </si>
  <si>
    <t>bathtub refinisher little rock little rock ar</t>
  </si>
  <si>
    <t>bathtub refinisher livonia livonia mi</t>
  </si>
  <si>
    <t>bathtub refinisher los angeles los angeles ca</t>
  </si>
  <si>
    <t>bathtub refinisher louisville louisville ky</t>
  </si>
  <si>
    <t>bathtub refinisher lubbock lubbock tx</t>
  </si>
  <si>
    <t>bathtub refinisher madison madison wi</t>
  </si>
  <si>
    <t>bathtub refinisher manchester manchester nh</t>
  </si>
  <si>
    <t>bathtub refinisher melbourne melbourne fl</t>
  </si>
  <si>
    <t>bathtub refinisher miami miami fl</t>
  </si>
  <si>
    <t>bathtub refinisher milwaukee milwaukee wi</t>
  </si>
  <si>
    <t>bathtub refinisher modesto modesto ca</t>
  </si>
  <si>
    <t>bathtub refinisher nashville nashville tn</t>
  </si>
  <si>
    <t>bathtub refinisher new orleans new orleans la</t>
  </si>
  <si>
    <t>bathtub refinisher newton ma</t>
  </si>
  <si>
    <t>bathtub refinisher ocala ocala fl</t>
  </si>
  <si>
    <t>bathtub refinisher omaha omaha ne</t>
  </si>
  <si>
    <t>bathtub refinisher orlando orlando fl</t>
  </si>
  <si>
    <t>bathtub refinisher palm springs palm springs ca</t>
  </si>
  <si>
    <t>bathtub refinisher peoria peoria il</t>
  </si>
  <si>
    <t>bathtub refinisher philadelphia philadelphia pa</t>
  </si>
  <si>
    <t>bathtub refinisher phoenix phoenix az</t>
  </si>
  <si>
    <t>bathtub refinisher pittsburgh pittsburgh pa</t>
  </si>
  <si>
    <t>bathtub refinisher portland portland or</t>
  </si>
  <si>
    <t>bathtub refinisher randolph ny</t>
  </si>
  <si>
    <t>bathtub refinisher reno reno nv</t>
  </si>
  <si>
    <t>bathtub refinisher roanoke roanoke va</t>
  </si>
  <si>
    <t>bathtub refinisher sacramento sacramento</t>
  </si>
  <si>
    <t>bathtub refinisher sacramento sacramento ca</t>
  </si>
  <si>
    <t>bathtub refinisher salt lake city salt lake city ut</t>
  </si>
  <si>
    <t>bathtub refinisher san diego san diego ca</t>
  </si>
  <si>
    <t>bathtub refinisher sarasota sarasota fl</t>
  </si>
  <si>
    <t>bathtub refinisher seattle seattle wa</t>
  </si>
  <si>
    <t>bathtub refinisher shreveport shreveport la</t>
  </si>
  <si>
    <t>bathtub refinisher spokane spokane wa</t>
  </si>
  <si>
    <t>bathtub refinisher spring tx</t>
  </si>
  <si>
    <t>bathtub refinisher springfield springfield mo</t>
  </si>
  <si>
    <t>bathtub refinisher st louis</t>
  </si>
  <si>
    <t>bathtub refinisher sugarland tx</t>
  </si>
  <si>
    <t>bathtub refinisher syracuse syracuse ny</t>
  </si>
  <si>
    <t>bathtub refinisher tacoma tacoma wa</t>
  </si>
  <si>
    <t>bathtub refinisher tallahassee tallahassee fl</t>
  </si>
  <si>
    <t>bathtub refinisher tulsa tulsa ok</t>
  </si>
  <si>
    <t>bathtub refinisher twin cities minneapolis mn</t>
  </si>
  <si>
    <t>bathtub refinisher tyler tyler tx</t>
  </si>
  <si>
    <t>bathtub refinisher valparaiso valparaiso in</t>
  </si>
  <si>
    <t>bathtub refinisher vancouver vancouver wa</t>
  </si>
  <si>
    <t>bathtub refinisher virginia beach virginia beach va</t>
  </si>
  <si>
    <t>bathtub refinisher walnut creek ca</t>
  </si>
  <si>
    <t>bathtub refinisher west palm beach</t>
  </si>
  <si>
    <t>bathtub refinisher westchester country westchester ny</t>
  </si>
  <si>
    <t>bathtub refinisher wichita wichita ks</t>
  </si>
  <si>
    <t>bathtub refinisher wilmington wilmington de</t>
  </si>
  <si>
    <t>bathtub refinisher winston salem winston-salem nc</t>
  </si>
  <si>
    <t>bathtub refinisher worcester worcester ma</t>
  </si>
  <si>
    <t>bathtub refinishers 93458</t>
  </si>
  <si>
    <t>bathtub refinishers albuquerque albuquerque nm</t>
  </si>
  <si>
    <t>bathtub refinishers alexandria alexandria va</t>
  </si>
  <si>
    <t>bathtub refinishers amazon</t>
  </si>
  <si>
    <t>bathtub refinishers anchorage anchorage ak</t>
  </si>
  <si>
    <t>bathtub refinishers atlanta ga</t>
  </si>
  <si>
    <t>bathtub refinishers baltimore baltimore md</t>
  </si>
  <si>
    <t>bathtub refinishers boca raton</t>
  </si>
  <si>
    <t>bathtub refinishers boca raton boca raton fl</t>
  </si>
  <si>
    <t>bathtub refinishers boise boise id</t>
  </si>
  <si>
    <t>bathtub refinishers boynton beach</t>
  </si>
  <si>
    <t>bathtub refinishers buffalo ny</t>
  </si>
  <si>
    <t>bathtub refinishers calgary</t>
  </si>
  <si>
    <t>bathtub refinishers canton ga</t>
  </si>
  <si>
    <t>bathtub refinishers charlotte charlotte nc</t>
  </si>
  <si>
    <t>bathtub refinishers chicago</t>
  </si>
  <si>
    <t>bathtub refinishers chico</t>
  </si>
  <si>
    <t>bathtub refinishers chico ca</t>
  </si>
  <si>
    <t>bathtub refinishers cincinnati cincinnati oh</t>
  </si>
  <si>
    <t>bathtub refinishers clear lake tx</t>
  </si>
  <si>
    <t>bathtub refinishers colorado springs</t>
  </si>
  <si>
    <t>bathtub refinishers colorado springs colorado springs co</t>
  </si>
  <si>
    <t>bathtub refinishers columbia columbia sc</t>
  </si>
  <si>
    <t>bathtub refinishers columbus columbus oh</t>
  </si>
  <si>
    <t>bathtub refinishers columbus ohio</t>
  </si>
  <si>
    <t>bathtub refinishers dallas texas</t>
  </si>
  <si>
    <t>bathtub refinishers dayton dayton oh</t>
  </si>
  <si>
    <t>bathtub refinishers denver denver co</t>
  </si>
  <si>
    <t>bathtub refinishers des moines des moines ia</t>
  </si>
  <si>
    <t>bathtub refinishers edmonton</t>
  </si>
  <si>
    <t>bathtub refinishers fort lauderdale</t>
  </si>
  <si>
    <t>bathtub refinishers fort lauderdale fort lauderdale fl</t>
  </si>
  <si>
    <t>bathtub refinishers fort wayne fort wayne in</t>
  </si>
  <si>
    <t>bathtub refinishers forum</t>
  </si>
  <si>
    <t>bathtub refinishers ft worth fort worth tx</t>
  </si>
  <si>
    <t>bathtub refinishers gainesville ga</t>
  </si>
  <si>
    <t>bathtub refinishers gastonia nc</t>
  </si>
  <si>
    <t>bathtub refinishers grand rapids grand rapids mi</t>
  </si>
  <si>
    <t>bathtub refinishers grand rapids mi</t>
  </si>
  <si>
    <t>bathtub refinishers greensboro greensboro nc</t>
  </si>
  <si>
    <t>bathtub refinishers greenville greenville sc</t>
  </si>
  <si>
    <t>bathtub refinishers harrisburg harrisburg pa</t>
  </si>
  <si>
    <t>bathtub refinishers hartford ct</t>
  </si>
  <si>
    <t>bathtub refinishers houston</t>
  </si>
  <si>
    <t>bathtub refinishers houston houston tx</t>
  </si>
  <si>
    <t>bathtub refinishers houston tx</t>
  </si>
  <si>
    <t>bathtub refinishers huntsville huntsville al</t>
  </si>
  <si>
    <t>bathtub refinishers in arlington</t>
  </si>
  <si>
    <t>bathtub refinishers in cairo ga</t>
  </si>
  <si>
    <t>bathtub refinishers in carrollton</t>
  </si>
  <si>
    <t>bathtub refinishers in chesapeake va</t>
  </si>
  <si>
    <t>bathtub refinishers in ct</t>
  </si>
  <si>
    <t>bathtub refinishers in dallas</t>
  </si>
  <si>
    <t>bathtub refinishers in escondido</t>
  </si>
  <si>
    <t>bathtub refinishers in frisco</t>
  </si>
  <si>
    <t>bathtub refinishers in garland</t>
  </si>
  <si>
    <t>bathtub refinishers in grand prairie</t>
  </si>
  <si>
    <t>bathtub refinishers in irving</t>
  </si>
  <si>
    <t>bathtub refinishers in las vegas nv</t>
  </si>
  <si>
    <t>bathtub refinishers in mckinney</t>
  </si>
  <si>
    <t>bathtub refinishers in mesquite</t>
  </si>
  <si>
    <t>bathtub refinishers in pittsburgh</t>
  </si>
  <si>
    <t>bathtub refinishers in plano</t>
  </si>
  <si>
    <t>bathtub refinishers in richardson</t>
  </si>
  <si>
    <t>bathtub refinishers in san antonio texas</t>
  </si>
  <si>
    <t>bathtub refinishers in san diego</t>
  </si>
  <si>
    <t>bathtub refinishers in springfield mo</t>
  </si>
  <si>
    <t>bathtub refinishers in st louis mo</t>
  </si>
  <si>
    <t>bathtub refinishers indianapolis indianapolis in</t>
  </si>
  <si>
    <t>bathtub refinishers jacksonville jacksonville fl</t>
  </si>
  <si>
    <t>bathtub refinishers kansas city kansas city ks</t>
  </si>
  <si>
    <t>bathtub refinishers katy tx</t>
  </si>
  <si>
    <t>bathtub refinishers lakeland lakeland fl</t>
  </si>
  <si>
    <t>bathtub refinishers lakewood</t>
  </si>
  <si>
    <t>bathtub refinishers lansing lansing mi</t>
  </si>
  <si>
    <t>bathtub refinishers las vegas las vegas nv</t>
  </si>
  <si>
    <t>bathtub refinishers lexington lexington ky</t>
  </si>
  <si>
    <t>bathtub refinishers little rock little rock ar</t>
  </si>
  <si>
    <t>bathtub refinishers livonia livonia mi</t>
  </si>
  <si>
    <t>bathtub refinishers los angeles los angeles ca</t>
  </si>
  <si>
    <t>bathtub refinishers louisville louisville ky</t>
  </si>
  <si>
    <t>bathtub refinishers lubbock lubbock tx</t>
  </si>
  <si>
    <t>bathtub refinishers madison madison wi</t>
  </si>
  <si>
    <t>bathtub refinishers manchester manchester nh</t>
  </si>
  <si>
    <t>bathtub refinishers maryland</t>
  </si>
  <si>
    <t>bathtub refinishers memphis tn</t>
  </si>
  <si>
    <t>bathtub refinishers miami</t>
  </si>
  <si>
    <t>bathtub refinishers miami miami fl</t>
  </si>
  <si>
    <t>bathtub refinishers michigan</t>
  </si>
  <si>
    <t>bathtub refinishers mobile mobile al</t>
  </si>
  <si>
    <t>bathtub refinishers nashville nashville tn</t>
  </si>
  <si>
    <t>bathtub refinishers near sidney new york</t>
  </si>
  <si>
    <t>bathtub refinishers new orleans new orleans la</t>
  </si>
  <si>
    <t>bathtub refinishers newton ma</t>
  </si>
  <si>
    <t>bathtub refinishers nj</t>
  </si>
  <si>
    <t>bathtub refinishers oahu</t>
  </si>
  <si>
    <t>bathtub refinishers of texas</t>
  </si>
  <si>
    <t>bathtub refinishers omaha omaha ne</t>
  </si>
  <si>
    <t>bathtub refinishers orlando orlando fl</t>
  </si>
  <si>
    <t>bathtub refinishers palm springs palm springs ca</t>
  </si>
  <si>
    <t>bathtub refinishers peoria peoria il</t>
  </si>
  <si>
    <t>bathtub refinishers philadelphia philadelphia pa</t>
  </si>
  <si>
    <t>bathtub refinishers phoenix phoenix az</t>
  </si>
  <si>
    <t>bathtub refinishers pittsburgh pittsburgh pa</t>
  </si>
  <si>
    <t>bathtub refinishers portland</t>
  </si>
  <si>
    <t>bathtub refinishers portland oregon</t>
  </si>
  <si>
    <t>bathtub refinishers portland portland or</t>
  </si>
  <si>
    <t>bathtub refinishers raleigh raleigh nc</t>
  </si>
  <si>
    <t>bathtub refinishers reno reno nv</t>
  </si>
  <si>
    <t>bathtub refinishers ri</t>
  </si>
  <si>
    <t>bathtub refinishers richardson</t>
  </si>
  <si>
    <t>bathtub refinishers roanoke roanoke va</t>
  </si>
  <si>
    <t>bathtub refinishers rochester rochester ny</t>
  </si>
  <si>
    <t>bathtub refinishers sacramento sacramento ca</t>
  </si>
  <si>
    <t>bathtub refinishers salt lake city salt lake city ut</t>
  </si>
  <si>
    <t>bathtub refinishers san antonio tx</t>
  </si>
  <si>
    <t>bathtub refinishers san diego</t>
  </si>
  <si>
    <t>bathtub refinishers san diego ca</t>
  </si>
  <si>
    <t>bathtub refinishers san diego san diego ca</t>
  </si>
  <si>
    <t>bathtub refinishers sarasota sarasota fl</t>
  </si>
  <si>
    <t>bathtub refinishers seattle seattle wa</t>
  </si>
  <si>
    <t>bathtub refinishers seattle wa</t>
  </si>
  <si>
    <t>bathtub refinishers spokane spokane wa</t>
  </si>
  <si>
    <t>bathtub refinishers spring tx</t>
  </si>
  <si>
    <t>bathtub refinishers springfield springfield mo</t>
  </si>
  <si>
    <t>bathtub refinishers st charles mo</t>
  </si>
  <si>
    <t>bathtub refinishers st louis st. louis mo</t>
  </si>
  <si>
    <t>bathtub refinishers sugar hill</t>
  </si>
  <si>
    <t>bathtub refinishers sugarland tx</t>
  </si>
  <si>
    <t>bathtub refinishers syracuse syracuse ny</t>
  </si>
  <si>
    <t>bathtub refinishers tacoma tacoma wa</t>
  </si>
  <si>
    <t>bathtub refinishers tallahassee tallahassee fl</t>
  </si>
  <si>
    <t>bathtub refinishers tampa tampa fl</t>
  </si>
  <si>
    <t>bathtub refinishers toledo</t>
  </si>
  <si>
    <t>bathtub refinishers toledo ohi</t>
  </si>
  <si>
    <t>bathtub refinishers toledo ohio</t>
  </si>
  <si>
    <t>bathtub refinishers twin cities minneapolis mn</t>
  </si>
  <si>
    <t>bathtub refinishers tyler tyler tx</t>
  </si>
  <si>
    <t>bathtub refinishers valparaiso valparaiso in</t>
  </si>
  <si>
    <t>bathtub refinishers vancouver vancouver wa</t>
  </si>
  <si>
    <t>bathtub refinishers victoria bc</t>
  </si>
  <si>
    <t>bathtub refinishers west palm beach</t>
  </si>
  <si>
    <t>bathtub refinishers westchester country westchester ny</t>
  </si>
  <si>
    <t>bathtub refinishers winston salem winston-salem nc</t>
  </si>
  <si>
    <t>bathtub refinishing &amp; 60506 illinois</t>
  </si>
  <si>
    <t>bathtub refinishing &amp; 60542</t>
  </si>
  <si>
    <t>bathtub refinishing &amp; 60542 illinois</t>
  </si>
  <si>
    <t>bathtub refinishing &amp; amp fiberglass expert</t>
  </si>
  <si>
    <t>bathtub refinishing &amp; repair handyman</t>
  </si>
  <si>
    <t>bathtub refinishing &amp; repair las vegas nv</t>
  </si>
  <si>
    <t>bathtub refinishing &amp; repair seattle wa</t>
  </si>
  <si>
    <t>bathtub refinishing &amp; repair services 89120</t>
  </si>
  <si>
    <t>bathtub refinishing &amp;6054</t>
  </si>
  <si>
    <t>bathtub refinishing &amp;60542</t>
  </si>
  <si>
    <t>bathtub refinishing &amp;amp</t>
  </si>
  <si>
    <t>bathtub refinishing 01005</t>
  </si>
  <si>
    <t>bathtub refinishing 06776</t>
  </si>
  <si>
    <t>bathtub refinishing 10471</t>
  </si>
  <si>
    <t>bathtub refinishing 10471 costs</t>
  </si>
  <si>
    <t>bathtub refinishing 11946</t>
  </si>
  <si>
    <t>bathtub refinishing 12 oz biscuits colour spray</t>
  </si>
  <si>
    <t>bathtub refinishing 12533</t>
  </si>
  <si>
    <t>bathtub refinishing 16652</t>
  </si>
  <si>
    <t>bathtub refinishing 20659</t>
  </si>
  <si>
    <t>bathtub refinishing 20720</t>
  </si>
  <si>
    <t>bathtub refinishing 21863</t>
  </si>
  <si>
    <t>bathtub refinishing 34601</t>
  </si>
  <si>
    <t>bathtub refinishing 34997</t>
  </si>
  <si>
    <t>bathtub refinishing 60707</t>
  </si>
  <si>
    <t>bathtub refinishing 7 steps temple texas</t>
  </si>
  <si>
    <t>bathtub refinishing 80122</t>
  </si>
  <si>
    <t>bathtub refinishing 80234</t>
  </si>
  <si>
    <t>bathtub refinishing 83705</t>
  </si>
  <si>
    <t>bathtub refinishing 866</t>
  </si>
  <si>
    <t>bathtub refinishing 87505</t>
  </si>
  <si>
    <t>bathtub refinishing abbotsford</t>
  </si>
  <si>
    <t>bathtub refinishing abington ma</t>
  </si>
  <si>
    <t>bathtub refinishing acid etching</t>
  </si>
  <si>
    <t>bathtub refinishing acrylic urethane</t>
  </si>
  <si>
    <t>bathtub refinishing adelaide</t>
  </si>
  <si>
    <t>bathtub refinishing akron oh</t>
  </si>
  <si>
    <t>bathtub refinishing alabama</t>
  </si>
  <si>
    <t>bathtub refinishing alameda</t>
  </si>
  <si>
    <t>bathtub refinishing albany albany ny</t>
  </si>
  <si>
    <t>bathtub refinishing albany ga</t>
  </si>
  <si>
    <t>bathtub refinishing albuquerque albuquerque nm</t>
  </si>
  <si>
    <t>bathtub refinishing albuquerque reviews</t>
  </si>
  <si>
    <t>bathtub refinishing albuquerque trackid sp-006</t>
  </si>
  <si>
    <t>bathtub refinishing alexandria alexandria va</t>
  </si>
  <si>
    <t>bathtub refinishing alexandria virginia</t>
  </si>
  <si>
    <t>bathtub refinishing alpharetta ga</t>
  </si>
  <si>
    <t>bathtub refinishing anaheim</t>
  </si>
  <si>
    <t>bathtub refinishing anaheim ca</t>
  </si>
  <si>
    <t>bathtub refinishing ancaster</t>
  </si>
  <si>
    <t>bathtub refinishing anchorage ak</t>
  </si>
  <si>
    <t>bathtub refinishing and fiberglass expert instructions</t>
  </si>
  <si>
    <t>bathtub refinishing and fiberglass expert los angeles</t>
  </si>
  <si>
    <t>bathtub refinishing and fiberglass expert los angeles ca</t>
  </si>
  <si>
    <t>bathtub refinishing and liner specialist</t>
  </si>
  <si>
    <t>bathtub refinishing and liners</t>
  </si>
  <si>
    <t>bathtub refinishing and more</t>
  </si>
  <si>
    <t>bathtub refinishing and pets</t>
  </si>
  <si>
    <t>bathtub refinishing and repair reviews</t>
  </si>
  <si>
    <t>bathtub refinishing and repair seattle</t>
  </si>
  <si>
    <t>bathtub refinishing and surround</t>
  </si>
  <si>
    <t>bathtub refinishing anderson sc</t>
  </si>
  <si>
    <t>bathtub refinishing anne arundel county</t>
  </si>
  <si>
    <t>bathtub refinishing antelope</t>
  </si>
  <si>
    <t>bathtub refinishing anthony fl</t>
  </si>
  <si>
    <t>bathtub refinishing apex nc</t>
  </si>
  <si>
    <t>bathtub refinishing appleton</t>
  </si>
  <si>
    <t>bathtub refinishing archer fl</t>
  </si>
  <si>
    <t>bathtub refinishing arlington</t>
  </si>
  <si>
    <t>bathtub refinishing arlington md</t>
  </si>
  <si>
    <t>bathtub refinishing arvada</t>
  </si>
  <si>
    <t>bathtub refinishing asheboro nc</t>
  </si>
  <si>
    <t>bathtub refinishing asheville asheville nc</t>
  </si>
  <si>
    <t>bathtub refinishing astatula fl</t>
  </si>
  <si>
    <t>bathtub refinishing at longview texas</t>
  </si>
  <si>
    <t>bathtub refinishing athens tx</t>
  </si>
  <si>
    <t>bathtub refinishing atlanta georgia</t>
  </si>
  <si>
    <t>bathtub refinishing atlantic county nj</t>
  </si>
  <si>
    <t>bathtub refinishing auburn al</t>
  </si>
  <si>
    <t>bathtub refinishing auburn ca</t>
  </si>
  <si>
    <t>bathtub refinishing augusta augusta ga</t>
  </si>
  <si>
    <t>bathtub refinishing augusta maine</t>
  </si>
  <si>
    <t>bathtub refinishing austin austin tx</t>
  </si>
  <si>
    <t>bathtub refinishing austin texas</t>
  </si>
  <si>
    <t>bathtub refinishing az</t>
  </si>
  <si>
    <t>bathtub refinishing ballwin mo</t>
  </si>
  <si>
    <t>bathtub refinishing baltimore baltimore md</t>
  </si>
  <si>
    <t>bathtub refinishing baltimore maryland</t>
  </si>
  <si>
    <t>bathtub refinishing bangor maine</t>
  </si>
  <si>
    <t>bathtub refinishing barrie</t>
  </si>
  <si>
    <t>bathtub refinishing batavia ny</t>
  </si>
  <si>
    <t>bathtub refinishing bathtub and tile</t>
  </si>
  <si>
    <t>bathtub refinishing bathtub company</t>
  </si>
  <si>
    <t>bathtub refinishing bathtub refinishing companies</t>
  </si>
  <si>
    <t>bathtub refinishing bathtub refinishing kit</t>
  </si>
  <si>
    <t>bathtub refinishing bathtub refinishing products</t>
  </si>
  <si>
    <t>bathtub refinishing bathtub refinishing reviews</t>
  </si>
  <si>
    <t>bathtub refinishing bathtub reglazing</t>
  </si>
  <si>
    <t>bathtub refinishing bathtub reglazing bathtub refinishing nj</t>
  </si>
  <si>
    <t>bathtub refinishing bathtub resurfaced</t>
  </si>
  <si>
    <t>bathtub refinishing baton baton rouge la</t>
  </si>
  <si>
    <t>bathtub refinishing baton rouge baton rouge la</t>
  </si>
  <si>
    <t>bathtub refinishing baton rouge louisiana</t>
  </si>
  <si>
    <t>bathtub refinishing battle creek mi</t>
  </si>
  <si>
    <t>bathtub refinishing bay city mi</t>
  </si>
  <si>
    <t>bathtub refinishing baytown</t>
  </si>
  <si>
    <t>bathtub refinishing baytown texas</t>
  </si>
  <si>
    <t>bathtub refinishing beaver dam wi</t>
  </si>
  <si>
    <t>bathtub refinishing beaverton oregon</t>
  </si>
  <si>
    <t>bathtub refinishing bedford tx</t>
  </si>
  <si>
    <t>bathtub refinishing bel air md</t>
  </si>
  <si>
    <t>bathtub refinishing belleville il</t>
  </si>
  <si>
    <t>bathtub refinishing belleville ontario</t>
  </si>
  <si>
    <t>bathtub refinishing bellevue wa</t>
  </si>
  <si>
    <t>bathtub refinishing belvedere park ga</t>
  </si>
  <si>
    <t>bathtub refinishing bergen county nj</t>
  </si>
  <si>
    <t>bathtub refinishing berkeley</t>
  </si>
  <si>
    <t>bathtub refinishing berkeley ca</t>
  </si>
  <si>
    <t>bathtub refinishing berkley mi</t>
  </si>
  <si>
    <t>bathtub refinishing berwyn il</t>
  </si>
  <si>
    <t>bathtub refinishing better homes and gardens</t>
  </si>
  <si>
    <t>bathtub refinishing big rapids mi</t>
  </si>
  <si>
    <t>bathtub refinishing binbrook</t>
  </si>
  <si>
    <t>bathtub refinishing birmingham birmingham al</t>
  </si>
  <si>
    <t>bathtub refinishing bismarck nd</t>
  </si>
  <si>
    <t>bathtub refinishing blaine mn</t>
  </si>
  <si>
    <t>bathtub refinishing blog</t>
  </si>
  <si>
    <t>bathtub refinishing bloomfield nj</t>
  </si>
  <si>
    <t>bathtub refinishing boca raton boca raton fl</t>
  </si>
  <si>
    <t>bathtub refinishing boise boise id</t>
  </si>
  <si>
    <t>bathtub refinishing bonding agent</t>
  </si>
  <si>
    <t>bathtub refinishing bonita springs fl</t>
  </si>
  <si>
    <t>bathtub refinishing book</t>
  </si>
  <si>
    <t>bathtub refinishing boone nc</t>
  </si>
  <si>
    <t>bathtub refinishing boston area</t>
  </si>
  <si>
    <t>bathtub refinishing boston reviews</t>
  </si>
  <si>
    <t>bathtub refinishing bothell</t>
  </si>
  <si>
    <t>bathtub refinishing boulder</t>
  </si>
  <si>
    <t>bathtub refinishing bradenton bradenton fl</t>
  </si>
  <si>
    <t>bathtub refinishing brainerd mn</t>
  </si>
  <si>
    <t>bathtub refinishing brampton</t>
  </si>
  <si>
    <t>bathtub refinishing brandon manitoba</t>
  </si>
  <si>
    <t>bathtub refinishing brantford</t>
  </si>
  <si>
    <t>bathtub refinishing braselton</t>
  </si>
  <si>
    <t>bathtub refinishing braselton ga</t>
  </si>
  <si>
    <t>bathtub refinishing bremen ga</t>
  </si>
  <si>
    <t>bathtub refinishing bremerton wa</t>
  </si>
  <si>
    <t>bathtub refinishing brenham tx</t>
  </si>
  <si>
    <t>bathtub refinishing brentwood mo</t>
  </si>
  <si>
    <t>bathtub refinishing brevard county florida</t>
  </si>
  <si>
    <t>bathtub refinishing brick nj</t>
  </si>
  <si>
    <t>bathtub refinishing bridgeport ct</t>
  </si>
  <si>
    <t>bathtub refinishing bristol tn</t>
  </si>
  <si>
    <t>bathtub refinishing brooklyn brooklyn ny</t>
  </si>
  <si>
    <t>bathtub refinishing brooklyn ny</t>
  </si>
  <si>
    <t>bathtub refinishing broward county florida</t>
  </si>
  <si>
    <t>bathtub refinishing brownsburg in</t>
  </si>
  <si>
    <t>bathtub refinishing bucks county pa</t>
  </si>
  <si>
    <t>bathtub refinishing buffalo new york</t>
  </si>
  <si>
    <t>bathtub refinishing buffalo surface mag</t>
  </si>
  <si>
    <t>bathtub refinishing burlington</t>
  </si>
  <si>
    <t>bathtub refinishing burlington ontario</t>
  </si>
  <si>
    <t>bathtub refinishing burnaby</t>
  </si>
  <si>
    <t>bathtub refinishing burnsvillemn</t>
  </si>
  <si>
    <t>bathtub refinishing bushnell fl</t>
  </si>
  <si>
    <t>bathtub refinishing business training</t>
  </si>
  <si>
    <t>bathtub refinishing byron ga</t>
  </si>
  <si>
    <t>bathtub refinishing cadillac mi</t>
  </si>
  <si>
    <t>bathtub refinishing calgary alberta</t>
  </si>
  <si>
    <t>bathtub refinishing calgary cost</t>
  </si>
  <si>
    <t>bathtub refinishing calgary reviews</t>
  </si>
  <si>
    <t>bathtub refinishing cambridge ontario</t>
  </si>
  <si>
    <t>bathtub refinishing cameron mo</t>
  </si>
  <si>
    <t>bathtub refinishing campbell river</t>
  </si>
  <si>
    <t>bathtub refinishing canadian tire</t>
  </si>
  <si>
    <t>bathtub refinishing canton mi</t>
  </si>
  <si>
    <t>bathtub refinishing canton oh</t>
  </si>
  <si>
    <t>bathtub refinishing carlton ga</t>
  </si>
  <si>
    <t>bathtub refinishing carmel</t>
  </si>
  <si>
    <t>bathtub refinishing carmel in</t>
  </si>
  <si>
    <t>bathtub refinishing carrollton ga</t>
  </si>
  <si>
    <t>bathtub refinishing carson city nv</t>
  </si>
  <si>
    <t>bathtub refinishing cartersville ga</t>
  </si>
  <si>
    <t>bathtub refinishing castle rock co</t>
  </si>
  <si>
    <t>bathtub refinishing castro valley ca</t>
  </si>
  <si>
    <t>bathtub refinishing cayuga</t>
  </si>
  <si>
    <t>bathtub refinishing cedar rapids ia</t>
  </si>
  <si>
    <t>bathtub refinishing central florida</t>
  </si>
  <si>
    <t>bathtub refinishing central nj</t>
  </si>
  <si>
    <t>bathtub refinishing chambersburg pa</t>
  </si>
  <si>
    <t>bathtub refinishing change color</t>
  </si>
  <si>
    <t>bathtub refinishing charles town wv</t>
  </si>
  <si>
    <t>bathtub refinishing charleston charleston sc</t>
  </si>
  <si>
    <t>bathtub refinishing charlottesville</t>
  </si>
  <si>
    <t>bathtub refinishing chattanooga chattanooga tn</t>
  </si>
  <si>
    <t>bathtub refinishing chemical</t>
  </si>
  <si>
    <t>bathtub refinishing chesterfield mo</t>
  </si>
  <si>
    <t>bathtub refinishing chicago cost</t>
  </si>
  <si>
    <t>bathtub refinishing chicago heights il</t>
  </si>
  <si>
    <t>bathtub refinishing chicago suburbs</t>
  </si>
  <si>
    <t>bathtub refinishing chicago yelp</t>
  </si>
  <si>
    <t>bathtub refinishing chico</t>
  </si>
  <si>
    <t>bathtub refinishing chico ca</t>
  </si>
  <si>
    <t>bathtub refinishing chilliwack</t>
  </si>
  <si>
    <t>bathtub refinishing chilliwack bc</t>
  </si>
  <si>
    <t>bathtub refinishing chip repair</t>
  </si>
  <si>
    <t>bathtub refinishing chipping</t>
  </si>
  <si>
    <t>bathtub refinishing cincinnati cincinnati oh</t>
  </si>
  <si>
    <t>bathtub refinishing cincinnati reviews</t>
  </si>
  <si>
    <t>bathtub refinishing citrus county</t>
  </si>
  <si>
    <t>bathtub refinishing clarence ny</t>
  </si>
  <si>
    <t>bathtub refinishing class</t>
  </si>
  <si>
    <t>bathtub refinishing classes california</t>
  </si>
  <si>
    <t>bathtub refinishing classes in texas</t>
  </si>
  <si>
    <t>bathtub refinishing classes near me</t>
  </si>
  <si>
    <t>bathtub refinishing clayton mo</t>
  </si>
  <si>
    <t>bathtub refinishing clear lake tx</t>
  </si>
  <si>
    <t>bathtub refinishing clearwater clearwater fl</t>
  </si>
  <si>
    <t>bathtub refinishing clermont fl</t>
  </si>
  <si>
    <t>bathtub refinishing cleveland cleveland oh</t>
  </si>
  <si>
    <t>bathtub refinishing cleveland oh</t>
  </si>
  <si>
    <t>bathtub refinishing cleveland tn</t>
  </si>
  <si>
    <t>bathtub refinishing clifton nj</t>
  </si>
  <si>
    <t>bathtub refinishing clinton ct</t>
  </si>
  <si>
    <t>bathtub refinishing co lakewood reviews</t>
  </si>
  <si>
    <t>bathtub refinishing co llc</t>
  </si>
  <si>
    <t>bathtub refinishing co tacoma</t>
  </si>
  <si>
    <t>bathtub refinishing coating ekopel 2k</t>
  </si>
  <si>
    <t>bathtub refinishing coating ekopel2k</t>
  </si>
  <si>
    <t>bathtub refinishing college station tx</t>
  </si>
  <si>
    <t>bathtub refinishing colorado springs co</t>
  </si>
  <si>
    <t>bathtub refinishing colorado springs colorado springs co</t>
  </si>
  <si>
    <t>bathtub refinishing colors blossom pink</t>
  </si>
  <si>
    <t>bathtub refinishing columbia columbia sc</t>
  </si>
  <si>
    <t>bathtub refinishing columbus columbus oh</t>
  </si>
  <si>
    <t>bathtub refinishing columbus indiana</t>
  </si>
  <si>
    <t>bathtub refinishing companies atlanta</t>
  </si>
  <si>
    <t>bathtub refinishing companies clear lake tx</t>
  </si>
  <si>
    <t>bathtub refinishing companies columbus ohio</t>
  </si>
  <si>
    <t>bathtub refinishing companies fort smith ar</t>
  </si>
  <si>
    <t>bathtub refinishing companies houston tx</t>
  </si>
  <si>
    <t>bathtub refinishing companies in arlington</t>
  </si>
  <si>
    <t>bathtub refinishing companies in carrollton</t>
  </si>
  <si>
    <t>bathtub refinishing companies in chicago</t>
  </si>
  <si>
    <t>bathtub refinishing companies in ct</t>
  </si>
  <si>
    <t>bathtub refinishing companies in dallas</t>
  </si>
  <si>
    <t>bathtub refinishing companies in frederick maryland</t>
  </si>
  <si>
    <t>bathtub refinishing companies in frisco</t>
  </si>
  <si>
    <t>bathtub refinishing companies in garland</t>
  </si>
  <si>
    <t>bathtub refinishing companies in grand prairie</t>
  </si>
  <si>
    <t>bathtub refinishing companies in hot springs sd</t>
  </si>
  <si>
    <t>bathtub refinishing companies in iowa</t>
  </si>
  <si>
    <t>bathtub refinishing companies in irving</t>
  </si>
  <si>
    <t>bathtub refinishing companies in jacksonville fl</t>
  </si>
  <si>
    <t>bathtub refinishing companies in maryland</t>
  </si>
  <si>
    <t>bathtub refinishing companies in massachusetts</t>
  </si>
  <si>
    <t>bathtub refinishing companies in mckinney</t>
  </si>
  <si>
    <t>bathtub refinishing companies in memphis tn</t>
  </si>
  <si>
    <t>bathtub refinishing companies in mesquite</t>
  </si>
  <si>
    <t>bathtub refinishing companies in mississippi</t>
  </si>
  <si>
    <t>bathtub refinishing companies in new jersey</t>
  </si>
  <si>
    <t>bathtub refinishing companies in plano</t>
  </si>
  <si>
    <t>bathtub refinishing companies in rapid city</t>
  </si>
  <si>
    <t>bathtub refinishing companies in richardson</t>
  </si>
  <si>
    <t>bathtub refinishing companies in san diego</t>
  </si>
  <si>
    <t>bathtub refinishing companies in south jersey</t>
  </si>
  <si>
    <t>bathtub refinishing companies iowa</t>
  </si>
  <si>
    <t>bathtub refinishing companies katy tx</t>
  </si>
  <si>
    <t>bathtub refinishing companies lee county</t>
  </si>
  <si>
    <t>bathtub refinishing companies long beach ca</t>
  </si>
  <si>
    <t>bathtub refinishing companies memphis tn</t>
  </si>
  <si>
    <t>bathtub refinishing companies michigan</t>
  </si>
  <si>
    <t>bathtub refinishing companies near 14062</t>
  </si>
  <si>
    <t>bathtub refinishing companies new england</t>
  </si>
  <si>
    <t>bathtub refinishing companies nj</t>
  </si>
  <si>
    <t>bathtub refinishing companies ny</t>
  </si>
  <si>
    <t>bathtub refinishing companies oak island nc</t>
  </si>
  <si>
    <t>bathtub refinishing companies philadelphia pa</t>
  </si>
  <si>
    <t>bathtub refinishing companies phoenix az</t>
  </si>
  <si>
    <t>bathtub refinishing companies portland oregon</t>
  </si>
  <si>
    <t>bathtub refinishing companies spring tx</t>
  </si>
  <si>
    <t>bathtub refinishing companies sugarland tx</t>
  </si>
  <si>
    <t>bathtub refinishing companies wichita</t>
  </si>
  <si>
    <t>bathtub refinishing company chicago il</t>
  </si>
  <si>
    <t>bathtub refinishing company dacula</t>
  </si>
  <si>
    <t>bathtub refinishing company denver</t>
  </si>
  <si>
    <t>bathtub refinishing company evansville in</t>
  </si>
  <si>
    <t>bathtub refinishing company for sale</t>
  </si>
  <si>
    <t>bathtub refinishing company in caldwell</t>
  </si>
  <si>
    <t>bathtub refinishing company los angeles ca</t>
  </si>
  <si>
    <t>bathtub refinishing company miami</t>
  </si>
  <si>
    <t>bathtub refinishing company odenton md</t>
  </si>
  <si>
    <t>bathtub refinishing company richardson</t>
  </si>
  <si>
    <t>bathtub refinishing company sugar hill</t>
  </si>
  <si>
    <t>bathtub refinishing company tacoma</t>
  </si>
  <si>
    <t>bathtub refinishing concord</t>
  </si>
  <si>
    <t>bathtub refinishing concord nc</t>
  </si>
  <si>
    <t>bathtub refinishing connecticut</t>
  </si>
  <si>
    <t>bathtub refinishing contractor bellevue wa</t>
  </si>
  <si>
    <t>bathtub refinishing contractor companies seattle wa</t>
  </si>
  <si>
    <t>bathtub refinishing contractor ct</t>
  </si>
  <si>
    <t>bathtub refinishing contractor in ct</t>
  </si>
  <si>
    <t>bathtub refinishing contractor kirkland wa</t>
  </si>
  <si>
    <t>bathtub refinishing contractors ny</t>
  </si>
  <si>
    <t>bathtub refinishing contractors tampa</t>
  </si>
  <si>
    <t>bathtub refinishing conway nh</t>
  </si>
  <si>
    <t>bathtub refinishing corpus christi tx</t>
  </si>
  <si>
    <t>bathtub refinishing corvallis oregon</t>
  </si>
  <si>
    <t>bathtub refinishing cost &amp; 60506 illinois</t>
  </si>
  <si>
    <t>bathtub refinishing cost 2024</t>
  </si>
  <si>
    <t>bathtub refinishing cost 2025</t>
  </si>
  <si>
    <t>bathtub refinishing cost average</t>
  </si>
  <si>
    <t>bathtub refinishing cost canada</t>
  </si>
  <si>
    <t>bathtub refinishing cost chicago</t>
  </si>
  <si>
    <t>bathtub refinishing cost denver</t>
  </si>
  <si>
    <t>bathtub refinishing cost hawaii</t>
  </si>
  <si>
    <t>bathtub refinishing cost houston</t>
  </si>
  <si>
    <t>bathtub refinishing cost los angeles</t>
  </si>
  <si>
    <t>bathtub refinishing costa mesa ca</t>
  </si>
  <si>
    <t>bathtub refinishing coupons</t>
  </si>
  <si>
    <t>bathtub refinishing course</t>
  </si>
  <si>
    <t>bathtub refinishing courses</t>
  </si>
  <si>
    <t>bathtub refinishing covington la</t>
  </si>
  <si>
    <t>bathtub refinishing crawfordville ga</t>
  </si>
  <si>
    <t>bathtub refinishing crestwood mo</t>
  </si>
  <si>
    <t>bathtub refinishing creve coeur mo</t>
  </si>
  <si>
    <t>bathtub refinishing crystal lake il</t>
  </si>
  <si>
    <t>bathtub refinishing ct reviews</t>
  </si>
  <si>
    <t>bathtub refinishing cumming ga</t>
  </si>
  <si>
    <t>bathtub refinishing customers reviews</t>
  </si>
  <si>
    <t>bathtub refinishing cutler bay</t>
  </si>
  <si>
    <t>bathtub refinishing cypress tx</t>
  </si>
  <si>
    <t>bathtub refinishing dacula</t>
  </si>
  <si>
    <t>bathtub refinishing dallas area</t>
  </si>
  <si>
    <t>bathtub refinishing dallas fort worth</t>
  </si>
  <si>
    <t>bathtub refinishing dallas reviews</t>
  </si>
  <si>
    <t>bathtub refinishing dallas texas</t>
  </si>
  <si>
    <t>bathtub refinishing danville il</t>
  </si>
  <si>
    <t>bathtub refinishing darien il</t>
  </si>
  <si>
    <t>bathtub refinishing darien mn</t>
  </si>
  <si>
    <t>bathtub refinishing davenport ia</t>
  </si>
  <si>
    <t>bathtub refinishing davenport iowa</t>
  </si>
  <si>
    <t>bathtub refinishing dayton dayton oh</t>
  </si>
  <si>
    <t>bathtub refinishing dayton oh</t>
  </si>
  <si>
    <t>bathtub refinishing decatur ga</t>
  </si>
  <si>
    <t>bathtub refinishing denton texas</t>
  </si>
  <si>
    <t>bathtub refinishing denver denver co</t>
  </si>
  <si>
    <t>bathtub refinishing denver price</t>
  </si>
  <si>
    <t>bathtub refinishing denver reviews</t>
  </si>
  <si>
    <t>bathtub refinishing des moines des moines ia</t>
  </si>
  <si>
    <t>bathtub refinishing des moines iowa</t>
  </si>
  <si>
    <t>bathtub refinishing des peres mo</t>
  </si>
  <si>
    <t>bathtub refinishing des plaines</t>
  </si>
  <si>
    <t>bathtub refinishing des plaines il</t>
  </si>
  <si>
    <t>bathtub refinishing destin fl</t>
  </si>
  <si>
    <t>bathtub refinishing detroit area</t>
  </si>
  <si>
    <t>bathtub refinishing detroit lakes mn</t>
  </si>
  <si>
    <t>bathtub refinishing dfw area</t>
  </si>
  <si>
    <t>bathtub refinishing diy bathtub refinishing</t>
  </si>
  <si>
    <t>bathtub refinishing diy reviews</t>
  </si>
  <si>
    <t>bathtub refinishing diy youtube</t>
  </si>
  <si>
    <t>bathtub refinishing dodge city ks</t>
  </si>
  <si>
    <t>bathtub refinishing douglasville ga</t>
  </si>
  <si>
    <t>bathtub refinishing dover nh</t>
  </si>
  <si>
    <t>bathtub refinishing duluth ga</t>
  </si>
  <si>
    <t>bathtub refinishing duluth minnesota</t>
  </si>
  <si>
    <t>bathtub refinishing dundas</t>
  </si>
  <si>
    <t>bathtub refinishing dunwoody ga</t>
  </si>
  <si>
    <t>bathtub refinishing durability</t>
  </si>
  <si>
    <t>bathtub refinishing durham durham nc</t>
  </si>
  <si>
    <t>bathtub refinishing durham region</t>
  </si>
  <si>
    <t>bathtub refinishing dust</t>
  </si>
  <si>
    <t>bathtub refinishing east bay</t>
  </si>
  <si>
    <t>bathtub refinishing east florida</t>
  </si>
  <si>
    <t>bathtub refinishing eastern nc</t>
  </si>
  <si>
    <t>bathtub refinishing edina mn</t>
  </si>
  <si>
    <t>bathtub refinishing edmond ok</t>
  </si>
  <si>
    <t>bathtub refinishing edmonton ab</t>
  </si>
  <si>
    <t>bathtub refinishing edmonton alberta</t>
  </si>
  <si>
    <t>bathtub refinishing edwardsville il</t>
  </si>
  <si>
    <t>bathtub refinishing el cajon</t>
  </si>
  <si>
    <t>bathtub refinishing el paso texas</t>
  </si>
  <si>
    <t>bathtub refinishing elgin il</t>
  </si>
  <si>
    <t>bathtub refinishing elizabethtown ky</t>
  </si>
  <si>
    <t>bathtub refinishing elk grove ca</t>
  </si>
  <si>
    <t>bathtub refinishing ellicott city md</t>
  </si>
  <si>
    <t>bathtub refinishing ellisville mo</t>
  </si>
  <si>
    <t>bathtub refinishing elmhurst il</t>
  </si>
  <si>
    <t>bathtub refinishing encinitas</t>
  </si>
  <si>
    <t>bathtub refinishing enid ok</t>
  </si>
  <si>
    <t>bathtub refinishing escondido</t>
  </si>
  <si>
    <t>bathtub refinishing escondido special offer</t>
  </si>
  <si>
    <t>bathtub refinishing essex county nj</t>
  </si>
  <si>
    <t>bathtub refinishing etching primer</t>
  </si>
  <si>
    <t>bathtub refinishing eugene</t>
  </si>
  <si>
    <t>bathtub refinishing eugene or</t>
  </si>
  <si>
    <t>bathtub refinishing eureka ca</t>
  </si>
  <si>
    <t>bathtub refinishing eureka mo</t>
  </si>
  <si>
    <t>bathtub refinishing evanston il</t>
  </si>
  <si>
    <t>bathtub refinishing exhaust fan</t>
  </si>
  <si>
    <t>bathtub refinishing experts</t>
  </si>
  <si>
    <t>bathtub refinishing fairbanks ak</t>
  </si>
  <si>
    <t>bathtub refinishing fairfield county ct</t>
  </si>
  <si>
    <t>bathtub refinishing fall river ma</t>
  </si>
  <si>
    <t>bathtub refinishing faq</t>
  </si>
  <si>
    <t>bathtub refinishing faqs</t>
  </si>
  <si>
    <t>bathtub refinishing fayetteville fayetteville nc</t>
  </si>
  <si>
    <t>bathtub refinishing fenton mo</t>
  </si>
  <si>
    <t>bathtub refinishing fiberglass bathtub refinishing cost</t>
  </si>
  <si>
    <t>bathtub refinishing fiberglass tub</t>
  </si>
  <si>
    <t>bathtub refinishing fishers</t>
  </si>
  <si>
    <t>bathtub refinishing fishers in</t>
  </si>
  <si>
    <t>bathtub refinishing fl</t>
  </si>
  <si>
    <t>bathtub refinishing fl hudson fl</t>
  </si>
  <si>
    <t>bathtub refinishing flamborough</t>
  </si>
  <si>
    <t>bathtub refinishing flemington nj</t>
  </si>
  <si>
    <t>bathtub refinishing flint michigan</t>
  </si>
  <si>
    <t>bathtub refinishing florence ky</t>
  </si>
  <si>
    <t>bathtub refinishing florida keys</t>
  </si>
  <si>
    <t>bathtub refinishing flowery branch ga</t>
  </si>
  <si>
    <t>bathtub refinishing forest ohio</t>
  </si>
  <si>
    <t>bathtub refinishing forest park ga</t>
  </si>
  <si>
    <t>bathtub refinishing fort collins co</t>
  </si>
  <si>
    <t>bathtub refinishing fort lauderdale florida</t>
  </si>
  <si>
    <t>bathtub refinishing fort lauderdale fort lauderdale fl</t>
  </si>
  <si>
    <t>bathtub refinishing fort smith ar</t>
  </si>
  <si>
    <t>bathtub refinishing fort walton beach</t>
  </si>
  <si>
    <t>bathtub refinishing fort wayne fort wayne in</t>
  </si>
  <si>
    <t>bathtub refinishing fort wayne in</t>
  </si>
  <si>
    <t>bathtub refinishing fort wayne indiana</t>
  </si>
  <si>
    <t>bathtub refinishing fort worth fort worth tx</t>
  </si>
  <si>
    <t>bathtub refinishing framingham ma</t>
  </si>
  <si>
    <t>bathtub refinishing franchise for sale</t>
  </si>
  <si>
    <t>bathtub refinishing franchise near me</t>
  </si>
  <si>
    <t>bathtub refinishing franchise profit</t>
  </si>
  <si>
    <t>bathtub refinishing frankfort il</t>
  </si>
  <si>
    <t>bathtub refinishing franklin ma</t>
  </si>
  <si>
    <t>bathtub refinishing franklin tn</t>
  </si>
  <si>
    <t>bathtub refinishing fremont</t>
  </si>
  <si>
    <t>bathtub refinishing fremont ca</t>
  </si>
  <si>
    <t>bathtub refinishing fresno fresno ca</t>
  </si>
  <si>
    <t>bathtub refinishing friendswood tx</t>
  </si>
  <si>
    <t>bathtub refinishing ft wayne in</t>
  </si>
  <si>
    <t>bathtub refinishing ft worth fort worth tx</t>
  </si>
  <si>
    <t>bathtub refinishing fumes</t>
  </si>
  <si>
    <t>bathtub refinishing fumes reddit</t>
  </si>
  <si>
    <t>bathtub refinishing ga</t>
  </si>
  <si>
    <t>bathtub refinishing gainesville florida</t>
  </si>
  <si>
    <t>bathtub refinishing gainesville ga</t>
  </si>
  <si>
    <t>bathtub refinishing galveston tx</t>
  </si>
  <si>
    <t>bathtub refinishing garland</t>
  </si>
  <si>
    <t>bathtub refinishing garland tx</t>
  </si>
  <si>
    <t>bathtub refinishing gatineau</t>
  </si>
  <si>
    <t>bathtub refinishing gaylord mi</t>
  </si>
  <si>
    <t>bathtub refinishing georgetown tx</t>
  </si>
  <si>
    <t>bathtub refinishing gig harbor</t>
  </si>
  <si>
    <t>bathtub refinishing gilbert az</t>
  </si>
  <si>
    <t>bathtub refinishing google reviews</t>
  </si>
  <si>
    <t>bathtub refinishing google reviews kansas city</t>
  </si>
  <si>
    <t>bathtub refinishing grand rapids grand rapids mi</t>
  </si>
  <si>
    <t>bathtub refinishing grand rapids michigan</t>
  </si>
  <si>
    <t>bathtub refinishing grants pass or</t>
  </si>
  <si>
    <t>bathtub refinishing grapevine</t>
  </si>
  <si>
    <t>bathtub refinishing grapevine tx</t>
  </si>
  <si>
    <t>bathtub refinishing gray</t>
  </si>
  <si>
    <t>bathtub refinishing greenacres</t>
  </si>
  <si>
    <t>bathtub refinishing greensboro greensboro nc</t>
  </si>
  <si>
    <t>bathtub refinishing greensburg pa</t>
  </si>
  <si>
    <t>bathtub refinishing greenville greenville sc</t>
  </si>
  <si>
    <t>bathtub refinishing greenwood in</t>
  </si>
  <si>
    <t>bathtub refinishing gresham oregon</t>
  </si>
  <si>
    <t>bathtub refinishing groupon</t>
  </si>
  <si>
    <t>bathtub refinishing groveland fl</t>
  </si>
  <si>
    <t>bathtub refinishing guelph</t>
  </si>
  <si>
    <t>bathtub refinishing gulfport fl</t>
  </si>
  <si>
    <t>bathtub refinishing hagerstown md</t>
  </si>
  <si>
    <t>bathtub refinishing halifax</t>
  </si>
  <si>
    <t>bathtub refinishing halifax nova scotia</t>
  </si>
  <si>
    <t>bathtub refinishing halifax ns</t>
  </si>
  <si>
    <t>bathtub refinishing hamilton nj</t>
  </si>
  <si>
    <t>bathtub refinishing hamilton ontario</t>
  </si>
  <si>
    <t>bathtub refinishing hammond la</t>
  </si>
  <si>
    <t>bathtub refinishing hampton va</t>
  </si>
  <si>
    <t>bathtub refinishing harrisburg harrisburg pa</t>
  </si>
  <si>
    <t>bathtub refinishing harrisonburg va</t>
  </si>
  <si>
    <t>bathtub refinishing hartford hartford ct</t>
  </si>
  <si>
    <t>bathtub refinishing haslet tx</t>
  </si>
  <si>
    <t>bathtub refinishing hays ks</t>
  </si>
  <si>
    <t>bathtub refinishing hayward ca</t>
  </si>
  <si>
    <t>bathtub refinishing health concerns</t>
  </si>
  <si>
    <t>bathtub refinishing health issues</t>
  </si>
  <si>
    <t>bathtub refinishing hemet ca</t>
  </si>
  <si>
    <t>bathtub refinishing henderson nv</t>
  </si>
  <si>
    <t>bathtub refinishing high point nc</t>
  </si>
  <si>
    <t>bathtub refinishing hightstown nj</t>
  </si>
  <si>
    <t>bathtub refinishing hillsboro oregon</t>
  </si>
  <si>
    <t>bathtub refinishing hilo hawaii</t>
  </si>
  <si>
    <t>bathtub refinishing hilo kona</t>
  </si>
  <si>
    <t>bathtub refinishing historic minnesota</t>
  </si>
  <si>
    <t>bathtub refinishing history</t>
  </si>
  <si>
    <t>bathtub refinishing hollywood florida</t>
  </si>
  <si>
    <t>bathtub refinishing home</t>
  </si>
  <si>
    <t>bathtub refinishing home advisor</t>
  </si>
  <si>
    <t>bathtub refinishing home depot canada</t>
  </si>
  <si>
    <t>bathtub refinishing hood river</t>
  </si>
  <si>
    <t>bathtub refinishing hot springs arkansas</t>
  </si>
  <si>
    <t>bathtub refinishing houma la</t>
  </si>
  <si>
    <t>bathtub refinishing houston reviews</t>
  </si>
  <si>
    <t>bathtub refinishing houston tx a-1</t>
  </si>
  <si>
    <t>bathtub refinishing how long does it last</t>
  </si>
  <si>
    <t>bathtub refinishing how long to be safe</t>
  </si>
  <si>
    <t>bathtub refinishing how much</t>
  </si>
  <si>
    <t>bathtub refinishing howey-in-the-hills fl</t>
  </si>
  <si>
    <t>bathtub refinishing hudson valley</t>
  </si>
  <si>
    <t>bathtub refinishing hunterdon county nj</t>
  </si>
  <si>
    <t>bathtub refinishing huntingdon pa</t>
  </si>
  <si>
    <t>bathtub refinishing huntington ny</t>
  </si>
  <si>
    <t>bathtub refinishing huntongton ny</t>
  </si>
  <si>
    <t>bathtub refinishing huntsville alabama</t>
  </si>
  <si>
    <t>bathtub refinishing huntsville huntsville al</t>
  </si>
  <si>
    <t>bathtub refinishing hurst tx</t>
  </si>
  <si>
    <t>bathtub refinishing hutchinson ks</t>
  </si>
  <si>
    <t>bathtub refinishing images</t>
  </si>
  <si>
    <t>bathtub refinishing in 44056</t>
  </si>
  <si>
    <t>bathtub refinishing in 60542</t>
  </si>
  <si>
    <t>bathtub refinishing in aberdeen</t>
  </si>
  <si>
    <t>bathtub refinishing in alabama</t>
  </si>
  <si>
    <t>bathtub refinishing in altoona</t>
  </si>
  <si>
    <t>bathtub refinishing in arlington</t>
  </si>
  <si>
    <t>bathtub refinishing in augusta ga</t>
  </si>
  <si>
    <t>bathtub refinishing in aurora denver</t>
  </si>
  <si>
    <t>bathtub refinishing in austin minnesota</t>
  </si>
  <si>
    <t>bathtub refinishing in baltimore</t>
  </si>
  <si>
    <t>bathtub refinishing in baltimore md</t>
  </si>
  <si>
    <t>bathtub refinishing in berkeley fl</t>
  </si>
  <si>
    <t>bathtub refinishing in boyne falls</t>
  </si>
  <si>
    <t>bathtub refinishing in brunswick maine</t>
  </si>
  <si>
    <t>bathtub refinishing in caldwell</t>
  </si>
  <si>
    <t>bathtub refinishing in california</t>
  </si>
  <si>
    <t>bathtub refinishing in carrollton</t>
  </si>
  <si>
    <t>bathtub refinishing in charlotte nc</t>
  </si>
  <si>
    <t>bathtub refinishing in clearwater fl</t>
  </si>
  <si>
    <t>bathtub refinishing in cocoa fl</t>
  </si>
  <si>
    <t>bathtub refinishing in columbus ohio</t>
  </si>
  <si>
    <t>bathtub refinishing in dallas</t>
  </si>
  <si>
    <t>bathtub refinishing in dallas tx</t>
  </si>
  <si>
    <t>bathtub refinishing in denton texas</t>
  </si>
  <si>
    <t>bathtub refinishing in denver colorado</t>
  </si>
  <si>
    <t>bathtub refinishing in dfw</t>
  </si>
  <si>
    <t>bathtub refinishing in fort worth tx</t>
  </si>
  <si>
    <t>bathtub refinishing in frederick md</t>
  </si>
  <si>
    <t>bathtub refinishing in frisco</t>
  </si>
  <si>
    <t>bathtub refinishing in garland</t>
  </si>
  <si>
    <t>bathtub refinishing in gilmer tx</t>
  </si>
  <si>
    <t>bathtub refinishing in goldsboro nc</t>
  </si>
  <si>
    <t>bathtub refinishing in grand prairie</t>
  </si>
  <si>
    <t>bathtub refinishing in grays harbor</t>
  </si>
  <si>
    <t>bathtub refinishing in harford county md</t>
  </si>
  <si>
    <t>bathtub refinishing in harrisburg pa</t>
  </si>
  <si>
    <t>bathtub refinishing in high point</t>
  </si>
  <si>
    <t>bathtub refinishing in holiday fl</t>
  </si>
  <si>
    <t>bathtub refinishing in indianapolis</t>
  </si>
  <si>
    <t>bathtub refinishing in iowa</t>
  </si>
  <si>
    <t>bathtub refinishing in irving</t>
  </si>
  <si>
    <t>bathtub refinishing in jersey city new jersey</t>
  </si>
  <si>
    <t>bathtub refinishing in jersey city nj</t>
  </si>
  <si>
    <t>bathtub refinishing in kansas city</t>
  </si>
  <si>
    <t>bathtub refinishing in kitchener</t>
  </si>
  <si>
    <t>bathtub refinishing in lakewood new jersey</t>
  </si>
  <si>
    <t>bathtub refinishing in lancaster</t>
  </si>
  <si>
    <t>bathtub refinishing in largo fl</t>
  </si>
  <si>
    <t>bathtub refinishing in las cruces nm</t>
  </si>
  <si>
    <t>bathtub refinishing in las vegas</t>
  </si>
  <si>
    <t>bathtub refinishing in lima ohio</t>
  </si>
  <si>
    <t>bathtub refinishing in long beach california</t>
  </si>
  <si>
    <t>bathtub refinishing in longview tx</t>
  </si>
  <si>
    <t>bathtub refinishing in los angeles</t>
  </si>
  <si>
    <t>bathtub refinishing in manchester nh</t>
  </si>
  <si>
    <t>bathtub refinishing in maryland</t>
  </si>
  <si>
    <t>bathtub refinishing in mckinney</t>
  </si>
  <si>
    <t>bathtub refinishing in memphis tn</t>
  </si>
  <si>
    <t>bathtub refinishing in mesa az</t>
  </si>
  <si>
    <t>bathtub refinishing in mesquite</t>
  </si>
  <si>
    <t>bathtub refinishing in metairie la</t>
  </si>
  <si>
    <t>bathtub refinishing in monroe nc</t>
  </si>
  <si>
    <t>bathtub refinishing in montreal</t>
  </si>
  <si>
    <t>bathtub refinishing in myrtle beach sc</t>
  </si>
  <si>
    <t>bathtub refinishing in natick ma</t>
  </si>
  <si>
    <t>bathtub refinishing in nj</t>
  </si>
  <si>
    <t>bathtub refinishing in norman fl</t>
  </si>
  <si>
    <t>bathtub refinishing in northwesst mo</t>
  </si>
  <si>
    <t>bathtub refinishing in northwest mo</t>
  </si>
  <si>
    <t>bathtub refinishing in ocala fl</t>
  </si>
  <si>
    <t>bathtub refinishing in omaha ne</t>
  </si>
  <si>
    <t>bathtub refinishing in orlando fl</t>
  </si>
  <si>
    <t>bathtub refinishing in overland park ks</t>
  </si>
  <si>
    <t>bathtub refinishing in oviedo florida</t>
  </si>
  <si>
    <t>bathtub refinishing in palm harbor fl</t>
  </si>
  <si>
    <t>bathtub refinishing in paris</t>
  </si>
  <si>
    <t>bathtub refinishing in paris tx</t>
  </si>
  <si>
    <t>bathtub refinishing in philadelphia pa</t>
  </si>
  <si>
    <t>bathtub refinishing in pinehurst</t>
  </si>
  <si>
    <t>bathtub refinishing in pittsburgh</t>
  </si>
  <si>
    <t>bathtub refinishing in plano</t>
  </si>
  <si>
    <t>bathtub refinishing in plano texas</t>
  </si>
  <si>
    <t>bathtub refinishing in portland oregon</t>
  </si>
  <si>
    <t>bathtub refinishing in raleigh nc</t>
  </si>
  <si>
    <t>bathtub refinishing in rapid city</t>
  </si>
  <si>
    <t>bathtub refinishing in richardson</t>
  </si>
  <si>
    <t>bathtub refinishing in richmond va</t>
  </si>
  <si>
    <t>bathtub refinishing in rusk tx</t>
  </si>
  <si>
    <t>bathtub refinishing in sacramento ca</t>
  </si>
  <si>
    <t>bathtub refinishing in salem oregon</t>
  </si>
  <si>
    <t>bathtub refinishing in sanford</t>
  </si>
  <si>
    <t>bathtub refinishing in santa rosa ca</t>
  </si>
  <si>
    <t>bathtub refinishing in simi valley ca</t>
  </si>
  <si>
    <t>bathtub refinishing in sioux city iowa</t>
  </si>
  <si>
    <t>bathtub refinishing in southern maine</t>
  </si>
  <si>
    <t>bathtub refinishing in southern maryland</t>
  </si>
  <si>
    <t>bathtub refinishing in spring hill fl</t>
  </si>
  <si>
    <t>bathtub refinishing in st petersburg fl</t>
  </si>
  <si>
    <t>bathtub refinishing in stamford ct</t>
  </si>
  <si>
    <t>bathtub refinishing in temple terrace fl</t>
  </si>
  <si>
    <t>bathtub refinishing in texas</t>
  </si>
  <si>
    <t>bathtub refinishing in toms river new jersey</t>
  </si>
  <si>
    <t>bathtub refinishing in traverse city mi</t>
  </si>
  <si>
    <t>bathtub refinishing in tucson az</t>
  </si>
  <si>
    <t>bathtub refinishing in tyler tx</t>
  </si>
  <si>
    <t>bathtub refinishing in utah county</t>
  </si>
  <si>
    <t>bathtub refinishing in warren ohio</t>
  </si>
  <si>
    <t>bathtub refinishing in washington state</t>
  </si>
  <si>
    <t>bathtub refinishing in weeki wachee fl</t>
  </si>
  <si>
    <t>bathtub refinishing in west boca raton florida</t>
  </si>
  <si>
    <t>bathtub refinishing in west palm beach florida</t>
  </si>
  <si>
    <t>bathtub refinishing in whitewater wi</t>
  </si>
  <si>
    <t>bathtub refinishing in winston-salem</t>
  </si>
  <si>
    <t>bathtub refinishing indianapolis in</t>
  </si>
  <si>
    <t>bathtub refinishing indianapolis indianapolis in</t>
  </si>
  <si>
    <t>bathtub refinishing indiantown</t>
  </si>
  <si>
    <t>bathtub refinishing industry reports</t>
  </si>
  <si>
    <t>bathtub refinishing instructions</t>
  </si>
  <si>
    <t>bathtub refinishing iowa city ia</t>
  </si>
  <si>
    <t>bathtub refinishing is it worth it better homes &amp; gardens</t>
  </si>
  <si>
    <t>bathtub refinishing isocyanate</t>
  </si>
  <si>
    <t>bathtub refinishing isocyanite</t>
  </si>
  <si>
    <t>bathtub refinishing jackson ga</t>
  </si>
  <si>
    <t>bathtub refinishing jackson mi</t>
  </si>
  <si>
    <t>bathtub refinishing jacksonville jacksonville fl</t>
  </si>
  <si>
    <t>bathtub refinishing janesville wi</t>
  </si>
  <si>
    <t>bathtub refinishing jefferson city mo</t>
  </si>
  <si>
    <t>bathtub refinishing jersey city</t>
  </si>
  <si>
    <t>bathtub refinishing job description</t>
  </si>
  <si>
    <t>bathtub refinishing jobs in michigan</t>
  </si>
  <si>
    <t>bathtub refinishing joliet</t>
  </si>
  <si>
    <t>bathtub refinishing jonesboro ar</t>
  </si>
  <si>
    <t>bathtub refinishing kamloops</t>
  </si>
  <si>
    <t>bathtub refinishing kamloops bc</t>
  </si>
  <si>
    <t>bathtub refinishing kansas city area</t>
  </si>
  <si>
    <t>bathtub refinishing kansas city cost</t>
  </si>
  <si>
    <t>bathtub refinishing kansas city kansas city ks</t>
  </si>
  <si>
    <t>bathtub refinishing kansas city kansas city mo</t>
  </si>
  <si>
    <t>bathtub refinishing kansas ciyt</t>
  </si>
  <si>
    <t>bathtub refinishing katy</t>
  </si>
  <si>
    <t>bathtub refinishing kauai</t>
  </si>
  <si>
    <t>bathtub refinishing kelowna</t>
  </si>
  <si>
    <t>bathtub refinishing kelowna bc</t>
  </si>
  <si>
    <t>bathtub refinishing kennesaw ga</t>
  </si>
  <si>
    <t>bathtub refinishing kennewick</t>
  </si>
  <si>
    <t>bathtub refinishing kenosha wi</t>
  </si>
  <si>
    <t>bathtub refinishing kensington md</t>
  </si>
  <si>
    <t>bathtub refinishing kent wa</t>
  </si>
  <si>
    <t>bathtub refinishing key west</t>
  </si>
  <si>
    <t>bathtub refinishing keywords</t>
  </si>
  <si>
    <t>bathtub refinishing kingsport tn</t>
  </si>
  <si>
    <t>bathtub refinishing kingston ontario</t>
  </si>
  <si>
    <t>bathtub refinishing kirkland wa</t>
  </si>
  <si>
    <t>bathtub refinishing kirkwood mo</t>
  </si>
  <si>
    <t>bathtub refinishing kit ace hardware</t>
  </si>
  <si>
    <t>bathtub refinishing kit beige</t>
  </si>
  <si>
    <t>bathtub refinishing kit best</t>
  </si>
  <si>
    <t>bathtub refinishing kit bunnings</t>
  </si>
  <si>
    <t>bathtub refinishing kit cost</t>
  </si>
  <si>
    <t>bathtub refinishing kit diy</t>
  </si>
  <si>
    <t>bathtub refinishing kit easy</t>
  </si>
  <si>
    <t>bathtub refinishing kit edmonton</t>
  </si>
  <si>
    <t>bathtub refinishing kit fiberglass</t>
  </si>
  <si>
    <t>bathtub refinishing kit homax</t>
  </si>
  <si>
    <t>bathtub refinishing kit home depot canada</t>
  </si>
  <si>
    <t>bathtub refinishing kit home hardware</t>
  </si>
  <si>
    <t>bathtub refinishing kit review</t>
  </si>
  <si>
    <t>bathtub refinishing kit rona</t>
  </si>
  <si>
    <t>bathtub refinishing kit rustoleum</t>
  </si>
  <si>
    <t>bathtub refinishing kit white</t>
  </si>
  <si>
    <t>bathtub refinishing kit youtube</t>
  </si>
  <si>
    <t>bathtub refinishing kitchener waterloo</t>
  </si>
  <si>
    <t>bathtub refinishing kits canada</t>
  </si>
  <si>
    <t>bathtub refinishing kits home depot</t>
  </si>
  <si>
    <t>bathtub refinishing kits home hardware</t>
  </si>
  <si>
    <t>bathtub refinishing kits lowes</t>
  </si>
  <si>
    <t>bathtub refinishing kits reviews</t>
  </si>
  <si>
    <t>bathtub refinishing knoxville knoxville tn</t>
  </si>
  <si>
    <t>bathtub refinishing kona</t>
  </si>
  <si>
    <t>bathtub refinishing ky</t>
  </si>
  <si>
    <t>bathtub refinishing la crosse fl</t>
  </si>
  <si>
    <t>bathtub refinishing ladue mo</t>
  </si>
  <si>
    <t>bathtub refinishing lafayette co</t>
  </si>
  <si>
    <t>bathtub refinishing lafayette in</t>
  </si>
  <si>
    <t>bathtub refinishing lake county fl</t>
  </si>
  <si>
    <t>bathtub refinishing lake county il</t>
  </si>
  <si>
    <t>bathtub refinishing lake county ohio</t>
  </si>
  <si>
    <t>bathtub refinishing lakehurst nj</t>
  </si>
  <si>
    <t>bathtub refinishing lakeland florida</t>
  </si>
  <si>
    <t>bathtub refinishing lakeland lakeland fl</t>
  </si>
  <si>
    <t>bathtub refinishing lakewood co</t>
  </si>
  <si>
    <t>bathtub refinishing langley bc</t>
  </si>
  <si>
    <t>bathtub refinishing lansing lansing mi</t>
  </si>
  <si>
    <t>bathtub refinishing las vegas las vegas nv</t>
  </si>
  <si>
    <t>bathtub refinishing laval</t>
  </si>
  <si>
    <t>bathtub refinishing lavonia ga</t>
  </si>
  <si>
    <t>bathtub refinishing lawrence ks</t>
  </si>
  <si>
    <t>bathtub refinishing lawrence or topeka ks</t>
  </si>
  <si>
    <t>bathtub refinishing lawrenceville</t>
  </si>
  <si>
    <t>bathtub refinishing lawrenceville ga</t>
  </si>
  <si>
    <t>bathtub refinishing lead</t>
  </si>
  <si>
    <t>bathtub refinishing lebanon</t>
  </si>
  <si>
    <t>bathtub refinishing leesburg fl</t>
  </si>
  <si>
    <t>bathtub refinishing leesburg va</t>
  </si>
  <si>
    <t>bathtub refinishing left red streaks</t>
  </si>
  <si>
    <t>bathtub refinishing lethbridge</t>
  </si>
  <si>
    <t>bathtub refinishing lethbridge ab</t>
  </si>
  <si>
    <t>bathtub refinishing lewisville lewisville tx</t>
  </si>
  <si>
    <t>bathtub refinishing lewisville tx</t>
  </si>
  <si>
    <t>bathtub refinishing lexington lexington ky</t>
  </si>
  <si>
    <t>bathtub refinishing lincoln lincoln ne</t>
  </si>
  <si>
    <t>bathtub refinishing lincoln nebraska</t>
  </si>
  <si>
    <t>bathtub refinishing lithia fl</t>
  </si>
  <si>
    <t>bathtub refinishing little rock little rock ar</t>
  </si>
  <si>
    <t>bathtub refinishing littleton</t>
  </si>
  <si>
    <t>bathtub refinishing littleton co</t>
  </si>
  <si>
    <t>bathtub refinishing livermore</t>
  </si>
  <si>
    <t>bathtub refinishing livonia livonia mi</t>
  </si>
  <si>
    <t>bathtub refinishing livonia mi</t>
  </si>
  <si>
    <t>bathtub refinishing logan utah</t>
  </si>
  <si>
    <t>bathtub refinishing logo</t>
  </si>
  <si>
    <t>bathtub refinishing loke of the ozarks</t>
  </si>
  <si>
    <t>bathtub refinishing london ont</t>
  </si>
  <si>
    <t>bathtub refinishing long beach</t>
  </si>
  <si>
    <t>bathtub refinishing long beach long beach ca</t>
  </si>
  <si>
    <t>bathtub refinishing long island</t>
  </si>
  <si>
    <t>bathtub refinishing longwood fl</t>
  </si>
  <si>
    <t>bathtub refinishing los angeles bathtub reglazing los angeles ca</t>
  </si>
  <si>
    <t>bathtub refinishing los angeles los angeles ca</t>
  </si>
  <si>
    <t>bathtub refinishing los osos ca</t>
  </si>
  <si>
    <t>bathtub refinishing louisville kentucky</t>
  </si>
  <si>
    <t>bathtub refinishing louisville louisville ky</t>
  </si>
  <si>
    <t>bathtub refinishing loveland co</t>
  </si>
  <si>
    <t>bathtub refinishing lowe's</t>
  </si>
  <si>
    <t>bathtub refinishing lowes</t>
  </si>
  <si>
    <t>bathtub refinishing lubbock lubbock tx</t>
  </si>
  <si>
    <t>bathtub refinishing lynnwood wa</t>
  </si>
  <si>
    <t>bathtub refinishing mableton ga</t>
  </si>
  <si>
    <t>bathtub refinishing madison madison wi</t>
  </si>
  <si>
    <t>bathtub refinishing manalapan</t>
  </si>
  <si>
    <t>bathtub refinishing manatee county</t>
  </si>
  <si>
    <t>bathtub refinishing manchester ct</t>
  </si>
  <si>
    <t>bathtub refinishing manchester manchester nh</t>
  </si>
  <si>
    <t>bathtub refinishing manchester tn</t>
  </si>
  <si>
    <t>bathtub refinishing manchester township nj</t>
  </si>
  <si>
    <t>bathtub refinishing mandeville la</t>
  </si>
  <si>
    <t>bathtub refinishing manhattan ks</t>
  </si>
  <si>
    <t>bathtub refinishing mansfield ohio</t>
  </si>
  <si>
    <t>bathtub refinishing marathon fl</t>
  </si>
  <si>
    <t>bathtub refinishing marble falls tx</t>
  </si>
  <si>
    <t>bathtub refinishing marin county</t>
  </si>
  <si>
    <t>bathtub refinishing marketing</t>
  </si>
  <si>
    <t>bathtub refinishing marlborough ma</t>
  </si>
  <si>
    <t>bathtub refinishing marshall mo</t>
  </si>
  <si>
    <t>bathtub refinishing martin ga</t>
  </si>
  <si>
    <t>bathtub refinishing martinsburg wv</t>
  </si>
  <si>
    <t>bathtub refinishing maryville tn</t>
  </si>
  <si>
    <t>bathtub refinishing master craft</t>
  </si>
  <si>
    <t>bathtub refinishing mastercraft</t>
  </si>
  <si>
    <t>bathtub refinishing mats</t>
  </si>
  <si>
    <t>bathtub refinishing maui hi</t>
  </si>
  <si>
    <t>bathtub refinishing mcdonough ga</t>
  </si>
  <si>
    <t>bathtub refinishing mechanicsville va</t>
  </si>
  <si>
    <t>bathtub refinishing medicine hat</t>
  </si>
  <si>
    <t>bathtub refinishing medina ohio</t>
  </si>
  <si>
    <t>bathtub refinishing melbourne florida</t>
  </si>
  <si>
    <t>bathtub refinishing melbourne melbourne fl</t>
  </si>
  <si>
    <t>bathtub refinishing menards</t>
  </si>
  <si>
    <t>bathtub refinishing mentor ohio</t>
  </si>
  <si>
    <t>bathtub refinishing mesa</t>
  </si>
  <si>
    <t>bathtub refinishing metal tub</t>
  </si>
  <si>
    <t>bathtub refinishing miami beach</t>
  </si>
  <si>
    <t>bathtub refinishing miami lakes</t>
  </si>
  <si>
    <t>bathtub refinishing miami miami fl</t>
  </si>
  <si>
    <t>bathtub refinishing miami reviews</t>
  </si>
  <si>
    <t>bathtub refinishing micanopy fl</t>
  </si>
  <si>
    <t>bathtub refinishing michigan</t>
  </si>
  <si>
    <t>bathtub refinishing milford ma</t>
  </si>
  <si>
    <t>bathtub refinishing milford oh</t>
  </si>
  <si>
    <t>bathtub refinishing milledgeville ga</t>
  </si>
  <si>
    <t>bathtub refinishing milwaukee milwaukee wi</t>
  </si>
  <si>
    <t>bathtub refinishing milwaukee reviews</t>
  </si>
  <si>
    <t>bathtub refinishing milwaukee wisconsin</t>
  </si>
  <si>
    <t>bathtub refinishing minneapolis reviews</t>
  </si>
  <si>
    <t>bathtub refinishing minneola fl</t>
  </si>
  <si>
    <t>bathtub refinishing missouri</t>
  </si>
  <si>
    <t>bathtub refinishing mobile mobile al</t>
  </si>
  <si>
    <t>bathtub refinishing molding</t>
  </si>
  <si>
    <t>bathtub refinishing moncton</t>
  </si>
  <si>
    <t>bathtub refinishing moncton nb</t>
  </si>
  <si>
    <t>bathtub refinishing monmouth county nj</t>
  </si>
  <si>
    <t>bathtub refinishing monroe ga</t>
  </si>
  <si>
    <t>bathtub refinishing monroe nc</t>
  </si>
  <si>
    <t>bathtub refinishing monroeville pa</t>
  </si>
  <si>
    <t>bathtub refinishing monterey ca</t>
  </si>
  <si>
    <t>bathtub refinishing montgomery county pa</t>
  </si>
  <si>
    <t>bathtub refinishing montreal quebec</t>
  </si>
  <si>
    <t>bathtub refinishing montreal reviews</t>
  </si>
  <si>
    <t>bathtub refinishing monty schmuck mt vernon in</t>
  </si>
  <si>
    <t>bathtub refinishing monty smock mt vernon in</t>
  </si>
  <si>
    <t>bathtub refinishing monty smuck mt vernon in</t>
  </si>
  <si>
    <t>bathtub refinishing more valparaiso indiana</t>
  </si>
  <si>
    <t>bathtub refinishing morehead city nc</t>
  </si>
  <si>
    <t>bathtub refinishing morgantown wv</t>
  </si>
  <si>
    <t>bathtub refinishing mosaic</t>
  </si>
  <si>
    <t>bathtub refinishing mpls mn</t>
  </si>
  <si>
    <t>bathtub refinishing mt</t>
  </si>
  <si>
    <t>bathtub refinishing mt vernon in</t>
  </si>
  <si>
    <t>bathtub refinishing murrieta</t>
  </si>
  <si>
    <t>bathtub refinishing murrieta ca</t>
  </si>
  <si>
    <t>bathtub refinishing murrieta ca 92562</t>
  </si>
  <si>
    <t>bathtub refinishing nanaimo</t>
  </si>
  <si>
    <t>bathtub refinishing napa</t>
  </si>
  <si>
    <t>bathtub refinishing naples florida</t>
  </si>
  <si>
    <t>bathtub refinishing nashville nashville tn</t>
  </si>
  <si>
    <t>bathtub refinishing nassau county</t>
  </si>
  <si>
    <t>bathtub refinishing near</t>
  </si>
  <si>
    <t>bathtub refinishing near 32656</t>
  </si>
  <si>
    <t>bathtub refinishing near canton ohio</t>
  </si>
  <si>
    <t>bathtub refinishing near lauderhill fl</t>
  </si>
  <si>
    <t>bathtub refinishing near libertyville il</t>
  </si>
  <si>
    <t>bathtub refinishing near me baton rouge</t>
  </si>
  <si>
    <t>bathtub refinishing near me baton ruge</t>
  </si>
  <si>
    <t>bathtub refinishing near me houston</t>
  </si>
  <si>
    <t>bathtub refinishing near me houston tx</t>
  </si>
  <si>
    <t>bathtub refinishing near me in nj</t>
  </si>
  <si>
    <t>bathtub refinishing near me miami</t>
  </si>
  <si>
    <t>bathtub refinishing near me patrick flynn</t>
  </si>
  <si>
    <t>bathtub refinishing near me prices</t>
  </si>
  <si>
    <t>bathtub refinishing near mehome and garden</t>
  </si>
  <si>
    <t>bathtub refinishing near murphy nc</t>
  </si>
  <si>
    <t>bathtub refinishing near new york</t>
  </si>
  <si>
    <t>bathtub refinishing near savannah ga</t>
  </si>
  <si>
    <t>bathtub refinishing near young harris ga</t>
  </si>
  <si>
    <t>bathtub refinishing nearby</t>
  </si>
  <si>
    <t>bathtub refinishing new bedford ma</t>
  </si>
  <si>
    <t>bathtub refinishing new castle de</t>
  </si>
  <si>
    <t>bathtub refinishing new hampshire</t>
  </si>
  <si>
    <t>bathtub refinishing new haven ct</t>
  </si>
  <si>
    <t>bathtub refinishing new london ct</t>
  </si>
  <si>
    <t>bathtub refinishing new mexico</t>
  </si>
  <si>
    <t>bathtub refinishing new orleans cost</t>
  </si>
  <si>
    <t>bathtub refinishing new orleans new orleans la</t>
  </si>
  <si>
    <t>bathtub refinishing new port richey fl</t>
  </si>
  <si>
    <t>bathtub refinishing new tub color</t>
  </si>
  <si>
    <t>bathtub refinishing new york city</t>
  </si>
  <si>
    <t>bathtub refinishing newark</t>
  </si>
  <si>
    <t>bathtub refinishing newark nj</t>
  </si>
  <si>
    <t>bathtub refinishing newark ohio</t>
  </si>
  <si>
    <t>bathtub refinishing newmarket ontario</t>
  </si>
  <si>
    <t>bathtub refinishing newnan ga</t>
  </si>
  <si>
    <t>bathtub refinishing newport news va</t>
  </si>
  <si>
    <t>bathtub refinishing niagara falls ny</t>
  </si>
  <si>
    <t>bathtub refinishing niagara falls ontario</t>
  </si>
  <si>
    <t>bathtub refinishing niagara region</t>
  </si>
  <si>
    <t>bathtub refinishing nj weehawken nj</t>
  </si>
  <si>
    <t>bathtub refinishing noblesville</t>
  </si>
  <si>
    <t>bathtub refinishing norman ok</t>
  </si>
  <si>
    <t>bathtub refinishing north alabama</t>
  </si>
  <si>
    <t>bathtub refinishing north bay</t>
  </si>
  <si>
    <t>bathtub refinishing north conway nh</t>
  </si>
  <si>
    <t>bathtub refinishing north county san diego</t>
  </si>
  <si>
    <t>bathtub refinishing north decatur ga</t>
  </si>
  <si>
    <t>bathtub refinishing north hills</t>
  </si>
  <si>
    <t>bathtub refinishing north jersey</t>
  </si>
  <si>
    <t>bathtub refinishing north vancouver</t>
  </si>
  <si>
    <t>bathtub refinishing northern colorado</t>
  </si>
  <si>
    <t>bathtub refinishing northern michigan</t>
  </si>
  <si>
    <t>bathtub refinishing northern nj</t>
  </si>
  <si>
    <t>bathtub refinishing norwalk ct</t>
  </si>
  <si>
    <t>bathtub refinishing nwa</t>
  </si>
  <si>
    <t>bathtub refinishing nyc cost</t>
  </si>
  <si>
    <t>bathtub refinishing nyc reviews</t>
  </si>
  <si>
    <t>bathtub refinishing o fallon il</t>
  </si>
  <si>
    <t>bathtub refinishing oak harbor wa</t>
  </si>
  <si>
    <t>bathtub refinishing oak park il</t>
  </si>
  <si>
    <t>bathtub refinishing oakville</t>
  </si>
  <si>
    <t>bathtub refinishing oakwood ga</t>
  </si>
  <si>
    <t>bathtub refinishing ocala florida</t>
  </si>
  <si>
    <t>bathtub refinishing ocala ocala fl</t>
  </si>
  <si>
    <t>bathtub refinishing ocean city md</t>
  </si>
  <si>
    <t>bathtub refinishing ocean county nj</t>
  </si>
  <si>
    <t>bathtub refinishing odor</t>
  </si>
  <si>
    <t>bathtub refinishing of austin reviews</t>
  </si>
  <si>
    <t>bathtub refinishing of cincinnati milford reviews</t>
  </si>
  <si>
    <t>bathtub refinishing of cincinnati reviews</t>
  </si>
  <si>
    <t>bathtub refinishing of cleveland</t>
  </si>
  <si>
    <t>bathtub refinishing of cleveland reviews</t>
  </si>
  <si>
    <t>bathtub refinishing of columbus</t>
  </si>
  <si>
    <t>bathtub refinishing of columbus reviews</t>
  </si>
  <si>
    <t>bathtub refinishing of dallas</t>
  </si>
  <si>
    <t>bathtub refinishing of detroit reviews</t>
  </si>
  <si>
    <t>bathtub refinishing of houston reviews</t>
  </si>
  <si>
    <t>bathtub refinishing of minneapolis reviews</t>
  </si>
  <si>
    <t>bathtub refinishing of phoenix reviews</t>
  </si>
  <si>
    <t>bathtub refinishing of tucson</t>
  </si>
  <si>
    <t>bathtub refinishing olathe ks</t>
  </si>
  <si>
    <t>bathtub refinishing omaha contact</t>
  </si>
  <si>
    <t>bathtub refinishing omaha nebraska</t>
  </si>
  <si>
    <t>bathtub refinishing omaha omaha ne</t>
  </si>
  <si>
    <t>bathtub refinishing online training</t>
  </si>
  <si>
    <t>bathtub refinishing opa-locka</t>
  </si>
  <si>
    <t>bathtub refinishing or replacement</t>
  </si>
  <si>
    <t>bathtub refinishing orange county california</t>
  </si>
  <si>
    <t>bathtub refinishing orange county ny</t>
  </si>
  <si>
    <t>bathtub refinishing orem</t>
  </si>
  <si>
    <t>bathtub refinishing orem ut</t>
  </si>
  <si>
    <t>bathtub refinishing orem utah</t>
  </si>
  <si>
    <t>bathtub refinishing organic fumes</t>
  </si>
  <si>
    <t>bathtub refinishing orillia</t>
  </si>
  <si>
    <t>bathtub refinishing orlando florida</t>
  </si>
  <si>
    <t>bathtub refinishing orlando orlando fl</t>
  </si>
  <si>
    <t>bathtub refinishing ormond beach</t>
  </si>
  <si>
    <t>bathtub refinishing oshawa</t>
  </si>
  <si>
    <t>bathtub refinishing osprey fl</t>
  </si>
  <si>
    <t>bathtub refinishing oswego il</t>
  </si>
  <si>
    <t>bathtub refinishing ottawa cost</t>
  </si>
  <si>
    <t>bathtub refinishing ottawa il</t>
  </si>
  <si>
    <t>bathtub refinishing ottawa ontario</t>
  </si>
  <si>
    <t>bathtub refinishing ottawa reviews</t>
  </si>
  <si>
    <t>bathtub refinishing overland park ks</t>
  </si>
  <si>
    <t>bathtub refinishing overspray</t>
  </si>
  <si>
    <t>bathtub refinishing oviedo</t>
  </si>
  <si>
    <t>bathtub refinishing owensboro ky</t>
  </si>
  <si>
    <t>bathtub refinishing pa</t>
  </si>
  <si>
    <t>bathtub refinishing pacheco</t>
  </si>
  <si>
    <t>bathtub refinishing pahokee</t>
  </si>
  <si>
    <t>bathtub refinishing paint colors</t>
  </si>
  <si>
    <t>bathtub refinishing paint reviews</t>
  </si>
  <si>
    <t>bathtub refinishing paint suppliers</t>
  </si>
  <si>
    <t>bathtub refinishing paint uk</t>
  </si>
  <si>
    <t>bathtub refinishing paints</t>
  </si>
  <si>
    <t>bathtub refinishing palatine il</t>
  </si>
  <si>
    <t>bathtub refinishing palisades park</t>
  </si>
  <si>
    <t>bathtub refinishing palm bay fl</t>
  </si>
  <si>
    <t>bathtub refinishing palm beach county houzz</t>
  </si>
  <si>
    <t>bathtub refinishing palm beach fl</t>
  </si>
  <si>
    <t>bathtub refinishing palm springs palm springs ca</t>
  </si>
  <si>
    <t>bathtub refinishing palmetto fl</t>
  </si>
  <si>
    <t>bathtub refinishing paris texas</t>
  </si>
  <si>
    <t>bathtub refinishing pasadena tx</t>
  </si>
  <si>
    <t>bathtub refinishing peachtree city ga</t>
  </si>
  <si>
    <t>bathtub refinishing pearland tx</t>
  </si>
  <si>
    <t>bathtub refinishing pebbled</t>
  </si>
  <si>
    <t>bathtub refinishing pei</t>
  </si>
  <si>
    <t>bathtub refinishing pennsauken nj</t>
  </si>
  <si>
    <t>bathtub refinishing pensacola reviews</t>
  </si>
  <si>
    <t>bathtub refinishing penticton</t>
  </si>
  <si>
    <t>bathtub refinishing people by me</t>
  </si>
  <si>
    <t>bathtub refinishing peoria peoria il</t>
  </si>
  <si>
    <t>bathtub refinishing peterborough ontario</t>
  </si>
  <si>
    <t>bathtub refinishing philadelphia philadelphia pa</t>
  </si>
  <si>
    <t>bathtub refinishing philadelphia reviews</t>
  </si>
  <si>
    <t>bathtub refinishing phoenix arizona</t>
  </si>
  <si>
    <t>bathtub refinishing phoenix com</t>
  </si>
  <si>
    <t>bathtub refinishing phoenix phoenix az</t>
  </si>
  <si>
    <t>bathtub refinishing phoenix reviews</t>
  </si>
  <si>
    <t>bathtub refinishing pittsburgh cost</t>
  </si>
  <si>
    <t>bathtub refinishing pittsburgh pittsburgh pa</t>
  </si>
  <si>
    <t>bathtub refinishing pittsburgh reviews</t>
  </si>
  <si>
    <t>bathtub refinishing placerville ca</t>
  </si>
  <si>
    <t>bathtub refinishing plant city</t>
  </si>
  <si>
    <t>bathtub refinishing plantation fl</t>
  </si>
  <si>
    <t>bathtub refinishing plymouth ma</t>
  </si>
  <si>
    <t>bathtub refinishing ponca city ok</t>
  </si>
  <si>
    <t>bathtub refinishing porcelain</t>
  </si>
  <si>
    <t>bathtub refinishing port orange fl</t>
  </si>
  <si>
    <t>bathtub refinishing port saint lucie fl</t>
  </si>
  <si>
    <t>bathtub refinishing port salerno</t>
  </si>
  <si>
    <t>bathtub refinishing portland portland or</t>
  </si>
  <si>
    <t>bathtub refinishing portland reviews</t>
  </si>
  <si>
    <t>bathtub refinishing portsmouth nh</t>
  </si>
  <si>
    <t>bathtub refinishing portsmouth va</t>
  </si>
  <si>
    <t>bathtub refinishing powder springs ga</t>
  </si>
  <si>
    <t>bathtub refinishing powhatan va</t>
  </si>
  <si>
    <t>bathtub refinishing prep</t>
  </si>
  <si>
    <t>bathtub refinishing preparation</t>
  </si>
  <si>
    <t>bathtub refinishing prescott az</t>
  </si>
  <si>
    <t>bathtub refinishing price list</t>
  </si>
  <si>
    <t>bathtub refinishing price range</t>
  </si>
  <si>
    <t>bathtub refinishing pricing</t>
  </si>
  <si>
    <t>bathtub refinishing prince george</t>
  </si>
  <si>
    <t>bathtub refinishing pro asheville nc</t>
  </si>
  <si>
    <t>bathtub refinishing pro knoxville tn</t>
  </si>
  <si>
    <t>bathtub refinishing products canada</t>
  </si>
  <si>
    <t>bathtub refinishing products do it yourself</t>
  </si>
  <si>
    <t>bathtub refinishing products reviews</t>
  </si>
  <si>
    <t>bathtub refinishing products suppliers</t>
  </si>
  <si>
    <t>bathtub refinishing professional refinishers</t>
  </si>
  <si>
    <t>bathtub refinishing pros houston</t>
  </si>
  <si>
    <t>bathtub refinishing pros houston tx</t>
  </si>
  <si>
    <t>bathtub refinishing pros md</t>
  </si>
  <si>
    <t>bathtub refinishing pros pompano</t>
  </si>
  <si>
    <t>bathtub refinishing pueblo</t>
  </si>
  <si>
    <t>bathtub refinishing puyallup</t>
  </si>
  <si>
    <t>bathtub refinishing puyallup wa</t>
  </si>
  <si>
    <t>bathtub refinishing quakertown pa</t>
  </si>
  <si>
    <t>bathtub refinishing quebec</t>
  </si>
  <si>
    <t>bathtub refinishing questions</t>
  </si>
  <si>
    <t>bathtub refinishing quincy ma</t>
  </si>
  <si>
    <t>bathtub refinishing racine</t>
  </si>
  <si>
    <t>bathtub refinishing red deer</t>
  </si>
  <si>
    <t>bathtub refinishing red streaks</t>
  </si>
  <si>
    <t>bathtub refinishing reddick fl</t>
  </si>
  <si>
    <t>bathtub refinishing redwood city ca</t>
  </si>
  <si>
    <t>bathtub refinishing referal network reviews</t>
  </si>
  <si>
    <t>bathtub refinishing referral</t>
  </si>
  <si>
    <t>bathtub refinishing referral network reviews</t>
  </si>
  <si>
    <t>bathtub refinishing refinishing process</t>
  </si>
  <si>
    <t>bathtub refinishing reglazing painting nyc</t>
  </si>
  <si>
    <t>bathtub refinishing reglazing training</t>
  </si>
  <si>
    <t>bathtub refinishing reno reno nv</t>
  </si>
  <si>
    <t>bathtub refinishing renton</t>
  </si>
  <si>
    <t>bathtub refinishing residential vs commercial</t>
  </si>
  <si>
    <t>bathtub refinishing resin</t>
  </si>
  <si>
    <t>bathtub refinishing resurfacing atlanta</t>
  </si>
  <si>
    <t>bathtub refinishing resurfacing baton rouge</t>
  </si>
  <si>
    <t>bathtub refinishing reviews accredited business directory</t>
  </si>
  <si>
    <t>bathtub refinishing reviews lakeland florida</t>
  </si>
  <si>
    <t>bathtub refinishing reviews milwaukee</t>
  </si>
  <si>
    <t>bathtub refinishing reviews phoenix</t>
  </si>
  <si>
    <t>bathtub refinishing reviews portland oregon</t>
  </si>
  <si>
    <t>bathtub refinishing reviews toronto</t>
  </si>
  <si>
    <t>bathtub refinishing richardson tx</t>
  </si>
  <si>
    <t>bathtub refinishing richfield utah</t>
  </si>
  <si>
    <t>bathtub refinishing richland</t>
  </si>
  <si>
    <t>bathtub refinishing richmond bc</t>
  </si>
  <si>
    <t>bathtub refinishing richmond heights mo</t>
  </si>
  <si>
    <t>bathtub refinishing richmond hill</t>
  </si>
  <si>
    <t>bathtub refinishing richmond ky</t>
  </si>
  <si>
    <t>bathtub refinishing ridgefield park nj</t>
  </si>
  <si>
    <t>bathtub refinishing rio rancho</t>
  </si>
  <si>
    <t>bathtub refinishing riverdale bronx ny</t>
  </si>
  <si>
    <t>bathtub refinishing riverdale ga</t>
  </si>
  <si>
    <t>bathtub refinishing roanoke roanoke va</t>
  </si>
  <si>
    <t>bathtub refinishing rockford illinois</t>
  </si>
  <si>
    <t>bathtub refinishing rockland county ny</t>
  </si>
  <si>
    <t>bathtub refinishing rockmart ga</t>
  </si>
  <si>
    <t>bathtub refinishing rome ga</t>
  </si>
  <si>
    <t>bathtub refinishing rome ny</t>
  </si>
  <si>
    <t>bathtub refinishing roseburg oregon</t>
  </si>
  <si>
    <t>bathtub refinishing roseville</t>
  </si>
  <si>
    <t>bathtub refinishing roseville ca</t>
  </si>
  <si>
    <t>bathtub refinishing roswell</t>
  </si>
  <si>
    <t>bathtub refinishing rough spots</t>
  </si>
  <si>
    <t>bathtub refinishing rough spots sandpaper down</t>
  </si>
  <si>
    <t>bathtub refinishing round rock tx</t>
  </si>
  <si>
    <t>bathtub refinishing rx</t>
  </si>
  <si>
    <t>bathtub refinishing s milwaukee</t>
  </si>
  <si>
    <t>bathtub refinishing sacramento reviews</t>
  </si>
  <si>
    <t>bathtub refinishing sacramento sacramento</t>
  </si>
  <si>
    <t>bathtub refinishing sacramento sacramento ca</t>
  </si>
  <si>
    <t>bathtub refinishing sacramento yelp</t>
  </si>
  <si>
    <t>bathtub refinishing saint augustine fl</t>
  </si>
  <si>
    <t>bathtub refinishing saint louis</t>
  </si>
  <si>
    <t>bathtub refinishing saint paul mn</t>
  </si>
  <si>
    <t>bathtub refinishing saint paul saint paul mn</t>
  </si>
  <si>
    <t>bathtub refinishing saint petersburg fl</t>
  </si>
  <si>
    <t>bathtub refinishing salary</t>
  </si>
  <si>
    <t>bathtub refinishing salem ma</t>
  </si>
  <si>
    <t>bathtub refinishing salem or</t>
  </si>
  <si>
    <t>bathtub refinishing salina ks</t>
  </si>
  <si>
    <t>bathtub refinishing salisbury md</t>
  </si>
  <si>
    <t>bathtub refinishing salisbury nc</t>
  </si>
  <si>
    <t>bathtub refinishing salt lake city salt lake city ut</t>
  </si>
  <si>
    <t>bathtub refinishing sam francisco easy bay</t>
  </si>
  <si>
    <t>bathtub refinishing san antonio cost</t>
  </si>
  <si>
    <t>bathtub refinishing san antonio texas</t>
  </si>
  <si>
    <t>bathtub refinishing san bernardino ca</t>
  </si>
  <si>
    <t>bathtub refinishing san diego reviews</t>
  </si>
  <si>
    <t>bathtub refinishing san diego sale</t>
  </si>
  <si>
    <t>bathtub refinishing san diego san diego ca</t>
  </si>
  <si>
    <t>bathtub refinishing san diego yelp</t>
  </si>
  <si>
    <t>bathtub refinishing san francisco san francisco ca</t>
  </si>
  <si>
    <t>bathtub refinishing san jose california</t>
  </si>
  <si>
    <t>bathtub refinishing san jose san jose ca</t>
  </si>
  <si>
    <t>bathtub refinishing san leandro ca</t>
  </si>
  <si>
    <t>bathtub refinishing san marcos tx</t>
  </si>
  <si>
    <t>bathtub refinishing san rafael</t>
  </si>
  <si>
    <t>bathtub refinishing sandblast</t>
  </si>
  <si>
    <t>bathtub refinishing sandy springs ga</t>
  </si>
  <si>
    <t>bathtub refinishing sanford nc</t>
  </si>
  <si>
    <t>bathtub refinishing santa rosa</t>
  </si>
  <si>
    <t>bathtub refinishing sarasota sarasota fl</t>
  </si>
  <si>
    <t>bathtub refinishing saratoga springs ny</t>
  </si>
  <si>
    <t>bathtub refinishing saskatoon</t>
  </si>
  <si>
    <t>bathtub refinishing schenectady ny</t>
  </si>
  <si>
    <t>bathtub refinishing school</t>
  </si>
  <si>
    <t>bathtub refinishing seattle area</t>
  </si>
  <si>
    <t>bathtub refinishing seattle precision resurfacing</t>
  </si>
  <si>
    <t>bathtub refinishing seattle precision resurfacing complaints</t>
  </si>
  <si>
    <t>bathtub refinishing seattle precision resurfacing seattle wa 98107</t>
  </si>
  <si>
    <t>bathtub refinishing seattle seattle wa</t>
  </si>
  <si>
    <t>bathtub refinishing seattle yelp</t>
  </si>
  <si>
    <t>bathtub refinishing sebring fl</t>
  </si>
  <si>
    <t>bathtub refinishing seminole fl</t>
  </si>
  <si>
    <t>bathtub refinishing service clear lake tx</t>
  </si>
  <si>
    <t>bathtub refinishing service houston tx</t>
  </si>
  <si>
    <t>bathtub refinishing service in arlington</t>
  </si>
  <si>
    <t>bathtub refinishing service in carrollton</t>
  </si>
  <si>
    <t>bathtub refinishing service in dallas</t>
  </si>
  <si>
    <t>bathtub refinishing service in frisco</t>
  </si>
  <si>
    <t>bathtub refinishing service in garland</t>
  </si>
  <si>
    <t>bathtub refinishing service in grand prairie</t>
  </si>
  <si>
    <t>bathtub refinishing service in irving</t>
  </si>
  <si>
    <t>bathtub refinishing service in mckinney</t>
  </si>
  <si>
    <t>bathtub refinishing service in mesquite</t>
  </si>
  <si>
    <t>bathtub refinishing service in plano</t>
  </si>
  <si>
    <t>bathtub refinishing service in richardson</t>
  </si>
  <si>
    <t>bathtub refinishing service in sarasota</t>
  </si>
  <si>
    <t>bathtub refinishing service joplin mo</t>
  </si>
  <si>
    <t>bathtub refinishing service katy tx</t>
  </si>
  <si>
    <t>bathtub refinishing service near me</t>
  </si>
  <si>
    <t>bathtub refinishing service ny</t>
  </si>
  <si>
    <t>bathtub refinishing service spring tx</t>
  </si>
  <si>
    <t>bathtub refinishing service sugarland tx</t>
  </si>
  <si>
    <t>bathtub refinishing service tulsa ok</t>
  </si>
  <si>
    <t>bathtub refinishing services bellevue wa</t>
  </si>
  <si>
    <t>bathtub refinishing services clear lake tx</t>
  </si>
  <si>
    <t>bathtub refinishing services fairbanks ak</t>
  </si>
  <si>
    <t>bathtub refinishing services houston tx</t>
  </si>
  <si>
    <t>bathtub refinishing services in arlington</t>
  </si>
  <si>
    <t>bathtub refinishing services in carrollton</t>
  </si>
  <si>
    <t>bathtub refinishing services in dallas</t>
  </si>
  <si>
    <t>bathtub refinishing services in frisco</t>
  </si>
  <si>
    <t>bathtub refinishing services in garland</t>
  </si>
  <si>
    <t>bathtub refinishing services in grand prairie</t>
  </si>
  <si>
    <t>bathtub refinishing services in independence missouri</t>
  </si>
  <si>
    <t>bathtub refinishing services in irving</t>
  </si>
  <si>
    <t>bathtub refinishing services in lowell</t>
  </si>
  <si>
    <t>bathtub refinishing services in mckinney</t>
  </si>
  <si>
    <t>bathtub refinishing services in mesquite</t>
  </si>
  <si>
    <t>bathtub refinishing services in naples</t>
  </si>
  <si>
    <t>bathtub refinishing services in plano</t>
  </si>
  <si>
    <t>bathtub refinishing services in richardson</t>
  </si>
  <si>
    <t>bathtub refinishing services in tampa fl</t>
  </si>
  <si>
    <t>bathtub refinishing services katy tx</t>
  </si>
  <si>
    <t>bathtub refinishing services kirkland wa</t>
  </si>
  <si>
    <t>bathtub refinishing services los angeles ca</t>
  </si>
  <si>
    <t>bathtub refinishing services reviews near zip code 10280</t>
  </si>
  <si>
    <t>bathtub refinishing services spring tx</t>
  </si>
  <si>
    <t>bathtub refinishing services sugarland tx</t>
  </si>
  <si>
    <t>bathtub refinishing services toms river nj</t>
  </si>
  <si>
    <t>bathtub refinishing services victoria bc</t>
  </si>
  <si>
    <t>bathtub refinishing sf bay area</t>
  </si>
  <si>
    <t>bathtub refinishing sf ca</t>
  </si>
  <si>
    <t>bathtub refinishing sharon ma</t>
  </si>
  <si>
    <t>bathtub refinishing shawano wi</t>
  </si>
  <si>
    <t>bathtub refinishing sherman tx</t>
  </si>
  <si>
    <t>bathtub refinishing sherwin williams</t>
  </si>
  <si>
    <t>bathtub refinishing shreveport la</t>
  </si>
  <si>
    <t>bathtub refinishing shreveport shreveport la</t>
  </si>
  <si>
    <t>bathtub refinishing silver spring</t>
  </si>
  <si>
    <t>bathtub refinishing singapore</t>
  </si>
  <si>
    <t>bathtub refinishing sioux city ia</t>
  </si>
  <si>
    <t>bathtub refinishing site youtube.com</t>
  </si>
  <si>
    <t>bathtub refinishing siy</t>
  </si>
  <si>
    <t>bathtub refinishing skagit county</t>
  </si>
  <si>
    <t>bathtub refinishing skagit county wa</t>
  </si>
  <si>
    <t>bathtub refinishing skokie</t>
  </si>
  <si>
    <t>bathtub refinishing slc</t>
  </si>
  <si>
    <t>bathtub refinishing sliding door</t>
  </si>
  <si>
    <t>bathtub refinishing smooth surface</t>
  </si>
  <si>
    <t>bathtub refinishing smyrna ga</t>
  </si>
  <si>
    <t>bathtub refinishing snellville ga</t>
  </si>
  <si>
    <t>bathtub refinishing snohomish</t>
  </si>
  <si>
    <t>bathtub refinishing snohomish county</t>
  </si>
  <si>
    <t>bathtub refinishing somerset county</t>
  </si>
  <si>
    <t>bathtub refinishing somerset nj</t>
  </si>
  <si>
    <t>bathtub refinishing sonoma county</t>
  </si>
  <si>
    <t>bathtub refinishing south bend in</t>
  </si>
  <si>
    <t>bathtub refinishing south florida fl</t>
  </si>
  <si>
    <t>bathtub refinishing southern illinois</t>
  </si>
  <si>
    <t>bathtub refinishing southern maine</t>
  </si>
  <si>
    <t>bathtub refinishing southern maryland</t>
  </si>
  <si>
    <t>bathtub refinishing southwest montana</t>
  </si>
  <si>
    <t>bathtub refinishing specialist</t>
  </si>
  <si>
    <t>bathtub refinishing spokane idaho</t>
  </si>
  <si>
    <t>bathtub refinishing spokane spokane wa</t>
  </si>
  <si>
    <t>bathtub refinishing spray gun</t>
  </si>
  <si>
    <t>bathtub refinishing spray kit</t>
  </si>
  <si>
    <t>bathtub refinishing spray paint health issues</t>
  </si>
  <si>
    <t>bathtub refinishing spray painting</t>
  </si>
  <si>
    <t>bathtub refinishing sprayer</t>
  </si>
  <si>
    <t>bathtub refinishing spring</t>
  </si>
  <si>
    <t>bathtub refinishing spring hill</t>
  </si>
  <si>
    <t>bathtub refinishing spring texas</t>
  </si>
  <si>
    <t>bathtub refinishing springfield missouri</t>
  </si>
  <si>
    <t>bathtub refinishing springfield ohio</t>
  </si>
  <si>
    <t>bathtub refinishing springfield springfield mo</t>
  </si>
  <si>
    <t>bathtub refinishing st augustine fl</t>
  </si>
  <si>
    <t>bathtub refinishing st charles mo</t>
  </si>
  <si>
    <t>bathtub refinishing st cloud mn</t>
  </si>
  <si>
    <t>bathtub refinishing st george utah</t>
  </si>
  <si>
    <t>bathtub refinishing st joseph mo</t>
  </si>
  <si>
    <t>bathtub refinishing st pete fl</t>
  </si>
  <si>
    <t>bathtub refinishing st petersburg fl reviews</t>
  </si>
  <si>
    <t>bathtub refinishing st. charles mo</t>
  </si>
  <si>
    <t>bathtub refinishing st. louis county mo</t>
  </si>
  <si>
    <t>bathtub refinishing st. louis mo</t>
  </si>
  <si>
    <t>bathtub refinishing st. peters mo</t>
  </si>
  <si>
    <t>bathtub refinishing stafford va</t>
  </si>
  <si>
    <t>bathtub refinishing steps</t>
  </si>
  <si>
    <t>bathtub refinishing stillwater ok</t>
  </si>
  <si>
    <t>bathtub refinishing stoney creek</t>
  </si>
  <si>
    <t>bathtub refinishing stripper</t>
  </si>
  <si>
    <t>bathtub refinishing sudbury</t>
  </si>
  <si>
    <t>bathtub refinishing sugar hill</t>
  </si>
  <si>
    <t>bathtub refinishing sugar hill ga</t>
  </si>
  <si>
    <t>bathtub refinishing sugar land tx</t>
  </si>
  <si>
    <t>bathtub refinishing sugarland tx</t>
  </si>
  <si>
    <t>bathtub refinishing summerville sc</t>
  </si>
  <si>
    <t>bathtub refinishing sumter county fl</t>
  </si>
  <si>
    <t>bathtub refinishing sun city az</t>
  </si>
  <si>
    <t>bathtub refinishing sunrise fl</t>
  </si>
  <si>
    <t>bathtub refinishing sunset hills mo</t>
  </si>
  <si>
    <t>bathtub refinishing superior wi</t>
  </si>
  <si>
    <t>bathtub refinishing supplier</t>
  </si>
  <si>
    <t>bathtub refinishing suppliers</t>
  </si>
  <si>
    <t>bathtub refinishing supplies in los angeles</t>
  </si>
  <si>
    <t>bathtub refinishing supplies por-tec</t>
  </si>
  <si>
    <t>bathtub refinishing supply</t>
  </si>
  <si>
    <t>bathtub refinishing surrey bc</t>
  </si>
  <si>
    <t>bathtub refinishing suwanee</t>
  </si>
  <si>
    <t>bathtub refinishing sydney ns</t>
  </si>
  <si>
    <t>bathtub refinishing sylva nc</t>
  </si>
  <si>
    <t>bathtub refinishing syracuse syracuse ny</t>
  </si>
  <si>
    <t>bathtub refinishing system</t>
  </si>
  <si>
    <t>bathtub refinishing systems</t>
  </si>
  <si>
    <t>bathtub refinishing tacoma tacoma wa</t>
  </si>
  <si>
    <t>bathtub refinishing tacoma wa</t>
  </si>
  <si>
    <t>bathtub refinishing tallahassee fl</t>
  </si>
  <si>
    <t>bathtub refinishing tallahassee florida</t>
  </si>
  <si>
    <t>bathtub refinishing tallahassee tallahassee fl</t>
  </si>
  <si>
    <t>bathtub refinishing tallulah falls ga</t>
  </si>
  <si>
    <t>bathtub refinishing tappahannock va</t>
  </si>
  <si>
    <t>bathtub refinishing tavares fl</t>
  </si>
  <si>
    <t>bathtub refinishing techniques</t>
  </si>
  <si>
    <t>bathtub refinishing tempe</t>
  </si>
  <si>
    <t>bathtub refinishing temple texas</t>
  </si>
  <si>
    <t>bathtub refinishing temple tx</t>
  </si>
  <si>
    <t>bathtub refinishing tennessee</t>
  </si>
  <si>
    <t>bathtub refinishing terre haute</t>
  </si>
  <si>
    <t>bathtub refinishing terre haute indiana</t>
  </si>
  <si>
    <t>bathtub refinishing texarkana ar</t>
  </si>
  <si>
    <t>bathtub refinishing texarkana tx</t>
  </si>
  <si>
    <t>bathtub refinishing the villages fl</t>
  </si>
  <si>
    <t>bathtub refinishing the woodlands tx</t>
  </si>
  <si>
    <t>bathtub refinishing tile refinishing kit</t>
  </si>
  <si>
    <t>bathtub refinishing tile surround</t>
  </si>
  <si>
    <t>bathtub refinishing tipton indiana</t>
  </si>
  <si>
    <t>bathtub refinishing toledo oh</t>
  </si>
  <si>
    <t>bathtub refinishing toms river</t>
  </si>
  <si>
    <t>bathtub refinishing toms river ny</t>
  </si>
  <si>
    <t>bathtub refinishing tomsriver</t>
  </si>
  <si>
    <t>bathtub refinishing top</t>
  </si>
  <si>
    <t>bathtub refinishing toronto cost</t>
  </si>
  <si>
    <t>bathtub refinishing toronto homestars</t>
  </si>
  <si>
    <t>bathtub refinishing toronto ontario</t>
  </si>
  <si>
    <t>bathtub refinishing toronto reviews</t>
  </si>
  <si>
    <t>bathtub refinishing touch up paint</t>
  </si>
  <si>
    <t>bathtub refinishing touchup small area products</t>
  </si>
  <si>
    <t>bathtub refinishing town and country mo</t>
  </si>
  <si>
    <t>bathtub refinishing toxic fumes</t>
  </si>
  <si>
    <t>bathtub refinishing toxic fumes and dogs</t>
  </si>
  <si>
    <t>bathtub refinishing training california</t>
  </si>
  <si>
    <t>bathtub refinishing training classes orange county</t>
  </si>
  <si>
    <t>bathtub refinishing training guide</t>
  </si>
  <si>
    <t>bathtub refinishing training in canada</t>
  </si>
  <si>
    <t>bathtub refinishing training la</t>
  </si>
  <si>
    <t>bathtub refinishing training orange county</t>
  </si>
  <si>
    <t>bathtub refinishing training videos</t>
  </si>
  <si>
    <t>bathtub refinishing traverse city mi</t>
  </si>
  <si>
    <t>bathtub refinishing traverse city michigan</t>
  </si>
  <si>
    <t>bathtub refinishing trenton nj</t>
  </si>
  <si>
    <t>bathtub refinishing tri cities wa</t>
  </si>
  <si>
    <t>bathtub refinishing tri-cities</t>
  </si>
  <si>
    <t>bathtub refinishing troy mi</t>
  </si>
  <si>
    <t>bathtub refinishing tub and tile</t>
  </si>
  <si>
    <t>bathtub refinishing tub refinishing</t>
  </si>
  <si>
    <t>bathtub refinishing tucker ga</t>
  </si>
  <si>
    <t>bathtub refinishing tucker georgia</t>
  </si>
  <si>
    <t>bathtub refinishing tucson arizona</t>
  </si>
  <si>
    <t>bathtub refinishing tulsa ok</t>
  </si>
  <si>
    <t>bathtub refinishing tulsa oklahoma</t>
  </si>
  <si>
    <t>bathtub refinishing tulsa tulsa ok</t>
  </si>
  <si>
    <t>bathtub refinishing tuscon</t>
  </si>
  <si>
    <t>bathtub refinishing tutorial video</t>
  </si>
  <si>
    <t>bathtub refinishing twin cities minneapolis mn</t>
  </si>
  <si>
    <t>bathtub refinishing tyler tyler tx</t>
  </si>
  <si>
    <t>bathtub refinishing union sc</t>
  </si>
  <si>
    <t>bathtub refinishing upper west side</t>
  </si>
  <si>
    <t>bathtub refinishing utah county</t>
  </si>
  <si>
    <t>bathtub refinishing utah ut</t>
  </si>
  <si>
    <t>bathtub refinishing utica ny</t>
  </si>
  <si>
    <t>bathtub refinishing v reglazing</t>
  </si>
  <si>
    <t>bathtub refinishing va</t>
  </si>
  <si>
    <t>bathtub refinishing vacaville</t>
  </si>
  <si>
    <t>bathtub refinishing valdese nc</t>
  </si>
  <si>
    <t>bathtub refinishing vallejo</t>
  </si>
  <si>
    <t>bathtub refinishing vallejo ca</t>
  </si>
  <si>
    <t>bathtub refinishing valparaiso valparaiso in</t>
  </si>
  <si>
    <t>bathtub refinishing van nuys</t>
  </si>
  <si>
    <t>bathtub refinishing vancouver island</t>
  </si>
  <si>
    <t>bathtub refinishing vancouver reviews</t>
  </si>
  <si>
    <t>bathtub refinishing vancouver vancouver wa</t>
  </si>
  <si>
    <t>bathtub refinishing vancouver washington</t>
  </si>
  <si>
    <t>bathtub refinishing vernon bc</t>
  </si>
  <si>
    <t>bathtub refinishing virginia beach virginia beach va</t>
  </si>
  <si>
    <t>bathtub refinishing vs new</t>
  </si>
  <si>
    <t>bathtub refinishing vt</t>
  </si>
  <si>
    <t>bathtub refinishing waco ga</t>
  </si>
  <si>
    <t>bathtub refinishing waldo fl</t>
  </si>
  <si>
    <t>bathtub refinishing waldorf md</t>
  </si>
  <si>
    <t>bathtub refinishing warren detroit</t>
  </si>
  <si>
    <t>bathtub refinishing washington dc area</t>
  </si>
  <si>
    <t>bathtub refinishing washington dc reviews</t>
  </si>
  <si>
    <t>bathtub refinishing washington dc woman owned</t>
  </si>
  <si>
    <t>bathtub refinishing washington dc woman owned dc area</t>
  </si>
  <si>
    <t>bathtub refinishing washington pa</t>
  </si>
  <si>
    <t>bathtub refinishing waterdown</t>
  </si>
  <si>
    <t>bathtub refinishing waterloo iowa</t>
  </si>
  <si>
    <t>bathtub refinishing watsonville ca</t>
  </si>
  <si>
    <t>bathtub refinishing waukesha</t>
  </si>
  <si>
    <t>bathtub refinishing waynesville</t>
  </si>
  <si>
    <t>bathtub refinishing website design</t>
  </si>
  <si>
    <t>bathtub refinishing webster groves mo</t>
  </si>
  <si>
    <t>bathtub refinishing webster ny</t>
  </si>
  <si>
    <t>bathtub refinishing wellington</t>
  </si>
  <si>
    <t>bathtub refinishing went red</t>
  </si>
  <si>
    <t>bathtub refinishing wentzville mo</t>
  </si>
  <si>
    <t>bathtub refinishing west chester pa</t>
  </si>
  <si>
    <t>bathtub refinishing west hartford ct</t>
  </si>
  <si>
    <t>bathtub refinishing west haven ct</t>
  </si>
  <si>
    <t>bathtub refinishing west palm beach fl</t>
  </si>
  <si>
    <t>bathtub refinishing west palm beach florida</t>
  </si>
  <si>
    <t>bathtub refinishing west seattle</t>
  </si>
  <si>
    <t>bathtub refinishing westchester country westchester ny</t>
  </si>
  <si>
    <t>bathtub refinishing western ma</t>
  </si>
  <si>
    <t>bathtub refinishing western massachusetts</t>
  </si>
  <si>
    <t>bathtub refinishing westfield in</t>
  </si>
  <si>
    <t>bathtub refinishing westlake</t>
  </si>
  <si>
    <t>bathtub refinishing westminster co</t>
  </si>
  <si>
    <t>bathtub refinishing westminster ma</t>
  </si>
  <si>
    <t>bathtub refinishing weymouth ma</t>
  </si>
  <si>
    <t>bathtub refinishing what to expect</t>
  </si>
  <si>
    <t>bathtub refinishing wheaton il</t>
  </si>
  <si>
    <t>bathtub refinishing white stuff on floor after work is done</t>
  </si>
  <si>
    <t>bathtub refinishing wichita kansas</t>
  </si>
  <si>
    <t>bathtub refinishing wichita wichita ks</t>
  </si>
  <si>
    <t>bathtub refinishing wildwood mo</t>
  </si>
  <si>
    <t>bathtub refinishing williasmport pa</t>
  </si>
  <si>
    <t>bathtub refinishing wilmington de</t>
  </si>
  <si>
    <t>bathtub refinishing wilmington wilmington de</t>
  </si>
  <si>
    <t>bathtub refinishing winder ga</t>
  </si>
  <si>
    <t>bathtub refinishing winnipeg manitoba</t>
  </si>
  <si>
    <t>bathtub refinishing winnipeg reviews</t>
  </si>
  <si>
    <t>bathtub refinishing winona mn</t>
  </si>
  <si>
    <t>bathtub refinishing winston salem winston-salem nc</t>
  </si>
  <si>
    <t>bathtub refinishing with</t>
  </si>
  <si>
    <t>bathtub refinishing with an 810 area code</t>
  </si>
  <si>
    <t>bathtub refinishing with rust drain</t>
  </si>
  <si>
    <t>bathtub refinishing woodbridge</t>
  </si>
  <si>
    <t>bathtub refinishing woodbridge va</t>
  </si>
  <si>
    <t>bathtub refinishing woodland ca</t>
  </si>
  <si>
    <t>bathtub refinishing woodmere fl</t>
  </si>
  <si>
    <t>bathtub refinishing woodstock ga</t>
  </si>
  <si>
    <t>bathtub refinishing worcester worcester ma</t>
  </si>
  <si>
    <t>bathtub refinishing wrap</t>
  </si>
  <si>
    <t>bathtub refinishing wrenshall mn</t>
  </si>
  <si>
    <t>bathtub refinishing wyckoff nj</t>
  </si>
  <si>
    <t>bathtub refinishing yelp advertiser</t>
  </si>
  <si>
    <t>bathtub refinishing yonkers</t>
  </si>
  <si>
    <t>bathtub refinishing zanesville ohio</t>
  </si>
  <si>
    <t>bathtub refinishing zionsville</t>
  </si>
  <si>
    <t>bathtub refinishing Êµ¥Áº∏</t>
  </si>
  <si>
    <t>bathtub refinishing- snohomish county</t>
  </si>
  <si>
    <t>bathtub reglaze refinishing</t>
  </si>
  <si>
    <t>bathtub reglaze resurface refinish</t>
  </si>
  <si>
    <t>bathtub reglazing and refinishing studio</t>
  </si>
  <si>
    <t>bathtub reglazing glendale bathtub refinishing</t>
  </si>
  <si>
    <t>bathtub reglazing how you can refinish your tub the spruce</t>
  </si>
  <si>
    <t>bathtub reglazing vs refinishing</t>
  </si>
  <si>
    <t>bathtub reglazing- refinishing</t>
  </si>
  <si>
    <t>bathtub reglazing-refinishing</t>
  </si>
  <si>
    <t>bathtub repair and refinish euless tx</t>
  </si>
  <si>
    <t>bathtub repair and refinishing near me</t>
  </si>
  <si>
    <t>bathtub repair n refinish</t>
  </si>
  <si>
    <t>bathtub repair refinish</t>
  </si>
  <si>
    <t>bathtub repair refinishing</t>
  </si>
  <si>
    <t>bathtub repair refinishing reviews</t>
  </si>
  <si>
    <t>bathtub repaircand refinishing in winston salem nc</t>
  </si>
  <si>
    <t>bathtub restorations &amp; refinishing columbus oh</t>
  </si>
  <si>
    <t>bathtub shower refinishing fort wayne in</t>
  </si>
  <si>
    <t>bathtub shower refinishing ft wayne in</t>
  </si>
  <si>
    <t>bathtub shower refinishing richmond va companies</t>
  </si>
  <si>
    <t>bathtub sink and tiles refinishing inc</t>
  </si>
  <si>
    <t>bathtub sink refinishing polymer resin</t>
  </si>
  <si>
    <t>bathtub spray refinishing</t>
  </si>
  <si>
    <t>bathtub stained after refinishing</t>
  </si>
  <si>
    <t>bathtub stripping and refinishing near 98424</t>
  </si>
  <si>
    <t>bathtub surround refinishing</t>
  </si>
  <si>
    <t>bathtub tile refinishing coatings</t>
  </si>
  <si>
    <t>bathtub tile refinishing cost</t>
  </si>
  <si>
    <t>bathtub tile refinishing redding ca</t>
  </si>
  <si>
    <t>bathtub wall tile cover refinishing</t>
  </si>
  <si>
    <t>bathtub works refinish</t>
  </si>
  <si>
    <t>bathtub+refinishing+monmouth+county+nj</t>
  </si>
  <si>
    <t>bathtub+refinishing+philadelphia</t>
  </si>
  <si>
    <t>bathtube refinisher articles</t>
  </si>
  <si>
    <t>bathtube refinishing</t>
  </si>
  <si>
    <t>bathtube refinishing paeint</t>
  </si>
  <si>
    <t>bathtubs &amp; sinks refinishing inc</t>
  </si>
  <si>
    <t>bathtubs &amp; sinks repair &amp; refinishing</t>
  </si>
  <si>
    <t>bathtubs refinish last</t>
  </si>
  <si>
    <t>bathtubs refinishing chicago</t>
  </si>
  <si>
    <t>bathtubs refinishing clear lake tx</t>
  </si>
  <si>
    <t>bathtubs refinishing dallas tx</t>
  </si>
  <si>
    <t>bathtubs refinishing houston</t>
  </si>
  <si>
    <t>bathtubs refinishing houston tx</t>
  </si>
  <si>
    <t>bathtubs refinishing in arlington</t>
  </si>
  <si>
    <t>bathtubs refinishing in carrollton</t>
  </si>
  <si>
    <t>bathtubs refinishing in dallas</t>
  </si>
  <si>
    <t>bathtubs refinishing in frisco</t>
  </si>
  <si>
    <t>bathtubs refinishing in garland</t>
  </si>
  <si>
    <t>bathtubs refinishing in grand prairie</t>
  </si>
  <si>
    <t>bathtubs refinishing in irving</t>
  </si>
  <si>
    <t>bathtubs refinishing in mckinney</t>
  </si>
  <si>
    <t>bathtubs refinishing in mesquite</t>
  </si>
  <si>
    <t>bathtubs refinishing in plano</t>
  </si>
  <si>
    <t>bathtubs refinishing in richardson</t>
  </si>
  <si>
    <t>bathtubs refinishing katy tx</t>
  </si>
  <si>
    <t>bathtubs refinishing nanaimo</t>
  </si>
  <si>
    <t>bathtubs refinishing reviews</t>
  </si>
  <si>
    <t>bathtubs refinishing spring tx</t>
  </si>
  <si>
    <t>bathtubs refinishing sugarland tx</t>
  </si>
  <si>
    <t>bathtubs revived of phoenix refinishing</t>
  </si>
  <si>
    <t>bathworks 20 oz. diy bathtub and tile refinishing kit reviews</t>
  </si>
  <si>
    <t>bathworks 20 oz. diy bathtub refinishing kit reviews</t>
  </si>
  <si>
    <t>bathworks 20 oz. diy bathtub refinishing kit stores</t>
  </si>
  <si>
    <t>bathworks 22 oz diy bathtub refinish kit with slipguard</t>
  </si>
  <si>
    <t>bathworks 22 oz diy bathtub refinish kit with slipguard white</t>
  </si>
  <si>
    <t>bathworks 22 oz diy bathtub refinishing kit</t>
  </si>
  <si>
    <t>bathworks bathtub refinishing kit lowes</t>
  </si>
  <si>
    <t>bathworks bathtub refinishing kit premium 20 oz tub tile</t>
  </si>
  <si>
    <t>bathworks bathtub refinishing kit standard 22 oz. tub</t>
  </si>
  <si>
    <t>bathworks bathtub refinishing paint kit</t>
  </si>
  <si>
    <t>bathworks diy bathtub &amp; tile refinishing kit reviews</t>
  </si>
  <si>
    <t>bathworks diy bathtub &amp; tile refinishing kit w/non-slip bwns</t>
  </si>
  <si>
    <t>bathworks diy bathtub and tile refinishing kit reviews</t>
  </si>
  <si>
    <t>bathworks diy bathtub and tile refinishing kit stores</t>
  </si>
  <si>
    <t>bay area bathtub refinishing co</t>
  </si>
  <si>
    <t>bay area bathtub refinishing company</t>
  </si>
  <si>
    <t>bbb bathtub refinishers</t>
  </si>
  <si>
    <t>bellevue wa bathtub refinisher</t>
  </si>
  <si>
    <t>belmont bathtub refinishing</t>
  </si>
  <si>
    <t>belvedere bathtub refinishing</t>
  </si>
  <si>
    <t>bend oregon bathtub refinishing</t>
  </si>
  <si>
    <t>best bathtub and tile refinishing kit</t>
  </si>
  <si>
    <t>best bathtub refinish</t>
  </si>
  <si>
    <t>best bathtub refinish paint</t>
  </si>
  <si>
    <t>best bathtub refinishers</t>
  </si>
  <si>
    <t>best bathtub refinishers chicago</t>
  </si>
  <si>
    <t>best bathtub refinishers near me</t>
  </si>
  <si>
    <t>best bathtub refinishing clear lake tx</t>
  </si>
  <si>
    <t>best bathtub refinishing co in ventura co</t>
  </si>
  <si>
    <t>best bathtub refinishing colors</t>
  </si>
  <si>
    <t>best bathtub refinishing company in san diego</t>
  </si>
  <si>
    <t>best bathtub refinishing company ma</t>
  </si>
  <si>
    <t>best bathtub refinishing company new jersey</t>
  </si>
  <si>
    <t>best bathtub refinishing company reviews</t>
  </si>
  <si>
    <t>best bathtub refinishing epoxy</t>
  </si>
  <si>
    <t>best bathtub refinishing franchise</t>
  </si>
  <si>
    <t>best bathtub refinishing houston tx</t>
  </si>
  <si>
    <t>best bathtub refinishing in arlington</t>
  </si>
  <si>
    <t>best bathtub refinishing in carrollton</t>
  </si>
  <si>
    <t>best bathtub refinishing in dallas</t>
  </si>
  <si>
    <t>best bathtub refinishing in frisco</t>
  </si>
  <si>
    <t>best bathtub refinishing in garland</t>
  </si>
  <si>
    <t>best bathtub refinishing in grand prairie</t>
  </si>
  <si>
    <t>best bathtub refinishing in irving</t>
  </si>
  <si>
    <t>best bathtub refinishing in mckinney</t>
  </si>
  <si>
    <t>best bathtub refinishing in mesquite</t>
  </si>
  <si>
    <t>best bathtub refinishing in plano</t>
  </si>
  <si>
    <t>best bathtub refinishing in richardson</t>
  </si>
  <si>
    <t>best bathtub refinishing in san diego</t>
  </si>
  <si>
    <t>best bathtub refinishing katy tx</t>
  </si>
  <si>
    <t>best bathtub refinishing kit 2018</t>
  </si>
  <si>
    <t>best bathtub refinishing kit 2019</t>
  </si>
  <si>
    <t>best bathtub refinishing kit dallas tx</t>
  </si>
  <si>
    <t>best bathtub refinishing kit ratings</t>
  </si>
  <si>
    <t>best bathtub refinishing kit reviews</t>
  </si>
  <si>
    <t>best bathtub refinishing kits</t>
  </si>
  <si>
    <t>best bathtub refinishing paint</t>
  </si>
  <si>
    <t>best bathtub refinishing process</t>
  </si>
  <si>
    <t>best bathtub refinishing reglazing reviews</t>
  </si>
  <si>
    <t>best bathtub refinishing reviews</t>
  </si>
  <si>
    <t>best bathtub refinishing services</t>
  </si>
  <si>
    <t>best bathtub refinishing spray or roller</t>
  </si>
  <si>
    <t>best bathtub refinishing spring tx</t>
  </si>
  <si>
    <t>best bathtub refinishing sugarland tx</t>
  </si>
  <si>
    <t>best bathtub refinishing-reglazing complaints</t>
  </si>
  <si>
    <t>best diy bathtub refinishing kits</t>
  </si>
  <si>
    <t>best do it yourself bathtub refinishing kits</t>
  </si>
  <si>
    <t>best fiberglass bathtub refinishing kit</t>
  </si>
  <si>
    <t>best for price diy bathtub refinishing kit</t>
  </si>
  <si>
    <t>best google adwords for bathtub refinishing</t>
  </si>
  <si>
    <t>best google keywords for bathtub refinishing</t>
  </si>
  <si>
    <t>best material for bathtub refinishing</t>
  </si>
  <si>
    <t>best method for refinishing a bathtub</t>
  </si>
  <si>
    <t>best porcelain bathtub refinish kit</t>
  </si>
  <si>
    <t>best process to refinish a sink or bathtub 90249</t>
  </si>
  <si>
    <t>best product for cleaning a refinishing bathtub</t>
  </si>
  <si>
    <t>best rated bathtub and tile refinishing kit</t>
  </si>
  <si>
    <t>best rated bathtub refinishing kit</t>
  </si>
  <si>
    <t>best rated material for refinishing a bathtub</t>
  </si>
  <si>
    <t>best refinishing bathtub</t>
  </si>
  <si>
    <t>best refinishing kits for bathtub and surround</t>
  </si>
  <si>
    <t>best roll on bathtub refinishing kit</t>
  </si>
  <si>
    <t>best way to bathtub refinishing</t>
  </si>
  <si>
    <t>best way to refinish an old bathtub</t>
  </si>
  <si>
    <t>best way to refinish cast iron bathtub</t>
  </si>
  <si>
    <t>best way to refinish fiberglass bathtub</t>
  </si>
  <si>
    <t>best way to refinish old bathtub</t>
  </si>
  <si>
    <t>betz bathtub refinishing</t>
  </si>
  <si>
    <t>beyond bathtub refinishing</t>
  </si>
  <si>
    <t>big apple remodeling bathtub refinishing</t>
  </si>
  <si>
    <t>billerica bathtub refinishing</t>
  </si>
  <si>
    <t>birmingham al bathtub refinishing</t>
  </si>
  <si>
    <t>birmingham bathtub refinishing</t>
  </si>
  <si>
    <t>black bathtub refinishing kit</t>
  </si>
  <si>
    <t>black diamond bathtub refinishing</t>
  </si>
  <si>
    <t>bob bathtub refinishing oakland</t>
  </si>
  <si>
    <t>bolingbrook bathtub refinishing</t>
  </si>
  <si>
    <t>bonding agent for bathtub refinishing</t>
  </si>
  <si>
    <t>boston bathtub boys refinishing services</t>
  </si>
  <si>
    <t>bremerton bathtub refinishing</t>
  </si>
  <si>
    <t>brett's bathtub refinishing</t>
  </si>
  <si>
    <t>brookings bathtub refinishing brookings oregon</t>
  </si>
  <si>
    <t>brookings bathtub refinishing sunrise lane brookings or</t>
  </si>
  <si>
    <t>brush on bathtub refinishing</t>
  </si>
  <si>
    <t>bt techs bathtub and tiles refinishing cleveland oh</t>
  </si>
  <si>
    <t>bubbled bathtub refinish</t>
  </si>
  <si>
    <t>budget bathtub refinishing co</t>
  </si>
  <si>
    <t>business in eureka ca refinish bathtub</t>
  </si>
  <si>
    <t>buy bathtub refinishing</t>
  </si>
  <si>
    <t>c&amp;c bathtub refinishing houston</t>
  </si>
  <si>
    <t>ca bathtub refinishers</t>
  </si>
  <si>
    <t>cadillac mi bathtub refinishing</t>
  </si>
  <si>
    <t>california bathtub refinishers reviews</t>
  </si>
  <si>
    <t>california bathtub refinishers san diego ca</t>
  </si>
  <si>
    <t>california bathtub refinishing companies</t>
  </si>
  <si>
    <t>california law bathtub refinishing</t>
  </si>
  <si>
    <t>call bathtub refinishers and don't be sad</t>
  </si>
  <si>
    <t>call bathtub refinishers and dont be sad</t>
  </si>
  <si>
    <t>canadian bathtub refinishing edmonton</t>
  </si>
  <si>
    <t>cape cod bathtub refinishing</t>
  </si>
  <si>
    <t>care of refinished bathtub</t>
  </si>
  <si>
    <t>care of refinished bathtub raleigh</t>
  </si>
  <si>
    <t>caring for ekopel bathtub and tile refinishing</t>
  </si>
  <si>
    <t>cast bathtub refinishing</t>
  </si>
  <si>
    <t>cast iron bathtub refinishers</t>
  </si>
  <si>
    <t>cast iron bathtub refinishing 65401</t>
  </si>
  <si>
    <t>cast iron bathtub refinishing albuquerque</t>
  </si>
  <si>
    <t>cast iron bathtub refinishing chicago</t>
  </si>
  <si>
    <t>cast iron bathtub refinishing company</t>
  </si>
  <si>
    <t>cast iron bathtub refinishing halifax</t>
  </si>
  <si>
    <t>cast iron bathtub refinishing kansas city</t>
  </si>
  <si>
    <t>cast iron bathtub refinishing missouri</t>
  </si>
  <si>
    <t>cast iron bathtub refinishing ottawa</t>
  </si>
  <si>
    <t>cast iron bathtub refinishing rolla missouri</t>
  </si>
  <si>
    <t>cast iron bathtub refinishing san diego</t>
  </si>
  <si>
    <t>cast iron bathtub refinishing seattle</t>
  </si>
  <si>
    <t>cast iron bathtub refinishing springfield mo</t>
  </si>
  <si>
    <t>cast iron bathtub refinishing st joseph mo</t>
  </si>
  <si>
    <t>cast iron bathtub refinishing st louis mo</t>
  </si>
  <si>
    <t>cast iron bathtub refinishing st paul mn</t>
  </si>
  <si>
    <t>cast iron bathtub refinishing toronto</t>
  </si>
  <si>
    <t>cast iron bathtub refinishing tulsa ok</t>
  </si>
  <si>
    <t>cast iron bathtub refinishing uk</t>
  </si>
  <si>
    <t>cast iron bathtub refinishing vancouver</t>
  </si>
  <si>
    <t>cast iron bathtubs refinishing</t>
  </si>
  <si>
    <t>cdc bathtub refinishing deaths</t>
  </si>
  <si>
    <t>ce bathtub refinishing</t>
  </si>
  <si>
    <t>ce bathtub refinishing san diego</t>
  </si>
  <si>
    <t>cement refinishing bathtub</t>
  </si>
  <si>
    <t>channahon bathtub refinishing</t>
  </si>
  <si>
    <t>charlie's bathtub refinish</t>
  </si>
  <si>
    <t>charlotte bathtub refinishing charlotte nc</t>
  </si>
  <si>
    <t>cheap bathtub refinishing in brooklyn ny</t>
  </si>
  <si>
    <t>cheap bathtub refinishing near me</t>
  </si>
  <si>
    <t>chicago a bathtub refinishing don mccowan</t>
  </si>
  <si>
    <t>chicago a bathtub refinishing herb neurauter</t>
  </si>
  <si>
    <t>chicago bathtubs refinishing</t>
  </si>
  <si>
    <t>chicago il bathtub refinishing</t>
  </si>
  <si>
    <t>chicago tub reglazing bathtub refinishing</t>
  </si>
  <si>
    <t>chico ca bathtub refinishers</t>
  </si>
  <si>
    <t>cincinnati bathtub refinishing cincinnati oh</t>
  </si>
  <si>
    <t>classic bathtub refinishing evington va</t>
  </si>
  <si>
    <t>claw bathtub refinishing</t>
  </si>
  <si>
    <t>claw foot bathtub refinishing</t>
  </si>
  <si>
    <t>clawfoot bathtub refinishing flint</t>
  </si>
  <si>
    <t>clawfoot bathtub refinishing st joseph mo</t>
  </si>
  <si>
    <t>clean mildew refinished bathtub</t>
  </si>
  <si>
    <t>cleaner for refinished bathtub</t>
  </si>
  <si>
    <t>cleaners to used on refinished bathtub</t>
  </si>
  <si>
    <t>clermont florida bathtubs and shower refinishing</t>
  </si>
  <si>
    <t>cleveland bathtub refinishing cleveland oh</t>
  </si>
  <si>
    <t>cleveland bathtub refinishing mike</t>
  </si>
  <si>
    <t>cleveland ohio bathtub resurfacing or bathtub refinishing cost</t>
  </si>
  <si>
    <t>cleveland ohio bathtub resurfacing or bathtub refinishing kit</t>
  </si>
  <si>
    <t>cloud 9 tubs bathtub refinishing new hampshire</t>
  </si>
  <si>
    <t>cmc bathtub refinishing and repairs</t>
  </si>
  <si>
    <t>colorado bathtub refinishing</t>
  </si>
  <si>
    <t>colored bathtub refinishing kit</t>
  </si>
  <si>
    <t>colorful bathtub refinishing</t>
  </si>
  <si>
    <t>columbus bathtub refinishing columbus oh</t>
  </si>
  <si>
    <t>columbus ohio bathtub refinishing</t>
  </si>
  <si>
    <t>commercial bathtub refinishing aurora</t>
  </si>
  <si>
    <t>commercial bathtub refinishing broken arrow</t>
  </si>
  <si>
    <t>commercial bathtub refinishing chicago</t>
  </si>
  <si>
    <t>commercial bathtub refinishing company auburn</t>
  </si>
  <si>
    <t>commercial bathtub refinishing company chicago</t>
  </si>
  <si>
    <t>commercial bathtub refinishing company clifton</t>
  </si>
  <si>
    <t>commercial bathtub refinishing company covington</t>
  </si>
  <si>
    <t>commercial bathtub refinishing company east providence</t>
  </si>
  <si>
    <t>commercial bathtub refinishing company kansas city</t>
  </si>
  <si>
    <t>commercial bathtub refinishing company naperville</t>
  </si>
  <si>
    <t>commercial bathtub refinishing company rickmond</t>
  </si>
  <si>
    <t>commercial bathtub refinishing company tulsa</t>
  </si>
  <si>
    <t>commercial bathtub refinishing dover</t>
  </si>
  <si>
    <t>commercial bathtub refinishing east providence</t>
  </si>
  <si>
    <t>commercial bathtub refinishing fl</t>
  </si>
  <si>
    <t>commercial bathtub refinishing illinois</t>
  </si>
  <si>
    <t>commercial bathtub refinishing lansing</t>
  </si>
  <si>
    <t>commercial bathtub refinishing minneapolis</t>
  </si>
  <si>
    <t>commercial bathtub refinishing newark</t>
  </si>
  <si>
    <t>commercial bathtub refinishing pawtucket</t>
  </si>
  <si>
    <t>commercial bathtub refinishing rockford</t>
  </si>
  <si>
    <t>commercial bathtub refinishing service broken arrow</t>
  </si>
  <si>
    <t>commercial bathtub refinishing service chicago</t>
  </si>
  <si>
    <t>commercial bathtub refinishing service east providence</t>
  </si>
  <si>
    <t>commercial bathtub refinishing service lansing</t>
  </si>
  <si>
    <t>commercial bathtub refinishing tampa fl</t>
  </si>
  <si>
    <t>commercial bathtub spray refinishing kit</t>
  </si>
  <si>
    <t>companies do refinish bathtub</t>
  </si>
  <si>
    <t>companies to refinish bathtub</t>
  </si>
  <si>
    <t>company for refinish bathtubs</t>
  </si>
  <si>
    <t>company that refinish bathtubs</t>
  </si>
  <si>
    <t>company that refinishes bathtubs</t>
  </si>
  <si>
    <t>company to refinish a porcelain bathtub</t>
  </si>
  <si>
    <t>connecticut bathtub refinishing coventry ct</t>
  </si>
  <si>
    <t>cons of bathtub refinishing</t>
  </si>
  <si>
    <t>consumer reports bathtub refinishing</t>
  </si>
  <si>
    <t>contractor to refinish bathtub</t>
  </si>
  <si>
    <t>cory tatz bathtub refinishing</t>
  </si>
  <si>
    <t>cost bathtub refinishing</t>
  </si>
  <si>
    <t>cost for bathtub refinishing</t>
  </si>
  <si>
    <t>cost of a bathtub refinish</t>
  </si>
  <si>
    <t>cost of bathtub and tile refinishing</t>
  </si>
  <si>
    <t>cost of having bathtub refinished</t>
  </si>
  <si>
    <t>cost of refinishing bathtubs</t>
  </si>
  <si>
    <t>cost of refinishing clawfoot bathtub</t>
  </si>
  <si>
    <t>cost of refinishing fiberglass bathtub</t>
  </si>
  <si>
    <t>cost of refinishing your bathtub</t>
  </si>
  <si>
    <t>cost refinish bathtub</t>
  </si>
  <si>
    <t>cost refinish bathtub miracle method</t>
  </si>
  <si>
    <t>cost refinish old bathtub</t>
  </si>
  <si>
    <t>cost refinish shower tiles and bathtub</t>
  </si>
  <si>
    <t>cost to professionally refinish bathtub</t>
  </si>
  <si>
    <t>cost to refinish a bathtub in houston texas</t>
  </si>
  <si>
    <t>cost to refinish a cast iron bathtub</t>
  </si>
  <si>
    <t>cost to refinish a fiberglass bathtub</t>
  </si>
  <si>
    <t>cost to refinish acrylic bathtub</t>
  </si>
  <si>
    <t>cost to refinish bathtub and sink</t>
  </si>
  <si>
    <t>cost to refinish bathtub and tile</t>
  </si>
  <si>
    <t>cost to refinish bathtub compared to replacement</t>
  </si>
  <si>
    <t>cost to refinish bathtub long island</t>
  </si>
  <si>
    <t>cost to refinish bathtub naturally</t>
  </si>
  <si>
    <t>cost to refinish clawfoot bathtub</t>
  </si>
  <si>
    <t>cost to refinish fiberglass bathtub</t>
  </si>
  <si>
    <t>cost to refinish old bathtub</t>
  </si>
  <si>
    <t>cost to refinishing bathtub</t>
  </si>
  <si>
    <t>counter tops and bathtub refinishing</t>
  </si>
  <si>
    <t>countertop and bathtub refinishing</t>
  </si>
  <si>
    <t>countertop and bathtub refinishing supplies</t>
  </si>
  <si>
    <t>cpsc bathtub refinishing methylene chloride</t>
  </si>
  <si>
    <t>craftsman bathtub refinishing</t>
  </si>
  <si>
    <t>crossroads bathtub refinishing</t>
  </si>
  <si>
    <t>crown bathtub refinishing</t>
  </si>
  <si>
    <t>ct bathtub refinishing</t>
  </si>
  <si>
    <t>cultured marble bathtub refinishing daytona beach fl</t>
  </si>
  <si>
    <t>dallas bathtub refinishers</t>
  </si>
  <si>
    <t>dallas bathtub refinishing pros</t>
  </si>
  <si>
    <t>dallas bathtub refinishing services</t>
  </si>
  <si>
    <t>dallas bathtub services refinishing</t>
  </si>
  <si>
    <t>dallas tx bathtub refinishing</t>
  </si>
  <si>
    <t>danvers bathtub refinishing</t>
  </si>
  <si>
    <t>days bathtub refinishing</t>
  </si>
  <si>
    <t>dayton bathtub refinishing mb link refinishing</t>
  </si>
  <si>
    <t>dayton bathtub resurfacing mb link refinishing dayton oh</t>
  </si>
  <si>
    <t>denver bathtub refinishing</t>
  </si>
  <si>
    <t>denver bathtub refinishing denver co</t>
  </si>
  <si>
    <t>denver bathtub refinishing review</t>
  </si>
  <si>
    <t>detroit bathtub refinishing</t>
  </si>
  <si>
    <t>diamond certified bathtub and kitchen cabinet refinishing companies</t>
  </si>
  <si>
    <t>diamond glaze bathtub refinishing</t>
  </si>
  <si>
    <t>died of chemical poisoning refinishing a bathtub</t>
  </si>
  <si>
    <t>difference between refinishing and reglazing a bathtub</t>
  </si>
  <si>
    <t>differencebetween refinishing reglazing and relining bathtub</t>
  </si>
  <si>
    <t>different ways to refinish a bathtub</t>
  </si>
  <si>
    <t>diy bathtub and tile refinishing kit</t>
  </si>
  <si>
    <t>diy bathtub refinish</t>
  </si>
  <si>
    <t>diy bathtub refinish kit with slipguard white</t>
  </si>
  <si>
    <t>diy bathtub refinish lavender</t>
  </si>
  <si>
    <t>diy bathtub refinishing blue</t>
  </si>
  <si>
    <t>diy bathtub refinishing cast iron</t>
  </si>
  <si>
    <t>diy bathtub refinishing kit canada</t>
  </si>
  <si>
    <t>diy bathtub refinishing kit complaints</t>
  </si>
  <si>
    <t>diy bathtub refinishing kit how to</t>
  </si>
  <si>
    <t>diy bathtub refinishing kit lowes</t>
  </si>
  <si>
    <t>diy bathtub refinishing kit reviews rustoleum</t>
  </si>
  <si>
    <t>diy bathtub refinishing lowes</t>
  </si>
  <si>
    <t>diy bathtub refinishing menards</t>
  </si>
  <si>
    <t>diy bathtub refinishing products</t>
  </si>
  <si>
    <t>diy bathtub refinishing video</t>
  </si>
  <si>
    <t>diy bathtub refinishing youtube</t>
  </si>
  <si>
    <t>diy cast iron bathtub refinishing</t>
  </si>
  <si>
    <t>diy clawfoot bathtub refinishing</t>
  </si>
  <si>
    <t>diy plastic bathtub refinishing</t>
  </si>
  <si>
    <t>diy porcelain bathtub refinishing</t>
  </si>
  <si>
    <t>diy refinish bathtub and tile</t>
  </si>
  <si>
    <t>diy refinish bathtub kit</t>
  </si>
  <si>
    <t>diy refinish cast iron bathtub</t>
  </si>
  <si>
    <t>diy refinish fiberglass bathtub liner</t>
  </si>
  <si>
    <t>diy refinish old bathtub</t>
  </si>
  <si>
    <t>diy refinish your bathtub and tile or hire someone</t>
  </si>
  <si>
    <t>diy refinishing acrylic bathtubs</t>
  </si>
  <si>
    <t>diy refinishing bathtub kit</t>
  </si>
  <si>
    <t>diy spray-on bathtub refinishing paint kits</t>
  </si>
  <si>
    <t>diy vs professional bathtub refinishing</t>
  </si>
  <si>
    <t>dove bathtub refinisher</t>
  </si>
  <si>
    <t>drain cleaner bathtub refinish</t>
  </si>
  <si>
    <t>durable bathtub refinishing</t>
  </si>
  <si>
    <t>durafinish bathtub reglazing &amp; bath tub refinishing services</t>
  </si>
  <si>
    <t>durafinish bathtub reglazing &amp; bath tub refinishing services grandville mi</t>
  </si>
  <si>
    <t>during a bathroom remodel when should bathtub refinishing be done</t>
  </si>
  <si>
    <t>durokot bathtub refinishing</t>
  </si>
  <si>
    <t>eagle eye bathtub refinishing corp</t>
  </si>
  <si>
    <t>easy way to refinish bathtub</t>
  </si>
  <si>
    <t>eco bathtub refinishing</t>
  </si>
  <si>
    <t>eco friendly bathtub refinishing</t>
  </si>
  <si>
    <t>eco tub restoration - bathtub refinishing</t>
  </si>
  <si>
    <t>eco-friendly bathtub refinishing in morris county</t>
  </si>
  <si>
    <t>eco-friendly bathtub refinishing in nj</t>
  </si>
  <si>
    <t>ekopel 2k bathtub refinishing kit product info and reviews</t>
  </si>
  <si>
    <t>ekopel 2k bathtub refinishing kit product information</t>
  </si>
  <si>
    <t>ekopel 2k bathtub refinishing kit review</t>
  </si>
  <si>
    <t>ekopel 2k bathtub refinishing kit sink/shower bottom size</t>
  </si>
  <si>
    <t>ekopel 2k bathtub refinishing kit us</t>
  </si>
  <si>
    <t>ekopel 2k kit bathtub resurfacing and refinishing product</t>
  </si>
  <si>
    <t>ekopel roll on bathtub refinishing kit reviews</t>
  </si>
  <si>
    <t>el paso bathtub refinishing</t>
  </si>
  <si>
    <t>electrostatic bathtub refinishing</t>
  </si>
  <si>
    <t>elegant bathtub tile refinishing and reglazing services</t>
  </si>
  <si>
    <t>ellijay ga bathtub refinish</t>
  </si>
  <si>
    <t>enamal bathtub refinishing kit</t>
  </si>
  <si>
    <t>environmentally friendly bathtub refinishing in morris county</t>
  </si>
  <si>
    <t>environmentally friendly bathtub refinishing in nj</t>
  </si>
  <si>
    <t>epoxy bathtub refinish daytona beach</t>
  </si>
  <si>
    <t>epoxy bathtub refinish service</t>
  </si>
  <si>
    <t>epoxy enamel bathtub refinishing</t>
  </si>
  <si>
    <t>epoxy paint to refinish bathtubs</t>
  </si>
  <si>
    <t>epoxy refinish bathtub</t>
  </si>
  <si>
    <t>epoxy resin bathtub refinishing</t>
  </si>
  <si>
    <t>everett bathtub refinish</t>
  </si>
  <si>
    <t>evolving reglaze &amp; bathtub refinishing</t>
  </si>
  <si>
    <t>expert bathtub refinishing</t>
  </si>
  <si>
    <t>expert in bathtub refinishing</t>
  </si>
  <si>
    <t>farmington mo refinish bathtub</t>
  </si>
  <si>
    <t>fast curing bathtub refinisher</t>
  </si>
  <si>
    <t>fastest way to refinish bathtub</t>
  </si>
  <si>
    <t>fayetteville ar bathtub refinishing</t>
  </si>
  <si>
    <t>fiberglass bathtub refinish kit</t>
  </si>
  <si>
    <t>fiberglass bathtub refinishing atlanta</t>
  </si>
  <si>
    <t>fiberglass bathtub refinishing canby or</t>
  </si>
  <si>
    <t>fiberglass bathtub refinishing company</t>
  </si>
  <si>
    <t>fiberglass bathtub refinishing ct</t>
  </si>
  <si>
    <t>fiberglass bathtub refinishing delaware</t>
  </si>
  <si>
    <t>fiberglass bathtub refinishing indianapolis</t>
  </si>
  <si>
    <t>fiberglass bathtub refinishing kennewick</t>
  </si>
  <si>
    <t>fiberglass bathtub refinishing los angeles</t>
  </si>
  <si>
    <t>fiberglass bathtub refinishing near 15108</t>
  </si>
  <si>
    <t>fiberglass bathtub refinishing north hills</t>
  </si>
  <si>
    <t>fiberglass bathtub refinishing omaha ne</t>
  </si>
  <si>
    <t>fiberglass bathtub refinishing paint</t>
  </si>
  <si>
    <t>fiberglass bathtub refinishing phoenix az</t>
  </si>
  <si>
    <t>fiberglass bathtub refinishing prices</t>
  </si>
  <si>
    <t>fiberglass bathtub refinishing products</t>
  </si>
  <si>
    <t>fiberglass bathtub refinishing richland</t>
  </si>
  <si>
    <t>fiberglass bathtub refinishing san diego</t>
  </si>
  <si>
    <t>fiberglass bathtub refinishing stamford ct</t>
  </si>
  <si>
    <t>fiberglass bathtub refinishing tri-cities</t>
  </si>
  <si>
    <t>fiberglass bathtub repair and refinishing</t>
  </si>
  <si>
    <t>fibreglass bathtub refinishing</t>
  </si>
  <si>
    <t>find bathtub refinishing</t>
  </si>
  <si>
    <t>fine finish bathtub refinishing</t>
  </si>
  <si>
    <t>fl bathtub refinishing</t>
  </si>
  <si>
    <t>flex seal to refinish bathtub</t>
  </si>
  <si>
    <t>florence alabama bathtub refinishing</t>
  </si>
  <si>
    <t>florence bathtub refinishing huntsville al</t>
  </si>
  <si>
    <t>florida bathtub refinishing - tampa</t>
  </si>
  <si>
    <t>fort collins co bathtub refinish</t>
  </si>
  <si>
    <t>fort lauderdale bathtub refinishing</t>
  </si>
  <si>
    <t>fox valley bathtub refinishing reviews</t>
  </si>
  <si>
    <t>fox valley bathtub refinishing st charles il</t>
  </si>
  <si>
    <t>fox valley bathtub refinishing st charles il 60174</t>
  </si>
  <si>
    <t>framingham bathtub refinishing</t>
  </si>
  <si>
    <t>fresno bathtub refinishing</t>
  </si>
  <si>
    <t>full bathtub refinishing</t>
  </si>
  <si>
    <t>fumes from bathtub refinishing</t>
  </si>
  <si>
    <t>fumes from next door apartment bathtub refinishing</t>
  </si>
  <si>
    <t>gainesville florida bathtub refinishing</t>
  </si>
  <si>
    <t>gary j woodside az bathtub refinish</t>
  </si>
  <si>
    <t>gary woodside 623-692-8702 az bathtub refinishing</t>
  </si>
  <si>
    <t>gelcoat bathtub refinish</t>
  </si>
  <si>
    <t>gemini bathtub refinishing</t>
  </si>
  <si>
    <t>get bathtub refinished</t>
  </si>
  <si>
    <t>gfr bathtub refinishing nj</t>
  </si>
  <si>
    <t>gfr bathtub refinishing reviews</t>
  </si>
  <si>
    <t>glaze master bathtub refinishing chicago</t>
  </si>
  <si>
    <t>global refinishing &amp; bathtub modification</t>
  </si>
  <si>
    <t>global refinishing &amp; bathtub modification systems corp</t>
  </si>
  <si>
    <t>gnu bathtub refinishing</t>
  </si>
  <si>
    <t>good as new bathtub refinishing 920 spruce st winnipeg mb</t>
  </si>
  <si>
    <t>good as new bathtub refinishing winnipeg</t>
  </si>
  <si>
    <t>good as new bathtub refinishing winnipeg mb</t>
  </si>
  <si>
    <t>google reviews dallas bathtub refinishers</t>
  </si>
  <si>
    <t>grand rapids bathtub refinish facebook</t>
  </si>
  <si>
    <t>gray bathtub and tile refinishing kit</t>
  </si>
  <si>
    <t>gray bathtub refinish</t>
  </si>
  <si>
    <t>gray bathtub refinish kit</t>
  </si>
  <si>
    <t>gray bathtub refinishing</t>
  </si>
  <si>
    <t>green bathtub refinishing los angeles ca</t>
  </si>
  <si>
    <t>green bay bathtub refinishing</t>
  </si>
  <si>
    <t>greensboro bathtub refinishing</t>
  </si>
  <si>
    <t>greensboro bathtub refinishing greensboro nc</t>
  </si>
  <si>
    <t>grey bathtub refinishing kit</t>
  </si>
  <si>
    <t>groupon bathtub refinishing</t>
  </si>
  <si>
    <t>gulf sures bathtub refinishing</t>
  </si>
  <si>
    <t>halifax bathtub refinishing</t>
  </si>
  <si>
    <t>hawaii bathtub refinishing</t>
  </si>
  <si>
    <t>hawk industries bathtub refinishing</t>
  </si>
  <si>
    <t>hawk labs bathtub refinishing</t>
  </si>
  <si>
    <t>heiden bathtub refinishing</t>
  </si>
  <si>
    <t>hgtv bathtub refinishing</t>
  </si>
  <si>
    <t>hgtv show misissippi bathtub refinishing</t>
  </si>
  <si>
    <t>hgtv show mississippi bathtub refinishing</t>
  </si>
  <si>
    <t>high point bathtub refinishing</t>
  </si>
  <si>
    <t>hingham bathtub refinishing</t>
  </si>
  <si>
    <t>hiw much cost to refinish bathtub sacramento</t>
  </si>
  <si>
    <t>holbrook bathtub refinishing</t>
  </si>
  <si>
    <t>holliston bathtub refinishing</t>
  </si>
  <si>
    <t>homak bathtub refinish</t>
  </si>
  <si>
    <t>homax bathtub refinish</t>
  </si>
  <si>
    <t>homax bathtub refinishing kit reviews</t>
  </si>
  <si>
    <t>homax bathtub refinishing kit spray</t>
  </si>
  <si>
    <t>homax bathtub refinishing kit spray home depot</t>
  </si>
  <si>
    <t>homax bathtub refinishing kit spray lowes</t>
  </si>
  <si>
    <t>homax bathtub tile refinishing kit</t>
  </si>
  <si>
    <t>home bathtub refinishing kit</t>
  </si>
  <si>
    <t>home depot bathtub refinishing reviews</t>
  </si>
  <si>
    <t>home depot bathtub shower refinishing</t>
  </si>
  <si>
    <t>homestars bathtub refinishing</t>
  </si>
  <si>
    <t>homewood al bathtub refinishing</t>
  </si>
  <si>
    <t>homewyse refinish bathtub</t>
  </si>
  <si>
    <t>homeyse bathtub refinishing cost</t>
  </si>
  <si>
    <t>honolulu bathtub refinish</t>
  </si>
  <si>
    <t>hotel bathtub refinishing aurora</t>
  </si>
  <si>
    <t>hotel bathtub refinishing kentucky</t>
  </si>
  <si>
    <t>hotel bathtub refinishing rockford</t>
  </si>
  <si>
    <t>houston bathtub refinish</t>
  </si>
  <si>
    <t>houston bathtub refinishers</t>
  </si>
  <si>
    <t>houston bathtub refinishers houston tx</t>
  </si>
  <si>
    <t>houston bathtub refinishing pros</t>
  </si>
  <si>
    <t>houston bathtub refinishing reviews</t>
  </si>
  <si>
    <t>howto refinish bathtub</t>
  </si>
  <si>
    <t>hpw to refinish tile bathtube</t>
  </si>
  <si>
    <t>http ctbathtubrefinishing.com bathtub_refinishing_faq.html</t>
  </si>
  <si>
    <t>http miraclemethod.com bathtub-refinishing.htm</t>
  </si>
  <si>
    <t>http roomfortuesday.com bathtub-refinishing-101</t>
  </si>
  <si>
    <t>http www.bath-works.net bathtub-refinishing-videos.aspx</t>
  </si>
  <si>
    <t>http www.refinish-bathtub.com</t>
  </si>
  <si>
    <t>https edmondbathtubrefinishing.com best-do-it-yourself-bathtub-refinishing-kit</t>
  </si>
  <si>
    <t>https www.miraclemethod.com fiberglass-bathtub-refinishing.htm</t>
  </si>
  <si>
    <t>https www.yelp.com biz all-surface-renew-bathtub-refinishing-austin</t>
  </si>
  <si>
    <t>hvlp bathtub refinishing</t>
  </si>
  <si>
    <t>hvlp spray gun for bathtub refinishing</t>
  </si>
  <si>
    <t>i want to refinish my bathtub</t>
  </si>
  <si>
    <t>ideas to refinish bathtub walls</t>
  </si>
  <si>
    <t>images refinish cast iron bathtub</t>
  </si>
  <si>
    <t>indiana bathtub refinishing</t>
  </si>
  <si>
    <t>indianapolis bathtub refinishing indianapolis in</t>
  </si>
  <si>
    <t>instructions care of refinished bathtub</t>
  </si>
  <si>
    <t>instructions for refinished bathtub mats</t>
  </si>
  <si>
    <t>integrity bathtub refinish</t>
  </si>
  <si>
    <t>integrity bathtub refinish tx</t>
  </si>
  <si>
    <t>integrity bathtub refinishing coatings</t>
  </si>
  <si>
    <t>irish brothers bathtub and tile refinishing</t>
  </si>
  <si>
    <t>j &amp; j bathtub refinishing</t>
  </si>
  <si>
    <t>jackson bathtub refinishing</t>
  </si>
  <si>
    <t>jacksonville fl bathtub refinishing natural</t>
  </si>
  <si>
    <t>jacuzzi bathtub refinishing cary nc</t>
  </si>
  <si>
    <t>jd bathtub refinisher</t>
  </si>
  <si>
    <t>jeff's bathtub refinishing</t>
  </si>
  <si>
    <t>jefferson city bathtub refinishing</t>
  </si>
  <si>
    <t>jersey bathtub refinishing inc</t>
  </si>
  <si>
    <t>jersey bathtub refinishing inc reviews bbb</t>
  </si>
  <si>
    <t>jersey bathtub refinishing pennsauken nj</t>
  </si>
  <si>
    <t>jersey bathtub refinishing pennsauken township nj</t>
  </si>
  <si>
    <t>jersey bathtub refinishing reviews bbb</t>
  </si>
  <si>
    <t>jj bathtub refinishing</t>
  </si>
  <si>
    <t>jm bathtub refinishing</t>
  </si>
  <si>
    <t>jta bathtub refinishing</t>
  </si>
  <si>
    <t>julian's bathtub refinishing</t>
  </si>
  <si>
    <t>kalamazoo bathtub refinishing</t>
  </si>
  <si>
    <t>kansas city bathtub refinishing</t>
  </si>
  <si>
    <t>kansas city bathtub refinishing reviews</t>
  </si>
  <si>
    <t>katy tx bathtub refinish</t>
  </si>
  <si>
    <t>kauai bathtub refinishing</t>
  </si>
  <si>
    <t>kauai refinish bathtub</t>
  </si>
  <si>
    <t>ken's plumbing bathtub refinishing &amp; liner specialist rathdrum id</t>
  </si>
  <si>
    <t>king bathtub refinish</t>
  </si>
  <si>
    <t>kirkland bathtub refinishing repair training</t>
  </si>
  <si>
    <t>kitchen bathtub refinishing</t>
  </si>
  <si>
    <t>kitchen bathtub refinishing sugar land tx</t>
  </si>
  <si>
    <t>klein bathtub refinishing</t>
  </si>
  <si>
    <t>klenk's bathtub refinish paint review</t>
  </si>
  <si>
    <t>knoxville bathtub refinishing</t>
  </si>
  <si>
    <t>kohler bathtub refinishing</t>
  </si>
  <si>
    <t>learn to refinish bathtubs</t>
  </si>
  <si>
    <t>like new bathtub refinishers</t>
  </si>
  <si>
    <t>like new bathtub refinishing llc</t>
  </si>
  <si>
    <t>lincoln bathtub refinishing</t>
  </si>
  <si>
    <t>liquid porcelain bathtub refinishing products</t>
  </si>
  <si>
    <t>liquid tub liners bathtub refinishing diy kit 7.2 lbs</t>
  </si>
  <si>
    <t>liquid tub liners bathtub refinishing kit</t>
  </si>
  <si>
    <t>local bathtub refinishers 02132 west roxbury</t>
  </si>
  <si>
    <t>local bathtub refinishing los angeles ca</t>
  </si>
  <si>
    <t>local companies who refinish bathtubs</t>
  </si>
  <si>
    <t>local companies who refinish old bathtubs</t>
  </si>
  <si>
    <t>lockport bathtub refinishing</t>
  </si>
  <si>
    <t>los angeles bathtub refinishing los angeles ca</t>
  </si>
  <si>
    <t>low odor bathtub refinishing</t>
  </si>
  <si>
    <t>lowell bathtub refinishing</t>
  </si>
  <si>
    <t>ludington mi bathtub refinishing</t>
  </si>
  <si>
    <t>lynchburg va bathtub refinishing</t>
  </si>
  <si>
    <t>madison wi bathtub refinishing</t>
  </si>
  <si>
    <t>magic 16 oz bathtub and tile refinishing kit in white</t>
  </si>
  <si>
    <t>magic bathtub and tile refinishing kit</t>
  </si>
  <si>
    <t>magic bathtub and tile refinishing kit in white</t>
  </si>
  <si>
    <t>magic renew bathtub refinishing</t>
  </si>
  <si>
    <t>manuel bathtub and refinishing</t>
  </si>
  <si>
    <t>manuel bathtub and tile refinishing</t>
  </si>
  <si>
    <t>marble bathtub refinishing</t>
  </si>
  <si>
    <t>marble bathtub refinishing cost</t>
  </si>
  <si>
    <t>marblehead bathtub refinishing</t>
  </si>
  <si>
    <t>martes bathtub refinishing</t>
  </si>
  <si>
    <t>maryland bathtub refinishing companies</t>
  </si>
  <si>
    <t>massara bathtub refinishing</t>
  </si>
  <si>
    <t>master bathtub refinishing</t>
  </si>
  <si>
    <t>maynard bathtub refinishing</t>
  </si>
  <si>
    <t>medfield bathtub refinishing</t>
  </si>
  <si>
    <t>menards bathtub refinishing</t>
  </si>
  <si>
    <t>methylene chloride hazards for bathtub refinishers</t>
  </si>
  <si>
    <t>miami bathtub refinishing reviews</t>
  </si>
  <si>
    <t>michigan bathtub refinishing llc</t>
  </si>
  <si>
    <t>midwest bathtub refinishing</t>
  </si>
  <si>
    <t>mike's bathtub and tile refinishing</t>
  </si>
  <si>
    <t>millers bathtub refinishing</t>
  </si>
  <si>
    <t>milwaukee bathtub refinishing</t>
  </si>
  <si>
    <t>milwaukee bathtub refinishing cost</t>
  </si>
  <si>
    <t>minneapolis bathtub refinishing minneapolis mn</t>
  </si>
  <si>
    <t>miracle bathtub refinishing google reviews</t>
  </si>
  <si>
    <t>miracle bathtub refinishing sacramento</t>
  </si>
  <si>
    <t>miracle bathtub refinishing waco</t>
  </si>
  <si>
    <t>miracle method bathtub refinishing toxic</t>
  </si>
  <si>
    <t>miracle method bathtub refinishing vs aarco</t>
  </si>
  <si>
    <t>miracle method refinish your bathtub</t>
  </si>
  <si>
    <t>miracle method refinishing your bathtub</t>
  </si>
  <si>
    <t>miracle method reviews for bathtub refinishers</t>
  </si>
  <si>
    <t>mms bathtub refinishing</t>
  </si>
  <si>
    <t>mobile al bathtub refinishing</t>
  </si>
  <si>
    <t>mobile bathtub refinish los angeles</t>
  </si>
  <si>
    <t>mock up bathtub refinish project</t>
  </si>
  <si>
    <t>monroe products bathtub refinishing</t>
  </si>
  <si>
    <t>moore bathtub refinishing</t>
  </si>
  <si>
    <t>morris bathtub refinishing</t>
  </si>
  <si>
    <t>morris county bathtub refinishing</t>
  </si>
  <si>
    <t>most durable bathtub refinishing</t>
  </si>
  <si>
    <t>most lustre bathtub refinishing tampa</t>
  </si>
  <si>
    <t>most lustre llc bathtub &amp; tile refinishing</t>
  </si>
  <si>
    <t>mr tubbs wpg tub bathtub refinishing</t>
  </si>
  <si>
    <t>mr tubbs wpg tub bathtub refinishing winnipeg mb</t>
  </si>
  <si>
    <t>munro bathtub refinishing products</t>
  </si>
  <si>
    <t>munro bathtub refinishing review</t>
  </si>
  <si>
    <t>munroe products bathtub refinishing kit reviews</t>
  </si>
  <si>
    <t>naperville bathtub refinishing</t>
  </si>
  <si>
    <t>naples fl bathtub refinishing</t>
  </si>
  <si>
    <t>nashville bathtub refinishing</t>
  </si>
  <si>
    <t>nashville bathtub refinishing nashville tn</t>
  </si>
  <si>
    <t>national bathtub refinishers</t>
  </si>
  <si>
    <t>needham bathtub refinishing</t>
  </si>
  <si>
    <t>nelson bathtub refinishing</t>
  </si>
  <si>
    <t>nelson's bathtub refinish</t>
  </si>
  <si>
    <t>new england bathtub refinishing</t>
  </si>
  <si>
    <t>new generation bathtub refinishing</t>
  </si>
  <si>
    <t>new lenox bathtub refinishing</t>
  </si>
  <si>
    <t>new look restorations inc - bathtub refinishing service</t>
  </si>
  <si>
    <t>new look restorations inc bathtub refinishing service</t>
  </si>
  <si>
    <t>new orleans bathtub refinishing</t>
  </si>
  <si>
    <t>new surface bathtub refinishing sacramento</t>
  </si>
  <si>
    <t>new vision bathtub refinishing corpora</t>
  </si>
  <si>
    <t>new york new york bathtub refinishing reglazing</t>
  </si>
  <si>
    <t>newport news bathtub refinishing</t>
  </si>
  <si>
    <t>nguyen kitchen and bathtub refinishing</t>
  </si>
  <si>
    <t>nh bathtub refinishing</t>
  </si>
  <si>
    <t>niagara bathtub refinishing inc</t>
  </si>
  <si>
    <t>niagara bathtub refinishing reviews</t>
  </si>
  <si>
    <t>nj bathtub refinishing &amp; tile reglazing</t>
  </si>
  <si>
    <t>nj bathtub refinishing &amp; tile reglazing fair lawn nj</t>
  </si>
  <si>
    <t>nj bathtub refinishing &amp;amp</t>
  </si>
  <si>
    <t>nj refinishing tile &amp; bathtub reglazing homeadvisor</t>
  </si>
  <si>
    <t>nj refinishing tile &amp; bathtub reglazing newark nj</t>
  </si>
  <si>
    <t>nj refinishing tile bathtub reglazing</t>
  </si>
  <si>
    <t>no spray bathtub refinishing</t>
  </si>
  <si>
    <t>non toxic bathtub refinish</t>
  </si>
  <si>
    <t>north billerica bathtub refinishing</t>
  </si>
  <si>
    <t>northeast ohio bathtub refinishing</t>
  </si>
  <si>
    <t>northern virginia bathtub refinishing</t>
  </si>
  <si>
    <t>norwalk ct bathtub refinishing</t>
  </si>
  <si>
    <t>nu look bathtub refinishing lynchburg va</t>
  </si>
  <si>
    <t>nu-coat bathtub refinishing reviews</t>
  </si>
  <si>
    <t>nyc bathtub refinish</t>
  </si>
  <si>
    <t>nyc bathtub refinishing new york city ny</t>
  </si>
  <si>
    <t>oahu bathtub refinishing</t>
  </si>
  <si>
    <t>oc bathtub refinishing</t>
  </si>
  <si>
    <t>odorless bathtub refinish chicago</t>
  </si>
  <si>
    <t>odorless bathtub refinishing dc</t>
  </si>
  <si>
    <t>oh bathtub refinishing</t>
  </si>
  <si>
    <t>okc bathtub refinishers</t>
  </si>
  <si>
    <t>omaha bathtub refinish</t>
  </si>
  <si>
    <t>omaha refinishing bathtub</t>
  </si>
  <si>
    <t>one day bathtub refinishing reviews</t>
  </si>
  <si>
    <t>one day bathtub refinishing san jose</t>
  </si>
  <si>
    <t>one day bathtub refinishing san jose ca</t>
  </si>
  <si>
    <t>one piece bathtub refinishing kit</t>
  </si>
  <si>
    <t>one piece bathtub surround how to refinish</t>
  </si>
  <si>
    <t>one piece bathtub surround refinish</t>
  </si>
  <si>
    <t>orange beach bathtub refinishing</t>
  </si>
  <si>
    <t>orland park bathtub refinishing</t>
  </si>
  <si>
    <t>orlando bathtub refinishing</t>
  </si>
  <si>
    <t>osha bathtub refinishing</t>
  </si>
  <si>
    <t>pabrec bathtub refinishing</t>
  </si>
  <si>
    <t>paint bathtub refinishing refinishing bathtub bathtub refinishing training</t>
  </si>
  <si>
    <t>paint for refinishing bathtub</t>
  </si>
  <si>
    <t>paint on bathtub refinish</t>
  </si>
  <si>
    <t>patented bathtub refinishing</t>
  </si>
  <si>
    <t>peabody bathtub refinishing</t>
  </si>
  <si>
    <t>people who refinish old bathtubs in southwestern colorado</t>
  </si>
  <si>
    <t>performance tub and tile bathtub refinishing and repair</t>
  </si>
  <si>
    <t>perma bathtub refinishing</t>
  </si>
  <si>
    <t>perma bathtub refinishing facebook</t>
  </si>
  <si>
    <t>perma bathtub refinishing pa facebook</t>
  </si>
  <si>
    <t>perma finish bathtub &amp; tile refinishing</t>
  </si>
  <si>
    <t>perma glaze bathtub refinishing cost</t>
  </si>
  <si>
    <t>perma-glaze bathtub refinishing</t>
  </si>
  <si>
    <t>permaglaze bathtub refinishing</t>
  </si>
  <si>
    <t>pete bathtub refinishing &amp; repair</t>
  </si>
  <si>
    <t>peter's bathtub refinishing &amp; regla</t>
  </si>
  <si>
    <t>pgr training school bathtub refinishing reglazing</t>
  </si>
  <si>
    <t>phil massara bathtub refinish</t>
  </si>
  <si>
    <t>philadelphia bathtub refinishing philadelphia pa</t>
  </si>
  <si>
    <t>phoenix bathtub refinishing</t>
  </si>
  <si>
    <t>phoenix bathtub refinishing phoenix az</t>
  </si>
  <si>
    <t>phoenix bathtub refinishing pros</t>
  </si>
  <si>
    <t>photos of refinished bathtubs</t>
  </si>
  <si>
    <t>pics refinished bathtubs drain</t>
  </si>
  <si>
    <t>pics refinished bathtubs peeling</t>
  </si>
  <si>
    <t>pilot mountain bathtub refinishing</t>
  </si>
  <si>
    <t>pittsburgh bathtub refinishers</t>
  </si>
  <si>
    <t>pittsburgh bathtub refinishing bethel park pa 15102</t>
  </si>
  <si>
    <t>places that refinish bathtubs</t>
  </si>
  <si>
    <t>plainfield bathtub refinishing</t>
  </si>
  <si>
    <t>plastic bathtub refinish</t>
  </si>
  <si>
    <t>plastic bathtub refinishing miracle method</t>
  </si>
  <si>
    <t>plastic bathtub refinishing paint</t>
  </si>
  <si>
    <t>pmca bathtub &amp; tile refinishing specialist</t>
  </si>
  <si>
    <t>pmca bathtub &amp; tile refinishing specialist lowell ma</t>
  </si>
  <si>
    <t>polyester coatings bathtubs refinishing</t>
  </si>
  <si>
    <t>polyester gel coat for bathtub refinish</t>
  </si>
  <si>
    <t>polymer bathtub refinishing</t>
  </si>
  <si>
    <t>polyurethane for refinishing a bathtub</t>
  </si>
  <si>
    <t>polyurethane good for refinishing a bathtub</t>
  </si>
  <si>
    <t>porcelain bathtub colors refinish</t>
  </si>
  <si>
    <t>porcelain bathtub refinishers</t>
  </si>
  <si>
    <t>porcelain bathtub refinishing in jacksonville fl</t>
  </si>
  <si>
    <t>porcelain bathtub refinishing kansas city</t>
  </si>
  <si>
    <t>porcelain bathtub refinishing los angeles</t>
  </si>
  <si>
    <t>porcelain bathtub refinishing louisville</t>
  </si>
  <si>
    <t>porcelain bathtub refinishing north hills</t>
  </si>
  <si>
    <t>porcelain bathtub refinishing products</t>
  </si>
  <si>
    <t>porcelain bathtub refinishing richland</t>
  </si>
  <si>
    <t>porcelain bathtub refinishing tri-cities</t>
  </si>
  <si>
    <t>porcelain enamel bathtub refinishing</t>
  </si>
  <si>
    <t>porcelain enamel finish bathtub refinishing</t>
  </si>
  <si>
    <t>porcelain refinish bathtubs</t>
  </si>
  <si>
    <t>porcelian bathtub refinishing</t>
  </si>
  <si>
    <t>porcelite bathtub refinishing reviews</t>
  </si>
  <si>
    <t>portland bathtub refinishing</t>
  </si>
  <si>
    <t>portland bathtub refinishing portland or</t>
  </si>
  <si>
    <t>portland oregon bathtub refinishers</t>
  </si>
  <si>
    <t>portsmouth ohio bathtub refinish</t>
  </si>
  <si>
    <t>powell &amp; sons bathtub refinishing</t>
  </si>
  <si>
    <t>powell and sons bathtub refinishing reviews</t>
  </si>
  <si>
    <t>ppg homeex bathtub refinishing</t>
  </si>
  <si>
    <t>premier bathtub refinishers</t>
  </si>
  <si>
    <t>premier bathtub refinishing</t>
  </si>
  <si>
    <t>premier glaze bathtub refinishing llc</t>
  </si>
  <si>
    <t>premium.bathtub refinishing kit</t>
  </si>
  <si>
    <t>prestige bathtub refinishing bbb</t>
  </si>
  <si>
    <t>prestige bathtub refinishing charlotte nc</t>
  </si>
  <si>
    <t>prestige bathtub refinishing company reviews</t>
  </si>
  <si>
    <t>prestige bathtub refinishing dallas reviews</t>
  </si>
  <si>
    <t>prestige bathtub refinishing in queens ny</t>
  </si>
  <si>
    <t>prestige bathtub refinishing mn review</t>
  </si>
  <si>
    <t>prestige bathtub refinishing phoenix</t>
  </si>
  <si>
    <t>prestige bathtub refinishing.com chicago</t>
  </si>
  <si>
    <t>price of refinishing bathtub</t>
  </si>
  <si>
    <t>price to refinish bathtub</t>
  </si>
  <si>
    <t>prime bathtub and tiles refinishing reviews</t>
  </si>
  <si>
    <t>princeton bathtub refinishing</t>
  </si>
  <si>
    <t>pro bathtub refinishing inc</t>
  </si>
  <si>
    <t>process of bathtub refinishing</t>
  </si>
  <si>
    <t>product to refinish bathtub</t>
  </si>
  <si>
    <t>professional bathtub refinishers association reviews</t>
  </si>
  <si>
    <t>professional bathtub refinishing clear lake tx</t>
  </si>
  <si>
    <t>professional bathtub refinishing grants pass or</t>
  </si>
  <si>
    <t>professional bathtub refinishing houston tx</t>
  </si>
  <si>
    <t>professional bathtub refinishing huntington wv</t>
  </si>
  <si>
    <t>professional bathtub refinishing in arlington</t>
  </si>
  <si>
    <t>professional bathtub refinishing in carrollton</t>
  </si>
  <si>
    <t>professional bathtub refinishing in dallas</t>
  </si>
  <si>
    <t>professional bathtub refinishing in frisco</t>
  </si>
  <si>
    <t>professional bathtub refinishing in garland</t>
  </si>
  <si>
    <t>professional bathtub refinishing in grand prairie</t>
  </si>
  <si>
    <t>professional bathtub refinishing in irving</t>
  </si>
  <si>
    <t>professional bathtub refinishing in mckinney</t>
  </si>
  <si>
    <t>professional bathtub refinishing in mesquite</t>
  </si>
  <si>
    <t>professional bathtub refinishing in plano</t>
  </si>
  <si>
    <t>professional bathtub refinishing in richardson</t>
  </si>
  <si>
    <t>professional bathtub refinishing jacksonville fl</t>
  </si>
  <si>
    <t>professional bathtub refinishing katy tx</t>
  </si>
  <si>
    <t>professional bathtub refinishing las vegas nv</t>
  </si>
  <si>
    <t>professional bathtub refinishing paint</t>
  </si>
  <si>
    <t>professional bathtub refinishing paint coatings</t>
  </si>
  <si>
    <t>professional bathtub refinishing spring tx</t>
  </si>
  <si>
    <t>professional bathtub refinishing sugarland tx</t>
  </si>
  <si>
    <t>professional bathtub refinishing supplies</t>
  </si>
  <si>
    <t>professional bathtub refinishing training course</t>
  </si>
  <si>
    <t>professional bathtub shower refinishing</t>
  </si>
  <si>
    <t>professional bathtub shower refinishing companies in colorado springs</t>
  </si>
  <si>
    <t>professional bathtub shower refinishing services near me</t>
  </si>
  <si>
    <t>professional grade bathtub refinishing kit</t>
  </si>
  <si>
    <t>professional refinish bathtub</t>
  </si>
  <si>
    <t>professional refinishing bathtub</t>
  </si>
  <si>
    <t>pros and cons of refinishing a bathtub</t>
  </si>
  <si>
    <t>protech bathtub refinishing</t>
  </si>
  <si>
    <t>protech recoating - bathtub and tile refinishing</t>
  </si>
  <si>
    <t>protub refinish bathtub refinishing</t>
  </si>
  <si>
    <t>protub refinish bathtub refinishing &amp; reglazing norwalk ca</t>
  </si>
  <si>
    <t>providence bathtub refinishing providence ri</t>
  </si>
  <si>
    <t>quality 1 bathtub refinishing montreal</t>
  </si>
  <si>
    <t>quality bathtub refinishing - professional bathtub refinishing company</t>
  </si>
  <si>
    <t>quality bathtub refinishing reglazing</t>
  </si>
  <si>
    <t>rainbow bathtub refinishers kapolei hi</t>
  </si>
  <si>
    <t>reddit refinishing bathtub</t>
  </si>
  <si>
    <t>reed city mi bathtub refinishing</t>
  </si>
  <si>
    <t>refined bathtub mats for inside refinished tub</t>
  </si>
  <si>
    <t>refinish a acrylic bathtub</t>
  </si>
  <si>
    <t>refinish a bathtub and shower</t>
  </si>
  <si>
    <t>refinish a bathtub kit</t>
  </si>
  <si>
    <t>refinish a bathtub with rustoleum</t>
  </si>
  <si>
    <t>refinish a bathtub with rustoleum paint spraery</t>
  </si>
  <si>
    <t>refinish a bathtub with rustoleum paint sprayer</t>
  </si>
  <si>
    <t>refinish a clawfoot bathtub</t>
  </si>
  <si>
    <t>refinish a fiberglasd bathtub</t>
  </si>
  <si>
    <t>refinish a plastic bathtub and surround</t>
  </si>
  <si>
    <t>refinish a porcelain bathtub</t>
  </si>
  <si>
    <t>refinish a previously painted bathtub</t>
  </si>
  <si>
    <t>refinish a steel bathtub</t>
  </si>
  <si>
    <t>refinish an old bathtub</t>
  </si>
  <si>
    <t>refinish antique bathtub</t>
  </si>
  <si>
    <t>refinish bathtub and surround</t>
  </si>
  <si>
    <t>refinish bathtub and surround cost</t>
  </si>
  <si>
    <t>refinish bathtub and tile fort lee nj</t>
  </si>
  <si>
    <t>refinish bathtub apartment</t>
  </si>
  <si>
    <t>refinish bathtub arlington</t>
  </si>
  <si>
    <t>refinish bathtub astoria ny</t>
  </si>
  <si>
    <t>refinish bathtub before or after room</t>
  </si>
  <si>
    <t>refinish bathtub boise</t>
  </si>
  <si>
    <t>refinish bathtub bottom</t>
  </si>
  <si>
    <t>refinish bathtub braselton</t>
  </si>
  <si>
    <t>refinish bathtub buffalo ny</t>
  </si>
  <si>
    <t>refinish bathtub buford</t>
  </si>
  <si>
    <t>refinish bathtub charlotte nc</t>
  </si>
  <si>
    <t>refinish bathtub clawfoot</t>
  </si>
  <si>
    <t>refinish bathtub clifton nj</t>
  </si>
  <si>
    <t>refinish bathtub color</t>
  </si>
  <si>
    <t>refinish bathtub contractor</t>
  </si>
  <si>
    <t>refinish bathtub cost 89120</t>
  </si>
  <si>
    <t>refinish bathtub cumming</t>
  </si>
  <si>
    <t>refinish bathtub dacula</t>
  </si>
  <si>
    <t>refinish bathtub dallas</t>
  </si>
  <si>
    <t>refinish bathtub enamel</t>
  </si>
  <si>
    <t>refinish bathtub epoxy</t>
  </si>
  <si>
    <t>refinish bathtub faq</t>
  </si>
  <si>
    <t>refinish bathtub faucet spout</t>
  </si>
  <si>
    <t>refinish bathtub floor</t>
  </si>
  <si>
    <t>refinish bathtub home depot</t>
  </si>
  <si>
    <t>refinish bathtub hood river or</t>
  </si>
  <si>
    <t>refinish bathtub in savannah</t>
  </si>
  <si>
    <t>refinish bathtub kit sherman williams</t>
  </si>
  <si>
    <t>refinish bathtub kits</t>
  </si>
  <si>
    <t>refinish bathtub lawrenceville</t>
  </si>
  <si>
    <t>refinish bathtub madison indiana</t>
  </si>
  <si>
    <t>refinish bathtub malden ma</t>
  </si>
  <si>
    <t>refinish bathtub maryland</t>
  </si>
  <si>
    <t>refinish bathtub miami</t>
  </si>
  <si>
    <t>refinish bathtub near 98424</t>
  </si>
  <si>
    <t>refinish bathtub oakland</t>
  </si>
  <si>
    <t>refinish bathtub ohio</t>
  </si>
  <si>
    <t>refinish bathtub or replace</t>
  </si>
  <si>
    <t>refinish bathtub orem</t>
  </si>
  <si>
    <t>refinish bathtub paint type</t>
  </si>
  <si>
    <t>refinish bathtub portland</t>
  </si>
  <si>
    <t>refinish bathtub pricing</t>
  </si>
  <si>
    <t>refinish bathtub provo</t>
  </si>
  <si>
    <t>refinish bathtub resin vs ep</t>
  </si>
  <si>
    <t>refinish bathtub reviews</t>
  </si>
  <si>
    <t>refinish bathtub ri</t>
  </si>
  <si>
    <t>refinish bathtub richmond va</t>
  </si>
  <si>
    <t>refinish bathtub rustoleum</t>
  </si>
  <si>
    <t>refinish bathtub salt lake city</t>
  </si>
  <si>
    <t>refinish bathtub salt lake city utah</t>
  </si>
  <si>
    <t>refinish bathtub san jose area</t>
  </si>
  <si>
    <t>refinish bathtub santa rosa</t>
  </si>
  <si>
    <t>refinish bathtub second time</t>
  </si>
  <si>
    <t>refinish bathtub shopping list</t>
  </si>
  <si>
    <t>refinish bathtub shower combo</t>
  </si>
  <si>
    <t>refinish bathtub shower fiberglass porcelain aerosol spray</t>
  </si>
  <si>
    <t>refinish bathtub spokane</t>
  </si>
  <si>
    <t>refinish bathtub spray kit</t>
  </si>
  <si>
    <t>refinish bathtub springfield mo</t>
  </si>
  <si>
    <t>refinish bathtub st pete fl</t>
  </si>
  <si>
    <t>refinish bathtub surface</t>
  </si>
  <si>
    <t>refinish bathtub surround</t>
  </si>
  <si>
    <t>refinish bathtub tallahassee</t>
  </si>
  <si>
    <t>refinish bathtub tile</t>
  </si>
  <si>
    <t>refinish bathtub time</t>
  </si>
  <si>
    <t>refinish bathtub utah</t>
  </si>
  <si>
    <t>refinish bathtub waco tx</t>
  </si>
  <si>
    <t>refinish bathtub what do i clean with</t>
  </si>
  <si>
    <t>refinish bathtub wichita ks</t>
  </si>
  <si>
    <t>refinish bathtub with fiberglass marine paint</t>
  </si>
  <si>
    <t>refinish bathtub with resin</t>
  </si>
  <si>
    <t>refinish bathtub with rust-oleum tub and tile refinishing</t>
  </si>
  <si>
    <t>refinish bathtub with rusted drain</t>
  </si>
  <si>
    <t>refinish bathtub yelp</t>
  </si>
  <si>
    <t>refinish bathtub youtube</t>
  </si>
  <si>
    <t>refinish bathtubs anaheim ca</t>
  </si>
  <si>
    <t>refinish bathtubs and countertops</t>
  </si>
  <si>
    <t>refinish bathtubs and countertops maine</t>
  </si>
  <si>
    <t>refinish bathtubs and tile wall</t>
  </si>
  <si>
    <t>refinish bathtubs in san antonio</t>
  </si>
  <si>
    <t>refinish bathtubs in springfield missouri</t>
  </si>
  <si>
    <t>refinish bathtubs knoxville</t>
  </si>
  <si>
    <t>refinish bathtubs los angeles ca</t>
  </si>
  <si>
    <t>refinish bathtubs riverside ca</t>
  </si>
  <si>
    <t>refinish bathtubs site youtube.com</t>
  </si>
  <si>
    <t>refinish bathtubs watertown ma</t>
  </si>
  <si>
    <t>refinish bottom of bathtub</t>
  </si>
  <si>
    <t>refinish cast bathtub</t>
  </si>
  <si>
    <t>refinish cast iron bathtub cost</t>
  </si>
  <si>
    <t>refinish cast iron bathtub nz</t>
  </si>
  <si>
    <t>refinish cast iron bathtub tucson az</t>
  </si>
  <si>
    <t>refinish cast iron clawfoot bathtub</t>
  </si>
  <si>
    <t>refinish chipped bathtub</t>
  </si>
  <si>
    <t>refinish composite bathtub</t>
  </si>
  <si>
    <t>refinish copper bathtub</t>
  </si>
  <si>
    <t>refinish copper epoxy bathtub</t>
  </si>
  <si>
    <t>refinish cultured marble bathtub</t>
  </si>
  <si>
    <t>refinish cultured marble bathtub craigslist</t>
  </si>
  <si>
    <t>refinish enameled bathtub</t>
  </si>
  <si>
    <t>refinish fiberglass bathtub cost</t>
  </si>
  <si>
    <t>refinish fiberglass bathtub shower</t>
  </si>
  <si>
    <t>refinish fiberglass bathtub toms river nj</t>
  </si>
  <si>
    <t>refinish fiberglass bathtub yourself</t>
  </si>
  <si>
    <t>refinish fiberglass bathtubs</t>
  </si>
  <si>
    <t>refinish gel coat on bathtub</t>
  </si>
  <si>
    <t>refinish marble bathtub</t>
  </si>
  <si>
    <t>refinish mid century 57 inch bathtub</t>
  </si>
  <si>
    <t>refinish mrble bathtub</t>
  </si>
  <si>
    <t>refinish old cast iron bathtub</t>
  </si>
  <si>
    <t>refinish old clawfoot bathtub</t>
  </si>
  <si>
    <t>refinish painree bathtub</t>
  </si>
  <si>
    <t>refinish pocelin bathtub</t>
  </si>
  <si>
    <t>refinish pocelin bathtub buffing</t>
  </si>
  <si>
    <t>refinish porcelain bathtubs</t>
  </si>
  <si>
    <t>refinish porcelain coated bathtub</t>
  </si>
  <si>
    <t>refinish porcelain coating iron bathtub</t>
  </si>
  <si>
    <t>refinish porcelin bathtubs</t>
  </si>
  <si>
    <t>refinish professionals porcelain coating iron bathtub</t>
  </si>
  <si>
    <t>refinish professionals porcelain coating iron bathtub 29412</t>
  </si>
  <si>
    <t>refinish resurface bathtub</t>
  </si>
  <si>
    <t>refinish resurface rusted bathtub</t>
  </si>
  <si>
    <t>refinish scratched bathtub</t>
  </si>
  <si>
    <t>refinish tile and bathtub tulsa</t>
  </si>
  <si>
    <t>refinish tiled bathtub</t>
  </si>
  <si>
    <t>refinish vinyl bathtub</t>
  </si>
  <si>
    <t>refinish vs paint bathtub</t>
  </si>
  <si>
    <t>refinish your bathtub cost</t>
  </si>
  <si>
    <t>refinish your bathtub yourself</t>
  </si>
  <si>
    <t>refinish your old bathtub</t>
  </si>
  <si>
    <t>refinished bathtub applique</t>
  </si>
  <si>
    <t>refinished bathtub came out yellow</t>
  </si>
  <si>
    <t>refinished bathtub care</t>
  </si>
  <si>
    <t>refinished bathtub chips</t>
  </si>
  <si>
    <t>refinished bathtub cleaning</t>
  </si>
  <si>
    <t>refinished bathtub is peeling</t>
  </si>
  <si>
    <t>refinished bathtub lifespan</t>
  </si>
  <si>
    <t>refinished bathtub patch</t>
  </si>
  <si>
    <t>refinished bathtub reviews</t>
  </si>
  <si>
    <t>refinished bathtub with shower surround cleaner</t>
  </si>
  <si>
    <t>refinished bathtubs for sale</t>
  </si>
  <si>
    <t>refinished clawfoot bathtub</t>
  </si>
  <si>
    <t>refinished reglazed bathtub curtain</t>
  </si>
  <si>
    <t>refinished reglazed bathtub magnetic</t>
  </si>
  <si>
    <t>refinishing a bathtub and tile</t>
  </si>
  <si>
    <t>refinishing a bathtub dangerous</t>
  </si>
  <si>
    <t>refinishing a bathtub dangers</t>
  </si>
  <si>
    <t>refinishing a bathtub do it yourself</t>
  </si>
  <si>
    <t>refinishing a bathtub home depot</t>
  </si>
  <si>
    <t>refinishing a bathtub in toronto</t>
  </si>
  <si>
    <t>refinishing a bathtub near me</t>
  </si>
  <si>
    <t>refinishing a bathtub youtube</t>
  </si>
  <si>
    <t>refinishing a clawfoot bathtub</t>
  </si>
  <si>
    <t>refinishing a refinished bathtub</t>
  </si>
  <si>
    <t>refinishing acrylic bathtub</t>
  </si>
  <si>
    <t>refinishing an acrylic bathtub long term</t>
  </si>
  <si>
    <t>refinishing an enamel bathtub</t>
  </si>
  <si>
    <t>refinishing bathtub and surround kit</t>
  </si>
  <si>
    <t>refinishing bathtub and tile walls</t>
  </si>
  <si>
    <t>refinishing bathtub buffalo ny</t>
  </si>
  <si>
    <t>refinishing bathtub companies</t>
  </si>
  <si>
    <t>refinishing bathtub company</t>
  </si>
  <si>
    <t>refinishing bathtub contractor st peters mo</t>
  </si>
  <si>
    <t>refinishing bathtub diy</t>
  </si>
  <si>
    <t>refinishing bathtub eith gravity feed gun</t>
  </si>
  <si>
    <t>refinishing bathtub enamel</t>
  </si>
  <si>
    <t>refinishing bathtub fumes</t>
  </si>
  <si>
    <t>refinishing bathtub glaze</t>
  </si>
  <si>
    <t>refinishing bathtub huntsville al</t>
  </si>
  <si>
    <t>refinishing bathtub in alb nm</t>
  </si>
  <si>
    <t>refinishing bathtub in tampa</t>
  </si>
  <si>
    <t>refinishing bathtub kissimmee</t>
  </si>
  <si>
    <t>refinishing bathtub kit lowes</t>
  </si>
  <si>
    <t>refinishing bathtub lead</t>
  </si>
  <si>
    <t>refinishing bathtub lowes</t>
  </si>
  <si>
    <t>refinishing bathtub manchester township nj</t>
  </si>
  <si>
    <t>refinishing bathtub mesa 85202</t>
  </si>
  <si>
    <t>refinishing bathtub mn</t>
  </si>
  <si>
    <t>refinishing bathtub paint</t>
  </si>
  <si>
    <t>refinishing bathtub painting</t>
  </si>
  <si>
    <t>refinishing bathtub phoenix</t>
  </si>
  <si>
    <t>refinishing bathtub phoenix az</t>
  </si>
  <si>
    <t>refinishing bathtub pregnant</t>
  </si>
  <si>
    <t>refinishing bathtub products</t>
  </si>
  <si>
    <t>refinishing bathtub pros and cons</t>
  </si>
  <si>
    <t>refinishing bathtub reddit</t>
  </si>
  <si>
    <t>refinishing bathtub salt lake city</t>
  </si>
  <si>
    <t>refinishing bathtub while pregnant</t>
  </si>
  <si>
    <t>refinishing bathtub youtube</t>
  </si>
  <si>
    <t>refinishing bathtubs and showers diy</t>
  </si>
  <si>
    <t>refinishing bathtubs and sinks</t>
  </si>
  <si>
    <t>refinishing bathtubs dallas tx</t>
  </si>
  <si>
    <t>refinishing bathtubs in st.louis</t>
  </si>
  <si>
    <t>refinishing bathtubs kona hi</t>
  </si>
  <si>
    <t>refinishing bathtubs ottawa</t>
  </si>
  <si>
    <t>refinishing bathtubs reviews</t>
  </si>
  <si>
    <t>refinishing bathtubs toronto</t>
  </si>
  <si>
    <t>refinishing bathtubs with rust</t>
  </si>
  <si>
    <t>refinishing bottom of bathtub san jose ca</t>
  </si>
  <si>
    <t>refinishing bottom of bathtubs</t>
  </si>
  <si>
    <t>refinishing cast iron bathtub kit</t>
  </si>
  <si>
    <t>refinishing cast iron bathtubs tutorial videos</t>
  </si>
  <si>
    <t>refinishing cast iron clawfoot bathtub</t>
  </si>
  <si>
    <t>refinishing ceramic bathtub</t>
  </si>
  <si>
    <t>refinishing claw bathtubs</t>
  </si>
  <si>
    <t>refinishing counters tile and bathtubs we do not refinish cabinets</t>
  </si>
  <si>
    <t>refinishing enamel bathtub</t>
  </si>
  <si>
    <t>refinishing enamel bathtubs</t>
  </si>
  <si>
    <t>refinishing fiberglass bathtub diy</t>
  </si>
  <si>
    <t>refinishing fiberglass bathtubs do yourself</t>
  </si>
  <si>
    <t>refinishing gold bathtub hardware</t>
  </si>
  <si>
    <t>refinishing iron bathtub</t>
  </si>
  <si>
    <t>refinishing kit bathtub</t>
  </si>
  <si>
    <t>refinishing kit for bathtubs</t>
  </si>
  <si>
    <t>refinishing kit for plastic bathtub</t>
  </si>
  <si>
    <t>refinishing old bathtub westchester ny</t>
  </si>
  <si>
    <t>refinishing porcelain bathtubs diy</t>
  </si>
  <si>
    <t>refinishing pros bathtub and tile</t>
  </si>
  <si>
    <t>refinishing spray for bathtub</t>
  </si>
  <si>
    <t>refinishing vintage bathtubs</t>
  </si>
  <si>
    <t>refinishing your bathtub yourself</t>
  </si>
  <si>
    <t>refinishing your iron cast bathtub</t>
  </si>
  <si>
    <t>refinishing your own bathtub</t>
  </si>
  <si>
    <t>refinishings bathtub and kitchen counter top</t>
  </si>
  <si>
    <t>refresh bathtub with safe refinishing</t>
  </si>
  <si>
    <t>reglaze america evansville bathtub refinishing tub reglazing</t>
  </si>
  <si>
    <t>reglaze it now bathtub tile refinishing</t>
  </si>
  <si>
    <t>reglaze it now bathtub tile refinishing clovis ca</t>
  </si>
  <si>
    <t>reglaze it right bathtub refinishing</t>
  </si>
  <si>
    <t>reglaze refinish bathtub in buford ga</t>
  </si>
  <si>
    <t>reliant bathtub refinishing</t>
  </si>
  <si>
    <t>removing glass enclosure from a refinished bathtub</t>
  </si>
  <si>
    <t>renew bathtub &amp; sink refinishing</t>
  </si>
  <si>
    <t>renew bathtub refinishing bonney lake</t>
  </si>
  <si>
    <t>renew bathtub refinishing home depot</t>
  </si>
  <si>
    <t>renew bathtub refinishing kit</t>
  </si>
  <si>
    <t>reno bathtub refinishing</t>
  </si>
  <si>
    <t>renov8 - bathtub refinishing charlotte nc</t>
  </si>
  <si>
    <t>renov8 bathtub refinishing fayetteville</t>
  </si>
  <si>
    <t>renov8 bathtub refinishing raleigh nc</t>
  </si>
  <si>
    <t>rental property bathtub refinishing</t>
  </si>
  <si>
    <t>renu bathtub refinishing</t>
  </si>
  <si>
    <t>repairing a refinished bathtub</t>
  </si>
  <si>
    <t>resin to refinish bathtub</t>
  </si>
  <si>
    <t>restoration refinishing bathtub refinisher bathtub refinishing materials</t>
  </si>
  <si>
    <t>restore refinish fiberglass bathtub</t>
  </si>
  <si>
    <t>restore refinish porcelain bathtub</t>
  </si>
  <si>
    <t>resurface vs refinish bathtub</t>
  </si>
  <si>
    <t>resurfacing products porcelain bathtubs bathtub refinisher glazing a tub</t>
  </si>
  <si>
    <t>review bathtub refinishing</t>
  </si>
  <si>
    <t>reviews bathtub refinishing</t>
  </si>
  <si>
    <t>reviews bathtub refinishing ne</t>
  </si>
  <si>
    <t>reviews bathtub refinishing near me</t>
  </si>
  <si>
    <t>reviews for miracle method bathtub refinishers</t>
  </si>
  <si>
    <t>reviews miracle method bathtub refinishing</t>
  </si>
  <si>
    <t>reviews on american bathtub refinishers</t>
  </si>
  <si>
    <t>reviews refinishing kit bathtubs</t>
  </si>
  <si>
    <t>richmond bathtub refinishing</t>
  </si>
  <si>
    <t>richmond va bathtub refinishing</t>
  </si>
  <si>
    <t>rick malatesta bathtub refinishing</t>
  </si>
  <si>
    <t>ricks bathtub refinishing 02072</t>
  </si>
  <si>
    <t>ricks bathtub refinishing 02301</t>
  </si>
  <si>
    <t>rise and shine bathtub refinishing</t>
  </si>
  <si>
    <t>rise and shine bathtub refinishing 440-308-8345</t>
  </si>
  <si>
    <t>rise-n-shine bathtub and tile refinishing cleveland oh</t>
  </si>
  <si>
    <t>risenshine bathtub &amp; tile refinishing</t>
  </si>
  <si>
    <t>ritco bathtub refinishing and surface repair company</t>
  </si>
  <si>
    <t>rochester bathtub refinishing</t>
  </si>
  <si>
    <t>rochester mn bathtub refinishing</t>
  </si>
  <si>
    <t>rochester ny clawfoot bathtub refinishing</t>
  </si>
  <si>
    <t>rockport texas bathtub refinishing</t>
  </si>
  <si>
    <t>romeoville bathtub refinishing</t>
  </si>
  <si>
    <t>rons bathtub refinishing</t>
  </si>
  <si>
    <t>rons bathtub refinishing pensacola</t>
  </si>
  <si>
    <t>rosin to refinish bathtub</t>
  </si>
  <si>
    <t>rubber duck bathtub refinishing</t>
  </si>
  <si>
    <t>rust oleum bathtub refinishing kit reviews</t>
  </si>
  <si>
    <t>rust-oleum bathtub title tub tile refinish paint kit</t>
  </si>
  <si>
    <t>rustoleum bathtub &amp; title refinish paint kit</t>
  </si>
  <si>
    <t>rustoleum bathtub and tile refinishing kit</t>
  </si>
  <si>
    <t>rustoleum bathtub refinish colors</t>
  </si>
  <si>
    <t>rustoleum bathtub refinish dry time</t>
  </si>
  <si>
    <t>rustoleum bathtub refinish how long does it last</t>
  </si>
  <si>
    <t>rustoleum bathtub refinish lowes</t>
  </si>
  <si>
    <t>rustoleum bathtub refinish walmart</t>
  </si>
  <si>
    <t>rustoleum bathtub refinisher</t>
  </si>
  <si>
    <t>rustoleum bathtub refinisher review</t>
  </si>
  <si>
    <t>rustoleum bathtub refinishing colors</t>
  </si>
  <si>
    <t>rustoleum bathtub refinishing kit almond</t>
  </si>
  <si>
    <t>rustoleum bathtub refinishing kit amazon</t>
  </si>
  <si>
    <t>rustoleum bathtub refinishing kit before and after</t>
  </si>
  <si>
    <t>rustoleum bathtub refinishing kit canada</t>
  </si>
  <si>
    <t>rustoleum bathtub refinishing kit colors</t>
  </si>
  <si>
    <t>rustoleum bathtub refinishing kit home depot</t>
  </si>
  <si>
    <t>rustoleum bathtub refinishing kit lowe's</t>
  </si>
  <si>
    <t>rustoleum bathtub refinishing kit lowes</t>
  </si>
  <si>
    <t>rustoleum bathtub refinishing kit menards</t>
  </si>
  <si>
    <t>rustoleum bathtub refinishing kit peeling</t>
  </si>
  <si>
    <t>rustoleum bathtub refinishing kit smell</t>
  </si>
  <si>
    <t>rustoleum bathtub refinishing kit uk</t>
  </si>
  <si>
    <t>rustoleum bathtub refinishing kit video</t>
  </si>
  <si>
    <t>rustoleum bathtub refinishing kit youtube</t>
  </si>
  <si>
    <t>rustoleum bathtub refinishing paint odor harmful</t>
  </si>
  <si>
    <t>rustoleum bathtub refinishing professional results</t>
  </si>
  <si>
    <t>rustoleum bathtub refinishing reviews</t>
  </si>
  <si>
    <t>rustoleum bathtub refinishing spray</t>
  </si>
  <si>
    <t>rustoleum bathtub refinishing spray kit</t>
  </si>
  <si>
    <t>rustoleum bathtub refinishing video</t>
  </si>
  <si>
    <t>rustolium bathtub refinish kit</t>
  </si>
  <si>
    <t>rv bathtub refinishing</t>
  </si>
  <si>
    <t>sacramento bathtub refinishing contractors</t>
  </si>
  <si>
    <t>sacremento bathtub refinishing</t>
  </si>
  <si>
    <t>safe step bathtub refinishing</t>
  </si>
  <si>
    <t>salios bathtub refinishers florida</t>
  </si>
  <si>
    <t>salo bathtub refinisher</t>
  </si>
  <si>
    <t>salt lake city bathtub refinishing</t>
  </si>
  <si>
    <t>san diego bathtub refinishing company</t>
  </si>
  <si>
    <t>san diego bathtub refinishing reviews</t>
  </si>
  <si>
    <t>san diego ca bathtub refinishing</t>
  </si>
  <si>
    <t>san diego refinish bathtub</t>
  </si>
  <si>
    <t>san francisco bathtub refinishing san francisco ca</t>
  </si>
  <si>
    <t>sanding and refinishing bathtub</t>
  </si>
  <si>
    <t>santa barbara bathtub refinishing</t>
  </si>
  <si>
    <t>santa rosa bathtub refinishing</t>
  </si>
  <si>
    <t>santee bathtub refinishing</t>
  </si>
  <si>
    <t>saskatoon bathtub refinishing</t>
  </si>
  <si>
    <t>saugus bathtub refinishing</t>
  </si>
  <si>
    <t>schroeder repair and remodeling bathtub refinishing</t>
  </si>
  <si>
    <t>seal a cast iron bathtub be refinished</t>
  </si>
  <si>
    <t>sealing and refinishing bathtub</t>
  </si>
  <si>
    <t>sears bathtub refinishing</t>
  </si>
  <si>
    <t>seattle bathtub refinishing seattle wa</t>
  </si>
  <si>
    <t>seattle refinish bathtub</t>
  </si>
  <si>
    <t>sf refinishing bathtub</t>
  </si>
  <si>
    <t>sfl bathtub refinish</t>
  </si>
  <si>
    <t>sfl bathtub refinishing reviews</t>
  </si>
  <si>
    <t>sfl bathtub refinishing west palm beach fl</t>
  </si>
  <si>
    <t>shark grip bathtub refinishing</t>
  </si>
  <si>
    <t>sharp bathtub refinishing</t>
  </si>
  <si>
    <t>sherborn bathtub refinishing</t>
  </si>
  <si>
    <t>sherwin williams bathtub refinish</t>
  </si>
  <si>
    <t>shorewood bathtub refinishing</t>
  </si>
  <si>
    <t>shower &amp; bathtub refinishing</t>
  </si>
  <si>
    <t>shower &amp; bathtub refinishing houston</t>
  </si>
  <si>
    <t>shurbond niagara bathtub refinishing</t>
  </si>
  <si>
    <t>simple practical beautiful my experience refinishing bathtub</t>
  </si>
  <si>
    <t>sink bathtub refinishing</t>
  </si>
  <si>
    <t>small bathtub refinishing</t>
  </si>
  <si>
    <t>son dies of chemical poisoning after refinishing bathtub</t>
  </si>
  <si>
    <t>south bay bathtub refinishers</t>
  </si>
  <si>
    <t>south florida bathtub refinishing</t>
  </si>
  <si>
    <t>southbay bathtub refinishers kitchen &amp; bathroom refinishing</t>
  </si>
  <si>
    <t>spary gun for bathtub refinishing</t>
  </si>
  <si>
    <t>specialty bathtub refinishing</t>
  </si>
  <si>
    <t>specialty glaze bathtub refinishing vancouver wa</t>
  </si>
  <si>
    <t>specialty services inc kitchen cabinet maker refinishing bathtubs &amp; showers</t>
  </si>
  <si>
    <t>sponge for refinished bathtub</t>
  </si>
  <si>
    <t>spr bathtub refinishing reviews</t>
  </si>
  <si>
    <t>spray bathtub refinishing products</t>
  </si>
  <si>
    <t>spray gun for bathtub refinishing</t>
  </si>
  <si>
    <t>spray gun for bathtub refinishing home depot</t>
  </si>
  <si>
    <t>spray on bathtub refinishing kit</t>
  </si>
  <si>
    <t>spray paint to refinish bathtub</t>
  </si>
  <si>
    <t>st croix bathtub refinishing</t>
  </si>
  <si>
    <t>st paul bathtub refinishing saint paul mn</t>
  </si>
  <si>
    <t>standard bathtub refinishing</t>
  </si>
  <si>
    <t>standard bathtub refinishing mercury ln emigrant mt</t>
  </si>
  <si>
    <t>standard bathtub reglazing countertop refinishing</t>
  </si>
  <si>
    <t>standard bathtub reglazing countertop refinishing south gate ca</t>
  </si>
  <si>
    <t>stanley bathtub refinish</t>
  </si>
  <si>
    <t>starting a bathtub refinishing business</t>
  </si>
  <si>
    <t>steps to prepare bathtub for refinishing</t>
  </si>
  <si>
    <t>sterling bathtub refinishing london on</t>
  </si>
  <si>
    <t>sterling bathtub refinishing reviews</t>
  </si>
  <si>
    <t>suctin cup refinished clawfoot bathtub</t>
  </si>
  <si>
    <t>suction cups refinished clawfoot bathtub</t>
  </si>
  <si>
    <t>superior bathtub refinishing hopkins street wakefield ma</t>
  </si>
  <si>
    <t>superior bathtub refinishing wakefield</t>
  </si>
  <si>
    <t>superior bathtub refinishing wakefield ma</t>
  </si>
  <si>
    <t>superior refinishing systems bathtub &amp; shower refinishing</t>
  </si>
  <si>
    <t>supreme bathtub refinishing</t>
  </si>
  <si>
    <t>surface magic bathtub refinishing east aurora reviews</t>
  </si>
  <si>
    <t>surface pro stl kitchen and bathtub refinishing</t>
  </si>
  <si>
    <t>surface refinishing cost bathtub</t>
  </si>
  <si>
    <t>surface solutions bathtub refinishing</t>
  </si>
  <si>
    <t>surface solutions bathtub refinishing indiana</t>
  </si>
  <si>
    <t>sustainable bathtub refinishing</t>
  </si>
  <si>
    <t>swampscott bathtub refinishing</t>
  </si>
  <si>
    <t>synthetic bathtub refinishing glazing compound</t>
  </si>
  <si>
    <t>texas bathtub refinisher</t>
  </si>
  <si>
    <t>texas bathtub refinishers inc san antonio tx</t>
  </si>
  <si>
    <t>texas bathtub refinishing</t>
  </si>
  <si>
    <t>texas bathtub refinishing 972 589 5614</t>
  </si>
  <si>
    <t>texas bathtub refinishing 972 589-5614</t>
  </si>
  <si>
    <t>texas bathtub refinishing dallas tx</t>
  </si>
  <si>
    <t>the bathtub refinishing atlanta</t>
  </si>
  <si>
    <t>the bathtub refinishing company</t>
  </si>
  <si>
    <t>the bathtub refinishing company lakewood</t>
  </si>
  <si>
    <t>the best bathtub refinishing kit</t>
  </si>
  <si>
    <t>the finish is peeling off my refinished bathtub</t>
  </si>
  <si>
    <t>the original refinished bathtub mat no suction cup bath mat</t>
  </si>
  <si>
    <t>the professional bathtub refinishing association san antonio tx</t>
  </si>
  <si>
    <t>thermoglaze bathtub refinishing elmhurst il</t>
  </si>
  <si>
    <t>thermoglaze bathtub refinishing near me</t>
  </si>
  <si>
    <t>tinley park bathtub refinishing</t>
  </si>
  <si>
    <t>todd's bathtub refinishing reviews</t>
  </si>
  <si>
    <t>toledo bathtub refinishers</t>
  </si>
  <si>
    <t>top 5 bathtub refinishing kits</t>
  </si>
  <si>
    <t>top 5 diy bathtub refinishing kit</t>
  </si>
  <si>
    <t>top bathtub refinishing &amp; tile reglazing virginia</t>
  </si>
  <si>
    <t>top bathtub refinishing &amp; tile reglazing virginia manassas va</t>
  </si>
  <si>
    <t>top rated bathtub and tile refinishing kit</t>
  </si>
  <si>
    <t>top rated bathtub refinishing kit</t>
  </si>
  <si>
    <t>topkote professional bathtub refinisher los angeles ca</t>
  </si>
  <si>
    <t>tough as tile tub &amp; tile bathtub refinisher</t>
  </si>
  <si>
    <t>tough as tile tub &amp; tile bathtub refinishing brush</t>
  </si>
  <si>
    <t>traverse city mi bathtub refinishing</t>
  </si>
  <si>
    <t>trinity bathtub refinishing</t>
  </si>
  <si>
    <t>tub cast 5000 bathtub refinishing kit</t>
  </si>
  <si>
    <t>tub cast 5000 bathtub refinishing kit reviews</t>
  </si>
  <si>
    <t>tub glaze bathtub refinishing</t>
  </si>
  <si>
    <t>tub liner bathtub refinisher</t>
  </si>
  <si>
    <t>tub man bathtub refinishing san antonio tx</t>
  </si>
  <si>
    <t>tub master bathtub refinishing reglazing</t>
  </si>
  <si>
    <t>tub pros bathtub reglazing &amp; refinishing in memphis</t>
  </si>
  <si>
    <t>tub refinishing &amp; bathtub repair</t>
  </si>
  <si>
    <t>tub to shower bathtub refinishing</t>
  </si>
  <si>
    <t>tub-man bathtub refinishing</t>
  </si>
  <si>
    <t>tubby bathtub refinishing kit reviews</t>
  </si>
  <si>
    <t>tubman bathtub refinishing san antonio tx</t>
  </si>
  <si>
    <t>tubpotion bathtub refinishing</t>
  </si>
  <si>
    <t>tubpotion bathtub refinishing near me</t>
  </si>
  <si>
    <t>tubz bathtub refinishing</t>
  </si>
  <si>
    <t>tubz bathtub refinishing youngstown oh</t>
  </si>
  <si>
    <t>tucson bathtub refinisher</t>
  </si>
  <si>
    <t>tucson bathtub refinishing tucson az</t>
  </si>
  <si>
    <t>tulsa bathtub refinishing</t>
  </si>
  <si>
    <t>tuscaloosa bathtub refinishing</t>
  </si>
  <si>
    <t>twin cities bathtub refinishing</t>
  </si>
  <si>
    <t>tyler tx bathtub refinishing</t>
  </si>
  <si>
    <t>type of sandpaper refinishing bathtub</t>
  </si>
  <si>
    <t>types of coatings bathtub refinishing</t>
  </si>
  <si>
    <t>unique refinishers bathtubs</t>
  </si>
  <si>
    <t>usa bathtub refinishing inc</t>
  </si>
  <si>
    <t>utah bathtub refinishing</t>
  </si>
  <si>
    <t>utube bathtub refinishing</t>
  </si>
  <si>
    <t>uv cured bathtub refinishing</t>
  </si>
  <si>
    <t>valley bathtub refinishing reviews</t>
  </si>
  <si>
    <t>vancouver bathtub refinishers</t>
  </si>
  <si>
    <t>vancouver bathtub refinishers tubliners</t>
  </si>
  <si>
    <t>video of bathtub and tile refinishing</t>
  </si>
  <si>
    <t>video of bathtub refinishing</t>
  </si>
  <si>
    <t>vidio of how to refinish cast iron bathtub</t>
  </si>
  <si>
    <t>vinyl bathtub refinishing</t>
  </si>
  <si>
    <t>vinyl bathtub refinishing portland</t>
  </si>
  <si>
    <t>virginia bathtub refinishing and reglazing</t>
  </si>
  <si>
    <t>virginia bathtub refinishing yelp</t>
  </si>
  <si>
    <t>virginia beach bathtub refinishing</t>
  </si>
  <si>
    <t>walpole bathtub refinishing</t>
  </si>
  <si>
    <t>washington bathtub refinishing</t>
  </si>
  <si>
    <t>washington dc bathtub refinishing washington wa</t>
  </si>
  <si>
    <t>watsonville refinishing bathtub cost</t>
  </si>
  <si>
    <t>waxing a refinished bathtub</t>
  </si>
  <si>
    <t>ways to refinish a bathtub</t>
  </si>
  <si>
    <t>ways to refinish your bathtub</t>
  </si>
  <si>
    <t>wellesley bathtub refinishing</t>
  </si>
  <si>
    <t>westchester bathtub reglazing and refinishing</t>
  </si>
  <si>
    <t>westchester bathtub repair refinishing &amp; tile reglazing</t>
  </si>
  <si>
    <t>westchester bathtubs refinish</t>
  </si>
  <si>
    <t>white bluff tn bathtub refinishers</t>
  </si>
  <si>
    <t>winnipeg bathtub refinishing</t>
  </si>
  <si>
    <t>winston-salem bathtub refinishing</t>
  </si>
  <si>
    <t>woodbridge bathtub refinishing</t>
  </si>
  <si>
    <t>word for refinishing a bathtub</t>
  </si>
  <si>
    <t>www bathtub refinishing</t>
  </si>
  <si>
    <t>www.bathtub refinishing</t>
  </si>
  <si>
    <t>yellow bathtub and surround refinishing</t>
  </si>
  <si>
    <t>yellow bathtub refinish</t>
  </si>
  <si>
    <t>yelp bathtub refinishing san francisco</t>
  </si>
  <si>
    <t>yelp phoenix bathtub refinish</t>
  </si>
  <si>
    <t>yelp reviews dallas bathtub refinishers</t>
  </si>
  <si>
    <t>yelp vancouver bathtub refinishing</t>
  </si>
  <si>
    <t>yelp.com bathtub refinishing</t>
  </si>
  <si>
    <t>york pa bathtub refinishing</t>
  </si>
  <si>
    <t>you tube refinishing bathtubs</t>
  </si>
  <si>
    <t>youtube bathtub refinishing lakeland fl</t>
  </si>
  <si>
    <t>youtube how to refinish a bathtub</t>
  </si>
  <si>
    <t>youtube how to refinish an old bathtub</t>
  </si>
  <si>
    <t>youtube refinishing bathtub</t>
  </si>
  <si>
    <t>youtube rustoleum bathtub refinishing kit</t>
  </si>
  <si>
    <t>youtube video how to refinish a bathtub</t>
  </si>
  <si>
    <t>zirlon glaze bathtub refinishing michigan</t>
  </si>
  <si>
    <t>Audience</t>
  </si>
  <si>
    <t>Home Owner</t>
  </si>
  <si>
    <t>search term: bath tub reglazing</t>
  </si>
  <si>
    <t>bath tub reglazing near me</t>
  </si>
  <si>
    <t>Sitelinks, Video, People also ask, Local pack, Related searches, Ads top, Ads bottom, Ads middle</t>
  </si>
  <si>
    <t>bath reglazing tub</t>
  </si>
  <si>
    <t>Sitelinks, Video, Video carousel, Local pack, Discussions and forums, Related searches, Ads top, Ads bottom</t>
  </si>
  <si>
    <t>bath tub reglazing cost</t>
  </si>
  <si>
    <t>best bath mat for reglazed tubs</t>
  </si>
  <si>
    <t>Sitelinks, AI Overview, Image, Image pack, Video, Video carousel, People also ask, Discussions and forums, Popular products, Ads bottom</t>
  </si>
  <si>
    <t>reglazing bath tubs</t>
  </si>
  <si>
    <t>bath tub reglazing companies</t>
  </si>
  <si>
    <t>how to reglaze bath tub</t>
  </si>
  <si>
    <t>reglaze a bath tub</t>
  </si>
  <si>
    <t>reglazing a bath tub</t>
  </si>
  <si>
    <t>reglazing bath tub</t>
  </si>
  <si>
    <t>to reglaze a bath tub</t>
  </si>
  <si>
    <t>to reglaze bath tub</t>
  </si>
  <si>
    <t>bath tub reglaze kit</t>
  </si>
  <si>
    <t>bath tub reglazing cincinnati</t>
  </si>
  <si>
    <t>bath tub reglazing kit</t>
  </si>
  <si>
    <t>are there any danger involved with bath tub reglazing</t>
  </si>
  <si>
    <t>are there danger involved with bath tub reglazing</t>
  </si>
  <si>
    <t>average cost of reglazing a bath tub</t>
  </si>
  <si>
    <t>avg cost of bath tub reglazing</t>
  </si>
  <si>
    <t>bath mat for reglazed tubs</t>
  </si>
  <si>
    <t>bath mats for reglazed tub</t>
  </si>
  <si>
    <t>bath mats for reglazed tubs</t>
  </si>
  <si>
    <t>bath tub and tile reglazing</t>
  </si>
  <si>
    <t>bath tub reglaze cost</t>
  </si>
  <si>
    <t>bath tub reglaze near me</t>
  </si>
  <si>
    <t>bath tub reglaze south county ca</t>
  </si>
  <si>
    <t>bath tub reglaze walla walla wa</t>
  </si>
  <si>
    <t>bath tub reglazer</t>
  </si>
  <si>
    <t>bath tub reglazers in san diego ca</t>
  </si>
  <si>
    <t>bath tub reglazing 35210</t>
  </si>
  <si>
    <t>bath tub reglazing augusta maine</t>
  </si>
  <si>
    <t>bath tub reglazing calgary</t>
  </si>
  <si>
    <t>bath tub reglazing cincinnati ohio</t>
  </si>
  <si>
    <t>bath tub reglazing columbus ohio</t>
  </si>
  <si>
    <t>bath tub reglazing electric charge</t>
  </si>
  <si>
    <t>bath tub reglazing in bergan county n j</t>
  </si>
  <si>
    <t>bath tub reglazing in jackson michigan</t>
  </si>
  <si>
    <t>bath tub reglazing in sonoma county</t>
  </si>
  <si>
    <t>bath tub reglazing in sussex county nj</t>
  </si>
  <si>
    <t>bath tub reglazing livonia mi</t>
  </si>
  <si>
    <t>bath tub reglazing material</t>
  </si>
  <si>
    <t>bath tub reglazing memphis</t>
  </si>
  <si>
    <t>bath tub reglazing near norwich ct</t>
  </si>
  <si>
    <t>bath tub reglazing ottawa</t>
  </si>
  <si>
    <t>bath tub reglazing st louis mo</t>
  </si>
  <si>
    <t>bath tub reglazing st louis o</t>
  </si>
  <si>
    <t>bath tub reglazing york pa</t>
  </si>
  <si>
    <t>bath tubs reglazing naics code</t>
  </si>
  <si>
    <t>best way to reglaze bath tub</t>
  </si>
  <si>
    <t>biusiness who reglazes bath tubs</t>
  </si>
  <si>
    <t>can you use dawn dish soap on reglazed bath tub</t>
  </si>
  <si>
    <t>cost of bath tub reglazing</t>
  </si>
  <si>
    <t>cozy bath tub reglazing &amp; refinishing</t>
  </si>
  <si>
    <t>cozy bath tub reglazing queens ny</t>
  </si>
  <si>
    <t>cozy bath tub reglazing queens ny 30-47 75th street</t>
  </si>
  <si>
    <t>dayton bath tub reglazing</t>
  </si>
  <si>
    <t>diamon coat epoxy for bath tub reglazing</t>
  </si>
  <si>
    <t>diamond coat epoxy for bath tub reglazing</t>
  </si>
  <si>
    <t>epoxy reglazed bath tub</t>
  </si>
  <si>
    <t>ga bath tub reglazing</t>
  </si>
  <si>
    <t>how much does it cost to reglaze a bath tub</t>
  </si>
  <si>
    <t>how much to reglaze bath tub</t>
  </si>
  <si>
    <t>how to reglaze a bath tub</t>
  </si>
  <si>
    <t>milwaukee area bath tub reglazing</t>
  </si>
  <si>
    <t>new hapshire bath tub reglazing</t>
  </si>
  <si>
    <t>quote reglazing bath tub</t>
  </si>
  <si>
    <t>reglaze bath tub chipped</t>
  </si>
  <si>
    <t>reglaze bath tub cost</t>
  </si>
  <si>
    <t>reglaze bath tubs site groupon.com</t>
  </si>
  <si>
    <t>reglaze castiron bath tub</t>
  </si>
  <si>
    <t>reglazed bath tub clean</t>
  </si>
  <si>
    <t>reglazed tub bath mat</t>
  </si>
  <si>
    <t>reglazeing bath tubs in lexington ky</t>
  </si>
  <si>
    <t>reglazing a bath tub in bergen county</t>
  </si>
  <si>
    <t>reglazing bath tub city</t>
  </si>
  <si>
    <t>reglazing bath tubs in richmond va</t>
  </si>
  <si>
    <t>same day bath tub shower reglazing 63017</t>
  </si>
  <si>
    <t>taking a bath in a reglazed tub</t>
  </si>
  <si>
    <t>top rated company to reglaze bath tub on long island</t>
  </si>
  <si>
    <t>using bath salts in reglazed tubs</t>
  </si>
  <si>
    <t>warsaw in bath tub reglazing</t>
  </si>
  <si>
    <t>what is the cost to reglaze a bath tub</t>
  </si>
  <si>
    <t>when can safely take a bath after reglazing tub</t>
  </si>
  <si>
    <t>you tube reglazing bath tub</t>
  </si>
  <si>
    <t>search term: reglazing</t>
  </si>
  <si>
    <t>cost to reglaze tub</t>
  </si>
  <si>
    <t>Sitelinks, Image pack, Video, Video carousel, People also ask, Local pack, Related searches, Popular products, Things to know, Ads bottom, Ads middle</t>
  </si>
  <si>
    <t>bathtub reglazing 35210</t>
  </si>
  <si>
    <t>Sitelinks, AI Overview, Video, People also ask, Local pack, Related searches, Ads bottom, Ads middle</t>
  </si>
  <si>
    <t>how to reglaze a tub</t>
  </si>
  <si>
    <t>AI Overview, Image, Video, Video carousel, People also ask, Discussions and forums, Related searches</t>
  </si>
  <si>
    <t>reglaze bathtub cost</t>
  </si>
  <si>
    <t>how to reglaze a bathtub</t>
  </si>
  <si>
    <t>AI Overview, Video, Video carousel, Short videos, Discussions and forums, Related searches</t>
  </si>
  <si>
    <t>tub reglazing kit</t>
  </si>
  <si>
    <t>Sitelinks, Image, Image pack, Video, Video carousel, Related searches, Popular products</t>
  </si>
  <si>
    <t>how do you reglaze a bathtub</t>
  </si>
  <si>
    <t>price for reglazing cast iron batthub in nj</t>
  </si>
  <si>
    <t>Sitelinks, AI Overview, Video, Related searches, Ads bottom</t>
  </si>
  <si>
    <t>reglaze window</t>
  </si>
  <si>
    <t>Sitelinks, AI Overview, Video, Video carousel, People also ask, Knowledge panel, Discussions and forums, Related searches</t>
  </si>
  <si>
    <t>reglazing reviews staten island ny</t>
  </si>
  <si>
    <t>Video, People also ask, Local pack, Related searches</t>
  </si>
  <si>
    <t>window reglazing</t>
  </si>
  <si>
    <t>Sitelinks, AI Overview, Image pack, Video, Local pack, Related searches</t>
  </si>
  <si>
    <t>companies that reglaze bathtubs</t>
  </si>
  <si>
    <t>cost of reglazing a tub</t>
  </si>
  <si>
    <t>Sitelinks, Video, Video carousel, People also ask, Discussions and forums, Related searches</t>
  </si>
  <si>
    <t>how do you reglaze a tub</t>
  </si>
  <si>
    <t>how much does it cost to reglaze a bathtub</t>
  </si>
  <si>
    <t>Sitelinks, AI Overview, Image, Video, People also ask, Discussions and forums, Related searches</t>
  </si>
  <si>
    <t>how much does it cost to reglaze a tub</t>
  </si>
  <si>
    <t>reglaze tile</t>
  </si>
  <si>
    <t>reglazing a tub</t>
  </si>
  <si>
    <t>Sitelinks, AI Overview, Video, Video carousel, Local pack, Discussions and forums, Related searches</t>
  </si>
  <si>
    <t>reglazing tub cost</t>
  </si>
  <si>
    <t>Sitelinks, AI Overview, Video, People also ask, Discussions and forums, Related searches, Ads bottom, Ads middle</t>
  </si>
  <si>
    <t>reglazing tub near me</t>
  </si>
  <si>
    <t>Sitelinks, Image, Video, Video carousel, People also ask, Knowledge panel, Related searches</t>
  </si>
  <si>
    <t>Sitelinks, Video, People also ask, Local pack, Knowledge panel, Related searches</t>
  </si>
  <si>
    <t>tub reglaze</t>
  </si>
  <si>
    <t>Sitelinks, AI Overview, Video, Video carousel, Short videos, People also ask, Local pack, Related searches, Ads bottom</t>
  </si>
  <si>
    <t>bathroom tub reglazing cost</t>
  </si>
  <si>
    <t>do it yourself bathtub reglazing</t>
  </si>
  <si>
    <t>how much to reglaze a bathtub</t>
  </si>
  <si>
    <t>how much to reglaze a tub</t>
  </si>
  <si>
    <t>how to reglazing bathtub</t>
  </si>
  <si>
    <t>Sitelinks, AI Overview, Image, Video, Video carousel, Short videos, People also ask, Discussions and forums, Related searches</t>
  </si>
  <si>
    <t>reglaze</t>
  </si>
  <si>
    <t>Sitelinks, Instant answer, Video, Video carousel, People also ask, Local pack, Related searches</t>
  </si>
  <si>
    <t>reglaze sink</t>
  </si>
  <si>
    <t>Sitelinks, Image pack, Video, People also ask, Related searches</t>
  </si>
  <si>
    <t>reglaze sink near me</t>
  </si>
  <si>
    <t>reglazing bathtubs</t>
  </si>
  <si>
    <t>tub reglazers near me</t>
  </si>
  <si>
    <t>bath reglazing</t>
  </si>
  <si>
    <t>Sitelinks, Video, People also ask, Local pack, Discussions and forums, Related searches, Things to know, Ads bottom</t>
  </si>
  <si>
    <t>bathroom refinishing reglazing</t>
  </si>
  <si>
    <t>bathroom reglaze</t>
  </si>
  <si>
    <t>Image pack, Video, Local pack, Related searches, Popular products</t>
  </si>
  <si>
    <t>bathroom reglazing companies</t>
  </si>
  <si>
    <t>bathtub and tile reglazing</t>
  </si>
  <si>
    <t>bathtub reglaze</t>
  </si>
  <si>
    <t>Sitelinks, Video, Video carousel, Related searches, Popular products, See results about, Ads bottom</t>
  </si>
  <si>
    <t>do it yourself bathtub reglazing kits</t>
  </si>
  <si>
    <t>how to reglaze a window</t>
  </si>
  <si>
    <t>Featured snippet, Image pack, Video, People also ask, Discussions and forums, Related searches</t>
  </si>
  <si>
    <t>reglaze bathtub near me</t>
  </si>
  <si>
    <t>reglaze shower</t>
  </si>
  <si>
    <t>Sitelinks, AI Overview, People also ask, Knowledge panel, Related searches</t>
  </si>
  <si>
    <t>reglaze tub cost</t>
  </si>
  <si>
    <t>Sitelinks, Instant answer, Image, Video, Video carousel, People also ask, Local pack, Related searches</t>
  </si>
  <si>
    <t>reglazing a sink</t>
  </si>
  <si>
    <t>Sitelinks, AI Overview, Image, Image pack, Video, Local pack, Discussions and forums, Related searches</t>
  </si>
  <si>
    <t>reglazing bathroom tile</t>
  </si>
  <si>
    <t>reglazing cast iron tub</t>
  </si>
  <si>
    <t>Sitelinks, AI Overview, Video, Video carousel, Local pack, Related searches, Ads bottom</t>
  </si>
  <si>
    <t>shower reglazing near me</t>
  </si>
  <si>
    <t>tub and tile reglazing</t>
  </si>
  <si>
    <t>Image pack, Video, Local pack, Related searches, Popular products, See results about</t>
  </si>
  <si>
    <t>tub reglazers</t>
  </si>
  <si>
    <t>window reglaze</t>
  </si>
  <si>
    <t>Sitelinks, AI Overview, Image, Image pack, Video, Video carousel, Knowledge panel, Related searches</t>
  </si>
  <si>
    <t>bathtub reglazing before and after</t>
  </si>
  <si>
    <t>best tub reglazing kit</t>
  </si>
  <si>
    <t>cost to reglaze a tub</t>
  </si>
  <si>
    <t>how do you reglaze a window</t>
  </si>
  <si>
    <t>Sitelinks, AI Overview, Image, Video, Video carousel, Short videos, People also ask, Discussions and forums, Related searches, Ads bottom</t>
  </si>
  <si>
    <t>how much is it to reglaze a bathtub</t>
  </si>
  <si>
    <t>Sitelinks, AI Overview, Image, Video, Video carousel, Discussions and forums, Related searches, Popular products, Ads middle</t>
  </si>
  <si>
    <t>how to reglaze bathtub</t>
  </si>
  <si>
    <t>Featured snippet, Video, People also ask, Discussions and forums, Related searches</t>
  </si>
  <si>
    <t>reglaze a bathtub</t>
  </si>
  <si>
    <t>reglaze a tub cost</t>
  </si>
  <si>
    <t>reglaze cast iron sink</t>
  </si>
  <si>
    <t>Sitelinks, AI Overview, Image, Image pack, Video, Video carousel, People also ask, Related searches</t>
  </si>
  <si>
    <t>reglaze fiberglass tub</t>
  </si>
  <si>
    <t>Sitelinks, Video, Video carousel, People also ask, Local pack, Related searches, Popular products, Ads bottom, Ads middle</t>
  </si>
  <si>
    <t>reglaze windows</t>
  </si>
  <si>
    <t>Sitelinks, AI Overview, Image, Video, Video carousel, People also ask, Related searches</t>
  </si>
  <si>
    <t>reglazed bathtub</t>
  </si>
  <si>
    <t>Sitelinks, AI Overview, Video, Local pack, Related searches</t>
  </si>
  <si>
    <t>reglazing a bathtub</t>
  </si>
  <si>
    <t>reglazing bathtub cost</t>
  </si>
  <si>
    <t>reglazing tubs</t>
  </si>
  <si>
    <t>Sitelinks, Video, Video carousel, Short videos, People also ask, Local pack, Related searches, Things to know</t>
  </si>
  <si>
    <t>tub and shower reglazing</t>
  </si>
  <si>
    <t>Sitelinks, Image pack, Video, People also ask, Local pack, Discussions and forums, Related searches, Things to know</t>
  </si>
  <si>
    <t>bathroom reglazing near me</t>
  </si>
  <si>
    <t>bathtub reglazing companies</t>
  </si>
  <si>
    <t>Video, People also ask, Local pack, Related searches, Ads bottom</t>
  </si>
  <si>
    <t>bathtub reglazing services</t>
  </si>
  <si>
    <t>AI Overview, Image pack, Video carousel, People also ask, Local pack, Related searches</t>
  </si>
  <si>
    <t>cast iron tub reglazing</t>
  </si>
  <si>
    <t>Sitelinks, Video, Video carousel, People also ask, Local pack, Related searches, Things to know</t>
  </si>
  <si>
    <t>clawfoot bathtub reglazing</t>
  </si>
  <si>
    <t>cost of bathtub reglazing</t>
  </si>
  <si>
    <t>Sitelinks, Image pack, Video, People also ask, Discussions and forums, Related searches, Popular products</t>
  </si>
  <si>
    <t>cost of reglazing a bathtub</t>
  </si>
  <si>
    <t>cost to reglaze a bathtub</t>
  </si>
  <si>
    <t>countertop reglazing kit</t>
  </si>
  <si>
    <t>diy reglaze bathtub</t>
  </si>
  <si>
    <t>how to reglaze tile</t>
  </si>
  <si>
    <t>professional tub reglazing</t>
  </si>
  <si>
    <t>reglaze bathroom</t>
  </si>
  <si>
    <t>reglaze cast iron tub</t>
  </si>
  <si>
    <t>Sitelinks, AI Overview, Image, Video, Video carousel, People also ask, Local pack, Related searches</t>
  </si>
  <si>
    <t>reglaze kitchen sink</t>
  </si>
  <si>
    <t>reglazing a bathtub pros and cons</t>
  </si>
  <si>
    <t>reglazing shower tile</t>
  </si>
  <si>
    <t>Sitelinks, AI Overview, Image pack, Video, Local pack, Related searches, Ads bottom</t>
  </si>
  <si>
    <t>tub reglaze cost</t>
  </si>
  <si>
    <t>Sitelinks, Image pack, Video, Related searches, Popular products, Ads top, Ads bottom</t>
  </si>
  <si>
    <t>bathroom reglazing kit</t>
  </si>
  <si>
    <t>bathroom tile reglazing</t>
  </si>
  <si>
    <t>Image pack, Video, Video carousel, Local pack, Related searches, Ads bottom</t>
  </si>
  <si>
    <t>bathroom tub reglazing</t>
  </si>
  <si>
    <t>Sitelinks, Image pack, Video, Video carousel, People also ask, Local pack, Related searches, Popular products, Things to know</t>
  </si>
  <si>
    <t>bathtub reglazing paint</t>
  </si>
  <si>
    <t>bathtub reglazing price</t>
  </si>
  <si>
    <t>Sitelinks, Image pack, Video, Related searches, Popular products</t>
  </si>
  <si>
    <t>bathtub reglazing service</t>
  </si>
  <si>
    <t>bathtub reglazing spray</t>
  </si>
  <si>
    <t>Sitelinks, AI Overview, Image, Image pack, Video, People also ask, Discussions and forums, Related searches, Popular products</t>
  </si>
  <si>
    <t>can you reglaze a fiberglass tub</t>
  </si>
  <si>
    <t>cost to reglaze bathtub</t>
  </si>
  <si>
    <t>Sitelinks, AI Overview, Video, Video carousel, People also ask, Discussions and forums, Related searches, Ads bottom, Ads middle</t>
  </si>
  <si>
    <t>denver tub reglazing</t>
  </si>
  <si>
    <t>diy bathtub reglazing</t>
  </si>
  <si>
    <t>Sitelinks, AI Overview, Image pack, Video, People also ask, Local pack, Discussions and forums, Related searches</t>
  </si>
  <si>
    <t>how do i reglaze a window</t>
  </si>
  <si>
    <t>how long does reglazing bathtub last</t>
  </si>
  <si>
    <t>how much does reglazing a tub cost</t>
  </si>
  <si>
    <t>Sitelinks, Video, Video carousel, People also ask, Discussions and forums, Related searches, Popular products, Ads bottom</t>
  </si>
  <si>
    <t>how to reglaze a cast iron tub</t>
  </si>
  <si>
    <t>Sitelinks, AI Overview, Image, Image pack, Video, Video carousel, Short videos, Related searches</t>
  </si>
  <si>
    <t>professional bathtub reglazing</t>
  </si>
  <si>
    <t>reglazing bathroom</t>
  </si>
  <si>
    <t>Sitelinks, Image pack, Video, Short videos, People also ask, Local pack, Related searches, Ads bottom</t>
  </si>
  <si>
    <t>reglazing window</t>
  </si>
  <si>
    <t>shower reglaze</t>
  </si>
  <si>
    <t>Sitelinks, Video, Video carousel, People also ask, Local pack, Related searches, Popular products, Things to know, Ads bottom</t>
  </si>
  <si>
    <t>tile floor reglazing</t>
  </si>
  <si>
    <t>tile reglazing colors</t>
  </si>
  <si>
    <t>tile reglazing cost</t>
  </si>
  <si>
    <t>tub reglazing boston</t>
  </si>
  <si>
    <t>tub reglazing companies</t>
  </si>
  <si>
    <t>what is bathtub reglazing</t>
  </si>
  <si>
    <t>Sitelinks, AI Overview, Video, Video carousel, People also ask, Related searches, See results about</t>
  </si>
  <si>
    <t>window reglazing near me</t>
  </si>
  <si>
    <t>bathtub reglazing chicago</t>
  </si>
  <si>
    <t>bathtub reglazing nj</t>
  </si>
  <si>
    <t>bathtub reglazing nyc</t>
  </si>
  <si>
    <t>diy bathtub reglazing kits</t>
  </si>
  <si>
    <t>Sitelinks, AI Overview, Image, Image pack, Video, Video carousel, People also ask, Discussions and forums, Related searches, Popular products</t>
  </si>
  <si>
    <t>diy tub reglazing</t>
  </si>
  <si>
    <t>Featured snippet, Image pack, Video, Discussions and forums, Related searches</t>
  </si>
  <si>
    <t>do it yourself tub reglazing</t>
  </si>
  <si>
    <t>how do you reglaze windows</t>
  </si>
  <si>
    <t>Sitelinks, AI Overview, Image, Image pack, Video, Video carousel, Short videos, People also ask, Discussions and forums, Related searches</t>
  </si>
  <si>
    <t>how long does bathtub reglazing last</t>
  </si>
  <si>
    <t>how long does tub reglazing last</t>
  </si>
  <si>
    <t>Sitelinks, AI Overview, Video, Video carousel, People also ask, Related searches</t>
  </si>
  <si>
    <t>how to reglaze a sink</t>
  </si>
  <si>
    <t>AI Overview, Image, Image pack, Video, Video carousel, People also ask, Related searches</t>
  </si>
  <si>
    <t>how to reglaze windows</t>
  </si>
  <si>
    <t>Sitelinks, AI Overview, Image, Image pack, Video, Video carousel, Discussions and forums, Related searches</t>
  </si>
  <si>
    <t>reglaze bathroom tile</t>
  </si>
  <si>
    <t>reglaze bathtub and tile</t>
  </si>
  <si>
    <t>Sitelinks, Image pack, Video, Video carousel, Local pack, Discussions and forums, Related searches, Ads bottom</t>
  </si>
  <si>
    <t>reglaze bathtubs</t>
  </si>
  <si>
    <t>reglazing a bathtub near me</t>
  </si>
  <si>
    <t>reglazing bathtub kit</t>
  </si>
  <si>
    <t>reglazing tile floors</t>
  </si>
  <si>
    <t>AI Overview, Image pack, Video, Video carousel, People also ask, Local pack, Discussions and forums, Related searches, Ads bottom</t>
  </si>
  <si>
    <t>tile reglaze</t>
  </si>
  <si>
    <t>tile reglazing kit</t>
  </si>
  <si>
    <t>tub reglazing before and after</t>
  </si>
  <si>
    <t>tub reglazing boston ma</t>
  </si>
  <si>
    <t>tub reglazing price</t>
  </si>
  <si>
    <t>Sitelinks, AI Overview, Image pack, Video, People also ask, Related searches</t>
  </si>
  <si>
    <t>what is reglazing a window</t>
  </si>
  <si>
    <t>what is reglazing windows</t>
  </si>
  <si>
    <t>what is window reglazing</t>
  </si>
  <si>
    <t>Sitelinks, AI Overview, Video, People also ask, Knowledge panel, Related searches</t>
  </si>
  <si>
    <t>amazing reglazing</t>
  </si>
  <si>
    <t>Sitelinks, Video, Video carousel, People also ask, Local pack</t>
  </si>
  <si>
    <t>bath tile reglazing</t>
  </si>
  <si>
    <t>bathroom reglazing nj</t>
  </si>
  <si>
    <t>Sitelinks, Image, Image pack, Video, Video carousel, Local pack, Discussions and forums, Related searches</t>
  </si>
  <si>
    <t>bathtub reglaze kit</t>
  </si>
  <si>
    <t>bathtub reglazing contractors</t>
  </si>
  <si>
    <t>bathtub reglazing cost los angeles</t>
  </si>
  <si>
    <t>bathtub reglazing dallas</t>
  </si>
  <si>
    <t>bathtub reglazing new york</t>
  </si>
  <si>
    <t>bathtub reglazing problems</t>
  </si>
  <si>
    <t>Sitelinks, AI Overview, Video, Video carousel, Related searches</t>
  </si>
  <si>
    <t>bathtub reglazing products</t>
  </si>
  <si>
    <t>Sitelinks, AI Overview, Image, Video, Video carousel, People also ask, Related searches, Popular products</t>
  </si>
  <si>
    <t>bathtub reglazing san diego</t>
  </si>
  <si>
    <t>can you reglaze pottery</t>
  </si>
  <si>
    <t>clawfoot tub reglazing</t>
  </si>
  <si>
    <t>Sitelinks, Video, Video carousel, People also ask, Local pack, Related searches, Ads top</t>
  </si>
  <si>
    <t>floor tile reglazing before and after</t>
  </si>
  <si>
    <t>Sitelinks, Image, Image pack, Video, Video carousel, People also ask, Discussions and forums, Related searches, Ads bottom</t>
  </si>
  <si>
    <t>how do you reglaze tile</t>
  </si>
  <si>
    <t>Sitelinks, AI Overview, Image pack, Video, Video carousel, Short videos, Discussions and forums, Related searches, Ads bottom</t>
  </si>
  <si>
    <t>how long does reglazing a tub last</t>
  </si>
  <si>
    <t>how much does it cost to reglaze bathtub</t>
  </si>
  <si>
    <t>Sitelinks, AI Overview, Image, Video, Discussions and forums, Related searches, Ads bottom, Ads middle</t>
  </si>
  <si>
    <t>how to reglaze a clawfoot tub</t>
  </si>
  <si>
    <t>how to reglaze a fiberglass bathtub</t>
  </si>
  <si>
    <t>Sitelinks, AI Overview, Image, Video, People also ask, Discussions and forums, Ads bottom</t>
  </si>
  <si>
    <t>how to reglaze a porcelain bathtub</t>
  </si>
  <si>
    <t>how to reglaze a porcelain tub</t>
  </si>
  <si>
    <t>Sitelinks, AI Overview, Image pack, Video, Video carousel, People also ask, Discussions and forums, Related searches, Ads bottom, Ads middle</t>
  </si>
  <si>
    <t>is reglazing a bathtub worth it</t>
  </si>
  <si>
    <t>kitchen sink reglazing</t>
  </si>
  <si>
    <t>Sitelinks, AI Overview, Image pack, Video carousel, Local pack, Related searches, Popular products</t>
  </si>
  <si>
    <t>price to reglaze tub</t>
  </si>
  <si>
    <t>Featured snippet, Sitelinks, Video, People also ask, Discussions and forums, Related searches</t>
  </si>
  <si>
    <t>reglaze a window</t>
  </si>
  <si>
    <t>Sitelinks, AI Overview, Image pack, Video, Video carousel, People also ask, Related searches, Things to know</t>
  </si>
  <si>
    <t>reglaze acrylic tub</t>
  </si>
  <si>
    <t>reglaze bathroom sink</t>
  </si>
  <si>
    <t>Sitelinks, Image, Image pack, Video, Video carousel, People also ask, Local pack, Related searches, Popular products</t>
  </si>
  <si>
    <t>reglaze bathtub before after</t>
  </si>
  <si>
    <t>Sitelinks, AI Overview, Image, Image pack, Video, Discussions and forums, Related searches</t>
  </si>
  <si>
    <t>reglaze bathtub kit</t>
  </si>
  <si>
    <t>Sitelinks, Image, Image pack, Video, People also ask, Related searches, Popular products</t>
  </si>
  <si>
    <t>reglaze porcelain sink</t>
  </si>
  <si>
    <t>Sitelinks, AI Overview, Image pack, Video, Video carousel, Short videos, Local pack, Related searches</t>
  </si>
  <si>
    <t>reglaze tub before and after</t>
  </si>
  <si>
    <t>reglaze tubs</t>
  </si>
  <si>
    <t>reglazed bathtub peeling</t>
  </si>
  <si>
    <t>reglazed tub peeling</t>
  </si>
  <si>
    <t>Sitelinks, AI Overview, Image, Image pack, Video, Video carousel, People also ask, Related searches, Ads bottom</t>
  </si>
  <si>
    <t>reglazing bathroom tile before and after</t>
  </si>
  <si>
    <t>Sitelinks, Image, Image pack, Video, Video carousel, People also ask, Discussions and forums, Related searches</t>
  </si>
  <si>
    <t>reglazing bathroom tiles</t>
  </si>
  <si>
    <t>reglazing bathtub before and after</t>
  </si>
  <si>
    <t>Sitelinks, Image, Image pack, Video, People also ask, Related searches</t>
  </si>
  <si>
    <t>reglazing near me</t>
  </si>
  <si>
    <t>reglazing tiles</t>
  </si>
  <si>
    <t>Sitelinks, AI Overview, Image pack, Video, Video carousel, People also ask, Local pack, Related searches, Popular products</t>
  </si>
  <si>
    <t>tub reglazing kit home depot</t>
  </si>
  <si>
    <t>tub reglazing nyc</t>
  </si>
  <si>
    <t>Sitelinks, Image pack, Video, Video carousel, People also ask, Local pack, Related searches</t>
  </si>
  <si>
    <t>bathroom reglaze near me</t>
  </si>
  <si>
    <t>bathtub and shower reglazing</t>
  </si>
  <si>
    <t>Sitelinks, Video, Local pack, Related searches, Popular products</t>
  </si>
  <si>
    <t>bathtub reglaze near me</t>
  </si>
  <si>
    <t>bathtub reglazing atlanta</t>
  </si>
  <si>
    <t>bathtub reglazing boston</t>
  </si>
  <si>
    <t>bathtub reglazing charlotte</t>
  </si>
  <si>
    <t>bathtub reglazing charlotte nc</t>
  </si>
  <si>
    <t>bathtub reglazing companies near me</t>
  </si>
  <si>
    <t>Sitelinks, AI Overview, Video, Knowledge panel, Related searches</t>
  </si>
  <si>
    <t>bathtub reglazing kit home depot</t>
  </si>
  <si>
    <t>Image, Video, Related searches, Popular products</t>
  </si>
  <si>
    <t>bathtub reglazing kit lowes</t>
  </si>
  <si>
    <t>bathtub reglazing riverside</t>
  </si>
  <si>
    <t>Image, Video, Local pack, Discussions and forums, Related searches</t>
  </si>
  <si>
    <t>bathtub reglazing st louis</t>
  </si>
  <si>
    <t>can you reglaze a fiberglass bathtub</t>
  </si>
  <si>
    <t>clawfoot tub reglazing near me</t>
  </si>
  <si>
    <t>cost of reglazing tub</t>
  </si>
  <si>
    <t>countertop reglazing</t>
  </si>
  <si>
    <t>Sitelinks, Image pack, Video, Video carousel, Local pack, Related searches, Popular products</t>
  </si>
  <si>
    <t>how long does a bathtub reglazing last</t>
  </si>
  <si>
    <t>how long does it take to reglaze a bathtub</t>
  </si>
  <si>
    <t>AI Overview, Video, People also ask, Related searches</t>
  </si>
  <si>
    <t>how long does it take to reglaze a tub</t>
  </si>
  <si>
    <t>how much is it to reglaze a tub</t>
  </si>
  <si>
    <t>Sitelinks, AI Overview, Video, Discussions and forums, Related searches, Popular products</t>
  </si>
  <si>
    <t>how to clean a reglazed bathtub</t>
  </si>
  <si>
    <t>how to clean a reglazed tub</t>
  </si>
  <si>
    <t>how to get rid of smell from reglazing tub</t>
  </si>
  <si>
    <t>how to reglaze a fiberglass tub</t>
  </si>
  <si>
    <t>is tub reglazing worth it</t>
  </si>
  <si>
    <t>kitchen sink reglazing near me</t>
  </si>
  <si>
    <t>local bathtub reglazing</t>
  </si>
  <si>
    <t>preferred reglazing</t>
  </si>
  <si>
    <t>reglaze a bathroom sink</t>
  </si>
  <si>
    <t>Sitelinks, AI Overview, Image, Image pack, Video, Video carousel, Local pack, Related searches, Ads bottom, Ads middle</t>
  </si>
  <si>
    <t>reglaze clawfoot tub</t>
  </si>
  <si>
    <t>reglaze fiberglass shower</t>
  </si>
  <si>
    <t>reglaze the tub</t>
  </si>
  <si>
    <t>reglaze tile yourself</t>
  </si>
  <si>
    <t>Sitelinks, AI Overview, Video, Video carousel, People also ask, Discussions and forums, Related searches, Popular products, Ads bottom</t>
  </si>
  <si>
    <t>reglaze tub and tile</t>
  </si>
  <si>
    <t>Sitelinks, Image pack, Video, Video carousel, Local pack, Discussions and forums, Related searches, Popular products, Ads bottom</t>
  </si>
  <si>
    <t>reglaze tub diy</t>
  </si>
  <si>
    <t>reglaze tub san diego</t>
  </si>
  <si>
    <t>reglazed bathroom</t>
  </si>
  <si>
    <t>reglazed tub</t>
  </si>
  <si>
    <t>reglazed tub chipping</t>
  </si>
  <si>
    <t>reglazing of bathtub</t>
  </si>
  <si>
    <t>reglazing shower stall</t>
  </si>
  <si>
    <t>AI Overview, Image pack, Video, People also ask, Local pack, Discussions and forums, Related searches, Ads bottom, Ads middle</t>
  </si>
  <si>
    <t>reglazing tile before and after</t>
  </si>
  <si>
    <t>shower reglaze near me</t>
  </si>
  <si>
    <t>sink reglazing kit</t>
  </si>
  <si>
    <t>tile reglazing before and after</t>
  </si>
  <si>
    <t>tub and tile reglazing near me</t>
  </si>
  <si>
    <t>tub reglazing chicago</t>
  </si>
  <si>
    <t>bathroom tile reglazing near me</t>
  </si>
  <si>
    <t>bathroom tub reglazing nj</t>
  </si>
  <si>
    <t>bathtub and sink reglazing</t>
  </si>
  <si>
    <t>Sitelinks, Image, Video, Video carousel, Local pack, Discussions and forums, Related searches</t>
  </si>
  <si>
    <t>bathtub reglaze cost</t>
  </si>
  <si>
    <t>Sitelinks, Image pack, Video, Discussions and forums, Related searches, Ads bottom</t>
  </si>
  <si>
    <t>bathtub reglazing atlanta ga</t>
  </si>
  <si>
    <t>bathtub reglazing brooklyn</t>
  </si>
  <si>
    <t>bathtub reglazing chicago il</t>
  </si>
  <si>
    <t>bathtub reglazing cincinnati</t>
  </si>
  <si>
    <t>Sitelinks, Image pack, Video, People also ask, Knowledge panel, Related searches, Ads top, Ads bottom</t>
  </si>
  <si>
    <t>bathtub reglazing colors</t>
  </si>
  <si>
    <t>bathtub reglazing cost nj</t>
  </si>
  <si>
    <t>bathtub reglazing detroit</t>
  </si>
  <si>
    <t>bathtub reglazing detroit mi</t>
  </si>
  <si>
    <t>bathtub reglazing houston</t>
  </si>
  <si>
    <t>bathtub reglazing kits</t>
  </si>
  <si>
    <t>Sitelinks, Image, Video carousel, Discussions and forums, Related searches, Popular products</t>
  </si>
  <si>
    <t>bathtub reglazing milwaukee</t>
  </si>
  <si>
    <t>bathtub reglazing milwaukee wi</t>
  </si>
  <si>
    <t>bathtub reglazing orlando</t>
  </si>
  <si>
    <t>bathtub reglazing orlando fl</t>
  </si>
  <si>
    <t>bathtub reglazing prices</t>
  </si>
  <si>
    <t>Sitelinks, Image pack, Video, People also ask, Related searches, Ads bottom, Ads middle</t>
  </si>
  <si>
    <t>bathtub reglazing services near me</t>
  </si>
  <si>
    <t>bathtub reglazing specialist</t>
  </si>
  <si>
    <t>bathtub reglazing tampa</t>
  </si>
  <si>
    <t>bathtub reglazing tampa fl</t>
  </si>
  <si>
    <t>best tub reglazing near me</t>
  </si>
  <si>
    <t>can you reglaze floor tile</t>
  </si>
  <si>
    <t>cast iron tub reglazing near me</t>
  </si>
  <si>
    <t>cost of reglazing bathtub</t>
  </si>
  <si>
    <t>cost of tub reglazing</t>
  </si>
  <si>
    <t>Sitelinks, AI Overview, Image pack, Video, People also ask, Discussions and forums, Related searches, Popular products</t>
  </si>
  <si>
    <t>cost to reglaze bathroom tile</t>
  </si>
  <si>
    <t>Sitelinks, AI Overview, Image pack, Video, People also ask, Discussions and forums, Related searches, Ads bottom</t>
  </si>
  <si>
    <t>cost to reglaze windows</t>
  </si>
  <si>
    <t>fiberglass bathtub reglazing</t>
  </si>
  <si>
    <t>Sitelinks, Image pack, Video, Video carousel, Local pack, Discussions and forums, Related searches, Popular products</t>
  </si>
  <si>
    <t>fiberglass reglazing</t>
  </si>
  <si>
    <t>fiberglass shower reglazing</t>
  </si>
  <si>
    <t>how do you clean reglazed bathtubs</t>
  </si>
  <si>
    <t>how much does tile reglazing cost</t>
  </si>
  <si>
    <t>how to reglaze a bathroom sink</t>
  </si>
  <si>
    <t>Image, Image pack, Video, Video carousel, People also ask, Related searches</t>
  </si>
  <si>
    <t>how to reglaze a cast iron sink</t>
  </si>
  <si>
    <t>is reglazing a tub worth it</t>
  </si>
  <si>
    <t>Featured snippet, Sitelinks, Image, Video, People also ask, Discussions and forums, Related searches</t>
  </si>
  <si>
    <t>porcelain bathtub reglazing</t>
  </si>
  <si>
    <t>Sitelinks, Video, People also ask, Local pack, Discussions and forums, Related searches, Popular products, Things to know</t>
  </si>
  <si>
    <t>porcelain tub reglazing</t>
  </si>
  <si>
    <t>reglaze porcelain tub</t>
  </si>
  <si>
    <t>Sitelinks, AI Overview, Image pack, Video, Video carousel, People also ask, Local pack, Discussions and forums, Related searches, Popular products, Things to know, Ads bottom</t>
  </si>
  <si>
    <t>reglaze shower pan</t>
  </si>
  <si>
    <t>Image, Image pack, Video, People also ask, Discussions and forums, Related searches</t>
  </si>
  <si>
    <t>reglaze sink cost</t>
  </si>
  <si>
    <t>reglaze tile cost</t>
  </si>
  <si>
    <t>reglaze tub boston</t>
  </si>
  <si>
    <t>Sitelinks, Image pack, Video, Local pack, Related searches, Popular products, Ads bottom, Ads middle</t>
  </si>
  <si>
    <t>reglazing a window</t>
  </si>
  <si>
    <t>reglazing bathroom tub</t>
  </si>
  <si>
    <t>Sitelinks, Image pack, Video, People also ask, Local pack, Discussions and forums, Related searches, Popular products, Things to know</t>
  </si>
  <si>
    <t>reglazing bathtub near me</t>
  </si>
  <si>
    <t>Sitelinks, Image pack, Video, Local pack, Related searches, Ads bottom, Ads middle</t>
  </si>
  <si>
    <t>reglazing bathtubs near me</t>
  </si>
  <si>
    <t>Sitelinks, Video, Local pack, Related searches, Ads top, Ads bottom</t>
  </si>
  <si>
    <t>reglazing companies near me</t>
  </si>
  <si>
    <t>reglazing fiberglass bathtub cost</t>
  </si>
  <si>
    <t>Featured snippet, Sitelinks, Video, People also ask, Related searches, Popular products</t>
  </si>
  <si>
    <t>reglazing kitchen sink</t>
  </si>
  <si>
    <t>reglazing porcelain tub</t>
  </si>
  <si>
    <t>Sitelinks, AI Overview, Video, Video carousel, People also ask, Discussions and forums, Related searches, Things to know</t>
  </si>
  <si>
    <t>reglazing shower</t>
  </si>
  <si>
    <t>reglazing sink</t>
  </si>
  <si>
    <t>tub reglazing atlanta</t>
  </si>
  <si>
    <t>tub reglazing companies near me</t>
  </si>
  <si>
    <t>tub reglazing ny</t>
  </si>
  <si>
    <t>tub reglazing products</t>
  </si>
  <si>
    <t>Sitelinks, AI Overview, Image, Image pack, Video, People also ask, Related searches</t>
  </si>
  <si>
    <t>what does reglaze window mean</t>
  </si>
  <si>
    <t>what is tub reglazing</t>
  </si>
  <si>
    <t>alliance bath reglazing</t>
  </si>
  <si>
    <t>Image pack, Video, People also ask, Knowledge panel</t>
  </si>
  <si>
    <t>average cost to reglaze a bathtub</t>
  </si>
  <si>
    <t>average cost to reglaze a tub</t>
  </si>
  <si>
    <t>average cost to reglaze bathtub</t>
  </si>
  <si>
    <t>bath mat for reglazed bathtub</t>
  </si>
  <si>
    <t>bath reglaze</t>
  </si>
  <si>
    <t>Sitelinks, AI Overview, Image pack, Video, Video carousel, People also ask, Discussions and forums, Related searches, Popular products, Things to know, Ads bottom</t>
  </si>
  <si>
    <t>bath reglazing near me</t>
  </si>
  <si>
    <t>Image, Image pack, Video, People also ask, Local pack, Related searches, Ads top, Ads bottom, Ads middle</t>
  </si>
  <si>
    <t>bathroom sink reglazing</t>
  </si>
  <si>
    <t>Sitelinks, AI Overview, Video, Video carousel, Local pack, Related searches</t>
  </si>
  <si>
    <t>bathroom tile reglazing cost</t>
  </si>
  <si>
    <t>bathtub reglazers</t>
  </si>
  <si>
    <t>bathtub reglazing brooklyn ny</t>
  </si>
  <si>
    <t>bathtub reglazing in my area</t>
  </si>
  <si>
    <t>bathtub reglazing jacksonville fl</t>
  </si>
  <si>
    <t>bathtub reglazing miami</t>
  </si>
  <si>
    <t>bathtub reglazing portland</t>
  </si>
  <si>
    <t>bathtub reglazing process</t>
  </si>
  <si>
    <t>bathtub reglazing pros and cons</t>
  </si>
  <si>
    <t>bathtub reglazing raleigh</t>
  </si>
  <si>
    <t>bathtub reglazing raleigh nc</t>
  </si>
  <si>
    <t>bathtub reglazing repair</t>
  </si>
  <si>
    <t>bathtub reglazing sacramento</t>
  </si>
  <si>
    <t>bathtub reglazing seattle</t>
  </si>
  <si>
    <t>bathtub reglazing st louis mo</t>
  </si>
  <si>
    <t>bathtub reglazing tulsa</t>
  </si>
  <si>
    <t>bathtub reglazing tulsa ok</t>
  </si>
  <si>
    <t>Sitelinks, Image, People also ask, Local pack, Discussions and forums, Related searches, Ads bottom</t>
  </si>
  <si>
    <t>bathtub reglazing westchester</t>
  </si>
  <si>
    <t>best bathtub reglazing</t>
  </si>
  <si>
    <t>Sitelinks, AI Overview, Video, Video carousel, People also ask, Local pack, Discussions and forums, Related searches, Popular products</t>
  </si>
  <si>
    <t>can i reglaze my bathtub</t>
  </si>
  <si>
    <t>can you reglaze a cast iron tub</t>
  </si>
  <si>
    <t>can you reglaze a sink</t>
  </si>
  <si>
    <t>can you reglaze bathroom tile</t>
  </si>
  <si>
    <t>can you reglaze fiberglass tub</t>
  </si>
  <si>
    <t>can you reglaze tile</t>
  </si>
  <si>
    <t>cincinnati bathtub and tile reglazing</t>
  </si>
  <si>
    <t>commercial shower reglazing</t>
  </si>
  <si>
    <t>cost bathtub reglazing</t>
  </si>
  <si>
    <t>cost to reglaze cast iron tub</t>
  </si>
  <si>
    <t>cost to reglaze clawfoot tub</t>
  </si>
  <si>
    <t>countertop reglazing near me</t>
  </si>
  <si>
    <t>diy bathtub reglaze</t>
  </si>
  <si>
    <t>eyeglass reglazing</t>
  </si>
  <si>
    <t>fiberglass tub reglazing near me</t>
  </si>
  <si>
    <t>g&amp;g tub &amp; tile reglazing</t>
  </si>
  <si>
    <t>glasses reglaze</t>
  </si>
  <si>
    <t>Sitelinks, Image pack, Video, People also ask, Knowledge panel, Related searches</t>
  </si>
  <si>
    <t>how many times can you reglaze a tub</t>
  </si>
  <si>
    <t>how much does bathtub reglazing cost</t>
  </si>
  <si>
    <t>how much does it cost to reglaze a sink</t>
  </si>
  <si>
    <t>how to clean reglazed bathtub</t>
  </si>
  <si>
    <t>how to reglaze a shower</t>
  </si>
  <si>
    <t>how to reglaze bathroom tile</t>
  </si>
  <si>
    <t>how to reglaze ceramic tile</t>
  </si>
  <si>
    <t>how to reglaze ceramics</t>
  </si>
  <si>
    <t>how to reglaze pottery</t>
  </si>
  <si>
    <t>how to reglaze sink</t>
  </si>
  <si>
    <t>how to reglaze tub</t>
  </si>
  <si>
    <t>is it safe to bathe in a reglazed bathtub</t>
  </si>
  <si>
    <t>kitchen sink reglaze</t>
  </si>
  <si>
    <t>Featured snippet, Sitelinks, Video, Knowledge panel, Discussions and forums, Related searches, Popular products</t>
  </si>
  <si>
    <t>local tub reglazing</t>
  </si>
  <si>
    <t>mega reglazing</t>
  </si>
  <si>
    <t>odorless bathtub reglazing</t>
  </si>
  <si>
    <t>Sitelinks, Image pack, Video, People also ask, Local pack, Related searches, Popular products</t>
  </si>
  <si>
    <t>pacific reglazing burbank</t>
  </si>
  <si>
    <t>Sitelinks, Image, Video, Knowledge panel, Related searches</t>
  </si>
  <si>
    <t>porcelain reglazing kit</t>
  </si>
  <si>
    <t>Sitelinks, Image, Image pack, Video, Video carousel, Discussions and forums, Related searches</t>
  </si>
  <si>
    <t>porcelain sink reglazing near me</t>
  </si>
  <si>
    <t>price to reglaze a bathtub</t>
  </si>
  <si>
    <t>Featured snippet, Sitelinks, Video, People also ask, Related searches, Ads bottom</t>
  </si>
  <si>
    <t>price to reglaze a tub</t>
  </si>
  <si>
    <t>professional reglazing bathtub</t>
  </si>
  <si>
    <t>Sitelinks, Video, Video carousel, Local pack, Related searches, Popular products, Ads bottom, Ads middle</t>
  </si>
  <si>
    <t>reglaze bathroom tile cost</t>
  </si>
  <si>
    <t>reglaze bathroom tiles</t>
  </si>
  <si>
    <t>Sitelinks, Image pack, Video, People also ask, Local pack, Discussions and forums, Related searches, Popular products, Ads bottom, Ads middle</t>
  </si>
  <si>
    <t>reglaze fiberglass tub cost</t>
  </si>
  <si>
    <t>Sitelinks, AI Overview, Video, Discussions and forums, Related searches, Ads bottom, Ads middle</t>
  </si>
  <si>
    <t>reglaze glasses</t>
  </si>
  <si>
    <t>Sitelinks, Image, Image pack, Video, People also ask, Knowledge panel, Related searches, Ads top, Ads bottom, Ads middle</t>
  </si>
  <si>
    <t>reglaze meaning</t>
  </si>
  <si>
    <t>Sitelinks, Instant answer, Image pack, Video, People also ask, Related searches</t>
  </si>
  <si>
    <t>reglaze or replace tub</t>
  </si>
  <si>
    <t>reglaze shower tile</t>
  </si>
  <si>
    <t>Sitelinks, Image, Image pack, Video, Video carousel, People also ask, Local pack, Related searches, Popular products, Ads bottom</t>
  </si>
  <si>
    <t>reglaze the bathtub</t>
  </si>
  <si>
    <t>reglaze tile floor</t>
  </si>
  <si>
    <t>reglaze tile near me</t>
  </si>
  <si>
    <t>reglaze tub and tile cost</t>
  </si>
  <si>
    <t>Sitelinks, Video, People also ask, Discussions and forums, Related searches, Popular products, Ads bottom</t>
  </si>
  <si>
    <t>reglaze window meaning</t>
  </si>
  <si>
    <t>reglazed tub problems</t>
  </si>
  <si>
    <t>reglazing a bathtub diy</t>
  </si>
  <si>
    <t>AI Overview, Image, Video, Video carousel, People also ask, Discussions and forums, Related searches, Ads bottom</t>
  </si>
  <si>
    <t>reglazing a cast iron tub</t>
  </si>
  <si>
    <t>Sitelinks, AI Overview, Video, Video carousel, Short videos, Related searches, Ads bottom</t>
  </si>
  <si>
    <t>reglazing a porcelain sink</t>
  </si>
  <si>
    <t>reglazing a shower</t>
  </si>
  <si>
    <t>reglazing a tub cost</t>
  </si>
  <si>
    <t>reglazing bathtub and tile</t>
  </si>
  <si>
    <t>Sitelinks, AI Overview, Image pack, Video, People also ask, Local pack, Discussions and forums, Related searches, Popular products, Ads bottom, Ads middle</t>
  </si>
  <si>
    <t>reglazing bathtub pros and cons</t>
  </si>
  <si>
    <t>Sitelinks, AI Overview, Image pack, Video carousel, Discussions and forums, Related searches</t>
  </si>
  <si>
    <t>reglazing cast iron sink</t>
  </si>
  <si>
    <t>Sitelinks, AI Overview, Image, Image pack, Video, People also ask, Discussions and forums, Related searches</t>
  </si>
  <si>
    <t>reglazing cast iron tub cost</t>
  </si>
  <si>
    <t>reglazing ceramic tile</t>
  </si>
  <si>
    <t>reglazing clawfoot bathtub</t>
  </si>
  <si>
    <t>Sitelinks, AI Overview, Image, Video, Video carousel, People also ask, Related searches, Popular products, Things to know, Ads bottom</t>
  </si>
  <si>
    <t>reglazing porcelain sink</t>
  </si>
  <si>
    <t>Sitelinks, AI Overview, Image pack, Video, Video carousel, Local pack, Discussions and forums, Related searches, Popular products</t>
  </si>
  <si>
    <t>reglazing sinks and tubs</t>
  </si>
  <si>
    <t>Sitelinks, AI Overview, Image pack, Video, Local pack, Discussions and forums, Related searches, Popular products</t>
  </si>
  <si>
    <t>reglazing tub and tile</t>
  </si>
  <si>
    <t>reglazing tubs near me</t>
  </si>
  <si>
    <t>reglazing wall tile</t>
  </si>
  <si>
    <t>reglazing your bathtub</t>
  </si>
  <si>
    <t>shower base reglazing</t>
  </si>
  <si>
    <t>shower reglazing cost</t>
  </si>
  <si>
    <t>shower tub reglazing</t>
  </si>
  <si>
    <t>Sitelinks, Image pack, Video, Local pack, Discussions and forums, Related searches, Popular products, Ads bottom, Ads middle</t>
  </si>
  <si>
    <t>sink reglaze</t>
  </si>
  <si>
    <t>sustainable reglazing</t>
  </si>
  <si>
    <t>tile reglazing cincinnati</t>
  </si>
  <si>
    <t>tile reglazing company</t>
  </si>
  <si>
    <t>toilet reglazing near me</t>
  </si>
  <si>
    <t>tub and tile reglazing cost</t>
  </si>
  <si>
    <t>tub reglaze kit</t>
  </si>
  <si>
    <t>tub reglazing brooklyn</t>
  </si>
  <si>
    <t>tub reglazing cincinnati</t>
  </si>
  <si>
    <t>tub reglazing colors</t>
  </si>
  <si>
    <t>Sitelinks, AI Overview, Image, Image pack, Video, People also ask, Related searches, Popular products, Ads bottom, Ads middle</t>
  </si>
  <si>
    <t>tub reglazing contractors</t>
  </si>
  <si>
    <t>tub reglazing detroit</t>
  </si>
  <si>
    <t>tub reglazing indianapolis</t>
  </si>
  <si>
    <t>tub reglazing maryland</t>
  </si>
  <si>
    <t>tub reglazing milwaukee</t>
  </si>
  <si>
    <t>tub reglazing raleigh nc</t>
  </si>
  <si>
    <t>tub reglazing tulsa</t>
  </si>
  <si>
    <t>tub shower reglazing</t>
  </si>
  <si>
    <t>what does reglaze a window mean</t>
  </si>
  <si>
    <t>what does reglazing a tub mean</t>
  </si>
  <si>
    <t>what does reglazing a window mean</t>
  </si>
  <si>
    <t>what is reglazing</t>
  </si>
  <si>
    <t>what is reglazing a tub</t>
  </si>
  <si>
    <t>what is tile reglazing</t>
  </si>
  <si>
    <t>window reglazing service</t>
  </si>
  <si>
    <t>a1 reglazing</t>
  </si>
  <si>
    <t>a1 reglazing ri</t>
  </si>
  <si>
    <t>Image, Image pack, Video, People also ask, Knowledge panel, Related searches</t>
  </si>
  <si>
    <t>anthony's reglazing</t>
  </si>
  <si>
    <t>bath and tile reglazing</t>
  </si>
  <si>
    <t>bath reglazing company</t>
  </si>
  <si>
    <t>Local pack, Related searches</t>
  </si>
  <si>
    <t>bath reglazing cost</t>
  </si>
  <si>
    <t>bathroom reglazing before and after</t>
  </si>
  <si>
    <t>bathroom reglazing cost</t>
  </si>
  <si>
    <t>bathroom sink reglazing near me</t>
  </si>
  <si>
    <t>bathroom tile reglazing colors</t>
  </si>
  <si>
    <t>AI Overview, Image, Image pack, Video, People also ask, Discussions and forums, Related searches</t>
  </si>
  <si>
    <t>bathroom tub and tile reglazing</t>
  </si>
  <si>
    <t>bathroom tub reglazing near me</t>
  </si>
  <si>
    <t>bathtub reglazing costs</t>
  </si>
  <si>
    <t>bathtub reglazing ct</t>
  </si>
  <si>
    <t>Sitelinks, Image, Image pack, Video, People also ask, Knowledge panel, Related searches</t>
  </si>
  <si>
    <t>bathtub reglazing indianapolis</t>
  </si>
  <si>
    <t>bathtub reglazing las vegas</t>
  </si>
  <si>
    <t>bathtub reglazing lubbock</t>
  </si>
  <si>
    <t>bathtub reglazing lubbock tx</t>
  </si>
  <si>
    <t>bathtub reglazing massachusetts</t>
  </si>
  <si>
    <t>bathtub reglazing orange county</t>
  </si>
  <si>
    <t>bathtub reglazing philadelphia</t>
  </si>
  <si>
    <t>bathtub reglazing reviews</t>
  </si>
  <si>
    <t>bathtub reglazing ri</t>
  </si>
  <si>
    <t>bathtub reglazing richmond va</t>
  </si>
  <si>
    <t>bathtub reglazing riverside ca</t>
  </si>
  <si>
    <t>bathtub reglazing supplies</t>
  </si>
  <si>
    <t>Sitelinks, AI Overview, Image, Video, Video carousel, Local pack, Related searches, Popular products</t>
  </si>
  <si>
    <t>bathtub reglazing time</t>
  </si>
  <si>
    <t>Sitelinks, AI Overview, Video, Video carousel, Knowledge panel, Discussions and forums, Related searches</t>
  </si>
  <si>
    <t>bathtub reglazing training</t>
  </si>
  <si>
    <t>best bathtub reglazing near me</t>
  </si>
  <si>
    <t>cambridge sink reglazing</t>
  </si>
  <si>
    <t>can bathroom tile be reglazed</t>
  </si>
  <si>
    <t>Sitelinks, AI Overview, Image, Video, Video carousel, Related searches, Ads bottom, Ads middle</t>
  </si>
  <si>
    <t>can you reglaze a bathtub</t>
  </si>
  <si>
    <t>can you reglaze a bathtub yourself</t>
  </si>
  <si>
    <t>can you reglaze a fiberglass shower</t>
  </si>
  <si>
    <t>can you reglaze a plastic tub</t>
  </si>
  <si>
    <t>can you reglaze bathroom floor tile</t>
  </si>
  <si>
    <t>cast iron sink reglazing near me</t>
  </si>
  <si>
    <t>ceramic tile reglazing</t>
  </si>
  <si>
    <t>Sitelinks, Video, Video carousel, People also ask, Local pack, Related searches</t>
  </si>
  <si>
    <t>ceramic tub reglazing</t>
  </si>
  <si>
    <t>clean reglazed bathtub</t>
  </si>
  <si>
    <t>commercial bathtub reglazing</t>
  </si>
  <si>
    <t>cost for reglazing a bathtub</t>
  </si>
  <si>
    <t>cost of reglazing bathroom tile</t>
  </si>
  <si>
    <t>cost to have tub reglazed</t>
  </si>
  <si>
    <t>cost to reglaze a sink</t>
  </si>
  <si>
    <t>cost to reglaze bathroom</t>
  </si>
  <si>
    <t>cost to reglaze sink</t>
  </si>
  <si>
    <t>cost to reglaze tub and tile</t>
  </si>
  <si>
    <t>custom spraying and reglazing</t>
  </si>
  <si>
    <t>Image pack, Video, People also ask</t>
  </si>
  <si>
    <t>diy tile reglazing</t>
  </si>
  <si>
    <t>does reglazing a bathtub work</t>
  </si>
  <si>
    <t>does reglazing a tub last</t>
  </si>
  <si>
    <t>does reglazing a tub work</t>
  </si>
  <si>
    <t>Sitelinks, AI Overview, Image, Video, Related searches</t>
  </si>
  <si>
    <t>floor tile reglazing</t>
  </si>
  <si>
    <t>Image pack, Video, People also ask, Discussions and forums, Related searches, Things to know</t>
  </si>
  <si>
    <t>floor tile reglazing colors</t>
  </si>
  <si>
    <t>g&amp;g tub and tile reglazing</t>
  </si>
  <si>
    <t>hollywood tub reglaze service</t>
  </si>
  <si>
    <t>how long does reglazing a bathtub last</t>
  </si>
  <si>
    <t>how much does it cost to reglaze a clawfoot tub</t>
  </si>
  <si>
    <t>Sitelinks, AI Overview, Image, Video, Related searches, Popular products</t>
  </si>
  <si>
    <t>how much does it cost to reglaze bathroom tile</t>
  </si>
  <si>
    <t>how much does it cost to reglaze tile</t>
  </si>
  <si>
    <t>how much does tub reglazing cost</t>
  </si>
  <si>
    <t>Sitelinks, AI Overview, Image, Video, Discussions and forums, Related searches</t>
  </si>
  <si>
    <t>how much to reglaze a shower</t>
  </si>
  <si>
    <t>how much to reglaze a sink</t>
  </si>
  <si>
    <t>AI Overview, Image pack, Video, People also ask, Discussions and forums, Related searches, Ads bottom, Ads middle</t>
  </si>
  <si>
    <t>how much to reglaze bathroom tile</t>
  </si>
  <si>
    <t>how much to reglaze bathtub</t>
  </si>
  <si>
    <t>how much to reglaze tile</t>
  </si>
  <si>
    <t>how to reglaze a bathtub yourself</t>
  </si>
  <si>
    <t>how to reglaze a tub yourself</t>
  </si>
  <si>
    <t>how to reglaze tub and tile</t>
  </si>
  <si>
    <t>Featured snippet, Sitelinks, Video, People also ask, Related searches</t>
  </si>
  <si>
    <t>how to reglaze your bathtub</t>
  </si>
  <si>
    <t>Featured snippet, Sitelinks, Image pack, Video, Discussions and forums, Related searches</t>
  </si>
  <si>
    <t>is reglazing a tub a good idea</t>
  </si>
  <si>
    <t>is reglazing a tub toxic</t>
  </si>
  <si>
    <t>is reglazing tile a good idea</t>
  </si>
  <si>
    <t>kitchen countertop reglazing</t>
  </si>
  <si>
    <t>maryland tub reglazing</t>
  </si>
  <si>
    <t>new england reglaze</t>
  </si>
  <si>
    <t>pacific reglazing</t>
  </si>
  <si>
    <t>pacific reglazing inc</t>
  </si>
  <si>
    <t>paramount reglaze</t>
  </si>
  <si>
    <t>porcelain sink reglazing</t>
  </si>
  <si>
    <t>Featured snippet, Sitelinks, Video, Video carousel, People also ask, Local pack, Discussions and forums, Related searches, Popular products</t>
  </si>
  <si>
    <t>price of reglazing bathtub</t>
  </si>
  <si>
    <t>price to reglaze bathtub</t>
  </si>
  <si>
    <t>professional tile reglazing</t>
  </si>
  <si>
    <t>professional tub reglazing products</t>
  </si>
  <si>
    <t>proper reglazing</t>
  </si>
  <si>
    <t>reglaze a bathtub myself</t>
  </si>
  <si>
    <t>reglaze a tub</t>
  </si>
  <si>
    <t>Sitelinks, AI Overview, Video, Local pack, Discussions and forums, Related searches, See results about</t>
  </si>
  <si>
    <t>reglaze ceramic tile</t>
  </si>
  <si>
    <t>reglaze countertop</t>
  </si>
  <si>
    <t>Sitelinks, Image pack, Video, Video carousel, People also ask, Related searches</t>
  </si>
  <si>
    <t>reglaze fiberglass tub surround</t>
  </si>
  <si>
    <t>reglaze lenses</t>
  </si>
  <si>
    <t>reglaze my bathtub</t>
  </si>
  <si>
    <t>reglaze old tile</t>
  </si>
  <si>
    <t>reglaze shower cost</t>
  </si>
  <si>
    <t>reglaze tile and tub</t>
  </si>
  <si>
    <t>reglaze windows near me</t>
  </si>
  <si>
    <t>Sitelinks, AI Overview, Video, Local pack, Related searches, Ads bottom</t>
  </si>
  <si>
    <t>reglazed meaning</t>
  </si>
  <si>
    <t>Featured snippet, Sitelinks, Instant answer, Image pack, Video, People also ask, Related searches</t>
  </si>
  <si>
    <t>reglazers near me</t>
  </si>
  <si>
    <t>reglazing a bathtub cost</t>
  </si>
  <si>
    <t>reglazing a clawfoot tub</t>
  </si>
  <si>
    <t>reglazing a tub near me</t>
  </si>
  <si>
    <t>reglazing bathroom floor tiles</t>
  </si>
  <si>
    <t>reglazing bathroom sinks</t>
  </si>
  <si>
    <t>reglazing bathroom tile cost</t>
  </si>
  <si>
    <t>reglazing bathroom tile near me</t>
  </si>
  <si>
    <t>reglazing bathroom wall tile</t>
  </si>
  <si>
    <t>reglazing bathtubs cost</t>
  </si>
  <si>
    <t>Sitelinks, Image pack, Video, People also ask, Discussions and forums, Related searches, Popular products, Ads bottom</t>
  </si>
  <si>
    <t>reglazing cast iron bathtub</t>
  </si>
  <si>
    <t>Sitelinks, AI Overview, Video, Video carousel, People also ask, Local pack, Related searches, Ads bottom, Ads middle</t>
  </si>
  <si>
    <t>reglazing ceramic floor tile</t>
  </si>
  <si>
    <t>reglazing countertops</t>
  </si>
  <si>
    <t>reglazing fiberglass shower</t>
  </si>
  <si>
    <t>reglazing fiberglass shower stall</t>
  </si>
  <si>
    <t>Sitelinks, Video, People also ask, Related searches</t>
  </si>
  <si>
    <t>reglazing fiberglass shower tub</t>
  </si>
  <si>
    <t>reglazing floor tile</t>
  </si>
  <si>
    <t>AI Overview, Image pack, Video, People also ask, Discussions and forums, Related searches, Things to know</t>
  </si>
  <si>
    <t>reglazing old bathroom tiles</t>
  </si>
  <si>
    <t>Sitelinks, AI Overview, Image, Video, Video carousel, Local pack, Discussions and forums, Related searches, Ads bottom</t>
  </si>
  <si>
    <t>reglazing pottery</t>
  </si>
  <si>
    <t>reglazing services near me</t>
  </si>
  <si>
    <t>reglazing shower enclosure</t>
  </si>
  <si>
    <t>AI Overview, Image pack, Video, Video carousel, People also ask, Local pack, Related searches, Ads bottom</t>
  </si>
  <si>
    <t>reglazing shower pan</t>
  </si>
  <si>
    <t>Image pack, Video, People also ask, Discussions and forums, Related searches, Popular products, Ads bottom, Ads middle</t>
  </si>
  <si>
    <t>reglazing sink cost</t>
  </si>
  <si>
    <t>reglazing tile cost</t>
  </si>
  <si>
    <t>reglazing tile in bathroom</t>
  </si>
  <si>
    <t>Sitelinks, AI Overview, Image, Video, Video carousel, People also ask, Related searches, Things to know, Ads bottom</t>
  </si>
  <si>
    <t>reglazing tile shower</t>
  </si>
  <si>
    <t>reglazing tiles do it yourself</t>
  </si>
  <si>
    <t>reglazing tub before and after</t>
  </si>
  <si>
    <t>Sitelinks, Image, Image pack, Video, Video carousel, Short videos, Discussions and forums, Related searches</t>
  </si>
  <si>
    <t>reglazing tub companies</t>
  </si>
  <si>
    <t>reglazing tub companies near me</t>
  </si>
  <si>
    <t>reglazing tubs and sinks</t>
  </si>
  <si>
    <t>reglazing vs refinishing tub</t>
  </si>
  <si>
    <t>reglazing your tub</t>
  </si>
  <si>
    <t>AI Overview, Image pack, Video, Local pack, Discussions and forums, Related searches</t>
  </si>
  <si>
    <t>shower reglazing before and after</t>
  </si>
  <si>
    <t>shower stall reglazing</t>
  </si>
  <si>
    <t>Sitelinks, AI Overview, Image pack, Video, Video carousel, People also ask, Local pack, Related searches, Popular products, Things to know</t>
  </si>
  <si>
    <t>sink reglazing cost</t>
  </si>
  <si>
    <t>st louis bathtub and tile reglazing</t>
  </si>
  <si>
    <t>tile reglazers near me</t>
  </si>
  <si>
    <t>tile reglazing companies</t>
  </si>
  <si>
    <t>People also ask, Local pack, Related searches, Ads bottom</t>
  </si>
  <si>
    <t>toilet reglazing</t>
  </si>
  <si>
    <t>tub and sink reglazing</t>
  </si>
  <si>
    <t>Sitelinks, Image pack, Video, Local pack, Related searches, Popular products</t>
  </si>
  <si>
    <t>tub needs reglazing</t>
  </si>
  <si>
    <t>Sitelinks, AI Overview, Video, Video carousel, People also ask, Local pack, Discussions and forums, Related searches, Things to know</t>
  </si>
  <si>
    <t>tub reglazing buffalo ny</t>
  </si>
  <si>
    <t>Sitelinks, AI Overview, Image, Image pack, Video, People also ask, Knowledge panel, Related searches, Ads bottom</t>
  </si>
  <si>
    <t>tub reglazing care instructions</t>
  </si>
  <si>
    <t>tub reglazing orange county</t>
  </si>
  <si>
    <t>tub reglazing process</t>
  </si>
  <si>
    <t>Sitelinks, AI Overview, Image pack, Video, People also ask, Related searches, Things to know</t>
  </si>
  <si>
    <t>tub reglazing reviews</t>
  </si>
  <si>
    <t>tub reglazing richmond va</t>
  </si>
  <si>
    <t>tub reglazing riverside ca</t>
  </si>
  <si>
    <t>tub reglazing service</t>
  </si>
  <si>
    <t>tub reglazing st louis</t>
  </si>
  <si>
    <t>tub reglazing tampa</t>
  </si>
  <si>
    <t>Sitelinks, Video, People also ask, Knowledge panel, Ads bottom</t>
  </si>
  <si>
    <t>what does it mean to reglaze a window</t>
  </si>
  <si>
    <t>what is reglaze window</t>
  </si>
  <si>
    <t>white glove bathtub and tile reglazing</t>
  </si>
  <si>
    <t>who can reglaze a bathtub</t>
  </si>
  <si>
    <t>who reglazes bathtubs</t>
  </si>
  <si>
    <t>Sitelinks, AI Overview, Video, Video carousel, Local pack, Ads bottom</t>
  </si>
  <si>
    <t>bath mats for reglazed bathtubs</t>
  </si>
  <si>
    <t>bathtub reglaze or replace</t>
  </si>
  <si>
    <t>bathtub reglazers professionals</t>
  </si>
  <si>
    <t>bathtub reglazing company</t>
  </si>
  <si>
    <t>bathtub reglazing denver</t>
  </si>
  <si>
    <t>bathtub reglazing elizabeth nj</t>
  </si>
  <si>
    <t>bathtub reglazing epoxy</t>
  </si>
  <si>
    <t>bathtub reglazing hollywood fl</t>
  </si>
  <si>
    <t>bathtub reglazing home depot</t>
  </si>
  <si>
    <t>bathtub reglazing in</t>
  </si>
  <si>
    <t>bathtub reglazing maryland</t>
  </si>
  <si>
    <t>bathtub reglazing memphis tn</t>
  </si>
  <si>
    <t>Sitelinks, Image, Video, Local pack, Discussions and forums, Related searches, Ads bottom</t>
  </si>
  <si>
    <t>bathtub reglazing michigan</t>
  </si>
  <si>
    <t>bathtub reglazing minneapolis</t>
  </si>
  <si>
    <t>bathtub reglazing orange county california</t>
  </si>
  <si>
    <t>bathtub reglazing pittsburgh pa</t>
  </si>
  <si>
    <t>Sitelinks, Image, Image pack, Video, People also ask, Local pack, Discussions and forums, Related searches</t>
  </si>
  <si>
    <t>bathtub reglazing service near me</t>
  </si>
  <si>
    <t>bathtub reglazing service raleigh nc</t>
  </si>
  <si>
    <t>bathtub reglazing services raleigh nc</t>
  </si>
  <si>
    <t>bathtub reglazing union</t>
  </si>
  <si>
    <t>bathtub reglazing worcester ma</t>
  </si>
  <si>
    <t>before and after tile reglazing</t>
  </si>
  <si>
    <t>before and after tub reglazing</t>
  </si>
  <si>
    <t>best bathtub reglazing company</t>
  </si>
  <si>
    <t>Video, Local pack, Related searches, Popular products</t>
  </si>
  <si>
    <t>can a bathtub be reglazed</t>
  </si>
  <si>
    <t>can a fiberglass tub be reglazed</t>
  </si>
  <si>
    <t>can you reglaze a tile floor</t>
  </si>
  <si>
    <t>can you reglaze a toilet</t>
  </si>
  <si>
    <t>can you reglaze a toilet bowl</t>
  </si>
  <si>
    <t>can you reglaze ceramic tile</t>
  </si>
  <si>
    <t>ceramic reglazing</t>
  </si>
  <si>
    <t>chicago tub reglazing one day</t>
  </si>
  <si>
    <t>commercial glass reglazing</t>
  </si>
  <si>
    <t>companies that reglaze bathtubs near me</t>
  </si>
  <si>
    <t>Video, People also ask, Local pack, Related searches, Ads top, Ads bottom, Ads middle</t>
  </si>
  <si>
    <t>cost to have bathtub reglazed</t>
  </si>
  <si>
    <t>countertop reglaze</t>
  </si>
  <si>
    <t>countertop reglazing services raleigh nc</t>
  </si>
  <si>
    <t>dedham shower reglazing</t>
  </si>
  <si>
    <t>Sitelinks, Knowledge panel, Related searches, Ads bottom</t>
  </si>
  <si>
    <t>do it yourself tile reglazing</t>
  </si>
  <si>
    <t>does reglazing tile last</t>
  </si>
  <si>
    <t>does tub reglazing work</t>
  </si>
  <si>
    <t>glass reglazing</t>
  </si>
  <si>
    <t>how long does reglazing tile last</t>
  </si>
  <si>
    <t>how much does it cost to have a tub reglazed</t>
  </si>
  <si>
    <t>Sitelinks, AI Overview, Video, Related searches, Ads bottom, Ads middle</t>
  </si>
  <si>
    <t>how much does it cost to reglaze a fiberglass tub</t>
  </si>
  <si>
    <t>how much does it cost to reglaze a porcelain tub</t>
  </si>
  <si>
    <t>how much does it cost to reglaze a shower</t>
  </si>
  <si>
    <t>how much does reglazing a bathtub cost</t>
  </si>
  <si>
    <t>how much to reglaze a bathroom</t>
  </si>
  <si>
    <t>how much to reglaze tub</t>
  </si>
  <si>
    <t>how to reglaze a clawfoot bathtub</t>
  </si>
  <si>
    <t>how to reglaze a tub and tile</t>
  </si>
  <si>
    <t>how to reglaze bathtub diy</t>
  </si>
  <si>
    <t>how to reglaze your tub</t>
  </si>
  <si>
    <t>how to reglazing bathtubs do it yourself</t>
  </si>
  <si>
    <t>is reglazing a bathtub a good idea</t>
  </si>
  <si>
    <t>lynn bathtub reglazing</t>
  </si>
  <si>
    <t>porcelain reglazing services</t>
  </si>
  <si>
    <t>professional reglazing tub</t>
  </si>
  <si>
    <t>Sitelinks, Image pack, Video, Video carousel, Local pack, Related searches, Popular products, Ads bottom</t>
  </si>
  <si>
    <t>reglaze a bathtub yourself</t>
  </si>
  <si>
    <t>reglaze bathroom tile yourself</t>
  </si>
  <si>
    <t>reglaze bathtub yourself</t>
  </si>
  <si>
    <t>reglaze ceramic sink</t>
  </si>
  <si>
    <t>AI Overview, Image pack, Video, People also ask, Discussions and forums, Related searches, Popular products</t>
  </si>
  <si>
    <t>reglaze countertops</t>
  </si>
  <si>
    <t>reglaze kitchen sink cost</t>
  </si>
  <si>
    <t>reglaze pros</t>
  </si>
  <si>
    <t>reglaze shower stall</t>
  </si>
  <si>
    <t>Image pack, Video, People also ask, Related searches</t>
  </si>
  <si>
    <t>reglaze shower tile cost</t>
  </si>
  <si>
    <t>Sitelinks, Video, Discussions and forums, Related searches, Ads bottom</t>
  </si>
  <si>
    <t>reglaze tub yourself</t>
  </si>
  <si>
    <t>Sitelinks, AI Overview, Image, Image pack, Video, Video carousel, Short videos, Discussions and forums, Related searches</t>
  </si>
  <si>
    <t>reglazed bathtub cleaning</t>
  </si>
  <si>
    <t>reglazing a kitchen sink</t>
  </si>
  <si>
    <t>reglazing a tub yourself</t>
  </si>
  <si>
    <t>AI Overview, Image, Image pack, Video, Video carousel, Short videos, Discussions and forums, Related searches</t>
  </si>
  <si>
    <t>reglazing bathroom sink</t>
  </si>
  <si>
    <t>reglazing bathtub nyc</t>
  </si>
  <si>
    <t>reglazing bathtub price</t>
  </si>
  <si>
    <t>Sitelinks, AI Overview, Video, Related searches, Popular products</t>
  </si>
  <si>
    <t>reglazing company</t>
  </si>
  <si>
    <t>reglazing fiberglass tub</t>
  </si>
  <si>
    <t>Sitelinks, Video, Video carousel, People also ask, Local pack, Discussions and forums, Related searches, Popular products, Things to know, Ads top, Ads bottom</t>
  </si>
  <si>
    <t>reglazing floor tiles</t>
  </si>
  <si>
    <t>AI Overview, Image pack, Video, Video carousel, Local pack, Related searches</t>
  </si>
  <si>
    <t>reglazing kitchen cabinets</t>
  </si>
  <si>
    <t>reglazing old bathtub</t>
  </si>
  <si>
    <t>Sitelinks, AI Overview, Video, Local pack, Discussions and forums, Related searches</t>
  </si>
  <si>
    <t>reglazing old windows</t>
  </si>
  <si>
    <t>reglazing porcelain cast iron sink</t>
  </si>
  <si>
    <t>reglazing showers</t>
  </si>
  <si>
    <t>Image pack, Video, People also ask, Local pack, Related searches, Ads top, Ads bottom, Ads middle</t>
  </si>
  <si>
    <t>reglazing sinks</t>
  </si>
  <si>
    <t>reglazing tile colors</t>
  </si>
  <si>
    <t>AI Overview, Image, Image pack, Video, People also ask, Related searches, Ads bottom, Ads middle</t>
  </si>
  <si>
    <t>reglazing tile floor</t>
  </si>
  <si>
    <t>Image pack, Video, Discussions and forums, Related searches</t>
  </si>
  <si>
    <t>reglazing tubs and tile</t>
  </si>
  <si>
    <t>reglazing windows vs. replacing</t>
  </si>
  <si>
    <t>should i reglaze my tub</t>
  </si>
  <si>
    <t>shower mat without suction cups for reglazed surface</t>
  </si>
  <si>
    <t>shower reglazing kit</t>
  </si>
  <si>
    <t>shower tile reglazing</t>
  </si>
  <si>
    <t>st louis bathtub &amp; tile reglazing llc</t>
  </si>
  <si>
    <t>st louis bathtub and tile reglazing reviews</t>
  </si>
  <si>
    <t>tile and tub reglazing</t>
  </si>
  <si>
    <t>tile reglazing companies near me</t>
  </si>
  <si>
    <t>toilet reglazing kit</t>
  </si>
  <si>
    <t>Sitelinks, Image pack, Video, Video carousel, People also ask, Explore brands, Related searches</t>
  </si>
  <si>
    <t>tub and shower reglazing near me</t>
  </si>
  <si>
    <t>tub mats for reglazed tubs</t>
  </si>
  <si>
    <t>Sitelinks, Image, Image pack, Video, Video carousel, People also ask, Discussions and forums, Related searches, Popular products, Ads bottom</t>
  </si>
  <si>
    <t>tub quality reglaze</t>
  </si>
  <si>
    <t>Sitelinks, Video, Video carousel, Local pack, Discussions and forums, Popular products</t>
  </si>
  <si>
    <t>tub reglaze near me</t>
  </si>
  <si>
    <t>Image pack, Video, Local pack, Related searches, Ads top, Ads bottom, Ads middle</t>
  </si>
  <si>
    <t>tub reglazing in my area</t>
  </si>
  <si>
    <t>tub reglazing louisville ky</t>
  </si>
  <si>
    <t>tub reglazing massachusetts</t>
  </si>
  <si>
    <t>tub reglazing orange county ca</t>
  </si>
  <si>
    <t>tub reglazing pittsburgh</t>
  </si>
  <si>
    <t>tub reglazing pittsburgh pa</t>
  </si>
  <si>
    <t>tub reglazing ri</t>
  </si>
  <si>
    <t>tub reglazing st louis mo</t>
  </si>
  <si>
    <t>tub reglazing staten island</t>
  </si>
  <si>
    <t>tub tile reglazing</t>
  </si>
  <si>
    <t>watertown tile reglazing</t>
  </si>
  <si>
    <t>westchester reglazing</t>
  </si>
  <si>
    <t>what is reglaze bathtub</t>
  </si>
  <si>
    <t>what is reglazing bathtub</t>
  </si>
  <si>
    <t>Sitelinks, AI Overview, Image pack, Video, Related searches, See results about</t>
  </si>
  <si>
    <t>what to use to clean a reglazed bathtub</t>
  </si>
  <si>
    <t>Sitelinks, Video, Video carousel, People also ask, Related searches</t>
  </si>
  <si>
    <t>window reglazing and repair</t>
  </si>
  <si>
    <t>window reglazing cost</t>
  </si>
  <si>
    <t>a1 reglaze reviews</t>
  </si>
  <si>
    <t>AI Overview, Image pack, Video, People also ask, Knowledge panel</t>
  </si>
  <si>
    <t>adamov reglazing</t>
  </si>
  <si>
    <t>advanced reglazing</t>
  </si>
  <si>
    <t>american tub reglazing</t>
  </si>
  <si>
    <t>arlington shower reglazing</t>
  </si>
  <si>
    <t>arlington sink reglazing</t>
  </si>
  <si>
    <t>average cost of bathtub reglazing</t>
  </si>
  <si>
    <t>bathroom reglazing ma</t>
  </si>
  <si>
    <t>bathroom tile reglazing westland</t>
  </si>
  <si>
    <t>bathrub reglazing</t>
  </si>
  <si>
    <t>bathtub and tile reglazing cost</t>
  </si>
  <si>
    <t>bathtub reglazing baltimore</t>
  </si>
  <si>
    <t>bathtub reglazing baltimore md</t>
  </si>
  <si>
    <t>bathtub reglazing boise</t>
  </si>
  <si>
    <t>bathtub reglazing cincinnati ohio</t>
  </si>
  <si>
    <t>bathtub reglazing columbus ohio</t>
  </si>
  <si>
    <t>bathtub reglazing companies raleigh nc</t>
  </si>
  <si>
    <t>bathtub reglazing denver co</t>
  </si>
  <si>
    <t>bathtub reglazing diy</t>
  </si>
  <si>
    <t>bathtub reglazing equipment</t>
  </si>
  <si>
    <t>bathtub reglazing erie pa</t>
  </si>
  <si>
    <t>bathtub reglazing fort lauderdale</t>
  </si>
  <si>
    <t>bathtub reglazing hawaii</t>
  </si>
  <si>
    <t>bathtub reglazing in los angeles</t>
  </si>
  <si>
    <t>bathtub reglazing in orange county ca</t>
  </si>
  <si>
    <t>Sitelinks, Video, Local pack, Discussions and forums, Related searches, Ads bottom</t>
  </si>
  <si>
    <t>bathtub reglazing long beach</t>
  </si>
  <si>
    <t>bathtub reglazing long beach ca</t>
  </si>
  <si>
    <t>bathtub reglazing louisville</t>
  </si>
  <si>
    <t>Sitelinks, Local pack, Related searches, Ads bottom</t>
  </si>
  <si>
    <t>bathtub reglazing louisville ky</t>
  </si>
  <si>
    <t>Sitelinks, Image, Local pack, Related searches</t>
  </si>
  <si>
    <t>bathtub reglazing miami gardens fl</t>
  </si>
  <si>
    <t>bathtub reglazing nashville</t>
  </si>
  <si>
    <t>Sitelinks, AI Overview, Image pack, Video, Knowledge panel, Discussions and forums, Related searches</t>
  </si>
  <si>
    <t>bathtub reglazing nashville tn</t>
  </si>
  <si>
    <t>Sitelinks, Image, Video, Knowledge panel, Related searches, Ads bottom</t>
  </si>
  <si>
    <t>bathtub reglazing pittsburgh</t>
  </si>
  <si>
    <t>bathtub reglazing pro</t>
  </si>
  <si>
    <t>bathtub reglazing professionals</t>
  </si>
  <si>
    <t>bathtub reglazing queens</t>
  </si>
  <si>
    <t>bathtub reglazing queens ny</t>
  </si>
  <si>
    <t>bathtub reglazing repair raleigh nc</t>
  </si>
  <si>
    <t>bathtub reglazing rochester ny</t>
  </si>
  <si>
    <t>bathtub reglazing south florida</t>
  </si>
  <si>
    <t>bathtub reglazing staten island</t>
  </si>
  <si>
    <t>bathtub tile reglazing</t>
  </si>
  <si>
    <t>best bathtub reglazing kit</t>
  </si>
  <si>
    <t>best cleaner for reglazed tub</t>
  </si>
  <si>
    <t>best reglazing bathtub</t>
  </si>
  <si>
    <t>best tile reglazing</t>
  </si>
  <si>
    <t>boston shower reglazing</t>
  </si>
  <si>
    <t>boston sink reglazing</t>
  </si>
  <si>
    <t>can you reglaze floor tiles</t>
  </si>
  <si>
    <t>can you use magic eraser on reglazed tub</t>
  </si>
  <si>
    <t>chicago tub reglazing</t>
  </si>
  <si>
    <t>cleaning a reglazed bathtub</t>
  </si>
  <si>
    <t>AI Overview, Image, Video, Video carousel, Discussions and forums, Related searches</t>
  </si>
  <si>
    <t>cleaning a reglazed tub</t>
  </si>
  <si>
    <t>cleaning reglazed tub</t>
  </si>
  <si>
    <t>cleaning reglazed tubs</t>
  </si>
  <si>
    <t>clear project llc tub and tile reglazing</t>
  </si>
  <si>
    <t>companies that reglaze tubs</t>
  </si>
  <si>
    <t>cost for bathtub reglazing</t>
  </si>
  <si>
    <t>cost of tile reglazing</t>
  </si>
  <si>
    <t>cost reglaze tub</t>
  </si>
  <si>
    <t>cost to reglaze bathroom tiles</t>
  </si>
  <si>
    <t>cost to reglaze shower</t>
  </si>
  <si>
    <t>cost to reglaze tile</t>
  </si>
  <si>
    <t>counter reglazing</t>
  </si>
  <si>
    <t>counter reglazing in raleigh nc</t>
  </si>
  <si>
    <t>countertop reglazing raleigh nc</t>
  </si>
  <si>
    <t>countertop reglazing riverside</t>
  </si>
  <si>
    <t>dedham bathtub reglazing</t>
  </si>
  <si>
    <t>dedham sink reglazing</t>
  </si>
  <si>
    <t>diy tub reglazing kit</t>
  </si>
  <si>
    <t>excellence reglazing</t>
  </si>
  <si>
    <t>Image pack, Video, People also ask, Knowledge panel, Related searches, Ads bottom, Ads middle</t>
  </si>
  <si>
    <t>fiberglass tub reglazing</t>
  </si>
  <si>
    <t>Sitelinks, Video, Video carousel, Short videos, Local pack, Discussions and forums, Related searches</t>
  </si>
  <si>
    <t>geos reglaze</t>
  </si>
  <si>
    <t>glasses reglazing</t>
  </si>
  <si>
    <t>Sitelinks, Image pack, Video, Knowledge panel, Related searches, Popular products</t>
  </si>
  <si>
    <t>how long does a reglazed tub last</t>
  </si>
  <si>
    <t>Sitelinks, AI Overview, Video, Short videos, Discussions and forums, Related searches</t>
  </si>
  <si>
    <t>how long does bathtub reglazing smell last</t>
  </si>
  <si>
    <t>how long does reglazing smell last</t>
  </si>
  <si>
    <t>how long to wait after reglazing bathtub</t>
  </si>
  <si>
    <t>how much does a tub reglazing cost</t>
  </si>
  <si>
    <t>how much does it cost to get a tub reglazed</t>
  </si>
  <si>
    <t>how much does it cost to have a bathtub reglazed</t>
  </si>
  <si>
    <t>how much does it cost to reglaze tub</t>
  </si>
  <si>
    <t>Sitelinks, Video, People also ask, Discussions and forums, Related searches</t>
  </si>
  <si>
    <t>how much is bathtub reglazing</t>
  </si>
  <si>
    <t>how much is tub reglazing</t>
  </si>
  <si>
    <t>how much to reglaze tub and tile</t>
  </si>
  <si>
    <t>how to reglaze kitchen sink</t>
  </si>
  <si>
    <t>how to reglaze old windows</t>
  </si>
  <si>
    <t>how to reglaze shower tile</t>
  </si>
  <si>
    <t>how to reglaze tile in shower</t>
  </si>
  <si>
    <t>how to reglaze tiles</t>
  </si>
  <si>
    <t>how to reglaze window</t>
  </si>
  <si>
    <t>how to remove stains from reglazed tub</t>
  </si>
  <si>
    <t>is bathtub reglazing worth it</t>
  </si>
  <si>
    <t>AI Overview, Image pack, Video, People also ask, Related searches</t>
  </si>
  <si>
    <t>is it better to reglaze or replace a bathtub</t>
  </si>
  <si>
    <t>jersey shore tub and tile reglazing</t>
  </si>
  <si>
    <t>jlf tub &amp; tile reglazing</t>
  </si>
  <si>
    <t>Sitelinks, Video, Knowledge panel, Related searches, Ads bottom</t>
  </si>
  <si>
    <t>kitchen countertop reglazing in raleigh nc</t>
  </si>
  <si>
    <t>kitchen countertop reglazing raleigh nc</t>
  </si>
  <si>
    <t>kitchen sink reglazing cost</t>
  </si>
  <si>
    <t>los angeles bathtub reglazing</t>
  </si>
  <si>
    <t>miami gardens tub reglaze service</t>
  </si>
  <si>
    <t>miracle method reglazing</t>
  </si>
  <si>
    <t>Sitelinks, Image pack, Video, People also ask, Local pack, Related searches, Ads bottom, Ads middle</t>
  </si>
  <si>
    <t>newton bathtub reglazing</t>
  </si>
  <si>
    <t>Sitelinks, Video, Video carousel, People also ask, Related searches, Ads bottom</t>
  </si>
  <si>
    <t>newton sink reglazing</t>
  </si>
  <si>
    <t>newton tile reglazing</t>
  </si>
  <si>
    <t>nyc bathtub reglazing</t>
  </si>
  <si>
    <t>one day bath reglazing</t>
  </si>
  <si>
    <t>pembroke pines tub reglaze service</t>
  </si>
  <si>
    <t>reglaze a bathtub cost</t>
  </si>
  <si>
    <t>reglaze a sink</t>
  </si>
  <si>
    <t>reglaze bathroom floor tile</t>
  </si>
  <si>
    <t>reglaze bathtub diy</t>
  </si>
  <si>
    <t>reglaze bathtub price</t>
  </si>
  <si>
    <t>reglaze granite countertops</t>
  </si>
  <si>
    <t>reglaze kitchen countertop</t>
  </si>
  <si>
    <t>reglaze my glasses</t>
  </si>
  <si>
    <t>reglaze shower enclosure</t>
  </si>
  <si>
    <t>reglaze tile countertops</t>
  </si>
  <si>
    <t>Featured snippet, Sitelinks, Image pack, Video, Local pack, Discussions and forums, Related searches, Popular products</t>
  </si>
  <si>
    <t>reglaze tiles</t>
  </si>
  <si>
    <t>reglaze window cost</t>
  </si>
  <si>
    <t>reglaze your tub</t>
  </si>
  <si>
    <t>Sitelinks, AI Overview, Image pack, Video, Discussions and forums, Related searches, Ads bottom, Ads middle</t>
  </si>
  <si>
    <t>reglazed</t>
  </si>
  <si>
    <t>reglazed countertops</t>
  </si>
  <si>
    <t>AI Overview, Image pack, Video, People also ask, Local pack, Related searches</t>
  </si>
  <si>
    <t>reglazed countertops raleigh nc</t>
  </si>
  <si>
    <t>reglazed tile</t>
  </si>
  <si>
    <t>reglazing a bathroom</t>
  </si>
  <si>
    <t>reglazing a fiberglass tub</t>
  </si>
  <si>
    <t>reglazing bathroom tiles cost</t>
  </si>
  <si>
    <t>reglazing bathtub and tile cost</t>
  </si>
  <si>
    <t>reglazing bathtub los angeles</t>
  </si>
  <si>
    <t>reglazing clawfoot tub</t>
  </si>
  <si>
    <t>reglazing countertops kitchen</t>
  </si>
  <si>
    <t>Sitelinks, Image pack, Video, Video carousel, People also ask, Local pack, Related searches, Ads bottom</t>
  </si>
  <si>
    <t>reglazing countertops kitchen in raleigh nc</t>
  </si>
  <si>
    <t>reglazing glasses</t>
  </si>
  <si>
    <t>Sitelinks, Image, Image pack, Video, Related searches, Popular products, Ads top, Ads bottom, Ads middle</t>
  </si>
  <si>
    <t>reglazing kit</t>
  </si>
  <si>
    <t>reglazing kitchen countertops</t>
  </si>
  <si>
    <t>Sitelinks, Video, Video carousel, People also ask, Local pack, Popular products</t>
  </si>
  <si>
    <t>reglazing kitchen sink cost</t>
  </si>
  <si>
    <t>reglazing peeling bathtub</t>
  </si>
  <si>
    <t>reglazing porcelain sinks</t>
  </si>
  <si>
    <t>reglazing spectacles</t>
  </si>
  <si>
    <t>Sitelinks, AI Overview, Image pack, Video, Knowledge panel, Related searches, Popular products</t>
  </si>
  <si>
    <t>reglazing tile and tub</t>
  </si>
  <si>
    <t>reglazing tile countertops</t>
  </si>
  <si>
    <t>reglazing tile near me</t>
  </si>
  <si>
    <t>reglazing tiles and tub</t>
  </si>
  <si>
    <t>reglazing tub and tile cost</t>
  </si>
  <si>
    <t>reglazing tub and tile near me</t>
  </si>
  <si>
    <t>reglazing tubs cost</t>
  </si>
  <si>
    <t>reglazo de mango</t>
  </si>
  <si>
    <t>replace or reglaze bathtub</t>
  </si>
  <si>
    <t>shower pan reglazing</t>
  </si>
  <si>
    <t>shower reglaze cost</t>
  </si>
  <si>
    <t>sink reglazers near me</t>
  </si>
  <si>
    <t>somerville shower reglazing</t>
  </si>
  <si>
    <t>spectacle reglazing</t>
  </si>
  <si>
    <t>tile reglazers</t>
  </si>
  <si>
    <t>tile reglazing hollywood fl</t>
  </si>
  <si>
    <t>tile reglazing massachusetts</t>
  </si>
  <si>
    <t>tile reglazing miami gardens fl</t>
  </si>
  <si>
    <t>tile reglazing morristown</t>
  </si>
  <si>
    <t>tile reglazing pembroke pines fl</t>
  </si>
  <si>
    <t>tile reglazing union</t>
  </si>
  <si>
    <t>tile tub reglazing</t>
  </si>
  <si>
    <t>tub &amp; tile reglazing</t>
  </si>
  <si>
    <t>tub and tile reglazing kit</t>
  </si>
  <si>
    <t>tub reglazed</t>
  </si>
  <si>
    <t>tub reglazing baltimore</t>
  </si>
  <si>
    <t>tub reglazing boston area</t>
  </si>
  <si>
    <t>tub reglazing company</t>
  </si>
  <si>
    <t>tub reglazing cost average</t>
  </si>
  <si>
    <t>tub reglazing ct</t>
  </si>
  <si>
    <t>tub reglazing denver</t>
  </si>
  <si>
    <t>tub reglazing in los angeles</t>
  </si>
  <si>
    <t>tub reglazing long beach</t>
  </si>
  <si>
    <t>tub reglazing long beach ca</t>
  </si>
  <si>
    <t>tub reglazing ma</t>
  </si>
  <si>
    <t>tub reglazing nashville</t>
  </si>
  <si>
    <t>tub reglazing nashville tn</t>
  </si>
  <si>
    <t>Sitelinks, Image, Video, Knowledge panel, Discussions and forums, Related searches</t>
  </si>
  <si>
    <t>tub reglazing norfolk virginia</t>
  </si>
  <si>
    <t>tub reglazing pregnancy</t>
  </si>
  <si>
    <t>tub reglazing queens</t>
  </si>
  <si>
    <t>tub reglazing rochester ny</t>
  </si>
  <si>
    <t>tub reglazing services</t>
  </si>
  <si>
    <t>tub reglazing watertown ma</t>
  </si>
  <si>
    <t>what do professionals use to reglaze a bathtub</t>
  </si>
  <si>
    <t>what does it cost to reglaze a bathtub</t>
  </si>
  <si>
    <t>what does it cost to reglaze a tub</t>
  </si>
  <si>
    <t>what is reglazing a bathtub</t>
  </si>
  <si>
    <t>what is reglazing tile</t>
  </si>
  <si>
    <t>white glove bathtub &amp; tile reglazing</t>
  </si>
  <si>
    <t>5 star reglazing</t>
  </si>
  <si>
    <t>a1 reglazing bellingham wa</t>
  </si>
  <si>
    <t>a1 reglazing reviews</t>
  </si>
  <si>
    <t>a1 tub reglazing</t>
  </si>
  <si>
    <t>aaa bathtub reglazing</t>
  </si>
  <si>
    <t>aaa reglazers</t>
  </si>
  <si>
    <t>aaa reglazing</t>
  </si>
  <si>
    <t>ab bath reglazing</t>
  </si>
  <si>
    <t>ab bath reglazing llc</t>
  </si>
  <si>
    <t>abc reglazing</t>
  </si>
  <si>
    <t>accurate bathtub reglazing</t>
  </si>
  <si>
    <t>advantage reglazing</t>
  </si>
  <si>
    <t>advantage reglazing llc</t>
  </si>
  <si>
    <t>affordable bathtub reglazing companies</t>
  </si>
  <si>
    <t>al and dave and sons reglazing</t>
  </si>
  <si>
    <t>al and dave reglazing</t>
  </si>
  <si>
    <t>al and dave tub reglazing</t>
  </si>
  <si>
    <t>all american bathtub and tile reglazers</t>
  </si>
  <si>
    <t>alpha reglazing</t>
  </si>
  <si>
    <t>amazing bathtub reglazing</t>
  </si>
  <si>
    <t>amazing reglazing reviews</t>
  </si>
  <si>
    <t>amazing reglazing ri</t>
  </si>
  <si>
    <t>amazing reglazing virginia beach</t>
  </si>
  <si>
    <t>amazing tile and tub reglazing</t>
  </si>
  <si>
    <t>american tub and tile reglazing</t>
  </si>
  <si>
    <t>anthony's reglazing reviews</t>
  </si>
  <si>
    <t>arc reglazing</t>
  </si>
  <si>
    <t>atlantic reglaze</t>
  </si>
  <si>
    <t>average cost of reglazing a bathtub</t>
  </si>
  <si>
    <t>average cost to reglaze tub</t>
  </si>
  <si>
    <t>average cost to reglaze windows</t>
  </si>
  <si>
    <t>az reglazing</t>
  </si>
  <si>
    <t>baltimore bathtub reglazing</t>
  </si>
  <si>
    <t>bath fitter vs reglazing</t>
  </si>
  <si>
    <t>bath reglazers near me</t>
  </si>
  <si>
    <t>bath reglazing pro</t>
  </si>
  <si>
    <t>bathroom reglaze cost</t>
  </si>
  <si>
    <t>bathroom reglazing brooklyn</t>
  </si>
  <si>
    <t>bathroom reglazing nyc</t>
  </si>
  <si>
    <t>bathroom reglazing reviews</t>
  </si>
  <si>
    <t>bathroom tile reglazing before and after</t>
  </si>
  <si>
    <t>bathtub king reglazing</t>
  </si>
  <si>
    <t>bathtub liner vs reglazing</t>
  </si>
  <si>
    <t>bathtub reglazed</t>
  </si>
  <si>
    <t>bathtub reglazers holland</t>
  </si>
  <si>
    <t>bathtub reglazers in my area</t>
  </si>
  <si>
    <t>bathtub reglazers lansing</t>
  </si>
  <si>
    <t>bathtub reglazers muskegon</t>
  </si>
  <si>
    <t>bathtub reglazing akron ohio</t>
  </si>
  <si>
    <t>bathtub reglazing albany ny</t>
  </si>
  <si>
    <t>bathtub reglazing allentown pa</t>
  </si>
  <si>
    <t>bathtub reglazing ann arbor</t>
  </si>
  <si>
    <t>bathtub reglazing arlington va</t>
  </si>
  <si>
    <t>bathtub reglazing asheville nc</t>
  </si>
  <si>
    <t>bathtub reglazing bakersfield ca</t>
  </si>
  <si>
    <t>bathtub reglazing ball ground ga</t>
  </si>
  <si>
    <t>bathtub reglazing bergen county nj</t>
  </si>
  <si>
    <t>bathtub reglazing boca raton</t>
  </si>
  <si>
    <t>bathtub reglazing bradenton fl</t>
  </si>
  <si>
    <t>bathtub reglazing brentwood ca</t>
  </si>
  <si>
    <t>bathtub reglazing bronx</t>
  </si>
  <si>
    <t>bathtub reglazing bronx ny</t>
  </si>
  <si>
    <t>bathtub reglazing brookhaven</t>
  </si>
  <si>
    <t>bathtub reglazing burbank ca</t>
  </si>
  <si>
    <t>bathtub reglazing canton mi</t>
  </si>
  <si>
    <t>bathtub reglazing cape cod</t>
  </si>
  <si>
    <t>bathtub reglazing charleston sc</t>
  </si>
  <si>
    <t>bathtub reglazing charleston wv</t>
  </si>
  <si>
    <t>bathtub reglazing chattanooga</t>
  </si>
  <si>
    <t>bathtub reglazing chattanooga tn</t>
  </si>
  <si>
    <t>bathtub reglazing clayton mo</t>
  </si>
  <si>
    <t>bathtub reglazing cleveland</t>
  </si>
  <si>
    <t>bathtub reglazing cleveland ohio</t>
  </si>
  <si>
    <t>bathtub reglazing company raleigh nc</t>
  </si>
  <si>
    <t>bathtub reglazing coral springs</t>
  </si>
  <si>
    <t>bathtub reglazing cost toronto</t>
  </si>
  <si>
    <t>bathtub reglazing cumming</t>
  </si>
  <si>
    <t>bathtub reglazing curing time</t>
  </si>
  <si>
    <t>bathtub reglazing dayton ohio</t>
  </si>
  <si>
    <t>bathtub reglazing dc</t>
  </si>
  <si>
    <t>bathtub reglazing delaware</t>
  </si>
  <si>
    <t>bathtub reglazing des peres mo</t>
  </si>
  <si>
    <t>bathtub reglazing dunwoody</t>
  </si>
  <si>
    <t>bathtub reglazing eureka mo</t>
  </si>
  <si>
    <t>bathtub reglazing experts</t>
  </si>
  <si>
    <t>bathtub reglazing florida</t>
  </si>
  <si>
    <t>bathtub reglazing for fiberglass tubs</t>
  </si>
  <si>
    <t>bathtub reglazing fort myers</t>
  </si>
  <si>
    <t>bathtub reglazing fort myers fl</t>
  </si>
  <si>
    <t>bathtub reglazing franklin park</t>
  </si>
  <si>
    <t>bathtub reglazing grand rapids mi</t>
  </si>
  <si>
    <t>bathtub reglazing greensboro nc</t>
  </si>
  <si>
    <t>bathtub reglazing greenville sc</t>
  </si>
  <si>
    <t>bathtub reglazing hamilton</t>
  </si>
  <si>
    <t>bathtub reglazing hamilton ontario</t>
  </si>
  <si>
    <t>bathtub reglazing hartford ct</t>
  </si>
  <si>
    <t>bathtub reglazing highland beach</t>
  </si>
  <si>
    <t>bathtub reglazing holland</t>
  </si>
  <si>
    <t>bathtub reglazing honolulu</t>
  </si>
  <si>
    <t>bathtub reglazing how long to dry</t>
  </si>
  <si>
    <t>bathtub reglazing huntsville al</t>
  </si>
  <si>
    <t>bathtub reglazing in brooklyn new york</t>
  </si>
  <si>
    <t>bathtub reglazing jersey city</t>
  </si>
  <si>
    <t>bathtub reglazing kalamazoo</t>
  </si>
  <si>
    <t>bathtub reglazing kalamazoo mi</t>
  </si>
  <si>
    <t>bathtub reglazing kansas city</t>
  </si>
  <si>
    <t>bathtub reglazing kingston</t>
  </si>
  <si>
    <t>bathtub reglazing lansing</t>
  </si>
  <si>
    <t>bathtub reglazing lansing mi</t>
  </si>
  <si>
    <t>bathtub reglazing lexington ky</t>
  </si>
  <si>
    <t>bathtub reglazing lilburn</t>
  </si>
  <si>
    <t>bathtub reglazing little rock</t>
  </si>
  <si>
    <t>bathtub reglazing little rock ar</t>
  </si>
  <si>
    <t>bathtub reglazing livonia mi</t>
  </si>
  <si>
    <t>bathtub reglazing llc</t>
  </si>
  <si>
    <t>bathtub reglazing long island</t>
  </si>
  <si>
    <t>bathtub reglazing long island ny</t>
  </si>
  <si>
    <t>bathtub reglazing lynchburg va</t>
  </si>
  <si>
    <t>bathtub reglazing madison wi</t>
  </si>
  <si>
    <t>bathtub reglazing manhattan</t>
  </si>
  <si>
    <t>bathtub reglazing materials</t>
  </si>
  <si>
    <t>bathtub reglazing meaning</t>
  </si>
  <si>
    <t>bathtub reglazing melbourne fl</t>
  </si>
  <si>
    <t>bathtub reglazing meridian</t>
  </si>
  <si>
    <t>bathtub reglazing metro detroit</t>
  </si>
  <si>
    <t>bathtub reglazing monmouth county nj</t>
  </si>
  <si>
    <t>bathtub reglazing nampa</t>
  </si>
  <si>
    <t>bathtub reglazing naples</t>
  </si>
  <si>
    <t>bathtub reglazing nassau county ny</t>
  </si>
  <si>
    <t>bathtub reglazing near me cost</t>
  </si>
  <si>
    <t>bathtub reglazing new hampshire</t>
  </si>
  <si>
    <t>bathtub reglazing newark nj</t>
  </si>
  <si>
    <t>bathtub reglazing northern virginia</t>
  </si>
  <si>
    <t>bathtub reglazing ny</t>
  </si>
  <si>
    <t>bathtub reglazing oakland ca</t>
  </si>
  <si>
    <t>bathtub reglazing odor</t>
  </si>
  <si>
    <t>bathtub reglazing oklahoma city</t>
  </si>
  <si>
    <t>bathtub reglazing orange county ca</t>
  </si>
  <si>
    <t>bathtub reglazing ottawa</t>
  </si>
  <si>
    <t>bathtub reglazing paint orange county</t>
  </si>
  <si>
    <t>bathtub reglazing parkland</t>
  </si>
  <si>
    <t>bathtub reglazing pasadena ca</t>
  </si>
  <si>
    <t>bathtub reglazing pembroke pines fl</t>
  </si>
  <si>
    <t>bathtub reglazing phoenix</t>
  </si>
  <si>
    <t>bathtub reglazing phoenix az</t>
  </si>
  <si>
    <t>bathtub reglazing reddit</t>
  </si>
  <si>
    <t>bathtub reglazing roanoke va</t>
  </si>
  <si>
    <t>bathtub reglazing rockford il</t>
  </si>
  <si>
    <t>bathtub reglazing safety</t>
  </si>
  <si>
    <t>bathtub reglazing salt lake city</t>
  </si>
  <si>
    <t>bathtub reglazing san fernando valley</t>
  </si>
  <si>
    <t>bathtub reglazing san francisco</t>
  </si>
  <si>
    <t>bathtub reglazing san jose</t>
  </si>
  <si>
    <t>bathtub reglazing san jose ca</t>
  </si>
  <si>
    <t>bathtub reglazing scranton pa</t>
  </si>
  <si>
    <t>bathtub reglazing services haverstraw</t>
  </si>
  <si>
    <t>bathtub reglazing services kingston</t>
  </si>
  <si>
    <t>bathtub reglazing services middletown</t>
  </si>
  <si>
    <t>bathtub reglazing services orange county</t>
  </si>
  <si>
    <t>bathtub reglazing services ramapo</t>
  </si>
  <si>
    <t>bathtub reglazing smell</t>
  </si>
  <si>
    <t>bathtub reglazing smryna</t>
  </si>
  <si>
    <t>bathtub reglazing south jersey</t>
  </si>
  <si>
    <t>bathtub reglazing specialist inc</t>
  </si>
  <si>
    <t>bathtub reglazing spray ramapo</t>
  </si>
  <si>
    <t>bathtub reglazing st. louis county mo</t>
  </si>
  <si>
    <t>bathtub reglazing st. louis mo</t>
  </si>
  <si>
    <t>bathtub reglazing staten island ny</t>
  </si>
  <si>
    <t>bathtub reglazing sterling heights</t>
  </si>
  <si>
    <t>bathtub reglazing suffolk county long island</t>
  </si>
  <si>
    <t>bathtub reglazing toledo</t>
  </si>
  <si>
    <t>bathtub reglazing toledo ohio</t>
  </si>
  <si>
    <t>bathtub reglazing toms river nj</t>
  </si>
  <si>
    <t>bathtub reglazing toronto</t>
  </si>
  <si>
    <t>bathtub reglazing torrance</t>
  </si>
  <si>
    <t>bathtub reglazing touch up</t>
  </si>
  <si>
    <t>bathtub reglazing traverse city mi</t>
  </si>
  <si>
    <t>bathtub reglazing tucson</t>
  </si>
  <si>
    <t>bathtub reglazing vancouver</t>
  </si>
  <si>
    <t>bathtub reglazing vancouver bc</t>
  </si>
  <si>
    <t>bathtub reglazing ventura county</t>
  </si>
  <si>
    <t>bathtub reglazing virginia</t>
  </si>
  <si>
    <t>bathtub reglazing virginia beach</t>
  </si>
  <si>
    <t>bathtub reglazing washington dc</t>
  </si>
  <si>
    <t>bathtub reglazing washington park</t>
  </si>
  <si>
    <t>bathtub reglazing west park</t>
  </si>
  <si>
    <t>bathtub reglazing westchester ny</t>
  </si>
  <si>
    <t>bathtub reglazing westland</t>
  </si>
  <si>
    <t>bathtub reglazing weston</t>
  </si>
  <si>
    <t>bathtub reglazing whittier ca</t>
  </si>
  <si>
    <t>bathtub reglazing wichita ks</t>
  </si>
  <si>
    <t>bathtub reglazing wilmington de</t>
  </si>
  <si>
    <t>bathtub reglazing yonkers</t>
  </si>
  <si>
    <t>bathtub reglazing yonkers ny</t>
  </si>
  <si>
    <t>best bathtub reglazing product</t>
  </si>
  <si>
    <t>best reglazing</t>
  </si>
  <si>
    <t>best reglazing barrington nh</t>
  </si>
  <si>
    <t>best reglazing nh</t>
  </si>
  <si>
    <t>best tub reglazing</t>
  </si>
  <si>
    <t>best way to reglaze a bathtub</t>
  </si>
  <si>
    <t>best way to reglaze old windows</t>
  </si>
  <si>
    <t>big apple reglazing</t>
  </si>
  <si>
    <t>big apple tub reglazing</t>
  </si>
  <si>
    <t>brookline shower reglazing</t>
  </si>
  <si>
    <t>brookline tile reglazing</t>
  </si>
  <si>
    <t>bryan's reglazing service</t>
  </si>
  <si>
    <t>cabinet reglazing plantation</t>
  </si>
  <si>
    <t>cabinet reglazing weston</t>
  </si>
  <si>
    <t>cabinet reglazing wilton manors</t>
  </si>
  <si>
    <t>cali reglazing inc</t>
  </si>
  <si>
    <t>cambridge bathtub reglazing</t>
  </si>
  <si>
    <t>can a bathtub be reglazed more than once</t>
  </si>
  <si>
    <t>can a cast iron sink be reglazed</t>
  </si>
  <si>
    <t>can a porcelain sink be reglazed</t>
  </si>
  <si>
    <t>can a toilet be reglazed</t>
  </si>
  <si>
    <t>can a tub be reglazed twice</t>
  </si>
  <si>
    <t>can ceramic tile be reglazed</t>
  </si>
  <si>
    <t>can i reglaze a tub myself</t>
  </si>
  <si>
    <t>can i reglaze my bathtub myself</t>
  </si>
  <si>
    <t>can i reglaze my own tub</t>
  </si>
  <si>
    <t>can i reglaze pottery</t>
  </si>
  <si>
    <t>can pottery be reglazed</t>
  </si>
  <si>
    <t>can you reglaze a bathroom sink</t>
  </si>
  <si>
    <t>can you reglaze a bathtub a different color</t>
  </si>
  <si>
    <t>can you reglaze a bathtub more than once</t>
  </si>
  <si>
    <t>can you reglaze a double pane window</t>
  </si>
  <si>
    <t>can you reglaze a fiberglass tub and surround</t>
  </si>
  <si>
    <t>can you reglaze a kitchen sink</t>
  </si>
  <si>
    <t>can you reglaze a porcelain sink</t>
  </si>
  <si>
    <t>can you reglaze a porcelain tub</t>
  </si>
  <si>
    <t>can you reglaze a tile shower</t>
  </si>
  <si>
    <t>can you reglaze a tub a different color</t>
  </si>
  <si>
    <t>can you reglaze a tub more than once</t>
  </si>
  <si>
    <t>can you reglaze a tub that has already been reglazed</t>
  </si>
  <si>
    <t>can you reglaze a tub twice</t>
  </si>
  <si>
    <t>can you reglaze a window without removing it</t>
  </si>
  <si>
    <t>can you reglaze already glazed ceramics</t>
  </si>
  <si>
    <t>can you reglaze an acrylic tub</t>
  </si>
  <si>
    <t>can you reglaze and refire pottery</t>
  </si>
  <si>
    <t>can you reglaze ceramics</t>
  </si>
  <si>
    <t>can you reglaze old pottery</t>
  </si>
  <si>
    <t>can you reglaze pottery after firing</t>
  </si>
  <si>
    <t>can you reglaze pottery at home</t>
  </si>
  <si>
    <t>can you reglaze shower tiles</t>
  </si>
  <si>
    <t>can you reglaze stoneware</t>
  </si>
  <si>
    <t>can you reglaze tile a different color</t>
  </si>
  <si>
    <t>can you use bleach on a reglazed bathtub</t>
  </si>
  <si>
    <t>can you use epsom salt in a reglazed tub</t>
  </si>
  <si>
    <t>cast iron bathtub reglazing hacks allaroundthehouseqryy</t>
  </si>
  <si>
    <t>cast iron bathtub reglazing ramapo</t>
  </si>
  <si>
    <t>cast iron reglazing</t>
  </si>
  <si>
    <t>cast iron sink reglazing</t>
  </si>
  <si>
    <t>cast iron tub reglazing cost</t>
  </si>
  <si>
    <t>cast iron tub reglazing kits</t>
  </si>
  <si>
    <t>cincinnati bathtub &amp; tile reglazing llc</t>
  </si>
  <si>
    <t>cincinnati tub reglazing</t>
  </si>
  <si>
    <t>clawfoot bathtub reglazing haverstraw</t>
  </si>
  <si>
    <t>clawfoot tub reglazing kit</t>
  </si>
  <si>
    <t>cleaner for reglazed tub</t>
  </si>
  <si>
    <t>commercial bathtub reglazing minneapolis</t>
  </si>
  <si>
    <t>commercial bathtub reglazing services</t>
  </si>
  <si>
    <t>commercial tub reglazing service lewiston</t>
  </si>
  <si>
    <t>cost to reglaze a window</t>
  </si>
  <si>
    <t>cost to reglaze cast iron sink</t>
  </si>
  <si>
    <t>cost to reglaze kitchen sink</t>
  </si>
  <si>
    <t>cost to reglaze toilet</t>
  </si>
  <si>
    <t>cost to reglaze tub and shower</t>
  </si>
  <si>
    <t>cost to reglaze tub and surround</t>
  </si>
  <si>
    <t>cost to reglaze windows homewyse</t>
  </si>
  <si>
    <t>cost to reglaze wood windows</t>
  </si>
  <si>
    <t>countertop reglazing denver</t>
  </si>
  <si>
    <t>cubitts reglazing</t>
  </si>
  <si>
    <t>custom reglazing</t>
  </si>
  <si>
    <t>custom tub reglazing</t>
  </si>
  <si>
    <t>dab hands tub &amp; tile reglazing</t>
  </si>
  <si>
    <t>dab hands tub &amp; tile reglazing llc</t>
  </si>
  <si>
    <t>dan's bathtub reglazing</t>
  </si>
  <si>
    <t>dan's bathtub reglazing &amp; restoration</t>
  </si>
  <si>
    <t>danny's tub and tile reglazing</t>
  </si>
  <si>
    <t>dans bathtub reglazing</t>
  </si>
  <si>
    <t>dayton bathtub reglazing</t>
  </si>
  <si>
    <t>define reglaze</t>
  </si>
  <si>
    <t>diamond reglazing</t>
  </si>
  <si>
    <t>diy reglaze bathroom sink</t>
  </si>
  <si>
    <t>diy reglaze bathroom tile</t>
  </si>
  <si>
    <t>diy reglaze kitchen sink</t>
  </si>
  <si>
    <t>diy reglaze tile</t>
  </si>
  <si>
    <t>diy sink reglazing</t>
  </si>
  <si>
    <t>dnr reglazing</t>
  </si>
  <si>
    <t>do it yourself reglazing bathtub</t>
  </si>
  <si>
    <t>does bathtub reglazing last</t>
  </si>
  <si>
    <t>does my landlord have to reglaze my tub</t>
  </si>
  <si>
    <t>does reglazing a tub change the color</t>
  </si>
  <si>
    <t>does reglazing a tub smell</t>
  </si>
  <si>
    <t>does tub reglazing last</t>
  </si>
  <si>
    <t>dp tubs reglazing</t>
  </si>
  <si>
    <t>dr reglazing</t>
  </si>
  <si>
    <t>dr tubs reglazing</t>
  </si>
  <si>
    <t>dulces reglazo</t>
  </si>
  <si>
    <t>elegant bathtub reglazing</t>
  </si>
  <si>
    <t>elegant bathtub reglazing llc</t>
  </si>
  <si>
    <t>eric's pro reglazing</t>
  </si>
  <si>
    <t>eternity tub and tile reglazing</t>
  </si>
  <si>
    <t>european reglazing</t>
  </si>
  <si>
    <t>european reglazing inc</t>
  </si>
  <si>
    <t>everglaze bathtub reglazing</t>
  </si>
  <si>
    <t>expert reglazing</t>
  </si>
  <si>
    <t>expert reglazing services</t>
  </si>
  <si>
    <t>ez bathtub reglazing</t>
  </si>
  <si>
    <t>fiberglass bathtub reglaze</t>
  </si>
  <si>
    <t>five star reglazing</t>
  </si>
  <si>
    <t>floor tile reglazing near me</t>
  </si>
  <si>
    <t>floor tile reglazing raleigh nc</t>
  </si>
  <si>
    <t>g&amp;g tub &amp; tile reglazing brooklyn ny</t>
  </si>
  <si>
    <t>g&amp;g tub reglazing</t>
  </si>
  <si>
    <t>genesis reglazing</t>
  </si>
  <si>
    <t>get glasses reglazed</t>
  </si>
  <si>
    <t>glass reglazing near me</t>
  </si>
  <si>
    <t>glasses reglaze near me</t>
  </si>
  <si>
    <t>glasses reglazing near me</t>
  </si>
  <si>
    <t>glasses reglazing service</t>
  </si>
  <si>
    <t>go green reglazing</t>
  </si>
  <si>
    <t>gotham city reglazing</t>
  </si>
  <si>
    <t>high tech reglazing</t>
  </si>
  <si>
    <t>home depot bathtub reglazing</t>
  </si>
  <si>
    <t>home depot reglaze bathtub</t>
  </si>
  <si>
    <t>home depot tub reglazing kit</t>
  </si>
  <si>
    <t>how do i reglaze a bathtub</t>
  </si>
  <si>
    <t>how do i reglaze my bathtub</t>
  </si>
  <si>
    <t>how do you clean a reglazed bathtub</t>
  </si>
  <si>
    <t>how do you reglaze a sink</t>
  </si>
  <si>
    <t>how good is bathtub reglazing</t>
  </si>
  <si>
    <t>how hard is it to reglaze a bathtub</t>
  </si>
  <si>
    <t>how long after reglazing tub</t>
  </si>
  <si>
    <t>how long before you can use a reglazed tub</t>
  </si>
  <si>
    <t>how long does a reglazed bathtub last</t>
  </si>
  <si>
    <t>how long does a reglazed tub take to dry</t>
  </si>
  <si>
    <t>how long does a tub reglazing last</t>
  </si>
  <si>
    <t>how long does bathtub reglazing take</t>
  </si>
  <si>
    <t>how long does bathtub reglazing take to dry</t>
  </si>
  <si>
    <t>how long does reglazed tub last</t>
  </si>
  <si>
    <t>how long does reglazing a tub take</t>
  </si>
  <si>
    <t>how long does reglazing last</t>
  </si>
  <si>
    <t>how long does reglazing last on a tub</t>
  </si>
  <si>
    <t>how long does reglazing tub last</t>
  </si>
  <si>
    <t>how long does tile reglazing last</t>
  </si>
  <si>
    <t>how long does tub reglazing take</t>
  </si>
  <si>
    <t>how long does tub reglazing take to dry</t>
  </si>
  <si>
    <t>how long to reglaze a bathtub</t>
  </si>
  <si>
    <t>how long to reglaze tub</t>
  </si>
  <si>
    <t>how long to use tub after reglazing</t>
  </si>
  <si>
    <t>how long to wait after reglazing tub</t>
  </si>
  <si>
    <t>how many times can you reglaze a bathtub</t>
  </si>
  <si>
    <t>how much cost to reglaze bathtub</t>
  </si>
  <si>
    <t>how much does a bathtub reglazing cost</t>
  </si>
  <si>
    <t>how much does it cost to get a bathtub reglazed</t>
  </si>
  <si>
    <t>how much does it cost to reglaze a bathroom</t>
  </si>
  <si>
    <t>how much does it cost to reglaze a kitchen sink</t>
  </si>
  <si>
    <t>how much does it cost to reglaze a window</t>
  </si>
  <si>
    <t>how much does it cost to reglaze windows</t>
  </si>
  <si>
    <t>how much does it cost to reglaze your bathtub</t>
  </si>
  <si>
    <t>how much does reglazing cost</t>
  </si>
  <si>
    <t>how much does reglazing tub cost</t>
  </si>
  <si>
    <t>how much is reglazing a tub</t>
  </si>
  <si>
    <t>how much it cost to reglaze a bathtub</t>
  </si>
  <si>
    <t>how much it cost to reglaze a tub</t>
  </si>
  <si>
    <t>how much to get a tub reglazed</t>
  </si>
  <si>
    <t>how much to have a bathtub reglazed</t>
  </si>
  <si>
    <t>how much to reglaze a cast iron tub</t>
  </si>
  <si>
    <t>how much to reglaze a clawfoot tub</t>
  </si>
  <si>
    <t>how much to reglaze a tub shower combo</t>
  </si>
  <si>
    <t>how much to reglaze a window</t>
  </si>
  <si>
    <t>how much to reglaze glasses</t>
  </si>
  <si>
    <t>how much to reglaze windows</t>
  </si>
  <si>
    <t>how reglaze bathtub</t>
  </si>
  <si>
    <t>how to clean a tub that has been reglazed</t>
  </si>
  <si>
    <t>how to clean reglazed tubs</t>
  </si>
  <si>
    <t>how to fix a chip in a reglazed tub</t>
  </si>
  <si>
    <t>how to fix a chipped tub reglaze</t>
  </si>
  <si>
    <t>how to get rid of bathtub reglazing smell</t>
  </si>
  <si>
    <t>how to get rid of smell from reglazing tub without</t>
  </si>
  <si>
    <t>how to prep a tub for reglazing</t>
  </si>
  <si>
    <t>how to reglaze</t>
  </si>
  <si>
    <t>how to reglaze a bathtub diy</t>
  </si>
  <si>
    <t>how to reglaze a bathtub video</t>
  </si>
  <si>
    <t>how to reglaze a bathtub youtube</t>
  </si>
  <si>
    <t>how to reglaze a cast iron bathtub</t>
  </si>
  <si>
    <t>how to reglaze a countertop</t>
  </si>
  <si>
    <t>how to reglaze a kitchen sink</t>
  </si>
  <si>
    <t>how to reglaze a mirror</t>
  </si>
  <si>
    <t>how to reglaze a porcelain sink</t>
  </si>
  <si>
    <t>how to reglaze a shower stall</t>
  </si>
  <si>
    <t>how to reglaze a sink yourself</t>
  </si>
  <si>
    <t>how to reglaze a toilet bowl</t>
  </si>
  <si>
    <t>how to reglaze a tub diy</t>
  </si>
  <si>
    <t>how to reglaze a tub youtube</t>
  </si>
  <si>
    <t>how to reglaze a window pane</t>
  </si>
  <si>
    <t>how to reglaze a window this old house</t>
  </si>
  <si>
    <t>how to reglaze a window without removing it</t>
  </si>
  <si>
    <t>how to reglaze an old window</t>
  </si>
  <si>
    <t>how to reglaze cabinets</t>
  </si>
  <si>
    <t>how to reglaze cast iron sink</t>
  </si>
  <si>
    <t>how to reglaze countertops</t>
  </si>
  <si>
    <t>how to reglaze kitchen cabinets</t>
  </si>
  <si>
    <t>how to reglaze old bathtub</t>
  </si>
  <si>
    <t>how to reglaze old window panes</t>
  </si>
  <si>
    <t>how to reglaze old wood windows</t>
  </si>
  <si>
    <t>how to reglaze porcelain sink</t>
  </si>
  <si>
    <t>how to reglaze tile floor</t>
  </si>
  <si>
    <t>how to reglaze tile shower</t>
  </si>
  <si>
    <t>how to reglaze tile yourself</t>
  </si>
  <si>
    <t>how to reglaze window glass</t>
  </si>
  <si>
    <t>how to reglaze window panes</t>
  </si>
  <si>
    <t>how to reglaze windows in place</t>
  </si>
  <si>
    <t>how to reglaze wood windows</t>
  </si>
  <si>
    <t>how to reglaze wooden windows</t>
  </si>
  <si>
    <t>how to remove bathtub reglazing</t>
  </si>
  <si>
    <t>how to safely clean reglazed bathtub</t>
  </si>
  <si>
    <t>hughes reglazing</t>
  </si>
  <si>
    <t>is bathtub reglazing a good idea</t>
  </si>
  <si>
    <t>is bathtub reglazing safe</t>
  </si>
  <si>
    <t>is bathtub reglazing toxic</t>
  </si>
  <si>
    <t>is it hard to reglaze a bathtub</t>
  </si>
  <si>
    <t>is it worth it to reglaze a bathtub</t>
  </si>
  <si>
    <t>is reglazing a bathtub safe</t>
  </si>
  <si>
    <t>is tub reglazing toxic</t>
  </si>
  <si>
    <t>j&amp;b reglazing</t>
  </si>
  <si>
    <t>jemco reglazers</t>
  </si>
  <si>
    <t>jeser reglazing</t>
  </si>
  <si>
    <t>jlf reglazing</t>
  </si>
  <si>
    <t>jlf tub and tile reglazing</t>
  </si>
  <si>
    <t>jmb reglazing</t>
  </si>
  <si>
    <t>kansas city bathtub and tile reglazing</t>
  </si>
  <si>
    <t>kitchen and bath reglazing</t>
  </si>
  <si>
    <t>kitchen cabinet reglazing service</t>
  </si>
  <si>
    <t>kitchen sink reglazing kit</t>
  </si>
  <si>
    <t>kitchen tile reglazing</t>
  </si>
  <si>
    <t>la's best tub reglazing</t>
  </si>
  <si>
    <t>larry's tub reglazing</t>
  </si>
  <si>
    <t>lens reglaze</t>
  </si>
  <si>
    <t>louis vuitton reglazing</t>
  </si>
  <si>
    <t>lv reglazing cost</t>
  </si>
  <si>
    <t>magic eraser on reglazed tub</t>
  </si>
  <si>
    <t>martin and sons reglazing</t>
  </si>
  <si>
    <t>master tub reglazing inc</t>
  </si>
  <si>
    <t>maxwell tub reglazing</t>
  </si>
  <si>
    <t>mirror reglazing</t>
  </si>
  <si>
    <t>mirror reglazing near me</t>
  </si>
  <si>
    <t>mr tub reglazing</t>
  </si>
  <si>
    <t>mr ugly tub reglazing</t>
  </si>
  <si>
    <t>nelson tub &amp; tile reglazing</t>
  </si>
  <si>
    <t>new age reglazing</t>
  </si>
  <si>
    <t>new england reglaze reviews</t>
  </si>
  <si>
    <t>new horizon tub &amp; tile reglazing</t>
  </si>
  <si>
    <t>newton shower reglazing</t>
  </si>
  <si>
    <t>non toxic bathtub reglazing</t>
  </si>
  <si>
    <t>north shore reglazing</t>
  </si>
  <si>
    <t>ny bathtub reglazers</t>
  </si>
  <si>
    <t>ny bathtub reglazers bronx ny</t>
  </si>
  <si>
    <t>oasis tub &amp; tile reglazing</t>
  </si>
  <si>
    <t>ocean reglazing</t>
  </si>
  <si>
    <t>pacific reglazing reviews</t>
  </si>
  <si>
    <t>paramount reglaze kansas city</t>
  </si>
  <si>
    <t>philly reglaze</t>
  </si>
  <si>
    <t>pkb reglazing</t>
  </si>
  <si>
    <t>porcelain bathtub reglazing kingston</t>
  </si>
  <si>
    <t>porcelain reglazing near me</t>
  </si>
  <si>
    <t>porcelain sink reglazing kit</t>
  </si>
  <si>
    <t>porcelain tub reglazing kit</t>
  </si>
  <si>
    <t>preferred reglazing reviews</t>
  </si>
  <si>
    <t>premier bath reglazing</t>
  </si>
  <si>
    <t>premier kitchen and bath reglazing</t>
  </si>
  <si>
    <t>prescription glasses reglaze</t>
  </si>
  <si>
    <t>prescription glasses reglazing</t>
  </si>
  <si>
    <t>pro reglazing el paso</t>
  </si>
  <si>
    <t>professional bathtub reglazing near me</t>
  </si>
  <si>
    <t>professional bathtub reglazing services</t>
  </si>
  <si>
    <t>professional reglazing</t>
  </si>
  <si>
    <t>professional reglazing inc</t>
  </si>
  <si>
    <t>professional reglazing services</t>
  </si>
  <si>
    <t>quality reglazing</t>
  </si>
  <si>
    <t>quincy bathtub reglazing</t>
  </si>
  <si>
    <t>quincy sink reglazing</t>
  </si>
  <si>
    <t>quincy tile reglazing</t>
  </si>
  <si>
    <t>rapid reglazing</t>
  </si>
  <si>
    <t>rbc reglazing</t>
  </si>
  <si>
    <t>regional reglazing</t>
  </si>
  <si>
    <t>reglaza</t>
  </si>
  <si>
    <t>reglaza trapa</t>
  </si>
  <si>
    <t>reglaze aluminum window</t>
  </si>
  <si>
    <t>reglaze amaze</t>
  </si>
  <si>
    <t>reglaze bathroom countertop</t>
  </si>
  <si>
    <t>reglaze bathroom tile livonia</t>
  </si>
  <si>
    <t>reglaze bathroom tile madison heights</t>
  </si>
  <si>
    <t>reglaze bathroom tub</t>
  </si>
  <si>
    <t>reglaze bathrub</t>
  </si>
  <si>
    <t>reglaze bathtub cincinnati</t>
  </si>
  <si>
    <t>reglaze bathtub meaning</t>
  </si>
  <si>
    <t>reglaze bathtub paint</t>
  </si>
  <si>
    <t>reglaze bathtubs in</t>
  </si>
  <si>
    <t>reglaze cast iron kitchen sink</t>
  </si>
  <si>
    <t>reglaze clawfoot tub near me</t>
  </si>
  <si>
    <t>reglaze countertop in raleigh nc</t>
  </si>
  <si>
    <t>reglaze definition</t>
  </si>
  <si>
    <t>reglaze door</t>
  </si>
  <si>
    <t>reglaze fiberglass bathtub</t>
  </si>
  <si>
    <t>reglaze fiberglass tub raleigh nc</t>
  </si>
  <si>
    <t>reglaze floor tile</t>
  </si>
  <si>
    <t>reglaze frames</t>
  </si>
  <si>
    <t>reglaze glass</t>
  </si>
  <si>
    <t>reglaze glasses direct</t>
  </si>
  <si>
    <t>reglaze glasses direct discount code</t>
  </si>
  <si>
    <t>reglaze glasses meaning</t>
  </si>
  <si>
    <t>reglaze glasses near me</t>
  </si>
  <si>
    <t>reglaze glasses online</t>
  </si>
  <si>
    <t>reglaze glasses uk</t>
  </si>
  <si>
    <t>reglaze in spanish</t>
  </si>
  <si>
    <t>reglaze it</t>
  </si>
  <si>
    <t>reglaze it now</t>
  </si>
  <si>
    <t>reglaze kitchen floor tile</t>
  </si>
  <si>
    <t>reglaze le creuset</t>
  </si>
  <si>
    <t>reglaze my glasses uk</t>
  </si>
  <si>
    <t>reglaze or replace bathtub</t>
  </si>
  <si>
    <t>reglaze plastic tub</t>
  </si>
  <si>
    <t>reglaze porcelain bathtub</t>
  </si>
  <si>
    <t>reglaze porcelain kitchen sink</t>
  </si>
  <si>
    <t>reglaze prescription glasses</t>
  </si>
  <si>
    <t>reglaze prescription sunglasses</t>
  </si>
  <si>
    <t>reglaze pros bradenton fl</t>
  </si>
  <si>
    <t>reglaze rockford</t>
  </si>
  <si>
    <t>reglaze service</t>
  </si>
  <si>
    <t>reglaze shower stall lynn ma</t>
  </si>
  <si>
    <t>reglaze sink diy</t>
  </si>
  <si>
    <t>reglaze skylight</t>
  </si>
  <si>
    <t>reglaze sliding glass door</t>
  </si>
  <si>
    <t>reglaze specs</t>
  </si>
  <si>
    <t>reglaze sunglasses</t>
  </si>
  <si>
    <t>reglaze sunglasses with prescription lenses</t>
  </si>
  <si>
    <t>reglaze tile before after</t>
  </si>
  <si>
    <t>reglaze tile do it yourself</t>
  </si>
  <si>
    <t>reglaze tile shower</t>
  </si>
  <si>
    <t>reglaze tile wall</t>
  </si>
  <si>
    <t>reglaze toilet</t>
  </si>
  <si>
    <t>reglaze toilet bowl</t>
  </si>
  <si>
    <t>reglaze tub and tile near me</t>
  </si>
  <si>
    <t>reglaze tub before or after tile</t>
  </si>
  <si>
    <t>reglaze tub in</t>
  </si>
  <si>
    <t>reglaze tub meaning</t>
  </si>
  <si>
    <t>reglaze tub or replace</t>
  </si>
  <si>
    <t>reglaze uk</t>
  </si>
  <si>
    <t>reglaze vanity top</t>
  </si>
  <si>
    <t>reglaze vinyl window</t>
  </si>
  <si>
    <t>reglaze vision express</t>
  </si>
  <si>
    <t>reglaze window pane</t>
  </si>
  <si>
    <t>reglaze window panes</t>
  </si>
  <si>
    <t>reglaze window without removing</t>
  </si>
  <si>
    <t>reglaze windows &amp; installation</t>
  </si>
  <si>
    <t>reglaze windows or replace</t>
  </si>
  <si>
    <t>reglaze windows seattle</t>
  </si>
  <si>
    <t>reglaze wood windows</t>
  </si>
  <si>
    <t>reglaze your glasses</t>
  </si>
  <si>
    <t>reglazed bathtubs</t>
  </si>
  <si>
    <t>reglazed tub care</t>
  </si>
  <si>
    <t>reglazed tub cleaning products</t>
  </si>
  <si>
    <t>reglazer</t>
  </si>
  <si>
    <t>reglazers</t>
  </si>
  <si>
    <t>reglazing a porcelain kitchen sink</t>
  </si>
  <si>
    <t>reglazing a sink do it yourself</t>
  </si>
  <si>
    <t>reglazing a tub diy</t>
  </si>
  <si>
    <t>reglazing a window in place</t>
  </si>
  <si>
    <t>reglazing aluminum windows</t>
  </si>
  <si>
    <t>reglazing bathroom tile diy</t>
  </si>
  <si>
    <t>reglazing bathtub chicago cost</t>
  </si>
  <si>
    <t>reglazing bathtub how long does it last</t>
  </si>
  <si>
    <t>reglazing bathtub services</t>
  </si>
  <si>
    <t>reglazing bathtub tile</t>
  </si>
  <si>
    <t>reglazing bathtub tiles</t>
  </si>
  <si>
    <t>reglazing cabinets</t>
  </si>
  <si>
    <t>reglazing cast iron tubs</t>
  </si>
  <si>
    <t>reglazing ceramics</t>
  </si>
  <si>
    <t>reglazing commercial windows</t>
  </si>
  <si>
    <t>reglazing company lubbock</t>
  </si>
  <si>
    <t>reglazing cost</t>
  </si>
  <si>
    <t>reglazing door glass</t>
  </si>
  <si>
    <t>reglazing double pane windows</t>
  </si>
  <si>
    <t>reglazing expert</t>
  </si>
  <si>
    <t>reglazing fired pottery</t>
  </si>
  <si>
    <t>reglazing floor tile before and after</t>
  </si>
  <si>
    <t>reglazing glass</t>
  </si>
  <si>
    <t>reglazing glass windows</t>
  </si>
  <si>
    <t>reglazing glasses cost</t>
  </si>
  <si>
    <t>reglazing glazed pottery</t>
  </si>
  <si>
    <t>reglazing granite countertops</t>
  </si>
  <si>
    <t>reglazing kit for bathtub</t>
  </si>
  <si>
    <t>reglazing kitchen tile</t>
  </si>
  <si>
    <t>reglazing kitchen tile countertops</t>
  </si>
  <si>
    <t>reglazing louis vuitton</t>
  </si>
  <si>
    <t>reglazing metal windows</t>
  </si>
  <si>
    <t>reglazing modernism</t>
  </si>
  <si>
    <t>reglazing old bathroom tile</t>
  </si>
  <si>
    <t>reglazing old wood windows</t>
  </si>
  <si>
    <t>reglazing paint</t>
  </si>
  <si>
    <t>reglazing plus inc</t>
  </si>
  <si>
    <t>reglazing porcelain bathtub</t>
  </si>
  <si>
    <t>reglazing pottery techniques</t>
  </si>
  <si>
    <t>reglazing prescription glasses</t>
  </si>
  <si>
    <t>reglazing products</t>
  </si>
  <si>
    <t>reglazing raleigh nc</t>
  </si>
  <si>
    <t>reglazing resource</t>
  </si>
  <si>
    <t>reglazing reviews</t>
  </si>
  <si>
    <t>reglazing services</t>
  </si>
  <si>
    <t>reglazing shower tiles</t>
  </si>
  <si>
    <t>reglazing sink diy</t>
  </si>
  <si>
    <t>reglazing sinks near me</t>
  </si>
  <si>
    <t>reglazing solutions</t>
  </si>
  <si>
    <t>reglazing spectacles uk</t>
  </si>
  <si>
    <t>reglazing spray</t>
  </si>
  <si>
    <t>reglazing stained glass windows</t>
  </si>
  <si>
    <t>reglazing the bathtub</t>
  </si>
  <si>
    <t>reglazing tile backsplash</t>
  </si>
  <si>
    <t>reglazing tile diy</t>
  </si>
  <si>
    <t>reglazing tile walls</t>
  </si>
  <si>
    <t>reglazing tub in</t>
  </si>
  <si>
    <t>reglazing tub kit</t>
  </si>
  <si>
    <t>reglazing tub reviews</t>
  </si>
  <si>
    <t>reglazing window panes</t>
  </si>
  <si>
    <t>reglazing windows cost</t>
  </si>
  <si>
    <t>reglazing windows in place</t>
  </si>
  <si>
    <t>reglazing windows this old house</t>
  </si>
  <si>
    <t>reglazing windows vs replacing</t>
  </si>
  <si>
    <t>reglazing windows with caulk</t>
  </si>
  <si>
    <t>reglazing+tile+philadelphia</t>
  </si>
  <si>
    <t>reglazos</t>
  </si>
  <si>
    <t>reglazos en las manos</t>
  </si>
  <si>
    <t>renew it tub reglazing</t>
  </si>
  <si>
    <t>residential tub reglazing service roswell</t>
  </si>
  <si>
    <t>rub a dub tub reglazing</t>
  </si>
  <si>
    <t>rustoleum reglazing kit</t>
  </si>
  <si>
    <t>safe cleaners for reglazed tubs</t>
  </si>
  <si>
    <t>saving by reglazing</t>
  </si>
  <si>
    <t>shiny tile and tub reglazing</t>
  </si>
  <si>
    <t>shower mat for reglazed tub</t>
  </si>
  <si>
    <t>shower pan reglazing near me</t>
  </si>
  <si>
    <t>shower reglazers holland</t>
  </si>
  <si>
    <t>shower reglazers kalamazoo</t>
  </si>
  <si>
    <t>shower reglazers muskegon</t>
  </si>
  <si>
    <t>shower reglazing boston</t>
  </si>
  <si>
    <t>shower reglazing service</t>
  </si>
  <si>
    <t>simply reglaze</t>
  </si>
  <si>
    <t>sink reglazing professional</t>
  </si>
  <si>
    <t>sink reglazing san diego</t>
  </si>
  <si>
    <t>sink reglazing spray</t>
  </si>
  <si>
    <t>somerville sink reglazing</t>
  </si>
  <si>
    <t>somerville tile reglazing</t>
  </si>
  <si>
    <t>specsavers reglaze</t>
  </si>
  <si>
    <t>splash reglazing</t>
  </si>
  <si>
    <t>splash reglazing inc</t>
  </si>
  <si>
    <t>sunglasses reglaze</t>
  </si>
  <si>
    <t>sunglasses reglazing</t>
  </si>
  <si>
    <t>the reglazing company</t>
  </si>
  <si>
    <t>the reglazing company lubbock</t>
  </si>
  <si>
    <t>the reglazing company lubbock tx</t>
  </si>
  <si>
    <t>tile and tub reglazing near me</t>
  </si>
  <si>
    <t>tile reglazers grand rapids</t>
  </si>
  <si>
    <t>tile reglazers lansing</t>
  </si>
  <si>
    <t>tile reglazers muskegon</t>
  </si>
  <si>
    <t>tile reglazing boston</t>
  </si>
  <si>
    <t>tile reglazing company grand rapids</t>
  </si>
  <si>
    <t>tile reglazing cost muskegon</t>
  </si>
  <si>
    <t>tile reglazing nj</t>
  </si>
  <si>
    <t>tile reglazing nyc</t>
  </si>
  <si>
    <t>tile reglazing paint</t>
  </si>
  <si>
    <t>tile reglazing philadelphia</t>
  </si>
  <si>
    <t>tile reglazing products</t>
  </si>
  <si>
    <t>tile reglazing raleigh nc</t>
  </si>
  <si>
    <t>tile reglazing rhode island</t>
  </si>
  <si>
    <t>tile reglazing ri</t>
  </si>
  <si>
    <t>tile reglazing riverside</t>
  </si>
  <si>
    <t>tile reglazing services near me</t>
  </si>
  <si>
    <t>tile reglazing st louis mo</t>
  </si>
  <si>
    <t>tile reglazing tampa</t>
  </si>
  <si>
    <t>top reglazing</t>
  </si>
  <si>
    <t>topkote reglazing</t>
  </si>
  <si>
    <t>topkote tub reglazing</t>
  </si>
  <si>
    <t>tub and tile reglazing reviews</t>
  </si>
  <si>
    <t>tub man reglazing</t>
  </si>
  <si>
    <t>tub pros reglazing</t>
  </si>
  <si>
    <t>tub reglazers in my area</t>
  </si>
  <si>
    <t>tub reglazers raleigh nc</t>
  </si>
  <si>
    <t>tub reglazing albany ny</t>
  </si>
  <si>
    <t>tub reglazing alexandria va</t>
  </si>
  <si>
    <t>tub reglazing bergen county nj</t>
  </si>
  <si>
    <t>tub reglazing brentwood mo</t>
  </si>
  <si>
    <t>tub reglazing bronx</t>
  </si>
  <si>
    <t>tub reglazing brooklyn ny</t>
  </si>
  <si>
    <t>tub reglazing burbank</t>
  </si>
  <si>
    <t>tub reglazing canton</t>
  </si>
  <si>
    <t>tub reglazing charleston sc</t>
  </si>
  <si>
    <t>tub reglazing chesterfield mo</t>
  </si>
  <si>
    <t>tub reglazing clayton mo</t>
  </si>
  <si>
    <t>tub reglazing company raleigh nc</t>
  </si>
  <si>
    <t>tub reglazing cost holland</t>
  </si>
  <si>
    <t>tub reglazing creve coeur mo</t>
  </si>
  <si>
    <t>tub reglazing dayton ohio</t>
  </si>
  <si>
    <t>tub reglazing dc</t>
  </si>
  <si>
    <t>tub reglazing delaware</t>
  </si>
  <si>
    <t>tub reglazing drying time</t>
  </si>
  <si>
    <t>tub reglazing franklin park</t>
  </si>
  <si>
    <t>tub reglazing grand rapids</t>
  </si>
  <si>
    <t>tub reglazing grand rapids mi</t>
  </si>
  <si>
    <t>tub reglazing greensboro nc</t>
  </si>
  <si>
    <t>tub reglazing hamilton</t>
  </si>
  <si>
    <t>tub reglazing hartford ct</t>
  </si>
  <si>
    <t>tub reglazing hawaii</t>
  </si>
  <si>
    <t>tub reglazing jacksonville fl</t>
  </si>
  <si>
    <t>tub reglazing kit lowes</t>
  </si>
  <si>
    <t>tub reglazing ladue mo</t>
  </si>
  <si>
    <t>tub reglazing lancaster pa</t>
  </si>
  <si>
    <t>tub reglazing lansing mi</t>
  </si>
  <si>
    <t>tub reglazing lexington ky</t>
  </si>
  <si>
    <t>tub reglazing little rock</t>
  </si>
  <si>
    <t>tub reglazing livonia</t>
  </si>
  <si>
    <t>tub reglazing long island</t>
  </si>
  <si>
    <t>tub reglazing manhattan</t>
  </si>
  <si>
    <t>tub reglazing materials</t>
  </si>
  <si>
    <t>tub reglazing metro detroit</t>
  </si>
  <si>
    <t>tub reglazing michigan</t>
  </si>
  <si>
    <t>tub reglazing nassau county</t>
  </si>
  <si>
    <t>tub reglazing near me cost</t>
  </si>
  <si>
    <t>tub reglazing nj</t>
  </si>
  <si>
    <t>tub reglazing norfolk va</t>
  </si>
  <si>
    <t>tub reglazing northern virginia</t>
  </si>
  <si>
    <t>tub reglazing nyc cost</t>
  </si>
  <si>
    <t>tub reglazing paint</t>
  </si>
  <si>
    <t>tub reglazing parkland</t>
  </si>
  <si>
    <t>tub reglazing pets</t>
  </si>
  <si>
    <t>tub reglazing philadelphia</t>
  </si>
  <si>
    <t>tub reglazing queens ny</t>
  </si>
  <si>
    <t>tub reglazing services raleigh nc</t>
  </si>
  <si>
    <t>tub reglazing south jersey</t>
  </si>
  <si>
    <t>tub reglazing spray</t>
  </si>
  <si>
    <t>tub reglazing spray gun</t>
  </si>
  <si>
    <t>tub reglazing sunset hills mo</t>
  </si>
  <si>
    <t>tub reglazing tampa fl</t>
  </si>
  <si>
    <t>tub reglazing touch up</t>
  </si>
  <si>
    <t>tub reglazing town and country mo</t>
  </si>
  <si>
    <t>tub reglazing training</t>
  </si>
  <si>
    <t>tub reglazing vancouver</t>
  </si>
  <si>
    <t>tub reglazing virginia beach</t>
  </si>
  <si>
    <t>tub reglazing vs replacement</t>
  </si>
  <si>
    <t>tub reglazing washington dc</t>
  </si>
  <si>
    <t>tub reglazing washington park</t>
  </si>
  <si>
    <t>tub reglazing west park</t>
  </si>
  <si>
    <t>tub reglazing westchester ny</t>
  </si>
  <si>
    <t>tub reglazing westland</t>
  </si>
  <si>
    <t>tub reglazing weston</t>
  </si>
  <si>
    <t>tub reglazing wilmington de</t>
  </si>
  <si>
    <t>tub reglazing wilmington nc</t>
  </si>
  <si>
    <t>tubman reglazing</t>
  </si>
  <si>
    <t>ultimate reglaze</t>
  </si>
  <si>
    <t>ultimate reglaze inc</t>
  </si>
  <si>
    <t>virginia reglazing</t>
  </si>
  <si>
    <t>vision express reglaze</t>
  </si>
  <si>
    <t>wall tile reglazing</t>
  </si>
  <si>
    <t>westchester reglazing reviews</t>
  </si>
  <si>
    <t>westside reglazing</t>
  </si>
  <si>
    <t>what chemicals are used to reglaze a bathtub</t>
  </si>
  <si>
    <t>what do i need to reglaze a bathtub</t>
  </si>
  <si>
    <t>what does it mean to reglaze a bathtub</t>
  </si>
  <si>
    <t>what does reglaze mean</t>
  </si>
  <si>
    <t>what does reglaze skylight mean</t>
  </si>
  <si>
    <t>what does reglazing glasses mean</t>
  </si>
  <si>
    <t>what does tub reglazing cost</t>
  </si>
  <si>
    <t>what is a reglaze on glasses</t>
  </si>
  <si>
    <t>what is reglaze</t>
  </si>
  <si>
    <t>what is reglaze glasses</t>
  </si>
  <si>
    <t>what is reglazing a window mean</t>
  </si>
  <si>
    <t>what is reglazing glasses</t>
  </si>
  <si>
    <t>what is reglazing raleigh nc</t>
  </si>
  <si>
    <t>what is reglazing windows mean</t>
  </si>
  <si>
    <t>what is the average cost of reglazing a bathtub</t>
  </si>
  <si>
    <t>what is the average cost to reglaze a bathtub</t>
  </si>
  <si>
    <t>what is the cost to reglaze a bathtub</t>
  </si>
  <si>
    <t>what is used to reglaze a bathtub</t>
  </si>
  <si>
    <t>what is window reglazing and repair</t>
  </si>
  <si>
    <t>when to reglaze a bathtub</t>
  </si>
  <si>
    <t>white glove reglazing</t>
  </si>
  <si>
    <t>who does bathtub reglazing</t>
  </si>
  <si>
    <t>who reglazes tubs near me</t>
  </si>
  <si>
    <t>who reglazes windows</t>
  </si>
  <si>
    <t>wilmington tub reglazing</t>
  </si>
  <si>
    <t>window reglaze near me</t>
  </si>
  <si>
    <t>window reglazing &amp; repair</t>
  </si>
  <si>
    <t>window reglazing and repair near me</t>
  </si>
  <si>
    <t>yelp bathtub reglazing</t>
  </si>
  <si>
    <t>#reglazing</t>
  </si>
  <si>
    <t>a 1 reglazing</t>
  </si>
  <si>
    <t>a1 reglazing inc</t>
  </si>
  <si>
    <t>above it all reglazing</t>
  </si>
  <si>
    <t>absolute reglazing lubbock</t>
  </si>
  <si>
    <t>accurate bathtub reglazing sterling heights mi</t>
  </si>
  <si>
    <t>ace and tate reglaze</t>
  </si>
  <si>
    <t>acrylic tub liners vs reglazing</t>
  </si>
  <si>
    <t>all in one reglazing</t>
  </si>
  <si>
    <t>all tubs reglazing</t>
  </si>
  <si>
    <t>alliance bath reglazing brentwood ca</t>
  </si>
  <si>
    <t>amazing reglaze</t>
  </si>
  <si>
    <t>amazing reglazing michigan</t>
  </si>
  <si>
    <t>amazing reglazing richmond ky</t>
  </si>
  <si>
    <t>amazing reglazing services</t>
  </si>
  <si>
    <t>amazing tile &amp; tub reglazing</t>
  </si>
  <si>
    <t>american tub &amp; tile reglazing systems</t>
  </si>
  <si>
    <t>anthonys reglazing</t>
  </si>
  <si>
    <t>arlington bathtub reglazing</t>
  </si>
  <si>
    <t>arlington tile reglazing</t>
  </si>
  <si>
    <t>art tub reglazing</t>
  </si>
  <si>
    <t>atlas bathroom reglazing</t>
  </si>
  <si>
    <t>autosmart reglaze</t>
  </si>
  <si>
    <t>average cost of tub reglazing</t>
  </si>
  <si>
    <t>average price to reglaze a bathtub</t>
  </si>
  <si>
    <t>bath reglaze cost</t>
  </si>
  <si>
    <t>bath reglazing ireland</t>
  </si>
  <si>
    <t>bath rub reglazing</t>
  </si>
  <si>
    <t>bath+tile+reglazing+philadelphia</t>
  </si>
  <si>
    <t>bathroom fixture reglazing</t>
  </si>
  <si>
    <t>bathroom reglazing bronx</t>
  </si>
  <si>
    <t>bathroom reglazing long island</t>
  </si>
  <si>
    <t>bathroom reglazing professionals</t>
  </si>
  <si>
    <t>bathroom reglazing services</t>
  </si>
  <si>
    <t>bathroom sink reglazing cost</t>
  </si>
  <si>
    <t>bathroom tile reglaze</t>
  </si>
  <si>
    <t>bathroom tile reglazing dearborn</t>
  </si>
  <si>
    <t>bathroom tile reglazing livonia</t>
  </si>
  <si>
    <t>bathroom tile reglazing nj</t>
  </si>
  <si>
    <t>bathroom tile reglazing raleigh nc</t>
  </si>
  <si>
    <t>bathroom tile reglazing southfield</t>
  </si>
  <si>
    <t>bathroom tile reglazing sterling heights</t>
  </si>
  <si>
    <t>bathroom+tile+reglazing+philadelphia</t>
  </si>
  <si>
    <t>bathtub and shower reglazing ottawa</t>
  </si>
  <si>
    <t>bathtub mats for reglazed tubs</t>
  </si>
  <si>
    <t>bathtub reglazers in fresno ca</t>
  </si>
  <si>
    <t>bathtub reglazers kalamazoo</t>
  </si>
  <si>
    <t>bathtub reglazing alpharetta</t>
  </si>
  <si>
    <t>bathtub reglazing alpharetta ga</t>
  </si>
  <si>
    <t>bathtub reglazing amarillo tx</t>
  </si>
  <si>
    <t>bathtub reglazing anaheim</t>
  </si>
  <si>
    <t>bathtub reglazing appleton wi</t>
  </si>
  <si>
    <t>bathtub reglazing athens</t>
  </si>
  <si>
    <t>bathtub reglazing austin</t>
  </si>
  <si>
    <t>bathtub reglazing aventura</t>
  </si>
  <si>
    <t>bathtub reglazing ballwin mo</t>
  </si>
  <si>
    <t>bathtub reglazing bay city mi</t>
  </si>
  <si>
    <t>bathtub reglazing before and after raleigh nc</t>
  </si>
  <si>
    <t>bathtub reglazing bellingham wa</t>
  </si>
  <si>
    <t>bathtub reglazing birmingham al</t>
  </si>
  <si>
    <t>bathtub reglazing blairsville ga</t>
  </si>
  <si>
    <t>bathtub reglazing blue ridge ga</t>
  </si>
  <si>
    <t>bathtub reglazing boulevard gardens</t>
  </si>
  <si>
    <t>bathtub reglazing boynton beach</t>
  </si>
  <si>
    <t>bathtub reglazing bradenton</t>
  </si>
  <si>
    <t>bathtub reglazing braselton</t>
  </si>
  <si>
    <t>bathtub reglazing bremen ga</t>
  </si>
  <si>
    <t>bathtub reglazing brentwood mo</t>
  </si>
  <si>
    <t>bathtub reglazing broward</t>
  </si>
  <si>
    <t>bathtub reglazing buckhead</t>
  </si>
  <si>
    <t>bathtub reglazing buffalo ny</t>
  </si>
  <si>
    <t>bathtub reglazing buford</t>
  </si>
  <si>
    <t>bathtub reglazing byron ga</t>
  </si>
  <si>
    <t>bathtub reglazing calgary</t>
  </si>
  <si>
    <t>bathtub reglazing camarillo</t>
  </si>
  <si>
    <t>bathtub reglazing canton</t>
  </si>
  <si>
    <t>bathtub reglazing canton ga</t>
  </si>
  <si>
    <t>bathtub reglazing chamblee</t>
  </si>
  <si>
    <t>bathtub reglazing cherry hill nj</t>
  </si>
  <si>
    <t>bathtub reglazing chesapeake va</t>
  </si>
  <si>
    <t>bathtub reglazing chesterfield mo</t>
  </si>
  <si>
    <t>bathtub reglazing cincinnati oh</t>
  </si>
  <si>
    <t>bathtub reglazing clearwater</t>
  </si>
  <si>
    <t>bathtub reglazing coconut creek</t>
  </si>
  <si>
    <t>bathtub reglazing columbus ga</t>
  </si>
  <si>
    <t>bathtub reglazing company near me</t>
  </si>
  <si>
    <t>bathtub reglazing connecticut</t>
  </si>
  <si>
    <t>bathtub reglazing cooper city</t>
  </si>
  <si>
    <t>bathtub reglazing cost average price</t>
  </si>
  <si>
    <t>bathtub reglazing cost estimate</t>
  </si>
  <si>
    <t>bathtub reglazing cost vancouver</t>
  </si>
  <si>
    <t>bathtub reglazing crestwood mo</t>
  </si>
  <si>
    <t>bathtub reglazing creve coeur mo</t>
  </si>
  <si>
    <t>bathtub reglazing dacula</t>
  </si>
  <si>
    <t>bathtub reglazing dania beach</t>
  </si>
  <si>
    <t>bathtub reglazing davie</t>
  </si>
  <si>
    <t>bathtub reglazing daytona</t>
  </si>
  <si>
    <t>bathtub reglazing dearborn</t>
  </si>
  <si>
    <t>bathtub reglazing deerfield beach</t>
  </si>
  <si>
    <t>bathtub reglazing delray beach</t>
  </si>
  <si>
    <t>bathtub reglazing dunwoody ga</t>
  </si>
  <si>
    <t>bathtub reglazing east point ga</t>
  </si>
  <si>
    <t>bathtub reglazing edison nj</t>
  </si>
  <si>
    <t>bathtub reglazing edmonton</t>
  </si>
  <si>
    <t>bathtub reglazing ellisville mo</t>
  </si>
  <si>
    <t>bathtub reglazing experts reviews</t>
  </si>
  <si>
    <t>bathtub reglazing fayetteville ga</t>
  </si>
  <si>
    <t>bathtub reglazing fort erie</t>
  </si>
  <si>
    <t>bathtub reglazing fort worth</t>
  </si>
  <si>
    <t>bathtub reglazing fresno ca</t>
  </si>
  <si>
    <t>bathtub reglazing gainesville ga</t>
  </si>
  <si>
    <t>bathtub reglazing glendale ca</t>
  </si>
  <si>
    <t>bathtub reglazing grand rapids</t>
  </si>
  <si>
    <t>bathtub reglazing griffin ga</t>
  </si>
  <si>
    <t>bathtub reglazing grimsby</t>
  </si>
  <si>
    <t>bathtub reglazing hallandale</t>
  </si>
  <si>
    <t>bathtub reglazing hampton va</t>
  </si>
  <si>
    <t>bathtub reglazing helen ga</t>
  </si>
  <si>
    <t>bathtub reglazing hialeah</t>
  </si>
  <si>
    <t>bathtub reglazing hillsboro beach</t>
  </si>
  <si>
    <t>bathtub reglazing hollywood</t>
  </si>
  <si>
    <t>bathtub reglazing in brooklyn ny</t>
  </si>
  <si>
    <t>bathtub reglazing in ct</t>
  </si>
  <si>
    <t>bathtub reglazing in maryland</t>
  </si>
  <si>
    <t>bathtub reglazing in massachusetts</t>
  </si>
  <si>
    <t>bathtub reglazing inland empire</t>
  </si>
  <si>
    <t>bathtub reglazing jackson mi</t>
  </si>
  <si>
    <t>bathtub reglazing jacksonville</t>
  </si>
  <si>
    <t>bathtub reglazing johns creek</t>
  </si>
  <si>
    <t>bathtub reglazing kirkwood mo</t>
  </si>
  <si>
    <t>bathtub reglazing kissimmee</t>
  </si>
  <si>
    <t>bathtub reglazing kitchener waterloo</t>
  </si>
  <si>
    <t>bathtub reglazing ladue mo</t>
  </si>
  <si>
    <t>bathtub reglazing lafayette ga</t>
  </si>
  <si>
    <t>bathtub reglazing lake worth</t>
  </si>
  <si>
    <t>bathtub reglazing lakeland</t>
  </si>
  <si>
    <t>bathtub reglazing lantana</t>
  </si>
  <si>
    <t>bathtub reglazing lauderdale by the sea</t>
  </si>
  <si>
    <t>bathtub reglazing lauderdale lakes</t>
  </si>
  <si>
    <t>bathtub reglazing lauderhill</t>
  </si>
  <si>
    <t>bathtub reglazing lawrenceville</t>
  </si>
  <si>
    <t>bathtub reglazing lazy lake</t>
  </si>
  <si>
    <t>bathtub reglazing lighthouse point</t>
  </si>
  <si>
    <t>bathtub reglazing livermore ca</t>
  </si>
  <si>
    <t>bathtub reglazing livonia</t>
  </si>
  <si>
    <t>bathtub reglazing london ontario</t>
  </si>
  <si>
    <t>bathtub reglazing ma</t>
  </si>
  <si>
    <t>bathtub reglazing mableton ga</t>
  </si>
  <si>
    <t>bathtub reglazing macomb county</t>
  </si>
  <si>
    <t>bathtub reglazing macon ga</t>
  </si>
  <si>
    <t>bathtub reglazing margate</t>
  </si>
  <si>
    <t>bathtub reglazing marietta</t>
  </si>
  <si>
    <t>bathtub reglazing melbourne</t>
  </si>
  <si>
    <t>bathtub reglazing milledgeville ga</t>
  </si>
  <si>
    <t>bathtub reglazing miramar</t>
  </si>
  <si>
    <t>bathtub reglazing mississauga</t>
  </si>
  <si>
    <t>bathtub reglazing modesto ca</t>
  </si>
  <si>
    <t>bathtub reglazing morganton ga</t>
  </si>
  <si>
    <t>bathtub reglazing morristown</t>
  </si>
  <si>
    <t>bathtub reglazing muskegon mi</t>
  </si>
  <si>
    <t>bathtub reglazing nassau</t>
  </si>
  <si>
    <t>bathtub reglazing natick ma</t>
  </si>
  <si>
    <t>bathtub reglazing nearby</t>
  </si>
  <si>
    <t>bathtub reglazing newark</t>
  </si>
  <si>
    <t>bathtub reglazing nj reviews</t>
  </si>
  <si>
    <t>bathtub reglazing north atlanta ga</t>
  </si>
  <si>
    <t>bathtub reglazing north druid hills ga</t>
  </si>
  <si>
    <t>bathtub reglazing north lauderdale</t>
  </si>
  <si>
    <t>bathtub reglazing northern kentucky</t>
  </si>
  <si>
    <t>bathtub reglazing norwalk ct</t>
  </si>
  <si>
    <t>bathtub reglazing nyc reviews</t>
  </si>
  <si>
    <t>bathtub reglazing oakland</t>
  </si>
  <si>
    <t>bathtub reglazing oakland park</t>
  </si>
  <si>
    <t>bathtub reglazing pa</t>
  </si>
  <si>
    <t>bathtub reglazing paint kingston</t>
  </si>
  <si>
    <t>bathtub reglazing palm beach county</t>
  </si>
  <si>
    <t>bathtub reglazing palm beach gardens</t>
  </si>
  <si>
    <t>bathtub reglazing palm desert</t>
  </si>
  <si>
    <t>bathtub reglazing palm springs</t>
  </si>
  <si>
    <t>bathtub reglazing pembroke park</t>
  </si>
  <si>
    <t>bathtub reglazing pembroke pines</t>
  </si>
  <si>
    <t>bathtub reglazing philadelphia pa</t>
  </si>
  <si>
    <t>bathtub reglazing pine island ridge</t>
  </si>
  <si>
    <t>bathtub reglazing plantation</t>
  </si>
  <si>
    <t>bathtub reglazing pompano beach</t>
  </si>
  <si>
    <t>bathtub reglazing port colborne</t>
  </si>
  <si>
    <t>bathtub reglazing powder springs ga</t>
  </si>
  <si>
    <t>bathtub reglazing pros</t>
  </si>
  <si>
    <t>bathtub reglazing reading pa</t>
  </si>
  <si>
    <t>bathtub reglazing redan ga</t>
  </si>
  <si>
    <t>bathtub reglazing richmond</t>
  </si>
  <si>
    <t>bathtub reglazing richmond heights mo</t>
  </si>
  <si>
    <t>bathtub reglazing riviera beach</t>
  </si>
  <si>
    <t>bathtub reglazing rockland county ny</t>
  </si>
  <si>
    <t>bathtub reglazing rockville md</t>
  </si>
  <si>
    <t>bathtub reglazing roosevelt gardens</t>
  </si>
  <si>
    <t>bathtub reglazing roswell</t>
  </si>
  <si>
    <t>bathtub reglazing royal oak mi</t>
  </si>
  <si>
    <t>bathtub reglazing santa clarita ca</t>
  </si>
  <si>
    <t>bathtub reglazing services clarkstown</t>
  </si>
  <si>
    <t>bathtub reglazing services riverside ca</t>
  </si>
  <si>
    <t>bathtub reglazing simi valley ca</t>
  </si>
  <si>
    <t>bathtub reglazing south orange</t>
  </si>
  <si>
    <t>bathtub reglazing southfield</t>
  </si>
  <si>
    <t>bathtub reglazing southwest ranches</t>
  </si>
  <si>
    <t>bathtub reglazing spray middletown</t>
  </si>
  <si>
    <t>bathtub reglazing st. charles mo</t>
  </si>
  <si>
    <t>bathtub reglazing st. louis</t>
  </si>
  <si>
    <t>bathtub reglazing st. peters mo</t>
  </si>
  <si>
    <t>bathtub reglazing summit nj</t>
  </si>
  <si>
    <t>bathtub reglazing sunrise</t>
  </si>
  <si>
    <t>bathtub reglazing sunset hills mo</t>
  </si>
  <si>
    <t>bathtub reglazing sunshine acres</t>
  </si>
  <si>
    <t>bathtub reglazing suwanee</t>
  </si>
  <si>
    <t>bathtub reglazing tamarac</t>
  </si>
  <si>
    <t>bathtub reglazing thorold</t>
  </si>
  <si>
    <t>bathtub reglazing thousand oaks ca</t>
  </si>
  <si>
    <t>bathtub reglazing tile reglazing colors raleigh nc</t>
  </si>
  <si>
    <t>bathtub reglazing toccoa falls ga</t>
  </si>
  <si>
    <t>bathtub reglazing torrance ca</t>
  </si>
  <si>
    <t>bathtub reglazing town and country mo</t>
  </si>
  <si>
    <t>bathtub reglazing tunnel hill ga</t>
  </si>
  <si>
    <t>bathtub reglazing union nj</t>
  </si>
  <si>
    <t>bathtub reglazing van nuys</t>
  </si>
  <si>
    <t>bathtub reglazing warner robins ga</t>
  </si>
  <si>
    <t>bathtub reglazing webster groves mo</t>
  </si>
  <si>
    <t>bathtub reglazing welland</t>
  </si>
  <si>
    <t>bathtub reglazing wentzville mo</t>
  </si>
  <si>
    <t>bathtub reglazing west palm beach</t>
  </si>
  <si>
    <t>bathtub reglazing westchester county</t>
  </si>
  <si>
    <t>bathtub reglazing westchester county ny</t>
  </si>
  <si>
    <t>bathtub reglazing wildwood mo</t>
  </si>
  <si>
    <t>bathtub reglazing wilton manors</t>
  </si>
  <si>
    <t>bathtub reglazing windsor ontario</t>
  </si>
  <si>
    <t>bathtub reglazing winnipeg</t>
  </si>
  <si>
    <t>bathtub reglazing woodstock</t>
  </si>
  <si>
    <t>bathtub reglazing woodstock ga</t>
  </si>
  <si>
    <t>bathtub+reglazing+newark+nj</t>
  </si>
  <si>
    <t>bathtubs reglazing</t>
  </si>
  <si>
    <t>bathub reglazing</t>
  </si>
  <si>
    <t>best glasses reglazing uk</t>
  </si>
  <si>
    <t>best reglaze glasses uk</t>
  </si>
  <si>
    <t>best reglaze service</t>
  </si>
  <si>
    <t>best reglaze service uk</t>
  </si>
  <si>
    <t>boston bathtub reglazing</t>
  </si>
  <si>
    <t>boston tile reglazing</t>
  </si>
  <si>
    <t>brookline bathtub reglazing</t>
  </si>
  <si>
    <t>brookline sink reglazing</t>
  </si>
  <si>
    <t>cabinet reglazing</t>
  </si>
  <si>
    <t>cabinet reglazing aventura</t>
  </si>
  <si>
    <t>cabinet reglazing boca raton</t>
  </si>
  <si>
    <t>cabinet reglazing boulevard gardens</t>
  </si>
  <si>
    <t>cabinet reglazing boynton beach</t>
  </si>
  <si>
    <t>cabinet reglazing broward</t>
  </si>
  <si>
    <t>cabinet reglazing coconut creek</t>
  </si>
  <si>
    <t>cabinet reglazing colorado</t>
  </si>
  <si>
    <t>cabinet reglazing cooper city</t>
  </si>
  <si>
    <t>cabinet reglazing coral springs</t>
  </si>
  <si>
    <t>cabinet reglazing dania beach</t>
  </si>
  <si>
    <t>cabinet reglazing davie</t>
  </si>
  <si>
    <t>cabinet reglazing deerfield beach</t>
  </si>
  <si>
    <t>cabinet reglazing delray beach</t>
  </si>
  <si>
    <t>cabinet reglazing fort lauderdale</t>
  </si>
  <si>
    <t>cabinet reglazing franklin park</t>
  </si>
  <si>
    <t>cabinet reglazing hallandale</t>
  </si>
  <si>
    <t>cabinet reglazing hialeah</t>
  </si>
  <si>
    <t>cabinet reglazing highland beach</t>
  </si>
  <si>
    <t>cabinet reglazing hillsboro beach</t>
  </si>
  <si>
    <t>cabinet reglazing hollywood</t>
  </si>
  <si>
    <t>cabinet reglazing lake worth</t>
  </si>
  <si>
    <t>cabinet reglazing lantana</t>
  </si>
  <si>
    <t>cabinet reglazing lauderdale by the sea</t>
  </si>
  <si>
    <t>cabinet reglazing lauderdale lakes</t>
  </si>
  <si>
    <t>cabinet reglazing lauderhill</t>
  </si>
  <si>
    <t>cabinet reglazing lazy lake</t>
  </si>
  <si>
    <t>cabinet reglazing lighthouse point</t>
  </si>
  <si>
    <t>cabinet reglazing margate</t>
  </si>
  <si>
    <t>cabinet reglazing miramar</t>
  </si>
  <si>
    <t>cabinet reglazing north lauderdale</t>
  </si>
  <si>
    <t>cabinet reglazing oakland park</t>
  </si>
  <si>
    <t>cabinet reglazing palm beach</t>
  </si>
  <si>
    <t>cabinet reglazing parkland</t>
  </si>
  <si>
    <t>cabinet reglazing pembroke park</t>
  </si>
  <si>
    <t>cabinet reglazing pembroke pines</t>
  </si>
  <si>
    <t>cabinet reglazing pine island ridge</t>
  </si>
  <si>
    <t>cabinet reglazing pompano beach</t>
  </si>
  <si>
    <t>cabinet reglazing riviera beach</t>
  </si>
  <si>
    <t>cabinet reglazing roosevelt gardens</t>
  </si>
  <si>
    <t>cabinet reglazing south florida</t>
  </si>
  <si>
    <t>cabinet reglazing southwest ranches</t>
  </si>
  <si>
    <t>cabinet reglazing sunrise</t>
  </si>
  <si>
    <t>cabinet reglazing tamarac</t>
  </si>
  <si>
    <t>cabinet reglazing washington park</t>
  </si>
  <si>
    <t>cabinet reglazing west palm beach</t>
  </si>
  <si>
    <t>cabinet reglazing west park</t>
  </si>
  <si>
    <t>caleb reglazing</t>
  </si>
  <si>
    <t>cambridge shower reglazing</t>
  </si>
  <si>
    <t>cambridge tile reglazing</t>
  </si>
  <si>
    <t>can fiberglass tubs be reglazed</t>
  </si>
  <si>
    <t>can i reglaze my tub</t>
  </si>
  <si>
    <t>can i reglaze my tub myself</t>
  </si>
  <si>
    <t>can le creuset be reglazed</t>
  </si>
  <si>
    <t>can you reglaze a tub</t>
  </si>
  <si>
    <t>can you reglaze tile floors</t>
  </si>
  <si>
    <t>can you reglaze tile to a different color</t>
  </si>
  <si>
    <t>cast iron bathtub reglazing haverstraw</t>
  </si>
  <si>
    <t>cast iron bathtub reglazing middletown</t>
  </si>
  <si>
    <t>cheap glasses reglaze</t>
  </si>
  <si>
    <t>cheap reglaze</t>
  </si>
  <si>
    <t>cheap reglaze glasses</t>
  </si>
  <si>
    <t>cheap reglaze uk</t>
  </si>
  <si>
    <t>cheapest reglaze glasses</t>
  </si>
  <si>
    <t>cheapest reglaze glasses near me</t>
  </si>
  <si>
    <t>cheapest reglaze glasses uk</t>
  </si>
  <si>
    <t>cincinnati bathtub &amp; tile reglazing llc cincinnati oh</t>
  </si>
  <si>
    <t>clawfoot bathtub reglazing kingston</t>
  </si>
  <si>
    <t>clawfoot bathtub reglazing middletown</t>
  </si>
  <si>
    <t>clawfoot bathtub reglazing ramapo</t>
  </si>
  <si>
    <t>clean reglazed tun and tile</t>
  </si>
  <si>
    <t>cleaning reglazed bathtub</t>
  </si>
  <si>
    <t>commercial bathtub reglazing company lewiston</t>
  </si>
  <si>
    <t>commercial bathtub reglazing gresham</t>
  </si>
  <si>
    <t>commercial bathtub reglazing gulfport</t>
  </si>
  <si>
    <t>commercial bathtub reglazing independence</t>
  </si>
  <si>
    <t>commercial bathtub reglazing kansas city</t>
  </si>
  <si>
    <t>commercial bathtub reglazing lewiston</t>
  </si>
  <si>
    <t>commercial bathtub reglazing omaha</t>
  </si>
  <si>
    <t>commercial bathtub reglazing rochester ny</t>
  </si>
  <si>
    <t>commercial bathtub reglazing service lewiston</t>
  </si>
  <si>
    <t>commercial bathtub reglazing springfield</t>
  </si>
  <si>
    <t>commercial bathtub reglazing sterling heights</t>
  </si>
  <si>
    <t>commercial bathtub reglazing wichita</t>
  </si>
  <si>
    <t>commercial tub reglazing company lewiston</t>
  </si>
  <si>
    <t>commercial tub reglazing gresham</t>
  </si>
  <si>
    <t>commercial tub reglazing lewiston</t>
  </si>
  <si>
    <t>commercial tub reglazing service gresham</t>
  </si>
  <si>
    <t>connecticut bathtub reglazing</t>
  </si>
  <si>
    <t>cost of bathtub reglazing raleigh nc</t>
  </si>
  <si>
    <t>cost of reglazing glasses</t>
  </si>
  <si>
    <t>cost of reglazing windows</t>
  </si>
  <si>
    <t>cost reglazing tub safety</t>
  </si>
  <si>
    <t>cost to reglaze glasses</t>
  </si>
  <si>
    <t>cost to reglaze kitchen cabinets</t>
  </si>
  <si>
    <t>cost to reglaze window</t>
  </si>
  <si>
    <t>costco reglaze glasses</t>
  </si>
  <si>
    <t>counter top reglazing riverside</t>
  </si>
  <si>
    <t>cozy bathtub reglazing</t>
  </si>
  <si>
    <t>custom bathtub and tile reglazers</t>
  </si>
  <si>
    <t>custom bathtub and tile reglazing</t>
  </si>
  <si>
    <t>custom tub reglazing granger in</t>
  </si>
  <si>
    <t>dedham tile reglazing</t>
  </si>
  <si>
    <t>detroit tub resurface &amp; reglaze</t>
  </si>
  <si>
    <t>diy reglaze porcelain tub</t>
  </si>
  <si>
    <t>do it yourself reglaze bathtub</t>
  </si>
  <si>
    <t>do it yourself reglazing bathroom tile</t>
  </si>
  <si>
    <t>does bathtub reglazing work</t>
  </si>
  <si>
    <t>does specsavers reglaze glasses</t>
  </si>
  <si>
    <t>don't replace reglaze</t>
  </si>
  <si>
    <t>dr tubs reglazing reviews</t>
  </si>
  <si>
    <t>dulce reglazo precio</t>
  </si>
  <si>
    <t>epoxy or resin reglaze a bathtub</t>
  </si>
  <si>
    <t>european reglazing inc bohemia ny</t>
  </si>
  <si>
    <t>european reglazing long island</t>
  </si>
  <si>
    <t>ez bathtub reglazing san jose ca</t>
  </si>
  <si>
    <t>fashion eyewear reglaze</t>
  </si>
  <si>
    <t>fiber glass shower reglazing stockton ca</t>
  </si>
  <si>
    <t>fiberglass reglazing virginia beach va</t>
  </si>
  <si>
    <t>fresh new look tub &amp; tile reglazing llc</t>
  </si>
  <si>
    <t>get glasses reglazed online</t>
  </si>
  <si>
    <t>glass reglaze</t>
  </si>
  <si>
    <t>glasses direct reglaze</t>
  </si>
  <si>
    <t>glasses direct reglazing</t>
  </si>
  <si>
    <t>glasses reglaze online</t>
  </si>
  <si>
    <t>glasses reglazing cost</t>
  </si>
  <si>
    <t>go green reglazing llc</t>
  </si>
  <si>
    <t>go green reglazing reviews</t>
  </si>
  <si>
    <t>good as new reglazing</t>
  </si>
  <si>
    <t>high tech reglazing inc</t>
  </si>
  <si>
    <t>high tech reglazing pawtucket ri</t>
  </si>
  <si>
    <t>hotel bathtub reglazing company sterling heights</t>
  </si>
  <si>
    <t>how do i clean a reglazed bathtub</t>
  </si>
  <si>
    <t>how long after tub reglazing can you shower</t>
  </si>
  <si>
    <t>how long do bathtub reglazing fumes last</t>
  </si>
  <si>
    <t>how long to wait after tub reglazing</t>
  </si>
  <si>
    <t>how much does it cost to reglaze glasses</t>
  </si>
  <si>
    <t>how to reglaze a crock</t>
  </si>
  <si>
    <t>how to reglaze a shower pan</t>
  </si>
  <si>
    <t>how to reglaze a velux window</t>
  </si>
  <si>
    <t>how to reglaze bathroom sink</t>
  </si>
  <si>
    <t>how to reglaze bathroom tiles</t>
  </si>
  <si>
    <t>how to reglaze cone 6</t>
  </si>
  <si>
    <t>how to reglaze louis vuitton wallet</t>
  </si>
  <si>
    <t>how to reglaze windows video</t>
  </si>
  <si>
    <t>hughes reglazing milwaukee</t>
  </si>
  <si>
    <t>invisible bifocal reglazed</t>
  </si>
  <si>
    <t>jacuzzi reglazing</t>
  </si>
  <si>
    <t>kitchen cabinet reglazing</t>
  </si>
  <si>
    <t>kitchen tile reglazing raleigh nc</t>
  </si>
  <si>
    <t>lens reglazing</t>
  </si>
  <si>
    <t>lynn sink reglazing</t>
  </si>
  <si>
    <t>lynn tile reglazing</t>
  </si>
  <si>
    <t>master reglazing</t>
  </si>
  <si>
    <t>master reglazing edmonton</t>
  </si>
  <si>
    <t>mb reglazing</t>
  </si>
  <si>
    <t>mile high reglazing</t>
  </si>
  <si>
    <t>mr reglazer guy</t>
  </si>
  <si>
    <t>new again tub and tile reglazing</t>
  </si>
  <si>
    <t>new again tub and tile reglazing of clearwater</t>
  </si>
  <si>
    <t>new england reglaze somerville ma</t>
  </si>
  <si>
    <t>nu finish reglazing and repair</t>
  </si>
  <si>
    <t>online glasses reglazing</t>
  </si>
  <si>
    <t>pacific reglazing burbank ca</t>
  </si>
  <si>
    <t>pacific reglazing yelp</t>
  </si>
  <si>
    <t>pkb reglazing reviews</t>
  </si>
  <si>
    <t>porcelain bathtub reglaze</t>
  </si>
  <si>
    <t>porcelain bathtub reglazing haverstraw</t>
  </si>
  <si>
    <t>porcelain bathtub reglazing middletown</t>
  </si>
  <si>
    <t>pour on tub reglazing</t>
  </si>
  <si>
    <t>professional bathroom reglazing</t>
  </si>
  <si>
    <t>professional bathtub reglazing clarkstown</t>
  </si>
  <si>
    <t>professional bathtub reglazing haverstraw</t>
  </si>
  <si>
    <t>professional bathtub reglazing kingston</t>
  </si>
  <si>
    <t>professional bathtub reglazing middletown</t>
  </si>
  <si>
    <t>professional bathtub reglazing raleigh nc</t>
  </si>
  <si>
    <t>professional reglazing los angeles</t>
  </si>
  <si>
    <t>pros and cons of reglazing bathtub</t>
  </si>
  <si>
    <t>protech recoating bathtub reglazing</t>
  </si>
  <si>
    <t>quincy shower reglazing</t>
  </si>
  <si>
    <t>ray ban reglaze</t>
  </si>
  <si>
    <t>reglaza trapa cena</t>
  </si>
  <si>
    <t>reglaze bathroom tile dearborn</t>
  </si>
  <si>
    <t>reglaze bathroom tile farmington hills</t>
  </si>
  <si>
    <t>reglaze bathroom tile floor</t>
  </si>
  <si>
    <t>reglaze bathroom tile southfield</t>
  </si>
  <si>
    <t>reglaze bathroom tile westland</t>
  </si>
  <si>
    <t>reglaze bathroom wall tile</t>
  </si>
  <si>
    <t>reglaze bathtub atlanta</t>
  </si>
  <si>
    <t>reglaze bathtub cost canton</t>
  </si>
  <si>
    <t>reglaze bathtub cost detroit</t>
  </si>
  <si>
    <t>reglaze bathtub cost livonia</t>
  </si>
  <si>
    <t>reglaze bathtub cost madison heights</t>
  </si>
  <si>
    <t>reglaze bathtub cost southfield</t>
  </si>
  <si>
    <t>reglaze bathtub cost sterling heights</t>
  </si>
  <si>
    <t>reglaze bathtub cost westland</t>
  </si>
  <si>
    <t>reglaze bathtub orange county</t>
  </si>
  <si>
    <t>reglaze bathtub tulsa</t>
  </si>
  <si>
    <t>reglaze cast iron bathtub</t>
  </si>
  <si>
    <t>reglaze ceramic tile floor</t>
  </si>
  <si>
    <t>reglaze company</t>
  </si>
  <si>
    <t>reglaze direct</t>
  </si>
  <si>
    <t>reglaze double pane window</t>
  </si>
  <si>
    <t>reglaze essilor lenses</t>
  </si>
  <si>
    <t>reglaze existing frames</t>
  </si>
  <si>
    <t>reglaze front door</t>
  </si>
  <si>
    <t>reglaze glasses asda</t>
  </si>
  <si>
    <t>reglaze glasses australia</t>
  </si>
  <si>
    <t>reglaze glasses boots</t>
  </si>
  <si>
    <t>reglaze glasses cheap</t>
  </si>
  <si>
    <t>reglaze glasses direct ltd</t>
  </si>
  <si>
    <t>reglaze glasses direct review</t>
  </si>
  <si>
    <t>reglaze glasses direct reviews</t>
  </si>
  <si>
    <t>reglaze glasses manchester</t>
  </si>
  <si>
    <t>reglaze glasses nz</t>
  </si>
  <si>
    <t>reglaze glasses specsavers</t>
  </si>
  <si>
    <t>reglaze glasses vision express</t>
  </si>
  <si>
    <t>reglaze greenhouse</t>
  </si>
  <si>
    <t>reglaze internal doors</t>
  </si>
  <si>
    <t>reglaze kitchen sink near me</t>
  </si>
  <si>
    <t>reglaze lens</t>
  </si>
  <si>
    <t>reglaze lindberg glasses</t>
  </si>
  <si>
    <t>reglaze my glasses near me</t>
  </si>
  <si>
    <t>reglaze my lenses</t>
  </si>
  <si>
    <t>reglaze my specs</t>
  </si>
  <si>
    <t>reglaze my spex</t>
  </si>
  <si>
    <t>reglaze my sunglasses</t>
  </si>
  <si>
    <t>reglaze my tub</t>
  </si>
  <si>
    <t>reglaze porcelain</t>
  </si>
  <si>
    <t>reglaze pottery</t>
  </si>
  <si>
    <t>reglaze prescription lenses</t>
  </si>
  <si>
    <t>reglaze ray ban sunglasses</t>
  </si>
  <si>
    <t>reglaze ray bans</t>
  </si>
  <si>
    <t>reglaze rimless glasses</t>
  </si>
  <si>
    <t>reglaze shower tiles</t>
  </si>
  <si>
    <t>reglaze shower tub</t>
  </si>
  <si>
    <t>reglaze sink yourself</t>
  </si>
  <si>
    <t>reglaze sinks</t>
  </si>
  <si>
    <t>reglaze spectacles cheap</t>
  </si>
  <si>
    <t>reglaze sunglasses non prescription</t>
  </si>
  <si>
    <t>reglaze sunglasses polarized</t>
  </si>
  <si>
    <t>reglaze sunglasses prescription</t>
  </si>
  <si>
    <t>reglaze sunglasses uk</t>
  </si>
  <si>
    <t>reglaze tile bathroom</t>
  </si>
  <si>
    <t>reglaze tub kit</t>
  </si>
  <si>
    <t>reglaze tub ri</t>
  </si>
  <si>
    <t>reglaze varifocal lenses</t>
  </si>
  <si>
    <t>reglaze varifocals</t>
  </si>
  <si>
    <t>reglaze window definition</t>
  </si>
  <si>
    <t>reglaze your bathtub</t>
  </si>
  <si>
    <t>reglaze+bathroom+tile+philadelphia</t>
  </si>
  <si>
    <t>reglazed bathroom tile</t>
  </si>
  <si>
    <t>reglazed bathtub care</t>
  </si>
  <si>
    <t>reglazed tub before and after</t>
  </si>
  <si>
    <t>reglazed tubs</t>
  </si>
  <si>
    <t>reglazes bathtubs</t>
  </si>
  <si>
    <t>reglazing a bathtub yourself</t>
  </si>
  <si>
    <t>reglazing a cast iron sink</t>
  </si>
  <si>
    <t>reglazing a greenhouse</t>
  </si>
  <si>
    <t>reglazing a porcelain tub</t>
  </si>
  <si>
    <t>reglazing a window pane</t>
  </si>
  <si>
    <t>reglazing ann arbor</t>
  </si>
  <si>
    <t>reglazing bathroom floor tile</t>
  </si>
  <si>
    <t>reglazing bathroom tile and tub</t>
  </si>
  <si>
    <t>reglazing bathroom tile floor</t>
  </si>
  <si>
    <t>reglazing bathtub companies</t>
  </si>
  <si>
    <t>reglazing bathtub orange county</t>
  </si>
  <si>
    <t>reglazing bathtub reviews</t>
  </si>
  <si>
    <t>reglazing ceramic sink</t>
  </si>
  <si>
    <t>reglazing ceramic tile floors</t>
  </si>
  <si>
    <t>reglazing co</t>
  </si>
  <si>
    <t>reglazing commercial buildings</t>
  </si>
  <si>
    <t>reglazing company lubbock texas</t>
  </si>
  <si>
    <t>reglazing company near me</t>
  </si>
  <si>
    <t>reglazing detroit</t>
  </si>
  <si>
    <t>reglazing dinnerware</t>
  </si>
  <si>
    <t>reglazing double glazed windows</t>
  </si>
  <si>
    <t>reglazing eyewear company</t>
  </si>
  <si>
    <t>reglazing glasses london</t>
  </si>
  <si>
    <t>reglazing glasses vision express</t>
  </si>
  <si>
    <t>reglazing greenhouse</t>
  </si>
  <si>
    <t>reglazing kitchen sink near me</t>
  </si>
  <si>
    <t>reglazing labs near me</t>
  </si>
  <si>
    <t>reglazing lenses</t>
  </si>
  <si>
    <t>reglazing lubbock</t>
  </si>
  <si>
    <t>reglazing meaning</t>
  </si>
  <si>
    <t>reglazing mirrors</t>
  </si>
  <si>
    <t>reglazing nj</t>
  </si>
  <si>
    <t>reglazing of bathtub raleigh nc</t>
  </si>
  <si>
    <t>reglazing old glasses</t>
  </si>
  <si>
    <t>reglazing old wooden windows</t>
  </si>
  <si>
    <t>reglazing picture frames</t>
  </si>
  <si>
    <t>reglazing pinholes</t>
  </si>
  <si>
    <t>reglazing plastic bathtub</t>
  </si>
  <si>
    <t>reglazing porcelain</t>
  </si>
  <si>
    <t>reglazing prescription sunglasses</t>
  </si>
  <si>
    <t>reglazing pyrex</t>
  </si>
  <si>
    <t>reglazing service la</t>
  </si>
  <si>
    <t>reglazing services los angeles</t>
  </si>
  <si>
    <t>reglazing services virginia beach va</t>
  </si>
  <si>
    <t>reglazing shower stall cost</t>
  </si>
  <si>
    <t>reglazing sink near me</t>
  </si>
  <si>
    <t>reglazing sliding glass door</t>
  </si>
  <si>
    <t>reglazing specialists</t>
  </si>
  <si>
    <t>reglazing spray for tubs</t>
  </si>
  <si>
    <t>reglazing tile and bathtub</t>
  </si>
  <si>
    <t>reglazing tile bathroom</t>
  </si>
  <si>
    <t>reglazing tile do it yourself</t>
  </si>
  <si>
    <t>reglazing tiles in bathroom</t>
  </si>
  <si>
    <t>reglazing tub diy</t>
  </si>
  <si>
    <t>reglazing vision express</t>
  </si>
  <si>
    <t>reglazing windows near me</t>
  </si>
  <si>
    <t>reglazing windows youtube</t>
  </si>
  <si>
    <t>reglazing wood windows</t>
  </si>
  <si>
    <t>reglazing wow</t>
  </si>
  <si>
    <t>reglazing+tile+allentown+pa</t>
  </si>
  <si>
    <t>reglazo</t>
  </si>
  <si>
    <t>reglazo de mango en monterrey</t>
  </si>
  <si>
    <t>reglazo de pi√±a</t>
  </si>
  <si>
    <t>reglazo de tamarindo precio</t>
  </si>
  <si>
    <t>reglazo dulce</t>
  </si>
  <si>
    <t>reglazo en la mano</t>
  </si>
  <si>
    <t>reglazo tamarindo</t>
  </si>
  <si>
    <t>reglazos dulces</t>
  </si>
  <si>
    <t>renaissance reglazing</t>
  </si>
  <si>
    <t>residential bathtub reglazing braselton</t>
  </si>
  <si>
    <t>residential bathtub reglazing buford</t>
  </si>
  <si>
    <t>residential bathtub reglazing company alpharetta</t>
  </si>
  <si>
    <t>residential bathtub reglazing company braselton</t>
  </si>
  <si>
    <t>residential bathtub reglazing company buford</t>
  </si>
  <si>
    <t>residential bathtub reglazing company lawrenceville</t>
  </si>
  <si>
    <t>residential bathtub reglazing company roswell</t>
  </si>
  <si>
    <t>residential bathtub reglazing company suwanee</t>
  </si>
  <si>
    <t>residential bathtub reglazing dacula</t>
  </si>
  <si>
    <t>residential bathtub reglazing service braselton</t>
  </si>
  <si>
    <t>residential bathtub reglazing service dacula</t>
  </si>
  <si>
    <t>residential bathtub reglazing service lawrenceville</t>
  </si>
  <si>
    <t>residential bathtub reglazing service roswell</t>
  </si>
  <si>
    <t>residential tub reglazing alpharetta</t>
  </si>
  <si>
    <t>residential tub reglazing braselton</t>
  </si>
  <si>
    <t>residential tub reglazing buford</t>
  </si>
  <si>
    <t>residential tub reglazing company alpharetta</t>
  </si>
  <si>
    <t>residential tub reglazing company cumming</t>
  </si>
  <si>
    <t>residential tub reglazing company lawrenceville</t>
  </si>
  <si>
    <t>residential tub reglazing company roswell</t>
  </si>
  <si>
    <t>residential tub reglazing company suwanee</t>
  </si>
  <si>
    <t>residential tub reglazing dacula</t>
  </si>
  <si>
    <t>residential tub reglazing service alpharetta</t>
  </si>
  <si>
    <t>residential tub reglazing service suwanee</t>
  </si>
  <si>
    <t>rideau bathtub reglazing</t>
  </si>
  <si>
    <t>rub a dub reglazing</t>
  </si>
  <si>
    <t>seattle bathtub reglazing</t>
  </si>
  <si>
    <t>shine glaze bathtub reglazing</t>
  </si>
  <si>
    <t>shop front reglazing</t>
  </si>
  <si>
    <t>should i reglaze my bathtub</t>
  </si>
  <si>
    <t>shower reglaze kit</t>
  </si>
  <si>
    <t>shower reglazers lansing</t>
  </si>
  <si>
    <t>shower reglazing cost grand rapids</t>
  </si>
  <si>
    <t>shower reglazing cost holland</t>
  </si>
  <si>
    <t>shower reglazing cost kalamazoo</t>
  </si>
  <si>
    <t>shower reglazing cost lansing</t>
  </si>
  <si>
    <t>shower reglazing cost muskegon</t>
  </si>
  <si>
    <t>shower reglazing denver</t>
  </si>
  <si>
    <t>shower reglazing grand rapids</t>
  </si>
  <si>
    <t>shower reglazing holland</t>
  </si>
  <si>
    <t>shower reglazing in livermore ca</t>
  </si>
  <si>
    <t>shower reglazing kalamazoo</t>
  </si>
  <si>
    <t>shower reglazing lansing</t>
  </si>
  <si>
    <t>shower reglazing muskegon</t>
  </si>
  <si>
    <t>shower+and+tile+reglazing+in+philadelphia</t>
  </si>
  <si>
    <t>sink and tub reglazing</t>
  </si>
  <si>
    <t>sink reglazing boston</t>
  </si>
  <si>
    <t>sink reglazing chicago</t>
  </si>
  <si>
    <t>sink reglazing kansas city</t>
  </si>
  <si>
    <t>sink reglazing las vegas</t>
  </si>
  <si>
    <t>sink reglazing orange county</t>
  </si>
  <si>
    <t>sink reglazing orange county ca</t>
  </si>
  <si>
    <t>sink reglazing seattle</t>
  </si>
  <si>
    <t>sink reglazing stockton ca</t>
  </si>
  <si>
    <t>smith reglazing company llc</t>
  </si>
  <si>
    <t>somerville bathtub reglazing</t>
  </si>
  <si>
    <t>specsavers reglazing cost</t>
  </si>
  <si>
    <t>specscart reglaze</t>
  </si>
  <si>
    <t>spectacle lens reglazing</t>
  </si>
  <si>
    <t>spex4less reglaze</t>
  </si>
  <si>
    <t>spr tub reglazing</t>
  </si>
  <si>
    <t>sta je reglaza trapa</t>
  </si>
  <si>
    <t>standard bathtub reglazing service</t>
  </si>
  <si>
    <t>staten island tub reglazing</t>
  </si>
  <si>
    <t>steel tub reglazing</t>
  </si>
  <si>
    <t>stl reglazing</t>
  </si>
  <si>
    <t>sunglasses reglaze uk</t>
  </si>
  <si>
    <t>sunroom reglazing</t>
  </si>
  <si>
    <t>supreme bathtub reglazing</t>
  </si>
  <si>
    <t>the bath reglazing company</t>
  </si>
  <si>
    <t>the tub doctors reglazing</t>
  </si>
  <si>
    <t>tile reglaze boston</t>
  </si>
  <si>
    <t>tile reglaze kit</t>
  </si>
  <si>
    <t>tile reglazers holland</t>
  </si>
  <si>
    <t>tile reglazers kalamazoo</t>
  </si>
  <si>
    <t>tile reglazing and refinishing oakville</t>
  </si>
  <si>
    <t>tile reglazing and refinishing stoney creek</t>
  </si>
  <si>
    <t>tile reglazing atlanta</t>
  </si>
  <si>
    <t>tile reglazing bridgewater</t>
  </si>
  <si>
    <t>tile reglazing canton</t>
  </si>
  <si>
    <t>tile reglazing company holland</t>
  </si>
  <si>
    <t>tile reglazing company kalamazoo</t>
  </si>
  <si>
    <t>tile reglazing company lansing</t>
  </si>
  <si>
    <t>tile reglazing company muskegon</t>
  </si>
  <si>
    <t>tile reglazing company raleigh nc</t>
  </si>
  <si>
    <t>tile reglazing cost grand rapids</t>
  </si>
  <si>
    <t>tile reglazing cost holland</t>
  </si>
  <si>
    <t>tile reglazing cost kalamazoo</t>
  </si>
  <si>
    <t>tile reglazing ct</t>
  </si>
  <si>
    <t>tile reglazing denver</t>
  </si>
  <si>
    <t>tile reglazing diy</t>
  </si>
  <si>
    <t>tile reglazing holland</t>
  </si>
  <si>
    <t>tile reglazing lansing</t>
  </si>
  <si>
    <t>tile reglazing livonia</t>
  </si>
  <si>
    <t>tile reglazing long island</t>
  </si>
  <si>
    <t>tile reglazing madison heights</t>
  </si>
  <si>
    <t>tile reglazing michigan</t>
  </si>
  <si>
    <t>tile reglazing muskegon</t>
  </si>
  <si>
    <t>tile reglazing orange county ca</t>
  </si>
  <si>
    <t>tile reglazing reviews</t>
  </si>
  <si>
    <t>tile reglazing richmond va</t>
  </si>
  <si>
    <t>tile reglazing riverside ca</t>
  </si>
  <si>
    <t>tile reglazing services anchorage ak</t>
  </si>
  <si>
    <t>tile reglazing south orange</t>
  </si>
  <si>
    <t>tile reglazing southfield</t>
  </si>
  <si>
    <t>tile reglazing st louis</t>
  </si>
  <si>
    <t>tile reglazing virginia beach va</t>
  </si>
  <si>
    <t>tile reglazing westchester ny</t>
  </si>
  <si>
    <t>tile reglazing westland</t>
  </si>
  <si>
    <t>tile+reglazing+allentown+pa</t>
  </si>
  <si>
    <t>tile+reglazing+in+philadelphia</t>
  </si>
  <si>
    <t>tile+reglazing+lehigh+valley+pa</t>
  </si>
  <si>
    <t>to reglaze bathtub</t>
  </si>
  <si>
    <t>to reglaze tub</t>
  </si>
  <si>
    <t>to reglaze your tub</t>
  </si>
  <si>
    <t>topkote bath reglaze</t>
  </si>
  <si>
    <t>topkote reglazing reviews</t>
  </si>
  <si>
    <t>toronto tub reglaze</t>
  </si>
  <si>
    <t>tub doctors reglazing</t>
  </si>
  <si>
    <t>tub reglazing 89120</t>
  </si>
  <si>
    <t>tub reglazing ann arbor</t>
  </si>
  <si>
    <t>tub reglazing aventura</t>
  </si>
  <si>
    <t>tub reglazing ballwin mo</t>
  </si>
  <si>
    <t>tub reglazing baltimore md</t>
  </si>
  <si>
    <t>tub reglazing boca raton</t>
  </si>
  <si>
    <t>tub reglazing boise</t>
  </si>
  <si>
    <t>tub reglazing boulevard gardens</t>
  </si>
  <si>
    <t>tub reglazing boynton beach</t>
  </si>
  <si>
    <t>tub reglazing braselton</t>
  </si>
  <si>
    <t>tub reglazing broward</t>
  </si>
  <si>
    <t>tub reglazing buford</t>
  </si>
  <si>
    <t>tub reglazing central nj</t>
  </si>
  <si>
    <t>tub reglazing cincinnati ohio</t>
  </si>
  <si>
    <t>tub reglazing coconut creek</t>
  </si>
  <si>
    <t>tub reglazing company near me</t>
  </si>
  <si>
    <t>tub reglazing cooper city</t>
  </si>
  <si>
    <t>tub reglazing coral springs</t>
  </si>
  <si>
    <t>tub reglazing cost grand rapids</t>
  </si>
  <si>
    <t>tub reglazing cost kalamazoo</t>
  </si>
  <si>
    <t>tub reglazing cost muskegon</t>
  </si>
  <si>
    <t>tub reglazing crestwood mo</t>
  </si>
  <si>
    <t>tub reglazing cumming</t>
  </si>
  <si>
    <t>tub reglazing dacula</t>
  </si>
  <si>
    <t>tub reglazing dania beach</t>
  </si>
  <si>
    <t>tub reglazing davie</t>
  </si>
  <si>
    <t>tub reglazing deerfield beach</t>
  </si>
  <si>
    <t>tub reglazing delray beach</t>
  </si>
  <si>
    <t>tub reglazing des peres mo</t>
  </si>
  <si>
    <t>tub reglazing detroit mi</t>
  </si>
  <si>
    <t>tub reglazing detroit michigan</t>
  </si>
  <si>
    <t>tub reglazing diy</t>
  </si>
  <si>
    <t>tub reglazing edmonton</t>
  </si>
  <si>
    <t>tub reglazing ellisville mo</t>
  </si>
  <si>
    <t>tub reglazing eureka mo</t>
  </si>
  <si>
    <t>tub reglazing fort lauderdale</t>
  </si>
  <si>
    <t>tub reglazing hallandale</t>
  </si>
  <si>
    <t>tub reglazing hialeah</t>
  </si>
  <si>
    <t>tub reglazing highland beach</t>
  </si>
  <si>
    <t>tub reglazing hillsboro beach</t>
  </si>
  <si>
    <t>tub reglazing holland mi</t>
  </si>
  <si>
    <t>tub reglazing hollywood</t>
  </si>
  <si>
    <t>tub reglazing home depot</t>
  </si>
  <si>
    <t>tub reglazing in maryland</t>
  </si>
  <si>
    <t>tub reglazing in philadelphia pa</t>
  </si>
  <si>
    <t>tub reglazing jupiter</t>
  </si>
  <si>
    <t>tub reglazing kirkwood mo</t>
  </si>
  <si>
    <t>tub reglazing lake worth</t>
  </si>
  <si>
    <t>tub reglazing lantana</t>
  </si>
  <si>
    <t>tub reglazing las vegas nv</t>
  </si>
  <si>
    <t>tub reglazing lauderdale by the sea</t>
  </si>
  <si>
    <t>tub reglazing lauderdale lakes</t>
  </si>
  <si>
    <t>tub reglazing lauderhill</t>
  </si>
  <si>
    <t>tub reglazing lighthouse point</t>
  </si>
  <si>
    <t>tub reglazing madison heights</t>
  </si>
  <si>
    <t>tub reglazing margate</t>
  </si>
  <si>
    <t>tub reglazing miramar</t>
  </si>
  <si>
    <t>tub reglazing nearby</t>
  </si>
  <si>
    <t>tub reglazing north lauderdale</t>
  </si>
  <si>
    <t>tub reglazing oakland park</t>
  </si>
  <si>
    <t>tub reglazing ottawa</t>
  </si>
  <si>
    <t>tub reglazing palm beach</t>
  </si>
  <si>
    <t>tub reglazing palm beach gardens</t>
  </si>
  <si>
    <t>tub reglazing pembroke park</t>
  </si>
  <si>
    <t>tub reglazing pembroke pines</t>
  </si>
  <si>
    <t>tub reglazing pine island ridge</t>
  </si>
  <si>
    <t>tub reglazing plantation</t>
  </si>
  <si>
    <t>tub reglazing pompano beach</t>
  </si>
  <si>
    <t>tub reglazing richmond heights mo</t>
  </si>
  <si>
    <t>tub reglazing riviera beach</t>
  </si>
  <si>
    <t>tub reglazing roosevelt gardens</t>
  </si>
  <si>
    <t>tub reglazing royal oak mi</t>
  </si>
  <si>
    <t>tub reglazing sarasota</t>
  </si>
  <si>
    <t>tub reglazing south bend</t>
  </si>
  <si>
    <t>tub reglazing south florida</t>
  </si>
  <si>
    <t>tub reglazing southwest ranches</t>
  </si>
  <si>
    <t>tub reglazing st petersburg fl</t>
  </si>
  <si>
    <t>tub reglazing st. charles mo</t>
  </si>
  <si>
    <t>tub reglazing st. louis county mo</t>
  </si>
  <si>
    <t>tub reglazing st. louis mo</t>
  </si>
  <si>
    <t>tub reglazing st. peters mo</t>
  </si>
  <si>
    <t>tub reglazing stockton ca</t>
  </si>
  <si>
    <t>tub reglazing sugar hill</t>
  </si>
  <si>
    <t>tub reglazing sunrise</t>
  </si>
  <si>
    <t>tub reglazing tamarac</t>
  </si>
  <si>
    <t>tub reglazing thousand oaks ca</t>
  </si>
  <si>
    <t>tub reglazing toronto</t>
  </si>
  <si>
    <t>tub reglazing virginia</t>
  </si>
  <si>
    <t>tub reglazing virginia beach va</t>
  </si>
  <si>
    <t>tub reglazing webster groves mo</t>
  </si>
  <si>
    <t>tub reglazing wentzville mo</t>
  </si>
  <si>
    <t>tub reglazing west palm beach</t>
  </si>
  <si>
    <t>tub reglazing wildwood mo</t>
  </si>
  <si>
    <t>tub reglazing wilton manors</t>
  </si>
  <si>
    <t>tub+and+tile+reglazing+philadelphia</t>
  </si>
  <si>
    <t>tube reglazing cost</t>
  </si>
  <si>
    <t>vision express reglaze cost</t>
  </si>
  <si>
    <t>watertown bathtub reglazing</t>
  </si>
  <si>
    <t>watertown sink reglazing</t>
  </si>
  <si>
    <t>what do i need to reglaze a tub</t>
  </si>
  <si>
    <t>what does reglazing a bathtub mean</t>
  </si>
  <si>
    <t>where can i get my glasses reglazed</t>
  </si>
  <si>
    <t>where can i reglaze my glasses</t>
  </si>
  <si>
    <t>who reglazes bathtubs near me</t>
  </si>
  <si>
    <t>window glass reglazing</t>
  </si>
  <si>
    <t>window reglazes</t>
  </si>
  <si>
    <t>window reglazing denver</t>
  </si>
  <si>
    <t>window reglazing meaning</t>
  </si>
  <si>
    <t>52 inch bathtub reglazed</t>
  </si>
  <si>
    <t>6040 window reglaze</t>
  </si>
  <si>
    <t>a 1 reglazing co coventry ri</t>
  </si>
  <si>
    <t>a 1 reglazing inc</t>
  </si>
  <si>
    <t>a 1 reglazing ri</t>
  </si>
  <si>
    <t>a to z reglazing price list</t>
  </si>
  <si>
    <t>a&amp;e tub reglazing</t>
  </si>
  <si>
    <t>a-1 reglazing</t>
  </si>
  <si>
    <t>a-1 reglazing co</t>
  </si>
  <si>
    <t>a-1 tub reglazer</t>
  </si>
  <si>
    <t>a1 bathtub reglazing</t>
  </si>
  <si>
    <t>a1 reglaze</t>
  </si>
  <si>
    <t>a1 reglazers bellingham</t>
  </si>
  <si>
    <t>a1 reglazing address bellingham wa</t>
  </si>
  <si>
    <t>a1 reglazing co</t>
  </si>
  <si>
    <t>a1 reglazing coventry ri</t>
  </si>
  <si>
    <t>a1 reglazing los angeles</t>
  </si>
  <si>
    <t>a1 reglazing review</t>
  </si>
  <si>
    <t>a1 reglazing rhode island</t>
  </si>
  <si>
    <t>a1 reglazing ri reviews</t>
  </si>
  <si>
    <t>a1 tile reglazing</t>
  </si>
  <si>
    <t>aaa bathtub reglazing charleston sc</t>
  </si>
  <si>
    <t>aaa reglazers lomita ca</t>
  </si>
  <si>
    <t>aaa reglazing staten island ny</t>
  </si>
  <si>
    <t>abc reglazing lebanon tn</t>
  </si>
  <si>
    <t>abc reglazing nashville tn</t>
  </si>
  <si>
    <t>abc reglazing newport news va</t>
  </si>
  <si>
    <t>abs reglazing company</t>
  </si>
  <si>
    <t>accurate bathtub reglazing reviews</t>
  </si>
  <si>
    <t>accurate bathtub reglazing years in business</t>
  </si>
  <si>
    <t>accurate tub reglazing</t>
  </si>
  <si>
    <t>acid etch reglaze tile</t>
  </si>
  <si>
    <t>acrylic bathtub reglaze</t>
  </si>
  <si>
    <t>acrylic bathtub reglaze kit</t>
  </si>
  <si>
    <t>acrylic tub reglazing</t>
  </si>
  <si>
    <t>acylic shower reglazing nj</t>
  </si>
  <si>
    <t>adding gel medium to ceramic reglaze</t>
  </si>
  <si>
    <t>advanced bathtub reglaze</t>
  </si>
  <si>
    <t>advanced porcelain reglazing inc</t>
  </si>
  <si>
    <t>advanced refinishing and reglazing</t>
  </si>
  <si>
    <t>advanced reglazing corp 718-506-9888 ny</t>
  </si>
  <si>
    <t>advanced reglazing reviews</t>
  </si>
  <si>
    <t>advantage reglazing facebook</t>
  </si>
  <si>
    <t>affordaable magic tub reglazing</t>
  </si>
  <si>
    <t>affordaable magic tub reglazing dayton ohio</t>
  </si>
  <si>
    <t>affordable bathtub reglazing</t>
  </si>
  <si>
    <t>affordable bathtub reglazing riverside</t>
  </si>
  <si>
    <t>after care for reglazed countertop</t>
  </si>
  <si>
    <t>after reglazing tub slick</t>
  </si>
  <si>
    <t>after reglazing tub slippery</t>
  </si>
  <si>
    <t>al carmen tub reglazing</t>
  </si>
  <si>
    <t>al carmentub reglazing</t>
  </si>
  <si>
    <t>al dave reglazing</t>
  </si>
  <si>
    <t>al dave reglazing staten island</t>
  </si>
  <si>
    <t>ala cost to reglaze a bathtub</t>
  </si>
  <si>
    <t>alan bezuidenhout reglazing</t>
  </si>
  <si>
    <t>albany ny sink reglazing</t>
  </si>
  <si>
    <t>alexander reglaze</t>
  </si>
  <si>
    <t>alexander's reglaze</t>
  </si>
  <si>
    <t>all about reglazing lubbock tx</t>
  </si>
  <si>
    <t>all american bathtub and tile reglazer nj</t>
  </si>
  <si>
    <t>all american bathtub and tile reglazers reviews</t>
  </si>
  <si>
    <t>all american reglazers nj</t>
  </si>
  <si>
    <t>all american tub and tile reglazers</t>
  </si>
  <si>
    <t>all american tub reglazing</t>
  </si>
  <si>
    <t>all american tub reglazing 732 586 5333</t>
  </si>
  <si>
    <t>all around reglazing</t>
  </si>
  <si>
    <t>all in one tub reglazing</t>
  </si>
  <si>
    <t>all tub reglaze</t>
  </si>
  <si>
    <t>all tubs reglazing nh</t>
  </si>
  <si>
    <t>all tubs reglazing nh reviews</t>
  </si>
  <si>
    <t>all tubs reglazing reviews</t>
  </si>
  <si>
    <t>allinone-reglazing</t>
  </si>
  <si>
    <t>alternatives to reglazing bathtub</t>
  </si>
  <si>
    <t>amazing reglaze decatur il</t>
  </si>
  <si>
    <t>amazing reglazing lansing mi</t>
  </si>
  <si>
    <t>amazing reglazing lexington ky</t>
  </si>
  <si>
    <t>amazing reglazing massachusetts</t>
  </si>
  <si>
    <t>amazing reglazing monroe mi</t>
  </si>
  <si>
    <t>amazing reglazing monroe michigan</t>
  </si>
  <si>
    <t>amazing reglazing ri reviews</t>
  </si>
  <si>
    <t>amazing reglazing rome</t>
  </si>
  <si>
    <t>amazing reglazing rome ga</t>
  </si>
  <si>
    <t>amazing reglazing services llc</t>
  </si>
  <si>
    <t>amazing reglazing services sterling heights mi</t>
  </si>
  <si>
    <t>amazing reglazing tampa</t>
  </si>
  <si>
    <t>amazing reglazing tub</t>
  </si>
  <si>
    <t>amazing reglazing virginia beach reviews</t>
  </si>
  <si>
    <t>amazing reglazing virginia beach va</t>
  </si>
  <si>
    <t>amazing tub and tile reglazing perth amboy</t>
  </si>
  <si>
    <t>amazing tub reglazing</t>
  </si>
  <si>
    <t>american appliance refinishing and tub reglazing</t>
  </si>
  <si>
    <t>american appliance refinishing tub reglazing</t>
  </si>
  <si>
    <t>american bathtub reglazing</t>
  </si>
  <si>
    <t>american reglazing</t>
  </si>
  <si>
    <t>american tub &amp; tile reglazing systems pittsburgh pa</t>
  </si>
  <si>
    <t>amsterdam netherlands bathtub reglazing</t>
  </si>
  <si>
    <t>an amazing finish bathtub reglazing</t>
  </si>
  <si>
    <t>andersen 200 series narroline reglazing</t>
  </si>
  <si>
    <t>andersen narroline reglazing</t>
  </si>
  <si>
    <t>andersen window 100 series reglazing</t>
  </si>
  <si>
    <t>angeles reglazing</t>
  </si>
  <si>
    <t>angeles reglazing 619</t>
  </si>
  <si>
    <t>angie's list tub reglazing</t>
  </si>
  <si>
    <t>ann arbor bathtub reglazing</t>
  </si>
  <si>
    <t>anthony reglazing</t>
  </si>
  <si>
    <t>anthony's reglazing inc</t>
  </si>
  <si>
    <t>anthony's reglazing.com</t>
  </si>
  <si>
    <t>anthony's tub reglazing</t>
  </si>
  <si>
    <t>antique bathtub reglazing</t>
  </si>
  <si>
    <t>antique claw tub has been reglazed but is peeling</t>
  </si>
  <si>
    <t>antique road show tea set reglazed</t>
  </si>
  <si>
    <t>antique roadshow tea set reglazed</t>
  </si>
  <si>
    <t>any to reglaze cast iron</t>
  </si>
  <si>
    <t>any to reglaze cast iron sink</t>
  </si>
  <si>
    <t>apartment move out damages reglaze</t>
  </si>
  <si>
    <t>aplicacion reglaz</t>
  </si>
  <si>
    <t>approximate cost to reglaze bathtub</t>
  </si>
  <si>
    <t>approximate cost to reglaze kitchen sink</t>
  </si>
  <si>
    <t>apt bathtub reglazing</t>
  </si>
  <si>
    <t>apt bathtub reglazing reddit</t>
  </si>
  <si>
    <t>apt bathtub reglazing reddit california</t>
  </si>
  <si>
    <t>apt ii for reglazing</t>
  </si>
  <si>
    <t>aquaglass reglazing</t>
  </si>
  <si>
    <t>arc tub reglazing</t>
  </si>
  <si>
    <t>are fumes from reglazing a bathtub dangerous</t>
  </si>
  <si>
    <t>are jeld wen french doors reglazeable</t>
  </si>
  <si>
    <t>are marvin integrity windows reglazable</t>
  </si>
  <si>
    <t>are marvin ultrex windows reglazable</t>
  </si>
  <si>
    <t>are marvin ultrex windows reglazed</t>
  </si>
  <si>
    <t>are reglazed tubs household cleaners</t>
  </si>
  <si>
    <t>are reglazed tubs slippery</t>
  </si>
  <si>
    <t>arkansas company's that reglaze buthtubs</t>
  </si>
  <si>
    <t>armo reglaze</t>
  </si>
  <si>
    <t>armor plast reglazing</t>
  </si>
  <si>
    <t>armor plast reglazing window</t>
  </si>
  <si>
    <t>arrow reglazing tiles and bathtubs</t>
  </si>
  <si>
    <t>arrow reglazing tiles and bathtubs 07666 new jersey</t>
  </si>
  <si>
    <t>arrow reglazing tiles and bathtubs new jersey</t>
  </si>
  <si>
    <t>arrow reglazing tiles and bathtubs07666 new jersey</t>
  </si>
  <si>
    <t>asa reglaze</t>
  </si>
  <si>
    <t>asheboro reglazing</t>
  </si>
  <si>
    <t>atlanta tile reglazing</t>
  </si>
  <si>
    <t>atlanta tub reglazing</t>
  </si>
  <si>
    <t>atlas bathroom reglazing reviews</t>
  </si>
  <si>
    <t>austin bathtub reglaze</t>
  </si>
  <si>
    <t>av reglazing services</t>
  </si>
  <si>
    <t>average bathtub reglazing costs</t>
  </si>
  <si>
    <t>average bathtub reglazing in 92618</t>
  </si>
  <si>
    <t>average cost of bathroom reglazing</t>
  </si>
  <si>
    <t>average cost of reglazing tile shower</t>
  </si>
  <si>
    <t>average cost reglaze a window</t>
  </si>
  <si>
    <t>average cost to reglaze a bathroom</t>
  </si>
  <si>
    <t>average cost to reglaze a shower and a double sink</t>
  </si>
  <si>
    <t>average cost to reglaze a window</t>
  </si>
  <si>
    <t>average cost to reglaze bathroom tile</t>
  </si>
  <si>
    <t>average cost to reglaze kitchen sink</t>
  </si>
  <si>
    <t>average cost to reglaze sink</t>
  </si>
  <si>
    <t>average labor to reglaze windows</t>
  </si>
  <si>
    <t>average price of bathtub reglazing</t>
  </si>
  <si>
    <t>average price of tub reglazing</t>
  </si>
  <si>
    <t>averagw price to reglaze a tub</t>
  </si>
  <si>
    <t>aversge cost to reglaze a porcelain sink</t>
  </si>
  <si>
    <t>awesome bathtub reglazing llc</t>
  </si>
  <si>
    <t>az reglazing inc</t>
  </si>
  <si>
    <t>az reglazing inc brooklyn</t>
  </si>
  <si>
    <t>az reglazing price list</t>
  </si>
  <si>
    <t>az reglazing reviews</t>
  </si>
  <si>
    <t>b &amp; b tub reglazing</t>
  </si>
  <si>
    <t>b &amp; s reglazing lynchburg va</t>
  </si>
  <si>
    <t>b&amp;s reglazing</t>
  </si>
  <si>
    <t>bakery pan reglazing</t>
  </si>
  <si>
    <t>baltimore tub reglazing</t>
  </si>
  <si>
    <t>barhtub reglaze in kerrville texas</t>
  </si>
  <si>
    <t>bat tube reglaze</t>
  </si>
  <si>
    <t>bath and shower reglazing</t>
  </si>
  <si>
    <t>bath and tile reglazing forest hills</t>
  </si>
  <si>
    <t>bath gloss reglazing</t>
  </si>
  <si>
    <t>bath reglaze cincinnati</t>
  </si>
  <si>
    <t>bath reglaze home depot</t>
  </si>
  <si>
    <t>bath reglaze in perth</t>
  </si>
  <si>
    <t>bath reglaze riverside ca</t>
  </si>
  <si>
    <t>bath reglazer</t>
  </si>
  <si>
    <t>bath reglazer in ct</t>
  </si>
  <si>
    <t>bath reglazers</t>
  </si>
  <si>
    <t>bath reglazing 18428</t>
  </si>
  <si>
    <t>bath reglazing bubbles</t>
  </si>
  <si>
    <t>bath reglazing cape town</t>
  </si>
  <si>
    <t>bath reglazing co ireland</t>
  </si>
  <si>
    <t>bath reglazing connecticut</t>
  </si>
  <si>
    <t>bath reglazing cost in deerfield beach fl</t>
  </si>
  <si>
    <t>bath reglazing kit</t>
  </si>
  <si>
    <t>bath reglazing newcastle</t>
  </si>
  <si>
    <t>bath reglazing pro llc</t>
  </si>
  <si>
    <t>bath reglazing repair services ireland</t>
  </si>
  <si>
    <t>bath reglazing ri</t>
  </si>
  <si>
    <t>bath reglazing services dublin</t>
  </si>
  <si>
    <t>bath reglazing sydney</t>
  </si>
  <si>
    <t>bath reglazing toronto</t>
  </si>
  <si>
    <t>bath reglazing watertown</t>
  </si>
  <si>
    <t>bath tile reglazing clear lake tx</t>
  </si>
  <si>
    <t>bath tile reglazing cost</t>
  </si>
  <si>
    <t>bath tile reglazing houston tx</t>
  </si>
  <si>
    <t>bath tile reglazing in arlington</t>
  </si>
  <si>
    <t>bath tile reglazing in carrollton</t>
  </si>
  <si>
    <t>bath tile reglazing in dallas</t>
  </si>
  <si>
    <t>bath tile reglazing in frisco</t>
  </si>
  <si>
    <t>bath tile reglazing in garland</t>
  </si>
  <si>
    <t>bath tile reglazing in grand prairie</t>
  </si>
  <si>
    <t>bath tile reglazing in irving</t>
  </si>
  <si>
    <t>bath tile reglazing in mckinney</t>
  </si>
  <si>
    <t>bath tile reglazing in mesquite</t>
  </si>
  <si>
    <t>bath tile reglazing in plano</t>
  </si>
  <si>
    <t>bath tile reglazing in richardson</t>
  </si>
  <si>
    <t>bath tile reglazing katy tx</t>
  </si>
  <si>
    <t>bath tile reglazing philadelphia</t>
  </si>
  <si>
    <t>bath tile reglazing spring tx</t>
  </si>
  <si>
    <t>bath tile reglazing sugarland tx</t>
  </si>
  <si>
    <t>bathfitter vs reglazing</t>
  </si>
  <si>
    <t>bathmaster reglazing</t>
  </si>
  <si>
    <t>bathmasters reglazing specialist inc</t>
  </si>
  <si>
    <t>bathmasters reglazing specialist inc west palm beach fl</t>
  </si>
  <si>
    <t>bathroom bathtub reglaze</t>
  </si>
  <si>
    <t>bathroom ceramic tile reglazing in nj</t>
  </si>
  <si>
    <t>bathroom fitter reglazing</t>
  </si>
  <si>
    <t>bathroom floor tile reglaze</t>
  </si>
  <si>
    <t>bathroom reglaze watertown ma</t>
  </si>
  <si>
    <t>bathroom reglazers</t>
  </si>
  <si>
    <t>bathroom reglazers long island</t>
  </si>
  <si>
    <t>bathroom reglazing adelaide</t>
  </si>
  <si>
    <t>bathroom reglazing albuquerque</t>
  </si>
  <si>
    <t>bathroom reglazing angies lis</t>
  </si>
  <si>
    <t>bathroom reglazing angies list</t>
  </si>
  <si>
    <t>bathroom reglazing architectural digest</t>
  </si>
  <si>
    <t>bathroom reglazing atlanta</t>
  </si>
  <si>
    <t>bathroom reglazing baltimore</t>
  </si>
  <si>
    <t>bathroom reglazing bathtub</t>
  </si>
  <si>
    <t>bathroom reglazing boca raton</t>
  </si>
  <si>
    <t>bathroom reglazing boro park</t>
  </si>
  <si>
    <t>bathroom reglazing boston</t>
  </si>
  <si>
    <t>bathroom reglazing boulder</t>
  </si>
  <si>
    <t>bathroom reglazing boynton beach</t>
  </si>
  <si>
    <t>bathroom reglazing brooklyn ny</t>
  </si>
  <si>
    <t>bathroom reglazing broward</t>
  </si>
  <si>
    <t>bathroom reglazing burwood</t>
  </si>
  <si>
    <t>bathroom reglazing chattanooga</t>
  </si>
  <si>
    <t>bathroom reglazing chiswick</t>
  </si>
  <si>
    <t>bathroom reglazing cincinnati</t>
  </si>
  <si>
    <t>bathroom reglazing colorado</t>
  </si>
  <si>
    <t>bathroom reglazing colors</t>
  </si>
  <si>
    <t>bathroom reglazing companies near me</t>
  </si>
  <si>
    <t>bathroom reglazing company</t>
  </si>
  <si>
    <t>bathroom reglazing coral springs</t>
  </si>
  <si>
    <t>bathroom reglazing cost dallas</t>
  </si>
  <si>
    <t>bathroom reglazing coupon</t>
  </si>
  <si>
    <t>bathroom reglazing ct</t>
  </si>
  <si>
    <t>bathroom reglazing delray beach</t>
  </si>
  <si>
    <t>bathroom reglazing denistone west</t>
  </si>
  <si>
    <t>bathroom reglazing denver</t>
  </si>
  <si>
    <t>bathroom reglazing detroit</t>
  </si>
  <si>
    <t>bathroom reglazing east florida</t>
  </si>
  <si>
    <t>bathroom reglazing el paso</t>
  </si>
  <si>
    <t>bathroom reglazing florida</t>
  </si>
  <si>
    <t>bathroom reglazing fort lauderdale</t>
  </si>
  <si>
    <t>bathroom reglazing in bergen county nj</t>
  </si>
  <si>
    <t>bathroom reglazing in east longmeadow ma</t>
  </si>
  <si>
    <t>bathroom reglazing inc</t>
  </si>
  <si>
    <t>bathroom reglazing livonia</t>
  </si>
  <si>
    <t>bathroom reglazing long island ny</t>
  </si>
  <si>
    <t>bathroom reglazing los angeles</t>
  </si>
  <si>
    <t>bathroom reglazing margate</t>
  </si>
  <si>
    <t>bathroom reglazing michigan</t>
  </si>
  <si>
    <t>bathroom reglazing nassau county</t>
  </si>
  <si>
    <t>bathroom reglazing nerward</t>
  </si>
  <si>
    <t>bathroom reglazing new mexico</t>
  </si>
  <si>
    <t>bathroom reglazing newark nj</t>
  </si>
  <si>
    <t>bathroom reglazing of sydney</t>
  </si>
  <si>
    <t>bathroom reglazing pa</t>
  </si>
  <si>
    <t>bathroom reglazing philadelphia</t>
  </si>
  <si>
    <t>bathroom reglazing pittsburgh pa</t>
  </si>
  <si>
    <t>bathroom reglazing pompano beach</t>
  </si>
  <si>
    <t>bathroom reglazing providence</t>
  </si>
  <si>
    <t>bathroom reglazing queens ny</t>
  </si>
  <si>
    <t>bathroom reglazing rhode island</t>
  </si>
  <si>
    <t>bathroom reglazing richmond va</t>
  </si>
  <si>
    <t>bathroom reglazing rio rancho</t>
  </si>
  <si>
    <t>bathroom reglazing riverside</t>
  </si>
  <si>
    <t>bathroom reglazing services riverside ca</t>
  </si>
  <si>
    <t>bathroom reglazing southern il</t>
  </si>
  <si>
    <t>bathroom reglazing st louis</t>
  </si>
  <si>
    <t>bathroom reglazing tampa</t>
  </si>
  <si>
    <t>bathroom reglazing tennessee</t>
  </si>
  <si>
    <t>bathroom reglazing texas</t>
  </si>
  <si>
    <t>bathroom reglazing tv commercial</t>
  </si>
  <si>
    <t>bathroom reglazing wausau wi</t>
  </si>
  <si>
    <t>bathroom reglazing west palm beach</t>
  </si>
  <si>
    <t>bathroom reglazing westchester ny</t>
  </si>
  <si>
    <t>bathroom remodeler for bathtub reglazing</t>
  </si>
  <si>
    <t>bathroom shower reglazing</t>
  </si>
  <si>
    <t>bathroom sink reglaze</t>
  </si>
  <si>
    <t>bathroom sink reglaze englewood ohio</t>
  </si>
  <si>
    <t>bathroom sink reglazing riverside</t>
  </si>
  <si>
    <t>bathroom tile and tub reglazing</t>
  </si>
  <si>
    <t>bathroom tile reglazing 01460</t>
  </si>
  <si>
    <t>bathroom tile reglazing ann arbor</t>
  </si>
  <si>
    <t>bathroom tile reglazing boston</t>
  </si>
  <si>
    <t>bathroom tile reglazing canton</t>
  </si>
  <si>
    <t>bathroom tile reglazing charlotte nc</t>
  </si>
  <si>
    <t>bathroom tile reglazing cincinnati</t>
  </si>
  <si>
    <t>bathroom tile reglazing clear lake tx</t>
  </si>
  <si>
    <t>bathroom tile reglazing cost estimate</t>
  </si>
  <si>
    <t>bathroom tile reglazing ct</t>
  </si>
  <si>
    <t>bathroom tile reglazing detroit</t>
  </si>
  <si>
    <t>bathroom tile reglazing diy</t>
  </si>
  <si>
    <t>bathroom tile reglazing farmington hills</t>
  </si>
  <si>
    <t>bathroom tile reglazing houston tx</t>
  </si>
  <si>
    <t>bathroom tile reglazing in arlington</t>
  </si>
  <si>
    <t>bathroom tile reglazing in carrollton</t>
  </si>
  <si>
    <t>bathroom tile reglazing in dallas</t>
  </si>
  <si>
    <t>bathroom tile reglazing in frisco</t>
  </si>
  <si>
    <t>bathroom tile reglazing in garland</t>
  </si>
  <si>
    <t>bathroom tile reglazing in grand prairie</t>
  </si>
  <si>
    <t>bathroom tile reglazing in irving</t>
  </si>
  <si>
    <t>bathroom tile reglazing in mckinney</t>
  </si>
  <si>
    <t>bathroom tile reglazing in mesquite</t>
  </si>
  <si>
    <t>bathroom tile reglazing in plano</t>
  </si>
  <si>
    <t>bathroom tile reglazing in richardson</t>
  </si>
  <si>
    <t>bathroom tile reglazing katy tx</t>
  </si>
  <si>
    <t>bathroom tile reglazing long island</t>
  </si>
  <si>
    <t>bathroom tile reglazing madison heights</t>
  </si>
  <si>
    <t>bathroom tile reglazing michigan</t>
  </si>
  <si>
    <t>bathroom tile reglazing nyc</t>
  </si>
  <si>
    <t>bathroom tile reglazing orange county</t>
  </si>
  <si>
    <t>bathroom tile reglazing philadelphia</t>
  </si>
  <si>
    <t>bathroom tile reglazing reviews</t>
  </si>
  <si>
    <t>bathroom tile reglazing service sewell nj</t>
  </si>
  <si>
    <t>bathroom tile reglazing south jersey</t>
  </si>
  <si>
    <t>bathroom tile reglazing southeast michigan</t>
  </si>
  <si>
    <t>bathroom tile reglazing spring tx</t>
  </si>
  <si>
    <t>bathroom tile reglazing st louis</t>
  </si>
  <si>
    <t>bathroom tile reglazing sugarland tx</t>
  </si>
  <si>
    <t>bathroom tile reglazing washtenaw county</t>
  </si>
  <si>
    <t>bathroom tub and tile reglazing jlf</t>
  </si>
  <si>
    <t>bathroom tub reglaze</t>
  </si>
  <si>
    <t>bathroom tub reglazing apple valley</t>
  </si>
  <si>
    <t>bathroom tub reglazing cincinnati</t>
  </si>
  <si>
    <t>bathroom tub reglazing companies near me</t>
  </si>
  <si>
    <t>bathroom tub reglazing orlamdo</t>
  </si>
  <si>
    <t>bathrooms reglazing</t>
  </si>
  <si>
    <t>bathrroom reglazing</t>
  </si>
  <si>
    <t>bathrub reglaze</t>
  </si>
  <si>
    <t>bathrub reglazing bradenton fl</t>
  </si>
  <si>
    <t>bathrub reglazing hunstville alabama</t>
  </si>
  <si>
    <t>bathrub reglazing lehigh valley pa</t>
  </si>
  <si>
    <t>bathtib reglazing</t>
  </si>
  <si>
    <t>bathtu reglazing</t>
  </si>
  <si>
    <t>bathtub and tile reglazing coatings &amp; supplies</t>
  </si>
  <si>
    <t>bathtub and tile reglazing near me</t>
  </si>
  <si>
    <t>bathtub and tile reglazing nj</t>
  </si>
  <si>
    <t>bathtub and tile reglazing pros cons</t>
  </si>
  <si>
    <t>bathtub corner bin reglazed tubs</t>
  </si>
  <si>
    <t>bathtub grainy after reglazing</t>
  </si>
  <si>
    <t>bathtub mat for reglazed tub</t>
  </si>
  <si>
    <t>bathtub needs reglazing</t>
  </si>
  <si>
    <t>bathtub needs to be reglazed</t>
  </si>
  <si>
    <t>bathtub not smooth after reglazing</t>
  </si>
  <si>
    <t>bathtub reglaz site yelp.com</t>
  </si>
  <si>
    <t>bathtub reglaze 90808</t>
  </si>
  <si>
    <t>bathtub reglaze before and after</t>
  </si>
  <si>
    <t>bathtub reglaze bottom to prevent slip</t>
  </si>
  <si>
    <t>bathtub reglaze bottom to prevent slip norwalk ct</t>
  </si>
  <si>
    <t>bathtub reglaze bottom to prevent slips</t>
  </si>
  <si>
    <t>bathtub reglaze cast iron tub</t>
  </si>
  <si>
    <t>bathtub reglaze cincinnati</t>
  </si>
  <si>
    <t>bathtub reglaze clermont fl</t>
  </si>
  <si>
    <t>bathtub reglaze fort worth</t>
  </si>
  <si>
    <t>bathtub reglaze fumes</t>
  </si>
  <si>
    <t>bathtub reglaze home depot</t>
  </si>
  <si>
    <t>bathtub reglaze how long to dry</t>
  </si>
  <si>
    <t>bathtub reglaze in mt vernon il</t>
  </si>
  <si>
    <t>bathtub reglaze indianapolis</t>
  </si>
  <si>
    <t>bathtub reglaze los angeles</t>
  </si>
  <si>
    <t>bathtub reglaze norwich ct</t>
  </si>
  <si>
    <t>bathtub reglaze nyc</t>
  </si>
  <si>
    <t>bathtub reglaze paint</t>
  </si>
  <si>
    <t>bathtub reglaze smell</t>
  </si>
  <si>
    <t>bathtub reglaze spray</t>
  </si>
  <si>
    <t>bathtub reglaze spray how long to dry</t>
  </si>
  <si>
    <t>bathtub reglaze springfield mo</t>
  </si>
  <si>
    <t>bathtub reglaze walla walla wa</t>
  </si>
  <si>
    <t>bathtub reglaze what kind of spray is used</t>
  </si>
  <si>
    <t>bathtub reglazed baltimore</t>
  </si>
  <si>
    <t>bathtub reglazed maryland</t>
  </si>
  <si>
    <t>bathtub reglazer</t>
  </si>
  <si>
    <t>bathtub reglazer job description</t>
  </si>
  <si>
    <t>bathtub reglazer san diego</t>
  </si>
  <si>
    <t>bathtub reglazers grand rapids</t>
  </si>
  <si>
    <t>bathtub reglazers hemet</t>
  </si>
  <si>
    <t>bathtub reglazers in bergen county nj</t>
  </si>
  <si>
    <t>bathtub reglazers staunton va</t>
  </si>
  <si>
    <t>bathtub reglazers yorba linda</t>
  </si>
  <si>
    <t>bathtub reglazes 1963 daiy ave bronx ny</t>
  </si>
  <si>
    <t>bathtub reglazing 02806</t>
  </si>
  <si>
    <t>bathtub reglazing 07751</t>
  </si>
  <si>
    <t>bathtub reglazing 10471</t>
  </si>
  <si>
    <t>bathtub reglazing 11234</t>
  </si>
  <si>
    <t>bathtub reglazing 11693</t>
  </si>
  <si>
    <t>bathtub reglazing 18036</t>
  </si>
  <si>
    <t>bathtub reglazing 19154</t>
  </si>
  <si>
    <t>bathtub reglazing 33405</t>
  </si>
  <si>
    <t>bathtub reglazing 34667</t>
  </si>
  <si>
    <t>bathtub reglazing 48341</t>
  </si>
  <si>
    <t>bathtub reglazing 646 765 2460</t>
  </si>
  <si>
    <t>bathtub reglazing 90041</t>
  </si>
  <si>
    <t>bathtub reglazing 90278</t>
  </si>
  <si>
    <t>bathtub reglazing 91770</t>
  </si>
  <si>
    <t>bathtub reglazing 973-223-1209</t>
  </si>
  <si>
    <t>bathtub reglazing acworth ga</t>
  </si>
  <si>
    <t>bathtub reglazing adhesion promoter</t>
  </si>
  <si>
    <t>bathtub reglazing after epa ban</t>
  </si>
  <si>
    <t>bathtub reglazing aiken county</t>
  </si>
  <si>
    <t>bathtub reglazing albuquerque</t>
  </si>
  <si>
    <t>bathtub reglazing alternatives</t>
  </si>
  <si>
    <t>bathtub reglazing anaheim ca</t>
  </si>
  <si>
    <t>bathtub reglazing ancaster</t>
  </si>
  <si>
    <t>bathtub reglazing anderson in</t>
  </si>
  <si>
    <t>bathtub reglazing annapolis</t>
  </si>
  <si>
    <t>bathtub reglazing apprenticeship craigslist atlanta ga</t>
  </si>
  <si>
    <t>bathtub reglazing arkansas</t>
  </si>
  <si>
    <t>bathtub reglazing ashevile nc</t>
  </si>
  <si>
    <t>bathtub reglazing astoria ny</t>
  </si>
  <si>
    <t>bathtub reglazing augusta ga</t>
  </si>
  <si>
    <t>bathtub reglazing az</t>
  </si>
  <si>
    <t>bathtub reglazing barrie</t>
  </si>
  <si>
    <t>bathtub reglazing batesville indiana</t>
  </si>
  <si>
    <t>bathtub reglazing baton rouge</t>
  </si>
  <si>
    <t>bathtub reglazing battle creek</t>
  </si>
  <si>
    <t>bathtub reglazing battle creek mi</t>
  </si>
  <si>
    <t>bathtub reglazing bay area</t>
  </si>
  <si>
    <t>bathtub reglazing bellflower ca</t>
  </si>
  <si>
    <t>bathtub reglazing belvedere park ga</t>
  </si>
  <si>
    <t>bathtub reglazing bethesda md</t>
  </si>
  <si>
    <t>bathtub reglazing binbrook</t>
  </si>
  <si>
    <t>bathtub reglazing bloomfield nj</t>
  </si>
  <si>
    <t>bathtub reglazing boca raton fl</t>
  </si>
  <si>
    <t>bathtub reglazing boston ma</t>
  </si>
  <si>
    <t>bathtub reglazing boulder</t>
  </si>
  <si>
    <t>bathtub reglazing brampton</t>
  </si>
  <si>
    <t>bathtub reglazing brandon</t>
  </si>
  <si>
    <t>bathtub reglazing brantford</t>
  </si>
  <si>
    <t>bathtub reglazing braselton ga</t>
  </si>
  <si>
    <t>bathtub reglazing brea</t>
  </si>
  <si>
    <t>bathtub reglazing brewster cape cod</t>
  </si>
  <si>
    <t>bathtub reglazing brick nj</t>
  </si>
  <si>
    <t>bathtub reglazing bridgeport ct</t>
  </si>
  <si>
    <t>bathtub reglazing bridgewater</t>
  </si>
  <si>
    <t>bathtub reglazing brighton mi</t>
  </si>
  <si>
    <t>bathtub reglazing brisbane</t>
  </si>
  <si>
    <t>bathtub reglazing brookln ny</t>
  </si>
  <si>
    <t>bathtub reglazing brooklyn new york</t>
  </si>
  <si>
    <t>bathtub reglazing brooklyn reviews</t>
  </si>
  <si>
    <t>bathtub reglazing bucks county pa</t>
  </si>
  <si>
    <t>bathtub reglazing buffalo</t>
  </si>
  <si>
    <t>bathtub reglazing burlington</t>
  </si>
  <si>
    <t>bathtub reglazing burlington ontario</t>
  </si>
  <si>
    <t>bathtub reglazing burnaby</t>
  </si>
  <si>
    <t>bathtub reglazing business</t>
  </si>
  <si>
    <t>bathtub reglazing business for sale</t>
  </si>
  <si>
    <t>bathtub reglazing business income</t>
  </si>
  <si>
    <t>bathtub reglazing butler pa</t>
  </si>
  <si>
    <t>bathtub reglazing cadillac mi</t>
  </si>
  <si>
    <t>bathtub reglazing calgary alberta</t>
  </si>
  <si>
    <t>bathtub reglazing cambridge</t>
  </si>
  <si>
    <t>bathtub reglazing cambridge ontario</t>
  </si>
  <si>
    <t>bathtub reglazing campbellville</t>
  </si>
  <si>
    <t>bathtub reglazing canada</t>
  </si>
  <si>
    <t>bathtub reglazing canton michigan</t>
  </si>
  <si>
    <t>bathtub reglazing cape coral</t>
  </si>
  <si>
    <t>bathtub reglazing cape coral fl</t>
  </si>
  <si>
    <t>bathtub reglazing carlton ga</t>
  </si>
  <si>
    <t>bathtub reglazing carmel</t>
  </si>
  <si>
    <t>bathtub reglazing carrollton ga</t>
  </si>
  <si>
    <t>bathtub reglazing cartersville ga</t>
  </si>
  <si>
    <t>bathtub reglazing cayuga</t>
  </si>
  <si>
    <t>bathtub reglazing central nj</t>
  </si>
  <si>
    <t>bathtub reglazing charlottesville va</t>
  </si>
  <si>
    <t>bathtub reglazing chatham ontario</t>
  </si>
  <si>
    <t>bathtub reglazing cheap</t>
  </si>
  <si>
    <t>bathtub reglazing chemicals</t>
  </si>
  <si>
    <t>bathtub reglazing chicago area</t>
  </si>
  <si>
    <t>bathtub reglazing chico ca</t>
  </si>
  <si>
    <t>bathtub reglazing chipping</t>
  </si>
  <si>
    <t>bathtub reglazing cin</t>
  </si>
  <si>
    <t>bathtub reglazing cincinnati cost</t>
  </si>
  <si>
    <t>bathtub reglazing cincinnati fitzgeralds coatings</t>
  </si>
  <si>
    <t>bathtub reglazing cincinnatio oh</t>
  </si>
  <si>
    <t>bathtub reglazing classes</t>
  </si>
  <si>
    <t>bathtub reglazing clearwater fl</t>
  </si>
  <si>
    <t>bathtub reglazing clifton nj</t>
  </si>
  <si>
    <t>bathtub reglazing clinton ct</t>
  </si>
  <si>
    <t>bathtub reglazing coatings</t>
  </si>
  <si>
    <t>bathtub reglazing college park ga</t>
  </si>
  <si>
    <t>bathtub reglazing colorado</t>
  </si>
  <si>
    <t>bathtub reglazing colorado springs</t>
  </si>
  <si>
    <t>bathtub reglazing colors raleigh nc</t>
  </si>
  <si>
    <t>bathtub reglazing columbia md</t>
  </si>
  <si>
    <t>bathtub reglazing columbia sc</t>
  </si>
  <si>
    <t>bathtub reglazing columbus</t>
  </si>
  <si>
    <t>bathtub reglazing columbus oh</t>
  </si>
  <si>
    <t>bathtub reglazing companies denver</t>
  </si>
  <si>
    <t>bathtub reglazing companies in michigan</t>
  </si>
  <si>
    <t>bathtub reglazing companies in wichita kansas</t>
  </si>
  <si>
    <t>bathtub reglazing concord ca</t>
  </si>
  <si>
    <t>bathtub reglazing contractor near me</t>
  </si>
  <si>
    <t>bathtub reglazing corona ca</t>
  </si>
  <si>
    <t>bathtub reglazing cost 2025</t>
  </si>
  <si>
    <t>bathtub reglazing cost calculator</t>
  </si>
  <si>
    <t>bathtub reglazing cost canada</t>
  </si>
  <si>
    <t>bathtub reglazing cost ct</t>
  </si>
  <si>
    <t>bathtub reglazing cost florida</t>
  </si>
  <si>
    <t>bathtub reglazing cost michigan</t>
  </si>
  <si>
    <t>bathtub reglazing cost nyc</t>
  </si>
  <si>
    <t>bathtub reglazing cost winnipeg</t>
  </si>
  <si>
    <t>bathtub reglazing crawfordville ga</t>
  </si>
  <si>
    <t>bathtub reglazing cumberland county nj</t>
  </si>
  <si>
    <t>bathtub reglazing cure time</t>
  </si>
  <si>
    <t>bathtub reglazing dallas texas</t>
  </si>
  <si>
    <t>bathtub reglazing dallas tx</t>
  </si>
  <si>
    <t>bathtub reglazing danbury ct</t>
  </si>
  <si>
    <t>bathtub reglazing danvers ma</t>
  </si>
  <si>
    <t>bathtub reglazing dayton oh</t>
  </si>
  <si>
    <t>bathtub reglazing dearborn mi</t>
  </si>
  <si>
    <t>bathtub reglazing decatur ga</t>
  </si>
  <si>
    <t>bathtub reglazing definition</t>
  </si>
  <si>
    <t>bathtub reglazing delaware county pa</t>
  </si>
  <si>
    <t>bathtub reglazing delray beach fl</t>
  </si>
  <si>
    <t>bathtub reglazing des moines</t>
  </si>
  <si>
    <t>bathtub reglazing detroit area</t>
  </si>
  <si>
    <t>bathtub reglazing douglasville ga</t>
  </si>
  <si>
    <t>bathtub reglazing downey ca area</t>
  </si>
  <si>
    <t>bathtub reglazing duluth ga</t>
  </si>
  <si>
    <t>bathtub reglazing dundas</t>
  </si>
  <si>
    <t>bathtub reglazing durability</t>
  </si>
  <si>
    <t>bathtub reglazing dutchess county ny</t>
  </si>
  <si>
    <t>bathtub reglazing east florida</t>
  </si>
  <si>
    <t>bathtub reglazing ebooks</t>
  </si>
  <si>
    <t>bathtub reglazing edmonton ab</t>
  </si>
  <si>
    <t>bathtub reglazing edmonton alberta</t>
  </si>
  <si>
    <t>bathtub reglazing el paso</t>
  </si>
  <si>
    <t>bathtub reglazing elmhurst</t>
  </si>
  <si>
    <t>bathtub reglazing enfield ct</t>
  </si>
  <si>
    <t>bathtub reglazing essex county nj</t>
  </si>
  <si>
    <t>bathtub reglazing estimated cost</t>
  </si>
  <si>
    <t>bathtub reglazing euclid ohio</t>
  </si>
  <si>
    <t>bathtub reglazing eureka ca</t>
  </si>
  <si>
    <t>bathtub reglazing evansville in</t>
  </si>
  <si>
    <t>bathtub reglazing experts complaints</t>
  </si>
  <si>
    <t>bathtub reglazing experts review</t>
  </si>
  <si>
    <t>bathtub reglazing experts thornwood ny</t>
  </si>
  <si>
    <t>bathtub reglazing facts</t>
  </si>
  <si>
    <t>bathtub reglazing faq</t>
  </si>
  <si>
    <t>bathtub reglazing farmington hills</t>
  </si>
  <si>
    <t>bathtub reglazing farmington hills mi</t>
  </si>
  <si>
    <t>bathtub reglazing fayetteville</t>
  </si>
  <si>
    <t>bathtub reglazing fayetteville ar</t>
  </si>
  <si>
    <t>bathtub reglazing fenton michigan</t>
  </si>
  <si>
    <t>bathtub reglazing fishers</t>
  </si>
  <si>
    <t>bathtub reglazing flamborough</t>
  </si>
  <si>
    <t>bathtub reglazing flemington nj</t>
  </si>
  <si>
    <t>bathtub reglazing flint mi</t>
  </si>
  <si>
    <t>bathtub reglazing flint michigan</t>
  </si>
  <si>
    <t>bathtub reglazing flowery branch ga</t>
  </si>
  <si>
    <t>bathtub reglazing forest park ga</t>
  </si>
  <si>
    <t>bathtub reglazing fort wayne</t>
  </si>
  <si>
    <t>bathtub reglazing framingham</t>
  </si>
  <si>
    <t>bathtub reglazing franchise</t>
  </si>
  <si>
    <t>bathtub reglazing fredericksburg va</t>
  </si>
  <si>
    <t>bathtub reglazing freehold nj</t>
  </si>
  <si>
    <t>bathtub reglazing freelton</t>
  </si>
  <si>
    <t>bathtub reglazing fumes</t>
  </si>
  <si>
    <t>bathtub reglazing fumes pregnancy</t>
  </si>
  <si>
    <t>bathtub reglazing fumes toxic</t>
  </si>
  <si>
    <t>bathtub reglazing gainesville fl</t>
  </si>
  <si>
    <t>bathtub reglazing gastonia nc</t>
  </si>
  <si>
    <t>bathtub reglazing glendale bathtub r</t>
  </si>
  <si>
    <t>bathtub reglazing grand haven</t>
  </si>
  <si>
    <t>bathtub reglazing grand haven mi</t>
  </si>
  <si>
    <t>bathtub reglazing grand rapids michigan</t>
  </si>
  <si>
    <t>bathtub reglazing green bay wi</t>
  </si>
  <si>
    <t>bathtub reglazing greenacres</t>
  </si>
  <si>
    <t>bathtub reglazing grosse pointe mi</t>
  </si>
  <si>
    <t>bathtub reglazing gta</t>
  </si>
  <si>
    <t>bathtub reglazing guelph</t>
  </si>
  <si>
    <t>bathtub reglazing gulfport fl</t>
  </si>
  <si>
    <t>bathtub reglazing halifax</t>
  </si>
  <si>
    <t>bathtub reglazing halifax ns</t>
  </si>
  <si>
    <t>bathtub reglazing halton region</t>
  </si>
  <si>
    <t>bathtub reglazing hamilton ohio</t>
  </si>
  <si>
    <t>bathtub reglazing hampton roads va</t>
  </si>
  <si>
    <t>bathtub reglazing harrisburg pa</t>
  </si>
  <si>
    <t>bathtub reglazing harrisonburg va</t>
  </si>
  <si>
    <t>bathtub reglazing hazards</t>
  </si>
  <si>
    <t>bathtub reglazing hemet ca</t>
  </si>
  <si>
    <t>bathtub reglazing hillsburgh</t>
  </si>
  <si>
    <t>bathtub reglazing hoboken nj</t>
  </si>
  <si>
    <t>bathtub reglazing holland mi</t>
  </si>
  <si>
    <t>bathtub reglazing holmen wisconsin</t>
  </si>
  <si>
    <t>bathtub reglazing hoschton ga</t>
  </si>
  <si>
    <t>bathtub reglazing houston texas</t>
  </si>
  <si>
    <t>bathtub reglazing how long does it last</t>
  </si>
  <si>
    <t>bathtub reglazing how much</t>
  </si>
  <si>
    <t>bathtub reglazing hudson</t>
  </si>
  <si>
    <t>bathtub reglazing hudson county nj</t>
  </si>
  <si>
    <t>bathtub reglazing hunstville alabama</t>
  </si>
  <si>
    <t>bathtub reglazing huntington beach</t>
  </si>
  <si>
    <t>bathtub reglazing huntsville alabama</t>
  </si>
  <si>
    <t>bathtub reglazing in 46947 area</t>
  </si>
  <si>
    <t>bathtub reglazing in bergen county nj</t>
  </si>
  <si>
    <t>bathtub reglazing in denver colorado</t>
  </si>
  <si>
    <t>bathtub reglazing in fort wayne in</t>
  </si>
  <si>
    <t>bathtub reglazing in ipswich ma</t>
  </si>
  <si>
    <t>bathtub reglazing in jersey city new jersey</t>
  </si>
  <si>
    <t>bathtub reglazing in lakewood new jersey</t>
  </si>
  <si>
    <t>bathtub reglazing in long island ny</t>
  </si>
  <si>
    <t>bathtub reglazing in mn</t>
  </si>
  <si>
    <t>bathtub reglazing in new hampshire</t>
  </si>
  <si>
    <t>bathtub reglazing in new jersey</t>
  </si>
  <si>
    <t>bathtub reglazing in nj</t>
  </si>
  <si>
    <t>bathtub reglazing in northern nj</t>
  </si>
  <si>
    <t>bathtub reglazing in nyc</t>
  </si>
  <si>
    <t>bathtub reglazing in philadelphia</t>
  </si>
  <si>
    <t>bathtub reglazing in ri</t>
  </si>
  <si>
    <t>bathtub reglazing in riverside</t>
  </si>
  <si>
    <t>bathtub reglazing in rochester ny</t>
  </si>
  <si>
    <t>bathtub reglazing in south gate</t>
  </si>
  <si>
    <t>bathtub reglazing in south gate ca</t>
  </si>
  <si>
    <t>bathtub reglazing in suffolk county ny</t>
  </si>
  <si>
    <t>bathtub reglazing in suffolk cty ny</t>
  </si>
  <si>
    <t>bathtub reglazing in sussex county nj</t>
  </si>
  <si>
    <t>bathtub reglazing in the area</t>
  </si>
  <si>
    <t>bathtub reglazing in toms river new jersey</t>
  </si>
  <si>
    <t>bathtub reglazing in toms river nj</t>
  </si>
  <si>
    <t>bathtub reglazing in van nuys</t>
  </si>
  <si>
    <t>bathtub reglazing in wichita kansas</t>
  </si>
  <si>
    <t>bathtub reglazing in wisconsin</t>
  </si>
  <si>
    <t>bathtub reglazing indianapolis cost</t>
  </si>
  <si>
    <t>bathtub reglazing indianapolis in</t>
  </si>
  <si>
    <t>bathtub reglazing indianapolis reviews</t>
  </si>
  <si>
    <t>bathtub reglazing industry group</t>
  </si>
  <si>
    <t>bathtub reglazing information</t>
  </si>
  <si>
    <t>bathtub reglazing ingredients</t>
  </si>
  <si>
    <t>bathtub reglazing irvine ca</t>
  </si>
  <si>
    <t>bathtub reglazing jackson ga</t>
  </si>
  <si>
    <t>bathtub reglazing jackson ms</t>
  </si>
  <si>
    <t>bathtub reglazing jupiter</t>
  </si>
  <si>
    <t>bathtub reglazing kamloops</t>
  </si>
  <si>
    <t>bathtub reglazing kansas</t>
  </si>
  <si>
    <t>bathtub reglazing kauai</t>
  </si>
  <si>
    <t>bathtub reglazing kelowna</t>
  </si>
  <si>
    <t>bathtub reglazing kennebunk maine</t>
  </si>
  <si>
    <t>bathtub reglazing kennesaw ga</t>
  </si>
  <si>
    <t>bathtub reglazing kijiji</t>
  </si>
  <si>
    <t>bathtub reglazing kingston ontario</t>
  </si>
  <si>
    <t>bathtub reglazing kit canada</t>
  </si>
  <si>
    <t>bathtub reglazing kitchener</t>
  </si>
  <si>
    <t>bathtub reglazing la</t>
  </si>
  <si>
    <t>bathtub reglazing la county</t>
  </si>
  <si>
    <t>bathtub reglazing lafayette</t>
  </si>
  <si>
    <t>bathtub reglazing lake forest ca</t>
  </si>
  <si>
    <t>bathtub reglazing lancaster ca</t>
  </si>
  <si>
    <t>bathtub reglazing lansing michigan</t>
  </si>
  <si>
    <t>bathtub reglazing lapeer michigan</t>
  </si>
  <si>
    <t>bathtub reglazing largo fl</t>
  </si>
  <si>
    <t>bathtub reglazing laurel fl</t>
  </si>
  <si>
    <t>bathtub reglazing lavonia ga</t>
  </si>
  <si>
    <t>bathtub reglazing lawrenceville ga</t>
  </si>
  <si>
    <t>bathtub reglazing lebanon</t>
  </si>
  <si>
    <t>bathtub reglazing lebanon tn</t>
  </si>
  <si>
    <t>bathtub reglazing lehigh valley</t>
  </si>
  <si>
    <t>bathtub reglazing lethbridge</t>
  </si>
  <si>
    <t>bathtub reglazing lithia fl</t>
  </si>
  <si>
    <t>bathtub reglazing long beach ny</t>
  </si>
  <si>
    <t>bathtub reglazing long island reviews</t>
  </si>
  <si>
    <t>bathtub reglazing los gatos ca</t>
  </si>
  <si>
    <t>bathtub reglazing lowell ma</t>
  </si>
  <si>
    <t>bathtub reglazing lowes</t>
  </si>
  <si>
    <t>bathtub reglazing ludington mi</t>
  </si>
  <si>
    <t>bathtub reglazing macomb mi</t>
  </si>
  <si>
    <t>bathtub reglazing madison heights</t>
  </si>
  <si>
    <t>bathtub reglazing maine</t>
  </si>
  <si>
    <t>bathtub reglazing maintenance</t>
  </si>
  <si>
    <t>bathtub reglazing manalapan</t>
  </si>
  <si>
    <t>bathtub reglazing manchester ct</t>
  </si>
  <si>
    <t>bathtub reglazing manchester nh</t>
  </si>
  <si>
    <t>bathtub reglazing mansfield ohio</t>
  </si>
  <si>
    <t>bathtub reglazing marietta ga</t>
  </si>
  <si>
    <t>bathtub reglazing martin ga</t>
  </si>
  <si>
    <t>bathtub reglazing md</t>
  </si>
  <si>
    <t>bathtub reglazing medicine hat</t>
  </si>
  <si>
    <t>bathtub reglazing melbourne florida</t>
  </si>
  <si>
    <t>bathtub reglazing memphis</t>
  </si>
  <si>
    <t>bathtub reglazing meriden connecticut</t>
  </si>
  <si>
    <t>bathtub reglazing miami fl</t>
  </si>
  <si>
    <t>bathtub reglazing miami lakes</t>
  </si>
  <si>
    <t>bathtub reglazing michigan reviews</t>
  </si>
  <si>
    <t>bathtub reglazing middletown nj</t>
  </si>
  <si>
    <t>bathtub reglazing milford ct</t>
  </si>
  <si>
    <t>bathtub reglazing milton</t>
  </si>
  <si>
    <t>bathtub reglazing mission tx</t>
  </si>
  <si>
    <t>bathtub reglazing mission viejo</t>
  </si>
  <si>
    <t>bathtub reglazing mn</t>
  </si>
  <si>
    <t>bathtub reglazing mobile al</t>
  </si>
  <si>
    <t>bathtub reglazing monroe ga</t>
  </si>
  <si>
    <t>bathtub reglazing monroe nj</t>
  </si>
  <si>
    <t>bathtub reglazing monrovia ca</t>
  </si>
  <si>
    <t>bathtub reglazing montclair nj</t>
  </si>
  <si>
    <t>bathtub reglazing morris county nj</t>
  </si>
  <si>
    <t>bathtub reglazing mount hope</t>
  </si>
  <si>
    <t>bathtub reglazing mt pleasant sc</t>
  </si>
  <si>
    <t>bathtub reglazing muskegon</t>
  </si>
  <si>
    <t>bathtub reglazing my 15642</t>
  </si>
  <si>
    <t>bathtub reglazing naperville il</t>
  </si>
  <si>
    <t>bathtub reglazing naples fl</t>
  </si>
  <si>
    <t>bathtub reglazing naples florida</t>
  </si>
  <si>
    <t>bathtub reglazing near 55345</t>
  </si>
  <si>
    <t>bathtub reglazing near cliffside park nj</t>
  </si>
  <si>
    <t>bathtub reglazing near denton tx</t>
  </si>
  <si>
    <t>bathtub reglazing near downey ca</t>
  </si>
  <si>
    <t>bathtub reglazing near lake orion mi</t>
  </si>
  <si>
    <t>bathtub reglazing near me prices</t>
  </si>
  <si>
    <t>bathtub reglazing near me within 20 mi</t>
  </si>
  <si>
    <t>bathtub reglazing near placentia ca</t>
  </si>
  <si>
    <t>bathtub reglazing near simi valley ca</t>
  </si>
  <si>
    <t>bathtub reglazing near st marys ga</t>
  </si>
  <si>
    <t>bathtub reglazing near temecula</t>
  </si>
  <si>
    <t>bathtub reglazing new haven ct</t>
  </si>
  <si>
    <t>bathtub reglazing new horizon</t>
  </si>
  <si>
    <t>bathtub reglazing new hyde park</t>
  </si>
  <si>
    <t>bathtub reglazing new jersey</t>
  </si>
  <si>
    <t>bathtub reglazing new mexico</t>
  </si>
  <si>
    <t>bathtub reglazing new orlenas</t>
  </si>
  <si>
    <t>bathtub reglazing new york city</t>
  </si>
  <si>
    <t>bathtub reglazing newnan ga</t>
  </si>
  <si>
    <t>bathtub reglazing newton ma</t>
  </si>
  <si>
    <t>bathtub reglazing nh</t>
  </si>
  <si>
    <t>bathtub reglazing niagara</t>
  </si>
  <si>
    <t>bathtub reglazing niagara falls</t>
  </si>
  <si>
    <t>bathtub reglazing niagara falls ny</t>
  </si>
  <si>
    <t>bathtub reglazing niagara on the lake</t>
  </si>
  <si>
    <t>bathtub reglazing niagara region</t>
  </si>
  <si>
    <t>bathtub reglazing nj cost</t>
  </si>
  <si>
    <t>bathtub reglazing nokomis fl</t>
  </si>
  <si>
    <t>bathtub reglazing north attleboro mass</t>
  </si>
  <si>
    <t>bathtub reglazing north bergen nj</t>
  </si>
  <si>
    <t>bathtub reglazing north decatur ga</t>
  </si>
  <si>
    <t>bathtub reglazing north hills</t>
  </si>
  <si>
    <t>bathtub reglazing north hollywood</t>
  </si>
  <si>
    <t>bathtub reglazing north of boston ma</t>
  </si>
  <si>
    <t>bathtub reglazing north vancouver</t>
  </si>
  <si>
    <t>bathtub reglazing northern new jersey</t>
  </si>
  <si>
    <t>bathtub reglazing northern nj</t>
  </si>
  <si>
    <t>bathtub reglazing norwalk ca</t>
  </si>
  <si>
    <t>bathtub reglazing norwich ct</t>
  </si>
  <si>
    <t>bathtub reglazing novi mi</t>
  </si>
  <si>
    <t>bathtub reglazing nyc cost</t>
  </si>
  <si>
    <t>bathtub reglazing nyc price</t>
  </si>
  <si>
    <t>bathtub reglazing nyc yelp</t>
  </si>
  <si>
    <t>bathtub reglazing oahu</t>
  </si>
  <si>
    <t>bathtub reglazing oak park il</t>
  </si>
  <si>
    <t>bathtub reglazing oakland county</t>
  </si>
  <si>
    <t>bathtub reglazing oakville</t>
  </si>
  <si>
    <t>bathtub reglazing oakwood ga</t>
  </si>
  <si>
    <t>bathtub reglazing ocala fl</t>
  </si>
  <si>
    <t>bathtub reglazing ocean city md</t>
  </si>
  <si>
    <t>bathtub reglazing ocean county nj</t>
  </si>
  <si>
    <t>bathtub reglazing ohio</t>
  </si>
  <si>
    <t>bathtub reglazing okc</t>
  </si>
  <si>
    <t>bathtub reglazing oldsmar fl</t>
  </si>
  <si>
    <t>bathtub reglazing omaha</t>
  </si>
  <si>
    <t>bathtub reglazing omaha ne</t>
  </si>
  <si>
    <t>bathtub reglazing on long island</t>
  </si>
  <si>
    <t>bathtub reglazing on the hudson</t>
  </si>
  <si>
    <t>bathtub reglazing ontario ca</t>
  </si>
  <si>
    <t>bathtub reglazing opa-locka</t>
  </si>
  <si>
    <t>bathtub reglazing options</t>
  </si>
  <si>
    <t>bathtub reglazing orange county ny</t>
  </si>
  <si>
    <t>bathtub reglazing orangeville</t>
  </si>
  <si>
    <t>bathtub reglazing oshawa</t>
  </si>
  <si>
    <t>bathtub reglazing osprey fl</t>
  </si>
  <si>
    <t>bathtub reglazing pahokee</t>
  </si>
  <si>
    <t>bathtub reglazing paint in houston</t>
  </si>
  <si>
    <t>bathtub reglazing paint in los angeles</t>
  </si>
  <si>
    <t>bathtub reglazing palm springs north</t>
  </si>
  <si>
    <t>bathtub reglazing palmerton</t>
  </si>
  <si>
    <t>bathtub reglazing palmetto fl</t>
  </si>
  <si>
    <t>bathtub reglazing palos verdes</t>
  </si>
  <si>
    <t>bathtub reglazing paramus fair lawn nj</t>
  </si>
  <si>
    <t>bathtub reglazing paramus nj area</t>
  </si>
  <si>
    <t>bathtub reglazing paterson nj</t>
  </si>
  <si>
    <t>bathtub reglazing peachtree city ga</t>
  </si>
  <si>
    <t>bathtub reglazing peeling</t>
  </si>
  <si>
    <t>bathtub reglazing pensacola fl</t>
  </si>
  <si>
    <t>bathtub reglazing perma glaze</t>
  </si>
  <si>
    <t>bathtub reglazing peterborough</t>
  </si>
  <si>
    <t>bathtub reglazing pictures</t>
  </si>
  <si>
    <t>bathtub reglazing pinellas county</t>
  </si>
  <si>
    <t>bathtub reglazing plano</t>
  </si>
  <si>
    <t>bathtub reglazing plano tx</t>
  </si>
  <si>
    <t>bathtub reglazing plant city</t>
  </si>
  <si>
    <t>bathtub reglazing plantation fl</t>
  </si>
  <si>
    <t>bathtub reglazing pleasanton</t>
  </si>
  <si>
    <t>bathtub reglazing plymouth mi</t>
  </si>
  <si>
    <t>bathtub reglazing pomona ca</t>
  </si>
  <si>
    <t>bathtub reglazing ponca city ok</t>
  </si>
  <si>
    <t>bathtub reglazing pontiac mi</t>
  </si>
  <si>
    <t>bathtub reglazing port salerno</t>
  </si>
  <si>
    <t>bathtub reglazing portland maine</t>
  </si>
  <si>
    <t>bathtub reglazing portland oregon</t>
  </si>
  <si>
    <t>bathtub reglazing portsmouth virginia</t>
  </si>
  <si>
    <t>bathtub reglazing price canada</t>
  </si>
  <si>
    <t>bathtub reglazing price list</t>
  </si>
  <si>
    <t>bathtub reglazing pricing</t>
  </si>
  <si>
    <t>bathtub reglazing princeton nj</t>
  </si>
  <si>
    <t>bathtub reglazing providence</t>
  </si>
  <si>
    <t>bathtub reglazing providence rhode island</t>
  </si>
  <si>
    <t>bathtub reglazing puslinch</t>
  </si>
  <si>
    <t>bathtub reglazing putty</t>
  </si>
  <si>
    <t>bathtub reglazing questions</t>
  </si>
  <si>
    <t>bathtub reglazing rancho cucamonga</t>
  </si>
  <si>
    <t>bathtub reglazing red deer</t>
  </si>
  <si>
    <t>bathtub reglazing redlands ca</t>
  </si>
  <si>
    <t>bathtub reglazing redondo beach</t>
  </si>
  <si>
    <t>bathtub reglazing regina</t>
  </si>
  <si>
    <t>bathtub reglazing remove caulk</t>
  </si>
  <si>
    <t>bathtub reglazing renew</t>
  </si>
  <si>
    <t>bathtub reglazing repair 91324</t>
  </si>
  <si>
    <t>bathtub reglazing repair kit</t>
  </si>
  <si>
    <t>bathtub reglazing repair san diego</t>
  </si>
  <si>
    <t>bathtub reglazing residential vs commercial</t>
  </si>
  <si>
    <t>bathtub reglazing resurfacing</t>
  </si>
  <si>
    <t>bathtub reglazing resurfacing near temecula</t>
  </si>
  <si>
    <t>bathtub reglazing rhode island</t>
  </si>
  <si>
    <t>bathtub reglazing richmond bc</t>
  </si>
  <si>
    <t>bathtub reglazing rio rancho</t>
  </si>
  <si>
    <t>bathtub reglazing riverdale ga</t>
  </si>
  <si>
    <t>bathtub reglazing riverdale ny</t>
  </si>
  <si>
    <t>bathtub reglazing riverview</t>
  </si>
  <si>
    <t>bathtub reglazing rochester new york</t>
  </si>
  <si>
    <t>bathtub reglazing rockmart ga</t>
  </si>
  <si>
    <t>bathtub reglazing rockville</t>
  </si>
  <si>
    <t>bathtub reglazing rome ga</t>
  </si>
  <si>
    <t>bathtub reglazing roswell ga</t>
  </si>
  <si>
    <t>bathtub reglazing sacramento ca</t>
  </si>
  <si>
    <t>bathtub reglazing saginaw michigan</t>
  </si>
  <si>
    <t>bathtub reglazing sale in houston</t>
  </si>
  <si>
    <t>bathtub reglazing san antonio</t>
  </si>
  <si>
    <t>bathtub reglazing san bernardino</t>
  </si>
  <si>
    <t>bathtub reglazing san clemente</t>
  </si>
  <si>
    <t>bathtub reglazing san fernando valley one</t>
  </si>
  <si>
    <t>bathtub reglazing san fernando valley one week</t>
  </si>
  <si>
    <t>bathtub reglazing san gabriel valley</t>
  </si>
  <si>
    <t>bathtub reglazing sandblast</t>
  </si>
  <si>
    <t>bathtub reglazing sandy springs ga</t>
  </si>
  <si>
    <t>bathtub reglazing santa clarita</t>
  </si>
  <si>
    <t>bathtub reglazing santa monica</t>
  </si>
  <si>
    <t>bathtub reglazing santa rosa ca</t>
  </si>
  <si>
    <t>bathtub reglazing sarasota</t>
  </si>
  <si>
    <t>bathtub reglazing sarasota fl</t>
  </si>
  <si>
    <t>bathtub reglazing sarnia</t>
  </si>
  <si>
    <t>bathtub reglazing scarborough</t>
  </si>
  <si>
    <t>bathtub reglazing school</t>
  </si>
  <si>
    <t>bathtub reglazing scottsdale az</t>
  </si>
  <si>
    <t>bathtub reglazing scratch</t>
  </si>
  <si>
    <t>bathtub reglazing seminole fl</t>
  </si>
  <si>
    <t>bathtub reglazing service prices</t>
  </si>
  <si>
    <t>bathtub reglazing services in union city nj</t>
  </si>
  <si>
    <t>bathtub reglazing services los angeles ca</t>
  </si>
  <si>
    <t>bathtub reglazing sherman oaks</t>
  </si>
  <si>
    <t>bathtub reglazing silicone caulking</t>
  </si>
  <si>
    <t>bathtub reglazing silver spring md</t>
  </si>
  <si>
    <t>bathtub reglazing smyrna ga</t>
  </si>
  <si>
    <t>bathtub reglazing snellville ga</t>
  </si>
  <si>
    <t>bathtub reglazing social circle ga</t>
  </si>
  <si>
    <t>bathtub reglazing solutions</t>
  </si>
  <si>
    <t>bathtub reglazing somerset county</t>
  </si>
  <si>
    <t>bathtub reglazing somerset nj</t>
  </si>
  <si>
    <t>bathtub reglazing south africa</t>
  </si>
  <si>
    <t>bathtub reglazing southeast michigan</t>
  </si>
  <si>
    <t>bathtub reglazing southgate fl</t>
  </si>
  <si>
    <t>bathtub reglazing specialist levittown ny</t>
  </si>
  <si>
    <t>bathtub reglazing specialist near me</t>
  </si>
  <si>
    <t>bathtub reglazing specialist sarasota</t>
  </si>
  <si>
    <t>bathtub reglazing specialists</t>
  </si>
  <si>
    <t>bathtub reglazing specialists inc</t>
  </si>
  <si>
    <t>bathtub reglazing specialists inc clearwater fl</t>
  </si>
  <si>
    <t>bathtub reglazing specialists inc reviews</t>
  </si>
  <si>
    <t>bathtub reglazing spokane</t>
  </si>
  <si>
    <t>bathtub reglazing spokane wa</t>
  </si>
  <si>
    <t>bathtub reglazing spray kit</t>
  </si>
  <si>
    <t>bathtub reglazing spring hill</t>
  </si>
  <si>
    <t>bathtub reglazing springfield il</t>
  </si>
  <si>
    <t>bathtub reglazing springfield mo</t>
  </si>
  <si>
    <t>bathtub reglazing st catharines</t>
  </si>
  <si>
    <t>bathtub reglazing st clair shores mi</t>
  </si>
  <si>
    <t>bathtub reglazing st louis missouri</t>
  </si>
  <si>
    <t>bathtub reglazing st pete fl</t>
  </si>
  <si>
    <t>bathtub reglazing st petersburg fl</t>
  </si>
  <si>
    <t>bathtub reglazing st. catharines</t>
  </si>
  <si>
    <t>bathtub reglazing stamford ct</t>
  </si>
  <si>
    <t>bathtub reglazing sterling heights mi</t>
  </si>
  <si>
    <t>bathtub reglazing stockton ca</t>
  </si>
  <si>
    <t>bathtub reglazing stoney creek</t>
  </si>
  <si>
    <t>bathtub reglazing stuart</t>
  </si>
  <si>
    <t>bathtub reglazing suffolk county</t>
  </si>
  <si>
    <t>bathtub reglazing suffolk county ny</t>
  </si>
  <si>
    <t>bathtub reglazing sugar hill ga</t>
  </si>
  <si>
    <t>bathtub reglazing sydney</t>
  </si>
  <si>
    <t>bathtub reglazing syracuse ny</t>
  </si>
  <si>
    <t>bathtub reglazing systems</t>
  </si>
  <si>
    <t>bathtub reglazing tallahassee</t>
  </si>
  <si>
    <t>bathtub reglazing tallahassee fl</t>
  </si>
  <si>
    <t>bathtub reglazing tallulah falls ga</t>
  </si>
  <si>
    <t>bathtub reglazing tampa bay</t>
  </si>
  <si>
    <t>bathtub reglazing tappahannock va the best</t>
  </si>
  <si>
    <t>bathtub reglazing taylor michigan</t>
  </si>
  <si>
    <t>bathtub reglazing tennessee</t>
  </si>
  <si>
    <t>bathtub reglazing tequesta</t>
  </si>
  <si>
    <t>bathtub reglazing texarkana</t>
  </si>
  <si>
    <t>bathtub reglazing texarkana ar</t>
  </si>
  <si>
    <t>bathtub reglazing texarkana tx</t>
  </si>
  <si>
    <t>bathtub reglazing texas</t>
  </si>
  <si>
    <t>bathtub reglazing tile</t>
  </si>
  <si>
    <t>bathtub reglazing tile reglazing colors</t>
  </si>
  <si>
    <t>bathtub reglazing time granada hills ca</t>
  </si>
  <si>
    <t>bathtub reglazing toldo ohio</t>
  </si>
  <si>
    <t>bathtub reglazing toledo oh</t>
  </si>
  <si>
    <t>bathtub reglazing toronto cost</t>
  </si>
  <si>
    <t>bathtub reglazing torrington ct</t>
  </si>
  <si>
    <t>bathtub reglazing toxic</t>
  </si>
  <si>
    <t>bathtub reglazing toxic fumes</t>
  </si>
  <si>
    <t>bathtub reglazing training ca</t>
  </si>
  <si>
    <t>bathtub reglazing training in california</t>
  </si>
  <si>
    <t>bathtub reglazing troy mi</t>
  </si>
  <si>
    <t>bathtub reglazing troy michigan</t>
  </si>
  <si>
    <t>bathtub reglazing tucker ga</t>
  </si>
  <si>
    <t>bathtub reglazing tucson az</t>
  </si>
  <si>
    <t>bathtub reglazing twice</t>
  </si>
  <si>
    <t>bathtub reglazing upland ca</t>
  </si>
  <si>
    <t>bathtub reglazing utah</t>
  </si>
  <si>
    <t>bathtub reglazing utica ny</t>
  </si>
  <si>
    <t>bathtub reglazing value</t>
  </si>
  <si>
    <t>bathtub reglazing vancouver island</t>
  </si>
  <si>
    <t>bathtub reglazing vancouver reviews</t>
  </si>
  <si>
    <t>bathtub reglazing venice fl</t>
  </si>
  <si>
    <t>bathtub reglazing vermont</t>
  </si>
  <si>
    <t>bathtub reglazing vernon bc</t>
  </si>
  <si>
    <t>bathtub reglazing victoria bc</t>
  </si>
  <si>
    <t>bathtub reglazing victorville ca</t>
  </si>
  <si>
    <t>bathtub reglazing vs fitting</t>
  </si>
  <si>
    <t>bathtub reglazing vs liner</t>
  </si>
  <si>
    <t>bathtub reglazing vs relining</t>
  </si>
  <si>
    <t>bathtub reglazing waco ga</t>
  </si>
  <si>
    <t>bathtub reglazing wake forest nc</t>
  </si>
  <si>
    <t>bathtub reglazing wallingford ct</t>
  </si>
  <si>
    <t>bathtub reglazing waltham ma</t>
  </si>
  <si>
    <t>bathtub reglazing warranty</t>
  </si>
  <si>
    <t>bathtub reglazing warren mi</t>
  </si>
  <si>
    <t>bathtub reglazing waterbury ct</t>
  </si>
  <si>
    <t>bathtub reglazing waterford mi</t>
  </si>
  <si>
    <t>bathtub reglazing waterloo</t>
  </si>
  <si>
    <t>bathtub reglazing watertown ma</t>
  </si>
  <si>
    <t>bathtub reglazing wellington</t>
  </si>
  <si>
    <t>bathtub reglazing west chester ohio</t>
  </si>
  <si>
    <t>bathtub reglazing west hartford ct</t>
  </si>
  <si>
    <t>bathtub reglazing west los angeles</t>
  </si>
  <si>
    <t>bathtub reglazing west orange nj</t>
  </si>
  <si>
    <t>bathtub reglazing westminster md</t>
  </si>
  <si>
    <t>bathtub reglazing white plains ny</t>
  </si>
  <si>
    <t>bathtub reglazing whitfield</t>
  </si>
  <si>
    <t>bathtub reglazing whittier</t>
  </si>
  <si>
    <t>bathtub reglazing williamstown nj</t>
  </si>
  <si>
    <t>bathtub reglazing wilmington nc</t>
  </si>
  <si>
    <t>bathtub reglazing winder ga</t>
  </si>
  <si>
    <t>bathtub reglazing winston salem nc</t>
  </si>
  <si>
    <t>bathtub reglazing woodbridge nj</t>
  </si>
  <si>
    <t>bathtub reglazing woodland hills ca</t>
  </si>
  <si>
    <t>bathtub reglazing woodmere fl</t>
  </si>
  <si>
    <t>bathtub reglazing works</t>
  </si>
  <si>
    <t>bathtub reglazing xenia ohio</t>
  </si>
  <si>
    <t>bathtub reglazing yelp</t>
  </si>
  <si>
    <t>bathtub reglazing york pa</t>
  </si>
  <si>
    <t>bathtub reglazing youtube</t>
  </si>
  <si>
    <t>bathtub reglazing zionsville</t>
  </si>
  <si>
    <t>bathtub reglazing ‰ªÄ‰πàÊÑèÊÄù</t>
  </si>
  <si>
    <t>bathtub repair and reglazing</t>
  </si>
  <si>
    <t>bathtub replace or reglaze</t>
  </si>
  <si>
    <t>bathtub replacement vs reglazing pros and cons</t>
  </si>
  <si>
    <t>bathtub sink reglazers</t>
  </si>
  <si>
    <t>bathtub tile reglazing cost</t>
  </si>
  <si>
    <t>bathtub tile reglazing cost ny</t>
  </si>
  <si>
    <t>bathtub+reglazing+brick+nj</t>
  </si>
  <si>
    <t>bathtub+reglazing+ocean+county+nj</t>
  </si>
  <si>
    <t>bathtubs reglazed with sparkle</t>
  </si>
  <si>
    <t>bathub reglazing cost</t>
  </si>
  <si>
    <t>bathub restoration reglazing</t>
  </si>
  <si>
    <t>bathworks tub reglazing kit</t>
  </si>
  <si>
    <t>bead blast sink and reglaze</t>
  </si>
  <si>
    <t>beautiful tub reglazing services</t>
  </si>
  <si>
    <t>before and after reglaze floor tile</t>
  </si>
  <si>
    <t>bemidji bathtub reglazing</t>
  </si>
  <si>
    <t>benjamin for reglazing tub</t>
  </si>
  <si>
    <t>benjamin moore's reglazing product</t>
  </si>
  <si>
    <t>bergen county tub reglazing</t>
  </si>
  <si>
    <t>berthoud window reglazing</t>
  </si>
  <si>
    <t>best bathtub mat for reglazed tub</t>
  </si>
  <si>
    <t>best bathtub reglazing company near me</t>
  </si>
  <si>
    <t>best bathtub reglazing material</t>
  </si>
  <si>
    <t>best bathtub reglazing nj</t>
  </si>
  <si>
    <t>best bathtub reglazing nyc</t>
  </si>
  <si>
    <t>best cheap tub reglazing san fernando valley</t>
  </si>
  <si>
    <t>best coating for tub reglazing</t>
  </si>
  <si>
    <t>best diy cleaner for a reglaze tub</t>
  </si>
  <si>
    <t>best diy cleaner for a reglazed tub</t>
  </si>
  <si>
    <t>best glasses reglazing near me</t>
  </si>
  <si>
    <t>best glasses reglazing service</t>
  </si>
  <si>
    <t>best hvlp gub for reglazing bathtubs</t>
  </si>
  <si>
    <t>best method of tub reglazing</t>
  </si>
  <si>
    <t>best natural cleaner for reglazed tub</t>
  </si>
  <si>
    <t>best place to reglaze glasses</t>
  </si>
  <si>
    <t>best product for tub reglazing</t>
  </si>
  <si>
    <t>best product to use on reglazed bathtub</t>
  </si>
  <si>
    <t>best products for reglazing bathtub</t>
  </si>
  <si>
    <t>best reglaze fir tub</t>
  </si>
  <si>
    <t>best reglaze glasses</t>
  </si>
  <si>
    <t>best reglaze inc</t>
  </si>
  <si>
    <t>best reglazing kit</t>
  </si>
  <si>
    <t>best reglazing nh reviews</t>
  </si>
  <si>
    <t>best reglazing of bathroom tubs in richmond va</t>
  </si>
  <si>
    <t>best reglazing of bathroom tubs inrichmond va</t>
  </si>
  <si>
    <t>best reglazing service</t>
  </si>
  <si>
    <t>best reglazing tampa</t>
  </si>
  <si>
    <t>best season to reglaze a window</t>
  </si>
  <si>
    <t>best shower mats for reglazed tubs</t>
  </si>
  <si>
    <t>best tile reglazing kit</t>
  </si>
  <si>
    <t>best tub mat for reglazed tub</t>
  </si>
  <si>
    <t>best tub reglaze kit</t>
  </si>
  <si>
    <t>best tub reglazing altadena area</t>
  </si>
  <si>
    <t>best tub reglazing company</t>
  </si>
  <si>
    <t>best tub reglazing material</t>
  </si>
  <si>
    <t>best tub reglazing nyc</t>
  </si>
  <si>
    <t>best tub reglazing pasadena area</t>
  </si>
  <si>
    <t>best tub reglazing staten island</t>
  </si>
  <si>
    <t>best way to clean a reglazed bathtub</t>
  </si>
  <si>
    <t>best way to clean a reglazed tub</t>
  </si>
  <si>
    <t>best way to clean reglazed tub</t>
  </si>
  <si>
    <t>best way to reglaze a ceramic pot</t>
  </si>
  <si>
    <t>best way to reglaze an old window</t>
  </si>
  <si>
    <t>best way to reglaze lincoln wood windows</t>
  </si>
  <si>
    <t>best way to reglaze or apoxi a bathroom</t>
  </si>
  <si>
    <t>bethtub reglazing wilmington nc</t>
  </si>
  <si>
    <t>better to caulk or reglaze window</t>
  </si>
  <si>
    <t>bifocal lenses reglazing</t>
  </si>
  <si>
    <t>bisque 6058 reglaze</t>
  </si>
  <si>
    <t>bleach turned reglazed tub yellow</t>
  </si>
  <si>
    <t>blue colors to reglaze cast iron sink</t>
  </si>
  <si>
    <t>blue light glasses reglazing</t>
  </si>
  <si>
    <t>boots opticians reglaze</t>
  </si>
  <si>
    <t>boots opticians reglaze cost</t>
  </si>
  <si>
    <t>boots opticians reglaze glasses</t>
  </si>
  <si>
    <t>boots opticians reglazing</t>
  </si>
  <si>
    <t>boots reglaze</t>
  </si>
  <si>
    <t>boots reglaze glasses</t>
  </si>
  <si>
    <t>boots reglaze service</t>
  </si>
  <si>
    <t>boots reglazing</t>
  </si>
  <si>
    <t>boots reglazing glasses</t>
  </si>
  <si>
    <t>boston tub reglazing</t>
  </si>
  <si>
    <t>broken window can you reglaze it to fix</t>
  </si>
  <si>
    <t>bronx bathtub reglazing</t>
  </si>
  <si>
    <t>bryans reglazing</t>
  </si>
  <si>
    <t>bubbles with tub reglazing</t>
  </si>
  <si>
    <t>bucks reglazing md</t>
  </si>
  <si>
    <t>buffalo bathtub reglazing</t>
  </si>
  <si>
    <t>business that reglaze a bathtub</t>
  </si>
  <si>
    <t>business that reglaze kitchen sinks</t>
  </si>
  <si>
    <t>busness that who reglazes bathtubs</t>
  </si>
  <si>
    <t>cabinet reglaze</t>
  </si>
  <si>
    <t>cabinet reglazing albuquerque</t>
  </si>
  <si>
    <t>cabinet reglazing boulder</t>
  </si>
  <si>
    <t>cabinet reglazing chattanooga</t>
  </si>
  <si>
    <t>cabinet reglazing denver</t>
  </si>
  <si>
    <t>cabinet reglazing detroit</t>
  </si>
  <si>
    <t>cabinet reglazing east florida</t>
  </si>
  <si>
    <t>cabinet reglazing el paso</t>
  </si>
  <si>
    <t>cabinet reglazing florida</t>
  </si>
  <si>
    <t>cabinet reglazing greenacres</t>
  </si>
  <si>
    <t>cabinet reglazing indiantown</t>
  </si>
  <si>
    <t>cabinet reglazing jensen beach</t>
  </si>
  <si>
    <t>cabinet reglazing jupiter</t>
  </si>
  <si>
    <t>cabinet reglazing livonia</t>
  </si>
  <si>
    <t>cabinet reglazing miami</t>
  </si>
  <si>
    <t>cabinet reglazing michigan</t>
  </si>
  <si>
    <t>cabinet reglazing new mexico</t>
  </si>
  <si>
    <t>cabinet reglazing north palm beach</t>
  </si>
  <si>
    <t>cabinet reglazing palm beach gardens</t>
  </si>
  <si>
    <t>cabinet reglazing palm city</t>
  </si>
  <si>
    <t>cabinet reglazing port salerno</t>
  </si>
  <si>
    <t>cabinet reglazing rio rancho</t>
  </si>
  <si>
    <t>cabinet reglazing rivera beach</t>
  </si>
  <si>
    <t>cabinet reglazing sunshine acres</t>
  </si>
  <si>
    <t>cabinet reglazing tampa</t>
  </si>
  <si>
    <t>cabinet reglazing tennessee</t>
  </si>
  <si>
    <t>cabinet reglazing texas</t>
  </si>
  <si>
    <t>cabinet reglazing wellington</t>
  </si>
  <si>
    <t>cadillac mi bathtub reglazing</t>
  </si>
  <si>
    <t>cal bath reglazing</t>
  </si>
  <si>
    <t>cal west reglazing</t>
  </si>
  <si>
    <t>calderon bathtub reglazing</t>
  </si>
  <si>
    <t>calderon bathtub reglazing boston 978-853-1078</t>
  </si>
  <si>
    <t>california bathtub reglazing</t>
  </si>
  <si>
    <t>campos bathtub reglazing</t>
  </si>
  <si>
    <t>can a 30 yr old bathtub be reglazed</t>
  </si>
  <si>
    <t>can a cast iron tub be reglazed</t>
  </si>
  <si>
    <t>can a ceramic piece be reglazed</t>
  </si>
  <si>
    <t>can a green bathtub be reglazed</t>
  </si>
  <si>
    <t>can a reglazed bathtb be reglazed again</t>
  </si>
  <si>
    <t>can a reglazed bathtub be reglazed</t>
  </si>
  <si>
    <t>can a reglazed tub be painted</t>
  </si>
  <si>
    <t>can a sink be reglazed</t>
  </si>
  <si>
    <t>can a tub be reglazed</t>
  </si>
  <si>
    <t>can andersen 100 series be reglazed</t>
  </si>
  <si>
    <t>can bathroom counter be reglazed</t>
  </si>
  <si>
    <t>can bathroom sink be reglazed</t>
  </si>
  <si>
    <t>can bathroom sinks be reglazed</t>
  </si>
  <si>
    <t>can bathroom tub reglazing fumes cause chest pain</t>
  </si>
  <si>
    <t>can borax damage a reglazed tub</t>
  </si>
  <si>
    <t>can ceramic be reglazed</t>
  </si>
  <si>
    <t>can china dishes be reglazed</t>
  </si>
  <si>
    <t>can coffee cups be reglazed</t>
  </si>
  <si>
    <t>can coffee cups be reglazed depot</t>
  </si>
  <si>
    <t>can corian countertops be reglazed</t>
  </si>
  <si>
    <t>can double pane windows be reglazed</t>
  </si>
  <si>
    <t>can engineered hardwoods be reglazed</t>
  </si>
  <si>
    <t>can floor tiles be reglazed</t>
  </si>
  <si>
    <t>can glasses be reglazed</t>
  </si>
  <si>
    <t>can i change color in reglazing</t>
  </si>
  <si>
    <t>can i get my tub reglazed</t>
  </si>
  <si>
    <t>can i have my 1970s porcelain tile reglazed</t>
  </si>
  <si>
    <t>can i paint over a reglaze countertop</t>
  </si>
  <si>
    <t>can i reglaze a ceramic piece</t>
  </si>
  <si>
    <t>can i reglaze a fiberglass tub</t>
  </si>
  <si>
    <t>can i reglaze a jacuzzi bathtub</t>
  </si>
  <si>
    <t>can i reglaze a window in the winter</t>
  </si>
  <si>
    <t>can i reglaze bathroom tile</t>
  </si>
  <si>
    <t>can i reglaze cast iron sink without sprayer</t>
  </si>
  <si>
    <t>can i reglaze ceramic bath fixtures</t>
  </si>
  <si>
    <t>can i reglaze ceramic towel fixtures</t>
  </si>
  <si>
    <t>can i reglaze commercial ceramic tile</t>
  </si>
  <si>
    <t>can i reglaze my pottery</t>
  </si>
  <si>
    <t>can i reglaze old cast iron sink</t>
  </si>
  <si>
    <t>can i reglaze quartz countertops</t>
  </si>
  <si>
    <t>can i shower normal after a bathtub reglazed</t>
  </si>
  <si>
    <t>can i use clorox cleanup on a reglazed tub</t>
  </si>
  <si>
    <t>can kitchen sinks be reglazed</t>
  </si>
  <si>
    <t>can louis vuitton be reglazed</t>
  </si>
  <si>
    <t>can my wedgewood china be reglazed</t>
  </si>
  <si>
    <t>can pool tiles be reglazed</t>
  </si>
  <si>
    <t>can porcelain sink be reglazed</t>
  </si>
  <si>
    <t>can porcelin dishes be reglazed</t>
  </si>
  <si>
    <t>can shower tile be reglazed</t>
  </si>
  <si>
    <t>can simonton windows be reglazed</t>
  </si>
  <si>
    <t>can sinks be reglazed</t>
  </si>
  <si>
    <t>can the reglazing paint be polished</t>
  </si>
  <si>
    <t>can tile be reglazed</t>
  </si>
  <si>
    <t>can uou reglaze a fiberglass tub</t>
  </si>
  <si>
    <t>can vinyl windows be reglazed</t>
  </si>
  <si>
    <t>can you have fiberglas tub reglazed</t>
  </si>
  <si>
    <t>can you have tile floors reglazed a different color</t>
  </si>
  <si>
    <t>can you reglaze a bathroom sink with polyeurathane</t>
  </si>
  <si>
    <t>can you reglaze a bathtub twice</t>
  </si>
  <si>
    <t>can you reglaze a bathtub when it is flaking off</t>
  </si>
  <si>
    <t>can you reglaze a black sink</t>
  </si>
  <si>
    <t>can you reglaze a blue tub</t>
  </si>
  <si>
    <t>can you reglaze a blue tub blue</t>
  </si>
  <si>
    <t>can you reglaze a cast iron sink</t>
  </si>
  <si>
    <t>can you reglaze a ceramic piece</t>
  </si>
  <si>
    <t>can you reglaze a clawfoot bathtub</t>
  </si>
  <si>
    <t>can you reglaze a clay pot</t>
  </si>
  <si>
    <t>can you reglaze a composite shower base</t>
  </si>
  <si>
    <t>can you reglaze a copper wash boiler</t>
  </si>
  <si>
    <t>can you reglaze a countertop</t>
  </si>
  <si>
    <t>can you reglaze a decoration window with liquid nails</t>
  </si>
  <si>
    <t>can you reglaze a double domeskylight</t>
  </si>
  <si>
    <t>can you reglaze a fiberglass shower pan</t>
  </si>
  <si>
    <t>can you reglaze a fiberglass tub a different color</t>
  </si>
  <si>
    <t>can you reglaze a glaze pottery piece</t>
  </si>
  <si>
    <t>can you reglaze a jacuzzi tub</t>
  </si>
  <si>
    <t>can you reglaze a jetted tub</t>
  </si>
  <si>
    <t>can you reglaze a mirror</t>
  </si>
  <si>
    <t>can you reglaze a mug</t>
  </si>
  <si>
    <t>can you reglaze a piece of pottery</t>
  </si>
  <si>
    <t>can you reglaze a piece of pottery without a kiln</t>
  </si>
  <si>
    <t>can you reglaze a plastic bathtub</t>
  </si>
  <si>
    <t>can you reglaze a plate</t>
  </si>
  <si>
    <t>can you reglaze a rusted tub</t>
  </si>
  <si>
    <t>can you reglaze a skylight</t>
  </si>
  <si>
    <t>can you reglaze a sliding glass door</t>
  </si>
  <si>
    <t>can you reglaze a solid surface bathroom vanity top</t>
  </si>
  <si>
    <t>can you reglaze a standing shower</t>
  </si>
  <si>
    <t>can you reglaze a tub in a color</t>
  </si>
  <si>
    <t>can you reglaze a tub in place</t>
  </si>
  <si>
    <t>can you reglaze a tub surround</t>
  </si>
  <si>
    <t>can you reglaze a tub yourself</t>
  </si>
  <si>
    <t>can you reglaze acrylic bathtub</t>
  </si>
  <si>
    <t>can you reglaze acrylic tubs</t>
  </si>
  <si>
    <t>can you reglaze an older anderson window</t>
  </si>
  <si>
    <t>can you reglaze an older vinyl andersen window</t>
  </si>
  <si>
    <t>can you reglaze an undermount kitchen sink</t>
  </si>
  <si>
    <t>can you reglaze and color bathroom tile</t>
  </si>
  <si>
    <t>can you reglaze bathroom sink</t>
  </si>
  <si>
    <t>can you reglaze china</t>
  </si>
  <si>
    <t>can you reglaze cooktop grates</t>
  </si>
  <si>
    <t>can you reglaze cracked tile</t>
  </si>
  <si>
    <t>can you reglaze cultured marble</t>
  </si>
  <si>
    <t>can you reglaze dishes</t>
  </si>
  <si>
    <t>can you reglaze double pane vinyl window</t>
  </si>
  <si>
    <t>can you reglaze double pane windows</t>
  </si>
  <si>
    <t>can you reglaze fiberglass shower</t>
  </si>
  <si>
    <t>can you reglaze fiberglass showers</t>
  </si>
  <si>
    <t>can you reglaze fired pottery</t>
  </si>
  <si>
    <t>can you reglaze glasses</t>
  </si>
  <si>
    <t>can you reglaze granite</t>
  </si>
  <si>
    <t>can you reglaze impact glass doors</t>
  </si>
  <si>
    <t>can you reglaze insulated windows</t>
  </si>
  <si>
    <t>can you reglaze old clawfoot tub</t>
  </si>
  <si>
    <t>can you reglaze old mugs</t>
  </si>
  <si>
    <t>can you reglaze old tile</t>
  </si>
  <si>
    <t>can you reglaze over glaze ceramics</t>
  </si>
  <si>
    <t>can you reglaze over pottery</t>
  </si>
  <si>
    <t>can you reglaze plates</t>
  </si>
  <si>
    <t>can you reglaze porcelain tile</t>
  </si>
  <si>
    <t>can you reglaze ready readers</t>
  </si>
  <si>
    <t>can you reglaze sink if rusting</t>
  </si>
  <si>
    <t>can you reglaze the plastic.stand up shower</t>
  </si>
  <si>
    <t>can you reglaze tile floor</t>
  </si>
  <si>
    <t>can you reglaze tile on floor of shower</t>
  </si>
  <si>
    <t>can you reglaze tile when your grout is moldy</t>
  </si>
  <si>
    <t>can you reglaze tiles too</t>
  </si>
  <si>
    <t>can you reglaze toilet</t>
  </si>
  <si>
    <t>can you reglaze vinyl andersen windows</t>
  </si>
  <si>
    <t>can you reglaze vinyl windows</t>
  </si>
  <si>
    <t>can you reglaze windows</t>
  </si>
  <si>
    <t>can you reglaze windows in place</t>
  </si>
  <si>
    <t>can you reglaze windows in the winter</t>
  </si>
  <si>
    <t>can you reglaze windows when it's cold</t>
  </si>
  <si>
    <t>can you reglaze with caulk</t>
  </si>
  <si>
    <t>can you scuff tile to reglaze</t>
  </si>
  <si>
    <t>can you stay in the house for tub reglazing</t>
  </si>
  <si>
    <t>can you thinset over bathtub reglazing</t>
  </si>
  <si>
    <t>can you tile a tub area before reglazing</t>
  </si>
  <si>
    <t>can you tile a tub area before reglazing bathtub</t>
  </si>
  <si>
    <t>can you turn reglaze tub into different color</t>
  </si>
  <si>
    <t>can you use airless sprayer ti reglaze a tub</t>
  </si>
  <si>
    <t>can you use beach on a reglazed tub</t>
  </si>
  <si>
    <t>can you use bleach on reglazed tub</t>
  </si>
  <si>
    <t>can you use hydrogen peroxide in a reglazed tub</t>
  </si>
  <si>
    <t>can't screw the trip lever back in after reglazing bathtub</t>
  </si>
  <si>
    <t>cant put the trip lver back in after reglazing bathtub</t>
  </si>
  <si>
    <t>cant screw the trip lver back in after reglazing bathtub</t>
  </si>
  <si>
    <t>car reglazing services</t>
  </si>
  <si>
    <t>care and cleaning of your reglazed bathtub and shower</t>
  </si>
  <si>
    <t>care instructions for reglazed tub</t>
  </si>
  <si>
    <t>care of reglazed tub</t>
  </si>
  <si>
    <t>carolina reglazing</t>
  </si>
  <si>
    <t>cartoon tub painter reglazer</t>
  </si>
  <si>
    <t>cartoon tub painter reglazing</t>
  </si>
  <si>
    <t>cast iron bathtub reglaze</t>
  </si>
  <si>
    <t>cast iron bathtub reglazing bergen county nj</t>
  </si>
  <si>
    <t>cast iron bathtub reglazing kit</t>
  </si>
  <si>
    <t>cast iron clawfoot tub reglazing</t>
  </si>
  <si>
    <t>cast iron porcelain reglazing</t>
  </si>
  <si>
    <t>cast iron reglazing berks county pa</t>
  </si>
  <si>
    <t>cast iron sink reglazing kit</t>
  </si>
  <si>
    <t>cast iron tub reglazing kit</t>
  </si>
  <si>
    <t>caulking and reglazing shower tiles</t>
  </si>
  <si>
    <t>ceramic floor tile reglazing</t>
  </si>
  <si>
    <t>ceramic reglaze tub</t>
  </si>
  <si>
    <t>ceramic reglazing a floor</t>
  </si>
  <si>
    <t>ceramic reglazing a floor colors</t>
  </si>
  <si>
    <t>ceramic sink reglaze</t>
  </si>
  <si>
    <t>ceramic sink reglazing</t>
  </si>
  <si>
    <t>ceramic tile reglaze before and after</t>
  </si>
  <si>
    <t>ceramic tile reglazing atlantic county nj</t>
  </si>
  <si>
    <t>ceramic tile reglazing bathroom tile before and after</t>
  </si>
  <si>
    <t>ceramic tile reglazing burlington county nj</t>
  </si>
  <si>
    <t>ceramic tile reglazing camden county nj</t>
  </si>
  <si>
    <t>ceramic tile reglazing cost</t>
  </si>
  <si>
    <t>ceramic tile reglazing cumberland county nj</t>
  </si>
  <si>
    <t>ceramic tile reglazing daytona beach fl</t>
  </si>
  <si>
    <t>ceramic tile reglazing diy</t>
  </si>
  <si>
    <t>ceramic tile reglazing fredericksburg va area</t>
  </si>
  <si>
    <t>ceramic tile reglazing gloucester county nj</t>
  </si>
  <si>
    <t>ceramic tile reglazing material</t>
  </si>
  <si>
    <t>ceramic tile reglazing on the big island</t>
  </si>
  <si>
    <t>ceramic tile reglazing products</t>
  </si>
  <si>
    <t>ceramic tile reglazing salem county nj</t>
  </si>
  <si>
    <t>ceramic tile reglazing williamstown nj</t>
  </si>
  <si>
    <t>ceramic toilet repair reglazing indianapolis</t>
  </si>
  <si>
    <t>chanel lens reglaze</t>
  </si>
  <si>
    <t>charge per inch to reglaze window</t>
  </si>
  <si>
    <t>charleston bathtub reglaze</t>
  </si>
  <si>
    <t>cheap bathtub reglazing</t>
  </si>
  <si>
    <t>cheap bathtub reglazing near me</t>
  </si>
  <si>
    <t>cheap bathtub spray reglazing</t>
  </si>
  <si>
    <t>cheap company to reglaze my glasses</t>
  </si>
  <si>
    <t>cheap glasses reglaze uk</t>
  </si>
  <si>
    <t>cheap online reglazing</t>
  </si>
  <si>
    <t>cheap reglaze service</t>
  </si>
  <si>
    <t>cheap tub reglazing</t>
  </si>
  <si>
    <t>cheaper to reglaze or buy new tub</t>
  </si>
  <si>
    <t>cheapest glasses reglazing uk</t>
  </si>
  <si>
    <t>cheapest place to get glasses reglazed</t>
  </si>
  <si>
    <t>cheapest state to reglaze a tub</t>
  </si>
  <si>
    <t>chestnut reglazing</t>
  </si>
  <si>
    <t>chicago bathtub reglazing</t>
  </si>
  <si>
    <t>chicago il countertop reglazing</t>
  </si>
  <si>
    <t>chicago reglazing</t>
  </si>
  <si>
    <t>chicago reglazing tile</t>
  </si>
  <si>
    <t>chicago tub reglazing bathtub</t>
  </si>
  <si>
    <t>child safety after reglazing a bathtub</t>
  </si>
  <si>
    <t>china sink reglazing near me</t>
  </si>
  <si>
    <t>chipped and reglaze</t>
  </si>
  <si>
    <t>ciliary blue reglaze</t>
  </si>
  <si>
    <t>cincinnati bathtub and tile reglazing llc cincinnati oh</t>
  </si>
  <si>
    <t>cincinnati bathtub reglazing</t>
  </si>
  <si>
    <t>cincinnati tile reglazing</t>
  </si>
  <si>
    <t>classic reglazing</t>
  </si>
  <si>
    <t>claw foot tub reglazing</t>
  </si>
  <si>
    <t>claw foot tub reglazing cincinnati</t>
  </si>
  <si>
    <t>clawbfoot tub reglaze kit</t>
  </si>
  <si>
    <t>clawfoot tub reglazing atlanta</t>
  </si>
  <si>
    <t>clawfoot tub reglazing calgary</t>
  </si>
  <si>
    <t>clawfoot tub reglazing cost</t>
  </si>
  <si>
    <t>clawfoot tub reglazing smyrna ga</t>
  </si>
  <si>
    <t>clean up after reglazing tub</t>
  </si>
  <si>
    <t>cleaners for reglazed tubs</t>
  </si>
  <si>
    <t>cleaning products for a reglazed bathtub</t>
  </si>
  <si>
    <t>cleaning products for reglazed tubs</t>
  </si>
  <si>
    <t>cleaning products reglazed tubs</t>
  </si>
  <si>
    <t>cleaning tools safe for reglazed bathtub</t>
  </si>
  <si>
    <t>clinton bathtub reglazing</t>
  </si>
  <si>
    <t>clinton connecticut bathtub reglazing</t>
  </si>
  <si>
    <t>cloud 9 tubs quality bathtub reglazing new hampshire</t>
  </si>
  <si>
    <t>cn you reglaze wall tile</t>
  </si>
  <si>
    <t>coet to reglaze a sink</t>
  </si>
  <si>
    <t>colors for bathtub reglazing</t>
  </si>
  <si>
    <t>colors to reglaze cast iron sink</t>
  </si>
  <si>
    <t>comic tub painter reglazing</t>
  </si>
  <si>
    <t>commercial bathtub reglazing company gresham</t>
  </si>
  <si>
    <t>commercial bathtub reglazing lansing</t>
  </si>
  <si>
    <t>commercial bathtub reglazing lincoln</t>
  </si>
  <si>
    <t>commercial bathtub reglazing orlando fl</t>
  </si>
  <si>
    <t>commercial bathtub reglazing service gresham</t>
  </si>
  <si>
    <t>commercial glass reglazing colorado</t>
  </si>
  <si>
    <t>commercial glass reglazing colorado springs</t>
  </si>
  <si>
    <t>commercial glass reglazing denver</t>
  </si>
  <si>
    <t>commercial reglazing</t>
  </si>
  <si>
    <t>commercial tub reglazing albany ny</t>
  </si>
  <si>
    <t>commercial tub reglazing company gresham</t>
  </si>
  <si>
    <t>companies in eastern nc that reglaze bathtubs</t>
  </si>
  <si>
    <t>companies in edenton nc that reglaze bathtubs</t>
  </si>
  <si>
    <t>companies in mass that reglaze sinks</t>
  </si>
  <si>
    <t>companies in utah county that reglaze tubs</t>
  </si>
  <si>
    <t>companies that do bathroom reglazing in hampton roads va</t>
  </si>
  <si>
    <t>companies that do porcelain reglazing</t>
  </si>
  <si>
    <t>companies that reglaze bathtub</t>
  </si>
  <si>
    <t>companies that reglaze cast iron sinks</t>
  </si>
  <si>
    <t>companies that reglaze cast iron sinks san jose ca</t>
  </si>
  <si>
    <t>companies that reglaze kitchen sinks</t>
  </si>
  <si>
    <t>companies that reglaze tubs st charles</t>
  </si>
  <si>
    <t>companies the do reglazing bathtubs</t>
  </si>
  <si>
    <t>company that reglazes tiles in fairfax va</t>
  </si>
  <si>
    <t>company's that do reglazing in enfield ct</t>
  </si>
  <si>
    <t>connecticut tub reglazing</t>
  </si>
  <si>
    <t>cons of countertop reglazing</t>
  </si>
  <si>
    <t>cons of reglazing tile</t>
  </si>
  <si>
    <t>contractor for kitchen sink reglazing</t>
  </si>
  <si>
    <t>contractor to reglaze bathroom tile near me</t>
  </si>
  <si>
    <t>contractors who reglaze bathrooms in springfield ma area</t>
  </si>
  <si>
    <t>contractors who reglaze windows</t>
  </si>
  <si>
    <t>coors available for reglazing tubs</t>
  </si>
  <si>
    <t>cost bathtub reglazing aiken county</t>
  </si>
  <si>
    <t>cost for reglazing a fiberglass tub</t>
  </si>
  <si>
    <t>cost for reglazing ti</t>
  </si>
  <si>
    <t>cost for reglazing tile</t>
  </si>
  <si>
    <t>cost for reglazing windows</t>
  </si>
  <si>
    <t>cost have tiles reglazed</t>
  </si>
  <si>
    <t>cost of bathroom reglazing</t>
  </si>
  <si>
    <t>cost of bathtub reglazers in bergen county nj</t>
  </si>
  <si>
    <t>cost of bathtub reglazing nj</t>
  </si>
  <si>
    <t>cost of professional reglazing tub</t>
  </si>
  <si>
    <t>cost of professional tub reglazing</t>
  </si>
  <si>
    <t>cost of reglaze bathtub</t>
  </si>
  <si>
    <t>cost of reglazing a clawfoot tub</t>
  </si>
  <si>
    <t>cost of reglazing a shower stall in philadelphia</t>
  </si>
  <si>
    <t>cost of reglazing a window</t>
  </si>
  <si>
    <t>cost of reglazing ceramic tile</t>
  </si>
  <si>
    <t>cost of reglazing clawfoot tub</t>
  </si>
  <si>
    <t>cost of reglazing countertops</t>
  </si>
  <si>
    <t>cost of reglazing fiberglass tub</t>
  </si>
  <si>
    <t>cost of reglazing kitchen sink</t>
  </si>
  <si>
    <t>cost of reglazing old metal windows</t>
  </si>
  <si>
    <t>cost of reglazing old windows</t>
  </si>
  <si>
    <t>cost of reglazing sash windows</t>
  </si>
  <si>
    <t>cost of reglazing spectacles</t>
  </si>
  <si>
    <t>cost of reglazing tile</t>
  </si>
  <si>
    <t>cost of reglazing tub and tile</t>
  </si>
  <si>
    <t>cost of reglazing tub in colorado springs</t>
  </si>
  <si>
    <t>cost of tub and tile reglazing</t>
  </si>
  <si>
    <t>cost of tub reglaze</t>
  </si>
  <si>
    <t>cost of window reglazing</t>
  </si>
  <si>
    <t>cost reglaze bathroom tile</t>
  </si>
  <si>
    <t>cost reglaze cast iron bathtub</t>
  </si>
  <si>
    <t>cost reglazing bathroom tub</t>
  </si>
  <si>
    <t>cost reglazing bathtub</t>
  </si>
  <si>
    <t>cost reglazing cast iron bathtub</t>
  </si>
  <si>
    <t>cost to get bathtub reglazed</t>
  </si>
  <si>
    <t>cost to have sinks reglazed</t>
  </si>
  <si>
    <t>cost to have windows reglazed</t>
  </si>
  <si>
    <t>cost to professionally reglaze tub</t>
  </si>
  <si>
    <t>cost to reglaze a bathroom</t>
  </si>
  <si>
    <t>cost to reglaze a bathtub cleveland oh</t>
  </si>
  <si>
    <t>cost to reglaze a bathtub norfolk va</t>
  </si>
  <si>
    <t>cost to reglaze a clawfoot tub</t>
  </si>
  <si>
    <t>cost to reglaze a double sink</t>
  </si>
  <si>
    <t>cost to reglaze a fiberglass bathtub</t>
  </si>
  <si>
    <t>cost to reglaze a kitchen sink</t>
  </si>
  <si>
    <t>cost to reglaze a tub canada</t>
  </si>
  <si>
    <t>cost to reglaze aluminum window frames</t>
  </si>
  <si>
    <t>cost to reglaze aluminum windows</t>
  </si>
  <si>
    <t>cost to reglaze an antique tub</t>
  </si>
  <si>
    <t>cost to reglaze an eight over eight window</t>
  </si>
  <si>
    <t>cost to reglaze an old porcelain tub</t>
  </si>
  <si>
    <t>cost to reglaze and paint windows</t>
  </si>
  <si>
    <t>cost to reglaze bath tuv</t>
  </si>
  <si>
    <t>cost to reglaze bathroom sink</t>
  </si>
  <si>
    <t>cost to reglaze bathroom tub</t>
  </si>
  <si>
    <t>cost to reglaze bathtub and tile</t>
  </si>
  <si>
    <t>cost to reglaze bathtub average cost</t>
  </si>
  <si>
    <t>cost to reglaze bathtub homewyse</t>
  </si>
  <si>
    <t>cost to reglaze bathtub seattle</t>
  </si>
  <si>
    <t>cost to reglaze bathtup</t>
  </si>
  <si>
    <t>cost to reglaze bathub</t>
  </si>
  <si>
    <t>cost to reglaze brick</t>
  </si>
  <si>
    <t>cost to reglaze farmhouse sink</t>
  </si>
  <si>
    <t>cost to reglaze fiberglass shower</t>
  </si>
  <si>
    <t>cost to reglaze fiberglass tub</t>
  </si>
  <si>
    <t>cost to reglaze kitchen counters</t>
  </si>
  <si>
    <t>cost to reglaze mirror</t>
  </si>
  <si>
    <t>cost to reglaze old windows</t>
  </si>
  <si>
    <t>cost to reglaze pedestal sink</t>
  </si>
  <si>
    <t>cost to reglaze porcelain sink</t>
  </si>
  <si>
    <t>cost to reglaze porcelain tub</t>
  </si>
  <si>
    <t>cost to reglaze shower stall</t>
  </si>
  <si>
    <t>cost to reglaze shower tile</t>
  </si>
  <si>
    <t>cost to reglaze single pane window</t>
  </si>
  <si>
    <t>cost to reglaze tile in a small bathroom</t>
  </si>
  <si>
    <t>cost to reglaze tile in bathroom</t>
  </si>
  <si>
    <t>cost to reglaze tub and tile surround</t>
  </si>
  <si>
    <t>cost to reglaze tub st paul</t>
  </si>
  <si>
    <t>cost to reglaze tub tiles</t>
  </si>
  <si>
    <t>cost to reglaze wall tile</t>
  </si>
  <si>
    <t>cost to reglaze wheels</t>
  </si>
  <si>
    <t>cost to reglazing bathtub</t>
  </si>
  <si>
    <t>cost to repaint and reglaze windows</t>
  </si>
  <si>
    <t>cost to.repaint and reglaze windoes</t>
  </si>
  <si>
    <t>costhelper bathroom reglaze</t>
  </si>
  <si>
    <t>counter and sink reglaze dyi</t>
  </si>
  <si>
    <t>counter reglaze distributions</t>
  </si>
  <si>
    <t>counter reglaze distributions rock garden</t>
  </si>
  <si>
    <t>counter reglazing 21921</t>
  </si>
  <si>
    <t>counter reglazing before and after</t>
  </si>
  <si>
    <t>counter reglazing boca raton</t>
  </si>
  <si>
    <t>counter reglazing boynton beach</t>
  </si>
  <si>
    <t>counter reglazing broward</t>
  </si>
  <si>
    <t>counter reglazing coral springs</t>
  </si>
  <si>
    <t>counter reglazing deerfield beach</t>
  </si>
  <si>
    <t>counter reglazing delray beach</t>
  </si>
  <si>
    <t>counter reglazing fort lauderdale</t>
  </si>
  <si>
    <t>counter reglazing hollywood</t>
  </si>
  <si>
    <t>counter reglazing margate</t>
  </si>
  <si>
    <t>counter reglazing near me</t>
  </si>
  <si>
    <t>counter reglazing pompano beach</t>
  </si>
  <si>
    <t>counter reglazing west palm beach</t>
  </si>
  <si>
    <t>counter top reglazing</t>
  </si>
  <si>
    <t>countertop and bathtub reglazing specialist</t>
  </si>
  <si>
    <t>countertop reglazing 54301</t>
  </si>
  <si>
    <t>countertop reglazing albuquerque</t>
  </si>
  <si>
    <t>countertop reglazing beaufort sc</t>
  </si>
  <si>
    <t>countertop reglazing boca raton</t>
  </si>
  <si>
    <t>countertop reglazing boulder</t>
  </si>
  <si>
    <t>countertop reglazing boynton beach</t>
  </si>
  <si>
    <t>countertop reglazing broward</t>
  </si>
  <si>
    <t>countertop reglazing chattanooga</t>
  </si>
  <si>
    <t>countertop reglazing chicago</t>
  </si>
  <si>
    <t>countertop reglazing cincinnati oh</t>
  </si>
  <si>
    <t>countertop reglazing colorado</t>
  </si>
  <si>
    <t>countertop reglazing coral springs</t>
  </si>
  <si>
    <t>countertop reglazing deerfield beach</t>
  </si>
  <si>
    <t>countertop reglazing delray beach</t>
  </si>
  <si>
    <t>countertop reglazing detroit</t>
  </si>
  <si>
    <t>countertop reglazing east florida</t>
  </si>
  <si>
    <t>countertop reglazing el paso</t>
  </si>
  <si>
    <t>countertop reglazing florida</t>
  </si>
  <si>
    <t>countertop reglazing fort lauderdale</t>
  </si>
  <si>
    <t>countertop reglazing in cincinnati oh</t>
  </si>
  <si>
    <t>countertop reglazing in palmdale</t>
  </si>
  <si>
    <t>countertop reglazing livonia</t>
  </si>
  <si>
    <t>countertop reglazing margate</t>
  </si>
  <si>
    <t>countertop reglazing michigan</t>
  </si>
  <si>
    <t>countertop reglazing new mexico</t>
  </si>
  <si>
    <t>countertop reglazing north hills</t>
  </si>
  <si>
    <t>countertop reglazing pompano beach</t>
  </si>
  <si>
    <t>countertop reglazing rio rancho</t>
  </si>
  <si>
    <t>countertop reglazing speckled</t>
  </si>
  <si>
    <t>countertop reglazing tampa</t>
  </si>
  <si>
    <t>countertop reglazing tennessee</t>
  </si>
  <si>
    <t>countertop reglazing texas</t>
  </si>
  <si>
    <t>countertop reglazing vendors</t>
  </si>
  <si>
    <t>countertop reglazing vendors 94502</t>
  </si>
  <si>
    <t>countertop reglazing west palm beach</t>
  </si>
  <si>
    <t>countertops reglazing</t>
  </si>
  <si>
    <t>cozy bathtub reglazing &amp;amp</t>
  </si>
  <si>
    <t>craigslist los angeles reglazing</t>
  </si>
  <si>
    <t>cubitts reglaze</t>
  </si>
  <si>
    <t>custom spraying and reglazing company</t>
  </si>
  <si>
    <t>custom spraying reglazing staten island</t>
  </si>
  <si>
    <t>custome colors for reglazing a kitchen sink</t>
  </si>
  <si>
    <t>d r reglazing llc</t>
  </si>
  <si>
    <t>d.r reglazing nj</t>
  </si>
  <si>
    <t>dab hands tub &amp; tile reglazing l</t>
  </si>
  <si>
    <t>dab hands tub &amp; tile reglazing llc philadelphia pa</t>
  </si>
  <si>
    <t>dab hands tub &amp; tile reglazing llc philadelphia pa 19116</t>
  </si>
  <si>
    <t>dab hands tub and tile reglazing reviews</t>
  </si>
  <si>
    <t>dallas bathtub reglazing</t>
  </si>
  <si>
    <t>dallas tub reglazing</t>
  </si>
  <si>
    <t>dan's bathtub reglazing and restoration</t>
  </si>
  <si>
    <t>dan's bathtub reglazing rochester hills mi</t>
  </si>
  <si>
    <t>dan's reglazing in rochester michigan</t>
  </si>
  <si>
    <t>danger of fumes from bathtub reglazing</t>
  </si>
  <si>
    <t>dangers of bathtub reglazing</t>
  </si>
  <si>
    <t>dans discount bathtub reglazing near me</t>
  </si>
  <si>
    <t>dans reglazing</t>
  </si>
  <si>
    <t>david's bathtub reglazing inc</t>
  </si>
  <si>
    <t>davis ca permit for reglazing windows</t>
  </si>
  <si>
    <t>dayton ohio bathtub reglazing</t>
  </si>
  <si>
    <t>dazzle reglazing</t>
  </si>
  <si>
    <t>define bathtub reglazing</t>
  </si>
  <si>
    <t>define reglazer</t>
  </si>
  <si>
    <t>definition reglaze window</t>
  </si>
  <si>
    <t>delaware bath reglazing</t>
  </si>
  <si>
    <t>delaware county tub and tile reglazing</t>
  </si>
  <si>
    <t>delaware reglazing</t>
  </si>
  <si>
    <t>denver bathtub reglazing</t>
  </si>
  <si>
    <t>denver glass and reglazing</t>
  </si>
  <si>
    <t>detroit area bathtub reglazing</t>
  </si>
  <si>
    <t>detroit bathtub reglazing</t>
  </si>
  <si>
    <t>detroit reglazing</t>
  </si>
  <si>
    <t>detroit tile reglazing</t>
  </si>
  <si>
    <t>detroit tub reglaze</t>
  </si>
  <si>
    <t>diamond reglazing corp</t>
  </si>
  <si>
    <t>diamond tub reglazing</t>
  </si>
  <si>
    <t>difference between refining and reglazing a bathtub</t>
  </si>
  <si>
    <t>direct reglaze prescription sunglasses</t>
  </si>
  <si>
    <t>direct sight discount code reglaze</t>
  </si>
  <si>
    <t>direct sight reglaze</t>
  </si>
  <si>
    <t>direct sight reglaze discount code</t>
  </si>
  <si>
    <t>direct sight reglaze review</t>
  </si>
  <si>
    <t>direct sight reglaze voucher code</t>
  </si>
  <si>
    <t>dirty tub reglaze</t>
  </si>
  <si>
    <t>diy bath tile reglazing</t>
  </si>
  <si>
    <t>diy bathroom reglazing</t>
  </si>
  <si>
    <t>diy bathtub reglazing cost</t>
  </si>
  <si>
    <t>diy ceramic tile reglazing</t>
  </si>
  <si>
    <t>diy countertop reglazing</t>
  </si>
  <si>
    <t>diy kitchen sink reglazing</t>
  </si>
  <si>
    <t>diy reglaze bathtub vs pro work</t>
  </si>
  <si>
    <t>diy reglaze ceramic tile</t>
  </si>
  <si>
    <t>diy reglaze fiberglass tub</t>
  </si>
  <si>
    <t>diy reglaze tub</t>
  </si>
  <si>
    <t>diy reglaze windows</t>
  </si>
  <si>
    <t>diy reglazing bathroom tub and tiles</t>
  </si>
  <si>
    <t>diy reglazing bathtub</t>
  </si>
  <si>
    <t>diy reglazing louis vuitton</t>
  </si>
  <si>
    <t>diy reglazing tile</t>
  </si>
  <si>
    <t>diy reglazing tub</t>
  </si>
  <si>
    <t>diy tile reglaze</t>
  </si>
  <si>
    <t>diy tub and tile reglazing</t>
  </si>
  <si>
    <t>diy tub reglaze</t>
  </si>
  <si>
    <t>diy tub reglazing reviews</t>
  </si>
  <si>
    <t>diy window reglazing cost</t>
  </si>
  <si>
    <t>diynetwork reglaze clawfoot tub</t>
  </si>
  <si>
    <t>diynetwork reglaze tub</t>
  </si>
  <si>
    <t>do boots opticians reglaze</t>
  </si>
  <si>
    <t>do boots opticians reglaze glasses</t>
  </si>
  <si>
    <t>do boots reglaze glasses</t>
  </si>
  <si>
    <t>do i need to remove toilet before reglazing tub</t>
  </si>
  <si>
    <t>do it yourself bathroom reglazing</t>
  </si>
  <si>
    <t>do it yourself bathroom tile reglazing</t>
  </si>
  <si>
    <t>do it yourself reglaze a bathtub</t>
  </si>
  <si>
    <t>do it yourself reglaze tub</t>
  </si>
  <si>
    <t>do painters reglaze windows</t>
  </si>
  <si>
    <t>do specsavers reglaze</t>
  </si>
  <si>
    <t>do specsavers reglaze glasses</t>
  </si>
  <si>
    <t>do toilets need to be reglazed after so many years</t>
  </si>
  <si>
    <t>do uou need to reglaze the inside of windows</t>
  </si>
  <si>
    <t>do you reglaze a tub then do tike around</t>
  </si>
  <si>
    <t>do you reglaze a tub then do tile around walls</t>
  </si>
  <si>
    <t>do you reglaze the inside and outside of windows</t>
  </si>
  <si>
    <t>does a tub need to be reglazed</t>
  </si>
  <si>
    <t>does ceramic tile reglazing last</t>
  </si>
  <si>
    <t>does home depot do bathtub reglazing</t>
  </si>
  <si>
    <t>does it cost to reglaze your bathtub</t>
  </si>
  <si>
    <t>does reglazing a kitchen sink hold up</t>
  </si>
  <si>
    <t>does reglazing a tile shower floor make it slippery</t>
  </si>
  <si>
    <t>does reglazing a white sink work</t>
  </si>
  <si>
    <t>does tile reglazing last</t>
  </si>
  <si>
    <t>does tub reglazing cause cancer</t>
  </si>
  <si>
    <t>does tub reglazing really work</t>
  </si>
  <si>
    <t>does vision express reglaze glasses</t>
  </si>
  <si>
    <t>don t replace reglaze</t>
  </si>
  <si>
    <t>don't reglaze your bathtub make it a japanese soaking tub</t>
  </si>
  <si>
    <t>don't replace reglaze reviews</t>
  </si>
  <si>
    <t>don't replace reglaze your bathtub</t>
  </si>
  <si>
    <t>dont reglaze your bathtub make it a japanese soaking tub</t>
  </si>
  <si>
    <t>dont replace reglaz</t>
  </si>
  <si>
    <t>donut screen reglazed</t>
  </si>
  <si>
    <t>downside of reglazing sink</t>
  </si>
  <si>
    <t>dr reglazed</t>
  </si>
  <si>
    <t>dr reglazing nj</t>
  </si>
  <si>
    <t>dr reglazing north bergen nj</t>
  </si>
  <si>
    <t>dr tube reglazing</t>
  </si>
  <si>
    <t>dr tube reglazing nj</t>
  </si>
  <si>
    <t>dr tubs reglazing &amp; liners</t>
  </si>
  <si>
    <t>dr tubs reglazing &amp;amp</t>
  </si>
  <si>
    <t>dr tubs reglazing north york on</t>
  </si>
  <si>
    <t>dr. tubs reglazing</t>
  </si>
  <si>
    <t>dr. tubs reglazing north york on</t>
  </si>
  <si>
    <t>dr.reglazing llc</t>
  </si>
  <si>
    <t>drying time for tub reglazing</t>
  </si>
  <si>
    <t>dulce reglazo</t>
  </si>
  <si>
    <t>durability of reglaze tub versus new factory finish</t>
  </si>
  <si>
    <t>easiest way to reglaze a porcelain sink</t>
  </si>
  <si>
    <t>east coast tub reglazing</t>
  </si>
  <si>
    <t>east providence glass reglazing</t>
  </si>
  <si>
    <t>eastern refinishing north shore reglazing</t>
  </si>
  <si>
    <t>eastern refinishing north shore reglazing ohio</t>
  </si>
  <si>
    <t>eastern refinishing north shore reglazing reviews</t>
  </si>
  <si>
    <t>eastern tub reglazing</t>
  </si>
  <si>
    <t>easy way to reglaze a bathtub</t>
  </si>
  <si>
    <t>easy way to reglaze windows</t>
  </si>
  <si>
    <t>easy window reglazing</t>
  </si>
  <si>
    <t>eco tub reglazing</t>
  </si>
  <si>
    <t>economy bathtub reglazing winnipeg</t>
  </si>
  <si>
    <t>economy bathtub reglazing winnipeg mb</t>
  </si>
  <si>
    <t>economy bathtub reglazing winnipeg reviews</t>
  </si>
  <si>
    <t>ekeltop reglazing</t>
  </si>
  <si>
    <t>ekopel reglazing</t>
  </si>
  <si>
    <t>electric bathtub reglazing</t>
  </si>
  <si>
    <t>electric static bathtub reglazing</t>
  </si>
  <si>
    <t>elegant bathtub reglazing llc little ferry nj</t>
  </si>
  <si>
    <t>elegant bathtub reglazing reviews</t>
  </si>
  <si>
    <t>elite reglaze</t>
  </si>
  <si>
    <t>enamel tub reglazing</t>
  </si>
  <si>
    <t>end result of reglazing bathtub</t>
  </si>
  <si>
    <t>epoxy reglazing kitchen countertops businesses in florida reviews</t>
  </si>
  <si>
    <t>epoxy reglazing kitchen countertops in florida reviews</t>
  </si>
  <si>
    <t>eric's pro tub reglazing</t>
  </si>
  <si>
    <t>erich gotthardt reglazing</t>
  </si>
  <si>
    <t>erich's reglazing</t>
  </si>
  <si>
    <t>essilor reglaze</t>
  </si>
  <si>
    <t>essilor reglazing service</t>
  </si>
  <si>
    <t>estimate cost to reglaze bathtub</t>
  </si>
  <si>
    <t>estimate on window reglazing</t>
  </si>
  <si>
    <t>estimate tub reglazing</t>
  </si>
  <si>
    <t>eureka ca bathtub reglaze</t>
  </si>
  <si>
    <t>eurocin reglazing</t>
  </si>
  <si>
    <t>european reglazing inc holbrook ny</t>
  </si>
  <si>
    <t>european reglazing reviews</t>
  </si>
  <si>
    <t>european reglazing reviews long island</t>
  </si>
  <si>
    <t>european tub reglazing</t>
  </si>
  <si>
    <t>evolving reglaze</t>
  </si>
  <si>
    <t>expert reglazing reviews</t>
  </si>
  <si>
    <t>exterior window reglazing perth</t>
  </si>
  <si>
    <t>eyeglass reglazed chicago</t>
  </si>
  <si>
    <t>faboulos finish tub reglazing</t>
  </si>
  <si>
    <t>faboulous finish tub reglazing</t>
  </si>
  <si>
    <t>fabulous finish tub reglazing</t>
  </si>
  <si>
    <t>fabulous finish tub reglazing inellas county florida</t>
  </si>
  <si>
    <t>fairmount park conservancy window reglazing</t>
  </si>
  <si>
    <t>fiber glass shower reglazing lodi ca</t>
  </si>
  <si>
    <t>fiberglass bathtub reglazing cost</t>
  </si>
  <si>
    <t>fiberglass bathtub reglazing kit</t>
  </si>
  <si>
    <t>fiberglass bathtub reglazing north hills</t>
  </si>
  <si>
    <t>fiberglass reglazing boat</t>
  </si>
  <si>
    <t>fiberglass reglazing kit</t>
  </si>
  <si>
    <t>fiberglass shower reglazing cost</t>
  </si>
  <si>
    <t>fiberglass shower tub reglazing</t>
  </si>
  <si>
    <t>fiberglass tub reglazing cost</t>
  </si>
  <si>
    <t>fiberglass tub reglazing in yakima wa</t>
  </si>
  <si>
    <t>fiberglass tub shower reglazing in lake elsinore</t>
  </si>
  <si>
    <t>fiberglass tub shower reglazing near me</t>
  </si>
  <si>
    <t>fiberglass tub shower reglazing that cover temecula ca</t>
  </si>
  <si>
    <t>fiberglass tub shower resurfacing reglazing near me</t>
  </si>
  <si>
    <t>finish pro reglaze reviews</t>
  </si>
  <si>
    <t>finish pro reglazing reviews om yelp</t>
  </si>
  <si>
    <t>fish eye reglazing</t>
  </si>
  <si>
    <t>five star bathtub reglazing &amp; refinis</t>
  </si>
  <si>
    <t>five star reglazing yelp</t>
  </si>
  <si>
    <t>five stars reglazing</t>
  </si>
  <si>
    <t>fixed skylight reglazing cost</t>
  </si>
  <si>
    <t>floor tile reglaze</t>
  </si>
  <si>
    <t>floor tile reglaze diy</t>
  </si>
  <si>
    <t>floor tile reglazing brisbane</t>
  </si>
  <si>
    <t>floor tiles reglazing companies</t>
  </si>
  <si>
    <t>florida to reglazing cost</t>
  </si>
  <si>
    <t>formula 409 reglazed</t>
  </si>
  <si>
    <t>frances aversa reglazing</t>
  </si>
  <si>
    <t>frank ciavarella tub reglazing</t>
  </si>
  <si>
    <t>fresh new look tub and tile reglazing</t>
  </si>
  <si>
    <t>fresh new look tub and tile reglazing lakehurst reviews</t>
  </si>
  <si>
    <t>fumes from reglazing bathtub</t>
  </si>
  <si>
    <t>fumes from tub reglazing</t>
  </si>
  <si>
    <t>furnace reglazing</t>
  </si>
  <si>
    <t>g&amp;g reglazing</t>
  </si>
  <si>
    <t>g&amp;g tub &amp; tile reglazing reviews</t>
  </si>
  <si>
    <t>g&amp;g tub and tile reglazing price list</t>
  </si>
  <si>
    <t>ga bathtub reglazing</t>
  </si>
  <si>
    <t>gainesville reglaze bathtub</t>
  </si>
  <si>
    <t>genesis reglazing services</t>
  </si>
  <si>
    <t>get metallic bag reglazed</t>
  </si>
  <si>
    <t>getting a bathtub reglazed</t>
  </si>
  <si>
    <t>getting ready for bath to get reglazed</t>
  </si>
  <si>
    <t>glass reglazing michigan</t>
  </si>
  <si>
    <t>glass reglazing peninsula site au</t>
  </si>
  <si>
    <t>glasses direct reglaze review</t>
  </si>
  <si>
    <t>glasses direct reglaze sunglasses</t>
  </si>
  <si>
    <t>glasses direct reglaze voucher</t>
  </si>
  <si>
    <t>glasses direct sunglasses reglaze</t>
  </si>
  <si>
    <t>glasses direct uk reglaze</t>
  </si>
  <si>
    <t>glasses lenses reglaze</t>
  </si>
  <si>
    <t>glasses reglaze review</t>
  </si>
  <si>
    <t>glasses reglaze service</t>
  </si>
  <si>
    <t>glasses reglaze specsavers</t>
  </si>
  <si>
    <t>glasses reglaze uk</t>
  </si>
  <si>
    <t>glasses reglazed</t>
  </si>
  <si>
    <t>glasses reglazed chicago</t>
  </si>
  <si>
    <t>glasses reglazed united states</t>
  </si>
  <si>
    <t>glasses reglazing online</t>
  </si>
  <si>
    <t>glasses reglazing uk</t>
  </si>
  <si>
    <t>glasses+reglaze</t>
  </si>
  <si>
    <t>glassesdirect co uk reglaze</t>
  </si>
  <si>
    <t>glassesdirect.co.uk reglazing</t>
  </si>
  <si>
    <t>glaze pro bathtub reglazing</t>
  </si>
  <si>
    <t>glaze/reglaze residential windows and doors</t>
  </si>
  <si>
    <t>global pacific reglazing inc</t>
  </si>
  <si>
    <t>gloss tile reglazing</t>
  </si>
  <si>
    <t>go green reglazing largo fl</t>
  </si>
  <si>
    <t>go green reglazing pictures</t>
  </si>
  <si>
    <t>go green reglazing pictures hole on a bathtub</t>
  </si>
  <si>
    <t>golden state reglazing</t>
  </si>
  <si>
    <t>good portland or tub reglazers</t>
  </si>
  <si>
    <t>gotham city reglazing denver co</t>
  </si>
  <si>
    <t>grand rapids reglazing</t>
  </si>
  <si>
    <t>gray tile reglaze</t>
  </si>
  <si>
    <t>gray tile reglazing</t>
  </si>
  <si>
    <t>green bathtub and tile reglaze</t>
  </si>
  <si>
    <t>green bay tub reglazing</t>
  </si>
  <si>
    <t>green reglazing bathtub</t>
  </si>
  <si>
    <t>green tinted reglaze 34 x 30</t>
  </si>
  <si>
    <t>green tinted reglaze glass 34 x 30</t>
  </si>
  <si>
    <t>grill grate reglazing</t>
  </si>
  <si>
    <t>hair color and tub reglazing</t>
  </si>
  <si>
    <t>hammond la bath reglaze</t>
  </si>
  <si>
    <t>hand print on reglazed tub</t>
  </si>
  <si>
    <t>handbag reglazing san francisco</t>
  </si>
  <si>
    <t>have your tub reglazed</t>
  </si>
  <si>
    <t>having bathtub reglazed</t>
  </si>
  <si>
    <t>herrera bathtub reglazing</t>
  </si>
  <si>
    <t>hi tech polymer vs reglazing</t>
  </si>
  <si>
    <t>high tech reglazing reviews</t>
  </si>
  <si>
    <t>hire someone to reglaze aquaglass tub in southern illinois</t>
  </si>
  <si>
    <t>historic preservation reglazing</t>
  </si>
  <si>
    <t>historic wood window reglazing john leeke</t>
  </si>
  <si>
    <t>hockessin tub reglazing</t>
  </si>
  <si>
    <t>holmen wisconsin reglaze fiberglass tub</t>
  </si>
  <si>
    <t>homadvisor novi reglaze</t>
  </si>
  <si>
    <t>home about us services european reglazing inc</t>
  </si>
  <si>
    <t>home advisers reglazing bathtub near me</t>
  </si>
  <si>
    <t>home advisor ann arbor bathtub reglazing</t>
  </si>
  <si>
    <t>home advisor bathtub reglazing</t>
  </si>
  <si>
    <t>home advisors reglazing bathtub near me</t>
  </si>
  <si>
    <t>home depot bathtub reglazing kit</t>
  </si>
  <si>
    <t>home depot sink reglaze</t>
  </si>
  <si>
    <t>home depot tub reglaze spray</t>
  </si>
  <si>
    <t>home depot tub reglazing</t>
  </si>
  <si>
    <t>home window reglazing</t>
  </si>
  <si>
    <t>homeadvisor novi bathroom reglaze</t>
  </si>
  <si>
    <t>homer reglaze bathtub home depot</t>
  </si>
  <si>
    <t>homer reglaze bathtub lowes</t>
  </si>
  <si>
    <t>homewyse broken window reglazed</t>
  </si>
  <si>
    <t>homewyse cost of labor to reglaze tub</t>
  </si>
  <si>
    <t>homewyse labor cost for reglazing a bathtub</t>
  </si>
  <si>
    <t>homewyse reglaze window</t>
  </si>
  <si>
    <t>hos.long does.it.take.to properly.reglaze.a bathtib</t>
  </si>
  <si>
    <t>hot tub reglazing</t>
  </si>
  <si>
    <t>hotel bathtub reglaze</t>
  </si>
  <si>
    <t>hotel bathtub reglazing company lansing</t>
  </si>
  <si>
    <t>hotel bathtub reglazing lansing</t>
  </si>
  <si>
    <t>hotel bathtub reglazing sterling heights</t>
  </si>
  <si>
    <t>how are glasses reglazed</t>
  </si>
  <si>
    <t>how are porcelain sinks reglazed</t>
  </si>
  <si>
    <t>how can you reglaze a bathtub</t>
  </si>
  <si>
    <t>how dangerous are tub reglazing fumes</t>
  </si>
  <si>
    <t>how do i clean a reglazed tub</t>
  </si>
  <si>
    <t>how do i clean my reglazed bathtub</t>
  </si>
  <si>
    <t>how do i clean my reglazed tub</t>
  </si>
  <si>
    <t>how do i reglaze a glaze fired pot</t>
  </si>
  <si>
    <t>how do professionals reglaze a bathtub</t>
  </si>
  <si>
    <t>how do they reglaze a bathtub</t>
  </si>
  <si>
    <t>how do they reglaze a tub</t>
  </si>
  <si>
    <t>how do you clean a reglazed sink</t>
  </si>
  <si>
    <t>how do you clean a reglazed tub</t>
  </si>
  <si>
    <t>how do you clean surrounding tile after tub reglazing</t>
  </si>
  <si>
    <t>how do you decide to replace or reglaze a bathtub</t>
  </si>
  <si>
    <t>how do you reglaze a bathroom sink</t>
  </si>
  <si>
    <t>how do you reglaze a cast iron sink</t>
  </si>
  <si>
    <t>how do you reglaze a cast iron tub</t>
  </si>
  <si>
    <t>how do you reglaze a fiberglass bathtub</t>
  </si>
  <si>
    <t>how do you reglaze a kitchen sink</t>
  </si>
  <si>
    <t>how do you reglaze a mirror</t>
  </si>
  <si>
    <t>how do you reglaze bathroom tile</t>
  </si>
  <si>
    <t>how do you reglaze ceramic tile</t>
  </si>
  <si>
    <t>how do you reglaze old windows</t>
  </si>
  <si>
    <t>how do you reglaze repair scratches on sunglasses ray ban</t>
  </si>
  <si>
    <t>how do you reglaze your bathtub</t>
  </si>
  <si>
    <t>how does bathtub reglazing work</t>
  </si>
  <si>
    <t>how does window reglazing work</t>
  </si>
  <si>
    <t>how due reglazers keep dust out of paint</t>
  </si>
  <si>
    <t>how durable is bathtub reglazing</t>
  </si>
  <si>
    <t>how expensive is bathtub reglazing</t>
  </si>
  <si>
    <t>how expensive is it to reglaze a tub</t>
  </si>
  <si>
    <t>how hard is it to reglaze a tub</t>
  </si>
  <si>
    <t>how hard is it to reglaze tile</t>
  </si>
  <si>
    <t>how is bathtub reglazing done</t>
  </si>
  <si>
    <t>how long before i can use my reglazed tub</t>
  </si>
  <si>
    <t>how long do bathtub reglazing fumes last reddit</t>
  </si>
  <si>
    <t>how long do reglazed countertops last</t>
  </si>
  <si>
    <t>how long do reglazed tiles last</t>
  </si>
  <si>
    <t>how long does bathroom reglazing last</t>
  </si>
  <si>
    <t>how long does bathtub reglazing last home guides sf gate</t>
  </si>
  <si>
    <t>how long does bathtub reglazing last new jersey</t>
  </si>
  <si>
    <t>how long does correct reglazing resurfacing bathtubs last</t>
  </si>
  <si>
    <t>how long does do-it yourself reglazing last</t>
  </si>
  <si>
    <t>how long does do-it yourself tile reglazing last</t>
  </si>
  <si>
    <t>how long does it take for tub reglazing to dry</t>
  </si>
  <si>
    <t>how long does it take to reglaze a kitchen sink</t>
  </si>
  <si>
    <t>how long does it take to reglaze a sink</t>
  </si>
  <si>
    <t>how long does it take to reglaze a window</t>
  </si>
  <si>
    <t>how long does it take to reglaze bathtub</t>
  </si>
  <si>
    <t>how long does it take to reglaze glasses</t>
  </si>
  <si>
    <t>how long does professional tub reglazing last</t>
  </si>
  <si>
    <t>how long does reglaze of tub last</t>
  </si>
  <si>
    <t>how long does reglazed tile last</t>
  </si>
  <si>
    <t>how long does reglazing aktich sink last</t>
  </si>
  <si>
    <t>how long does reglazing kitchen sink last</t>
  </si>
  <si>
    <t>how long does sink reglazing last</t>
  </si>
  <si>
    <t>how long does the reglaze last on a tub</t>
  </si>
  <si>
    <t>how long for bathtub reglazing to dry</t>
  </si>
  <si>
    <t>how long should a reglazed tub last</t>
  </si>
  <si>
    <t>how long should a reglazed tup last</t>
  </si>
  <si>
    <t>how long to stay out of house after reglazing tub</t>
  </si>
  <si>
    <t>how long to stayvout of apt after bathtub reglaze</t>
  </si>
  <si>
    <t>how long to wait to go home after tub reglazing</t>
  </si>
  <si>
    <t>how long to wait to paint after reglazing windows</t>
  </si>
  <si>
    <t>how long will reglazing last on a tub</t>
  </si>
  <si>
    <t>how long will tub reglazing last</t>
  </si>
  <si>
    <t>how many hours for reglazed tub to dry</t>
  </si>
  <si>
    <t>how many times can a bathtub be reglazed</t>
  </si>
  <si>
    <t>how many times can a tub be reglazed</t>
  </si>
  <si>
    <t>how much dies it cost to reglaze a bathtub</t>
  </si>
  <si>
    <t>how much do it cost to reglaze a bathtub</t>
  </si>
  <si>
    <t>how much does bathroom reglazing cost</t>
  </si>
  <si>
    <t>how much does bathroom tile reglazing cost</t>
  </si>
  <si>
    <t>how much does it cost to get your bathtub reglazed</t>
  </si>
  <si>
    <t>how much does it cost to have a window reglazed</t>
  </si>
  <si>
    <t>how much does it cost to have my tub reglazed</t>
  </si>
  <si>
    <t>how much does it cost to have someone reglaze tile</t>
  </si>
  <si>
    <t>how much does it cost to have your tub reglazed</t>
  </si>
  <si>
    <t>how much does it cost to professionally reglaze a bathtub</t>
  </si>
  <si>
    <t>how much does it cost to reglaze a bath</t>
  </si>
  <si>
    <t>how much does it cost to reglaze a bathroom sink</t>
  </si>
  <si>
    <t>how much does it cost to reglaze a bathroom tub</t>
  </si>
  <si>
    <t>how much does it cost to reglaze a mirror</t>
  </si>
  <si>
    <t>how much does it cost to reglaze a toilet</t>
  </si>
  <si>
    <t>how much does it cost to reglaze and paint windows</t>
  </si>
  <si>
    <t>how much does it cost to reglaze clawfoot tub</t>
  </si>
  <si>
    <t>how much does it cost to reglaze floor tiles</t>
  </si>
  <si>
    <t>how much does it cost to reglaze old windows</t>
  </si>
  <si>
    <t>how much does it cost to reglaze shower tile</t>
  </si>
  <si>
    <t>how much does it cost to reglaze tub and tile</t>
  </si>
  <si>
    <t>how much does it cost to reglaze your tub</t>
  </si>
  <si>
    <t>how much does it cost to sink reglazing</t>
  </si>
  <si>
    <t>how much does it cowst to reglaze a bathtub</t>
  </si>
  <si>
    <t>how much does it normally cost to reglaze a bathtub</t>
  </si>
  <si>
    <t>how much does it usually cost to reglaze bathtub</t>
  </si>
  <si>
    <t>how much does reglazing a bathroom cost</t>
  </si>
  <si>
    <t>how much does reglazing a sink cost</t>
  </si>
  <si>
    <t>how much does reglazing batrhtub cost</t>
  </si>
  <si>
    <t>how much does reglazing cost for tub and tile</t>
  </si>
  <si>
    <t>how much does shower reglazing cost</t>
  </si>
  <si>
    <t>how much does tub reglaze cost</t>
  </si>
  <si>
    <t>how much does window reglazing cost</t>
  </si>
  <si>
    <t>how much for tub reglazing</t>
  </si>
  <si>
    <t>how much is it per panr to reglaze old widow</t>
  </si>
  <si>
    <t>how much is it to reglaze a bathroom tub</t>
  </si>
  <si>
    <t>how much is it to reglaze a wondow</t>
  </si>
  <si>
    <t>how much is it to reglaze histotic window sash</t>
  </si>
  <si>
    <t>how much is reglazing glasses</t>
  </si>
  <si>
    <t>how much money does it cost to reglaze a bathtub</t>
  </si>
  <si>
    <t>how much money to reglaze a bathtub</t>
  </si>
  <si>
    <t>how much reglaze bathtub</t>
  </si>
  <si>
    <t>how much reglaze bathtub and tiles</t>
  </si>
  <si>
    <t>how much reglaze corian</t>
  </si>
  <si>
    <t>how much reglazing bathroom cost</t>
  </si>
  <si>
    <t>how much reglazing shower cost</t>
  </si>
  <si>
    <t>how much should it cost to reglaze a bathtub</t>
  </si>
  <si>
    <t>how much should it cost to reglaze a tub</t>
  </si>
  <si>
    <t>how much should it cost to reglaze a window</t>
  </si>
  <si>
    <t>how much time to wait after reglazing bathtub</t>
  </si>
  <si>
    <t>how much to charge to reglaze windows</t>
  </si>
  <si>
    <t>how much to get a bathtub reglazed</t>
  </si>
  <si>
    <t>how much to get glasses reglazed</t>
  </si>
  <si>
    <t>how much to have a bathroom reglazed</t>
  </si>
  <si>
    <t>how much to have a boken wndow reglazed</t>
  </si>
  <si>
    <t>how much to have a tub reglazed</t>
  </si>
  <si>
    <t>how much to have tub reglazed</t>
  </si>
  <si>
    <t>how much to professionally reglaze a bathtub</t>
  </si>
  <si>
    <t>how much to reglaze a bathrub</t>
  </si>
  <si>
    <t>how much to reglaze a bathtub and tile</t>
  </si>
  <si>
    <t>how much to reglaze a double glazed window</t>
  </si>
  <si>
    <t>how much to reglaze a fiberglass or acrylic bathtub</t>
  </si>
  <si>
    <t>how much to reglaze a kitchen sink</t>
  </si>
  <si>
    <t>how much to reglaze a kitchen sink los angeles</t>
  </si>
  <si>
    <t>how much to reglaze a pane window</t>
  </si>
  <si>
    <t>how much to reglaze a tub abbeville sc</t>
  </si>
  <si>
    <t>how much to reglaze a tub and shower</t>
  </si>
  <si>
    <t>how much to reglaze a tub and surround</t>
  </si>
  <si>
    <t>how much to reglaze a tub canada</t>
  </si>
  <si>
    <t>how much to reglaze a tub in dallas texas</t>
  </si>
  <si>
    <t>how much to reglaze a window in vegas</t>
  </si>
  <si>
    <t>how much to reglaze a window uk</t>
  </si>
  <si>
    <t>how much to reglaze an old cast iron tub</t>
  </si>
  <si>
    <t>how much to reglaze my tub</t>
  </si>
  <si>
    <t>how much to reglaze porcelain tub</t>
  </si>
  <si>
    <t>how much to reglaze shower</t>
  </si>
  <si>
    <t>how much to reglaze tile and bathtub</t>
  </si>
  <si>
    <t>how much to reglaze tiles</t>
  </si>
  <si>
    <t>how much to reglaze tub vs new</t>
  </si>
  <si>
    <t>how much to reglaze your bathtub</t>
  </si>
  <si>
    <t>how much would it cost to reglaze a bathtub</t>
  </si>
  <si>
    <t>how often do i reglaze my tub</t>
  </si>
  <si>
    <t>how often do windows need to be reglazed</t>
  </si>
  <si>
    <t>how often do you need to reglaze granite countertops</t>
  </si>
  <si>
    <t>how often reglaze windows</t>
  </si>
  <si>
    <t>how often to reglaze windows</t>
  </si>
  <si>
    <t>how os it to reglaze a wondow</t>
  </si>
  <si>
    <t>how paint a reglaze on tub</t>
  </si>
  <si>
    <t>how professionals reglaze a bathtub</t>
  </si>
  <si>
    <t>how reglaze a window</t>
  </si>
  <si>
    <t>how sinks are reglazed</t>
  </si>
  <si>
    <t>how soon after reglazing a tub can.you use it</t>
  </si>
  <si>
    <t>how soon can you use the tub after reglazing</t>
  </si>
  <si>
    <t>how successiful is reglazing tile walls</t>
  </si>
  <si>
    <t>how to bathtub reglazing</t>
  </si>
  <si>
    <t>how to care for a reglazed bathtub</t>
  </si>
  <si>
    <t>how to care for a reglazed tub</t>
  </si>
  <si>
    <t>how to care for acrylic reglaze tub</t>
  </si>
  <si>
    <t>how to clean a newly reglazed tub</t>
  </si>
  <si>
    <t>how to clean a reglazed tub and tile</t>
  </si>
  <si>
    <t>how to clean caulk on reglazed tub</t>
  </si>
  <si>
    <t>how to clean reglazed bathrun</t>
  </si>
  <si>
    <t>how to clean reglazed bathtubs</t>
  </si>
  <si>
    <t>how to clean reglazed shower</t>
  </si>
  <si>
    <t>how to clean reglazed tile</t>
  </si>
  <si>
    <t>how to clean reglazed tub</t>
  </si>
  <si>
    <t>how to control reglazing fumes</t>
  </si>
  <si>
    <t>how to diagrams for reglazing insulated glass units</t>
  </si>
  <si>
    <t>how to do tub reglazing</t>
  </si>
  <si>
    <t>how to get commercial bathtub reglazing customers</t>
  </si>
  <si>
    <t>how to get rid of smell from reglazing tub shower</t>
  </si>
  <si>
    <t>how to glaze windows reglazing</t>
  </si>
  <si>
    <t>how to keep dust away from getting into reglazing paint</t>
  </si>
  <si>
    <t>how to keep from slipping in reglazed tub</t>
  </si>
  <si>
    <t>how to mkae tub slip resistant after reglazing</t>
  </si>
  <si>
    <t>how to prep old.windows for.reglaze</t>
  </si>
  <si>
    <t>how to professionally reglaze a bathtub</t>
  </si>
  <si>
    <t>how to properly reglaze a window</t>
  </si>
  <si>
    <t>how to reglaze 100 year old windows</t>
  </si>
  <si>
    <t>how to reglaze a bathroom</t>
  </si>
  <si>
    <t>how to reglaze a bathroom tub</t>
  </si>
  <si>
    <t>how to reglaze a bathtub home depot</t>
  </si>
  <si>
    <t>how to reglaze a bathtub step by step</t>
  </si>
  <si>
    <t>how to reglaze a belfast sink</t>
  </si>
  <si>
    <t>how to reglaze a black porcelain sink</t>
  </si>
  <si>
    <t>how to reglaze a black sink</t>
  </si>
  <si>
    <t>how to reglaze a broken window</t>
  </si>
  <si>
    <t>how to reglaze a cast iron sink kit</t>
  </si>
  <si>
    <t>how to reglaze a cast iron skillet</t>
  </si>
  <si>
    <t>how to reglaze a ceramic bowl</t>
  </si>
  <si>
    <t>how to reglaze a ceramic mug</t>
  </si>
  <si>
    <t>how to reglaze a ceramic pot</t>
  </si>
  <si>
    <t>how to reglaze a ceramic sink</t>
  </si>
  <si>
    <t>how to reglaze a ceramic tub</t>
  </si>
  <si>
    <t>how to reglaze a claw foot tub</t>
  </si>
  <si>
    <t>how to reglaze a coffee mug</t>
  </si>
  <si>
    <t>how to reglaze a curved window</t>
  </si>
  <si>
    <t>how to reglaze a double pane metal window</t>
  </si>
  <si>
    <t>how to reglaze a double pane window</t>
  </si>
  <si>
    <t>how to reglaze a fiber tube</t>
  </si>
  <si>
    <t>how to reglaze a fiberglass tube</t>
  </si>
  <si>
    <t>how to reglaze a fired piece of pottery</t>
  </si>
  <si>
    <t>how to reglaze a glass</t>
  </si>
  <si>
    <t>how to reglaze a glass shower door</t>
  </si>
  <si>
    <t>how to reglaze a greenhouse</t>
  </si>
  <si>
    <t>how to reglaze a hurd window</t>
  </si>
  <si>
    <t>how to reglaze a hurd xo window</t>
  </si>
  <si>
    <t>how to reglaze a kit hen sink</t>
  </si>
  <si>
    <t>how to reglaze a kitchen countertop</t>
  </si>
  <si>
    <t>how to reglaze a marble bathroom sink</t>
  </si>
  <si>
    <t>how to reglaze a metal casement window</t>
  </si>
  <si>
    <t>how to reglaze a metal framed window</t>
  </si>
  <si>
    <t>how to reglaze a metal window</t>
  </si>
  <si>
    <t>how to reglaze a peeling tub</t>
  </si>
  <si>
    <t>how to reglaze a peeling wall tub</t>
  </si>
  <si>
    <t>how to reglaze a plastic tub</t>
  </si>
  <si>
    <t>how to reglaze a pot</t>
  </si>
  <si>
    <t>how to reglaze a sliding glass door</t>
  </si>
  <si>
    <t>how to reglaze a spot on a soaking tub</t>
  </si>
  <si>
    <t>how to reglaze a stained glass window</t>
  </si>
  <si>
    <t>how to reglaze a tile kitchen countertop</t>
  </si>
  <si>
    <t>how to reglaze a timber window</t>
  </si>
  <si>
    <t>how to reglaze a tub and shower</t>
  </si>
  <si>
    <t>how to reglaze a vinyl window</t>
  </si>
  <si>
    <t>how to reglaze a white kitchen sink</t>
  </si>
  <si>
    <t>how to reglaze a window in place</t>
  </si>
  <si>
    <t>how to reglaze a window pane video</t>
  </si>
  <si>
    <t>how to reglaze a window uk</t>
  </si>
  <si>
    <t>how to reglaze a window using putty</t>
  </si>
  <si>
    <t>how to reglaze a window without cracking glass</t>
  </si>
  <si>
    <t>how to reglaze a window youtube</t>
  </si>
  <si>
    <t>how to reglaze a wood double paned window</t>
  </si>
  <si>
    <t>how to reglaze a wood window</t>
  </si>
  <si>
    <t>how to reglaze a wooden window</t>
  </si>
  <si>
    <t>how to reglaze a yellow bathtub</t>
  </si>
  <si>
    <t>how to reglaze a yellow bathtub diy</t>
  </si>
  <si>
    <t>how to reglaze a yellow bathtub diy 2016</t>
  </si>
  <si>
    <t>how to reglaze aluminium windows</t>
  </si>
  <si>
    <t>how to reglaze aluminum framed windows</t>
  </si>
  <si>
    <t>how to reglaze aluminum window</t>
  </si>
  <si>
    <t>how to reglaze aluminum windows</t>
  </si>
  <si>
    <t>how to reglaze an andersen window</t>
  </si>
  <si>
    <t>how to reglaze an anderson bow window</t>
  </si>
  <si>
    <t>how to reglaze an etched toilet bowl</t>
  </si>
  <si>
    <t>how to reglaze an ettched toilet</t>
  </si>
  <si>
    <t>how to reglaze an ettched toilet bowl</t>
  </si>
  <si>
    <t>how to reglaze an old surfboard</t>
  </si>
  <si>
    <t>how to reglaze an rv window</t>
  </si>
  <si>
    <t>how to reglaze and old window</t>
  </si>
  <si>
    <t>how to reglaze and refire ceramic tile</t>
  </si>
  <si>
    <t>how to reglaze and repalce your windows</t>
  </si>
  <si>
    <t>how to reglaze antique wood windows</t>
  </si>
  <si>
    <t>how to reglaze bathroom ceramic tiles</t>
  </si>
  <si>
    <t>how to reglaze bathroom floor tiles</t>
  </si>
  <si>
    <t>how to reglaze bathroom tub</t>
  </si>
  <si>
    <t>how to reglaze bathroom wall tile</t>
  </si>
  <si>
    <t>how to reglaze bathtub tile</t>
  </si>
  <si>
    <t>how to reglaze blue porcelin wall tilese</t>
  </si>
  <si>
    <t>how to reglaze buttub</t>
  </si>
  <si>
    <t>how to reglaze casement windows</t>
  </si>
  <si>
    <t>how to reglaze cast iron pan</t>
  </si>
  <si>
    <t>how to reglaze cast iron tub</t>
  </si>
  <si>
    <t>how to reglaze ceramic</t>
  </si>
  <si>
    <t>how to reglaze ceramic floor tile</t>
  </si>
  <si>
    <t>how to reglaze ceramic pottery</t>
  </si>
  <si>
    <t>how to reglaze ceramic sink</t>
  </si>
  <si>
    <t>how to reglaze cermanic tiles</t>
  </si>
  <si>
    <t>how to reglaze clawfoot tub</t>
  </si>
  <si>
    <t>how to reglaze clear plastic starbucks cup</t>
  </si>
  <si>
    <t>how to reglaze commercial windows</t>
  </si>
  <si>
    <t>how to reglaze dinner plates</t>
  </si>
  <si>
    <t>how to reglaze dishes</t>
  </si>
  <si>
    <t>how to reglaze double pane window</t>
  </si>
  <si>
    <t>how to reglaze double pane windows</t>
  </si>
  <si>
    <t>how to reglaze fiberglass bathtub</t>
  </si>
  <si>
    <t>how to reglaze fiberglass tub</t>
  </si>
  <si>
    <t>how to reglaze fired pottery</t>
  </si>
  <si>
    <t>how to reglaze fireplace tile</t>
  </si>
  <si>
    <t>how to reglaze glass</t>
  </si>
  <si>
    <t>how to reglaze glasses</t>
  </si>
  <si>
    <t>how to reglaze granite countertops</t>
  </si>
  <si>
    <t>how to reglaze kitchen countertops</t>
  </si>
  <si>
    <t>how to reglaze kitchen sinks hunker</t>
  </si>
  <si>
    <t>how to reglaze leather wallet</t>
  </si>
  <si>
    <t>how to reglaze marble statue</t>
  </si>
  <si>
    <t>how to reglaze marble tile</t>
  </si>
  <si>
    <t>how to reglaze metal windows</t>
  </si>
  <si>
    <t>how to reglaze milgard fixed windows</t>
  </si>
  <si>
    <t>how to reglaze my fiberglass sink</t>
  </si>
  <si>
    <t>how to reglaze my porcelain sink</t>
  </si>
  <si>
    <t>how to reglaze my sink</t>
  </si>
  <si>
    <t>how to reglaze my tub</t>
  </si>
  <si>
    <t>how to reglaze old china</t>
  </si>
  <si>
    <t>how to reglaze old sash window</t>
  </si>
  <si>
    <t>how to reglaze old tile</t>
  </si>
  <si>
    <t>how to reglaze old tub</t>
  </si>
  <si>
    <t>how to reglaze old wooden windows</t>
  </si>
  <si>
    <t>how to reglaze over old glaze</t>
  </si>
  <si>
    <t>how to reglaze over old glaze clay</t>
  </si>
  <si>
    <t>how to reglaze porcelain</t>
  </si>
  <si>
    <t>how to reglaze porcelain tile</t>
  </si>
  <si>
    <t>how to reglaze porcelain tub</t>
  </si>
  <si>
    <t>how to reglaze pwc hull</t>
  </si>
  <si>
    <t>how to reglaze raku</t>
  </si>
  <si>
    <t>how to reglaze saltillo tile</t>
  </si>
  <si>
    <t>how to reglaze shower</t>
  </si>
  <si>
    <t>how to reglaze steel windows</t>
  </si>
  <si>
    <t>how to reglaze terracotta tiles</t>
  </si>
  <si>
    <t>how to reglaze the bathtub step by step</t>
  </si>
  <si>
    <t>how to reglaze the inside of a cast iron tub</t>
  </si>
  <si>
    <t>how to reglaze tile a different color</t>
  </si>
  <si>
    <t>how to reglaze tile backsplash</t>
  </si>
  <si>
    <t>how to reglaze tile diy</t>
  </si>
  <si>
    <t>how to reglaze tile wall</t>
  </si>
  <si>
    <t>how to reglaze tiles on fireplace apron</t>
  </si>
  <si>
    <t>how to reglaze toilet bowl</t>
  </si>
  <si>
    <t>how to reglaze upvc windows</t>
  </si>
  <si>
    <t>how to reglaze velux windows</t>
  </si>
  <si>
    <t>how to reglaze vintage ceramic floor tile</t>
  </si>
  <si>
    <t>how to reglaze vintage porcelain floor tile</t>
  </si>
  <si>
    <t>how to reglaze vinyl windows</t>
  </si>
  <si>
    <t>how to reglaze white tub</t>
  </si>
  <si>
    <t>how to reglaze windows this old house</t>
  </si>
  <si>
    <t>how to reglaze windowsj</t>
  </si>
  <si>
    <t>how to reglaze wood window in place</t>
  </si>
  <si>
    <t>how to reglaze wood windows in frame</t>
  </si>
  <si>
    <t>how to reglaze your bathroom sink</t>
  </si>
  <si>
    <t>how to reglaze your bathroom tile</t>
  </si>
  <si>
    <t>how to reglaze your kitchen sink</t>
  </si>
  <si>
    <t>how to reglaze your own bathtub</t>
  </si>
  <si>
    <t>how to reglazing a bathtub</t>
  </si>
  <si>
    <t>how to reglazing and resurfacing tub</t>
  </si>
  <si>
    <t>how to reglazing kitchen sink</t>
  </si>
  <si>
    <t>how to reglazing or recoating the deck</t>
  </si>
  <si>
    <t>how to reglazing tub</t>
  </si>
  <si>
    <t>how to remove fabric softener stains from reglazed tub</t>
  </si>
  <si>
    <t>how to remove old windows to reglaze</t>
  </si>
  <si>
    <t>how to remove stains in a reglazed tub</t>
  </si>
  <si>
    <t>how to remove stains in a reglazed tub hydrogen peroxide</t>
  </si>
  <si>
    <t>how to remove windows for reglazing</t>
  </si>
  <si>
    <t>how to remove wooden window from frame to reglaze it</t>
  </si>
  <si>
    <t>how to repair a reglazed tub</t>
  </si>
  <si>
    <t>how to shine a reglazed bathtub</t>
  </si>
  <si>
    <t>how to strip and reglaze a bathtub</t>
  </si>
  <si>
    <t>how to strip reglaze old window</t>
  </si>
  <si>
    <t>how to take care of a reglazed tub</t>
  </si>
  <si>
    <t>how to touch up a reglazed bathtub</t>
  </si>
  <si>
    <t>how to touch up a reglazed tub</t>
  </si>
  <si>
    <t>how to treehouse reglaze vintage ceramic tile</t>
  </si>
  <si>
    <t>how to ventilate a bathroom after bathtub reglazing</t>
  </si>
  <si>
    <t>how to.clean a tub thats been reglazed</t>
  </si>
  <si>
    <t>how toxic is the fumes from epoxy reglazing</t>
  </si>
  <si>
    <t>how well does reglazing a tub work</t>
  </si>
  <si>
    <t>how you reglaze a bathtub</t>
  </si>
  <si>
    <t>howalternatives to reglaze a tub</t>
  </si>
  <si>
    <t>hoya reglaze</t>
  </si>
  <si>
    <t>https www.yelp.com biz saving-by-reglazing-washington</t>
  </si>
  <si>
    <t>https://specscart.co.uk/reglaze-glasses</t>
  </si>
  <si>
    <t>hud reglazing fee</t>
  </si>
  <si>
    <t>hud reglazing fees</t>
  </si>
  <si>
    <t>hudson bathtub reglazing</t>
  </si>
  <si>
    <t>hughes reglazing milwaukee wi</t>
  </si>
  <si>
    <t>hughes reglazing reviews</t>
  </si>
  <si>
    <t>i am test psa 10.9 reglaze which medicine used</t>
  </si>
  <si>
    <t>i am test psa 10.9 reglaze wicth madison used</t>
  </si>
  <si>
    <t>i hate bathtub reglazing</t>
  </si>
  <si>
    <t>i need help. need bathtub reglazed.</t>
  </si>
  <si>
    <t>i need someone to reglaze my porcedain sink wircester ma</t>
  </si>
  <si>
    <t>i need to reglaze my kitchen sink</t>
  </si>
  <si>
    <t>i reglazed my tub and it looks great</t>
  </si>
  <si>
    <t>if you get your tub reglazed are the fumes toxic</t>
  </si>
  <si>
    <t>independent bathtub reglazing</t>
  </si>
  <si>
    <t>indianapolis bathtub reglazing</t>
  </si>
  <si>
    <t>indianapolis tub reglazing</t>
  </si>
  <si>
    <t>infinity tub reglazing</t>
  </si>
  <si>
    <t>interior reglazing</t>
  </si>
  <si>
    <t>iris optical reglaze</t>
  </si>
  <si>
    <t>irish brothers bathtub and tile reglazing</t>
  </si>
  <si>
    <t>iron bathtub reglazing</t>
  </si>
  <si>
    <t>is acrylic reglazing safe</t>
  </si>
  <si>
    <t>is it cheaper to replace or reglaze windows</t>
  </si>
  <si>
    <t>is it easy to reglaze a tub</t>
  </si>
  <si>
    <t>is it possible to reglaze a kitchen sink</t>
  </si>
  <si>
    <t>is it worth it to reglazing an old tub</t>
  </si>
  <si>
    <t>is new england reglaze incorporated</t>
  </si>
  <si>
    <t>is peeling reglazing from bathroom tub harmful</t>
  </si>
  <si>
    <t>is polyer in bathtub reglaze</t>
  </si>
  <si>
    <t>is reglaze the same as refinish</t>
  </si>
  <si>
    <t>is reglazing a tub cheaper than refinishing</t>
  </si>
  <si>
    <t>is reglazing of tub part of plumbing</t>
  </si>
  <si>
    <t>is reglazing shower a good idea</t>
  </si>
  <si>
    <t>is reglazing windows maintenance</t>
  </si>
  <si>
    <t>is reglazing windows worth it</t>
  </si>
  <si>
    <t>is reglazing windows worth the money</t>
  </si>
  <si>
    <t>is spray nine safe for reglazed tubs</t>
  </si>
  <si>
    <t>is tile reglazing worth it</t>
  </si>
  <si>
    <t>is tub reglazing normal wear and tear</t>
  </si>
  <si>
    <t>is.it possible.to.reglaze.windows.with impact windowa</t>
  </si>
  <si>
    <t>ithaca shower reglaze</t>
  </si>
  <si>
    <t>j lopez reglazing</t>
  </si>
  <si>
    <t>j lopez reglazing corona ca 92882</t>
  </si>
  <si>
    <t>jackson mi bathtub reglazing</t>
  </si>
  <si>
    <t>jacksonville reglazing</t>
  </si>
  <si>
    <t>jacksonville tub reglazing</t>
  </si>
  <si>
    <t>japanese tea set reglazed</t>
  </si>
  <si>
    <t>japanese tea set reglazed from bomb</t>
  </si>
  <si>
    <t>jc kitchen and bath reglazing</t>
  </si>
  <si>
    <t>jemco reglazers bathtub reglazing</t>
  </si>
  <si>
    <t>jemco reglazers bathtub reglazing toms river nj</t>
  </si>
  <si>
    <t>jeser custom reglazing tulsa</t>
  </si>
  <si>
    <t>jeser custom reglazing tulsa ok</t>
  </si>
  <si>
    <t>jeser reglazing tulsa ok</t>
  </si>
  <si>
    <t>jesser reglazing tulsa ok</t>
  </si>
  <si>
    <t>jlf tub and tile reglazing reviews</t>
  </si>
  <si>
    <t>john britt reglazing</t>
  </si>
  <si>
    <t>jp opticians reglaze</t>
  </si>
  <si>
    <t>k&amp;d reglazing</t>
  </si>
  <si>
    <t>k&amp;d reglazing review</t>
  </si>
  <si>
    <t>kalamazoo mi bathtub reglazing</t>
  </si>
  <si>
    <t>kansas city bathtub reglazing</t>
  </si>
  <si>
    <t>kd reglazing</t>
  </si>
  <si>
    <t>kellogg tub reglazing lansing</t>
  </si>
  <si>
    <t>kenmore tub reglazing</t>
  </si>
  <si>
    <t>kennett square reglazing</t>
  </si>
  <si>
    <t>kennett square reglazing shower</t>
  </si>
  <si>
    <t>kill mildew reglazed tub</t>
  </si>
  <si>
    <t>kiln reglazing</t>
  </si>
  <si>
    <t>kiln reglazing kalamazoo</t>
  </si>
  <si>
    <t>king tub reglazing</t>
  </si>
  <si>
    <t>kit tub reglazing</t>
  </si>
  <si>
    <t>kitchen and bath makeover in sacramento reglazing</t>
  </si>
  <si>
    <t>kitchen and bath makeover in sacramento reglazing floors</t>
  </si>
  <si>
    <t>kitchen and bath reglazing com</t>
  </si>
  <si>
    <t>kitchen and bath reglazing florida</t>
  </si>
  <si>
    <t>kitchen and bath reglazing of ocala</t>
  </si>
  <si>
    <t>kitchen and bath reglazing pasco county florida</t>
  </si>
  <si>
    <t>kitchen and bath reglazing port richey fl</t>
  </si>
  <si>
    <t>kitchen and bath reglazing port richey florida</t>
  </si>
  <si>
    <t>kitchen and bath reglazing portland or</t>
  </si>
  <si>
    <t>kitchen and bath reglazing san diego ca</t>
  </si>
  <si>
    <t>kitchen cabinet reglazing boca raton</t>
  </si>
  <si>
    <t>kitchen cabinet reglazing deerfield beach</t>
  </si>
  <si>
    <t>kitchen cabinet reglazing delray beach</t>
  </si>
  <si>
    <t>kitchen cabinet reglazing fort lauderdale</t>
  </si>
  <si>
    <t>kitchen cabinet reglazing margate</t>
  </si>
  <si>
    <t>kitchen cabinet reglazing newark nj</t>
  </si>
  <si>
    <t>kitchen cabinet reglazing south florida</t>
  </si>
  <si>
    <t>kitchen cabinet reglazing west palm beach</t>
  </si>
  <si>
    <t>kitchen counter reglazing</t>
  </si>
  <si>
    <t>kitchen counter reglazing before after</t>
  </si>
  <si>
    <t>kitchen counter top reglazing</t>
  </si>
  <si>
    <t>kitchen countertop tile reglazing</t>
  </si>
  <si>
    <t>kitchen floor tile reglazing before and after</t>
  </si>
  <si>
    <t>kitchen reglaze</t>
  </si>
  <si>
    <t>kitchen reglazing albuquerque</t>
  </si>
  <si>
    <t>kitchen reglazing boca raton</t>
  </si>
  <si>
    <t>kitchen reglazing boulder</t>
  </si>
  <si>
    <t>kitchen reglazing boynton beach</t>
  </si>
  <si>
    <t>kitchen reglazing broward</t>
  </si>
  <si>
    <t>kitchen reglazing chattanooga</t>
  </si>
  <si>
    <t>kitchen reglazing colorado</t>
  </si>
  <si>
    <t>kitchen reglazing coral springs</t>
  </si>
  <si>
    <t>kitchen reglazing deerfield beach</t>
  </si>
  <si>
    <t>kitchen reglazing delray beach</t>
  </si>
  <si>
    <t>kitchen reglazing denver</t>
  </si>
  <si>
    <t>kitchen reglazing detroit</t>
  </si>
  <si>
    <t>kitchen reglazing east florida</t>
  </si>
  <si>
    <t>kitchen reglazing el paso</t>
  </si>
  <si>
    <t>kitchen reglazing florida</t>
  </si>
  <si>
    <t>kitchen reglazing fort lauderdale</t>
  </si>
  <si>
    <t>kitchen reglazing hollywood</t>
  </si>
  <si>
    <t>kitchen reglazing livonia</t>
  </si>
  <si>
    <t>kitchen reglazing margate</t>
  </si>
  <si>
    <t>kitchen reglazing michigan</t>
  </si>
  <si>
    <t>kitchen reglazing new mexico</t>
  </si>
  <si>
    <t>kitchen reglazing newark nj</t>
  </si>
  <si>
    <t>kitchen reglazing pompano beach</t>
  </si>
  <si>
    <t>kitchen reglazing rio rancho</t>
  </si>
  <si>
    <t>kitchen reglazing services manhattan ny</t>
  </si>
  <si>
    <t>kitchen reglazing tampa</t>
  </si>
  <si>
    <t>kitchen reglazing tennessee</t>
  </si>
  <si>
    <t>kitchen reglazing texas</t>
  </si>
  <si>
    <t>kitchen reglazing west palm beach</t>
  </si>
  <si>
    <t>kitchen sink reglazing las vegas</t>
  </si>
  <si>
    <t>kitchen sink reglazing los angeles</t>
  </si>
  <si>
    <t>kitchen sink reglazing nj</t>
  </si>
  <si>
    <t>kitchen sink reglazing orange county ca</t>
  </si>
  <si>
    <t>kitchen sink reglazing san diego</t>
  </si>
  <si>
    <t>kitchen tile reglazing before and after</t>
  </si>
  <si>
    <t>kitsap window reglazing</t>
  </si>
  <si>
    <t>kohler sink reglaze</t>
  </si>
  <si>
    <t>kohler sink reglazing</t>
  </si>
  <si>
    <t>l.a. best tub reglazing inc</t>
  </si>
  <si>
    <t>la's bathtub reglazing</t>
  </si>
  <si>
    <t>laguna reglazing</t>
  </si>
  <si>
    <t>laguna reglazing 7042 cabernet avenue</t>
  </si>
  <si>
    <t>lake elsinore bathtub reglazing companies</t>
  </si>
  <si>
    <t>lansing mi bathtub reglazing</t>
  </si>
  <si>
    <t>laramie wy bathtub reglazers</t>
  </si>
  <si>
    <t>las vegas reglaze</t>
  </si>
  <si>
    <t>le creuset reglazing</t>
  </si>
  <si>
    <t>lead glass window reglaze</t>
  </si>
  <si>
    <t>lead in bathtub reglaze</t>
  </si>
  <si>
    <t>leaky skylight reglazing</t>
  </si>
  <si>
    <t>leg tub reglazing</t>
  </si>
  <si>
    <t>leg tub reglazing grand rapids</t>
  </si>
  <si>
    <t>lens reglazing uk</t>
  </si>
  <si>
    <t>lensology reglaze</t>
  </si>
  <si>
    <t>leos reglazing</t>
  </si>
  <si>
    <t>lewis reglazing</t>
  </si>
  <si>
    <t>lf jersey city tub reglazing</t>
  </si>
  <si>
    <t>lifetime reglazing</t>
  </si>
  <si>
    <t>like new kitchen and bath reglazing</t>
  </si>
  <si>
    <t>liquid porcelain reglazing bathtub</t>
  </si>
  <si>
    <t>lloyds reglazing</t>
  </si>
  <si>
    <t>local bathroom reglazing</t>
  </si>
  <si>
    <t>local handyman to reglaze window</t>
  </si>
  <si>
    <t>locko bread pan reglazing cincinnati</t>
  </si>
  <si>
    <t>locko bread pan reglazing norwood</t>
  </si>
  <si>
    <t>locko reglazing oakley oh</t>
  </si>
  <si>
    <t>lolwes department store paint and reglazing tubs</t>
  </si>
  <si>
    <t>long island bathtub reglazing</t>
  </si>
  <si>
    <t>long island tub reglazing</t>
  </si>
  <si>
    <t>los angels reglazing old windows</t>
  </si>
  <si>
    <t>louis vuitton bag reglazing</t>
  </si>
  <si>
    <t>louis vuitton reglazing free</t>
  </si>
  <si>
    <t>louis vuitton reglazing price</t>
  </si>
  <si>
    <t>louis vuitton wallet reglazing</t>
  </si>
  <si>
    <t>lowes sink reglaze</t>
  </si>
  <si>
    <t>lowes tile reglaze</t>
  </si>
  <si>
    <t>ludington mi bathtub reglazing</t>
  </si>
  <si>
    <t>lv reglazing</t>
  </si>
  <si>
    <t>lynn shower reglazing</t>
  </si>
  <si>
    <t>maintenance on tile reglazing</t>
  </si>
  <si>
    <t>majestic reglazed</t>
  </si>
  <si>
    <t>marble tile floor reglazing</t>
  </si>
  <si>
    <t>mark mccafferty tub reglazer 9732949392</t>
  </si>
  <si>
    <t>martin &amp; sons reglazing inc</t>
  </si>
  <si>
    <t>maryland bathtub reglazing</t>
  </si>
  <si>
    <t>maryland tub and tile reglazing</t>
  </si>
  <si>
    <t>master reglazers</t>
  </si>
  <si>
    <t>master reglazers los angeles</t>
  </si>
  <si>
    <t>master reglazing edmonton ab</t>
  </si>
  <si>
    <t>master reglazing edmonton reviews</t>
  </si>
  <si>
    <t>master reglazing ltd</t>
  </si>
  <si>
    <t>master tub and tile reglazing ri</t>
  </si>
  <si>
    <t>master tub reglazing</t>
  </si>
  <si>
    <t>master tub reglazing inc ca</t>
  </si>
  <si>
    <t>master tub reglazing ventura</t>
  </si>
  <si>
    <t>mastercraft reglaze &amp; refinish</t>
  </si>
  <si>
    <t>mastercraft reglaze &amp; refinish fenton mo</t>
  </si>
  <si>
    <t>mastercraft reglaze and refinish</t>
  </si>
  <si>
    <t>mastercraft reglaze and refinish 3201 west bergman street</t>
  </si>
  <si>
    <t>mastercraft reglaze and refinish reviews</t>
  </si>
  <si>
    <t>mat for reglazed tub</t>
  </si>
  <si>
    <t>material to reglaze a bathtub</t>
  </si>
  <si>
    <t>mats for reglazed tub</t>
  </si>
  <si>
    <t>matt perkins spray-tex bathtub reglazing</t>
  </si>
  <si>
    <t>meaning of reglazing windows</t>
  </si>
  <si>
    <t>mega reglazing los angeles ca</t>
  </si>
  <si>
    <t>melga bathtub reglazers</t>
  </si>
  <si>
    <t>menards tub reglaze</t>
  </si>
  <si>
    <t>meta reglazing</t>
  </si>
  <si>
    <t>methylene chloride bathtub reglaze brands</t>
  </si>
  <si>
    <t>metro tub reglazing buffalo ny</t>
  </si>
  <si>
    <t>miami gardens tub reglaze near me</t>
  </si>
  <si>
    <t>michael taylor tub reglazers</t>
  </si>
  <si>
    <t>michigan tub reglazing</t>
  </si>
  <si>
    <t>midnight reglazers in carson calif</t>
  </si>
  <si>
    <t>midnight reglazing</t>
  </si>
  <si>
    <t>midnight reglazing 3237744964</t>
  </si>
  <si>
    <t>mile high reglazing denver co</t>
  </si>
  <si>
    <t>milwaukee bathtub reglazing</t>
  </si>
  <si>
    <t>milwaukee tile reglazing</t>
  </si>
  <si>
    <t>miracle method bathtub reglazing</t>
  </si>
  <si>
    <t>miracle method reglaze</t>
  </si>
  <si>
    <t>miracle method tub reglazing</t>
  </si>
  <si>
    <t>miracryl sink reglazing</t>
  </si>
  <si>
    <t>mirror reglazing murrysville pa</t>
  </si>
  <si>
    <t>moncheme reglaze</t>
  </si>
  <si>
    <t>money saving expert reglaze glasses</t>
  </si>
  <si>
    <t>monro tub reglazing</t>
  </si>
  <si>
    <t>morris county bathtub reglazing</t>
  </si>
  <si>
    <t>morris+county+bathtub+reglazing</t>
  </si>
  <si>
    <t>mr chips tub and tile repair and reglazing</t>
  </si>
  <si>
    <t>mr tub man reglazing co</t>
  </si>
  <si>
    <t>mr tubb bathtub reglazing</t>
  </si>
  <si>
    <t>mrresurface bathtub reglazing &amp; kitchen countertop resurfacing wolcott ct</t>
  </si>
  <si>
    <t>mse reglaze glasses</t>
  </si>
  <si>
    <t>multi stone rock garden reglazing</t>
  </si>
  <si>
    <t>munro reglazing bathtub buffalo ny</t>
  </si>
  <si>
    <t>murfreesboro tile reglazing</t>
  </si>
  <si>
    <t>my neighbor reglazing &amp; remodeling</t>
  </si>
  <si>
    <t>my reglazing is not smooth</t>
  </si>
  <si>
    <t>myron reglazing tile in pa</t>
  </si>
  <si>
    <t>nacop tub reglazing</t>
  </si>
  <si>
    <t>naics code reglazing</t>
  </si>
  <si>
    <t>napon epoxy reglazing</t>
  </si>
  <si>
    <t>napon reglazing</t>
  </si>
  <si>
    <t>natural cleaner for reglazed tub</t>
  </si>
  <si>
    <t>need bathtub reglazed in hudson ny</t>
  </si>
  <si>
    <t>need reglazing of a bathtub</t>
  </si>
  <si>
    <t>need someone to reglaze a cast iron tub</t>
  </si>
  <si>
    <t>need someone to reglaze bathtub in spartanburg sc</t>
  </si>
  <si>
    <t>nelson tub tile reglazing</t>
  </si>
  <si>
    <t>nelson tub tile reglazing cost</t>
  </si>
  <si>
    <t>netherlands country bathtub reglazing</t>
  </si>
  <si>
    <t>new again tub and tile finishing and reglazing of clearwater</t>
  </si>
  <si>
    <t>new again tub and tile reglazing of cl</t>
  </si>
  <si>
    <t>new again tub and tile reglazing of clearwater clearwater fl</t>
  </si>
  <si>
    <t>new age bathtub reglazing services</t>
  </si>
  <si>
    <t>new auburn shower reglazing</t>
  </si>
  <si>
    <t>new bathtub vs reglazing</t>
  </si>
  <si>
    <t>new england bathroom reglazing</t>
  </si>
  <si>
    <t>new england reglaze better business</t>
  </si>
  <si>
    <t>new england reglaze east boston ma</t>
  </si>
  <si>
    <t>new england reglaze hyannis ma</t>
  </si>
  <si>
    <t>new england reglaze inc</t>
  </si>
  <si>
    <t>new england reglaze providence ri</t>
  </si>
  <si>
    <t>new england reglaze yelp</t>
  </si>
  <si>
    <t>new hapshire all tubs reglazing</t>
  </si>
  <si>
    <t>new horizon tub and tile reglazing reviews</t>
  </si>
  <si>
    <t>new touch reglaze yelp</t>
  </si>
  <si>
    <t>new tub or reglaze</t>
  </si>
  <si>
    <t>new tub vs reglazing</t>
  </si>
  <si>
    <t>new york bathtub reglazers</t>
  </si>
  <si>
    <t>new york pottery reglazing</t>
  </si>
  <si>
    <t>new york reglazing</t>
  </si>
  <si>
    <t>new-england-reglaze-somerville</t>
  </si>
  <si>
    <t>nippon epoxy reglazing</t>
  </si>
  <si>
    <t>nj bath reglazing</t>
  </si>
  <si>
    <t>nj bathtub reglazing</t>
  </si>
  <si>
    <t>nj tub reglazers with out harmful chemicals</t>
  </si>
  <si>
    <t>nj tub reglazers without harmful chemicals</t>
  </si>
  <si>
    <t>nort carolina tubs reglazing</t>
  </si>
  <si>
    <t>north carolina winston saled tubs reglazing wis</t>
  </si>
  <si>
    <t>northern virginia tub reglazing</t>
  </si>
  <si>
    <t>northshore reglazing</t>
  </si>
  <si>
    <t>norwex and reglazed tubs</t>
  </si>
  <si>
    <t>novi mi tile reglazing</t>
  </si>
  <si>
    <t>nu finish products reglazing and repair</t>
  </si>
  <si>
    <t>nu-finish reglazing &amp; repair</t>
  </si>
  <si>
    <t>nu-finish reglazing &amp; repair inc.</t>
  </si>
  <si>
    <t>nu-finish reglazing and repair</t>
  </si>
  <si>
    <t>nu-finish reglazing repair</t>
  </si>
  <si>
    <t>nu-finish reglazing repair 18080</t>
  </si>
  <si>
    <t>nubath reglazing</t>
  </si>
  <si>
    <t>nubath reglazing connecticut</t>
  </si>
  <si>
    <t>ny bath reglazers</t>
  </si>
  <si>
    <t>ny bath reglazing</t>
  </si>
  <si>
    <t>ny bathtub reglazers 1963 daly ave bronx ny</t>
  </si>
  <si>
    <t>ny bathtub reglazers bronx ny 10462</t>
  </si>
  <si>
    <t>ny bathtub reglazers inc</t>
  </si>
  <si>
    <t>ny bathtub reglazers reviews</t>
  </si>
  <si>
    <t>nybath reglazers</t>
  </si>
  <si>
    <t>nyc bathtub reglazer</t>
  </si>
  <si>
    <t>nyc tub reglazing</t>
  </si>
  <si>
    <t>oakley reglaze</t>
  </si>
  <si>
    <t>occupational lens reglazing</t>
  </si>
  <si>
    <t>occupational lenses reglaze</t>
  </si>
  <si>
    <t>odorless reglazing</t>
  </si>
  <si>
    <t>off gassing from bathtub reglazing</t>
  </si>
  <si>
    <t>old tub reglazing vs replacement</t>
  </si>
  <si>
    <t>online glasses reglazing service</t>
  </si>
  <si>
    <t>online glasses reglazing uk</t>
  </si>
  <si>
    <t>online reglaze</t>
  </si>
  <si>
    <t>online reglaze glasses</t>
  </si>
  <si>
    <t>online reglazing glasses</t>
  </si>
  <si>
    <t>opsm reglaze</t>
  </si>
  <si>
    <t>opsm reglazing</t>
  </si>
  <si>
    <t>optical express reglaze cost</t>
  </si>
  <si>
    <t>optically reglaze</t>
  </si>
  <si>
    <t>opticians direct reglaze</t>
  </si>
  <si>
    <t>optometrist reglaze lenses</t>
  </si>
  <si>
    <t>orlando bathtub reglazing</t>
  </si>
  <si>
    <t>orlando bathtup reglazing</t>
  </si>
  <si>
    <t>oscar gomez high tech reglazing inc</t>
  </si>
  <si>
    <t>outdoor window reglazing</t>
  </si>
  <si>
    <t>ow to reglaze your cultured marble countertops</t>
  </si>
  <si>
    <t>owner of new again tub and tile reglazing</t>
  </si>
  <si>
    <t>p&amp;k tub reglazing</t>
  </si>
  <si>
    <t>pacific reglazing get estimate</t>
  </si>
  <si>
    <t>pacific reglazing inc before after</t>
  </si>
  <si>
    <t>pacific reglazing inc burbank ca</t>
  </si>
  <si>
    <t>pacific reglazing long beach</t>
  </si>
  <si>
    <t>painting and reglazing windows cost</t>
  </si>
  <si>
    <t>painting reglazed window</t>
  </si>
  <si>
    <t>palm beach tub reglazing</t>
  </si>
  <si>
    <t>paramount reglaze overland park</t>
  </si>
  <si>
    <t>paramount reglazing</t>
  </si>
  <si>
    <t>pasadena reglazing</t>
  </si>
  <si>
    <t>pasadena tub reglazing</t>
  </si>
  <si>
    <t>pedestal sink reglazing in cincinnati ohio 45246</t>
  </si>
  <si>
    <t>pedestal sink reglazing in cincinnati ohio 4t24y</t>
  </si>
  <si>
    <t>peeling after tile shower reglazing</t>
  </si>
  <si>
    <t>peeling bathtub reglazing</t>
  </si>
  <si>
    <t>pella window reglaze</t>
  </si>
  <si>
    <t>pella window reglazing</t>
  </si>
  <si>
    <t>pembroke pines tub reglaze near me</t>
  </si>
  <si>
    <t>pennington nj bathtub reglazer</t>
  </si>
  <si>
    <t>people who reglaze sinks near me in crestwood missouri</t>
  </si>
  <si>
    <t>perma ceram bathroom refinishers and reglazers</t>
  </si>
  <si>
    <t>person who reglazes</t>
  </si>
  <si>
    <t>peter rose bathtub reglazer</t>
  </si>
  <si>
    <t>peter rose bathtub reglazing</t>
  </si>
  <si>
    <t>peter rose reglazer</t>
  </si>
  <si>
    <t>philadelphia bathtub reglazing</t>
  </si>
  <si>
    <t>philadelphia tub reglazing</t>
  </si>
  <si>
    <t>philips kitchen and bath reglazing</t>
  </si>
  <si>
    <t>phillip reglazing</t>
  </si>
  <si>
    <t>phillips kitchen and bath reglazing</t>
  </si>
  <si>
    <t>phillips kitchen and bath reglazing inc</t>
  </si>
  <si>
    <t>phillips kitchen bath reglazing</t>
  </si>
  <si>
    <t>phillips reglazing</t>
  </si>
  <si>
    <t>picture of reglaze cabinets</t>
  </si>
  <si>
    <t>pictures of bathtub reglazing</t>
  </si>
  <si>
    <t>pictures of reglazed bathrooms</t>
  </si>
  <si>
    <t>pictures of reglazed tubs</t>
  </si>
  <si>
    <t>pillow smell bathtub reglaz</t>
  </si>
  <si>
    <t>pittsburgh bathroom reglazing</t>
  </si>
  <si>
    <t>pittsburgh bathtub reglazing</t>
  </si>
  <si>
    <t>pittsburgh pa bathtub reglazing</t>
  </si>
  <si>
    <t>pittsburgh tub reglazing</t>
  </si>
  <si>
    <t>pkb bathtub reglazing</t>
  </si>
  <si>
    <t>pkb bathtub reglazing reviews</t>
  </si>
  <si>
    <t>pkb reglazing california</t>
  </si>
  <si>
    <t>pkb reglazing canyon country</t>
  </si>
  <si>
    <t>pkb reglazing instagram</t>
  </si>
  <si>
    <t>pkb reglazing las vegas</t>
  </si>
  <si>
    <t>pkb reglazing santa clarita</t>
  </si>
  <si>
    <t>pkb reglazing yelp</t>
  </si>
  <si>
    <t>pkb tub reglazing</t>
  </si>
  <si>
    <t>places near sanford asheboro nc who reglaze surround shower tubs</t>
  </si>
  <si>
    <t>places near sanford nc that reglaze surround shower tub</t>
  </si>
  <si>
    <t>places that reglazing bathtubs near me</t>
  </si>
  <si>
    <t>plastic bathtub reglaze</t>
  </si>
  <si>
    <t>polarised lenses reglaze</t>
  </si>
  <si>
    <t>polarised reglazing online</t>
  </si>
  <si>
    <t>polarised reglazing service</t>
  </si>
  <si>
    <t>polyer bathtub reglaze</t>
  </si>
  <si>
    <t>pool tile reglazing kit</t>
  </si>
  <si>
    <t>porcelain bathtub reglazing north hills</t>
  </si>
  <si>
    <t>porcelain floor tile glazed repair reglaze</t>
  </si>
  <si>
    <t>porcelain kitchen sink reglazing</t>
  </si>
  <si>
    <t>porcelain kitchen sink reglazing kit</t>
  </si>
  <si>
    <t>porcelain patch and reglazing company in nh</t>
  </si>
  <si>
    <t>porcelain reglaze</t>
  </si>
  <si>
    <t>porcelain reglaze ct</t>
  </si>
  <si>
    <t>porcelain reglazing grand rapids mi</t>
  </si>
  <si>
    <t>porcelain reglazing kit application</t>
  </si>
  <si>
    <t>porcelain reglazing los angeles</t>
  </si>
  <si>
    <t>porcelain reglazing near pasadena</t>
  </si>
  <si>
    <t>porcelain reglazing oxnard california</t>
  </si>
  <si>
    <t>porcelain reglazing sin</t>
  </si>
  <si>
    <t>porcelain reglazing sink</t>
  </si>
  <si>
    <t>porcelain reglazing sinks</t>
  </si>
  <si>
    <t>porcelain reglazing watertown ma</t>
  </si>
  <si>
    <t>porcelain sink reglaze</t>
  </si>
  <si>
    <t>porcelain sink reglaze kit</t>
  </si>
  <si>
    <t>porcelain sink reglazers</t>
  </si>
  <si>
    <t>porcelain sink reglazing cost</t>
  </si>
  <si>
    <t>porcelain sink reglazing in springfield mo area</t>
  </si>
  <si>
    <t>porcelain sink reglazing ri</t>
  </si>
  <si>
    <t>porcelain tub reglazing cost</t>
  </si>
  <si>
    <t>porcelain tub reglazing in indiana</t>
  </si>
  <si>
    <t>porcelain tub reglazing in my area</t>
  </si>
  <si>
    <t>porcelain tub reglazing iowa city</t>
  </si>
  <si>
    <t>porcelain tub reglazing los angeles</t>
  </si>
  <si>
    <t>porcelain tub reglazing louisville ky</t>
  </si>
  <si>
    <t>porcelain tub reglazing south jersey</t>
  </si>
  <si>
    <t>porcelain tube reglazer in indiana</t>
  </si>
  <si>
    <t>porcelain/cramic reglaze kit</t>
  </si>
  <si>
    <t>porcelian sink reglaze kit</t>
  </si>
  <si>
    <t>porcelin tub reglazing los angeles</t>
  </si>
  <si>
    <t>portage mi bathtub reglazing</t>
  </si>
  <si>
    <t>posh eyes reglaze</t>
  </si>
  <si>
    <t>posh lenses reglaze</t>
  </si>
  <si>
    <t>premier bathtub reglazing</t>
  </si>
  <si>
    <t>premier kitchen and bath reglazing port richey fl</t>
  </si>
  <si>
    <t>premier kitchen and bath reglazing tampa</t>
  </si>
  <si>
    <t>prep for tub reglazing</t>
  </si>
  <si>
    <t>preparation before reglazing bathtub</t>
  </si>
  <si>
    <t>prepare bathtub to be reglazed</t>
  </si>
  <si>
    <t>pretrip inspection formathow to reglaze a cast iron tub</t>
  </si>
  <si>
    <t>price reglaze and paint double hung window</t>
  </si>
  <si>
    <t>price reglaze and paint old window</t>
  </si>
  <si>
    <t>price to reglaze a sink</t>
  </si>
  <si>
    <t>price to reglaze bathtub and tile walls</t>
  </si>
  <si>
    <t>price to reglaze window</t>
  </si>
  <si>
    <t>price to reglaze windows in south carolina</t>
  </si>
  <si>
    <t>prize for reglazing a window</t>
  </si>
  <si>
    <t>pro bath and tile reglazing</t>
  </si>
  <si>
    <t>problems with reglazes over different color</t>
  </si>
  <si>
    <t>process for reglazing bathtub</t>
  </si>
  <si>
    <t>process of tub reglazing</t>
  </si>
  <si>
    <t>professional bathtub reglazing kit</t>
  </si>
  <si>
    <t>professional bathtub reglazing rochester ny</t>
  </si>
  <si>
    <t>professional equipment for bathtub reglazing</t>
  </si>
  <si>
    <t>professional iron sink reglazing</t>
  </si>
  <si>
    <t>professional reglazing bathroom tile</t>
  </si>
  <si>
    <t>professional reglazing contractor</t>
  </si>
  <si>
    <t>professional reglazing kit</t>
  </si>
  <si>
    <t>professional reglazing tub kit</t>
  </si>
  <si>
    <t>professional shower reglazing</t>
  </si>
  <si>
    <t>professional sink reglazing</t>
  </si>
  <si>
    <t>professional thoughts on tub reglazing</t>
  </si>
  <si>
    <t>professional tub reglazing johnstown pa</t>
  </si>
  <si>
    <t>professional tub reglazing kit</t>
  </si>
  <si>
    <t>proper way to reglaze a clawfoot tub</t>
  </si>
  <si>
    <t>pros and cons of reglazing a bathtub</t>
  </si>
  <si>
    <t>pros and cons of reglazing bathtubs</t>
  </si>
  <si>
    <t>pros and cons of reglazing tile</t>
  </si>
  <si>
    <t>ptr reglazing</t>
  </si>
  <si>
    <t>ptr reglazing white plains ny</t>
  </si>
  <si>
    <t>quality reglazing indianapolis</t>
  </si>
  <si>
    <t>quick way to reglaze a window</t>
  </si>
  <si>
    <t>quote reglazing bathtub</t>
  </si>
  <si>
    <t>rain and window reglazing</t>
  </si>
  <si>
    <t>raleigh bathtub reglazing</t>
  </si>
  <si>
    <t>rash from reglazing bathtubs</t>
  </si>
  <si>
    <t>rayban reglaze</t>
  </si>
  <si>
    <t>rbathtub reglazing</t>
  </si>
  <si>
    <t>re reglaze bathroom</t>
  </si>
  <si>
    <t>recaulking and reglazing shower tiles</t>
  </si>
  <si>
    <t>redecor bathtub reglazing brooklyn</t>
  </si>
  <si>
    <t>redecor reglazing</t>
  </si>
  <si>
    <t>redlands reglaze snd restore</t>
  </si>
  <si>
    <t>redo reglazing a tub last</t>
  </si>
  <si>
    <t>refacing/reglazing a bathtub</t>
  </si>
  <si>
    <t>refinish or reglaze</t>
  </si>
  <si>
    <t>refinish or reglaze tub</t>
  </si>
  <si>
    <t>refinish vs reglazed</t>
  </si>
  <si>
    <t>refinishing and reglazing kit</t>
  </si>
  <si>
    <t>refinishing or reglazing</t>
  </si>
  <si>
    <t>refinishing reglazing</t>
  </si>
  <si>
    <t>refinishing vs reglazing</t>
  </si>
  <si>
    <t>regal reglazing plus inc</t>
  </si>
  <si>
    <t>regional reglazing lake road webster ny</t>
  </si>
  <si>
    <t>regional reglazing webster ny</t>
  </si>
  <si>
    <t>regional reglazing webster road webster ny</t>
  </si>
  <si>
    <t>reglaz</t>
  </si>
  <si>
    <t>reglaza guma</t>
  </si>
  <si>
    <t>reglaza trapa cena nis</t>
  </si>
  <si>
    <t>reglaza trapa nis</t>
  </si>
  <si>
    <t>reglaze 1.74 double aspheric lenses</t>
  </si>
  <si>
    <t>reglaze 1.74 double aspheric lenses online</t>
  </si>
  <si>
    <t>reglaze 4 u reviews</t>
  </si>
  <si>
    <t>reglaze 4u</t>
  </si>
  <si>
    <t>reglaze 4u discount code</t>
  </si>
  <si>
    <t>reglaze 4u reviews</t>
  </si>
  <si>
    <t>reglaze 7</t>
  </si>
  <si>
    <t>reglaze 7 reviews</t>
  </si>
  <si>
    <t>reglaze a bathtub ad</t>
  </si>
  <si>
    <t>reglaze a bathtub with jacuzzi jets</t>
  </si>
  <si>
    <t>reglaze a broken panel</t>
  </si>
  <si>
    <t>reglaze a cast iron tub</t>
  </si>
  <si>
    <t>reglaze a cast iron tub gastonia nc</t>
  </si>
  <si>
    <t>reglaze a ceramic tub</t>
  </si>
  <si>
    <t>reglaze a clawfoot bathtub</t>
  </si>
  <si>
    <t>reglaze a clawfoot tub</t>
  </si>
  <si>
    <t>reglaze a coffee mug</t>
  </si>
  <si>
    <t>reglaze a deck</t>
  </si>
  <si>
    <t>reglaze a dune buggy</t>
  </si>
  <si>
    <t>reglaze a fiberglass bathtub</t>
  </si>
  <si>
    <t>reglaze a fiberglass tub</t>
  </si>
  <si>
    <t>reglaze a kitchen sink</t>
  </si>
  <si>
    <t>reglaze a laminate table</t>
  </si>
  <si>
    <t>reglaze a porcelain sink</t>
  </si>
  <si>
    <t>reglaze a porcelain tub</t>
  </si>
  <si>
    <t>reglaze a porcelin pot</t>
  </si>
  <si>
    <t>reglaze a shower</t>
  </si>
  <si>
    <t>reglaze a sink chicago</t>
  </si>
  <si>
    <t>reglaze a tub fresno ca</t>
  </si>
  <si>
    <t>reglaze a tub in bothell</t>
  </si>
  <si>
    <t>reglaze a tub in florida</t>
  </si>
  <si>
    <t>reglaze a tub pittsburgh</t>
  </si>
  <si>
    <t>reglaze a tub tonya harding</t>
  </si>
  <si>
    <t>reglaze a tub washington dc</t>
  </si>
  <si>
    <t>reglaze a window temperature and weather</t>
  </si>
  <si>
    <t>reglaze a wood fixed window</t>
  </si>
  <si>
    <t>reglaze acrylic bathtub</t>
  </si>
  <si>
    <t>reglaze acrylic sink</t>
  </si>
  <si>
    <t>reglaze aluminum windows</t>
  </si>
  <si>
    <t>reglaze aluminum wondows rubber gasket</t>
  </si>
  <si>
    <t>reglaze america</t>
  </si>
  <si>
    <t>reglaze an existing bath</t>
  </si>
  <si>
    <t>reglaze and add storm windows vs window replacement</t>
  </si>
  <si>
    <t>reglaze and refinishing services</t>
  </si>
  <si>
    <t>reglaze and restore</t>
  </si>
  <si>
    <t>reglaze and restore jared</t>
  </si>
  <si>
    <t>reglaze andersen windows</t>
  </si>
  <si>
    <t>reglaze antique sink</t>
  </si>
  <si>
    <t>reglaze atrium weries 300</t>
  </si>
  <si>
    <t>reglaze backsplash tile</t>
  </si>
  <si>
    <t>reglaze bath</t>
  </si>
  <si>
    <t>reglaze bath and sink</t>
  </si>
  <si>
    <t>reglaze bath rub</t>
  </si>
  <si>
    <t>reglaze bathroom cost</t>
  </si>
  <si>
    <t>reglaze bathroom floor tiles</t>
  </si>
  <si>
    <t>reglaze bathroom shower tile</t>
  </si>
  <si>
    <t>reglaze bathroom sink cost</t>
  </si>
  <si>
    <t>reglaze bathroom tampa fl</t>
  </si>
  <si>
    <t>reglaze bathroom tile ann arbor</t>
  </si>
  <si>
    <t>reglaze bathroom tile canton</t>
  </si>
  <si>
    <t>reglaze bathroom tile detroit</t>
  </si>
  <si>
    <t>reglaze bathroom tile detroit mi</t>
  </si>
  <si>
    <t>reglaze bathroom tile diy</t>
  </si>
  <si>
    <t>reglaze bathroom tile material</t>
  </si>
  <si>
    <t>reglaze bathroom tile sterling heights</t>
  </si>
  <si>
    <t>reglaze bathroom tile waldorf md</t>
  </si>
  <si>
    <t>reglaze bathroom tiles price</t>
  </si>
  <si>
    <t>reglaze bathroom vanity</t>
  </si>
  <si>
    <t>reglaze bathroom vanity top</t>
  </si>
  <si>
    <t>reglaze bathtib.bromx ny</t>
  </si>
  <si>
    <t>reglaze bathtib.bromx ny prices</t>
  </si>
  <si>
    <t>reglaze bathtub 21061 zip code</t>
  </si>
  <si>
    <t>reglaze bathtub baltimore</t>
  </si>
  <si>
    <t>reglaze bathtub bathtub</t>
  </si>
  <si>
    <t>reglaze bathtub before and after</t>
  </si>
  <si>
    <t>reglaze bathtub brooklyn ny</t>
  </si>
  <si>
    <t>reglaze bathtub calgary</t>
  </si>
  <si>
    <t>reglaze bathtub change color</t>
  </si>
  <si>
    <t>reglaze bathtub change color cost</t>
  </si>
  <si>
    <t>reglaze bathtub charleston illinois</t>
  </si>
  <si>
    <t>reglaze bathtub charlotte nc</t>
  </si>
  <si>
    <t>reglaze bathtub chipped</t>
  </si>
  <si>
    <t>reglaze bathtub city</t>
  </si>
  <si>
    <t>reglaze bathtub cost ann arbor</t>
  </si>
  <si>
    <t>reglaze bathtub cost dearborn</t>
  </si>
  <si>
    <t>reglaze bathtub cost farmington hills</t>
  </si>
  <si>
    <t>reglaze bathtub cost nj</t>
  </si>
  <si>
    <t>reglaze bathtub cost nyc</t>
  </si>
  <si>
    <t>reglaze bathtub dayton ohio</t>
  </si>
  <si>
    <t>reglaze bathtub delaware</t>
  </si>
  <si>
    <t>reglaze bathtub denver</t>
  </si>
  <si>
    <t>reglaze bathtub different color</t>
  </si>
  <si>
    <t>reglaze bathtub do it yourself</t>
  </si>
  <si>
    <t>reglaze bathtub erie pa</t>
  </si>
  <si>
    <t>reglaze bathtub greenville sc</t>
  </si>
  <si>
    <t>reglaze bathtub home depot</t>
  </si>
  <si>
    <t>reglaze bathtub honolulu</t>
  </si>
  <si>
    <t>reglaze bathtub in orange county</t>
  </si>
  <si>
    <t>reglaze bathtub jacksonville florida</t>
  </si>
  <si>
    <t>reglaze bathtub lexington ky</t>
  </si>
  <si>
    <t>reglaze bathtub louisville ky</t>
  </si>
  <si>
    <t>reglaze bathtub lubbock</t>
  </si>
  <si>
    <t>reglaze bathtub morongo basin</t>
  </si>
  <si>
    <t>reglaze bathtub nashville</t>
  </si>
  <si>
    <t>reglaze bathtub nearby</t>
  </si>
  <si>
    <t>reglaze bathtub nj</t>
  </si>
  <si>
    <t>reglaze bathtub nyc</t>
  </si>
  <si>
    <t>reglaze bathtub nyc cost</t>
  </si>
  <si>
    <t>reglaze bathtub or replace</t>
  </si>
  <si>
    <t>reglaze bathtub orlando</t>
  </si>
  <si>
    <t>reglaze bathtub ormond beach</t>
  </si>
  <si>
    <t>reglaze bathtub philadelphia</t>
  </si>
  <si>
    <t>reglaze bathtub philadelphia pa</t>
  </si>
  <si>
    <t>reglaze bathtub pittsburgh</t>
  </si>
  <si>
    <t>reglaze bathtub products</t>
  </si>
  <si>
    <t>reglaze bathtub pros and cons</t>
  </si>
  <si>
    <t>reglaze bathtub queens</t>
  </si>
  <si>
    <t>reglaze bathtub raleigh</t>
  </si>
  <si>
    <t>reglaze bathtub ri</t>
  </si>
  <si>
    <t>reglaze bathtub richmond</t>
  </si>
  <si>
    <t>reglaze bathtub richmond va</t>
  </si>
  <si>
    <t>reglaze bathtub salt lake city</t>
  </si>
  <si>
    <t>reglaze bathtub smell</t>
  </si>
  <si>
    <t>reglaze bathtub st louis</t>
  </si>
  <si>
    <t>reglaze bathtub surround cost</t>
  </si>
  <si>
    <t>reglaze bathtub tampa fl</t>
  </si>
  <si>
    <t>reglaze bathtub toronto</t>
  </si>
  <si>
    <t>reglaze bathtub tucson</t>
  </si>
  <si>
    <t>reglaze bathtub tulsa ok</t>
  </si>
  <si>
    <t>reglaze bathtub westchester ny</t>
  </si>
  <si>
    <t>reglaze bathtub youtube</t>
  </si>
  <si>
    <t>reglaze bathtubhome and garden</t>
  </si>
  <si>
    <t>reglaze bathtubs corinth ms</t>
  </si>
  <si>
    <t>reglaze bathtubs in southern illinois</t>
  </si>
  <si>
    <t>reglaze bathubs</t>
  </si>
  <si>
    <t>reglaze belfast sink</t>
  </si>
  <si>
    <t>reglaze belfast sink uk</t>
  </si>
  <si>
    <t>reglaze bifocal</t>
  </si>
  <si>
    <t>reglaze bifocal glasses</t>
  </si>
  <si>
    <t>reglaze bifocal glasses online</t>
  </si>
  <si>
    <t>reglaze boston mass</t>
  </si>
  <si>
    <t>reglaze brick</t>
  </si>
  <si>
    <t>reglaze broken window</t>
  </si>
  <si>
    <t>reglaze bus and coach</t>
  </si>
  <si>
    <t>reglaze butler sink</t>
  </si>
  <si>
    <t>reglaze cabinets</t>
  </si>
  <si>
    <t>reglaze cast iron</t>
  </si>
  <si>
    <t>reglaze cast iron bath</t>
  </si>
  <si>
    <t>reglaze cast iron bathtub or not</t>
  </si>
  <si>
    <t>reglaze cast iron cookware</t>
  </si>
  <si>
    <t>reglaze cast iron dutch oven</t>
  </si>
  <si>
    <t>reglaze cast iron pot</t>
  </si>
  <si>
    <t>reglaze cast iron sink finishing kit</t>
  </si>
  <si>
    <t>reglaze cast iron skillet</t>
  </si>
  <si>
    <t>reglaze cast iron tub near me</t>
  </si>
  <si>
    <t>reglaze ceiling</t>
  </si>
  <si>
    <t>reglaze ceramic</t>
  </si>
  <si>
    <t>reglaze ceramic sink nyc</t>
  </si>
  <si>
    <t>reglaze ceramic tile bathroom</t>
  </si>
  <si>
    <t>reglaze ceramic tile do it yourself</t>
  </si>
  <si>
    <t>reglaze ceramic tile fort worth contractors</t>
  </si>
  <si>
    <t>reglaze ceramic tile on porch</t>
  </si>
  <si>
    <t>reglaze ceramic tub</t>
  </si>
  <si>
    <t>reglaze ceramics</t>
  </si>
  <si>
    <t>reglaze coach and bus</t>
  </si>
  <si>
    <t>reglaze coffee mug</t>
  </si>
  <si>
    <t>reglaze colored tub</t>
  </si>
  <si>
    <t>reglaze colored tubs in sterling heights mi</t>
  </si>
  <si>
    <t>reglaze colors</t>
  </si>
  <si>
    <t>reglaze composite door</t>
  </si>
  <si>
    <t>reglaze concrete countertop</t>
  </si>
  <si>
    <t>reglaze contractor</t>
  </si>
  <si>
    <t>reglaze countertop and sink</t>
  </si>
  <si>
    <t>reglaze countertop sarasota fl</t>
  </si>
  <si>
    <t>reglaze cracked stone bowl</t>
  </si>
  <si>
    <t>reglaze cracked tile</t>
  </si>
  <si>
    <t>reglaze crazed ironstone</t>
  </si>
  <si>
    <t>reglaze cultured marble lavatory you tube</t>
  </si>
  <si>
    <t>reglaze cultured marble tub</t>
  </si>
  <si>
    <t>reglaze cultured marble vanity top</t>
  </si>
  <si>
    <t>reglaze dining room table diy</t>
  </si>
  <si>
    <t>reglaze dinner plates</t>
  </si>
  <si>
    <t>reglaze direct discount code</t>
  </si>
  <si>
    <t>reglaze direct nz</t>
  </si>
  <si>
    <t>reglaze discount code</t>
  </si>
  <si>
    <t>reglaze don't replace</t>
  </si>
  <si>
    <t>reglaze don't replace dc</t>
  </si>
  <si>
    <t>reglaze don't replace site yelp.com</t>
  </si>
  <si>
    <t>reglaze double pane thermal window</t>
  </si>
  <si>
    <t>reglaze double pane windows</t>
  </si>
  <si>
    <t>reglaze double-pane thermal window</t>
  </si>
  <si>
    <t>reglaze double-pane thermal window unit</t>
  </si>
  <si>
    <t>reglaze earthenware sink</t>
  </si>
  <si>
    <t>reglaze enamel bathtub</t>
  </si>
  <si>
    <t>reglaze enamel sink</t>
  </si>
  <si>
    <t>reglaze enamel sink near me</t>
  </si>
  <si>
    <t>reglaze etched glass window</t>
  </si>
  <si>
    <t>reglaze existing glasses</t>
  </si>
  <si>
    <t>reglaze eyeglass frames</t>
  </si>
  <si>
    <t>reglaze eyeglass lens</t>
  </si>
  <si>
    <t>reglaze eyeglasses</t>
  </si>
  <si>
    <t>reglaze farmhouse sink</t>
  </si>
  <si>
    <t>reglaze fiberglass</t>
  </si>
  <si>
    <t>reglaze fiberglass shower base</t>
  </si>
  <si>
    <t>reglaze fiberglass shower pan</t>
  </si>
  <si>
    <t>reglaze fiberglass shower stall</t>
  </si>
  <si>
    <t>reglaze fiberglass shower stall near me</t>
  </si>
  <si>
    <t>reglaze fiberglass tub surround utah</t>
  </si>
  <si>
    <t>reglaze floor bath mat</t>
  </si>
  <si>
    <t>reglaze floor tiles</t>
  </si>
  <si>
    <t>reglaze frames online</t>
  </si>
  <si>
    <t>reglaze frames specsavers</t>
  </si>
  <si>
    <t>reglaze frames uk</t>
  </si>
  <si>
    <t>reglaze french door</t>
  </si>
  <si>
    <t>reglaze fs velux</t>
  </si>
  <si>
    <t>reglaze glass clear windows texture</t>
  </si>
  <si>
    <t>reglaze glass repair</t>
  </si>
  <si>
    <t>reglaze glass tile</t>
  </si>
  <si>
    <t>reglaze glass window</t>
  </si>
  <si>
    <t>reglaze glasses 10</t>
  </si>
  <si>
    <t>reglaze glasses 4u</t>
  </si>
  <si>
    <t>reglaze glasses adelaide</t>
  </si>
  <si>
    <t>reglaze glasses auckland</t>
  </si>
  <si>
    <t>reglaze glasses blue light</t>
  </si>
  <si>
    <t>reglaze glasses brighton</t>
  </si>
  <si>
    <t>reglaze glasses brisbane</t>
  </si>
  <si>
    <t>reglaze glasses bristol</t>
  </si>
  <si>
    <t>reglaze glasses canada</t>
  </si>
  <si>
    <t>reglaze glasses cheapest</t>
  </si>
  <si>
    <t>reglaze glasses cost</t>
  </si>
  <si>
    <t>reglaze glasses darlington</t>
  </si>
  <si>
    <t>reglaze glasses david clulow</t>
  </si>
  <si>
    <t>reglaze glasses direct code</t>
  </si>
  <si>
    <t>reglaze glasses direct coupon</t>
  </si>
  <si>
    <t>reglaze glasses direct discount</t>
  </si>
  <si>
    <t>reglaze glasses direct discount code 2018</t>
  </si>
  <si>
    <t>reglaze glasses direct discount code 2019</t>
  </si>
  <si>
    <t>reglaze glasses direct discount codes</t>
  </si>
  <si>
    <t>reglaze glasses direct ltd reviews</t>
  </si>
  <si>
    <t>reglaze glasses direct near me</t>
  </si>
  <si>
    <t>reglaze glasses direct newsletter</t>
  </si>
  <si>
    <t>reglaze glasses direct nz review</t>
  </si>
  <si>
    <t>reglaze glasses direct promo code</t>
  </si>
  <si>
    <t>reglaze glasses direct trustpilot</t>
  </si>
  <si>
    <t>reglaze glasses direct voucher</t>
  </si>
  <si>
    <t>reglaze glasses direct voucher code</t>
  </si>
  <si>
    <t>reglaze glasses discount code</t>
  </si>
  <si>
    <t>reglaze glasses edinburgh</t>
  </si>
  <si>
    <t>reglaze glasses essilor</t>
  </si>
  <si>
    <t>reglaze glasses exeter</t>
  </si>
  <si>
    <t>reglaze glasses fast</t>
  </si>
  <si>
    <t>reglaze glasses frames uk</t>
  </si>
  <si>
    <t>reglaze glasses glasgow</t>
  </si>
  <si>
    <t>reglaze glasses high street</t>
  </si>
  <si>
    <t>reglaze glasses ireland</t>
  </si>
  <si>
    <t>reglaze glasses leeds</t>
  </si>
  <si>
    <t>reglaze glasses leicester</t>
  </si>
  <si>
    <t>reglaze glasses liverpool</t>
  </si>
  <si>
    <t>reglaze glasses logo</t>
  </si>
  <si>
    <t>reglaze glasses london</t>
  </si>
  <si>
    <t>reglaze glasses melbourne</t>
  </si>
  <si>
    <t>reglaze glasses mse</t>
  </si>
  <si>
    <t>reglaze glasses new zealand</t>
  </si>
  <si>
    <t>reglaze glasses newcastle</t>
  </si>
  <si>
    <t>reglaze glasses nhs voucher</t>
  </si>
  <si>
    <t>reglaze glasses nikon</t>
  </si>
  <si>
    <t>reglaze glasses norwich</t>
  </si>
  <si>
    <t>reglaze glasses nottingham uk</t>
  </si>
  <si>
    <t>reglaze glasses online reviews</t>
  </si>
  <si>
    <t>reglaze glasses online uk</t>
  </si>
  <si>
    <t>reglaze glasses price</t>
  </si>
  <si>
    <t>reglaze glasses reviews</t>
  </si>
  <si>
    <t>reglaze glasses scotland</t>
  </si>
  <si>
    <t>reglaze glasses sunderland</t>
  </si>
  <si>
    <t>reglaze glasses sydney</t>
  </si>
  <si>
    <t>reglaze glasses tesco</t>
  </si>
  <si>
    <t>reglaze glasses toronto</t>
  </si>
  <si>
    <t>reglaze glasses uk cheap</t>
  </si>
  <si>
    <t>reglaze glasses uk reviews</t>
  </si>
  <si>
    <t>reglaze glasses usa</t>
  </si>
  <si>
    <t>reglaze glasses watford</t>
  </si>
  <si>
    <t>reglaze glasses widnes</t>
  </si>
  <si>
    <t>reglaze glasses with zeiss lenses</t>
  </si>
  <si>
    <t>reglaze gorell sash</t>
  </si>
  <si>
    <t>reglaze granite top</t>
  </si>
  <si>
    <t>reglaze hardwood floors</t>
  </si>
  <si>
    <t>reglaze harvest gold sink</t>
  </si>
  <si>
    <t>reglaze hot tub</t>
  </si>
  <si>
    <t>reglaze hotel tub</t>
  </si>
  <si>
    <t>reglaze hoya lenses online</t>
  </si>
  <si>
    <t>reglaze in philadelphia</t>
  </si>
  <si>
    <t>reglaze interior french door</t>
  </si>
  <si>
    <t>reglaze iolla</t>
  </si>
  <si>
    <t>reglaze is textured</t>
  </si>
  <si>
    <t>reglaze it now refinishing services</t>
  </si>
  <si>
    <t>reglaze j 1966 easy salvation insight press</t>
  </si>
  <si>
    <t>reglaze jacuzzin amiga 72x36</t>
  </si>
  <si>
    <t>reglaze kit</t>
  </si>
  <si>
    <t>reglaze kitchen</t>
  </si>
  <si>
    <t>reglaze kitchen cabinets</t>
  </si>
  <si>
    <t>reglaze kitchen cabinets boca raton</t>
  </si>
  <si>
    <t>reglaze kitchen cabinets deerfield beach</t>
  </si>
  <si>
    <t>reglaze kitchen cabinets delray beach</t>
  </si>
  <si>
    <t>reglaze kitchen cabinets fort lauderdale</t>
  </si>
  <si>
    <t>reglaze kitchen cabinets margate</t>
  </si>
  <si>
    <t>reglaze kitchen cabinets south florida</t>
  </si>
  <si>
    <t>reglaze kitchen cabinets west palm beach</t>
  </si>
  <si>
    <t>reglaze kitchen counter</t>
  </si>
  <si>
    <t>reglaze kitchen countertop boca raton</t>
  </si>
  <si>
    <t>reglaze kitchen countertop deerfield beach</t>
  </si>
  <si>
    <t>reglaze kitchen countertop delray beach</t>
  </si>
  <si>
    <t>reglaze kitchen countertop fort lauderdale</t>
  </si>
  <si>
    <t>reglaze kitchen countertop margate</t>
  </si>
  <si>
    <t>reglaze kitchen countertop south florida</t>
  </si>
  <si>
    <t>reglaze kitchen countertop west palm beach</t>
  </si>
  <si>
    <t>reglaze kitchen sink homewyse</t>
  </si>
  <si>
    <t>reglaze kitchen tile</t>
  </si>
  <si>
    <t>reglaze kohler sink</t>
  </si>
  <si>
    <t>reglaze leaded glass windows</t>
  </si>
  <si>
    <t>reglaze leather</t>
  </si>
  <si>
    <t>reglaze lenses canada</t>
  </si>
  <si>
    <t>reglaze lenses online</t>
  </si>
  <si>
    <t>reglaze lenses specsavers</t>
  </si>
  <si>
    <t>reglaze lenses sunglasses</t>
  </si>
  <si>
    <t>reglaze lindberg frames</t>
  </si>
  <si>
    <t>reglaze marble countertop</t>
  </si>
  <si>
    <t>reglaze marble countertop hampton bays</t>
  </si>
  <si>
    <t>reglaze marble sink</t>
  </si>
  <si>
    <t>reglaze marvin wood windows</t>
  </si>
  <si>
    <t>reglaze meaning glasses</t>
  </si>
  <si>
    <t>reglaze meaning in hindi</t>
  </si>
  <si>
    <t>reglaze metal</t>
  </si>
  <si>
    <t>reglaze metal tub cost</t>
  </si>
  <si>
    <t>reglaze mirror</t>
  </si>
  <si>
    <t>reglaze mirror sunglasses</t>
  </si>
  <si>
    <t>reglaze my frame</t>
  </si>
  <si>
    <t>reglaze my frames</t>
  </si>
  <si>
    <t>reglaze my frames london</t>
  </si>
  <si>
    <t>reglaze my glasses address</t>
  </si>
  <si>
    <t>reglaze my glasses boots</t>
  </si>
  <si>
    <t>reglaze my glasses cheap</t>
  </si>
  <si>
    <t>reglaze my glasses code</t>
  </si>
  <si>
    <t>reglaze my glasses contact</t>
  </si>
  <si>
    <t>reglaze my glasses contact number</t>
  </si>
  <si>
    <t>reglaze my glasses discount code</t>
  </si>
  <si>
    <t>reglaze my glasses dispute</t>
  </si>
  <si>
    <t>reglaze my glasses frames</t>
  </si>
  <si>
    <t>reglaze my glasses ireland</t>
  </si>
  <si>
    <t>reglaze my glasses manchester</t>
  </si>
  <si>
    <t>reglaze my glasses money saving expert</t>
  </si>
  <si>
    <t>reglaze my glasses nottingham</t>
  </si>
  <si>
    <t>reglaze my glasses nottingham uk</t>
  </si>
  <si>
    <t>reglaze my glasses offer code</t>
  </si>
  <si>
    <t>reglaze my glasses pinner</t>
  </si>
  <si>
    <t>reglaze my glasses prices</t>
  </si>
  <si>
    <t>reglaze my glasses promo code</t>
  </si>
  <si>
    <t>reglaze my glasses quote</t>
  </si>
  <si>
    <t>reglaze my glasses review</t>
  </si>
  <si>
    <t>reglaze my glasses reviews</t>
  </si>
  <si>
    <t>reglaze my glasses specsavers</t>
  </si>
  <si>
    <t>reglaze my glasses telephone number</t>
  </si>
  <si>
    <t>reglaze my glasses trustpilot</t>
  </si>
  <si>
    <t>reglaze my glasses vision express</t>
  </si>
  <si>
    <t>reglaze my glasses voucher</t>
  </si>
  <si>
    <t>reglaze my glasses voucher code</t>
  </si>
  <si>
    <t>reglaze my kitchen sink</t>
  </si>
  <si>
    <t>reglaze my prescription sunglasses</t>
  </si>
  <si>
    <t>reglaze my rimless glasses</t>
  </si>
  <si>
    <t>reglaze my specs discount code</t>
  </si>
  <si>
    <t>reglaze my spex discount code</t>
  </si>
  <si>
    <t>reglaze my spex reviews</t>
  </si>
  <si>
    <t>reglaze my sunglasses uk</t>
  </si>
  <si>
    <t>reglaze my varifocal glasses</t>
  </si>
  <si>
    <t>reglaze natural stone floor tiles</t>
  </si>
  <si>
    <t>reglaze natural stone tiles</t>
  </si>
  <si>
    <t>reglaze near me</t>
  </si>
  <si>
    <t>reglaze new york</t>
  </si>
  <si>
    <t>reglaze new york $5 m coi</t>
  </si>
  <si>
    <t>reglaze new york $5 m insurance</t>
  </si>
  <si>
    <t>reglaze non prescription glasses</t>
  </si>
  <si>
    <t>reglaze non prescription sunglasses</t>
  </si>
  <si>
    <t>reglaze nz</t>
  </si>
  <si>
    <t>reglaze oak cabinets</t>
  </si>
  <si>
    <t>reglaze oakley</t>
  </si>
  <si>
    <t>reglaze oakley frames</t>
  </si>
  <si>
    <t>reglaze oakley sunglasses</t>
  </si>
  <si>
    <t>reglaze of bathtub and wall tile</t>
  </si>
  <si>
    <t>reglaze old appliances</t>
  </si>
  <si>
    <t>reglaze old appliances louisiana</t>
  </si>
  <si>
    <t>reglaze old bathtub</t>
  </si>
  <si>
    <t>reglaze old bathtub goodview va</t>
  </si>
  <si>
    <t>reglaze old frames</t>
  </si>
  <si>
    <t>reglaze old metal window frame</t>
  </si>
  <si>
    <t>reglaze old porcelain sink</t>
  </si>
  <si>
    <t>reglaze old sinks</t>
  </si>
  <si>
    <t>reglaze old window sash</t>
  </si>
  <si>
    <t>reglaze old windows</t>
  </si>
  <si>
    <t>reglaze online</t>
  </si>
  <si>
    <t>reglaze opticians</t>
  </si>
  <si>
    <t>reglaze or buff tub</t>
  </si>
  <si>
    <t>reglaze or re-glaze</t>
  </si>
  <si>
    <t>reglaze or replace prefab shower</t>
  </si>
  <si>
    <t>reglaze or replace window</t>
  </si>
  <si>
    <t>reglaze or replace windows</t>
  </si>
  <si>
    <t>reglaze or tub liner</t>
  </si>
  <si>
    <t>reglaze over a patch</t>
  </si>
  <si>
    <t>reglaze own frames</t>
  </si>
  <si>
    <t>reglaze paint</t>
  </si>
  <si>
    <t>reglaze patio</t>
  </si>
  <si>
    <t>reglaze patio door</t>
  </si>
  <si>
    <t>reglaze pella sliding patio door</t>
  </si>
  <si>
    <t>reglaze photochromic glasses</t>
  </si>
  <si>
    <t>reglaze picture window</t>
  </si>
  <si>
    <t>reglaze plastic bath sink</t>
  </si>
  <si>
    <t>reglaze plate</t>
  </si>
  <si>
    <t>reglaze plates</t>
  </si>
  <si>
    <t>reglaze pool tile</t>
  </si>
  <si>
    <t>reglaze porcelain bathtub is it worth it</t>
  </si>
  <si>
    <t>reglaze porcelain floor tiles</t>
  </si>
  <si>
    <t>reglaze porcelain tile</t>
  </si>
  <si>
    <t>reglaze pot</t>
  </si>
  <si>
    <t>reglaze prescription glasses uk</t>
  </si>
  <si>
    <t>reglaze prescription sunglasses uk</t>
  </si>
  <si>
    <t>reglaze pro sarasota</t>
  </si>
  <si>
    <t>reglaze pros reviews</t>
  </si>
  <si>
    <t>reglaze python bag</t>
  </si>
  <si>
    <t>reglaze raku</t>
  </si>
  <si>
    <t>reglaze ray ban prescription sunglasses</t>
  </si>
  <si>
    <t>reglaze reactive lenses</t>
  </si>
  <si>
    <t>reglaze refire pottery</t>
  </si>
  <si>
    <t>reglaze residential windows</t>
  </si>
  <si>
    <t>reglaze rimless frames</t>
  </si>
  <si>
    <t>reglaze rimless glasses uk</t>
  </si>
  <si>
    <t>reglaze roblox</t>
  </si>
  <si>
    <t>reglaze sash window</t>
  </si>
  <si>
    <t>reglaze scratched leather</t>
  </si>
  <si>
    <t>reglaze seattle</t>
  </si>
  <si>
    <t>reglaze shell cordovan</t>
  </si>
  <si>
    <t>reglaze shower base</t>
  </si>
  <si>
    <t>reglaze shower door</t>
  </si>
  <si>
    <t>reglaze shower floor</t>
  </si>
  <si>
    <t>reglaze shower glass</t>
  </si>
  <si>
    <t>reglaze shower insert</t>
  </si>
  <si>
    <t>reglaze shower near me</t>
  </si>
  <si>
    <t>reglaze shower screen</t>
  </si>
  <si>
    <t>reglaze shower tile diy</t>
  </si>
  <si>
    <t>reglaze shower tub cost</t>
  </si>
  <si>
    <t>reglaze sides of louis vuitton pochette</t>
  </si>
  <si>
    <t>reglaze silhouette glasses</t>
  </si>
  <si>
    <t>reglaze single pane windows</t>
  </si>
  <si>
    <t>reglaze sink cambridge ma</t>
  </si>
  <si>
    <t>reglaze sink homewyse</t>
  </si>
  <si>
    <t>reglaze sink los angeles</t>
  </si>
  <si>
    <t>reglaze sink orange county</t>
  </si>
  <si>
    <t>reglaze sink paint</t>
  </si>
  <si>
    <t>reglaze sink potholes</t>
  </si>
  <si>
    <t>reglaze sink sheridan wy</t>
  </si>
  <si>
    <t>reglaze sink uk</t>
  </si>
  <si>
    <t>reglaze sink venice fl</t>
  </si>
  <si>
    <t>reglaze skylights</t>
  </si>
  <si>
    <t>reglaze sliding glass window</t>
  </si>
  <si>
    <t>reglaze smell</t>
  </si>
  <si>
    <t>reglaze smile</t>
  </si>
  <si>
    <t>reglaze snakeskin bag</t>
  </si>
  <si>
    <t>reglaze soap dispencer in bathtub</t>
  </si>
  <si>
    <t>reglaze specialist coach &amp;amp</t>
  </si>
  <si>
    <t>reglaze specsavers</t>
  </si>
  <si>
    <t>reglaze specsavers lenses</t>
  </si>
  <si>
    <t>reglaze spectacles</t>
  </si>
  <si>
    <t>reglaze spectacles newcastle</t>
  </si>
  <si>
    <t>reglaze spectacles online</t>
  </si>
  <si>
    <t>reglaze steel bathtub</t>
  </si>
  <si>
    <t>reglaze steel tub</t>
  </si>
  <si>
    <t>reglaze storm window</t>
  </si>
  <si>
    <t>reglaze sunglasses lenses</t>
  </si>
  <si>
    <t>reglaze sunglasses london</t>
  </si>
  <si>
    <t>reglaze sunglasses nz</t>
  </si>
  <si>
    <t>reglaze tech</t>
  </si>
  <si>
    <t>reglaze teflon pan</t>
  </si>
  <si>
    <t>reglaze thin lenses</t>
  </si>
  <si>
    <t>reglaze tile backsplash</t>
  </si>
  <si>
    <t>reglaze tile borders</t>
  </si>
  <si>
    <t>reglaze tile change color</t>
  </si>
  <si>
    <t>reglaze tile chipping</t>
  </si>
  <si>
    <t>reglaze tile companies near me</t>
  </si>
  <si>
    <t>reglaze tile diy</t>
  </si>
  <si>
    <t>reglaze tile epoxy</t>
  </si>
  <si>
    <t>reglaze tile floor cost</t>
  </si>
  <si>
    <t>reglaze tile flooring</t>
  </si>
  <si>
    <t>reglaze tile gray</t>
  </si>
  <si>
    <t>reglaze tile gray kitchen</t>
  </si>
  <si>
    <t>reglaze tile grout</t>
  </si>
  <si>
    <t>reglaze tile nyc</t>
  </si>
  <si>
    <t>reglaze tile on big island</t>
  </si>
  <si>
    <t>reglaze tile quotes</t>
  </si>
  <si>
    <t>reglaze tile richmond</t>
  </si>
  <si>
    <t>reglaze tile shower floor slippery</t>
  </si>
  <si>
    <t>reglaze tile white</t>
  </si>
  <si>
    <t>reglaze tiles and tub</t>
  </si>
  <si>
    <t>reglaze tiles bathroom</t>
  </si>
  <si>
    <t>reglaze tiles for bathroom</t>
  </si>
  <si>
    <t>reglaze tiles nz</t>
  </si>
  <si>
    <t>reglaze tinted lenses</t>
  </si>
  <si>
    <t>reglaze toilet lid</t>
  </si>
  <si>
    <t>reglaze toilet seat</t>
  </si>
  <si>
    <t>reglaze toilet tank lid</t>
  </si>
  <si>
    <t>reglaze toilet yelp</t>
  </si>
  <si>
    <t>reglaze toilet yelp san diego</t>
  </si>
  <si>
    <t>reglaze toulet bowl</t>
  </si>
  <si>
    <t>reglaze transition lenses</t>
  </si>
  <si>
    <t>reglaze tub 2019</t>
  </si>
  <si>
    <t>reglaze tub 21842</t>
  </si>
  <si>
    <t>reglaze tub and change color</t>
  </si>
  <si>
    <t>reglaze tub and shower</t>
  </si>
  <si>
    <t>reglaze tub and tile 06472</t>
  </si>
  <si>
    <t>reglaze tub and tile tampa fl</t>
  </si>
  <si>
    <t>reglaze tub baltimore</t>
  </si>
  <si>
    <t>reglaze tub beaverton</t>
  </si>
  <si>
    <t>reglaze tub before selling</t>
  </si>
  <si>
    <t>reglaze tub calgary</t>
  </si>
  <si>
    <t>reglaze tub colorado springs</t>
  </si>
  <si>
    <t>reglaze tub colors</t>
  </si>
  <si>
    <t>reglaze tub companies in richmond va</t>
  </si>
  <si>
    <t>reglaze tub costs</t>
  </si>
  <si>
    <t>reglaze tub denver</t>
  </si>
  <si>
    <t>reglaze tub different color</t>
  </si>
  <si>
    <t>reglaze tub edmonton</t>
  </si>
  <si>
    <t>reglaze tub home depot</t>
  </si>
  <si>
    <t>reglaze tub homewyse</t>
  </si>
  <si>
    <t>reglaze tub how many times can you</t>
  </si>
  <si>
    <t>reglaze tub hudson florida</t>
  </si>
  <si>
    <t>reglaze tub in spanish</t>
  </si>
  <si>
    <t>reglaze tub in york pa</t>
  </si>
  <si>
    <t>reglaze tub instructions for tenants</t>
  </si>
  <si>
    <t>reglaze tub las vegas</t>
  </si>
  <si>
    <t>reglaze tub lead</t>
  </si>
  <si>
    <t>reglaze tub los angeles</t>
  </si>
  <si>
    <t>reglaze tub maine</t>
  </si>
  <si>
    <t>reglaze tub milwaukee</t>
  </si>
  <si>
    <t>reglaze tub near wareham mass</t>
  </si>
  <si>
    <t>reglaze tub nevada county ca</t>
  </si>
  <si>
    <t>reglaze tub new orleans</t>
  </si>
  <si>
    <t>reglaze tub newport news va</t>
  </si>
  <si>
    <t>reglaze tub nj</t>
  </si>
  <si>
    <t>reglaze tub or liner</t>
  </si>
  <si>
    <t>reglaze tub price</t>
  </si>
  <si>
    <t>reglaze tub remove old drain to g</t>
  </si>
  <si>
    <t>reglaze tub richmond</t>
  </si>
  <si>
    <t>reglaze tub richmond va</t>
  </si>
  <si>
    <t>reglaze tub sample</t>
  </si>
  <si>
    <t>reglaze tub sanple</t>
  </si>
  <si>
    <t>reglaze tub site groupon.com</t>
  </si>
  <si>
    <t>reglaze tub st louis</t>
  </si>
  <si>
    <t>reglaze tub surround</t>
  </si>
  <si>
    <t>reglaze tub tampa</t>
  </si>
  <si>
    <t>reglaze tub this old house</t>
  </si>
  <si>
    <t>reglaze tub tile</t>
  </si>
  <si>
    <t>reglaze tub tucson</t>
  </si>
  <si>
    <t>reglaze tub tulsa</t>
  </si>
  <si>
    <t>reglaze tub utah</t>
  </si>
  <si>
    <t>reglaze tub waldorf md</t>
  </si>
  <si>
    <t>reglaze tub wichita ks</t>
  </si>
  <si>
    <t>reglaze tub zip 23462</t>
  </si>
  <si>
    <t>reglaze tube</t>
  </si>
  <si>
    <t>reglaze tubs near me</t>
  </si>
  <si>
    <t>reglaze varifocal glasses</t>
  </si>
  <si>
    <t>reglaze varifocal spectacles</t>
  </si>
  <si>
    <t>reglaze vintage sink</t>
  </si>
  <si>
    <t>reglaze vinyl window with laminated glass</t>
  </si>
  <si>
    <t>reglaze vinyl window with laminated glass cincinnati</t>
  </si>
  <si>
    <t>reglaze vs new tub</t>
  </si>
  <si>
    <t>reglaze vs recast tub</t>
  </si>
  <si>
    <t>reglaze walkin shower 19348</t>
  </si>
  <si>
    <t>reglaze wall tile</t>
  </si>
  <si>
    <t>reglaze wall tile new color</t>
  </si>
  <si>
    <t>reglaze white kitchen sink</t>
  </si>
  <si>
    <t>reglaze wibdows</t>
  </si>
  <si>
    <t>reglaze window and installations</t>
  </si>
  <si>
    <t>reglaze window bottom</t>
  </si>
  <si>
    <t>reglaze window home depot</t>
  </si>
  <si>
    <t>reglaze window homewyse</t>
  </si>
  <si>
    <t>reglaze window in place</t>
  </si>
  <si>
    <t>reglaze window kansas city</t>
  </si>
  <si>
    <t>reglaze window near me</t>
  </si>
  <si>
    <t>reglaze window remove</t>
  </si>
  <si>
    <t>reglaze window with laminated glass</t>
  </si>
  <si>
    <t>reglaze window with silicone</t>
  </si>
  <si>
    <t>reglaze windows bid</t>
  </si>
  <si>
    <t>reglaze windows chicago</t>
  </si>
  <si>
    <t>reglaze windows cost</t>
  </si>
  <si>
    <t>reglaze windows definition</t>
  </si>
  <si>
    <t>reglaze windows in place</t>
  </si>
  <si>
    <t>reglaze windows kansas city</t>
  </si>
  <si>
    <t>reglaze windows ltd</t>
  </si>
  <si>
    <t>reglaze windows ltd luton</t>
  </si>
  <si>
    <t>reglaze windows luton</t>
  </si>
  <si>
    <t>reglaze windows meaning</t>
  </si>
  <si>
    <t>reglaze windows michigan</t>
  </si>
  <si>
    <t>reglaze windows montclair nj</t>
  </si>
  <si>
    <t>reglaze windows with caulk</t>
  </si>
  <si>
    <t>reglaze wood windows prime in rabbet</t>
  </si>
  <si>
    <t>reglaze wood windows prime in ribbet</t>
  </si>
  <si>
    <t>reglaze wood windows video</t>
  </si>
  <si>
    <t>reglaze your existing glasses</t>
  </si>
  <si>
    <t>reglaze your frames</t>
  </si>
  <si>
    <t>reglaze your glasses london</t>
  </si>
  <si>
    <t>reglaze your glasses near me</t>
  </si>
  <si>
    <t>reglaze your lenses</t>
  </si>
  <si>
    <t>reglaze your own bathtub</t>
  </si>
  <si>
    <t>reglaze your own glasses</t>
  </si>
  <si>
    <t>reglaze your tub in hawaii</t>
  </si>
  <si>
    <t>reglaze your tub yourself</t>
  </si>
  <si>
    <t>reglaze zeiss lenses</t>
  </si>
  <si>
    <t>reglaze+my+glasses</t>
  </si>
  <si>
    <t>reglaze+tub+middletown+nj</t>
  </si>
  <si>
    <t>reglaze+tub+ocean+county+nj</t>
  </si>
  <si>
    <t>reglaze-glasses-direct.com</t>
  </si>
  <si>
    <t>reglaze-glasses-direct.com discount code</t>
  </si>
  <si>
    <t>reglaze.bathrub kit</t>
  </si>
  <si>
    <t>reglaze_tech instagram</t>
  </si>
  <si>
    <t>reglaze_tech.com</t>
  </si>
  <si>
    <t>reglazed annealled glass on french door</t>
  </si>
  <si>
    <t>reglazed bath mat</t>
  </si>
  <si>
    <t>reglazed bathroom floor tile black</t>
  </si>
  <si>
    <t>reglazed bathroom tile before and after</t>
  </si>
  <si>
    <t>reglazed bathrub</t>
  </si>
  <si>
    <t>reglazed bathtub before and after</t>
  </si>
  <si>
    <t>reglazed bathtub care magnet</t>
  </si>
  <si>
    <t>reglazed bathtub care magnet shower curtain</t>
  </si>
  <si>
    <t>reglazed bathtub care magnetic</t>
  </si>
  <si>
    <t>reglazed bathtub chipping</t>
  </si>
  <si>
    <t>reglazed bathtub cleaner</t>
  </si>
  <si>
    <t>reglazed bathtub feels grainy to the touch</t>
  </si>
  <si>
    <t>reglazed bathtub issues</t>
  </si>
  <si>
    <t>reglazed bathtub maintenance</t>
  </si>
  <si>
    <t>reglazed bathtub mat</t>
  </si>
  <si>
    <t>reglazed bathtub pictures</t>
  </si>
  <si>
    <t>reglazed bathtyub</t>
  </si>
  <si>
    <t>reglazed cast iron</t>
  </si>
  <si>
    <t>reglazed countertop</t>
  </si>
  <si>
    <t>reglazed countertops tampa fl</t>
  </si>
  <si>
    <t>reglazed glasses</t>
  </si>
  <si>
    <t>reglazed old tiles before after</t>
  </si>
  <si>
    <t>reglazed porcelain last</t>
  </si>
  <si>
    <t>reglazed python bag</t>
  </si>
  <si>
    <t>reglazed sink</t>
  </si>
  <si>
    <t>reglazed tile bathroom</t>
  </si>
  <si>
    <t>reglazed tile images</t>
  </si>
  <si>
    <t>reglazed tile scrubbing bubbles</t>
  </si>
  <si>
    <t>reglazed tile touch up</t>
  </si>
  <si>
    <t>reglazed to a single lite</t>
  </si>
  <si>
    <t>reglazed tub cleaner</t>
  </si>
  <si>
    <t>reglazed tub cleaning bathwraps</t>
  </si>
  <si>
    <t>reglazed tub durability review</t>
  </si>
  <si>
    <t>reglazed tub feels like rough</t>
  </si>
  <si>
    <t>reglazed tub feels like sand papper</t>
  </si>
  <si>
    <t>reglazed tub feels like sandpaper</t>
  </si>
  <si>
    <t>reglazed tub floor grips</t>
  </si>
  <si>
    <t>reglazed tub mat</t>
  </si>
  <si>
    <t>reglazed tub mats</t>
  </si>
  <si>
    <t>reglazed tub peeling around drain</t>
  </si>
  <si>
    <t>reglazed tub red</t>
  </si>
  <si>
    <t>reglazed tub red undereline</t>
  </si>
  <si>
    <t>reglazed tub red underline</t>
  </si>
  <si>
    <t>reglazed tub red underneath</t>
  </si>
  <si>
    <t>reglazed tub scratching</t>
  </si>
  <si>
    <t>reglazed tub slippery</t>
  </si>
  <si>
    <t>reglazed tub slippery floor</t>
  </si>
  <si>
    <t>reglazed tube</t>
  </si>
  <si>
    <t>reglazed tubs johnston ri</t>
  </si>
  <si>
    <t>reglazed window</t>
  </si>
  <si>
    <t>reglazed windows</t>
  </si>
  <si>
    <t>reglazeed</t>
  </si>
  <si>
    <t>reglazeing scv ca</t>
  </si>
  <si>
    <t>reglazer clay how to</t>
  </si>
  <si>
    <t>reglazer dictionary</t>
  </si>
  <si>
    <t>reglazers brentwood ca</t>
  </si>
  <si>
    <t>reglazers in my area</t>
  </si>
  <si>
    <t>reglazes</t>
  </si>
  <si>
    <t>reglazes auckland</t>
  </si>
  <si>
    <t>reglazing 19083</t>
  </si>
  <si>
    <t>reglazing 34209</t>
  </si>
  <si>
    <t>reglazing 34209 yelp</t>
  </si>
  <si>
    <t>reglazing 400 series andersen window</t>
  </si>
  <si>
    <t>reglazing 50s tile</t>
  </si>
  <si>
    <t>reglazing a 1950s style of window 12 x 36</t>
  </si>
  <si>
    <t>reglazing a bathroom sink</t>
  </si>
  <si>
    <t>reglazing a bathroom tub</t>
  </si>
  <si>
    <t>reglazing a bathroom vanity</t>
  </si>
  <si>
    <t>reglazing a bathtub 49446</t>
  </si>
  <si>
    <t>reglazing a bathtub and tile</t>
  </si>
  <si>
    <t>reglazing a bathtub and tile cost for professional job</t>
  </si>
  <si>
    <t>reglazing a bathtub site youtube.com</t>
  </si>
  <si>
    <t>reglazing a bathtub toronto</t>
  </si>
  <si>
    <t>reglazing a belfast sink</t>
  </si>
  <si>
    <t>reglazing a bowl</t>
  </si>
  <si>
    <t>reglazing a broken window</t>
  </si>
  <si>
    <t>reglazing a cast iron bathtub</t>
  </si>
  <si>
    <t>reglazing a ceramic sink</t>
  </si>
  <si>
    <t>reglazing a chipped cast iron tub</t>
  </si>
  <si>
    <t>reglazing a conservatory</t>
  </si>
  <si>
    <t>reglazing a cracked bowl</t>
  </si>
  <si>
    <t>reglazing a crock</t>
  </si>
  <si>
    <t>reglazing a farmhouse sink</t>
  </si>
  <si>
    <t>reglazing a fiberglass bathtub</t>
  </si>
  <si>
    <t>reglazing a fiberglass shower</t>
  </si>
  <si>
    <t>reglazing a formica top</t>
  </si>
  <si>
    <t>reglazing a full sash pane</t>
  </si>
  <si>
    <t>reglazing a garden tub</t>
  </si>
  <si>
    <t>reglazing a glazed pot</t>
  </si>
  <si>
    <t>reglazing a kitchen table</t>
  </si>
  <si>
    <t>reglazing a metal window</t>
  </si>
  <si>
    <t>reglazing a mirror</t>
  </si>
  <si>
    <t>reglazing a mobile home door</t>
  </si>
  <si>
    <t>reglazing a mobile home door window</t>
  </si>
  <si>
    <t>reglazing a one-light sash</t>
  </si>
  <si>
    <t>reglazing a sash window</t>
  </si>
  <si>
    <t>reglazing a sash with only one light</t>
  </si>
  <si>
    <t>reglazing a sash with only one pane</t>
  </si>
  <si>
    <t>reglazing a shower stall</t>
  </si>
  <si>
    <t>reglazing a sink cost</t>
  </si>
  <si>
    <t>reglazing a sink in huntington beach</t>
  </si>
  <si>
    <t>reglazing a sink near me</t>
  </si>
  <si>
    <t>reglazing a stain glass door</t>
  </si>
  <si>
    <t>reglazing a stained glass door</t>
  </si>
  <si>
    <t>reglazing a steel tub</t>
  </si>
  <si>
    <t>reglazing a toilet bowl</t>
  </si>
  <si>
    <t>reglazing a tub brush or spray</t>
  </si>
  <si>
    <t>reglazing a tub calgary</t>
  </si>
  <si>
    <t>reglazing a tub in rockville maryland</t>
  </si>
  <si>
    <t>reglazing a tub ottawa</t>
  </si>
  <si>
    <t>reglazing a tub reviews</t>
  </si>
  <si>
    <t>reglazing a tub rockville</t>
  </si>
  <si>
    <t>reglazing a tub springfield va</t>
  </si>
  <si>
    <t>reglazing a tub surround</t>
  </si>
  <si>
    <t>reglazing a velux window</t>
  </si>
  <si>
    <t>reglazing a vinyl window</t>
  </si>
  <si>
    <t>reglazing a vinyl window sash</t>
  </si>
  <si>
    <t>reglazing a window cost</t>
  </si>
  <si>
    <t>reglazing a window video</t>
  </si>
  <si>
    <t>reglazing a window with a caulk gun</t>
  </si>
  <si>
    <t>reglazing a window youtube</t>
  </si>
  <si>
    <t>reglazing a wooden window</t>
  </si>
  <si>
    <t>reglazing acrylic shower</t>
  </si>
  <si>
    <t>reglazing acrylic showers</t>
  </si>
  <si>
    <t>reglazing acrylic tub</t>
  </si>
  <si>
    <t>reglazing aluminum framed windows</t>
  </si>
  <si>
    <t>reglazing an acrylic tub</t>
  </si>
  <si>
    <t>reglazing an old bathtub</t>
  </si>
  <si>
    <t>reglazing and fixing old wood windows</t>
  </si>
  <si>
    <t>reglazing and rebuilding old windows</t>
  </si>
  <si>
    <t>reglazing and refiring pottery</t>
  </si>
  <si>
    <t>reglazing and restore san bernardino ca</t>
  </si>
  <si>
    <t>reglazing and resurfacing tub</t>
  </si>
  <si>
    <t>reglazing andersen circle top windows</t>
  </si>
  <si>
    <t>reglazing andersen windows</t>
  </si>
  <si>
    <t>reglazing anderson bow window</t>
  </si>
  <si>
    <t>reglazing antique sink</t>
  </si>
  <si>
    <t>reglazing auckland</t>
  </si>
  <si>
    <t>reglazing bath</t>
  </si>
  <si>
    <t>reglazing bath adelaide</t>
  </si>
  <si>
    <t>reglazing bath tile</t>
  </si>
  <si>
    <t>reglazing bathroom before and after</t>
  </si>
  <si>
    <t>reglazing bathroom countertop</t>
  </si>
  <si>
    <t>reglazing bathroom countertop before and after</t>
  </si>
  <si>
    <t>reglazing bathroom countertops</t>
  </si>
  <si>
    <t>reglazing bathroom fixtures</t>
  </si>
  <si>
    <t>reglazing bathroom glossy white</t>
  </si>
  <si>
    <t>reglazing bathroom shower tiles</t>
  </si>
  <si>
    <t>reglazing bathroom sink near me</t>
  </si>
  <si>
    <t>reglazing bathroom tile atlanta</t>
  </si>
  <si>
    <t>reglazing bathroom tile colors</t>
  </si>
  <si>
    <t>reglazing bathroom tile companies near me</t>
  </si>
  <si>
    <t>reglazing bathroom tile detroit</t>
  </si>
  <si>
    <t>reglazing bathroom tile home depot</t>
  </si>
  <si>
    <t>reglazing bathroom tile michigan</t>
  </si>
  <si>
    <t>reglazing bathroom tile near ridley</t>
  </si>
  <si>
    <t>reglazing bathroom tile nyc</t>
  </si>
  <si>
    <t>reglazing bathroom tile reviews</t>
  </si>
  <si>
    <t>reglazing bathroom tile san diego</t>
  </si>
  <si>
    <t>reglazing bathroom tile spray 19008</t>
  </si>
  <si>
    <t>reglazing bathroom tiles do yourself</t>
  </si>
  <si>
    <t>reglazing bathroom tiles in a different color</t>
  </si>
  <si>
    <t>reglazing bathroom tiles nyc</t>
  </si>
  <si>
    <t>reglazing bathroom tiles sydney</t>
  </si>
  <si>
    <t>reglazing bathroom tub and tiles</t>
  </si>
  <si>
    <t>reglazing bathroom tubs</t>
  </si>
  <si>
    <t>reglazing bathroom vs new tile</t>
  </si>
  <si>
    <t>reglazing bathrooms</t>
  </si>
  <si>
    <t>reglazing bathrooms near norristown pa</t>
  </si>
  <si>
    <t>reglazing bathrub</t>
  </si>
  <si>
    <t>reglazing bathtub 28675</t>
  </si>
  <si>
    <t>reglazing bathtub albany ny</t>
  </si>
  <si>
    <t>reglazing bathtub and cabinets</t>
  </si>
  <si>
    <t>reglazing bathtub and replacing cost</t>
  </si>
  <si>
    <t>reglazing bathtub and tile naperville</t>
  </si>
  <si>
    <t>reglazing bathtub and tile raleigh nc</t>
  </si>
  <si>
    <t>reglazing bathtub burbank</t>
  </si>
  <si>
    <t>reglazing bathtub cincinnati</t>
  </si>
  <si>
    <t>reglazing bathtub cleveland ohio</t>
  </si>
  <si>
    <t>reglazing bathtub cobleskill ny</t>
  </si>
  <si>
    <t>reglazing bathtub cost edmonton</t>
  </si>
  <si>
    <t>reglazing bathtub cost toronto</t>
  </si>
  <si>
    <t>reglazing bathtub costs in evansville in</t>
  </si>
  <si>
    <t>reglazing bathtub diy</t>
  </si>
  <si>
    <t>reglazing bathtub effects</t>
  </si>
  <si>
    <t>reglazing bathtub flushing ny</t>
  </si>
  <si>
    <t>reglazing bathtub how to</t>
  </si>
  <si>
    <t>reglazing bathtub in nj</t>
  </si>
  <si>
    <t>reglazing bathtub indianapolis</t>
  </si>
  <si>
    <t>reglazing bathtub long island</t>
  </si>
  <si>
    <t>reglazing bathtub nj</t>
  </si>
  <si>
    <t>reglazing bathtub paint</t>
  </si>
  <si>
    <t>reglazing bathtub philadelphia</t>
  </si>
  <si>
    <t>reglazing bathtub portland</t>
  </si>
  <si>
    <t>reglazing bathtub poughkeepsie</t>
  </si>
  <si>
    <t>reglazing bathtub process</t>
  </si>
  <si>
    <t>reglazing bathtub raleigh</t>
  </si>
  <si>
    <t>reglazing bathtub reddit</t>
  </si>
  <si>
    <t>reglazing bathtub rockville</t>
  </si>
  <si>
    <t>reglazing bathtub san diego</t>
  </si>
  <si>
    <t>reglazing bathtub time</t>
  </si>
  <si>
    <t>reglazing bathtub walls impact on longevity</t>
  </si>
  <si>
    <t>reglazing bathtub yourself</t>
  </si>
  <si>
    <t>reglazing bathtub youtube</t>
  </si>
  <si>
    <t>reglazing bathtub Ê∏ÖÊΩî</t>
  </si>
  <si>
    <t>reglazing bathtubs diy</t>
  </si>
  <si>
    <t>reglazing bathtubs home depot</t>
  </si>
  <si>
    <t>reglazing bathtubs in clearwater</t>
  </si>
  <si>
    <t>reglazing bathtubs in richmond va</t>
  </si>
  <si>
    <t>reglazing bathtubs manchester township nj</t>
  </si>
  <si>
    <t>reglazing bathtubs monmouth county nj</t>
  </si>
  <si>
    <t>reglazing bathtubs nyc</t>
  </si>
  <si>
    <t>reglazing bathtubs toms river nj</t>
  </si>
  <si>
    <t>reglazing berks county pa</t>
  </si>
  <si>
    <t>reglazing black kitchen sink</t>
  </si>
  <si>
    <t>reglazing black porcelain sink</t>
  </si>
  <si>
    <t>reglazing bvathtub</t>
  </si>
  <si>
    <t>reglazing cabinet tops</t>
  </si>
  <si>
    <t>reglazing cabinets in ny</t>
  </si>
  <si>
    <t>reglazing casement windows</t>
  </si>
  <si>
    <t>reglazing cast iron kitchen sink</t>
  </si>
  <si>
    <t>reglazing cast iron pots</t>
  </si>
  <si>
    <t>reglazing cast iron sinks</t>
  </si>
  <si>
    <t>reglazing cast iron skillet</t>
  </si>
  <si>
    <t>reglazing cast iron windows</t>
  </si>
  <si>
    <t>reglazing ceramic</t>
  </si>
  <si>
    <t>reglazing ceramic kitchen sink</t>
  </si>
  <si>
    <t>reglazing ceramic sinks</t>
  </si>
  <si>
    <t>reglazing ceramic tile backsplash</t>
  </si>
  <si>
    <t>reglazing ceramic tile do it yourself</t>
  </si>
  <si>
    <t>reglazing ceramic tile shower</t>
  </si>
  <si>
    <t>reglazing ceramic tiles</t>
  </si>
  <si>
    <t>reglazing chantilly va</t>
  </si>
  <si>
    <t>reglazing charleston sc</t>
  </si>
  <si>
    <t>reglazing chip repair</t>
  </si>
  <si>
    <t>reglazing chipped pottery</t>
  </si>
  <si>
    <t>reglazing clawfoot tub massachusetts</t>
  </si>
  <si>
    <t>reglazing clawfoot tubs</t>
  </si>
  <si>
    <t>reglazing clear</t>
  </si>
  <si>
    <t>reglazing clearwater</t>
  </si>
  <si>
    <t>reglazing co amarillo tx</t>
  </si>
  <si>
    <t>reglazing colors</t>
  </si>
  <si>
    <t>reglazing coming up</t>
  </si>
  <si>
    <t>reglazing commercial windows colorado</t>
  </si>
  <si>
    <t>reglazing commercial windows colorado springs</t>
  </si>
  <si>
    <t>reglazing commercial windows denver</t>
  </si>
  <si>
    <t>reglazing companies</t>
  </si>
  <si>
    <t>reglazing companies in hampton roads va</t>
  </si>
  <si>
    <t>reglazing companies in los angeles</t>
  </si>
  <si>
    <t>reglazing companies in orange county</t>
  </si>
  <si>
    <t>reglazing companies in south gate ca</t>
  </si>
  <si>
    <t>reglazing companies near beverly hills</t>
  </si>
  <si>
    <t>reglazing company near hacienda heights</t>
  </si>
  <si>
    <t>reglazing company nj</t>
  </si>
  <si>
    <t>reglazing conservatory roof</t>
  </si>
  <si>
    <t>reglazing contractors near me</t>
  </si>
  <si>
    <t>reglazing corian</t>
  </si>
  <si>
    <t>reglazing cost in deerfield beach fl</t>
  </si>
  <si>
    <t>reglazing costs</t>
  </si>
  <si>
    <t>reglazing counter tops</t>
  </si>
  <si>
    <t>reglazing counter tops process</t>
  </si>
  <si>
    <t>reglazing countertop</t>
  </si>
  <si>
    <t>reglazing countertops colors</t>
  </si>
  <si>
    <t>reglazing countertops kitchen boca raton</t>
  </si>
  <si>
    <t>reglazing countertops kitchen deerfield beach</t>
  </si>
  <si>
    <t>reglazing countertops kitchen delray beach</t>
  </si>
  <si>
    <t>reglazing countertops kitchen fort lauderdale</t>
  </si>
  <si>
    <t>reglazing countertops kitchen margate</t>
  </si>
  <si>
    <t>reglazing countertops kitchen south florida</t>
  </si>
  <si>
    <t>reglazing countertops kitchen west palm beach</t>
  </si>
  <si>
    <t>reglazing countertops sarasota fl</t>
  </si>
  <si>
    <t>reglazing course</t>
  </si>
  <si>
    <t>reglazing cs repainting</t>
  </si>
  <si>
    <t>reglazing dayton</t>
  </si>
  <si>
    <t>reglazing define</t>
  </si>
  <si>
    <t>reglazing definition</t>
  </si>
  <si>
    <t>reglazing diy</t>
  </si>
  <si>
    <t>reglazing double hung windows</t>
  </si>
  <si>
    <t>reglazing double pane aluminum framed windows</t>
  </si>
  <si>
    <t>reglazing double pane aluminum windows</t>
  </si>
  <si>
    <t>reglazing double pane argon gass windows</t>
  </si>
  <si>
    <t>reglazing earthenware</t>
  </si>
  <si>
    <t>reglazing earthenware lose value</t>
  </si>
  <si>
    <t>reglazing edmonton</t>
  </si>
  <si>
    <t>reglazing enamel sinks</t>
  </si>
  <si>
    <t>reglazing expert 951 529 0532</t>
  </si>
  <si>
    <t>reglazing exterior windows</t>
  </si>
  <si>
    <t>reglazing eyeglasses</t>
  </si>
  <si>
    <t>reglazing farm sink</t>
  </si>
  <si>
    <t>reglazing farmhouse sink</t>
  </si>
  <si>
    <t>reglazing fiberglass bathtubs</t>
  </si>
  <si>
    <t>reglazing fiberglass pool</t>
  </si>
  <si>
    <t>reglazing fiberglass shower pan</t>
  </si>
  <si>
    <t>reglazing fired ceramics</t>
  </si>
  <si>
    <t>reglazing fireplace brick</t>
  </si>
  <si>
    <t>reglazing fireplace tile</t>
  </si>
  <si>
    <t>reglazing floor ceramic tiles</t>
  </si>
  <si>
    <t>reglazing floor reviews</t>
  </si>
  <si>
    <t>reglazing floor tiles melbourne</t>
  </si>
  <si>
    <t>reglazing floor tiles pros and cons</t>
  </si>
  <si>
    <t>reglazing for tile</t>
  </si>
  <si>
    <t>reglazing fox trimmed coat</t>
  </si>
  <si>
    <t>reglazing french windows</t>
  </si>
  <si>
    <t>reglazing fumes pets</t>
  </si>
  <si>
    <t>reglazing garden tub</t>
  </si>
  <si>
    <t>reglazing glass denver</t>
  </si>
  <si>
    <t>reglazing glass pella</t>
  </si>
  <si>
    <t>reglazing glasses auckland</t>
  </si>
  <si>
    <t>reglazing glasses australia</t>
  </si>
  <si>
    <t>reglazing glasses canada</t>
  </si>
  <si>
    <t>reglazing glasses melbourne</t>
  </si>
  <si>
    <t>reglazing glasses near me</t>
  </si>
  <si>
    <t>reglazing glasses online</t>
  </si>
  <si>
    <t>reglazing glasses online australia</t>
  </si>
  <si>
    <t>reglazing glasses specsavers</t>
  </si>
  <si>
    <t>reglazing glasses uk</t>
  </si>
  <si>
    <t>reglazing glazed pottery new york</t>
  </si>
  <si>
    <t>reglazing guns</t>
  </si>
  <si>
    <t>reglazing historic windows</t>
  </si>
  <si>
    <t>reglazing house window</t>
  </si>
  <si>
    <t>reglazing in texas</t>
  </si>
  <si>
    <t>reglazing in wooden casement windows</t>
  </si>
  <si>
    <t>reglazing is a ripoff</t>
  </si>
  <si>
    <t>reglazing jacuzzi tubs</t>
  </si>
  <si>
    <t>reglazing jen-weld vinyl window</t>
  </si>
  <si>
    <t>reglazing kalamazoo</t>
  </si>
  <si>
    <t>reglazing kit benjamin</t>
  </si>
  <si>
    <t>reglazing kit for kitchen sink</t>
  </si>
  <si>
    <t>reglazing kit pro</t>
  </si>
  <si>
    <t>reglazing kitchen backsplash</t>
  </si>
  <si>
    <t>reglazing kitchen cabinets boca raton</t>
  </si>
  <si>
    <t>reglazing kitchen cabinets cost</t>
  </si>
  <si>
    <t>reglazing kitchen cabinets deerfield beach</t>
  </si>
  <si>
    <t>reglazing kitchen cabinets delray beach</t>
  </si>
  <si>
    <t>reglazing kitchen cabinets fort lauderdale</t>
  </si>
  <si>
    <t>reglazing kitchen cabinets margate</t>
  </si>
  <si>
    <t>reglazing kitchen cabinets south florida</t>
  </si>
  <si>
    <t>reglazing kitchen cabinets west palm beach</t>
  </si>
  <si>
    <t>reglazing kitchen counter</t>
  </si>
  <si>
    <t>reglazing kitchen counters</t>
  </si>
  <si>
    <t>reglazing kitchen countertops boca raton</t>
  </si>
  <si>
    <t>reglazing kitchen countertops deerfield beach</t>
  </si>
  <si>
    <t>reglazing kitchen countertops delray beach</t>
  </si>
  <si>
    <t>reglazing kitchen countertops fort lauderdale</t>
  </si>
  <si>
    <t>reglazing kitchen countertops margate</t>
  </si>
  <si>
    <t>reglazing kitchen countertops south florida</t>
  </si>
  <si>
    <t>reglazing kitchen countertops west palm beach</t>
  </si>
  <si>
    <t>reglazing kitchen sik</t>
  </si>
  <si>
    <t>reglazing kitchen sink diy</t>
  </si>
  <si>
    <t>reglazing kitchen sink does it work</t>
  </si>
  <si>
    <t>reglazing kitchen sink does it work or peel in time</t>
  </si>
  <si>
    <t>reglazing kitchen sink near 84003</t>
  </si>
  <si>
    <t>reglazing kitchen sink service</t>
  </si>
  <si>
    <t>reglazing kitchen sink service burbabk</t>
  </si>
  <si>
    <t>reglazing kitchen sinks 87112</t>
  </si>
  <si>
    <t>reglazing kits</t>
  </si>
  <si>
    <t>reglazing kits for bathtub</t>
  </si>
  <si>
    <t>reglazing kokomo</t>
  </si>
  <si>
    <t>reglazing laminate countertops</t>
  </si>
  <si>
    <t>reglazing le creuset</t>
  </si>
  <si>
    <t>reglazing leaded glass near me</t>
  </si>
  <si>
    <t>reglazing leaded glass windows</t>
  </si>
  <si>
    <t>reglazing lenses boots</t>
  </si>
  <si>
    <t>reglazing license</t>
  </si>
  <si>
    <t>reglazing license miami dade</t>
  </si>
  <si>
    <t>reglazing light over dark</t>
  </si>
  <si>
    <t>reglazing light over dark pottery</t>
  </si>
  <si>
    <t>reglazing lindberg frames</t>
  </si>
  <si>
    <t>reglazing long island</t>
  </si>
  <si>
    <t>reglazing marble</t>
  </si>
  <si>
    <t>reglazing merriam</t>
  </si>
  <si>
    <t>reglazing metal storefront windows</t>
  </si>
  <si>
    <t>reglazing metal windows near me</t>
  </si>
  <si>
    <t>reglazing microwave</t>
  </si>
  <si>
    <t>reglazing modernism book</t>
  </si>
  <si>
    <t>reglazing my glasses</t>
  </si>
  <si>
    <t>reglazing my porcelain sink</t>
  </si>
  <si>
    <t>reglazing my tub</t>
  </si>
  <si>
    <t>reglazing new york porcelain</t>
  </si>
  <si>
    <t>reglazing north shore</t>
  </si>
  <si>
    <t>reglazing oak cabinets</t>
  </si>
  <si>
    <t>reglazing oakley glasses</t>
  </si>
  <si>
    <t>reglazing of bathroom tile</t>
  </si>
  <si>
    <t>reglazing of bathtub near gladwin michigan</t>
  </si>
  <si>
    <t>reglazing of fiberglass coming off</t>
  </si>
  <si>
    <t>reglazing of fiberglass coming up</t>
  </si>
  <si>
    <t>reglazing of fiberglass pool coming off</t>
  </si>
  <si>
    <t>reglazing of laminate counter tops</t>
  </si>
  <si>
    <t>reglazing of tile walls</t>
  </si>
  <si>
    <t>reglazing old aluminum windows</t>
  </si>
  <si>
    <t>reglazing old casement windows</t>
  </si>
  <si>
    <t>reglazing old cast iron kitchen sink cost</t>
  </si>
  <si>
    <t>reglazing old ceramics</t>
  </si>
  <si>
    <t>reglazing old crocks</t>
  </si>
  <si>
    <t>reglazing old double hung windows</t>
  </si>
  <si>
    <t>reglazing old kitchen sink cost</t>
  </si>
  <si>
    <t>reglazing old metal windows</t>
  </si>
  <si>
    <t>reglazing old porcelain farmhouse sink and drain</t>
  </si>
  <si>
    <t>reglazing old porselin farmhouse sink and drain</t>
  </si>
  <si>
    <t>reglazing old pottery</t>
  </si>
  <si>
    <t>reglazing old scratched ceramics</t>
  </si>
  <si>
    <t>reglazing old scratched mugs</t>
  </si>
  <si>
    <t>reglazing old sinks</t>
  </si>
  <si>
    <t>reglazing old surfboard</t>
  </si>
  <si>
    <t>reglazing old tubs</t>
  </si>
  <si>
    <t>reglazing old window frame</t>
  </si>
  <si>
    <t>reglazing old windows full sash light</t>
  </si>
  <si>
    <t>reglazing old windows glass</t>
  </si>
  <si>
    <t>reglazing old windows video</t>
  </si>
  <si>
    <t>reglazing opticians</t>
  </si>
  <si>
    <t>reglazing or recoating the deck</t>
  </si>
  <si>
    <t>reglazing orange county</t>
  </si>
  <si>
    <t>reglazing paint kitchen backsplash</t>
  </si>
  <si>
    <t>reglazing paint sold in michigan</t>
  </si>
  <si>
    <t>reglazing paint sold near me</t>
  </si>
  <si>
    <t>reglazing pan</t>
  </si>
  <si>
    <t>reglazing patio doors</t>
  </si>
  <si>
    <t>reglazing pedestal sink</t>
  </si>
  <si>
    <t>reglazing peerless g261</t>
  </si>
  <si>
    <t>reglazing peerless g261 casement windows</t>
  </si>
  <si>
    <t>reglazing peerless g261 sache</t>
  </si>
  <si>
    <t>reglazing pella doors</t>
  </si>
  <si>
    <t>reglazing pella windows</t>
  </si>
  <si>
    <t>reglazing peninsual</t>
  </si>
  <si>
    <t>reglazing peninsula</t>
  </si>
  <si>
    <t>reglazing plates</t>
  </si>
  <si>
    <t>reglazing plus 718-238-5421 reviews</t>
  </si>
  <si>
    <t>reglazing plus inc reviews</t>
  </si>
  <si>
    <t>reglazing plus reviews</t>
  </si>
  <si>
    <t>reglazing porcelain kitchen sink</t>
  </si>
  <si>
    <t>reglazing porcelain steel tub</t>
  </si>
  <si>
    <t>reglazing porcelain tile</t>
  </si>
  <si>
    <t>reglazing porcelain toilet</t>
  </si>
  <si>
    <t>reglazing porcelain tub near fredericksburg</t>
  </si>
  <si>
    <t>reglazing porcelain tub near me</t>
  </si>
  <si>
    <t>reglazing porcelain tubs</t>
  </si>
  <si>
    <t>reglazing pottery near me</t>
  </si>
  <si>
    <t>reglazing pottery nother color</t>
  </si>
  <si>
    <t>reglazing pottery piece</t>
  </si>
  <si>
    <t>reglazing pottery too thick</t>
  </si>
  <si>
    <t>reglazing pottery using hairspray</t>
  </si>
  <si>
    <t>reglazing pottery won't it be too thick</t>
  </si>
  <si>
    <t>reglazing pottery wont it be too thick</t>
  </si>
  <si>
    <t>reglazing process</t>
  </si>
  <si>
    <t>reglazing professionals</t>
  </si>
  <si>
    <t>reglazing professionals inc.</t>
  </si>
  <si>
    <t>reglazing quarry tiles</t>
  </si>
  <si>
    <t>reglazing rapid city</t>
  </si>
  <si>
    <t>reglazing ray ban sunglasses</t>
  </si>
  <si>
    <t>reglazing repainting or putting in a liner called relining</t>
  </si>
  <si>
    <t>reglazing rhode island</t>
  </si>
  <si>
    <t>reglazing ri</t>
  </si>
  <si>
    <t>reglazing richmond va</t>
  </si>
  <si>
    <t>reglazing rimless spectacles</t>
  </si>
  <si>
    <t>reglazing rv windows</t>
  </si>
  <si>
    <t>reglazing santa clarita</t>
  </si>
  <si>
    <t>reglazing sash windows</t>
  </si>
  <si>
    <t>reglazing school</t>
  </si>
  <si>
    <t>reglazing scv ca</t>
  </si>
  <si>
    <t>reglazing service</t>
  </si>
  <si>
    <t>reglazing service e in ny by care.com</t>
  </si>
  <si>
    <t>reglazing service in ny by home advisor</t>
  </si>
  <si>
    <t>reglazing services cleveland</t>
  </si>
  <si>
    <t>reglazing services colorado</t>
  </si>
  <si>
    <t>reglazing services colorado springs</t>
  </si>
  <si>
    <t>reglazing services denver</t>
  </si>
  <si>
    <t>reglazing shower base</t>
  </si>
  <si>
    <t>reglazing shower cost</t>
  </si>
  <si>
    <t>reglazing shower doors</t>
  </si>
  <si>
    <t>reglazing shower floor</t>
  </si>
  <si>
    <t>reglazing shower glass</t>
  </si>
  <si>
    <t>reglazing shower surround</t>
  </si>
  <si>
    <t>reglazing shower tub</t>
  </si>
  <si>
    <t>reglazing showers in nj</t>
  </si>
  <si>
    <t>reglazing sidney ohio</t>
  </si>
  <si>
    <t>reglazing single pane windows</t>
  </si>
  <si>
    <t>reglazing sink antioch il</t>
  </si>
  <si>
    <t>reglazing sink do yourself</t>
  </si>
  <si>
    <t>reglazing sink in concord nh</t>
  </si>
  <si>
    <t>reglazing sink in mission viejo</t>
  </si>
  <si>
    <t>reglazing sink in mission viejo yelp</t>
  </si>
  <si>
    <t>reglazing sink portland oregon</t>
  </si>
  <si>
    <t>reglazing sink service</t>
  </si>
  <si>
    <t>reglazing sinks cost</t>
  </si>
  <si>
    <t>reglazing specialist</t>
  </si>
  <si>
    <t>reglazing specialist near me</t>
  </si>
  <si>
    <t>reglazing specialist tampa bay fl</t>
  </si>
  <si>
    <t>reglazing specialist venice fl</t>
  </si>
  <si>
    <t>reglazing specsavers</t>
  </si>
  <si>
    <t>reglazing spectacle</t>
  </si>
  <si>
    <t>reglazing st loiuis mo</t>
  </si>
  <si>
    <t>reglazing st louis mo</t>
  </si>
  <si>
    <t>reglazing steel tub</t>
  </si>
  <si>
    <t>reglazing storm windows</t>
  </si>
  <si>
    <t>reglazing stove top</t>
  </si>
  <si>
    <t>reglazing studio los angeles</t>
  </si>
  <si>
    <t>reglazing sunglasses</t>
  </si>
  <si>
    <t>reglazing sunglasses uk</t>
  </si>
  <si>
    <t>reglazing supplies</t>
  </si>
  <si>
    <t>reglazing surround bathtubs</t>
  </si>
  <si>
    <t>reglazing terracotta</t>
  </si>
  <si>
    <t>reglazing terrazzo shower pan</t>
  </si>
  <si>
    <t>reglazing the bathroom</t>
  </si>
  <si>
    <t>reglazing the floor tile youtube</t>
  </si>
  <si>
    <t>reglazing the tub</t>
  </si>
  <si>
    <t>reglazing tile allentown pa</t>
  </si>
  <si>
    <t>reglazing tile baton rouge</t>
  </si>
  <si>
    <t>reglazing tile chicago</t>
  </si>
  <si>
    <t>reglazing tile costs</t>
  </si>
  <si>
    <t>reglazing tile countertop</t>
  </si>
  <si>
    <t>reglazing tile dothan al</t>
  </si>
  <si>
    <t>reglazing tile floors before and after</t>
  </si>
  <si>
    <t>reglazing tile floors in cape coral</t>
  </si>
  <si>
    <t>reglazing tile in kitchen</t>
  </si>
  <si>
    <t>reglazing tile in westchester backsplash</t>
  </si>
  <si>
    <t>reglazing tile lexington ky</t>
  </si>
  <si>
    <t>reglazing tile los angeles</t>
  </si>
  <si>
    <t>reglazing tile philadelphia</t>
  </si>
  <si>
    <t>reglazing tile rochester ny</t>
  </si>
  <si>
    <t>reglazing tile rockford il</t>
  </si>
  <si>
    <t>reglazing tiles cost</t>
  </si>
  <si>
    <t>reglazing tiles in shower stall</t>
  </si>
  <si>
    <t>reglazing tiles nyc</t>
  </si>
  <si>
    <t>reglazing tiles singapore</t>
  </si>
  <si>
    <t>reglazing tiles uk</t>
  </si>
  <si>
    <t>reglazing toilet</t>
  </si>
  <si>
    <t>reglazing toilet bowl</t>
  </si>
  <si>
    <t>reglazing toilets cleveland ohio</t>
  </si>
  <si>
    <t>reglazing training</t>
  </si>
  <si>
    <t>reglazing tu s rochesger mn</t>
  </si>
  <si>
    <t>reglazing tub 24 hours</t>
  </si>
  <si>
    <t>reglazing tub ames</t>
  </si>
  <si>
    <t>reglazing tub and shower</t>
  </si>
  <si>
    <t>reglazing tub and tile jlf</t>
  </si>
  <si>
    <t>reglazing tub and tile llc</t>
  </si>
  <si>
    <t>reglazing tub before after</t>
  </si>
  <si>
    <t>reglazing tub cape cod</t>
  </si>
  <si>
    <t>reglazing tub chemicals</t>
  </si>
  <si>
    <t>reglazing tub colors</t>
  </si>
  <si>
    <t>reglazing tub cost chicago</t>
  </si>
  <si>
    <t>reglazing tub cost near me</t>
  </si>
  <si>
    <t>reglazing tub cost parker co</t>
  </si>
  <si>
    <t>reglazing tub cost west chicago</t>
  </si>
  <si>
    <t>reglazing tub des moines</t>
  </si>
  <si>
    <t>reglazing tub fumes</t>
  </si>
  <si>
    <t>reglazing tub how long does it last</t>
  </si>
  <si>
    <t>reglazing tub how long to dry</t>
  </si>
  <si>
    <t>reglazing tub in chinese</t>
  </si>
  <si>
    <t>reglazing tub long island</t>
  </si>
  <si>
    <t>reglazing tub long island g&amp; g</t>
  </si>
  <si>
    <t>reglazing tub melba</t>
  </si>
  <si>
    <t>reglazing tub neighbor</t>
  </si>
  <si>
    <t>reglazing tub newington ct</t>
  </si>
  <si>
    <t>reglazing tub nj</t>
  </si>
  <si>
    <t>reglazing tub nyc</t>
  </si>
  <si>
    <t>reglazing tub pasadena</t>
  </si>
  <si>
    <t>reglazing tub prep</t>
  </si>
  <si>
    <t>reglazing tub prep before after</t>
  </si>
  <si>
    <t>reglazing tub prep chips in</t>
  </si>
  <si>
    <t>reglazing tub price</t>
  </si>
  <si>
    <t>reglazing tub process</t>
  </si>
  <si>
    <t>reglazing tub ri</t>
  </si>
  <si>
    <t>reglazing tub rome ny</t>
  </si>
  <si>
    <t>reglazing tub scrub</t>
  </si>
  <si>
    <t>reglazing tub task rabbit</t>
  </si>
  <si>
    <t>reglazing tub the professional way</t>
  </si>
  <si>
    <t>reglazing tub tile</t>
  </si>
  <si>
    <t>reglazing tub to new color</t>
  </si>
  <si>
    <t>reglazing tub twice</t>
  </si>
  <si>
    <t>reglazing tub with bathtub liners</t>
  </si>
  <si>
    <t>reglazing tube</t>
  </si>
  <si>
    <t>reglazing tubs already glazed</t>
  </si>
  <si>
    <t>reglazing tubs cincinnati</t>
  </si>
  <si>
    <t>reglazing tubs colville wa</t>
  </si>
  <si>
    <t>reglazing tubs cost in hawaii</t>
  </si>
  <si>
    <t>reglazing tubs in 32547</t>
  </si>
  <si>
    <t>reglazing tubs in bakersfield california</t>
  </si>
  <si>
    <t>reglazing tubs in buffalo ny</t>
  </si>
  <si>
    <t>reglazing tubs in lakewood new jersey</t>
  </si>
  <si>
    <t>reglazing tubs in miami</t>
  </si>
  <si>
    <t>reglazing tubs in wilmington de</t>
  </si>
  <si>
    <t>reglazing tubs new orleans</t>
  </si>
  <si>
    <t>reglazing tubs oahu</t>
  </si>
  <si>
    <t>reglazing tubs sinks and toilets</t>
  </si>
  <si>
    <t>reglazing tubs tonasket wa</t>
  </si>
  <si>
    <t>reglazing tubs windsor</t>
  </si>
  <si>
    <t>reglazing tucson</t>
  </si>
  <si>
    <t>reglazing vandalia ohio</t>
  </si>
  <si>
    <t>reglazing velux windows</t>
  </si>
  <si>
    <t>reglazing vinyl windows</t>
  </si>
  <si>
    <t>reglazing vinyl windows video</t>
  </si>
  <si>
    <t>reglazing vs diy tub paint</t>
  </si>
  <si>
    <t>reglazing vs dyi tub paint</t>
  </si>
  <si>
    <t>reglazing vs refinishing</t>
  </si>
  <si>
    <t>reglazing vs refinishing acrylic tub</t>
  </si>
  <si>
    <t>reglazing vs repainting rile</t>
  </si>
  <si>
    <t>reglazing vs replacing tub</t>
  </si>
  <si>
    <t>reglazing vs tub liner</t>
  </si>
  <si>
    <t>reglazing wallet</t>
  </si>
  <si>
    <t>reglazing when no lens</t>
  </si>
  <si>
    <t>reglazing whirlpool tub</t>
  </si>
  <si>
    <t>reglazing windos</t>
  </si>
  <si>
    <t>reglazing window double pane</t>
  </si>
  <si>
    <t>reglazing windows austin tx</t>
  </si>
  <si>
    <t>reglazing windows cleanup</t>
  </si>
  <si>
    <t>reglazing windows cost uk</t>
  </si>
  <si>
    <t>reglazing windows definition</t>
  </si>
  <si>
    <t>reglazing windows diy</t>
  </si>
  <si>
    <t>reglazing windows do it yourself</t>
  </si>
  <si>
    <t>reglazing windows double pane</t>
  </si>
  <si>
    <t>reglazing windows home depot</t>
  </si>
  <si>
    <t>reglazing windows in cold weather</t>
  </si>
  <si>
    <t>reglazing windows in winter</t>
  </si>
  <si>
    <t>reglazing windows lexington ky</t>
  </si>
  <si>
    <t>reglazing windows putty</t>
  </si>
  <si>
    <t>reglazing windows tips</t>
  </si>
  <si>
    <t>reglazing windows using dap window glazing</t>
  </si>
  <si>
    <t>reglazing windows when to paint</t>
  </si>
  <si>
    <t>reglazing windows with putty</t>
  </si>
  <si>
    <t>reglazing windows wood</t>
  </si>
  <si>
    <t>reglazing windows you tube</t>
  </si>
  <si>
    <t>reglazing windowshttps www.yahoo.com fr hp-avast&amp;type agc511</t>
  </si>
  <si>
    <t>reglazing with new efficiency window pane</t>
  </si>
  <si>
    <t>reglazing with new efficiency window pane in existing frame</t>
  </si>
  <si>
    <t>reglazing with stroke and coat</t>
  </si>
  <si>
    <t>reglazing wood framed windows</t>
  </si>
  <si>
    <t>reglazing wood windows with dap 33 window glazing</t>
  </si>
  <si>
    <t>reglazing wooden windows</t>
  </si>
  <si>
    <t>reglazing wooden windows before painting site youtube.com</t>
  </si>
  <si>
    <t>reglazing world</t>
  </si>
  <si>
    <t>reglazing yellow pages</t>
  </si>
  <si>
    <t>reglazing yelp</t>
  </si>
  <si>
    <t>reglazing your bathtub Ê∏ÖÊΩî</t>
  </si>
  <si>
    <t>reglazing your own tub</t>
  </si>
  <si>
    <t>reglazing youtube</t>
  </si>
  <si>
    <t>reglazing zirconia cerec</t>
  </si>
  <si>
    <t>reglazing ‰ªÄ‰πàÊÑèÊÄù</t>
  </si>
  <si>
    <t>reglazing.us</t>
  </si>
  <si>
    <t>reglazo con chile</t>
  </si>
  <si>
    <t>reglazo de fresa</t>
  </si>
  <si>
    <t>reglazo de sandia</t>
  </si>
  <si>
    <t>remove and reglaze windows</t>
  </si>
  <si>
    <t>remove reglaze from cast iron tub</t>
  </si>
  <si>
    <t>remove yellow stain from reglazed bathtub</t>
  </si>
  <si>
    <t>removing excess paint after reglazing tub</t>
  </si>
  <si>
    <t>removing runs in reglazing tub and tile</t>
  </si>
  <si>
    <t>removing stains on a reglazed tub</t>
  </si>
  <si>
    <t>removing window glass and reglazing site youtube.com</t>
  </si>
  <si>
    <t>renaissance reglazing edmonton</t>
  </si>
  <si>
    <t>renaissance reglazing edmonton reviews</t>
  </si>
  <si>
    <t>renaissance reglazing reviews</t>
  </si>
  <si>
    <t>renaissance reglazing vancouver</t>
  </si>
  <si>
    <t>renovating bathrom vs reglazing</t>
  </si>
  <si>
    <t>repair &amp; reglaze bathtub</t>
  </si>
  <si>
    <t>repair and reglaze bathtub riverside ca</t>
  </si>
  <si>
    <t>repair and reglazing old windows</t>
  </si>
  <si>
    <t>repair chip in reglazed tub</t>
  </si>
  <si>
    <t>replacement trim for window reglazing</t>
  </si>
  <si>
    <t>residential bathtub reglazing alpharetta</t>
  </si>
  <si>
    <t>residential bathtub reglazing company atlanta</t>
  </si>
  <si>
    <t>residential bathtub reglazing company cumming</t>
  </si>
  <si>
    <t>residential bathtub reglazing company dacula</t>
  </si>
  <si>
    <t>residential bathtub reglazing cumming</t>
  </si>
  <si>
    <t>residential bathtub reglazing lawrenceville</t>
  </si>
  <si>
    <t>residential bathtub reglazing service alpharetta</t>
  </si>
  <si>
    <t>residential bathtub reglazing service buford</t>
  </si>
  <si>
    <t>residential bathtub reglazing service cumming</t>
  </si>
  <si>
    <t>residential bathtub reglazing service suwanee</t>
  </si>
  <si>
    <t>residential bathtub reglazing suwanee</t>
  </si>
  <si>
    <t>residential tub reglazing company braselton</t>
  </si>
  <si>
    <t>residential tub reglazing company buford</t>
  </si>
  <si>
    <t>residential tub reglazing company dacula</t>
  </si>
  <si>
    <t>residential tub reglazing cumming</t>
  </si>
  <si>
    <t>residential tub reglazing lawrenceville</t>
  </si>
  <si>
    <t>residential tub reglazing service braselton</t>
  </si>
  <si>
    <t>residential tub reglazing service buford</t>
  </si>
  <si>
    <t>residential tub reglazing service cumming</t>
  </si>
  <si>
    <t>residential tub reglazing service dacula</t>
  </si>
  <si>
    <t>residential tub reglazing service lawrenceville</t>
  </si>
  <si>
    <t>residential tub reglazing suwanee</t>
  </si>
  <si>
    <t>restain or reglaze cabinets</t>
  </si>
  <si>
    <t>resurfacing and reglazing</t>
  </si>
  <si>
    <t>resurfacing and reglazing duluth mn</t>
  </si>
  <si>
    <t>review splash bathtub and tub replace reglazing</t>
  </si>
  <si>
    <t>reviews delaware county tub and tile reglazing</t>
  </si>
  <si>
    <t>reviews for diamond reglazing corp</t>
  </si>
  <si>
    <t>reviews on reglazing bathtubs</t>
  </si>
  <si>
    <t>reviews rubadub reglazing</t>
  </si>
  <si>
    <t>richmond reglaze tub</t>
  </si>
  <si>
    <t>rick reglazing san fernando valley</t>
  </si>
  <si>
    <t>rick's reglazing</t>
  </si>
  <si>
    <t>rick's reglazing los angeles</t>
  </si>
  <si>
    <t>rideau bathtub reglazing complaints</t>
  </si>
  <si>
    <t>rideau bathtub reglazing kanata on</t>
  </si>
  <si>
    <t>rideau bathtub reglazing ottawa</t>
  </si>
  <si>
    <t>rideau bathtub reglazing review</t>
  </si>
  <si>
    <t>rideau tub reglazing</t>
  </si>
  <si>
    <t>roblox reglaze</t>
  </si>
  <si>
    <t>rochester regional reglazing</t>
  </si>
  <si>
    <t>rock garden multi stone color reglazing</t>
  </si>
  <si>
    <t>rock garden multi stone reglazing</t>
  </si>
  <si>
    <t>rock garden multistone reglazing</t>
  </si>
  <si>
    <t>rockford reglaze</t>
  </si>
  <si>
    <t>rocky road reglazing</t>
  </si>
  <si>
    <t>roman tub reglazing</t>
  </si>
  <si>
    <t>roof tile reglazing</t>
  </si>
  <si>
    <t>royal reglazing company louisville ky</t>
  </si>
  <si>
    <t>royal reglazing nj</t>
  </si>
  <si>
    <t>rub a dub reglazing gainesville fl</t>
  </si>
  <si>
    <t>rub a dub tub reglazing reviews</t>
  </si>
  <si>
    <t>rubadub reglazing homosassa</t>
  </si>
  <si>
    <t>rubber mats for reglazed bathtubs</t>
  </si>
  <si>
    <t>rust oleum tub reglazing kit</t>
  </si>
  <si>
    <t>rust stains on reglazed sink</t>
  </si>
  <si>
    <t>rustoleum bathtub reglazing kit</t>
  </si>
  <si>
    <t>safe cleaners for reglazed bathtubs</t>
  </si>
  <si>
    <t>safe to use bleach before tub reglazing</t>
  </si>
  <si>
    <t>safe way to reglazed a tubs</t>
  </si>
  <si>
    <t>safely way to clean reglazed bathtub</t>
  </si>
  <si>
    <t>safety tub reglazing</t>
  </si>
  <si>
    <t>saint clair shores bathtub reglazing</t>
  </si>
  <si>
    <t>same day glasses reglaze</t>
  </si>
  <si>
    <t>same day glasses reglaze london</t>
  </si>
  <si>
    <t>sample bathtub reglazing care instruction sheets</t>
  </si>
  <si>
    <t>samples speckled reglazed 0 0</t>
  </si>
  <si>
    <t>san marcos reglazing</t>
  </si>
  <si>
    <t>sarasota tile reglazing</t>
  </si>
  <si>
    <t>sash window reglazing</t>
  </si>
  <si>
    <t>saving by reglazing dc</t>
  </si>
  <si>
    <t>scrubbing bubbles reglazed tub</t>
  </si>
  <si>
    <t>scrubing bubbles on reglazed tubs</t>
  </si>
  <si>
    <t>sears tub reglazing</t>
  </si>
  <si>
    <t>seattle tub reglazing</t>
  </si>
  <si>
    <t>seaway bathtub reglazing</t>
  </si>
  <si>
    <t>selectspecs reglaze</t>
  </si>
  <si>
    <t>serma coat reglazing tile</t>
  </si>
  <si>
    <t>shd reglazing</t>
  </si>
  <si>
    <t>sherwood tub reglazing</t>
  </si>
  <si>
    <t>should a window sash be primed before reglazing</t>
  </si>
  <si>
    <t>should i grout before reglazing tub</t>
  </si>
  <si>
    <t>should i reglaze my cast iron tub or replace it</t>
  </si>
  <si>
    <t>should i reglaze mybathroom sink</t>
  </si>
  <si>
    <t>should i reglaze or replace my bathtub</t>
  </si>
  <si>
    <t>should there be cracks in reglazed shower</t>
  </si>
  <si>
    <t>should tile be regrouted before reglazing process</t>
  </si>
  <si>
    <t>should you clean a reglazed tub before using</t>
  </si>
  <si>
    <t>shower after tub reglazing</t>
  </si>
  <si>
    <t>shower caddy for reglazed tub</t>
  </si>
  <si>
    <t>shower curtain magnetic damage reglazed tub</t>
  </si>
  <si>
    <t>shower pan and tile reglazing</t>
  </si>
  <si>
    <t>shower pan reglaze</t>
  </si>
  <si>
    <t>shower pan reglazing cost</t>
  </si>
  <si>
    <t>shower reglaze kit professional</t>
  </si>
  <si>
    <t>shower reglazed</t>
  </si>
  <si>
    <t>shower reglazers grand rapids</t>
  </si>
  <si>
    <t>shower reglazing albuquerque</t>
  </si>
  <si>
    <t>shower reglazing boca raton</t>
  </si>
  <si>
    <t>shower reglazing boulder</t>
  </si>
  <si>
    <t>shower reglazing boynton beach</t>
  </si>
  <si>
    <t>shower reglazing broward</t>
  </si>
  <si>
    <t>shower reglazing cape cod</t>
  </si>
  <si>
    <t>shower reglazing chattanooga</t>
  </si>
  <si>
    <t>shower reglazing colorado</t>
  </si>
  <si>
    <t>shower reglazing coral springs</t>
  </si>
  <si>
    <t>shower reglazing corona</t>
  </si>
  <si>
    <t>shower reglazing ct</t>
  </si>
  <si>
    <t>shower reglazing deerfield beach</t>
  </si>
  <si>
    <t>shower reglazing delray beach</t>
  </si>
  <si>
    <t>shower reglazing detroit</t>
  </si>
  <si>
    <t>shower reglazing east florida</t>
  </si>
  <si>
    <t>shower reglazing edmonton</t>
  </si>
  <si>
    <t>shower reglazing el paso</t>
  </si>
  <si>
    <t>shower reglazing florida</t>
  </si>
  <si>
    <t>shower reglazing fort lauderdale</t>
  </si>
  <si>
    <t>shower reglazing livonia</t>
  </si>
  <si>
    <t>shower reglazing margate</t>
  </si>
  <si>
    <t>shower reglazing michigan</t>
  </si>
  <si>
    <t>shower reglazing new mexico</t>
  </si>
  <si>
    <t>shower reglazing omaha</t>
  </si>
  <si>
    <t>shower reglazing orange county ca</t>
  </si>
  <si>
    <t>shower reglazing pompano beach</t>
  </si>
  <si>
    <t>shower reglazing ri</t>
  </si>
  <si>
    <t>shower reglazing rio rancho</t>
  </si>
  <si>
    <t>shower reglazing riverside ca</t>
  </si>
  <si>
    <t>shower reglazing san antonio</t>
  </si>
  <si>
    <t>shower reglazing san diego</t>
  </si>
  <si>
    <t>shower reglazing santa clarita</t>
  </si>
  <si>
    <t>shower reglazing st charles mo</t>
  </si>
  <si>
    <t>shower reglazing tampa</t>
  </si>
  <si>
    <t>shower reglazing tennessee</t>
  </si>
  <si>
    <t>shower reglazing texas</t>
  </si>
  <si>
    <t>shower reglazing west palm beach</t>
  </si>
  <si>
    <t>shower repair &amp; reglazing</t>
  </si>
  <si>
    <t>shower room reglazing</t>
  </si>
  <si>
    <t>shower surround with reglazed tub cleaning</t>
  </si>
  <si>
    <t>shower tile reglazing cost</t>
  </si>
  <si>
    <t>shower tile reglazing near me</t>
  </si>
  <si>
    <t>shower tub reglaze</t>
  </si>
  <si>
    <t>shower tub reglazing riverside ca</t>
  </si>
  <si>
    <t>simply reglaze reviews</t>
  </si>
  <si>
    <t>single vision glasses reglazing</t>
  </si>
  <si>
    <t>single vision reglaze</t>
  </si>
  <si>
    <t>sink black reglazing kit</t>
  </si>
  <si>
    <t>sink reglaze cost</t>
  </si>
  <si>
    <t>sink reglaze kit</t>
  </si>
  <si>
    <t>sink reglazers</t>
  </si>
  <si>
    <t>sink reglazing atlanta</t>
  </si>
  <si>
    <t>sink reglazing austin</t>
  </si>
  <si>
    <t>sink reglazing baltimore</t>
  </si>
  <si>
    <t>sink reglazing boca raton</t>
  </si>
  <si>
    <t>sink reglazing burlington vt</t>
  </si>
  <si>
    <t>sink reglazing cape coral</t>
  </si>
  <si>
    <t>sink reglazing carmel</t>
  </si>
  <si>
    <t>sink reglazing charlotte</t>
  </si>
  <si>
    <t>sink reglazing cincinnati</t>
  </si>
  <si>
    <t>sink reglazing city</t>
  </si>
  <si>
    <t>sink reglazing cleveland</t>
  </si>
  <si>
    <t>sink reglazing colorado springs</t>
  </si>
  <si>
    <t>sink reglazing columbus</t>
  </si>
  <si>
    <t>sink reglazing cranston ri</t>
  </si>
  <si>
    <t>sink reglazing dallas</t>
  </si>
  <si>
    <t>sink reglazing denver</t>
  </si>
  <si>
    <t>sink reglazing fishers</t>
  </si>
  <si>
    <t>sink reglazing fort lauderdale</t>
  </si>
  <si>
    <t>sink reglazing fort myers</t>
  </si>
  <si>
    <t>sink reglazing fort worth</t>
  </si>
  <si>
    <t>sink reglazing grand rapids mi</t>
  </si>
  <si>
    <t>sink reglazing home depot</t>
  </si>
  <si>
    <t>sink reglazing houston</t>
  </si>
  <si>
    <t>sink reglazing in minnesota</t>
  </si>
  <si>
    <t>sink reglazing in new hampshire</t>
  </si>
  <si>
    <t>sink reglazing indianapolis</t>
  </si>
  <si>
    <t>sink reglazing jacksonville</t>
  </si>
  <si>
    <t>sink reglazing kits</t>
  </si>
  <si>
    <t>sink reglazing lafayette</t>
  </si>
  <si>
    <t>sink reglazing lebanon</t>
  </si>
  <si>
    <t>sink reglazing lodi ca</t>
  </si>
  <si>
    <t>sink reglazing louisville</t>
  </si>
  <si>
    <t>sink reglazing miami</t>
  </si>
  <si>
    <t>sink reglazing michigan</t>
  </si>
  <si>
    <t>sink reglazing minneapolis</t>
  </si>
  <si>
    <t>sink reglazing nashville</t>
  </si>
  <si>
    <t>sink reglazing near irwin pa</t>
  </si>
  <si>
    <t>sink reglazing new york</t>
  </si>
  <si>
    <t>sink reglazing newark</t>
  </si>
  <si>
    <t>sink reglazing nj</t>
  </si>
  <si>
    <t>sink reglazing nyc</t>
  </si>
  <si>
    <t>sink reglazing oakland</t>
  </si>
  <si>
    <t>sink reglazing omaha</t>
  </si>
  <si>
    <t>sink reglazing orlando</t>
  </si>
  <si>
    <t>sink reglazing philadelphia</t>
  </si>
  <si>
    <t>sink reglazing phoenix</t>
  </si>
  <si>
    <t>sink reglazing pittsburgh</t>
  </si>
  <si>
    <t>sink reglazing portland</t>
  </si>
  <si>
    <t>sink reglazing price</t>
  </si>
  <si>
    <t>sink reglazing products</t>
  </si>
  <si>
    <t>sink reglazing raleigh</t>
  </si>
  <si>
    <t>sink reglazing reno</t>
  </si>
  <si>
    <t>sink reglazing richmond</t>
  </si>
  <si>
    <t>sink reglazing riverside</t>
  </si>
  <si>
    <t>sink reglazing sacramento</t>
  </si>
  <si>
    <t>sink reglazing salt lake city</t>
  </si>
  <si>
    <t>sink reglazing san antonio</t>
  </si>
  <si>
    <t>sink reglazing service</t>
  </si>
  <si>
    <t>sink reglazing st. louis</t>
  </si>
  <si>
    <t>sink reglazing tampa</t>
  </si>
  <si>
    <t>sink reglazing toronto</t>
  </si>
  <si>
    <t>sink reglazing tucson</t>
  </si>
  <si>
    <t>sink reglazing uk</t>
  </si>
  <si>
    <t>sink reglazing virginia beach</t>
  </si>
  <si>
    <t>sink reglazing washington dc</t>
  </si>
  <si>
    <t>sink reglazing winnipeg</t>
  </si>
  <si>
    <t>sink reglazing zionsville</t>
  </si>
  <si>
    <t>sink tub reglazing</t>
  </si>
  <si>
    <t>sioux falls reglaze windows</t>
  </si>
  <si>
    <t>sioux falls window reglazing</t>
  </si>
  <si>
    <t>sm tub reglazing corp</t>
  </si>
  <si>
    <t>smart lenses reglazed</t>
  </si>
  <si>
    <t>smooth putty on window reglazing</t>
  </si>
  <si>
    <t>snellville ga handyman to reglaze single pane wood windows</t>
  </si>
  <si>
    <t>solace solutions bathtub reglazing near me</t>
  </si>
  <si>
    <t>south florida reglaze vulutures marble bathtub</t>
  </si>
  <si>
    <t>sparkle reglazed tubs</t>
  </si>
  <si>
    <t>spec savers reglaze</t>
  </si>
  <si>
    <t>special paint to reglaze a bathtub white</t>
  </si>
  <si>
    <t>specky four eyes reglaze</t>
  </si>
  <si>
    <t>specs by post reglaze</t>
  </si>
  <si>
    <t>specs factory reglaze</t>
  </si>
  <si>
    <t>specsavers reglaze existing frames</t>
  </si>
  <si>
    <t>specsavers reglaze fee</t>
  </si>
  <si>
    <t>specsavers reglaze lenses</t>
  </si>
  <si>
    <t>specsavers reglaze sunglasses</t>
  </si>
  <si>
    <t>specsavers reglazing</t>
  </si>
  <si>
    <t>specsavers varifocal reglaze</t>
  </si>
  <si>
    <t>spectacle reglaze</t>
  </si>
  <si>
    <t>spectacle reglazing uk</t>
  </si>
  <si>
    <t>spectacles direct reglaze</t>
  </si>
  <si>
    <t>spectacles reglazing</t>
  </si>
  <si>
    <t>spectacles reglazing limited</t>
  </si>
  <si>
    <t>spectrum reglazing</t>
  </si>
  <si>
    <t>splash bathtub &amp; tile reglazing</t>
  </si>
  <si>
    <t>splash bathtub and tile reglazing</t>
  </si>
  <si>
    <t>splash bathtub and tile reglazing queens</t>
  </si>
  <si>
    <t>splash reglazing reviews</t>
  </si>
  <si>
    <t>splash tub reglazing</t>
  </si>
  <si>
    <t>spokane tub reglazing</t>
  </si>
  <si>
    <t>spot reglazing for sink</t>
  </si>
  <si>
    <t>spray refinish reglaze shower</t>
  </si>
  <si>
    <t>square shower mat without suction cups for reglazed surface</t>
  </si>
  <si>
    <t>squere feet price do reglaze tile</t>
  </si>
  <si>
    <t>st louis bathtub reglazing</t>
  </si>
  <si>
    <t>st louis missouri reglazing</t>
  </si>
  <si>
    <t>st louis tile reglazing</t>
  </si>
  <si>
    <t>st michael's reglazing</t>
  </si>
  <si>
    <t>st. louis bathtub &amp; tile reglazing llc</t>
  </si>
  <si>
    <t>standard bathtub reglazing</t>
  </si>
  <si>
    <t>standard bathtub reglazing service south gate</t>
  </si>
  <si>
    <t>standard bathtub reglazing services</t>
  </si>
  <si>
    <t>steps to reglaze bathtub</t>
  </si>
  <si>
    <t>stimated cost of reglazing bathtub</t>
  </si>
  <si>
    <t>store front reglazing</t>
  </si>
  <si>
    <t>storefront lites reglazing west palm beach</t>
  </si>
  <si>
    <t>storefront reglazing</t>
  </si>
  <si>
    <t>storefront reglazing west palm beach</t>
  </si>
  <si>
    <t>storefront window reglazing</t>
  </si>
  <si>
    <t>storefront window reglazing west palm beach</t>
  </si>
  <si>
    <t>strip windows before reglazing</t>
  </si>
  <si>
    <t>stripping bathtub reglazing</t>
  </si>
  <si>
    <t>sunglass reglaze</t>
  </si>
  <si>
    <t>sunglass reglazing</t>
  </si>
  <si>
    <t>sunroom reglazing services md</t>
  </si>
  <si>
    <t>super reglaze ca</t>
  </si>
  <si>
    <t>superdrug reglaze</t>
  </si>
  <si>
    <t>superior bathtub reglazing</t>
  </si>
  <si>
    <t>superior tub reglazing</t>
  </si>
  <si>
    <t>supreme bath reglazing</t>
  </si>
  <si>
    <t>supreme bath reglazing colors</t>
  </si>
  <si>
    <t>supreme bath tile reglazing</t>
  </si>
  <si>
    <t>sustainable reglazing reviews</t>
  </si>
  <si>
    <t>tampa florida bathtub reglazing</t>
  </si>
  <si>
    <t>tbl tubs back to life tub reglaze and refinishing</t>
  </si>
  <si>
    <t>ted sorcey tub reglazing</t>
  </si>
  <si>
    <t>temperature to reglaze windows</t>
  </si>
  <si>
    <t>tesco reglaze glasses</t>
  </si>
  <si>
    <t>the best bathroom reglazers near whittier</t>
  </si>
  <si>
    <t>the best bathtub reglazing in nyc</t>
  </si>
  <si>
    <t>the best bathtub reglazing nyc</t>
  </si>
  <si>
    <t>the best do it yourself bath reglazing</t>
  </si>
  <si>
    <t>the custom spraying and reglazing company</t>
  </si>
  <si>
    <t>the reglazing company amarillo</t>
  </si>
  <si>
    <t>the reglazing company amarillo tx</t>
  </si>
  <si>
    <t>the reglazing pros</t>
  </si>
  <si>
    <t>thermal reglaze limited</t>
  </si>
  <si>
    <t>this old house reglazing windows</t>
  </si>
  <si>
    <t>thompson bathtub reglazing</t>
  </si>
  <si>
    <t>tile and bathtub reglazing</t>
  </si>
  <si>
    <t>tile and bathtub reglazing raleigh nc</t>
  </si>
  <si>
    <t>tile and reglazing</t>
  </si>
  <si>
    <t>tile countertop reglazing</t>
  </si>
  <si>
    <t>tile floor reglaze</t>
  </si>
  <si>
    <t>tile reglaz</t>
  </si>
  <si>
    <t>tile reglaze frances aversa</t>
  </si>
  <si>
    <t>tile reglaze near me</t>
  </si>
  <si>
    <t>tile reglazing 07086</t>
  </si>
  <si>
    <t>tile reglazing 2021</t>
  </si>
  <si>
    <t>tile reglazing 48167</t>
  </si>
  <si>
    <t>tile reglazing 48176</t>
  </si>
  <si>
    <t>tile reglazing albuquerque</t>
  </si>
  <si>
    <t>tile reglazing anaheim ca</t>
  </si>
  <si>
    <t>tile reglazing and refinishing ancaster</t>
  </si>
  <si>
    <t>tile reglazing and refinishing burlington</t>
  </si>
  <si>
    <t>tile reglazing and refinishing cambridge</t>
  </si>
  <si>
    <t>tile reglazing and refinishing fort erie</t>
  </si>
  <si>
    <t>tile reglazing and refinishing freelton</t>
  </si>
  <si>
    <t>tile reglazing and refinishing glen morris</t>
  </si>
  <si>
    <t>tile reglazing and refinishing grimsby</t>
  </si>
  <si>
    <t>tile reglazing and refinishing guelph</t>
  </si>
  <si>
    <t>tile reglazing and refinishing hamilton</t>
  </si>
  <si>
    <t>tile reglazing and refinishing kitchener</t>
  </si>
  <si>
    <t>tile reglazing and refinishing lincoln</t>
  </si>
  <si>
    <t>tile reglazing and refinishing mount hope</t>
  </si>
  <si>
    <t>tile reglazing and refinishing orangeville</t>
  </si>
  <si>
    <t>tile reglazing ann arbor</t>
  </si>
  <si>
    <t>tile reglazing athens ga</t>
  </si>
  <si>
    <t>tile reglazing atlanta ga</t>
  </si>
  <si>
    <t>tile reglazing before and after pictures</t>
  </si>
  <si>
    <t>tile reglazing bergen county nj</t>
  </si>
  <si>
    <t>tile reglazing boise</t>
  </si>
  <si>
    <t>tile reglazing boulder</t>
  </si>
  <si>
    <t>tile reglazing bridgeport pa</t>
  </si>
  <si>
    <t>tile reglazing brisbane</t>
  </si>
  <si>
    <t>tile reglazing brisbane southside</t>
  </si>
  <si>
    <t>tile reglazing brooklyn</t>
  </si>
  <si>
    <t>tile reglazing charlotte nc</t>
  </si>
  <si>
    <t>tile reglazing chattanooga</t>
  </si>
  <si>
    <t>tile reglazing chicago</t>
  </si>
  <si>
    <t>tile reglazing clear lake tx</t>
  </si>
  <si>
    <t>tile reglazing color chart</t>
  </si>
  <si>
    <t>tile reglazing colorado</t>
  </si>
  <si>
    <t>tile reglazing colors raleigh nc</t>
  </si>
  <si>
    <t>tile reglazing companies in alabama</t>
  </si>
  <si>
    <t>tile reglazing companies in hampton roads va</t>
  </si>
  <si>
    <t>tile reglazing cost in ct</t>
  </si>
  <si>
    <t>tile reglazing cost lansing</t>
  </si>
  <si>
    <t>tile reglazing cost nj</t>
  </si>
  <si>
    <t>tile reglazing cost per square foot</t>
  </si>
  <si>
    <t>tile reglazing cost reddit</t>
  </si>
  <si>
    <t>tile reglazing cost vs replacement diy</t>
  </si>
  <si>
    <t>tile reglazing cost vs replacing</t>
  </si>
  <si>
    <t>tile reglazing cost vs replacing diy</t>
  </si>
  <si>
    <t>tile reglazing cumberland county nj</t>
  </si>
  <si>
    <t>tile reglazing dayton ohio</t>
  </si>
  <si>
    <t>tile reglazing dearborn</t>
  </si>
  <si>
    <t>tile reglazing denver co</t>
  </si>
  <si>
    <t>tile reglazing des moines</t>
  </si>
  <si>
    <t>tile reglazing detroit</t>
  </si>
  <si>
    <t>tile reglazing duluth ga</t>
  </si>
  <si>
    <t>tile reglazing durability</t>
  </si>
  <si>
    <t>tile reglazing east florida</t>
  </si>
  <si>
    <t>tile reglazing el paso</t>
  </si>
  <si>
    <t>tile reglazing essex county nj</t>
  </si>
  <si>
    <t>tile reglazing farmington hills</t>
  </si>
  <si>
    <t>tile reglazing florida</t>
  </si>
  <si>
    <t>tile reglazing fumes</t>
  </si>
  <si>
    <t>tile reglazing good or bad</t>
  </si>
  <si>
    <t>tile reglazing grand rapids</t>
  </si>
  <si>
    <t>tile reglazing grand rapids mi</t>
  </si>
  <si>
    <t>tile reglazing home advisor</t>
  </si>
  <si>
    <t>tile reglazing houston tx</t>
  </si>
  <si>
    <t>tile reglazing in arlington</t>
  </si>
  <si>
    <t>tile reglazing in carrollton</t>
  </si>
  <si>
    <t>tile reglazing in cleveland ohio</t>
  </si>
  <si>
    <t>tile reglazing in color</t>
  </si>
  <si>
    <t>tile reglazing in dallas</t>
  </si>
  <si>
    <t>tile reglazing in delaware</t>
  </si>
  <si>
    <t>tile reglazing in fairfield county ct</t>
  </si>
  <si>
    <t>tile reglazing in frisco</t>
  </si>
  <si>
    <t>tile reglazing in garland</t>
  </si>
  <si>
    <t>tile reglazing in grand prairie</t>
  </si>
  <si>
    <t>tile reglazing in hampton roads va</t>
  </si>
  <si>
    <t>tile reglazing in irving</t>
  </si>
  <si>
    <t>tile reglazing in mckinney</t>
  </si>
  <si>
    <t>tile reglazing in mesquite</t>
  </si>
  <si>
    <t>tile reglazing in plano</t>
  </si>
  <si>
    <t>tile reglazing in ri</t>
  </si>
  <si>
    <t>tile reglazing in richardson</t>
  </si>
  <si>
    <t>tile reglazing indianapolis</t>
  </si>
  <si>
    <t>tile reglazing jacksonville fl</t>
  </si>
  <si>
    <t>tile reglazing jlf</t>
  </si>
  <si>
    <t>tile reglazing kalamazoo</t>
  </si>
  <si>
    <t>tile reglazing katy tx</t>
  </si>
  <si>
    <t>tile reglazing kitchen</t>
  </si>
  <si>
    <t>tile reglazing labor cost</t>
  </si>
  <si>
    <t>tile reglazing lake elsinore ca</t>
  </si>
  <si>
    <t>tile reglazing lewes delaware</t>
  </si>
  <si>
    <t>tile reglazing lynchburg va</t>
  </si>
  <si>
    <t>tile reglazing marlborough ma</t>
  </si>
  <si>
    <t>tile reglazing maryland</t>
  </si>
  <si>
    <t>tile reglazing md</t>
  </si>
  <si>
    <t>tile reglazing meaning</t>
  </si>
  <si>
    <t>tile reglazing melbourne</t>
  </si>
  <si>
    <t>tile reglazing melbourne fl</t>
  </si>
  <si>
    <t>tile reglazing metro detroit</t>
  </si>
  <si>
    <t>tile reglazing miami</t>
  </si>
  <si>
    <t>tile reglazing mobile al</t>
  </si>
  <si>
    <t>tile reglazing nashville</t>
  </si>
  <si>
    <t>tile reglazing nassau county</t>
  </si>
  <si>
    <t>tile reglazing near sf</t>
  </si>
  <si>
    <t>tile reglazing near sf peninsula</t>
  </si>
  <si>
    <t>tile reglazing new jersey</t>
  </si>
  <si>
    <t>tile reglazing new mexico</t>
  </si>
  <si>
    <t>tile reglazing northern virginia</t>
  </si>
  <si>
    <t>tile reglazing omaha ne</t>
  </si>
  <si>
    <t>tile reglazing orlando</t>
  </si>
  <si>
    <t>tile reglazing pictures</t>
  </si>
  <si>
    <t>tile reglazing pittsburgh</t>
  </si>
  <si>
    <t>tile reglazing price</t>
  </si>
  <si>
    <t>tile reglazing prices</t>
  </si>
  <si>
    <t>tile reglazing process</t>
  </si>
  <si>
    <t>tile reglazing pros and cons</t>
  </si>
  <si>
    <t>tile reglazing pros cons</t>
  </si>
  <si>
    <t>tile reglazing queens ny</t>
  </si>
  <si>
    <t>tile reglazing redford</t>
  </si>
  <si>
    <t>tile reglazing richmond</t>
  </si>
  <si>
    <t>tile reglazing rio rancho</t>
  </si>
  <si>
    <t>tile reglazing sacramento</t>
  </si>
  <si>
    <t>tile reglazing san diego</t>
  </si>
  <si>
    <t>tile reglazing service in penn yan ny</t>
  </si>
  <si>
    <t>tile reglazing services</t>
  </si>
  <si>
    <t>tile reglazing services 99516</t>
  </si>
  <si>
    <t>tile reglazing services alaska</t>
  </si>
  <si>
    <t>tile reglazing somerset county</t>
  </si>
  <si>
    <t>tile reglazing spring tx</t>
  </si>
  <si>
    <t>tile reglazing sterling heights</t>
  </si>
  <si>
    <t>tile reglazing sugarland tx</t>
  </si>
  <si>
    <t>tile reglazing supplies</t>
  </si>
  <si>
    <t>tile reglazing tampa fl</t>
  </si>
  <si>
    <t>tile reglazing tennessee</t>
  </si>
  <si>
    <t>tile reglazing texas</t>
  </si>
  <si>
    <t>tile reglazing toronto</t>
  </si>
  <si>
    <t>tile reglazing tucson</t>
  </si>
  <si>
    <t>tile reglazing union nj</t>
  </si>
  <si>
    <t>tile reglazing williamstown nj</t>
  </si>
  <si>
    <t>tile tub reglazing ri</t>
  </si>
  <si>
    <t>tile wall reglazing north hills</t>
  </si>
  <si>
    <t>tile&amp;tub reglazing ri</t>
  </si>
  <si>
    <t>tile+reglazing+monmouth+county+nj</t>
  </si>
  <si>
    <t>tile+reglazing+newark+nj</t>
  </si>
  <si>
    <t>tile.reglazing</t>
  </si>
  <si>
    <t>tiling reglazed full size bathtu</t>
  </si>
  <si>
    <t>tip top reglazing services</t>
  </si>
  <si>
    <t>tips for reglazing ceramics</t>
  </si>
  <si>
    <t>tips reglazing old windows</t>
  </si>
  <si>
    <t>to reglaze z cast iron tub who does the work</t>
  </si>
  <si>
    <t>toilet reglazing specialist spokane</t>
  </si>
  <si>
    <t>tokat reglazing tools</t>
  </si>
  <si>
    <t>tom simm's tile reglazing san fernando road glendale</t>
  </si>
  <si>
    <t>tom simms tile reglazing san fernando road glendale</t>
  </si>
  <si>
    <t>tom syms bathtub reglazing</t>
  </si>
  <si>
    <t>top bathtub &amp; tile reglazing arlington va reviews</t>
  </si>
  <si>
    <t>top coat reglazing</t>
  </si>
  <si>
    <t>top eyeglass reglazing</t>
  </si>
  <si>
    <t>top finish reglazing llc</t>
  </si>
  <si>
    <t>top finish reglazing nj</t>
  </si>
  <si>
    <t>top reglazing manassas</t>
  </si>
  <si>
    <t>top reglazing reviews</t>
  </si>
  <si>
    <t>top tampa florida bathtub reglazing</t>
  </si>
  <si>
    <t>topkote reglazing colors</t>
  </si>
  <si>
    <t>topkote reglazing system</t>
  </si>
  <si>
    <t>toronto tub reglaze reviews</t>
  </si>
  <si>
    <t>touch up bathroom reglazed tile</t>
  </si>
  <si>
    <t>touch up tube reglazing</t>
  </si>
  <si>
    <t>touching up a reglazed tube</t>
  </si>
  <si>
    <t>towson sunroom reglazing</t>
  </si>
  <si>
    <t>transitions xtractive reglaze</t>
  </si>
  <si>
    <t>tri-star reglazing corp</t>
  </si>
  <si>
    <t>tricities reglazing</t>
  </si>
  <si>
    <t>trip lver wont fit after reglazing</t>
  </si>
  <si>
    <t>ttub reglazing</t>
  </si>
  <si>
    <t>tub &amp; tile reglazing near me</t>
  </si>
  <si>
    <t>tub and shower reglazing hilo hawaii</t>
  </si>
  <si>
    <t>tub and surround reglazing cost</t>
  </si>
  <si>
    <t>tub and surround reglazing last</t>
  </si>
  <si>
    <t>tub and tile reglaze</t>
  </si>
  <si>
    <t>tub and tile reglaze danbury</t>
  </si>
  <si>
    <t>tub and tile reglazing bremerton</t>
  </si>
  <si>
    <t>tub and tile reglazing brooklyn</t>
  </si>
  <si>
    <t>tub and tile reglazing cincinnati</t>
  </si>
  <si>
    <t>tub and tile reglazing cost nj</t>
  </si>
  <si>
    <t>tub and tile reglazing ct</t>
  </si>
  <si>
    <t>tub and tile reglazing in chicago</t>
  </si>
  <si>
    <t>tub and tile reglazing in denver co</t>
  </si>
  <si>
    <t>tub and tile reglazing in iowa</t>
  </si>
  <si>
    <t>tub and tile reglazing long island</t>
  </si>
  <si>
    <t>tub and tile reglazing louisville ky</t>
  </si>
  <si>
    <t>tub and tile reglazing maryland</t>
  </si>
  <si>
    <t>tub and tile reglazing massachusetts</t>
  </si>
  <si>
    <t>tub and tile reglazing michigan</t>
  </si>
  <si>
    <t>tub and tile reglazing nassau county ny</t>
  </si>
  <si>
    <t>tub and tile reglazing near el segundo ca</t>
  </si>
  <si>
    <t>tub and tile reglazing nj</t>
  </si>
  <si>
    <t>tub and tile reglazing nyc</t>
  </si>
  <si>
    <t>tub and tile reglazing philadelphia</t>
  </si>
  <si>
    <t>tub and tile reglazing pittsburgh</t>
  </si>
  <si>
    <t>tub and tile reglazing process</t>
  </si>
  <si>
    <t>tub and tile reglazing richmond</t>
  </si>
  <si>
    <t>tub and tile reglazing tampa</t>
  </si>
  <si>
    <t>tub and tile reglazing wakefield ma</t>
  </si>
  <si>
    <t>tub and tile reglazing york pa</t>
  </si>
  <si>
    <t>tub boys bathtub reglazing &amp; surface</t>
  </si>
  <si>
    <t>tub boys bathtub reglazing &amp; surface restoration</t>
  </si>
  <si>
    <t>tub quality reglaze riverside ca</t>
  </si>
  <si>
    <t>tub reglaz</t>
  </si>
  <si>
    <t>tub reglaze abilene</t>
  </si>
  <si>
    <t>tub reglaze alaska</t>
  </si>
  <si>
    <t>tub reglaze calgary</t>
  </si>
  <si>
    <t>tub reglaze chicago</t>
  </si>
  <si>
    <t>tub reglaze company</t>
  </si>
  <si>
    <t>tub reglaze contact dermatitis</t>
  </si>
  <si>
    <t>tub reglaze denver</t>
  </si>
  <si>
    <t>tub reglaze epoxy mds sheet</t>
  </si>
  <si>
    <t>tub reglaze for bad spot</t>
  </si>
  <si>
    <t>tub reglaze issues</t>
  </si>
  <si>
    <t>tub reglaze keyport nj</t>
  </si>
  <si>
    <t>tub reglaze los angeles</t>
  </si>
  <si>
    <t>tub reglaze mccormick</t>
  </si>
  <si>
    <t>tub reglaze new york porcelain</t>
  </si>
  <si>
    <t>tub reglaze nj</t>
  </si>
  <si>
    <t>tub reglaze okc</t>
  </si>
  <si>
    <t>tub reglaze pricinf</t>
  </si>
  <si>
    <t>tub reglaze pricing</t>
  </si>
  <si>
    <t>tub reglaze process</t>
  </si>
  <si>
    <t>tub reglaze rochester ny</t>
  </si>
  <si>
    <t>tub reglaze smell</t>
  </si>
  <si>
    <t>tub reglazed near havertown pa</t>
  </si>
  <si>
    <t>tub reglazer</t>
  </si>
  <si>
    <t>tub reglazer grand rapids</t>
  </si>
  <si>
    <t>tub reglazers in corinth ms</t>
  </si>
  <si>
    <t>tub reglazers in jackson tn</t>
  </si>
  <si>
    <t>tub reglazers in long island</t>
  </si>
  <si>
    <t>tub reglazers in tupelo ms</t>
  </si>
  <si>
    <t>tub reglazers in west ashley area charleston sc</t>
  </si>
  <si>
    <t>tub reglazers nj</t>
  </si>
  <si>
    <t>tub reglazers philadelphia</t>
  </si>
  <si>
    <t>tub reglazers pittsburg ks</t>
  </si>
  <si>
    <t>tub reglazing 29720</t>
  </si>
  <si>
    <t>tub reglazing 32034</t>
  </si>
  <si>
    <t>tub reglazing 813 445-9319</t>
  </si>
  <si>
    <t>tub reglazing a tub liner</t>
  </si>
  <si>
    <t>tub reglazing albuquerque</t>
  </si>
  <si>
    <t>tub reglazing alpharetta</t>
  </si>
  <si>
    <t>tub reglazing amarillo tx</t>
  </si>
  <si>
    <t>tub reglazing amherst ny</t>
  </si>
  <si>
    <t>tub reglazing anaheim ca</t>
  </si>
  <si>
    <t>tub reglazing and boston</t>
  </si>
  <si>
    <t>tub reglazing and outgassing</t>
  </si>
  <si>
    <t>tub reglazing and pets</t>
  </si>
  <si>
    <t>tub reglazing appleton wi</t>
  </si>
  <si>
    <t>tub reglazing arlington va</t>
  </si>
  <si>
    <t>tub reglazing atlanta cost</t>
  </si>
  <si>
    <t>tub reglazing atlanta ga</t>
  </si>
  <si>
    <t>tub reglazing augusta ga</t>
  </si>
  <si>
    <t>tub reglazing austin</t>
  </si>
  <si>
    <t>tub reglazing austin texas</t>
  </si>
  <si>
    <t>tub reglazing bellingham wa</t>
  </si>
  <si>
    <t>tub reglazing benefits</t>
  </si>
  <si>
    <t>tub reglazing berks county pa</t>
  </si>
  <si>
    <t>tub reglazing binbrook</t>
  </si>
  <si>
    <t>tub reglazing bloomfield nj</t>
  </si>
  <si>
    <t>tub reglazing boulder</t>
  </si>
  <si>
    <t>tub reglazing bowie md</t>
  </si>
  <si>
    <t>tub reglazing bradenton</t>
  </si>
  <si>
    <t>tub reglazing brevard county</t>
  </si>
  <si>
    <t>tub reglazing brisbane</t>
  </si>
  <si>
    <t>tub reglazing bronx ny</t>
  </si>
  <si>
    <t>tub reglazing bucks county pa</t>
  </si>
  <si>
    <t>tub reglazing businesses 1963 daly avenue bronx ny</t>
  </si>
  <si>
    <t>tub reglazing ca</t>
  </si>
  <si>
    <t>tub reglazing calgary</t>
  </si>
  <si>
    <t>tub reglazing cambridge</t>
  </si>
  <si>
    <t>tub reglazing cambridge maryland</t>
  </si>
  <si>
    <t>tub reglazing canton mi</t>
  </si>
  <si>
    <t>tub reglazing cape cod</t>
  </si>
  <si>
    <t>tub reglazing cayuga</t>
  </si>
  <si>
    <t>tub reglazing central ma</t>
  </si>
  <si>
    <t>tub reglazing chantilly</t>
  </si>
  <si>
    <t>tub reglazing charlotte nc</t>
  </si>
  <si>
    <t>tub reglazing chattanooga</t>
  </si>
  <si>
    <t>tub reglazing chemicals</t>
  </si>
  <si>
    <t>tub reglazing chester springs</t>
  </si>
  <si>
    <t>tub reglazing clearwater</t>
  </si>
  <si>
    <t>tub reglazing clearwater fl</t>
  </si>
  <si>
    <t>tub reglazing clinton ct</t>
  </si>
  <si>
    <t>tub reglazing colorado</t>
  </si>
  <si>
    <t>tub reglazing colorado springs</t>
  </si>
  <si>
    <t>tub reglazing columbia sc</t>
  </si>
  <si>
    <t>tub reglazing columbus ohio</t>
  </si>
  <si>
    <t>tub reglazing companies in los angeles</t>
  </si>
  <si>
    <t>tub reglazing companies in michigan</t>
  </si>
  <si>
    <t>tub reglazing companies in new jersey</t>
  </si>
  <si>
    <t>tub reglazing companies nj</t>
  </si>
  <si>
    <t>tub reglazing companies staten island</t>
  </si>
  <si>
    <t>tub reglazing company venice fl</t>
  </si>
  <si>
    <t>tub reglazing connecticut</t>
  </si>
  <si>
    <t>tub reglazing corona</t>
  </si>
  <si>
    <t>tub reglazing cost in denver</t>
  </si>
  <si>
    <t>tub reglazing cost lansing</t>
  </si>
  <si>
    <t>tub reglazing cost orange</t>
  </si>
  <si>
    <t>tub reglazing costs</t>
  </si>
  <si>
    <t>tub reglazing coupons</t>
  </si>
  <si>
    <t>tub reglazing cranford nj</t>
  </si>
  <si>
    <t>tub reglazing dallas tx</t>
  </si>
  <si>
    <t>tub reglazing danbury ct</t>
  </si>
  <si>
    <t>tub reglazing dearborn</t>
  </si>
  <si>
    <t>tub reglazing delaware county pa</t>
  </si>
  <si>
    <t>tub reglazing denver co</t>
  </si>
  <si>
    <t>tub reglazing des moines iowa</t>
  </si>
  <si>
    <t>tub reglazing does it work</t>
  </si>
  <si>
    <t>tub reglazing duarte</t>
  </si>
  <si>
    <t>tub reglazing east florida</t>
  </si>
  <si>
    <t>tub reglazing east rockaway ny</t>
  </si>
  <si>
    <t>tub reglazing east texas</t>
  </si>
  <si>
    <t>tub reglazing edison nj</t>
  </si>
  <si>
    <t>tub reglazing el paso</t>
  </si>
  <si>
    <t>tub reglazing elmhurst</t>
  </si>
  <si>
    <t>tub reglazing elmhurst il</t>
  </si>
  <si>
    <t>tub reglazing en ventura california</t>
  </si>
  <si>
    <t>tub reglazing encinitas</t>
  </si>
  <si>
    <t>tub reglazing equipment</t>
  </si>
  <si>
    <t>tub reglazing erie pa</t>
  </si>
  <si>
    <t>tub reglazing fairfax va</t>
  </si>
  <si>
    <t>tub reglazing fairfield county ct</t>
  </si>
  <si>
    <t>tub reglazing fairfield ct</t>
  </si>
  <si>
    <t>tub reglazing faq</t>
  </si>
  <si>
    <t>tub reglazing farmington hills</t>
  </si>
  <si>
    <t>tub reglazing florence sc</t>
  </si>
  <si>
    <t>tub reglazing florida</t>
  </si>
  <si>
    <t>tub reglazing for casper wy</t>
  </si>
  <si>
    <t>tub reglazing fredericksburg va</t>
  </si>
  <si>
    <t>tub reglazing freehold nj</t>
  </si>
  <si>
    <t>tub reglazing fresno</t>
  </si>
  <si>
    <t>tub reglazing fumes</t>
  </si>
  <si>
    <t>tub reglazing fumes pets</t>
  </si>
  <si>
    <t>tub reglazing fumes safety pet</t>
  </si>
  <si>
    <t>tub reglazing fumes safety pets</t>
  </si>
  <si>
    <t>tub reglazing glendora</t>
  </si>
  <si>
    <t>tub reglazing greenville sc</t>
  </si>
  <si>
    <t>tub reglazing grimsby</t>
  </si>
  <si>
    <t>tub reglazing grosse pointe</t>
  </si>
  <si>
    <t>tub reglazing halifax</t>
  </si>
  <si>
    <t>tub reglazing hartford ct cost</t>
  </si>
  <si>
    <t>tub reglazing havertown pa</t>
  </si>
  <si>
    <t>tub reglazing health concerns</t>
  </si>
  <si>
    <t>tub reglazing hoboken nj</t>
  </si>
  <si>
    <t>tub reglazing honolulu</t>
  </si>
  <si>
    <t>tub reglazing houston</t>
  </si>
  <si>
    <t>tub reglazing huntington beach ca</t>
  </si>
  <si>
    <t>tub reglazing important points</t>
  </si>
  <si>
    <t>tub reglazing in apartment</t>
  </si>
  <si>
    <t>tub reglazing in bergan nj</t>
  </si>
  <si>
    <t>tub reglazing in bergen county nj</t>
  </si>
  <si>
    <t>tub reglazing in brandywine</t>
  </si>
  <si>
    <t>tub reglazing in burbank</t>
  </si>
  <si>
    <t>tub reglazing in corinth mississippi</t>
  </si>
  <si>
    <t>tub reglazing in delaware</t>
  </si>
  <si>
    <t>tub reglazing in glassboro nj</t>
  </si>
  <si>
    <t>tub reglazing in jackson tn</t>
  </si>
  <si>
    <t>tub reglazing in lakewood new jersey</t>
  </si>
  <si>
    <t>tub reglazing in lumberton nc</t>
  </si>
  <si>
    <t>tub reglazing in massachusetts</t>
  </si>
  <si>
    <t>tub reglazing in memphis</t>
  </si>
  <si>
    <t>tub reglazing in memphos</t>
  </si>
  <si>
    <t>tub reglazing in nj</t>
  </si>
  <si>
    <t>tub reglazing in queens</t>
  </si>
  <si>
    <t>tub reglazing in southeastern ct</t>
  </si>
  <si>
    <t>tub reglazing in st louis</t>
  </si>
  <si>
    <t>tub reglazing in starkville ms</t>
  </si>
  <si>
    <t>tub reglazing in syracuse</t>
  </si>
  <si>
    <t>tub reglazing in tewksbury ma</t>
  </si>
  <si>
    <t>tub reglazing in toms river new jersey</t>
  </si>
  <si>
    <t>tub reglazing in toms river nj</t>
  </si>
  <si>
    <t>tub reglazing in wilmington ma</t>
  </si>
  <si>
    <t>tub reglazing in wyoming</t>
  </si>
  <si>
    <t>tub reglazing inland empire</t>
  </si>
  <si>
    <t>tub reglazing instructions</t>
  </si>
  <si>
    <t>tub reglazing jackson mi</t>
  </si>
  <si>
    <t>tub reglazing jersey city</t>
  </si>
  <si>
    <t>tub reglazing johnstown pa</t>
  </si>
  <si>
    <t>tub reglazing kalamazoo mi</t>
  </si>
  <si>
    <t>tub reglazing kenosha wi</t>
  </si>
  <si>
    <t>tub reglazing kit reviews</t>
  </si>
  <si>
    <t>tub reglazing kitchener</t>
  </si>
  <si>
    <t>tub reglazing kits</t>
  </si>
  <si>
    <t>tub reglazing knoxville</t>
  </si>
  <si>
    <t>tub reglazing ky</t>
  </si>
  <si>
    <t>tub reglazing lakeland fl</t>
  </si>
  <si>
    <t>tub reglazing las vegas</t>
  </si>
  <si>
    <t>tub reglazing lawrenceville</t>
  </si>
  <si>
    <t>tub reglazing lazy lake</t>
  </si>
  <si>
    <t>tub reglazing livonia mi</t>
  </si>
  <si>
    <t>tub reglazing lodi ca</t>
  </si>
  <si>
    <t>tub reglazing long</t>
  </si>
  <si>
    <t>tub reglazing long island ny</t>
  </si>
  <si>
    <t>tub reglazing lowell</t>
  </si>
  <si>
    <t>tub reglazing lubbock</t>
  </si>
  <si>
    <t>tub reglazing ludlow ma</t>
  </si>
  <si>
    <t>tub reglazing machine</t>
  </si>
  <si>
    <t>tub reglazing macomb mi</t>
  </si>
  <si>
    <t>tub reglazing madison wi</t>
  </si>
  <si>
    <t>tub reglazing maine</t>
  </si>
  <si>
    <t>tub reglazing malvern pa</t>
  </si>
  <si>
    <t>tub reglazing manchester ct</t>
  </si>
  <si>
    <t>tub reglazing marietta ga</t>
  </si>
  <si>
    <t>tub reglazing material</t>
  </si>
  <si>
    <t>tub reglazing maui</t>
  </si>
  <si>
    <t>tub reglazing md</t>
  </si>
  <si>
    <t>tub reglazing melbourne fl</t>
  </si>
  <si>
    <t>tub reglazing mesa az</t>
  </si>
  <si>
    <t>tub reglazing miami</t>
  </si>
  <si>
    <t>tub reglazing middletown nj</t>
  </si>
  <si>
    <t>tub reglazing minneapolis</t>
  </si>
  <si>
    <t>tub reglazing mississauga</t>
  </si>
  <si>
    <t>tub reglazing moneta virginia</t>
  </si>
  <si>
    <t>tub reglazing montgomery al</t>
  </si>
  <si>
    <t>tub reglazing morris county nj</t>
  </si>
  <si>
    <t>tub reglazing mountain view</t>
  </si>
  <si>
    <t>tub reglazing mountain view ca</t>
  </si>
  <si>
    <t>tub reglazing muskegon</t>
  </si>
  <si>
    <t>tub reglazing muskegon mi</t>
  </si>
  <si>
    <t>tub reglazing naperville</t>
  </si>
  <si>
    <t>tub reglazing near 38375</t>
  </si>
  <si>
    <t>tub reglazing near dover pa</t>
  </si>
  <si>
    <t>tub reglazing near killingly ct</t>
  </si>
  <si>
    <t>tub reglazing near lebanon pa</t>
  </si>
  <si>
    <t>tub reglazing near myerstown pa</t>
  </si>
  <si>
    <t>tub reglazing near norwich ct</t>
  </si>
  <si>
    <t>tub reglazing near placentia ca</t>
  </si>
  <si>
    <t>tub reglazing near salem ct ct</t>
  </si>
  <si>
    <t>tub reglazing near vallejo california</t>
  </si>
  <si>
    <t>tub reglazing near west chester ohio</t>
  </si>
  <si>
    <t>tub reglazing near womelsdorf pa</t>
  </si>
  <si>
    <t>tub reglazing new britain ct</t>
  </si>
  <si>
    <t>tub reglazing new hampshire</t>
  </si>
  <si>
    <t>tub reglazing new haven ct</t>
  </si>
  <si>
    <t>tub reglazing new jersey</t>
  </si>
  <si>
    <t>tub reglazing new market alabama</t>
  </si>
  <si>
    <t>tub reglazing new mexico</t>
  </si>
  <si>
    <t>tub reglazing new orleans</t>
  </si>
  <si>
    <t>tub reglazing new york</t>
  </si>
  <si>
    <t>tub reglazing new york city</t>
  </si>
  <si>
    <t>tub reglazing newark nj</t>
  </si>
  <si>
    <t>tub reglazing nh</t>
  </si>
  <si>
    <t>tub reglazing nj cost</t>
  </si>
  <si>
    <t>tub reglazing north hills</t>
  </si>
  <si>
    <t>tub reglazing north jersey</t>
  </si>
  <si>
    <t>tub reglazing northern nj</t>
  </si>
  <si>
    <t>tub reglazing norwalk ct</t>
  </si>
  <si>
    <t>tub reglazing nyc yelp</t>
  </si>
  <si>
    <t>tub reglazing oakland county mi</t>
  </si>
  <si>
    <t>tub reglazing oakville</t>
  </si>
  <si>
    <t>tub reglazing okc</t>
  </si>
  <si>
    <t>tub reglazing omaha</t>
  </si>
  <si>
    <t>tub reglazing orange county ny</t>
  </si>
  <si>
    <t>tub reglazing orlando</t>
  </si>
  <si>
    <t>tub reglazing orlando fl</t>
  </si>
  <si>
    <t>tub reglazing paint lowes</t>
  </si>
  <si>
    <t>tub reglazing palm beach county</t>
  </si>
  <si>
    <t>tub reglazing palm springs</t>
  </si>
  <si>
    <t>tub reglazing park slope</t>
  </si>
  <si>
    <t>tub reglazing pasadena ca</t>
  </si>
  <si>
    <t>tub reglazing pawtucket ri</t>
  </si>
  <si>
    <t>tub reglazing peeling</t>
  </si>
  <si>
    <t>tub reglazing pennsauken nj</t>
  </si>
  <si>
    <t>tub reglazing phoenix</t>
  </si>
  <si>
    <t>tub reglazing phoenix az</t>
  </si>
  <si>
    <t>tub reglazing plano</t>
  </si>
  <si>
    <t>tub reglazing pomona</t>
  </si>
  <si>
    <t>tub reglazing portland maine</t>
  </si>
  <si>
    <t>tub reglazing portsmouth va</t>
  </si>
  <si>
    <t>tub reglazing prices</t>
  </si>
  <si>
    <t>tub reglazing problems</t>
  </si>
  <si>
    <t>tub reglazing pros and cons</t>
  </si>
  <si>
    <t>tub reglazing psmell</t>
  </si>
  <si>
    <t>tub reglazing queens new york</t>
  </si>
  <si>
    <t>tub reglazing raleigh</t>
  </si>
  <si>
    <t>tub reglazing reading pa</t>
  </si>
  <si>
    <t>tub reglazing refinishing oahu</t>
  </si>
  <si>
    <t>tub reglazing refinishing rochester ny</t>
  </si>
  <si>
    <t>tub reglazing repair</t>
  </si>
  <si>
    <t>tub reglazing rhode island</t>
  </si>
  <si>
    <t>tub reglazing richmond</t>
  </si>
  <si>
    <t>tub reglazing richmond ky</t>
  </si>
  <si>
    <t>tub reglazing rio rancho</t>
  </si>
  <si>
    <t>tub reglazing riverside</t>
  </si>
  <si>
    <t>tub reglazing riverview mi</t>
  </si>
  <si>
    <t>tub reglazing rockland county ny</t>
  </si>
  <si>
    <t>tub reglazing rockville md</t>
  </si>
  <si>
    <t>tub reglazing s tub liner</t>
  </si>
  <si>
    <t>tub reglazing sacramento</t>
  </si>
  <si>
    <t>tub reglazing san diego</t>
  </si>
  <si>
    <t>tub reglazing san francisco</t>
  </si>
  <si>
    <t>tub reglazing san jose ca area</t>
  </si>
  <si>
    <t>tub reglazing school</t>
  </si>
  <si>
    <t>tub reglazing scranton pa</t>
  </si>
  <si>
    <t>tub reglazing seattle</t>
  </si>
  <si>
    <t>tub reglazing service near me</t>
  </si>
  <si>
    <t>tub reglazing services near me</t>
  </si>
  <si>
    <t>tub reglazing shelby twp mi</t>
  </si>
  <si>
    <t>tub reglazing silver spring md</t>
  </si>
  <si>
    <t>tub reglazing site yelp.com</t>
  </si>
  <si>
    <t>tub reglazing southern california</t>
  </si>
  <si>
    <t>tub reglazing southfield</t>
  </si>
  <si>
    <t>tub reglazing special and 300</t>
  </si>
  <si>
    <t>tub reglazing specialist</t>
  </si>
  <si>
    <t>tub reglazing spokane wa</t>
  </si>
  <si>
    <t>tub reglazing springfield ma</t>
  </si>
  <si>
    <t>tub reglazing st. catharines</t>
  </si>
  <si>
    <t>tub reglazing stamford ct</t>
  </si>
  <si>
    <t>tub reglazing starkville ms</t>
  </si>
  <si>
    <t>tub reglazing start up kit</t>
  </si>
  <si>
    <t>tub reglazing staten island ny</t>
  </si>
  <si>
    <t>tub reglazing sterling heights</t>
  </si>
  <si>
    <t>tub reglazing summerville sc</t>
  </si>
  <si>
    <t>tub reglazing sunshine acres</t>
  </si>
  <si>
    <t>tub reglazing tampa florida</t>
  </si>
  <si>
    <t>tub reglazing tappahannock va</t>
  </si>
  <si>
    <t>tub reglazing techniques</t>
  </si>
  <si>
    <t>tub reglazing tennessee</t>
  </si>
  <si>
    <t>tub reglazing texarkana</t>
  </si>
  <si>
    <t>tub reglazing texarkana ar</t>
  </si>
  <si>
    <t>tub reglazing texarkana tx</t>
  </si>
  <si>
    <t>tub reglazing texas</t>
  </si>
  <si>
    <t>tub reglazing time</t>
  </si>
  <si>
    <t>tub reglazing titusville</t>
  </si>
  <si>
    <t>tub reglazing tn</t>
  </si>
  <si>
    <t>tub reglazing toledo</t>
  </si>
  <si>
    <t>tub reglazing toledo oh</t>
  </si>
  <si>
    <t>tub reglazing toledo ohio</t>
  </si>
  <si>
    <t>tub reglazing touch up only</t>
  </si>
  <si>
    <t>tub reglazing towson</t>
  </si>
  <si>
    <t>tub reglazing training in california</t>
  </si>
  <si>
    <t>tub reglazing training near me</t>
  </si>
  <si>
    <t>tub reglazing training school in florida</t>
  </si>
  <si>
    <t>tub reglazing trenton nj</t>
  </si>
  <si>
    <t>tub reglazing tucson</t>
  </si>
  <si>
    <t>tub reglazing tulsa ok</t>
  </si>
  <si>
    <t>tub reglazing using a roller</t>
  </si>
  <si>
    <t>tub reglazing vermont</t>
  </si>
  <si>
    <t>tub reglazing victoria bc</t>
  </si>
  <si>
    <t>tub reglazing wakefield ma</t>
  </si>
  <si>
    <t>tub reglazing warren mi</t>
  </si>
  <si>
    <t>tub reglazing washington dc pbt</t>
  </si>
  <si>
    <t>tub reglazing waterbury ct</t>
  </si>
  <si>
    <t>tub reglazing waterdown</t>
  </si>
  <si>
    <t>tub reglazing west chester pa</t>
  </si>
  <si>
    <t>tub reglazing west haven ct</t>
  </si>
  <si>
    <t>tub reglazing westchester</t>
  </si>
  <si>
    <t>tub reglazing westchester county ny</t>
  </si>
  <si>
    <t>tub reglazing weymouth ma</t>
  </si>
  <si>
    <t>tub reglazing wichita ks</t>
  </si>
  <si>
    <t>tub reglazing woodbridge nj</t>
  </si>
  <si>
    <t>tub reglazing woodbridge va</t>
  </si>
  <si>
    <t>tub reglazing wyckoff nj</t>
  </si>
  <si>
    <t>tub resurfacing reglazing clearwater</t>
  </si>
  <si>
    <t>tub shower combo reglazing</t>
  </si>
  <si>
    <t>tub shower reglazing primer</t>
  </si>
  <si>
    <t>tub surface reglazing</t>
  </si>
  <si>
    <t>tub surround reglazing</t>
  </si>
  <si>
    <t>tub tile reglazing clear lake tx</t>
  </si>
  <si>
    <t>tub tile reglazing cost</t>
  </si>
  <si>
    <t>tub tile reglazing houston tx</t>
  </si>
  <si>
    <t>tub tile reglazing in arlington</t>
  </si>
  <si>
    <t>tub tile reglazing in carrollton</t>
  </si>
  <si>
    <t>tub tile reglazing in dallas</t>
  </si>
  <si>
    <t>tub tile reglazing in frisco</t>
  </si>
  <si>
    <t>tub tile reglazing in garland</t>
  </si>
  <si>
    <t>tub tile reglazing in grand prairie</t>
  </si>
  <si>
    <t>tub tile reglazing in irving</t>
  </si>
  <si>
    <t>tub tile reglazing in mckinney</t>
  </si>
  <si>
    <t>tub tile reglazing in mesquite</t>
  </si>
  <si>
    <t>tub tile reglazing in plano</t>
  </si>
  <si>
    <t>tub tile reglazing in richardson</t>
  </si>
  <si>
    <t>tub tile reglazing katy tx</t>
  </si>
  <si>
    <t>tub tile reglazing spring tx</t>
  </si>
  <si>
    <t>tub tile reglazing sugarland tx</t>
  </si>
  <si>
    <t>tub&amp;tile reglaze</t>
  </si>
  <si>
    <t>tub+reglazing+monmouth+county+nj</t>
  </si>
  <si>
    <t>tub-reglazing.com</t>
  </si>
  <si>
    <t>tubart reglazing</t>
  </si>
  <si>
    <t>tube reglazers yonkers ny</t>
  </si>
  <si>
    <t>tube reglazing</t>
  </si>
  <si>
    <t>tubman reglazing schaumburg il</t>
  </si>
  <si>
    <t>tubs by tom stuart reglazing tubs and tile</t>
  </si>
  <si>
    <t>tubs reglazing in broward or palm beach county</t>
  </si>
  <si>
    <t>tucson arizoba bathtub reglazing</t>
  </si>
  <si>
    <t>tucson bathtub reglazing</t>
  </si>
  <si>
    <t>tucson reglazing</t>
  </si>
  <si>
    <t>tucson reglazing services</t>
  </si>
  <si>
    <t>tucson tub reglazing</t>
  </si>
  <si>
    <t>tucson-reglazing-services</t>
  </si>
  <si>
    <t>typical price to reglaze a bathtub</t>
  </si>
  <si>
    <t>ucc bathtub reglazing</t>
  </si>
  <si>
    <t>ucc reglazing</t>
  </si>
  <si>
    <t>ultimate reglaze inc keith tetreault email</t>
  </si>
  <si>
    <t>ultimate reglaze review</t>
  </si>
  <si>
    <t>unique reglaze westchester</t>
  </si>
  <si>
    <t>unique reglazing</t>
  </si>
  <si>
    <t>unique tub reglazing</t>
  </si>
  <si>
    <t>universal reglazing unlimited</t>
  </si>
  <si>
    <t>use lysol foam on reglazed tub</t>
  </si>
  <si>
    <t>using heat to cure reglazed tub</t>
  </si>
  <si>
    <t>using reglazing to paint kitchen backsplash tiles</t>
  </si>
  <si>
    <t>using the bathroom reglazing method to paint kitchen backsplash tiles</t>
  </si>
  <si>
    <t>v &amp; b tub reglazing</t>
  </si>
  <si>
    <t>vanity reglazing</t>
  </si>
  <si>
    <t>varifocal glasses reglaze</t>
  </si>
  <si>
    <t>varifocal reglaze</t>
  </si>
  <si>
    <t>varifocal reglaze glasses</t>
  </si>
  <si>
    <t>varifocal reglaze glasses online</t>
  </si>
  <si>
    <t>varilux x reglaze</t>
  </si>
  <si>
    <t>varilux x reglaze usa</t>
  </si>
  <si>
    <t>vbath reglazer oxnard</t>
  </si>
  <si>
    <t>velez reglazing</t>
  </si>
  <si>
    <t>video of reglazing a picture window</t>
  </si>
  <si>
    <t>vinegar for cleaning reglazed tub</t>
  </si>
  <si>
    <t>vinegar reglazed bathtub</t>
  </si>
  <si>
    <t>vinegar safe for reglazed tubs</t>
  </si>
  <si>
    <t>virginia reglazing alexandria va</t>
  </si>
  <si>
    <t>virginia reglazing reviews</t>
  </si>
  <si>
    <t>vision direct reglazing</t>
  </si>
  <si>
    <t>vision express reglazing</t>
  </si>
  <si>
    <t>visit us kitchen and bath reglazing.com</t>
  </si>
  <si>
    <t>wall tile reglazing pros and cons</t>
  </si>
  <si>
    <t>warsaw in bathtub reglazing</t>
  </si>
  <si>
    <t>watertown shower reglazing</t>
  </si>
  <si>
    <t>watertown wi bathtub reglazing</t>
  </si>
  <si>
    <t>we are not responsible if glass breaks while reglazing</t>
  </si>
  <si>
    <t>wedgewood reglazing</t>
  </si>
  <si>
    <t>weight limit on reglazed shower</t>
  </si>
  <si>
    <t>west covina bathtub reglazing</t>
  </si>
  <si>
    <t>westchester bathtub &amp; tile reglazing review</t>
  </si>
  <si>
    <t>westside reglazing instagram</t>
  </si>
  <si>
    <t>what are tubs reglazed with</t>
  </si>
  <si>
    <t>what can i use to clean my reglazed sink</t>
  </si>
  <si>
    <t>what can i use to clean reglazed kitchen sink</t>
  </si>
  <si>
    <t>what cleaner to use on reglazed bathtub</t>
  </si>
  <si>
    <t>what cleaner to use on reglazed tub</t>
  </si>
  <si>
    <t>what detergent is best for reglaze bathtub</t>
  </si>
  <si>
    <t>what do you do to grouting when you reglaze tiles</t>
  </si>
  <si>
    <t>what do you need to reglaze a tub</t>
  </si>
  <si>
    <t>what do you use to reglaze a bathtub</t>
  </si>
  <si>
    <t>what do you use to reglaze kitchen countertops</t>
  </si>
  <si>
    <t>what does a reglazed tub look like</t>
  </si>
  <si>
    <t>what does bathtub reglazing cost</t>
  </si>
  <si>
    <t>what does bathtub reglazing mean</t>
  </si>
  <si>
    <t>what does it cost to have a tub reglazed</t>
  </si>
  <si>
    <t>what does it cost to professionally reglaze a bathrub</t>
  </si>
  <si>
    <t>what does it cost to professionally reglaze a bathtub</t>
  </si>
  <si>
    <t>what does it cost to reglaze a bathroom tub</t>
  </si>
  <si>
    <t>what does it cost to reglaze a farmhouse kitchen sink</t>
  </si>
  <si>
    <t>what does it cost to reglaze a porcelain sink</t>
  </si>
  <si>
    <t>what does it cost to reglaze a sink</t>
  </si>
  <si>
    <t>what does it mean to reglaze glass</t>
  </si>
  <si>
    <t>what does reglaze glasses mean</t>
  </si>
  <si>
    <t>what does reglazer</t>
  </si>
  <si>
    <t>what does reglazer mean</t>
  </si>
  <si>
    <t>what does reglazing a tub cost</t>
  </si>
  <si>
    <t>what does reglazing tile mean</t>
  </si>
  <si>
    <t>what does reglazing windows mean</t>
  </si>
  <si>
    <t>what does tile reglazing cost in nj</t>
  </si>
  <si>
    <t>what equipment is needed to reglaze porcelain tiles</t>
  </si>
  <si>
    <t>what is a reglazed cast iron</t>
  </si>
  <si>
    <t>what is an alternative to reglazing the tub</t>
  </si>
  <si>
    <t>what is bath reglazing made of</t>
  </si>
  <si>
    <t>what is bathroom reglazing</t>
  </si>
  <si>
    <t>what is best reglazing or lining your old tub</t>
  </si>
  <si>
    <t>what is glass reglazing</t>
  </si>
  <si>
    <t>what is involved in reglazing a tub</t>
  </si>
  <si>
    <t>what is reglazing a countertop</t>
  </si>
  <si>
    <t>what is reglazing a shower</t>
  </si>
  <si>
    <t>what is reglazing a sink</t>
  </si>
  <si>
    <t>what is reglazing a skylight</t>
  </si>
  <si>
    <t>what is reglazing cabinets</t>
  </si>
  <si>
    <t>what is reglazing colorado</t>
  </si>
  <si>
    <t>what is reglazing colorado springs</t>
  </si>
  <si>
    <t>what is reglazing countertops</t>
  </si>
  <si>
    <t>what is reglazing denver</t>
  </si>
  <si>
    <t>what is reglazing glasse door</t>
  </si>
  <si>
    <t>what is reglazing kitchen cabinets</t>
  </si>
  <si>
    <t>what is reglazing lenses</t>
  </si>
  <si>
    <t>what is reglazing made of</t>
  </si>
  <si>
    <t>what is reglazing of bathtubs</t>
  </si>
  <si>
    <t>what is the average cost of bathtub reglazing</t>
  </si>
  <si>
    <t>what is the average cost to reglaze a tub</t>
  </si>
  <si>
    <t>what is the average price to reglaze a bathtub</t>
  </si>
  <si>
    <t>what is the best type of reglazing for porcelin</t>
  </si>
  <si>
    <t>what is the cost of bathtub reglazing</t>
  </si>
  <si>
    <t>what is the cost of reglazing a bathtub</t>
  </si>
  <si>
    <t>what is the cost to reglaze a shower pan</t>
  </si>
  <si>
    <t>what is the difference between reglazing and refinishing a tub</t>
  </si>
  <si>
    <t>what is the process for bathtub reglazing</t>
  </si>
  <si>
    <t>what is the process to reglaze a tub</t>
  </si>
  <si>
    <t>what is used to reglaze a tub</t>
  </si>
  <si>
    <t>what kind of paint to use on reglazed windowa</t>
  </si>
  <si>
    <t>what kind of tubs can be reglazed</t>
  </si>
  <si>
    <t>what licence do i need to reglazing refinishing</t>
  </si>
  <si>
    <t>what material is used to reglaze a bathtub</t>
  </si>
  <si>
    <t>what should i look for when choosing a tub reglazer</t>
  </si>
  <si>
    <t>what should i look for when having my bathtub reglazed</t>
  </si>
  <si>
    <t>what to do after your bathtub has been reglazed</t>
  </si>
  <si>
    <t>what to do with old tub reglaze or re liner</t>
  </si>
  <si>
    <t>what type of sprayer to reglaze a tub</t>
  </si>
  <si>
    <t>what works best for reglazing windows</t>
  </si>
  <si>
    <t>what works best to clean reglazed tub</t>
  </si>
  <si>
    <t>what's the going rate for reglazing bathtub</t>
  </si>
  <si>
    <t>whats the average cost of getting bathtub reglazed</t>
  </si>
  <si>
    <t>whats the cost of reglazing tub</t>
  </si>
  <si>
    <t>when is reglazing needed</t>
  </si>
  <si>
    <t>when is reglazing needed colorado</t>
  </si>
  <si>
    <t>when is reglazing needed colorado springs</t>
  </si>
  <si>
    <t>when is reglazing needed denver</t>
  </si>
  <si>
    <t>when reglazing tub best cleaner to use on it</t>
  </si>
  <si>
    <t>when should i reglaze my windows</t>
  </si>
  <si>
    <t>when to reglaze bathtub</t>
  </si>
  <si>
    <t>when to reglaze window</t>
  </si>
  <si>
    <t>when you reglaze a tub is it poisonous</t>
  </si>
  <si>
    <t>where can i find someone to reglaze my quartz countertops</t>
  </si>
  <si>
    <t>where can i get my bathtub reglazed</t>
  </si>
  <si>
    <t>where can i have reglaze porcelain sink</t>
  </si>
  <si>
    <t>where can i have reglaze porcelain sink in spokane wa</t>
  </si>
  <si>
    <t>where could i buy bathtub reglazing paint for professional</t>
  </si>
  <si>
    <t>where find someone reglaze plate mug bowl</t>
  </si>
  <si>
    <t>where find someone reglaze plate mug bowl ceramic pottery michigan</t>
  </si>
  <si>
    <t>where i could buy professional reglazing material</t>
  </si>
  <si>
    <t>where is jared of reglaze and restore</t>
  </si>
  <si>
    <t>where to get your donut screens reglazed</t>
  </si>
  <si>
    <t>where to reglaze porcelain</t>
  </si>
  <si>
    <t>which 409 to use on reglazed tubs</t>
  </si>
  <si>
    <t>while chloe reglaze bag</t>
  </si>
  <si>
    <t>white glove reglazing gosq.com</t>
  </si>
  <si>
    <t>white glove reglazing ny</t>
  </si>
  <si>
    <t>white glove tile and reglazing</t>
  </si>
  <si>
    <t>white tub reglazing &amp; tile</t>
  </si>
  <si>
    <t>white tub reglazing nj</t>
  </si>
  <si>
    <t>who can do bathtub reglazing in fargo nd</t>
  </si>
  <si>
    <t>who can do reglazing sink</t>
  </si>
  <si>
    <t>who can reglaze a porcelain sink in porcelain in dallas</t>
  </si>
  <si>
    <t>who can reglaze a tub</t>
  </si>
  <si>
    <t>who can reglaze an aquaglass tub</t>
  </si>
  <si>
    <t>who can reglaze storm window in denver</t>
  </si>
  <si>
    <t>who do you call to reglaze a shower stall</t>
  </si>
  <si>
    <t>who do you get to reglaze a bathtub</t>
  </si>
  <si>
    <t>who does bathtub reglazing near me</t>
  </si>
  <si>
    <t>who does reglazing in abingdon va</t>
  </si>
  <si>
    <t>who products to clean reglazed bathtub</t>
  </si>
  <si>
    <t>who reglaze bathtub in ct and will it last</t>
  </si>
  <si>
    <t>who reglazes bathtub in indpls area</t>
  </si>
  <si>
    <t>who reglazes porcelian sinks in kalispell mt</t>
  </si>
  <si>
    <t>who reglazes tubs</t>
  </si>
  <si>
    <t>who to call for reglazing bathtub</t>
  </si>
  <si>
    <t>who to hire to reglaze windows</t>
  </si>
  <si>
    <t>why do you need to reglaze my bathub</t>
  </si>
  <si>
    <t>why do you need to reheat ceramics to reglaze</t>
  </si>
  <si>
    <t>why reglaze a tub</t>
  </si>
  <si>
    <t>why reglaze a window</t>
  </si>
  <si>
    <t>why reglaze bathtub</t>
  </si>
  <si>
    <t>why replace just reglaze</t>
  </si>
  <si>
    <t>why should i reglaze bathroom tile</t>
  </si>
  <si>
    <t>why to reglaze windows</t>
  </si>
  <si>
    <t>will chloe reglaze bag</t>
  </si>
  <si>
    <t>will costco reglaze my glasses</t>
  </si>
  <si>
    <t>will hair color stain my reglazed tub</t>
  </si>
  <si>
    <t>will hair dye stain a reglazed bathtub</t>
  </si>
  <si>
    <t>will romer hurt my tub during reglazing</t>
  </si>
  <si>
    <t>will vinegar hurt a reglazed tub</t>
  </si>
  <si>
    <t>will vinegar ruin the shine on a reglaze tub</t>
  </si>
  <si>
    <t>will.borax hard the tub reglaze</t>
  </si>
  <si>
    <t>windiw reglazing</t>
  </si>
  <si>
    <t>window reglaze cost</t>
  </si>
  <si>
    <t>window reglaze glass</t>
  </si>
  <si>
    <t>window reglaze houston</t>
  </si>
  <si>
    <t>window reglaze meaning</t>
  </si>
  <si>
    <t>window reglazer in winston-salem</t>
  </si>
  <si>
    <t>window reglazers near me</t>
  </si>
  <si>
    <t>window reglazing 1980s</t>
  </si>
  <si>
    <t>window reglazing atlanta</t>
  </si>
  <si>
    <t>window reglazing charleston area sc</t>
  </si>
  <si>
    <t>window reglazing chicago</t>
  </si>
  <si>
    <t>window reglazing companies in mesa az</t>
  </si>
  <si>
    <t>window reglazing enumclaw</t>
  </si>
  <si>
    <t>window reglazing in naples</t>
  </si>
  <si>
    <t>window reglazing minneapolis</t>
  </si>
  <si>
    <t>window reglazing mn</t>
  </si>
  <si>
    <t>window reglazing parker co</t>
  </si>
  <si>
    <t>window reglazing providence ri</t>
  </si>
  <si>
    <t>window reglazing providence riu</t>
  </si>
  <si>
    <t>window reglazing rockford</t>
  </si>
  <si>
    <t>window reglazing san antonio</t>
  </si>
  <si>
    <t>window reglazing san francisco</t>
  </si>
  <si>
    <t>window reglazing seattle</t>
  </si>
  <si>
    <t>window reglazing st louis</t>
  </si>
  <si>
    <t>window reglazing vinyl</t>
  </si>
  <si>
    <t>windows reglaze</t>
  </si>
  <si>
    <t>windows reglaze v replace</t>
  </si>
  <si>
    <t>windows reglazed</t>
  </si>
  <si>
    <t>windows reglazing and repair</t>
  </si>
  <si>
    <t>wood window reglazing</t>
  </si>
  <si>
    <t>woodprix window reglazing</t>
  </si>
  <si>
    <t>would a reglazing business be considered a construction business</t>
  </si>
  <si>
    <t>wrightwood california bathtuj reglazing companies</t>
  </si>
  <si>
    <t>www glassesdirect co uk reglaze</t>
  </si>
  <si>
    <t>www reglaze glasses direct com review</t>
  </si>
  <si>
    <t>www.glassesdirect.co.uk reglaze</t>
  </si>
  <si>
    <t>www.google.com wy tub reglazing</t>
  </si>
  <si>
    <t>www.reglaze-glasses-direct.com review</t>
  </si>
  <si>
    <t>www.tub reglazing</t>
  </si>
  <si>
    <t>xactimate 28 roof tile reglaze line item</t>
  </si>
  <si>
    <t>xtreme images reglazing</t>
  </si>
  <si>
    <t>yelp a1 reglazing</t>
  </si>
  <si>
    <t>yelp advertiser reglazing</t>
  </si>
  <si>
    <t>yelp bathtub reglazed</t>
  </si>
  <si>
    <t>yelp bathtub reglazing matt</t>
  </si>
  <si>
    <t>yelp bathtub reglazing watertown wisconsin</t>
  </si>
  <si>
    <t>yelp pkb reglazing</t>
  </si>
  <si>
    <t>yelp reglaze tech</t>
  </si>
  <si>
    <t>yelp reglazing 34209</t>
  </si>
  <si>
    <t>yelp tub reglazing</t>
  </si>
  <si>
    <t>yelp tub reglazing oahu</t>
  </si>
  <si>
    <t>you need a contractor's licence for reglazing</t>
  </si>
  <si>
    <t>you need a contractors licence for reglazing</t>
  </si>
  <si>
    <t>you tube cleaning reglazed bathtub</t>
  </si>
  <si>
    <t>you tube reglaze a sink</t>
  </si>
  <si>
    <t>youtube bathtub reglazing</t>
  </si>
  <si>
    <t>youtube how to reglaze a bathtub</t>
  </si>
  <si>
    <t>youtube reglaze a single pane window</t>
  </si>
  <si>
    <t>youtube reglazing bathtub</t>
  </si>
  <si>
    <t>youtube reglazing bathtubs</t>
  </si>
  <si>
    <t>yukon reglaze</t>
  </si>
  <si>
    <t>zeiss lenses reglaze</t>
  </si>
  <si>
    <t>zeiss reglaze</t>
  </si>
  <si>
    <t>zenni reglaze</t>
  </si>
  <si>
    <t>note</t>
  </si>
  <si>
    <t>jlfreglazing.com</t>
  </si>
  <si>
    <t>https://latubs.com/</t>
  </si>
  <si>
    <t>good before and after desktop slider, responsive by hovering vs having to click, hours clearly stated (Mon-Sun, 8 AM - 8PM</t>
  </si>
  <si>
    <t>refinishing training</t>
  </si>
  <si>
    <t>https://www.napcoltd.com/contact/</t>
  </si>
  <si>
    <t>Domain</t>
  </si>
  <si>
    <t>Competitor Relevance</t>
  </si>
  <si>
    <t>Common Keywords</t>
  </si>
  <si>
    <t>Organic Keywords</t>
  </si>
  <si>
    <t>Organic Traffic</t>
  </si>
  <si>
    <t>Organic Cost</t>
  </si>
  <si>
    <t>Adwords Keywords</t>
  </si>
  <si>
    <t>City, State</t>
  </si>
  <si>
    <t>Los Angeles Coverage</t>
  </si>
  <si>
    <t>reglazinglosangeles.com</t>
  </si>
  <si>
    <t>Y</t>
  </si>
  <si>
    <t>jpglazing.com</t>
  </si>
  <si>
    <t>jpglazing.com: Boston, Massachusetts
paylessbathmakeover.com: Glendale, CA
toprefinishing.com: Los Angeles
megareglazing.com: Los Angeles, CA
protubrefinishing.com: Norwalk, CA</t>
  </si>
  <si>
    <t>paylessbathmakeover.com</t>
  </si>
  <si>
    <t>toprefinishing.com</t>
  </si>
  <si>
    <t>megareglazing.com</t>
  </si>
  <si>
    <t>protubrefinishing.com</t>
  </si>
  <si>
    <t>pacificreglazing.com</t>
  </si>
  <si>
    <t>latubs.com</t>
  </si>
  <si>
    <t>tubboys.com</t>
  </si>
  <si>
    <t>a-1reglazing-inc.com</t>
  </si>
  <si>
    <t>bryansreglazing.com</t>
  </si>
  <si>
    <t>reglazingstudio.com</t>
  </si>
  <si>
    <t>fivestarreglazing.com</t>
  </si>
  <si>
    <t>reglazinglosangeles.net</t>
  </si>
  <si>
    <t>Y\</t>
  </si>
  <si>
    <t>newshinebathtubrefinishing.com</t>
  </si>
  <si>
    <t>refinishingprimebath.com</t>
  </si>
  <si>
    <t>sustainablereglazing.com</t>
  </si>
  <si>
    <t>reglazingnyc.com</t>
  </si>
  <si>
    <t>wilmingtontubreglazing.com</t>
  </si>
  <si>
    <t>bathtubrefinishers.com</t>
  </si>
  <si>
    <t>freshtubrefinishing.com</t>
  </si>
  <si>
    <t>thermo-glaze.com.au</t>
  </si>
  <si>
    <t>yoursisterspotshop.com</t>
  </si>
  <si>
    <t>nufinishpro.com</t>
  </si>
  <si>
    <t>bathtubrefinishingfl.com</t>
  </si>
  <si>
    <t>everglazecoatings.com</t>
  </si>
  <si>
    <t>uniquereglaze.com</t>
  </si>
  <si>
    <t>blackstonetubrefinishers.ca</t>
  </si>
  <si>
    <t>simprobda.com</t>
  </si>
  <si>
    <t>uglytub.com</t>
  </si>
  <si>
    <t>prontorefinishing.com</t>
  </si>
  <si>
    <t>jemcoreglazers.com</t>
  </si>
  <si>
    <t>amazingreglazingri.com</t>
  </si>
  <si>
    <t>shinytubreglazing.com</t>
  </si>
  <si>
    <t>simplyreglaze.com</t>
  </si>
  <si>
    <t>diamondreglazing.com</t>
  </si>
  <si>
    <t>tubcoaters.com</t>
  </si>
  <si>
    <t>allnewtub.com</t>
  </si>
  <si>
    <t>anthonysreglazing.com</t>
  </si>
  <si>
    <t>chicagotubandtile.com</t>
  </si>
  <si>
    <t>excellencereglazing.com</t>
  </si>
  <si>
    <t>surfacerenew.net</t>
  </si>
  <si>
    <t>stlreglazing.com</t>
  </si>
  <si>
    <t>americantubreglazing.com</t>
  </si>
  <si>
    <t>resurfacelouisville.com</t>
  </si>
  <si>
    <t>amazingtileandtubreglazing.com</t>
  </si>
  <si>
    <t>rubadubtubreglazing.com</t>
  </si>
  <si>
    <t>kcreglazing.com</t>
  </si>
  <si>
    <t>torresconstructionpainting.com</t>
  </si>
  <si>
    <t>topreglazing.com</t>
  </si>
  <si>
    <t>standardbathtubreglazing.com</t>
  </si>
  <si>
    <t>topkote.com</t>
  </si>
  <si>
    <t>specializedrefinishing.com</t>
  </si>
  <si>
    <t>jetsglazing.com</t>
  </si>
  <si>
    <t>thesurfacedoctors.com</t>
  </si>
  <si>
    <t>refinishing-pros.com</t>
  </si>
  <si>
    <t>tubfusion.com</t>
  </si>
  <si>
    <t>bathtubdenver.net</t>
  </si>
  <si>
    <t>bathrefinishingsolutions.com</t>
  </si>
  <si>
    <t>baystaterefinishing.com</t>
  </si>
  <si>
    <t>bathtubresurfacingsite.com</t>
  </si>
  <si>
    <t>supremebathrefinishing.com</t>
  </si>
  <si>
    <t>rapidrefinishingco.com</t>
  </si>
  <si>
    <t>njbathtubrefinishers.com</t>
  </si>
  <si>
    <t>refinishedbathsolutions.com</t>
  </si>
  <si>
    <t>bathinnovations.com</t>
  </si>
  <si>
    <t>hightechreglazing.com</t>
  </si>
  <si>
    <t>wvhbathtub.com</t>
  </si>
  <si>
    <t>smartfloorsusa.com</t>
  </si>
  <si>
    <t>splashreglazing.com</t>
  </si>
  <si>
    <t>durafinish.net</t>
  </si>
  <si>
    <t>camposbathtub.com</t>
  </si>
  <si>
    <t>servicedoctor.net</t>
  </si>
  <si>
    <t>permaglazetx.com</t>
  </si>
  <si>
    <t>adamovreglazing.com</t>
  </si>
  <si>
    <t>myrefreshrefinishing.com</t>
  </si>
  <si>
    <t>suncoasttubandtilerefinishing.com</t>
  </si>
  <si>
    <t>europeanreglazing.com</t>
  </si>
  <si>
    <t>amazingrefinishing.com</t>
  </si>
  <si>
    <t>anthonysreglazingfl.com</t>
  </si>
  <si>
    <t>tufftubrefinishing.com</t>
  </si>
  <si>
    <t>ogdenbathtubrefinishing.com</t>
  </si>
  <si>
    <t>chipstubandtilerefinish.com</t>
  </si>
  <si>
    <t>austintubsurgeon.com</t>
  </si>
  <si>
    <t>bathtubrefinishinglondon.com</t>
  </si>
  <si>
    <t>finishpro360.com</t>
  </si>
  <si>
    <t>absolutetub.com</t>
  </si>
  <si>
    <t>alltubsky.com</t>
  </si>
  <si>
    <t>jannetintl.com</t>
  </si>
  <si>
    <t>keybathroomtilerestoration.com</t>
  </si>
  <si>
    <t>bathtub-master.com</t>
  </si>
  <si>
    <t>tubbydiy.com</t>
  </si>
  <si>
    <t>gandhresurfacing.com</t>
  </si>
  <si>
    <t>bathtubrefinishingca.com</t>
  </si>
  <si>
    <t>bathtubrefinishingtampa.net</t>
  </si>
  <si>
    <t>bathtubrefinishingdallas.com</t>
  </si>
  <si>
    <t>brooksbrothershandyman.com</t>
  </si>
  <si>
    <t>bathremodelingraleighnc.com</t>
  </si>
  <si>
    <t>napcoltd.com</t>
  </si>
  <si>
    <t>affordabletubrefinishingtx.com</t>
  </si>
  <si>
    <t>topnotchhardwoodfloors.com</t>
  </si>
  <si>
    <t>boiserefinishing.com</t>
  </si>
  <si>
    <t>permacerambathroom.com</t>
  </si>
  <si>
    <t>longislandtubrefinishing.com</t>
  </si>
  <si>
    <t>floridarefinishing.com</t>
  </si>
  <si>
    <t>scvfloorsmith.com</t>
  </si>
  <si>
    <t>combath.com</t>
  </si>
  <si>
    <t>marylandtubntile.com</t>
  </si>
  <si>
    <t>dallastubpros.com</t>
  </si>
  <si>
    <t>coloradotubrepair.com</t>
  </si>
  <si>
    <t>renov8co.com</t>
  </si>
  <si>
    <t>tubguyrefinishing.com</t>
  </si>
  <si>
    <t>dallasbathtubrefinishing.com</t>
  </si>
  <si>
    <t>yournewtubs.com</t>
  </si>
  <si>
    <t>welspunflooring.com</t>
  </si>
  <si>
    <t>whiteglovereglazing.com</t>
  </si>
  <si>
    <t>uniquerefinishers.com</t>
  </si>
  <si>
    <t>reglazepros.com</t>
  </si>
  <si>
    <t>universaltile.net</t>
  </si>
  <si>
    <t>unitedtradelinks.com.au</t>
  </si>
  <si>
    <t>bathroomsurfacesolutions.com</t>
  </si>
  <si>
    <t>tampatubandtilerefinishing.com</t>
  </si>
  <si>
    <t>paramount-reglaze.com</t>
  </si>
  <si>
    <t>masterteckrepair.com</t>
  </si>
  <si>
    <t>thetubpros.com</t>
  </si>
  <si>
    <t>repelecarpet.com</t>
  </si>
  <si>
    <t>ceconcreteri.com</t>
  </si>
  <si>
    <t>sharprefinishing.com</t>
  </si>
  <si>
    <t>nu-tub.net</t>
  </si>
  <si>
    <t>idealrefinishing.com</t>
  </si>
  <si>
    <t>sirgroutboston.com</t>
  </si>
  <si>
    <t>bathtubreglazinginc.com</t>
  </si>
  <si>
    <t>connecticutreglazing.com</t>
  </si>
  <si>
    <t>alisfinishingtouch.com</t>
  </si>
  <si>
    <t>bathtubmagic.ca</t>
  </si>
  <si>
    <t>sauguscontractor.com</t>
  </si>
  <si>
    <t>nuglaze.net</t>
  </si>
  <si>
    <t>armortechresurfacing.com</t>
  </si>
  <si>
    <t>idealresurfacing.com</t>
  </si>
  <si>
    <t>prestigerefinishers.com</t>
  </si>
  <si>
    <t>drresurface.com</t>
  </si>
  <si>
    <t>reglazeitnow.com</t>
  </si>
  <si>
    <t>amazingrefinishingfl.com</t>
  </si>
  <si>
    <t>covebath.com</t>
  </si>
  <si>
    <t>lakewood-tub-reglazing.com</t>
  </si>
  <si>
    <t>newsuperiortub.com</t>
  </si>
  <si>
    <t>menjivars-painting.com</t>
  </si>
  <si>
    <t>allprorefinishing.com</t>
  </si>
  <si>
    <t>tubreglazers.com</t>
  </si>
  <si>
    <t>reglazingwow.ca</t>
  </si>
  <si>
    <t>greaterdfwrefinishers.com</t>
  </si>
  <si>
    <t>spaceandhabit.com</t>
  </si>
  <si>
    <t>bathroomprosnj.com</t>
  </si>
  <si>
    <t>surfacespecialists.com</t>
  </si>
  <si>
    <t>surfacespecialistsofdenver.com</t>
  </si>
  <si>
    <t>mastercraftusa.com</t>
  </si>
  <si>
    <t>dalydigs.com</t>
  </si>
  <si>
    <t>originalstyle.com</t>
  </si>
  <si>
    <t>nytubs.com</t>
  </si>
  <si>
    <t>freshlookrefinishing.com</t>
  </si>
  <si>
    <t>dwilpainting.com</t>
  </si>
  <si>
    <t>toddsbathtubs.com</t>
  </si>
  <si>
    <t>thebestrefinishing.com</t>
  </si>
  <si>
    <t>bathtubmadenew.com</t>
  </si>
  <si>
    <t>armoglazeservice.com</t>
  </si>
  <si>
    <t>tub-guy.com</t>
  </si>
  <si>
    <t>ucoatit.com</t>
  </si>
  <si>
    <t>tubzz.com</t>
  </si>
  <si>
    <t>thetubguys.net</t>
  </si>
  <si>
    <t>carillonrugs.com</t>
  </si>
  <si>
    <t>thetubguys757.com</t>
  </si>
  <si>
    <t>igloosurfaces.com</t>
  </si>
  <si>
    <t>resurfacingsolutions.net</t>
  </si>
  <si>
    <t>thebathtubdoctor.com</t>
  </si>
  <si>
    <t>24hourbath.com</t>
  </si>
  <si>
    <t>bathtubandtilerestoration.com</t>
  </si>
  <si>
    <t>tilerestoration.com</t>
  </si>
  <si>
    <t>klasskote.com</t>
  </si>
  <si>
    <t>empresafloors.com</t>
  </si>
  <si>
    <t>bathrefinishingresource.com</t>
  </si>
  <si>
    <t>powerpaintingplus.com</t>
  </si>
  <si>
    <t>usacountertopsmass.com</t>
  </si>
  <si>
    <t>decorative-coating.com</t>
  </si>
  <si>
    <t>aaatubntile.com</t>
  </si>
  <si>
    <t>abathreglazing.com</t>
  </si>
  <si>
    <t>aandjresurfacing.com</t>
  </si>
  <si>
    <t>bathtubrefinishingco.net</t>
  </si>
  <si>
    <t>probathtubrefinishing.com</t>
  </si>
  <si>
    <t>renewitrefinishing.com</t>
  </si>
  <si>
    <t>reglazingsolutions.com</t>
  </si>
  <si>
    <t>nycreglazing.com</t>
  </si>
  <si>
    <t>reglazingco.com</t>
  </si>
  <si>
    <t>bathtubreglazinglb.com</t>
  </si>
  <si>
    <t>bathtubrestorations.com</t>
  </si>
  <si>
    <t>amazingreglazingg.com</t>
  </si>
  <si>
    <t>eleganttubtilerefinishing.com</t>
  </si>
  <si>
    <t>whitetubs.com</t>
  </si>
  <si>
    <t>azulejossola.co.uk</t>
  </si>
  <si>
    <t>armorkote.net</t>
  </si>
  <si>
    <t>brooklyntubrefinishing.com</t>
  </si>
  <si>
    <t>patty.plus</t>
  </si>
  <si>
    <t>renewyourtub.com</t>
  </si>
  <si>
    <t>jrcoatingtechnologies.com</t>
  </si>
  <si>
    <t>baufix-online.com</t>
  </si>
  <si>
    <t>wrenthambathrooms.com</t>
  </si>
  <si>
    <t>kelloggsporcelain.com</t>
  </si>
  <si>
    <t>hudsontubs.com</t>
  </si>
  <si>
    <t>newarktubreglazing.com</t>
  </si>
  <si>
    <t>keystoneresurfacing.com</t>
  </si>
  <si>
    <t>sacramentobathtubrefinishing.org</t>
  </si>
  <si>
    <t>allin1coatings.com</t>
  </si>
  <si>
    <t>fantasticresurfacing.com.au</t>
  </si>
  <si>
    <t>wrenthambathtubs.com</t>
  </si>
  <si>
    <t>tiptoprestorations.com</t>
  </si>
  <si>
    <t>advancedreglazing.com</t>
  </si>
  <si>
    <t>ohiotubpros.com</t>
  </si>
  <si>
    <t>frankensteinrefinishing.com</t>
  </si>
  <si>
    <t>paintedotter.com</t>
  </si>
  <si>
    <t>enduringsurface.com</t>
  </si>
  <si>
    <t>proreglaze.com</t>
  </si>
  <si>
    <t>anamazingreglazingq.com</t>
  </si>
  <si>
    <t>pmcabathrooms.com</t>
  </si>
  <si>
    <t>familyhandyman.com</t>
  </si>
  <si>
    <t>vintagetub.com</t>
  </si>
  <si>
    <t>blockrenovation.com</t>
  </si>
  <si>
    <t>daichcoatings.com</t>
  </si>
  <si>
    <t>ibathtub.com</t>
  </si>
  <si>
    <t>thegroutmedic.com</t>
  </si>
  <si>
    <t>greatbuildz.com</t>
  </si>
  <si>
    <t>paintritepros.com</t>
  </si>
  <si>
    <t>gettilesonline.com.au</t>
  </si>
  <si>
    <t>all.biz</t>
  </si>
  <si>
    <t>streamlinebath.com</t>
  </si>
  <si>
    <t>setileconnection.com</t>
  </si>
  <si>
    <t>surfaceexperts.com</t>
  </si>
  <si>
    <t>tandlinternational.com</t>
  </si>
  <si>
    <t>surface-renew.com</t>
  </si>
  <si>
    <t>correctcaulking.com.au</t>
  </si>
  <si>
    <t>nationalplastics.co.uk</t>
  </si>
  <si>
    <t>stonerestorationworks.com</t>
  </si>
  <si>
    <t>simplepracticalbeautiful.com</t>
  </si>
  <si>
    <t>peachpainting.com</t>
  </si>
  <si>
    <t>bath-works.net</t>
  </si>
  <si>
    <t>acamporainteriors.com</t>
  </si>
  <si>
    <t>roperrhodes.co.uk</t>
  </si>
  <si>
    <t>jeweledinteriors.com</t>
  </si>
  <si>
    <t>hambletonhandyman.com</t>
  </si>
  <si>
    <t>seiffertlumber.com</t>
  </si>
  <si>
    <t>getagrip.com</t>
  </si>
  <si>
    <t>trustedpros.ca</t>
  </si>
  <si>
    <t>aosom.ca</t>
  </si>
  <si>
    <t>georgebathroom.com</t>
  </si>
  <si>
    <t>thebesttileinstallation.com</t>
  </si>
  <si>
    <t>ctasc.com</t>
  </si>
  <si>
    <t>drench.co.uk</t>
  </si>
  <si>
    <t>bngremodel.com</t>
  </si>
  <si>
    <t>jandjconstruction.com</t>
  </si>
  <si>
    <t>homeimprovementskansascity.com</t>
  </si>
  <si>
    <t>panelcompany.co.uk</t>
  </si>
  <si>
    <t>smartcret.com</t>
  </si>
  <si>
    <t>semcofl.com</t>
  </si>
  <si>
    <t>serviceteam.co.uk</t>
  </si>
  <si>
    <t>theinteriorsaddict.com</t>
  </si>
  <si>
    <t>carpetoutlets.net</t>
  </si>
  <si>
    <t>columbusbathdesign.com</t>
  </si>
  <si>
    <t>monarchpainting.com.au</t>
  </si>
  <si>
    <t>bathprofessional.com</t>
  </si>
  <si>
    <t>rihi.com</t>
  </si>
  <si>
    <t>lavishceramics.com</t>
  </si>
  <si>
    <t>bathtubrefinishingstore.com</t>
  </si>
  <si>
    <t>varmora.com</t>
  </si>
  <si>
    <t>n2n.la</t>
  </si>
  <si>
    <t>rivercityboston.com</t>
  </si>
  <si>
    <t>arlandriafloors.com</t>
  </si>
  <si>
    <t>seattlebathtubguy.com</t>
  </si>
  <si>
    <t>lifespanhi.com</t>
  </si>
  <si>
    <t>homelivinghandbook.com</t>
  </si>
  <si>
    <t>foxvalleybathtubrefinishing.com</t>
  </si>
  <si>
    <t>porcelainsuperstore.co.uk</t>
  </si>
  <si>
    <t>tileoutlet.net</t>
  </si>
  <si>
    <t>ultrabathroom.com</t>
  </si>
  <si>
    <t>superiorbathtubrefinishing.com</t>
  </si>
  <si>
    <t>bathtubguys.com</t>
  </si>
  <si>
    <t>renukrete.com</t>
  </si>
  <si>
    <t>paintpositive.com</t>
  </si>
  <si>
    <t>premierrefinishing.net</t>
  </si>
  <si>
    <t>dsapone.com</t>
  </si>
  <si>
    <t>tiledoctor.biz</t>
  </si>
  <si>
    <t>bathroomwerx.com.au</t>
  </si>
  <si>
    <t>californiatilerestoration.com</t>
  </si>
  <si>
    <t>seamlessoverlays.com</t>
  </si>
  <si>
    <t>foremansnags.com</t>
  </si>
  <si>
    <t>somathomeremodeling.com</t>
  </si>
  <si>
    <t>southingtonpainting.com</t>
  </si>
  <si>
    <t>accurateplumbingtx.com</t>
  </si>
  <si>
    <t>bathrenovationhq.com</t>
  </si>
  <si>
    <t>gouldpaintingwny.com</t>
  </si>
  <si>
    <t>cincottitile.com</t>
  </si>
  <si>
    <t>ftworthrefinishing.com</t>
  </si>
  <si>
    <t>mrresurface.com</t>
  </si>
  <si>
    <t>stone3.com.au</t>
  </si>
  <si>
    <t>bathtubrefinishingtulsa.com</t>
  </si>
  <si>
    <t>classicallyjill.com</t>
  </si>
  <si>
    <t>borobathrooms.co.uk</t>
  </si>
  <si>
    <t>a1reglaze.com</t>
  </si>
  <si>
    <t>re-surfacepro.com</t>
  </si>
  <si>
    <t>bathroomremodeleriepa.com</t>
  </si>
  <si>
    <t>capsulegallery.com</t>
  </si>
  <si>
    <t>tubnshower.com</t>
  </si>
  <si>
    <t>mayfairbuildinggroup.com.au</t>
  </si>
  <si>
    <t>thebathtubguy.com</t>
  </si>
  <si>
    <t>capitalbathrooms.com.au</t>
  </si>
  <si>
    <t>amazingtubsreglaze.com</t>
  </si>
  <si>
    <t>losangelesbathtubreglazing.webflow.io</t>
  </si>
  <si>
    <t>dallastubrefinishing.com</t>
  </si>
  <si>
    <t>floridatubreglazing.com</t>
  </si>
  <si>
    <t>alfredosrefinish.com</t>
  </si>
  <si>
    <t>johnsonflooringtn.com</t>
  </si>
  <si>
    <t>winchestertileservice.com</t>
  </si>
  <si>
    <t>rksbathtubandtilerestorations.com</t>
  </si>
  <si>
    <t>strivetilereglazing.com</t>
  </si>
  <si>
    <t>reglazinglosangeles0.yolasite.com</t>
  </si>
  <si>
    <t>aaarefinishing.com</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</si>
</sst>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numFmts>
  <fonts count="12">
    <font>
      <sz val="10.0"/>
      <color rgb="FF000000"/>
      <name val="Arial"/>
      <scheme val="minor"/>
    </font>
    <font>
      <color theme="1"/>
      <name val="Arial"/>
      <scheme val="minor"/>
    </font>
    <font>
      <b/>
      <sz val="17.0"/>
      <color rgb="FF000000"/>
      <name val="Ahrefs"/>
    </font>
    <font>
      <sz val="14.0"/>
      <color rgb="FF000000"/>
      <name val="Inter"/>
    </font>
    <font>
      <u/>
      <sz val="15.0"/>
      <color rgb="FF0000FF"/>
      <name val="Ahrefs"/>
    </font>
    <font>
      <u/>
      <color rgb="FF0000FF"/>
    </font>
    <font>
      <sz val="12.0"/>
      <color rgb="FF000000"/>
      <name val="&quot;Aptos Narrow&quot;"/>
    </font>
    <font>
      <u/>
      <color rgb="FF0000FF"/>
    </font>
    <font>
      <sz val="12.0"/>
      <color rgb="FF000000"/>
      <name val="Arial"/>
    </font>
    <font>
      <u/>
      <sz val="12.0"/>
      <color rgb="FF000000"/>
      <name val="&quot;Aptos Narrow&quot;"/>
    </font>
    <font>
      <u/>
      <color rgb="FF0000FF"/>
    </font>
    <font>
      <u/>
      <color rgb="FF0000FF"/>
    </font>
  </fonts>
  <fills count="8">
    <fill>
      <patternFill patternType="none"/>
    </fill>
    <fill>
      <patternFill patternType="lightGray"/>
    </fill>
    <fill>
      <patternFill patternType="solid">
        <fgColor rgb="FFFFFFFF"/>
        <bgColor rgb="FFFFFFFF"/>
      </patternFill>
    </fill>
    <fill>
      <patternFill patternType="solid">
        <fgColor rgb="FFD9D9D9"/>
        <bgColor rgb="FFD9D9D9"/>
      </patternFill>
    </fill>
    <fill>
      <patternFill patternType="solid">
        <fgColor rgb="FFEAD1DC"/>
        <bgColor rgb="FFEAD1DC"/>
      </patternFill>
    </fill>
    <fill>
      <patternFill patternType="solid">
        <fgColor rgb="FFFFF2CC"/>
        <bgColor rgb="FFFFF2CC"/>
      </patternFill>
    </fill>
    <fill>
      <patternFill patternType="solid">
        <fgColor rgb="FF00FF00"/>
        <bgColor rgb="FF00FF00"/>
      </patternFill>
    </fill>
    <fill>
      <patternFill patternType="solid">
        <fgColor rgb="FFCCCCCC"/>
        <bgColor rgb="FFCCCCCC"/>
      </patternFill>
    </fill>
  </fills>
  <borders count="2">
    <border/>
    <border>
      <top style="thin">
        <color rgb="FF000000"/>
      </top>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readingOrder="0"/>
    </xf>
    <xf borderId="1" fillId="2" fontId="2" numFmtId="0" xfId="0" applyAlignment="1" applyBorder="1" applyFill="1" applyFont="1">
      <alignment horizontal="left" readingOrder="0" shrinkToFit="0" wrapText="0"/>
    </xf>
    <xf borderId="1" fillId="2" fontId="2" numFmtId="0" xfId="0" applyAlignment="1" applyBorder="1" applyFont="1">
      <alignment horizontal="right" readingOrder="0" shrinkToFit="0" wrapText="0"/>
    </xf>
    <xf borderId="0" fillId="2" fontId="3" numFmtId="0" xfId="0" applyAlignment="1" applyFont="1">
      <alignment horizontal="left" readingOrder="0"/>
    </xf>
    <xf borderId="0" fillId="2" fontId="3" numFmtId="0" xfId="0" applyAlignment="1" applyFont="1">
      <alignment horizontal="left" readingOrder="0"/>
    </xf>
    <xf borderId="0" fillId="2" fontId="3" numFmtId="0" xfId="0" applyAlignment="1" applyFont="1">
      <alignment horizontal="right" readingOrder="0"/>
    </xf>
    <xf borderId="0" fillId="2" fontId="3" numFmtId="164" xfId="0" applyAlignment="1" applyFont="1" applyNumberFormat="1">
      <alignment horizontal="left" readingOrder="0" shrinkToFit="0" wrapText="0"/>
    </xf>
    <xf borderId="1" fillId="2" fontId="3" numFmtId="0" xfId="0" applyAlignment="1" applyBorder="1" applyFont="1">
      <alignment horizontal="left" readingOrder="0"/>
    </xf>
    <xf borderId="1" fillId="2" fontId="3" numFmtId="0" xfId="0" applyAlignment="1" applyBorder="1" applyFont="1">
      <alignment horizontal="left" readingOrder="0"/>
    </xf>
    <xf borderId="1" fillId="2" fontId="3" numFmtId="0" xfId="0" applyAlignment="1" applyBorder="1" applyFont="1">
      <alignment horizontal="right" readingOrder="0"/>
    </xf>
    <xf borderId="1" fillId="2" fontId="3" numFmtId="164" xfId="0" applyAlignment="1" applyBorder="1" applyFont="1" applyNumberFormat="1">
      <alignment horizontal="left" readingOrder="0" shrinkToFit="0" wrapText="0"/>
    </xf>
    <xf borderId="1" fillId="2" fontId="3" numFmtId="0" xfId="0" applyAlignment="1" applyBorder="1" applyFont="1">
      <alignment horizontal="left" readingOrder="0" shrinkToFit="0" wrapText="0"/>
    </xf>
    <xf borderId="1" fillId="0" fontId="4" numFmtId="0" xfId="0" applyAlignment="1" applyBorder="1" applyFont="1">
      <alignment horizontal="left" readingOrder="0" shrinkToFit="0" wrapText="0"/>
    </xf>
    <xf borderId="1" fillId="2" fontId="3" numFmtId="0" xfId="0" applyAlignment="1" applyBorder="1" applyFont="1">
      <alignment horizontal="left"/>
    </xf>
    <xf borderId="0" fillId="2" fontId="3" numFmtId="0" xfId="0" applyAlignment="1" applyFont="1">
      <alignment horizontal="left"/>
    </xf>
    <xf borderId="0" fillId="2" fontId="3" numFmtId="0" xfId="0" applyAlignment="1" applyFont="1">
      <alignment horizontal="left" readingOrder="0" shrinkToFit="0" wrapText="0"/>
    </xf>
    <xf borderId="0" fillId="0" fontId="1" numFmtId="0" xfId="0" applyFont="1"/>
    <xf borderId="0" fillId="3" fontId="1" numFmtId="0" xfId="0" applyAlignment="1" applyFill="1" applyFont="1">
      <alignment readingOrder="0"/>
    </xf>
    <xf borderId="0" fillId="4" fontId="1" numFmtId="0" xfId="0" applyAlignment="1" applyFill="1" applyFont="1">
      <alignment readingOrder="0"/>
    </xf>
    <xf borderId="0" fillId="0" fontId="5" numFmtId="0" xfId="0" applyAlignment="1" applyFont="1">
      <alignment readingOrder="0"/>
    </xf>
    <xf borderId="0" fillId="0" fontId="6" numFmtId="0" xfId="0" applyAlignment="1" applyFont="1">
      <alignment readingOrder="0" shrinkToFit="0" vertical="bottom" wrapText="0"/>
    </xf>
    <xf borderId="0" fillId="5" fontId="6" numFmtId="0" xfId="0" applyAlignment="1" applyFill="1" applyFont="1">
      <alignment readingOrder="0" shrinkToFit="0" vertical="bottom" wrapText="0"/>
    </xf>
    <xf borderId="0" fillId="5" fontId="6" numFmtId="0" xfId="0" applyAlignment="1" applyFont="1">
      <alignment horizontal="right" readingOrder="0" shrinkToFit="0" vertical="bottom" wrapText="0"/>
    </xf>
    <xf borderId="0" fillId="0" fontId="1" numFmtId="0" xfId="0" applyAlignment="1" applyFont="1">
      <alignment readingOrder="0" shrinkToFit="0" wrapText="1"/>
    </xf>
    <xf borderId="0" fillId="0" fontId="6" numFmtId="0" xfId="0" applyAlignment="1" applyFont="1">
      <alignment horizontal="right" readingOrder="0" shrinkToFit="0" vertical="bottom" wrapText="0"/>
    </xf>
    <xf borderId="0" fillId="0" fontId="7" numFmtId="0" xfId="0" applyFont="1"/>
    <xf borderId="0" fillId="0" fontId="6" numFmtId="0" xfId="0" applyAlignment="1" applyFont="1">
      <alignment shrinkToFit="0" vertical="bottom" wrapText="0"/>
    </xf>
    <xf borderId="0" fillId="0" fontId="8" numFmtId="0" xfId="0" applyAlignment="1" applyFont="1">
      <alignment readingOrder="0" shrinkToFit="0" vertical="bottom" wrapText="0"/>
    </xf>
    <xf borderId="0" fillId="6" fontId="6" numFmtId="0" xfId="0" applyAlignment="1" applyFill="1" applyFont="1">
      <alignment readingOrder="0" shrinkToFit="0" vertical="bottom" wrapText="0"/>
    </xf>
    <xf borderId="0" fillId="5" fontId="8" numFmtId="0" xfId="0" applyAlignment="1" applyFont="1">
      <alignment readingOrder="0" shrinkToFit="0" vertical="bottom" wrapText="0"/>
    </xf>
    <xf borderId="0" fillId="0" fontId="6" numFmtId="0" xfId="0" applyAlignment="1" applyFont="1">
      <alignment horizontal="center" readingOrder="0" shrinkToFit="0" vertical="bottom" wrapText="0"/>
    </xf>
    <xf borderId="0" fillId="6" fontId="8" numFmtId="0" xfId="0" applyAlignment="1" applyFont="1">
      <alignment readingOrder="0" shrinkToFit="0" vertical="bottom" wrapText="0"/>
    </xf>
    <xf borderId="0" fillId="6" fontId="6" numFmtId="0" xfId="0" applyAlignment="1" applyFont="1">
      <alignment horizontal="right" readingOrder="0" shrinkToFit="0" vertical="bottom" wrapText="0"/>
    </xf>
    <xf borderId="0" fillId="0" fontId="6" numFmtId="0" xfId="0" applyAlignment="1" applyFont="1">
      <alignment shrinkToFit="0" vertical="bottom" wrapText="0"/>
    </xf>
    <xf borderId="0" fillId="7" fontId="8" numFmtId="0" xfId="0" applyAlignment="1" applyFill="1" applyFont="1">
      <alignment readingOrder="0" shrinkToFit="0" vertical="bottom" wrapText="0"/>
    </xf>
    <xf borderId="0" fillId="7" fontId="6" numFmtId="0" xfId="0" applyAlignment="1" applyFont="1">
      <alignment readingOrder="0" shrinkToFit="0" vertical="bottom" wrapText="0"/>
    </xf>
    <xf borderId="0" fillId="7" fontId="6" numFmtId="0" xfId="0" applyAlignment="1" applyFont="1">
      <alignment horizontal="right" readingOrder="0" shrinkToFit="0" vertical="bottom" wrapText="0"/>
    </xf>
    <xf borderId="0" fillId="0" fontId="9" numFmtId="0" xfId="0" applyAlignment="1" applyFont="1">
      <alignment readingOrder="0" shrinkToFit="0" vertical="bottom" wrapText="0"/>
    </xf>
    <xf borderId="0" fillId="0" fontId="1" numFmtId="3" xfId="0" applyFont="1" applyNumberFormat="1"/>
    <xf borderId="0" fillId="0" fontId="10" numFmtId="0" xfId="0" applyAlignment="1" applyFont="1">
      <alignment readingOrder="0"/>
    </xf>
    <xf borderId="0" fillId="0" fontId="1" numFmtId="3" xfId="0" applyAlignment="1" applyFont="1" applyNumberFormat="1">
      <alignment readingOrder="0"/>
    </xf>
    <xf borderId="0" fillId="5" fontId="11" numFmtId="0" xfId="0" applyAlignment="1" applyFont="1">
      <alignment readingOrder="0"/>
    </xf>
    <xf borderId="0" fillId="5" fontId="1" numFmtId="0" xfId="0" applyAlignment="1" applyFont="1">
      <alignment readingOrder="0"/>
    </xf>
    <xf borderId="0" fillId="5" fontId="1" numFmtId="3" xfId="0" applyAlignment="1" applyFont="1" applyNumberFormat="1">
      <alignment readingOrder="0"/>
    </xf>
    <xf borderId="0" fillId="5" fontId="1" numFmtId="0" xfId="0" applyFont="1"/>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hrefs.com/pricing" TargetMode="External"/><Relationship Id="rId2" Type="http://schemas.openxmlformats.org/officeDocument/2006/relationships/hyperlink" Target="https://ahrefs.com/pricing" TargetMode="External"/><Relationship Id="rId3" Type="http://schemas.openxmlformats.org/officeDocument/2006/relationships/hyperlink" Target="https://ahrefs.com/pricing"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jlfreglazing.com/" TargetMode="External"/><Relationship Id="rId2" Type="http://schemas.openxmlformats.org/officeDocument/2006/relationships/hyperlink" Target="http://jlfreglazing.com/" TargetMode="External"/><Relationship Id="rId3" Type="http://schemas.openxmlformats.org/officeDocument/2006/relationships/hyperlink" Target="http://jlfreglazing.com/" TargetMode="External"/><Relationship Id="rId4" Type="http://schemas.openxmlformats.org/officeDocument/2006/relationships/hyperlink" Target="http://jlfreglazing.com/" TargetMode="External"/><Relationship Id="rId5" Type="http://schemas.openxmlformats.org/officeDocument/2006/relationships/hyperlink" Target="http://jlfreglazing.com/"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specscart.co.uk/reglaze-glasses" TargetMode="External"/><Relationship Id="rId2" Type="http://schemas.openxmlformats.org/officeDocument/2006/relationships/hyperlink" Target="http://reglaze-glasses-direct.com" TargetMode="External"/><Relationship Id="rId3" Type="http://schemas.openxmlformats.org/officeDocument/2006/relationships/hyperlink" Target="http://reglaze_tech.com" TargetMode="External"/><Relationship Id="rId4" Type="http://schemas.openxmlformats.org/officeDocument/2006/relationships/hyperlink" Target="http://reglazing.us" TargetMode="External"/><Relationship Id="rId5" Type="http://schemas.openxmlformats.org/officeDocument/2006/relationships/hyperlink" Target="http://tub-reglazing.com" TargetMode="External"/><Relationship Id="rId6"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tubcoaters.com" TargetMode="External"/><Relationship Id="rId190" Type="http://schemas.openxmlformats.org/officeDocument/2006/relationships/hyperlink" Target="http://bathtubrefinishingco.net" TargetMode="External"/><Relationship Id="rId42" Type="http://schemas.openxmlformats.org/officeDocument/2006/relationships/hyperlink" Target="http://anthonysreglazing.com" TargetMode="External"/><Relationship Id="rId41" Type="http://schemas.openxmlformats.org/officeDocument/2006/relationships/hyperlink" Target="http://allnewtub.com" TargetMode="External"/><Relationship Id="rId44" Type="http://schemas.openxmlformats.org/officeDocument/2006/relationships/hyperlink" Target="http://excellencereglazing.com" TargetMode="External"/><Relationship Id="rId194" Type="http://schemas.openxmlformats.org/officeDocument/2006/relationships/hyperlink" Target="http://nycreglazing.com" TargetMode="External"/><Relationship Id="rId43" Type="http://schemas.openxmlformats.org/officeDocument/2006/relationships/hyperlink" Target="http://chicagotubandtile.com" TargetMode="External"/><Relationship Id="rId193" Type="http://schemas.openxmlformats.org/officeDocument/2006/relationships/hyperlink" Target="http://reglazingsolutions.com" TargetMode="External"/><Relationship Id="rId46" Type="http://schemas.openxmlformats.org/officeDocument/2006/relationships/hyperlink" Target="http://stlreglazing.com" TargetMode="External"/><Relationship Id="rId192" Type="http://schemas.openxmlformats.org/officeDocument/2006/relationships/hyperlink" Target="http://renewitrefinishing.com" TargetMode="External"/><Relationship Id="rId45" Type="http://schemas.openxmlformats.org/officeDocument/2006/relationships/hyperlink" Target="http://surfacerenew.net" TargetMode="External"/><Relationship Id="rId191" Type="http://schemas.openxmlformats.org/officeDocument/2006/relationships/hyperlink" Target="http://probathtubrefinishing.com" TargetMode="External"/><Relationship Id="rId48" Type="http://schemas.openxmlformats.org/officeDocument/2006/relationships/hyperlink" Target="http://resurfacelouisville.com" TargetMode="External"/><Relationship Id="rId187" Type="http://schemas.openxmlformats.org/officeDocument/2006/relationships/hyperlink" Target="http://aaatubntile.com" TargetMode="External"/><Relationship Id="rId47" Type="http://schemas.openxmlformats.org/officeDocument/2006/relationships/hyperlink" Target="http://americantubreglazing.com" TargetMode="External"/><Relationship Id="rId186" Type="http://schemas.openxmlformats.org/officeDocument/2006/relationships/hyperlink" Target="http://decorative-coating.com" TargetMode="External"/><Relationship Id="rId185" Type="http://schemas.openxmlformats.org/officeDocument/2006/relationships/hyperlink" Target="http://usacountertopsmass.com" TargetMode="External"/><Relationship Id="rId49" Type="http://schemas.openxmlformats.org/officeDocument/2006/relationships/hyperlink" Target="http://amazingtileandtubreglazing.com" TargetMode="External"/><Relationship Id="rId184" Type="http://schemas.openxmlformats.org/officeDocument/2006/relationships/hyperlink" Target="http://powerpaintingplus.com" TargetMode="External"/><Relationship Id="rId189" Type="http://schemas.openxmlformats.org/officeDocument/2006/relationships/hyperlink" Target="http://aandjresurfacing.com" TargetMode="External"/><Relationship Id="rId188" Type="http://schemas.openxmlformats.org/officeDocument/2006/relationships/hyperlink" Target="http://abathreglazing.com" TargetMode="External"/><Relationship Id="rId31" Type="http://schemas.openxmlformats.org/officeDocument/2006/relationships/hyperlink" Target="http://blackstonetubrefinishers.ca" TargetMode="External"/><Relationship Id="rId30" Type="http://schemas.openxmlformats.org/officeDocument/2006/relationships/hyperlink" Target="http://uniquereglaze.com" TargetMode="External"/><Relationship Id="rId33" Type="http://schemas.openxmlformats.org/officeDocument/2006/relationships/hyperlink" Target="http://uglytub.com" TargetMode="External"/><Relationship Id="rId183" Type="http://schemas.openxmlformats.org/officeDocument/2006/relationships/hyperlink" Target="http://bathrefinishingresource.com" TargetMode="External"/><Relationship Id="rId32" Type="http://schemas.openxmlformats.org/officeDocument/2006/relationships/hyperlink" Target="http://simprobda.com" TargetMode="External"/><Relationship Id="rId182" Type="http://schemas.openxmlformats.org/officeDocument/2006/relationships/hyperlink" Target="http://empresafloors.com" TargetMode="External"/><Relationship Id="rId35" Type="http://schemas.openxmlformats.org/officeDocument/2006/relationships/hyperlink" Target="http://jemcoreglazers.com" TargetMode="External"/><Relationship Id="rId181" Type="http://schemas.openxmlformats.org/officeDocument/2006/relationships/hyperlink" Target="http://klasskote.com" TargetMode="External"/><Relationship Id="rId34" Type="http://schemas.openxmlformats.org/officeDocument/2006/relationships/hyperlink" Target="http://prontorefinishing.com" TargetMode="External"/><Relationship Id="rId180" Type="http://schemas.openxmlformats.org/officeDocument/2006/relationships/hyperlink" Target="http://tilerestoration.com" TargetMode="External"/><Relationship Id="rId37" Type="http://schemas.openxmlformats.org/officeDocument/2006/relationships/hyperlink" Target="http://shinytubreglazing.com" TargetMode="External"/><Relationship Id="rId176" Type="http://schemas.openxmlformats.org/officeDocument/2006/relationships/hyperlink" Target="http://resurfacingsolutions.net" TargetMode="External"/><Relationship Id="rId297" Type="http://schemas.openxmlformats.org/officeDocument/2006/relationships/hyperlink" Target="http://accurateplumbingtx.com" TargetMode="External"/><Relationship Id="rId36" Type="http://schemas.openxmlformats.org/officeDocument/2006/relationships/hyperlink" Target="http://amazingreglazingri.com" TargetMode="External"/><Relationship Id="rId175" Type="http://schemas.openxmlformats.org/officeDocument/2006/relationships/hyperlink" Target="http://igloosurfaces.com" TargetMode="External"/><Relationship Id="rId296" Type="http://schemas.openxmlformats.org/officeDocument/2006/relationships/hyperlink" Target="http://southingtonpainting.com" TargetMode="External"/><Relationship Id="rId39" Type="http://schemas.openxmlformats.org/officeDocument/2006/relationships/hyperlink" Target="http://diamondreglazing.com" TargetMode="External"/><Relationship Id="rId174" Type="http://schemas.openxmlformats.org/officeDocument/2006/relationships/hyperlink" Target="http://thetubguys757.com" TargetMode="External"/><Relationship Id="rId295" Type="http://schemas.openxmlformats.org/officeDocument/2006/relationships/hyperlink" Target="http://somathomeremodeling.com" TargetMode="External"/><Relationship Id="rId38" Type="http://schemas.openxmlformats.org/officeDocument/2006/relationships/hyperlink" Target="http://simplyreglaze.com" TargetMode="External"/><Relationship Id="rId173" Type="http://schemas.openxmlformats.org/officeDocument/2006/relationships/hyperlink" Target="http://carillonrugs.com" TargetMode="External"/><Relationship Id="rId294" Type="http://schemas.openxmlformats.org/officeDocument/2006/relationships/hyperlink" Target="http://foremansnags.com" TargetMode="External"/><Relationship Id="rId179" Type="http://schemas.openxmlformats.org/officeDocument/2006/relationships/hyperlink" Target="http://bathtubandtilerestoration.com" TargetMode="External"/><Relationship Id="rId178" Type="http://schemas.openxmlformats.org/officeDocument/2006/relationships/hyperlink" Target="http://24hourbath.com" TargetMode="External"/><Relationship Id="rId299" Type="http://schemas.openxmlformats.org/officeDocument/2006/relationships/hyperlink" Target="http://gouldpaintingwny.com" TargetMode="External"/><Relationship Id="rId177" Type="http://schemas.openxmlformats.org/officeDocument/2006/relationships/hyperlink" Target="http://thebathtubdoctor.com" TargetMode="External"/><Relationship Id="rId298" Type="http://schemas.openxmlformats.org/officeDocument/2006/relationships/hyperlink" Target="http://bathrenovationhq.com" TargetMode="External"/><Relationship Id="rId20" Type="http://schemas.openxmlformats.org/officeDocument/2006/relationships/hyperlink" Target="http://sustainablereglazing.com" TargetMode="External"/><Relationship Id="rId22" Type="http://schemas.openxmlformats.org/officeDocument/2006/relationships/hyperlink" Target="http://wilmingtontubreglazing.com" TargetMode="External"/><Relationship Id="rId21" Type="http://schemas.openxmlformats.org/officeDocument/2006/relationships/hyperlink" Target="http://reglazingnyc.com" TargetMode="External"/><Relationship Id="rId24" Type="http://schemas.openxmlformats.org/officeDocument/2006/relationships/hyperlink" Target="http://freshtubrefinishing.com" TargetMode="External"/><Relationship Id="rId23" Type="http://schemas.openxmlformats.org/officeDocument/2006/relationships/hyperlink" Target="http://bathtubrefinishers.com" TargetMode="External"/><Relationship Id="rId26" Type="http://schemas.openxmlformats.org/officeDocument/2006/relationships/hyperlink" Target="http://yoursisterspotshop.com" TargetMode="External"/><Relationship Id="rId25" Type="http://schemas.openxmlformats.org/officeDocument/2006/relationships/hyperlink" Target="http://thermo-glaze.com.au" TargetMode="External"/><Relationship Id="rId28" Type="http://schemas.openxmlformats.org/officeDocument/2006/relationships/hyperlink" Target="http://bathtubrefinishingfl.com" TargetMode="External"/><Relationship Id="rId27" Type="http://schemas.openxmlformats.org/officeDocument/2006/relationships/hyperlink" Target="http://nufinishpro.com" TargetMode="External"/><Relationship Id="rId29" Type="http://schemas.openxmlformats.org/officeDocument/2006/relationships/hyperlink" Target="http://everglazecoatings.com" TargetMode="External"/><Relationship Id="rId11" Type="http://schemas.openxmlformats.org/officeDocument/2006/relationships/hyperlink" Target="http://latubs.com" TargetMode="External"/><Relationship Id="rId10" Type="http://schemas.openxmlformats.org/officeDocument/2006/relationships/hyperlink" Target="http://pacificreglazing.com" TargetMode="External"/><Relationship Id="rId13" Type="http://schemas.openxmlformats.org/officeDocument/2006/relationships/hyperlink" Target="http://a-1reglazing-inc.com" TargetMode="External"/><Relationship Id="rId12" Type="http://schemas.openxmlformats.org/officeDocument/2006/relationships/hyperlink" Target="http://tubboys.com" TargetMode="External"/><Relationship Id="rId15" Type="http://schemas.openxmlformats.org/officeDocument/2006/relationships/hyperlink" Target="http://reglazingstudio.com" TargetMode="External"/><Relationship Id="rId198" Type="http://schemas.openxmlformats.org/officeDocument/2006/relationships/hyperlink" Target="http://amazingreglazingg.com" TargetMode="External"/><Relationship Id="rId14" Type="http://schemas.openxmlformats.org/officeDocument/2006/relationships/hyperlink" Target="http://bryansreglazing.com" TargetMode="External"/><Relationship Id="rId197" Type="http://schemas.openxmlformats.org/officeDocument/2006/relationships/hyperlink" Target="http://bathtubrestorations.com" TargetMode="External"/><Relationship Id="rId17" Type="http://schemas.openxmlformats.org/officeDocument/2006/relationships/hyperlink" Target="http://reglazinglosangeles.net" TargetMode="External"/><Relationship Id="rId196" Type="http://schemas.openxmlformats.org/officeDocument/2006/relationships/hyperlink" Target="http://bathtubreglazinglb.com" TargetMode="External"/><Relationship Id="rId16" Type="http://schemas.openxmlformats.org/officeDocument/2006/relationships/hyperlink" Target="http://fivestarreglazing.com" TargetMode="External"/><Relationship Id="rId195" Type="http://schemas.openxmlformats.org/officeDocument/2006/relationships/hyperlink" Target="http://reglazingco.com" TargetMode="External"/><Relationship Id="rId19" Type="http://schemas.openxmlformats.org/officeDocument/2006/relationships/hyperlink" Target="http://refinishingprimebath.com" TargetMode="External"/><Relationship Id="rId18" Type="http://schemas.openxmlformats.org/officeDocument/2006/relationships/hyperlink" Target="http://newshinebathtubrefinishing.com" TargetMode="External"/><Relationship Id="rId199" Type="http://schemas.openxmlformats.org/officeDocument/2006/relationships/hyperlink" Target="http://eleganttubtilerefinishing.com" TargetMode="External"/><Relationship Id="rId84" Type="http://schemas.openxmlformats.org/officeDocument/2006/relationships/hyperlink" Target="http://tufftubrefinishing.com" TargetMode="External"/><Relationship Id="rId83" Type="http://schemas.openxmlformats.org/officeDocument/2006/relationships/hyperlink" Target="http://anthonysreglazingfl.com" TargetMode="External"/><Relationship Id="rId86" Type="http://schemas.openxmlformats.org/officeDocument/2006/relationships/hyperlink" Target="http://chipstubandtilerefinish.com" TargetMode="External"/><Relationship Id="rId85" Type="http://schemas.openxmlformats.org/officeDocument/2006/relationships/hyperlink" Target="http://ogdenbathtubrefinishing.com" TargetMode="External"/><Relationship Id="rId88" Type="http://schemas.openxmlformats.org/officeDocument/2006/relationships/hyperlink" Target="http://bathtubrefinishinglondon.com" TargetMode="External"/><Relationship Id="rId150" Type="http://schemas.openxmlformats.org/officeDocument/2006/relationships/hyperlink" Target="http://menjivars-painting.com" TargetMode="External"/><Relationship Id="rId271" Type="http://schemas.openxmlformats.org/officeDocument/2006/relationships/hyperlink" Target="http://lavishceramics.com" TargetMode="External"/><Relationship Id="rId87" Type="http://schemas.openxmlformats.org/officeDocument/2006/relationships/hyperlink" Target="http://austintubsurgeon.com" TargetMode="External"/><Relationship Id="rId270" Type="http://schemas.openxmlformats.org/officeDocument/2006/relationships/hyperlink" Target="http://rihi.com" TargetMode="External"/><Relationship Id="rId89" Type="http://schemas.openxmlformats.org/officeDocument/2006/relationships/hyperlink" Target="http://finishpro360.com" TargetMode="External"/><Relationship Id="rId80" Type="http://schemas.openxmlformats.org/officeDocument/2006/relationships/hyperlink" Target="http://suncoasttubandtilerefinishing.com" TargetMode="External"/><Relationship Id="rId82" Type="http://schemas.openxmlformats.org/officeDocument/2006/relationships/hyperlink" Target="http://amazingrefinishing.com" TargetMode="External"/><Relationship Id="rId81" Type="http://schemas.openxmlformats.org/officeDocument/2006/relationships/hyperlink" Target="http://europeanreglazing.com" TargetMode="External"/><Relationship Id="rId1" Type="http://schemas.openxmlformats.org/officeDocument/2006/relationships/hyperlink" Target="http://jlfreglazing.com/" TargetMode="External"/><Relationship Id="rId2" Type="http://schemas.openxmlformats.org/officeDocument/2006/relationships/hyperlink" Target="https://latubs.com/" TargetMode="External"/><Relationship Id="rId3" Type="http://schemas.openxmlformats.org/officeDocument/2006/relationships/hyperlink" Target="https://www.napcoltd.com/contact/" TargetMode="External"/><Relationship Id="rId149" Type="http://schemas.openxmlformats.org/officeDocument/2006/relationships/hyperlink" Target="http://newsuperiortub.com" TargetMode="External"/><Relationship Id="rId4" Type="http://schemas.openxmlformats.org/officeDocument/2006/relationships/hyperlink" Target="http://reglazinglosangeles.com" TargetMode="External"/><Relationship Id="rId148" Type="http://schemas.openxmlformats.org/officeDocument/2006/relationships/hyperlink" Target="http://lakewood-tub-reglazing.com" TargetMode="External"/><Relationship Id="rId269" Type="http://schemas.openxmlformats.org/officeDocument/2006/relationships/hyperlink" Target="http://bathprofessional.com" TargetMode="External"/><Relationship Id="rId9" Type="http://schemas.openxmlformats.org/officeDocument/2006/relationships/hyperlink" Target="http://protubrefinishing.com" TargetMode="External"/><Relationship Id="rId143" Type="http://schemas.openxmlformats.org/officeDocument/2006/relationships/hyperlink" Target="http://prestigerefinishers.com" TargetMode="External"/><Relationship Id="rId264" Type="http://schemas.openxmlformats.org/officeDocument/2006/relationships/hyperlink" Target="http://serviceteam.co.uk" TargetMode="External"/><Relationship Id="rId142" Type="http://schemas.openxmlformats.org/officeDocument/2006/relationships/hyperlink" Target="http://idealresurfacing.com" TargetMode="External"/><Relationship Id="rId263" Type="http://schemas.openxmlformats.org/officeDocument/2006/relationships/hyperlink" Target="http://semcofl.com" TargetMode="External"/><Relationship Id="rId141" Type="http://schemas.openxmlformats.org/officeDocument/2006/relationships/hyperlink" Target="http://armortechresurfacing.com" TargetMode="External"/><Relationship Id="rId262" Type="http://schemas.openxmlformats.org/officeDocument/2006/relationships/hyperlink" Target="http://smartcret.com" TargetMode="External"/><Relationship Id="rId140" Type="http://schemas.openxmlformats.org/officeDocument/2006/relationships/hyperlink" Target="http://nuglaze.net" TargetMode="External"/><Relationship Id="rId261" Type="http://schemas.openxmlformats.org/officeDocument/2006/relationships/hyperlink" Target="http://panelcompany.co.uk" TargetMode="External"/><Relationship Id="rId5" Type="http://schemas.openxmlformats.org/officeDocument/2006/relationships/hyperlink" Target="http://jpglazing.com" TargetMode="External"/><Relationship Id="rId147" Type="http://schemas.openxmlformats.org/officeDocument/2006/relationships/hyperlink" Target="http://covebath.com" TargetMode="External"/><Relationship Id="rId268" Type="http://schemas.openxmlformats.org/officeDocument/2006/relationships/hyperlink" Target="http://monarchpainting.com.au" TargetMode="External"/><Relationship Id="rId6" Type="http://schemas.openxmlformats.org/officeDocument/2006/relationships/hyperlink" Target="http://paylessbathmakeover.com" TargetMode="External"/><Relationship Id="rId146" Type="http://schemas.openxmlformats.org/officeDocument/2006/relationships/hyperlink" Target="http://amazingrefinishingfl.com" TargetMode="External"/><Relationship Id="rId267" Type="http://schemas.openxmlformats.org/officeDocument/2006/relationships/hyperlink" Target="http://columbusbathdesign.com" TargetMode="External"/><Relationship Id="rId7" Type="http://schemas.openxmlformats.org/officeDocument/2006/relationships/hyperlink" Target="http://toprefinishing.com" TargetMode="External"/><Relationship Id="rId145" Type="http://schemas.openxmlformats.org/officeDocument/2006/relationships/hyperlink" Target="http://reglazeitnow.com" TargetMode="External"/><Relationship Id="rId266" Type="http://schemas.openxmlformats.org/officeDocument/2006/relationships/hyperlink" Target="http://carpetoutlets.net" TargetMode="External"/><Relationship Id="rId8" Type="http://schemas.openxmlformats.org/officeDocument/2006/relationships/hyperlink" Target="http://megareglazing.com" TargetMode="External"/><Relationship Id="rId144" Type="http://schemas.openxmlformats.org/officeDocument/2006/relationships/hyperlink" Target="http://drresurface.com" TargetMode="External"/><Relationship Id="rId265" Type="http://schemas.openxmlformats.org/officeDocument/2006/relationships/hyperlink" Target="http://theinteriorsaddict.com" TargetMode="External"/><Relationship Id="rId73" Type="http://schemas.openxmlformats.org/officeDocument/2006/relationships/hyperlink" Target="http://splashreglazing.com" TargetMode="External"/><Relationship Id="rId72" Type="http://schemas.openxmlformats.org/officeDocument/2006/relationships/hyperlink" Target="http://smartfloorsusa.com" TargetMode="External"/><Relationship Id="rId75" Type="http://schemas.openxmlformats.org/officeDocument/2006/relationships/hyperlink" Target="http://camposbathtub.com" TargetMode="External"/><Relationship Id="rId74" Type="http://schemas.openxmlformats.org/officeDocument/2006/relationships/hyperlink" Target="http://durafinish.net" TargetMode="External"/><Relationship Id="rId77" Type="http://schemas.openxmlformats.org/officeDocument/2006/relationships/hyperlink" Target="http://permaglazetx.com" TargetMode="External"/><Relationship Id="rId260" Type="http://schemas.openxmlformats.org/officeDocument/2006/relationships/hyperlink" Target="http://homeimprovementskansascity.com" TargetMode="External"/><Relationship Id="rId76" Type="http://schemas.openxmlformats.org/officeDocument/2006/relationships/hyperlink" Target="http://servicedoctor.net" TargetMode="External"/><Relationship Id="rId79" Type="http://schemas.openxmlformats.org/officeDocument/2006/relationships/hyperlink" Target="http://myrefreshrefinishing.com" TargetMode="External"/><Relationship Id="rId78" Type="http://schemas.openxmlformats.org/officeDocument/2006/relationships/hyperlink" Target="http://adamovreglazing.com" TargetMode="External"/><Relationship Id="rId71" Type="http://schemas.openxmlformats.org/officeDocument/2006/relationships/hyperlink" Target="http://wvhbathtub.com" TargetMode="External"/><Relationship Id="rId70" Type="http://schemas.openxmlformats.org/officeDocument/2006/relationships/hyperlink" Target="http://hightechreglazing.com" TargetMode="External"/><Relationship Id="rId139" Type="http://schemas.openxmlformats.org/officeDocument/2006/relationships/hyperlink" Target="http://sauguscontractor.com" TargetMode="External"/><Relationship Id="rId138" Type="http://schemas.openxmlformats.org/officeDocument/2006/relationships/hyperlink" Target="http://bathtubmagic.ca" TargetMode="External"/><Relationship Id="rId259" Type="http://schemas.openxmlformats.org/officeDocument/2006/relationships/hyperlink" Target="http://jandjconstruction.com" TargetMode="External"/><Relationship Id="rId137" Type="http://schemas.openxmlformats.org/officeDocument/2006/relationships/hyperlink" Target="http://alisfinishingtouch.com" TargetMode="External"/><Relationship Id="rId258" Type="http://schemas.openxmlformats.org/officeDocument/2006/relationships/hyperlink" Target="http://bngremodel.com" TargetMode="External"/><Relationship Id="rId132" Type="http://schemas.openxmlformats.org/officeDocument/2006/relationships/hyperlink" Target="http://nu-tub.net" TargetMode="External"/><Relationship Id="rId253" Type="http://schemas.openxmlformats.org/officeDocument/2006/relationships/hyperlink" Target="http://aosom.ca" TargetMode="External"/><Relationship Id="rId131" Type="http://schemas.openxmlformats.org/officeDocument/2006/relationships/hyperlink" Target="http://sharprefinishing.com" TargetMode="External"/><Relationship Id="rId252" Type="http://schemas.openxmlformats.org/officeDocument/2006/relationships/hyperlink" Target="http://trustedpros.ca" TargetMode="External"/><Relationship Id="rId130" Type="http://schemas.openxmlformats.org/officeDocument/2006/relationships/hyperlink" Target="http://ceconcreteri.com" TargetMode="External"/><Relationship Id="rId251" Type="http://schemas.openxmlformats.org/officeDocument/2006/relationships/hyperlink" Target="http://getagrip.com" TargetMode="External"/><Relationship Id="rId250" Type="http://schemas.openxmlformats.org/officeDocument/2006/relationships/hyperlink" Target="http://seiffertlumber.com" TargetMode="External"/><Relationship Id="rId136" Type="http://schemas.openxmlformats.org/officeDocument/2006/relationships/hyperlink" Target="http://connecticutreglazing.com" TargetMode="External"/><Relationship Id="rId257" Type="http://schemas.openxmlformats.org/officeDocument/2006/relationships/hyperlink" Target="http://drench.co.uk" TargetMode="External"/><Relationship Id="rId135" Type="http://schemas.openxmlformats.org/officeDocument/2006/relationships/hyperlink" Target="http://bathtubreglazinginc.com" TargetMode="External"/><Relationship Id="rId256" Type="http://schemas.openxmlformats.org/officeDocument/2006/relationships/hyperlink" Target="http://ctasc.com" TargetMode="External"/><Relationship Id="rId134" Type="http://schemas.openxmlformats.org/officeDocument/2006/relationships/hyperlink" Target="http://sirgroutboston.com" TargetMode="External"/><Relationship Id="rId255" Type="http://schemas.openxmlformats.org/officeDocument/2006/relationships/hyperlink" Target="http://thebesttileinstallation.com" TargetMode="External"/><Relationship Id="rId133" Type="http://schemas.openxmlformats.org/officeDocument/2006/relationships/hyperlink" Target="http://idealrefinishing.com" TargetMode="External"/><Relationship Id="rId254" Type="http://schemas.openxmlformats.org/officeDocument/2006/relationships/hyperlink" Target="http://georgebathroom.com" TargetMode="External"/><Relationship Id="rId62" Type="http://schemas.openxmlformats.org/officeDocument/2006/relationships/hyperlink" Target="http://bathrefinishingsolutions.com" TargetMode="External"/><Relationship Id="rId61" Type="http://schemas.openxmlformats.org/officeDocument/2006/relationships/hyperlink" Target="http://bathtubdenver.net" TargetMode="External"/><Relationship Id="rId64" Type="http://schemas.openxmlformats.org/officeDocument/2006/relationships/hyperlink" Target="http://bathtubresurfacingsite.com" TargetMode="External"/><Relationship Id="rId63" Type="http://schemas.openxmlformats.org/officeDocument/2006/relationships/hyperlink" Target="http://baystaterefinishing.com" TargetMode="External"/><Relationship Id="rId66" Type="http://schemas.openxmlformats.org/officeDocument/2006/relationships/hyperlink" Target="http://rapidrefinishingco.com" TargetMode="External"/><Relationship Id="rId172" Type="http://schemas.openxmlformats.org/officeDocument/2006/relationships/hyperlink" Target="http://thetubguys.net" TargetMode="External"/><Relationship Id="rId293" Type="http://schemas.openxmlformats.org/officeDocument/2006/relationships/hyperlink" Target="http://seamlessoverlays.com" TargetMode="External"/><Relationship Id="rId65" Type="http://schemas.openxmlformats.org/officeDocument/2006/relationships/hyperlink" Target="http://supremebathrefinishing.com" TargetMode="External"/><Relationship Id="rId171" Type="http://schemas.openxmlformats.org/officeDocument/2006/relationships/hyperlink" Target="http://tubzz.com" TargetMode="External"/><Relationship Id="rId292" Type="http://schemas.openxmlformats.org/officeDocument/2006/relationships/hyperlink" Target="http://californiatilerestoration.com" TargetMode="External"/><Relationship Id="rId68" Type="http://schemas.openxmlformats.org/officeDocument/2006/relationships/hyperlink" Target="http://refinishedbathsolutions.com" TargetMode="External"/><Relationship Id="rId170" Type="http://schemas.openxmlformats.org/officeDocument/2006/relationships/hyperlink" Target="http://ucoatit.com" TargetMode="External"/><Relationship Id="rId291" Type="http://schemas.openxmlformats.org/officeDocument/2006/relationships/hyperlink" Target="http://bathroomwerx.com.au" TargetMode="External"/><Relationship Id="rId67" Type="http://schemas.openxmlformats.org/officeDocument/2006/relationships/hyperlink" Target="http://njbathtubrefinishers.com" TargetMode="External"/><Relationship Id="rId290" Type="http://schemas.openxmlformats.org/officeDocument/2006/relationships/hyperlink" Target="http://tiledoctor.biz" TargetMode="External"/><Relationship Id="rId60" Type="http://schemas.openxmlformats.org/officeDocument/2006/relationships/hyperlink" Target="http://tubfusion.com" TargetMode="External"/><Relationship Id="rId165" Type="http://schemas.openxmlformats.org/officeDocument/2006/relationships/hyperlink" Target="http://toddsbathtubs.com" TargetMode="External"/><Relationship Id="rId286" Type="http://schemas.openxmlformats.org/officeDocument/2006/relationships/hyperlink" Target="http://renukrete.com" TargetMode="External"/><Relationship Id="rId69" Type="http://schemas.openxmlformats.org/officeDocument/2006/relationships/hyperlink" Target="http://bathinnovations.com" TargetMode="External"/><Relationship Id="rId164" Type="http://schemas.openxmlformats.org/officeDocument/2006/relationships/hyperlink" Target="http://dwilpainting.com" TargetMode="External"/><Relationship Id="rId285" Type="http://schemas.openxmlformats.org/officeDocument/2006/relationships/hyperlink" Target="http://bathtubguys.com" TargetMode="External"/><Relationship Id="rId163" Type="http://schemas.openxmlformats.org/officeDocument/2006/relationships/hyperlink" Target="http://freshlookrefinishing.com" TargetMode="External"/><Relationship Id="rId284" Type="http://schemas.openxmlformats.org/officeDocument/2006/relationships/hyperlink" Target="http://superiorbathtubrefinishing.com" TargetMode="External"/><Relationship Id="rId162" Type="http://schemas.openxmlformats.org/officeDocument/2006/relationships/hyperlink" Target="http://nytubs.com" TargetMode="External"/><Relationship Id="rId283" Type="http://schemas.openxmlformats.org/officeDocument/2006/relationships/hyperlink" Target="http://ultrabathroom.com" TargetMode="External"/><Relationship Id="rId169" Type="http://schemas.openxmlformats.org/officeDocument/2006/relationships/hyperlink" Target="http://tub-guy.com" TargetMode="External"/><Relationship Id="rId168" Type="http://schemas.openxmlformats.org/officeDocument/2006/relationships/hyperlink" Target="http://armoglazeservice.com" TargetMode="External"/><Relationship Id="rId289" Type="http://schemas.openxmlformats.org/officeDocument/2006/relationships/hyperlink" Target="http://dsapone.com" TargetMode="External"/><Relationship Id="rId167" Type="http://schemas.openxmlformats.org/officeDocument/2006/relationships/hyperlink" Target="http://bathtubmadenew.com" TargetMode="External"/><Relationship Id="rId288" Type="http://schemas.openxmlformats.org/officeDocument/2006/relationships/hyperlink" Target="http://premierrefinishing.net" TargetMode="External"/><Relationship Id="rId166" Type="http://schemas.openxmlformats.org/officeDocument/2006/relationships/hyperlink" Target="http://thebestrefinishing.com" TargetMode="External"/><Relationship Id="rId287" Type="http://schemas.openxmlformats.org/officeDocument/2006/relationships/hyperlink" Target="http://paintpositive.com" TargetMode="External"/><Relationship Id="rId51" Type="http://schemas.openxmlformats.org/officeDocument/2006/relationships/hyperlink" Target="http://kcreglazing.com" TargetMode="External"/><Relationship Id="rId50" Type="http://schemas.openxmlformats.org/officeDocument/2006/relationships/hyperlink" Target="http://rubadubtubreglazing.com" TargetMode="External"/><Relationship Id="rId53" Type="http://schemas.openxmlformats.org/officeDocument/2006/relationships/hyperlink" Target="http://topreglazing.com" TargetMode="External"/><Relationship Id="rId52" Type="http://schemas.openxmlformats.org/officeDocument/2006/relationships/hyperlink" Target="http://torresconstructionpainting.com" TargetMode="External"/><Relationship Id="rId55" Type="http://schemas.openxmlformats.org/officeDocument/2006/relationships/hyperlink" Target="http://topkote.com" TargetMode="External"/><Relationship Id="rId161" Type="http://schemas.openxmlformats.org/officeDocument/2006/relationships/hyperlink" Target="http://originalstyle.com" TargetMode="External"/><Relationship Id="rId282" Type="http://schemas.openxmlformats.org/officeDocument/2006/relationships/hyperlink" Target="http://tileoutlet.net" TargetMode="External"/><Relationship Id="rId54" Type="http://schemas.openxmlformats.org/officeDocument/2006/relationships/hyperlink" Target="http://standardbathtubreglazing.com" TargetMode="External"/><Relationship Id="rId160" Type="http://schemas.openxmlformats.org/officeDocument/2006/relationships/hyperlink" Target="http://dalydigs.com" TargetMode="External"/><Relationship Id="rId281" Type="http://schemas.openxmlformats.org/officeDocument/2006/relationships/hyperlink" Target="http://porcelainsuperstore.co.uk" TargetMode="External"/><Relationship Id="rId57" Type="http://schemas.openxmlformats.org/officeDocument/2006/relationships/hyperlink" Target="http://jetsglazing.com" TargetMode="External"/><Relationship Id="rId280" Type="http://schemas.openxmlformats.org/officeDocument/2006/relationships/hyperlink" Target="http://foxvalleybathtubrefinishing.com" TargetMode="External"/><Relationship Id="rId56" Type="http://schemas.openxmlformats.org/officeDocument/2006/relationships/hyperlink" Target="http://specializedrefinishing.com" TargetMode="External"/><Relationship Id="rId159" Type="http://schemas.openxmlformats.org/officeDocument/2006/relationships/hyperlink" Target="http://mastercraftusa.com" TargetMode="External"/><Relationship Id="rId59" Type="http://schemas.openxmlformats.org/officeDocument/2006/relationships/hyperlink" Target="http://refinishing-pros.com" TargetMode="External"/><Relationship Id="rId154" Type="http://schemas.openxmlformats.org/officeDocument/2006/relationships/hyperlink" Target="http://greaterdfwrefinishers.com" TargetMode="External"/><Relationship Id="rId275" Type="http://schemas.openxmlformats.org/officeDocument/2006/relationships/hyperlink" Target="http://rivercityboston.com" TargetMode="External"/><Relationship Id="rId58" Type="http://schemas.openxmlformats.org/officeDocument/2006/relationships/hyperlink" Target="http://thesurfacedoctors.com" TargetMode="External"/><Relationship Id="rId153" Type="http://schemas.openxmlformats.org/officeDocument/2006/relationships/hyperlink" Target="http://reglazingwow.ca" TargetMode="External"/><Relationship Id="rId274" Type="http://schemas.openxmlformats.org/officeDocument/2006/relationships/hyperlink" Target="http://n2n.la" TargetMode="External"/><Relationship Id="rId152" Type="http://schemas.openxmlformats.org/officeDocument/2006/relationships/hyperlink" Target="http://tubreglazers.com" TargetMode="External"/><Relationship Id="rId273" Type="http://schemas.openxmlformats.org/officeDocument/2006/relationships/hyperlink" Target="http://varmora.com" TargetMode="External"/><Relationship Id="rId151" Type="http://schemas.openxmlformats.org/officeDocument/2006/relationships/hyperlink" Target="http://allprorefinishing.com" TargetMode="External"/><Relationship Id="rId272" Type="http://schemas.openxmlformats.org/officeDocument/2006/relationships/hyperlink" Target="http://bathtubrefinishingstore.com" TargetMode="External"/><Relationship Id="rId158" Type="http://schemas.openxmlformats.org/officeDocument/2006/relationships/hyperlink" Target="http://surfacespecialistsofdenver.com" TargetMode="External"/><Relationship Id="rId279" Type="http://schemas.openxmlformats.org/officeDocument/2006/relationships/hyperlink" Target="http://homelivinghandbook.com" TargetMode="External"/><Relationship Id="rId157" Type="http://schemas.openxmlformats.org/officeDocument/2006/relationships/hyperlink" Target="http://surfacespecialists.com" TargetMode="External"/><Relationship Id="rId278" Type="http://schemas.openxmlformats.org/officeDocument/2006/relationships/hyperlink" Target="http://lifespanhi.com" TargetMode="External"/><Relationship Id="rId156" Type="http://schemas.openxmlformats.org/officeDocument/2006/relationships/hyperlink" Target="http://bathroomprosnj.com" TargetMode="External"/><Relationship Id="rId277" Type="http://schemas.openxmlformats.org/officeDocument/2006/relationships/hyperlink" Target="http://seattlebathtubguy.com" TargetMode="External"/><Relationship Id="rId155" Type="http://schemas.openxmlformats.org/officeDocument/2006/relationships/hyperlink" Target="http://spaceandhabit.com" TargetMode="External"/><Relationship Id="rId276" Type="http://schemas.openxmlformats.org/officeDocument/2006/relationships/hyperlink" Target="http://arlandriafloors.com" TargetMode="External"/><Relationship Id="rId107" Type="http://schemas.openxmlformats.org/officeDocument/2006/relationships/hyperlink" Target="http://longislandtubrefinishing.com" TargetMode="External"/><Relationship Id="rId228" Type="http://schemas.openxmlformats.org/officeDocument/2006/relationships/hyperlink" Target="http://daichcoatings.com" TargetMode="External"/><Relationship Id="rId106" Type="http://schemas.openxmlformats.org/officeDocument/2006/relationships/hyperlink" Target="http://permacerambathroom.com" TargetMode="External"/><Relationship Id="rId227" Type="http://schemas.openxmlformats.org/officeDocument/2006/relationships/hyperlink" Target="http://blockrenovation.com" TargetMode="External"/><Relationship Id="rId105" Type="http://schemas.openxmlformats.org/officeDocument/2006/relationships/hyperlink" Target="http://boiserefinishing.com" TargetMode="External"/><Relationship Id="rId226" Type="http://schemas.openxmlformats.org/officeDocument/2006/relationships/hyperlink" Target="http://vintagetub.com" TargetMode="External"/><Relationship Id="rId104" Type="http://schemas.openxmlformats.org/officeDocument/2006/relationships/hyperlink" Target="http://topnotchhardwoodfloors.com" TargetMode="External"/><Relationship Id="rId225" Type="http://schemas.openxmlformats.org/officeDocument/2006/relationships/hyperlink" Target="http://familyhandyman.com" TargetMode="External"/><Relationship Id="rId109" Type="http://schemas.openxmlformats.org/officeDocument/2006/relationships/hyperlink" Target="http://scvfloorsmith.com" TargetMode="External"/><Relationship Id="rId108" Type="http://schemas.openxmlformats.org/officeDocument/2006/relationships/hyperlink" Target="http://floridarefinishing.com" TargetMode="External"/><Relationship Id="rId229" Type="http://schemas.openxmlformats.org/officeDocument/2006/relationships/hyperlink" Target="http://ibathtub.com" TargetMode="External"/><Relationship Id="rId220" Type="http://schemas.openxmlformats.org/officeDocument/2006/relationships/hyperlink" Target="http://paintedotter.com" TargetMode="External"/><Relationship Id="rId103" Type="http://schemas.openxmlformats.org/officeDocument/2006/relationships/hyperlink" Target="http://affordabletubrefinishingtx.com" TargetMode="External"/><Relationship Id="rId224" Type="http://schemas.openxmlformats.org/officeDocument/2006/relationships/hyperlink" Target="http://pmcabathrooms.com" TargetMode="External"/><Relationship Id="rId102" Type="http://schemas.openxmlformats.org/officeDocument/2006/relationships/hyperlink" Target="http://napcoltd.com" TargetMode="External"/><Relationship Id="rId223" Type="http://schemas.openxmlformats.org/officeDocument/2006/relationships/hyperlink" Target="http://anamazingreglazingq.com" TargetMode="External"/><Relationship Id="rId101" Type="http://schemas.openxmlformats.org/officeDocument/2006/relationships/hyperlink" Target="http://bathremodelingraleighnc.com" TargetMode="External"/><Relationship Id="rId222" Type="http://schemas.openxmlformats.org/officeDocument/2006/relationships/hyperlink" Target="http://proreglaze.com" TargetMode="External"/><Relationship Id="rId100" Type="http://schemas.openxmlformats.org/officeDocument/2006/relationships/hyperlink" Target="http://brooksbrothershandyman.com" TargetMode="External"/><Relationship Id="rId221" Type="http://schemas.openxmlformats.org/officeDocument/2006/relationships/hyperlink" Target="http://enduringsurface.com" TargetMode="External"/><Relationship Id="rId217" Type="http://schemas.openxmlformats.org/officeDocument/2006/relationships/hyperlink" Target="http://advancedreglazing.com" TargetMode="External"/><Relationship Id="rId216" Type="http://schemas.openxmlformats.org/officeDocument/2006/relationships/hyperlink" Target="http://tiptoprestorations.com" TargetMode="External"/><Relationship Id="rId215" Type="http://schemas.openxmlformats.org/officeDocument/2006/relationships/hyperlink" Target="http://wrenthambathtubs.com" TargetMode="External"/><Relationship Id="rId214" Type="http://schemas.openxmlformats.org/officeDocument/2006/relationships/hyperlink" Target="http://fantasticresurfacing.com.au" TargetMode="External"/><Relationship Id="rId219" Type="http://schemas.openxmlformats.org/officeDocument/2006/relationships/hyperlink" Target="http://frankensteinrefinishing.com" TargetMode="External"/><Relationship Id="rId218" Type="http://schemas.openxmlformats.org/officeDocument/2006/relationships/hyperlink" Target="http://ohiotubpros.com" TargetMode="External"/><Relationship Id="rId213" Type="http://schemas.openxmlformats.org/officeDocument/2006/relationships/hyperlink" Target="http://allin1coatings.com" TargetMode="External"/><Relationship Id="rId212" Type="http://schemas.openxmlformats.org/officeDocument/2006/relationships/hyperlink" Target="http://sacramentobathtubrefinishing.org" TargetMode="External"/><Relationship Id="rId211" Type="http://schemas.openxmlformats.org/officeDocument/2006/relationships/hyperlink" Target="http://keystoneresurfacing.com" TargetMode="External"/><Relationship Id="rId210" Type="http://schemas.openxmlformats.org/officeDocument/2006/relationships/hyperlink" Target="http://newarktubreglazing.com" TargetMode="External"/><Relationship Id="rId129" Type="http://schemas.openxmlformats.org/officeDocument/2006/relationships/hyperlink" Target="http://repelecarpet.com" TargetMode="External"/><Relationship Id="rId128" Type="http://schemas.openxmlformats.org/officeDocument/2006/relationships/hyperlink" Target="http://thetubpros.com" TargetMode="External"/><Relationship Id="rId249" Type="http://schemas.openxmlformats.org/officeDocument/2006/relationships/hyperlink" Target="http://hambletonhandyman.com" TargetMode="External"/><Relationship Id="rId127" Type="http://schemas.openxmlformats.org/officeDocument/2006/relationships/hyperlink" Target="http://masterteckrepair.com" TargetMode="External"/><Relationship Id="rId248" Type="http://schemas.openxmlformats.org/officeDocument/2006/relationships/hyperlink" Target="http://jeweledinteriors.com" TargetMode="External"/><Relationship Id="rId126" Type="http://schemas.openxmlformats.org/officeDocument/2006/relationships/hyperlink" Target="http://paramount-reglaze.com" TargetMode="External"/><Relationship Id="rId247" Type="http://schemas.openxmlformats.org/officeDocument/2006/relationships/hyperlink" Target="http://roperrhodes.co.uk" TargetMode="External"/><Relationship Id="rId121" Type="http://schemas.openxmlformats.org/officeDocument/2006/relationships/hyperlink" Target="http://reglazepros.com" TargetMode="External"/><Relationship Id="rId242" Type="http://schemas.openxmlformats.org/officeDocument/2006/relationships/hyperlink" Target="http://stonerestorationworks.com" TargetMode="External"/><Relationship Id="rId120" Type="http://schemas.openxmlformats.org/officeDocument/2006/relationships/hyperlink" Target="http://uniquerefinishers.com" TargetMode="External"/><Relationship Id="rId241" Type="http://schemas.openxmlformats.org/officeDocument/2006/relationships/hyperlink" Target="http://nationalplastics.co.uk" TargetMode="External"/><Relationship Id="rId240" Type="http://schemas.openxmlformats.org/officeDocument/2006/relationships/hyperlink" Target="http://correctcaulking.com.au" TargetMode="External"/><Relationship Id="rId125" Type="http://schemas.openxmlformats.org/officeDocument/2006/relationships/hyperlink" Target="http://tampatubandtilerefinishing.com" TargetMode="External"/><Relationship Id="rId246" Type="http://schemas.openxmlformats.org/officeDocument/2006/relationships/hyperlink" Target="http://acamporainteriors.com" TargetMode="External"/><Relationship Id="rId124" Type="http://schemas.openxmlformats.org/officeDocument/2006/relationships/hyperlink" Target="http://bathroomsurfacesolutions.com" TargetMode="External"/><Relationship Id="rId245" Type="http://schemas.openxmlformats.org/officeDocument/2006/relationships/hyperlink" Target="http://bath-works.net" TargetMode="External"/><Relationship Id="rId123" Type="http://schemas.openxmlformats.org/officeDocument/2006/relationships/hyperlink" Target="http://unitedtradelinks.com.au" TargetMode="External"/><Relationship Id="rId244" Type="http://schemas.openxmlformats.org/officeDocument/2006/relationships/hyperlink" Target="http://peachpainting.com" TargetMode="External"/><Relationship Id="rId122" Type="http://schemas.openxmlformats.org/officeDocument/2006/relationships/hyperlink" Target="http://universaltile.net" TargetMode="External"/><Relationship Id="rId243" Type="http://schemas.openxmlformats.org/officeDocument/2006/relationships/hyperlink" Target="http://simplepracticalbeautiful.com" TargetMode="External"/><Relationship Id="rId95" Type="http://schemas.openxmlformats.org/officeDocument/2006/relationships/hyperlink" Target="http://tubbydiy.com" TargetMode="External"/><Relationship Id="rId94" Type="http://schemas.openxmlformats.org/officeDocument/2006/relationships/hyperlink" Target="http://bathtub-master.com" TargetMode="External"/><Relationship Id="rId97" Type="http://schemas.openxmlformats.org/officeDocument/2006/relationships/hyperlink" Target="http://bathtubrefinishingca.com" TargetMode="External"/><Relationship Id="rId96" Type="http://schemas.openxmlformats.org/officeDocument/2006/relationships/hyperlink" Target="http://gandhresurfacing.com" TargetMode="External"/><Relationship Id="rId99" Type="http://schemas.openxmlformats.org/officeDocument/2006/relationships/hyperlink" Target="http://bathtubrefinishingdallas.com" TargetMode="External"/><Relationship Id="rId98" Type="http://schemas.openxmlformats.org/officeDocument/2006/relationships/hyperlink" Target="http://bathtubrefinishingtampa.net" TargetMode="External"/><Relationship Id="rId91" Type="http://schemas.openxmlformats.org/officeDocument/2006/relationships/hyperlink" Target="http://alltubsky.com" TargetMode="External"/><Relationship Id="rId90" Type="http://schemas.openxmlformats.org/officeDocument/2006/relationships/hyperlink" Target="http://absolutetub.com" TargetMode="External"/><Relationship Id="rId93" Type="http://schemas.openxmlformats.org/officeDocument/2006/relationships/hyperlink" Target="http://keybathroomtilerestoration.com" TargetMode="External"/><Relationship Id="rId92" Type="http://schemas.openxmlformats.org/officeDocument/2006/relationships/hyperlink" Target="http://jannetintl.com" TargetMode="External"/><Relationship Id="rId118" Type="http://schemas.openxmlformats.org/officeDocument/2006/relationships/hyperlink" Target="http://welspunflooring.com" TargetMode="External"/><Relationship Id="rId239" Type="http://schemas.openxmlformats.org/officeDocument/2006/relationships/hyperlink" Target="http://surface-renew.com" TargetMode="External"/><Relationship Id="rId117" Type="http://schemas.openxmlformats.org/officeDocument/2006/relationships/hyperlink" Target="http://yournewtubs.com" TargetMode="External"/><Relationship Id="rId238" Type="http://schemas.openxmlformats.org/officeDocument/2006/relationships/hyperlink" Target="http://tandlinternational.com" TargetMode="External"/><Relationship Id="rId116" Type="http://schemas.openxmlformats.org/officeDocument/2006/relationships/hyperlink" Target="http://dallasbathtubrefinishing.com" TargetMode="External"/><Relationship Id="rId237" Type="http://schemas.openxmlformats.org/officeDocument/2006/relationships/hyperlink" Target="http://surfaceexperts.com" TargetMode="External"/><Relationship Id="rId115" Type="http://schemas.openxmlformats.org/officeDocument/2006/relationships/hyperlink" Target="http://tubguyrefinishing.com" TargetMode="External"/><Relationship Id="rId236" Type="http://schemas.openxmlformats.org/officeDocument/2006/relationships/hyperlink" Target="http://setileconnection.com" TargetMode="External"/><Relationship Id="rId119" Type="http://schemas.openxmlformats.org/officeDocument/2006/relationships/hyperlink" Target="http://whiteglovereglazing.com" TargetMode="External"/><Relationship Id="rId110" Type="http://schemas.openxmlformats.org/officeDocument/2006/relationships/hyperlink" Target="http://combath.com" TargetMode="External"/><Relationship Id="rId231" Type="http://schemas.openxmlformats.org/officeDocument/2006/relationships/hyperlink" Target="http://greatbuildz.com" TargetMode="External"/><Relationship Id="rId230" Type="http://schemas.openxmlformats.org/officeDocument/2006/relationships/hyperlink" Target="http://thegroutmedic.com" TargetMode="External"/><Relationship Id="rId114" Type="http://schemas.openxmlformats.org/officeDocument/2006/relationships/hyperlink" Target="http://renov8co.com" TargetMode="External"/><Relationship Id="rId235" Type="http://schemas.openxmlformats.org/officeDocument/2006/relationships/hyperlink" Target="http://streamlinebath.com" TargetMode="External"/><Relationship Id="rId113" Type="http://schemas.openxmlformats.org/officeDocument/2006/relationships/hyperlink" Target="http://coloradotubrepair.com" TargetMode="External"/><Relationship Id="rId234" Type="http://schemas.openxmlformats.org/officeDocument/2006/relationships/hyperlink" Target="http://all.biz" TargetMode="External"/><Relationship Id="rId112" Type="http://schemas.openxmlformats.org/officeDocument/2006/relationships/hyperlink" Target="http://dallastubpros.com" TargetMode="External"/><Relationship Id="rId233" Type="http://schemas.openxmlformats.org/officeDocument/2006/relationships/hyperlink" Target="http://gettilesonline.com.au" TargetMode="External"/><Relationship Id="rId111" Type="http://schemas.openxmlformats.org/officeDocument/2006/relationships/hyperlink" Target="http://marylandtubntile.com" TargetMode="External"/><Relationship Id="rId232" Type="http://schemas.openxmlformats.org/officeDocument/2006/relationships/hyperlink" Target="http://paintritepros.com" TargetMode="External"/><Relationship Id="rId305" Type="http://schemas.openxmlformats.org/officeDocument/2006/relationships/hyperlink" Target="http://classicallyjill.com" TargetMode="External"/><Relationship Id="rId304" Type="http://schemas.openxmlformats.org/officeDocument/2006/relationships/hyperlink" Target="http://bathtubrefinishingtulsa.com" TargetMode="External"/><Relationship Id="rId303" Type="http://schemas.openxmlformats.org/officeDocument/2006/relationships/hyperlink" Target="http://stone3.com.au" TargetMode="External"/><Relationship Id="rId302" Type="http://schemas.openxmlformats.org/officeDocument/2006/relationships/hyperlink" Target="http://mrresurface.com" TargetMode="External"/><Relationship Id="rId309" Type="http://schemas.openxmlformats.org/officeDocument/2006/relationships/hyperlink" Target="http://bathroomremodeleriepa.com" TargetMode="External"/><Relationship Id="rId308" Type="http://schemas.openxmlformats.org/officeDocument/2006/relationships/hyperlink" Target="http://re-surfacepro.com" TargetMode="External"/><Relationship Id="rId307" Type="http://schemas.openxmlformats.org/officeDocument/2006/relationships/hyperlink" Target="http://a1reglaze.com" TargetMode="External"/><Relationship Id="rId306" Type="http://schemas.openxmlformats.org/officeDocument/2006/relationships/hyperlink" Target="http://borobathrooms.co.uk" TargetMode="External"/><Relationship Id="rId301" Type="http://schemas.openxmlformats.org/officeDocument/2006/relationships/hyperlink" Target="http://ftworthrefinishing.com" TargetMode="External"/><Relationship Id="rId300" Type="http://schemas.openxmlformats.org/officeDocument/2006/relationships/hyperlink" Target="http://cincottitile.com" TargetMode="External"/><Relationship Id="rId206" Type="http://schemas.openxmlformats.org/officeDocument/2006/relationships/hyperlink" Target="http://baufix-online.com" TargetMode="External"/><Relationship Id="rId205" Type="http://schemas.openxmlformats.org/officeDocument/2006/relationships/hyperlink" Target="http://jrcoatingtechnologies.com" TargetMode="External"/><Relationship Id="rId326" Type="http://schemas.openxmlformats.org/officeDocument/2006/relationships/drawing" Target="../drawings/drawing10.xml"/><Relationship Id="rId204" Type="http://schemas.openxmlformats.org/officeDocument/2006/relationships/hyperlink" Target="http://renewyourtub.com" TargetMode="External"/><Relationship Id="rId325" Type="http://schemas.openxmlformats.org/officeDocument/2006/relationships/hyperlink" Target="http://aaarefinishing.com" TargetMode="External"/><Relationship Id="rId203" Type="http://schemas.openxmlformats.org/officeDocument/2006/relationships/hyperlink" Target="http://brooklyntubrefinishing.com" TargetMode="External"/><Relationship Id="rId324" Type="http://schemas.openxmlformats.org/officeDocument/2006/relationships/hyperlink" Target="http://reglazinglosangeles0.yolasite.com" TargetMode="External"/><Relationship Id="rId209" Type="http://schemas.openxmlformats.org/officeDocument/2006/relationships/hyperlink" Target="http://hudsontubs.com" TargetMode="External"/><Relationship Id="rId208" Type="http://schemas.openxmlformats.org/officeDocument/2006/relationships/hyperlink" Target="http://kelloggsporcelain.com" TargetMode="External"/><Relationship Id="rId207" Type="http://schemas.openxmlformats.org/officeDocument/2006/relationships/hyperlink" Target="http://wrenthambathrooms.com" TargetMode="External"/><Relationship Id="rId202" Type="http://schemas.openxmlformats.org/officeDocument/2006/relationships/hyperlink" Target="http://armorkote.net" TargetMode="External"/><Relationship Id="rId323" Type="http://schemas.openxmlformats.org/officeDocument/2006/relationships/hyperlink" Target="http://strivetilereglazing.com" TargetMode="External"/><Relationship Id="rId201" Type="http://schemas.openxmlformats.org/officeDocument/2006/relationships/hyperlink" Target="http://azulejossola.co.uk" TargetMode="External"/><Relationship Id="rId322" Type="http://schemas.openxmlformats.org/officeDocument/2006/relationships/hyperlink" Target="http://rksbathtubandtilerestorations.com" TargetMode="External"/><Relationship Id="rId200" Type="http://schemas.openxmlformats.org/officeDocument/2006/relationships/hyperlink" Target="http://whitetubs.com" TargetMode="External"/><Relationship Id="rId321" Type="http://schemas.openxmlformats.org/officeDocument/2006/relationships/hyperlink" Target="http://winchestertileservice.com" TargetMode="External"/><Relationship Id="rId320" Type="http://schemas.openxmlformats.org/officeDocument/2006/relationships/hyperlink" Target="http://johnsonflooringtn.com" TargetMode="External"/><Relationship Id="rId316" Type="http://schemas.openxmlformats.org/officeDocument/2006/relationships/hyperlink" Target="http://losangelesbathtubreglazing.webflow.io" TargetMode="External"/><Relationship Id="rId315" Type="http://schemas.openxmlformats.org/officeDocument/2006/relationships/hyperlink" Target="http://amazingtubsreglaze.com" TargetMode="External"/><Relationship Id="rId314" Type="http://schemas.openxmlformats.org/officeDocument/2006/relationships/hyperlink" Target="http://capitalbathrooms.com.au" TargetMode="External"/><Relationship Id="rId313" Type="http://schemas.openxmlformats.org/officeDocument/2006/relationships/hyperlink" Target="http://thebathtubguy.com" TargetMode="External"/><Relationship Id="rId319" Type="http://schemas.openxmlformats.org/officeDocument/2006/relationships/hyperlink" Target="http://alfredosrefinish.com" TargetMode="External"/><Relationship Id="rId318" Type="http://schemas.openxmlformats.org/officeDocument/2006/relationships/hyperlink" Target="http://floridatubreglazing.com" TargetMode="External"/><Relationship Id="rId317" Type="http://schemas.openxmlformats.org/officeDocument/2006/relationships/hyperlink" Target="http://dallastubrefinishing.com" TargetMode="External"/><Relationship Id="rId312" Type="http://schemas.openxmlformats.org/officeDocument/2006/relationships/hyperlink" Target="http://mayfairbuildinggroup.com.au" TargetMode="External"/><Relationship Id="rId311" Type="http://schemas.openxmlformats.org/officeDocument/2006/relationships/hyperlink" Target="http://tubnshower.com" TargetMode="External"/><Relationship Id="rId310" Type="http://schemas.openxmlformats.org/officeDocument/2006/relationships/hyperlink" Target="http://capsulegallery.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1.88"/>
    <col customWidth="1" min="2" max="2" width="9.88"/>
    <col customWidth="1" min="3" max="3" width="13.25"/>
    <col customWidth="1" min="4" max="4" width="17.75"/>
  </cols>
  <sheetData>
    <row r="1">
      <c r="A1" s="1" t="s">
        <v>0</v>
      </c>
    </row>
    <row r="2">
      <c r="A2" s="2" t="s">
        <v>1</v>
      </c>
      <c r="B2" s="2" t="s">
        <v>2</v>
      </c>
      <c r="C2" s="3" t="s">
        <v>3</v>
      </c>
      <c r="D2" s="2" t="s">
        <v>4</v>
      </c>
    </row>
    <row r="3">
      <c r="A3" s="4" t="s">
        <v>5</v>
      </c>
      <c r="B3" s="5" t="s">
        <v>6</v>
      </c>
      <c r="C3" s="6" t="s">
        <v>7</v>
      </c>
      <c r="D3" s="7">
        <v>46386.0</v>
      </c>
    </row>
    <row r="4">
      <c r="A4" s="8" t="s">
        <v>8</v>
      </c>
      <c r="B4" s="9" t="s">
        <v>6</v>
      </c>
      <c r="C4" s="10" t="s">
        <v>7</v>
      </c>
      <c r="D4" s="11">
        <v>46386.0</v>
      </c>
    </row>
    <row r="5">
      <c r="A5" s="8" t="s">
        <v>9</v>
      </c>
      <c r="B5" s="9" t="s">
        <v>6</v>
      </c>
      <c r="C5" s="10" t="s">
        <v>7</v>
      </c>
      <c r="D5" s="12" t="s">
        <v>10</v>
      </c>
    </row>
    <row r="6">
      <c r="A6" s="8" t="s">
        <v>11</v>
      </c>
      <c r="B6" s="9" t="s">
        <v>6</v>
      </c>
      <c r="C6" s="10" t="s">
        <v>7</v>
      </c>
      <c r="D6" s="11">
        <v>46379.0</v>
      </c>
    </row>
    <row r="7">
      <c r="A7" s="8" t="s">
        <v>12</v>
      </c>
      <c r="B7" s="9" t="s">
        <v>13</v>
      </c>
      <c r="C7" s="10" t="s">
        <v>14</v>
      </c>
      <c r="D7" s="11">
        <v>46376.0</v>
      </c>
    </row>
    <row r="8">
      <c r="A8" s="8" t="s">
        <v>15</v>
      </c>
      <c r="B8" s="9" t="s">
        <v>6</v>
      </c>
      <c r="C8" s="10" t="s">
        <v>14</v>
      </c>
      <c r="D8" s="11">
        <v>46383.0</v>
      </c>
    </row>
    <row r="9">
      <c r="A9" s="8" t="s">
        <v>16</v>
      </c>
      <c r="B9" s="9" t="s">
        <v>6</v>
      </c>
      <c r="C9" s="10" t="s">
        <v>14</v>
      </c>
      <c r="D9" s="11">
        <v>46378.0</v>
      </c>
    </row>
    <row r="10">
      <c r="A10" s="8" t="s">
        <v>17</v>
      </c>
      <c r="B10" s="9" t="s">
        <v>6</v>
      </c>
      <c r="C10" s="10" t="s">
        <v>14</v>
      </c>
      <c r="D10" s="11">
        <v>46380.0</v>
      </c>
    </row>
    <row r="11">
      <c r="A11" s="8" t="s">
        <v>18</v>
      </c>
      <c r="B11" s="9" t="s">
        <v>6</v>
      </c>
      <c r="C11" s="10" t="s">
        <v>14</v>
      </c>
      <c r="D11" s="11">
        <v>46379.0</v>
      </c>
    </row>
    <row r="12">
      <c r="A12" s="8" t="s">
        <v>19</v>
      </c>
      <c r="B12" s="9" t="s">
        <v>20</v>
      </c>
      <c r="C12" s="10" t="s">
        <v>14</v>
      </c>
      <c r="D12" s="11">
        <v>46383.0</v>
      </c>
    </row>
    <row r="13">
      <c r="A13" s="8" t="s">
        <v>21</v>
      </c>
      <c r="B13" s="13" t="s">
        <v>22</v>
      </c>
      <c r="C13" s="10" t="s">
        <v>14</v>
      </c>
      <c r="D13" s="12" t="s">
        <v>23</v>
      </c>
    </row>
    <row r="14">
      <c r="A14" s="8" t="s">
        <v>24</v>
      </c>
      <c r="B14" s="14"/>
      <c r="C14" s="10" t="s">
        <v>14</v>
      </c>
      <c r="D14" s="11">
        <v>46384.0</v>
      </c>
    </row>
    <row r="15">
      <c r="A15" s="8" t="s">
        <v>25</v>
      </c>
      <c r="B15" s="14"/>
      <c r="C15" s="10" t="s">
        <v>14</v>
      </c>
      <c r="D15" s="11">
        <v>46370.0</v>
      </c>
    </row>
    <row r="16">
      <c r="A16" s="8" t="s">
        <v>26</v>
      </c>
      <c r="B16" s="14"/>
      <c r="C16" s="10" t="s">
        <v>14</v>
      </c>
      <c r="D16" s="12" t="s">
        <v>27</v>
      </c>
    </row>
    <row r="17">
      <c r="A17" s="8" t="s">
        <v>28</v>
      </c>
      <c r="B17" s="14"/>
      <c r="C17" s="10" t="s">
        <v>14</v>
      </c>
      <c r="D17" s="11">
        <v>46386.0</v>
      </c>
    </row>
    <row r="18">
      <c r="A18" s="8" t="s">
        <v>29</v>
      </c>
      <c r="B18" s="14"/>
      <c r="C18" s="10" t="s">
        <v>14</v>
      </c>
      <c r="D18" s="11">
        <v>46366.0</v>
      </c>
    </row>
    <row r="19">
      <c r="A19" s="8" t="s">
        <v>30</v>
      </c>
      <c r="B19" s="14"/>
      <c r="C19" s="10" t="s">
        <v>14</v>
      </c>
      <c r="D19" s="11">
        <v>46355.0</v>
      </c>
    </row>
    <row r="20">
      <c r="A20" s="8" t="s">
        <v>31</v>
      </c>
      <c r="B20" s="14"/>
      <c r="C20" s="10" t="s">
        <v>14</v>
      </c>
      <c r="D20" s="11">
        <v>46366.0</v>
      </c>
    </row>
    <row r="21">
      <c r="A21" s="8" t="s">
        <v>32</v>
      </c>
      <c r="B21" s="14"/>
      <c r="C21" s="10" t="s">
        <v>14</v>
      </c>
      <c r="D21" s="11">
        <v>46354.0</v>
      </c>
    </row>
    <row r="22">
      <c r="A22" s="8" t="s">
        <v>33</v>
      </c>
      <c r="B22" s="14"/>
      <c r="C22" s="10" t="s">
        <v>14</v>
      </c>
      <c r="D22" s="11">
        <v>46373.0</v>
      </c>
    </row>
    <row r="23">
      <c r="A23" s="4" t="s">
        <v>34</v>
      </c>
      <c r="B23" s="5" t="s">
        <v>35</v>
      </c>
      <c r="C23" s="6" t="s">
        <v>36</v>
      </c>
      <c r="D23" s="15"/>
    </row>
    <row r="24">
      <c r="A24" s="4" t="s">
        <v>37</v>
      </c>
      <c r="B24" s="5" t="s">
        <v>13</v>
      </c>
      <c r="C24" s="6" t="s">
        <v>14</v>
      </c>
      <c r="D24" s="7">
        <v>46353.0</v>
      </c>
    </row>
    <row r="25">
      <c r="A25" s="8" t="s">
        <v>38</v>
      </c>
      <c r="B25" s="9" t="s">
        <v>13</v>
      </c>
      <c r="C25" s="10" t="s">
        <v>36</v>
      </c>
      <c r="D25" s="12" t="s">
        <v>39</v>
      </c>
    </row>
    <row r="26">
      <c r="A26" s="8" t="s">
        <v>40</v>
      </c>
      <c r="B26" s="9" t="s">
        <v>13</v>
      </c>
      <c r="C26" s="10" t="s">
        <v>36</v>
      </c>
      <c r="D26" s="11">
        <v>46343.0</v>
      </c>
    </row>
    <row r="27">
      <c r="A27" s="8" t="s">
        <v>41</v>
      </c>
      <c r="B27" s="9" t="s">
        <v>13</v>
      </c>
      <c r="C27" s="10" t="s">
        <v>36</v>
      </c>
      <c r="D27" s="11">
        <v>46372.0</v>
      </c>
    </row>
    <row r="28">
      <c r="A28" s="8" t="s">
        <v>42</v>
      </c>
      <c r="B28" s="9" t="s">
        <v>35</v>
      </c>
      <c r="C28" s="10" t="s">
        <v>36</v>
      </c>
      <c r="D28" s="14"/>
    </row>
    <row r="29">
      <c r="A29" s="8" t="s">
        <v>43</v>
      </c>
      <c r="B29" s="9" t="s">
        <v>35</v>
      </c>
      <c r="C29" s="10" t="s">
        <v>36</v>
      </c>
      <c r="D29" s="14"/>
    </row>
    <row r="30">
      <c r="A30" s="8" t="s">
        <v>44</v>
      </c>
      <c r="B30" s="9" t="s">
        <v>35</v>
      </c>
      <c r="C30" s="10" t="s">
        <v>36</v>
      </c>
      <c r="D30" s="14"/>
    </row>
    <row r="31">
      <c r="A31" s="8" t="s">
        <v>45</v>
      </c>
      <c r="B31" s="9" t="s">
        <v>35</v>
      </c>
      <c r="C31" s="10" t="s">
        <v>36</v>
      </c>
      <c r="D31" s="14"/>
    </row>
    <row r="32">
      <c r="A32" s="8" t="s">
        <v>46</v>
      </c>
      <c r="B32" s="9" t="s">
        <v>35</v>
      </c>
      <c r="C32" s="10" t="s">
        <v>36</v>
      </c>
      <c r="D32" s="14"/>
    </row>
    <row r="33">
      <c r="A33" s="8" t="s">
        <v>47</v>
      </c>
      <c r="B33" s="9" t="s">
        <v>35</v>
      </c>
      <c r="C33" s="10" t="s">
        <v>36</v>
      </c>
      <c r="D33" s="14"/>
    </row>
    <row r="34">
      <c r="A34" s="8" t="s">
        <v>48</v>
      </c>
      <c r="B34" s="13" t="s">
        <v>49</v>
      </c>
      <c r="C34" s="10" t="s">
        <v>36</v>
      </c>
      <c r="D34" s="14"/>
    </row>
    <row r="35">
      <c r="A35" s="8" t="s">
        <v>50</v>
      </c>
      <c r="B35" s="14"/>
      <c r="C35" s="10" t="s">
        <v>36</v>
      </c>
      <c r="D35" s="14"/>
    </row>
    <row r="36">
      <c r="A36" s="8" t="s">
        <v>51</v>
      </c>
      <c r="B36" s="14"/>
      <c r="C36" s="10" t="s">
        <v>36</v>
      </c>
      <c r="D36" s="14"/>
    </row>
    <row r="37">
      <c r="A37" s="8" t="s">
        <v>52</v>
      </c>
      <c r="B37" s="14"/>
      <c r="C37" s="10" t="s">
        <v>36</v>
      </c>
      <c r="D37" s="14"/>
    </row>
    <row r="38">
      <c r="A38" s="8" t="s">
        <v>53</v>
      </c>
      <c r="B38" s="14"/>
      <c r="C38" s="10" t="s">
        <v>36</v>
      </c>
      <c r="D38" s="14"/>
    </row>
    <row r="39">
      <c r="A39" s="8" t="s">
        <v>54</v>
      </c>
      <c r="B39" s="14"/>
      <c r="C39" s="10" t="s">
        <v>36</v>
      </c>
      <c r="D39" s="14"/>
    </row>
    <row r="40">
      <c r="A40" s="4" t="s">
        <v>55</v>
      </c>
      <c r="B40" s="5" t="s">
        <v>6</v>
      </c>
      <c r="C40" s="6" t="s">
        <v>14</v>
      </c>
      <c r="D40" s="16" t="s">
        <v>23</v>
      </c>
    </row>
    <row r="41">
      <c r="A41" s="8" t="s">
        <v>56</v>
      </c>
      <c r="B41" s="9" t="s">
        <v>6</v>
      </c>
      <c r="C41" s="10" t="s">
        <v>14</v>
      </c>
      <c r="D41" s="11">
        <v>46370.0</v>
      </c>
    </row>
    <row r="42">
      <c r="A42" s="8" t="s">
        <v>57</v>
      </c>
      <c r="B42" s="9" t="s">
        <v>35</v>
      </c>
      <c r="C42" s="10" t="s">
        <v>36</v>
      </c>
      <c r="D42" s="14"/>
    </row>
    <row r="43">
      <c r="A43" s="8" t="s">
        <v>58</v>
      </c>
      <c r="B43" s="9" t="s">
        <v>35</v>
      </c>
      <c r="C43" s="10" t="s">
        <v>36</v>
      </c>
      <c r="D43" s="14"/>
    </row>
    <row r="44">
      <c r="A44" s="8" t="s">
        <v>59</v>
      </c>
      <c r="B44" s="9" t="s">
        <v>35</v>
      </c>
      <c r="C44" s="10" t="s">
        <v>36</v>
      </c>
      <c r="D44" s="14"/>
    </row>
    <row r="45">
      <c r="A45" s="8" t="s">
        <v>60</v>
      </c>
      <c r="B45" s="9" t="s">
        <v>35</v>
      </c>
      <c r="C45" s="10" t="s">
        <v>36</v>
      </c>
      <c r="D45" s="14"/>
    </row>
    <row r="46">
      <c r="A46" s="8" t="s">
        <v>61</v>
      </c>
      <c r="B46" s="9" t="s">
        <v>35</v>
      </c>
      <c r="C46" s="10" t="s">
        <v>36</v>
      </c>
      <c r="D46" s="14"/>
    </row>
    <row r="47">
      <c r="A47" s="8" t="s">
        <v>62</v>
      </c>
      <c r="B47" s="9" t="s">
        <v>35</v>
      </c>
      <c r="C47" s="10" t="s">
        <v>36</v>
      </c>
      <c r="D47" s="14"/>
    </row>
    <row r="48">
      <c r="A48" s="8" t="s">
        <v>63</v>
      </c>
      <c r="B48" s="9" t="s">
        <v>35</v>
      </c>
      <c r="C48" s="10" t="s">
        <v>36</v>
      </c>
      <c r="D48" s="14"/>
    </row>
    <row r="49">
      <c r="A49" s="8" t="s">
        <v>64</v>
      </c>
      <c r="B49" s="9" t="s">
        <v>35</v>
      </c>
      <c r="C49" s="10" t="s">
        <v>36</v>
      </c>
      <c r="D49" s="14"/>
    </row>
    <row r="50">
      <c r="A50" s="8" t="s">
        <v>65</v>
      </c>
      <c r="B50" s="13" t="s">
        <v>66</v>
      </c>
      <c r="C50" s="10" t="s">
        <v>36</v>
      </c>
      <c r="D50" s="14"/>
    </row>
    <row r="51">
      <c r="A51" s="8" t="s">
        <v>67</v>
      </c>
      <c r="B51" s="14"/>
      <c r="C51" s="10" t="s">
        <v>36</v>
      </c>
      <c r="D51" s="14"/>
    </row>
    <row r="52">
      <c r="A52" s="8" t="s">
        <v>68</v>
      </c>
      <c r="B52" s="14"/>
      <c r="C52" s="10" t="s">
        <v>36</v>
      </c>
      <c r="D52" s="14"/>
    </row>
    <row r="53">
      <c r="A53" s="8" t="s">
        <v>69</v>
      </c>
      <c r="B53" s="14"/>
      <c r="C53" s="10" t="s">
        <v>36</v>
      </c>
      <c r="D53" s="14"/>
    </row>
    <row r="54">
      <c r="A54" s="8" t="s">
        <v>70</v>
      </c>
      <c r="B54" s="14"/>
      <c r="C54" s="10" t="s">
        <v>36</v>
      </c>
      <c r="D54" s="12" t="s">
        <v>23</v>
      </c>
    </row>
    <row r="55">
      <c r="A55" s="8" t="s">
        <v>71</v>
      </c>
      <c r="B55" s="14"/>
      <c r="C55" s="10" t="s">
        <v>36</v>
      </c>
      <c r="D55" s="12" t="s">
        <v>23</v>
      </c>
    </row>
    <row r="56">
      <c r="A56" s="8" t="s">
        <v>72</v>
      </c>
      <c r="B56" s="14"/>
      <c r="C56" s="10" t="s">
        <v>36</v>
      </c>
      <c r="D56" s="14"/>
    </row>
    <row r="57">
      <c r="A57" s="8" t="s">
        <v>73</v>
      </c>
      <c r="B57" s="14"/>
      <c r="C57" s="10" t="s">
        <v>36</v>
      </c>
      <c r="D57" s="14"/>
    </row>
    <row r="58">
      <c r="A58" s="8" t="s">
        <v>74</v>
      </c>
      <c r="B58" s="14"/>
      <c r="C58" s="10" t="s">
        <v>36</v>
      </c>
      <c r="D58" s="14"/>
    </row>
    <row r="59">
      <c r="A59" s="8" t="s">
        <v>75</v>
      </c>
      <c r="B59" s="14"/>
      <c r="C59" s="10" t="s">
        <v>36</v>
      </c>
      <c r="D59" s="14"/>
    </row>
  </sheetData>
  <hyperlinks>
    <hyperlink r:id="rId1" ref="B13"/>
    <hyperlink r:id="rId2" ref="B34"/>
    <hyperlink r:id="rId3" ref="B50"/>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3" max="3" width="40.25"/>
    <col customWidth="1" min="4" max="4" width="44.13"/>
    <col customWidth="1" min="5" max="5" width="40.38"/>
    <col customWidth="1" min="6" max="6" width="26.5"/>
    <col customWidth="1" min="7" max="7" width="102.0"/>
  </cols>
  <sheetData>
    <row r="1">
      <c r="A1" s="1" t="s">
        <v>76</v>
      </c>
      <c r="C1" s="1" t="s">
        <v>77</v>
      </c>
      <c r="D1" s="1" t="s">
        <v>78</v>
      </c>
      <c r="E1" s="1" t="s">
        <v>79</v>
      </c>
      <c r="F1" s="1" t="s">
        <v>80</v>
      </c>
      <c r="G1" s="1" t="s">
        <v>81</v>
      </c>
      <c r="H1" s="1" t="s">
        <v>82</v>
      </c>
      <c r="I1" s="1" t="s">
        <v>83</v>
      </c>
      <c r="J1" s="1" t="s">
        <v>84</v>
      </c>
      <c r="K1" s="1" t="s">
        <v>85</v>
      </c>
    </row>
    <row r="2">
      <c r="A2" s="1" t="s">
        <v>86</v>
      </c>
      <c r="C2" s="17" t="s">
        <v>5</v>
      </c>
      <c r="E2" s="17" t="s">
        <v>87</v>
      </c>
      <c r="F2" s="17">
        <v>6600.0</v>
      </c>
      <c r="H2" s="17">
        <v>43.0</v>
      </c>
      <c r="I2" s="17">
        <v>4.22</v>
      </c>
      <c r="J2" s="17" t="s">
        <v>88</v>
      </c>
    </row>
    <row r="3">
      <c r="A3" s="1" t="s">
        <v>89</v>
      </c>
      <c r="C3" s="17" t="s">
        <v>12</v>
      </c>
      <c r="E3" s="17" t="s">
        <v>90</v>
      </c>
      <c r="F3" s="17">
        <v>6600.0</v>
      </c>
      <c r="H3" s="17">
        <v>35.0</v>
      </c>
      <c r="I3" s="17">
        <v>5.85</v>
      </c>
      <c r="J3" s="17" t="s">
        <v>91</v>
      </c>
    </row>
    <row r="4">
      <c r="A4" s="1" t="s">
        <v>92</v>
      </c>
      <c r="C4" s="17" t="s">
        <v>93</v>
      </c>
      <c r="E4" s="17" t="s">
        <v>87</v>
      </c>
      <c r="F4" s="17">
        <v>3600.0</v>
      </c>
      <c r="H4" s="17">
        <v>34.0</v>
      </c>
      <c r="I4" s="17">
        <v>4.19</v>
      </c>
      <c r="J4" s="17" t="s">
        <v>94</v>
      </c>
    </row>
    <row r="5">
      <c r="A5" s="1" t="s">
        <v>95</v>
      </c>
      <c r="C5" s="17" t="s">
        <v>9</v>
      </c>
      <c r="E5" s="17" t="s">
        <v>87</v>
      </c>
      <c r="F5" s="17">
        <v>3600.0</v>
      </c>
      <c r="H5" s="17">
        <v>41.0</v>
      </c>
      <c r="I5" s="17">
        <v>4.67</v>
      </c>
      <c r="J5" s="17" t="s">
        <v>96</v>
      </c>
    </row>
    <row r="6">
      <c r="A6" s="1" t="s">
        <v>5</v>
      </c>
      <c r="C6" s="17" t="s">
        <v>19</v>
      </c>
      <c r="E6" s="17" t="s">
        <v>90</v>
      </c>
      <c r="F6" s="17">
        <v>3600.0</v>
      </c>
      <c r="H6" s="17">
        <v>42.0</v>
      </c>
      <c r="I6" s="17">
        <v>5.85</v>
      </c>
      <c r="J6" s="17" t="s">
        <v>97</v>
      </c>
    </row>
    <row r="7">
      <c r="A7" s="1" t="s">
        <v>98</v>
      </c>
      <c r="C7" s="17" t="s">
        <v>31</v>
      </c>
      <c r="E7" s="17" t="s">
        <v>99</v>
      </c>
      <c r="F7" s="17">
        <v>1900.0</v>
      </c>
      <c r="H7" s="17">
        <v>23.0</v>
      </c>
      <c r="I7" s="17">
        <v>1.07</v>
      </c>
      <c r="J7" s="17" t="s">
        <v>100</v>
      </c>
    </row>
    <row r="8">
      <c r="A8" s="1" t="s">
        <v>101</v>
      </c>
      <c r="C8" s="17" t="s">
        <v>102</v>
      </c>
      <c r="E8" s="17" t="s">
        <v>90</v>
      </c>
      <c r="F8" s="17">
        <v>1600.0</v>
      </c>
      <c r="H8" s="17">
        <v>28.0</v>
      </c>
      <c r="I8" s="17">
        <v>5.56</v>
      </c>
      <c r="J8" s="17" t="s">
        <v>103</v>
      </c>
    </row>
    <row r="9">
      <c r="A9" s="1" t="s">
        <v>104</v>
      </c>
      <c r="C9" s="17" t="s">
        <v>105</v>
      </c>
      <c r="E9" s="17" t="s">
        <v>90</v>
      </c>
      <c r="F9" s="17">
        <v>1000.0</v>
      </c>
      <c r="H9" s="17">
        <v>27.0</v>
      </c>
      <c r="I9" s="17">
        <v>5.47</v>
      </c>
      <c r="J9" s="17" t="s">
        <v>103</v>
      </c>
    </row>
    <row r="10">
      <c r="A10" s="1" t="s">
        <v>18</v>
      </c>
      <c r="C10" s="17" t="s">
        <v>29</v>
      </c>
      <c r="E10" s="17" t="s">
        <v>87</v>
      </c>
      <c r="F10" s="17">
        <v>480.0</v>
      </c>
      <c r="H10" s="17">
        <v>42.0</v>
      </c>
      <c r="I10" s="17">
        <v>3.89</v>
      </c>
      <c r="J10" s="17" t="s">
        <v>106</v>
      </c>
    </row>
    <row r="11">
      <c r="A11" s="1" t="s">
        <v>107</v>
      </c>
      <c r="C11" s="17" t="s">
        <v>108</v>
      </c>
      <c r="E11" s="17" t="s">
        <v>87</v>
      </c>
      <c r="F11" s="17">
        <v>390.0</v>
      </c>
      <c r="H11" s="17">
        <v>38.0</v>
      </c>
      <c r="I11" s="17">
        <v>3.89</v>
      </c>
      <c r="J11" s="17" t="s">
        <v>109</v>
      </c>
    </row>
    <row r="12">
      <c r="A12" s="1" t="s">
        <v>9</v>
      </c>
      <c r="C12" s="17" t="s">
        <v>110</v>
      </c>
      <c r="E12" s="17" t="s">
        <v>87</v>
      </c>
      <c r="F12" s="17">
        <v>50.0</v>
      </c>
      <c r="H12" s="17">
        <v>19.0</v>
      </c>
      <c r="I12" s="17">
        <v>0.36</v>
      </c>
      <c r="J12" s="17" t="s">
        <v>111</v>
      </c>
    </row>
    <row r="13">
      <c r="A13" s="1" t="s">
        <v>112</v>
      </c>
      <c r="C13" s="17" t="s">
        <v>104</v>
      </c>
      <c r="E13" s="17" t="s">
        <v>87</v>
      </c>
      <c r="F13" s="17">
        <v>9900.0</v>
      </c>
      <c r="H13" s="17">
        <v>55.0</v>
      </c>
      <c r="I13" s="17">
        <v>6.51</v>
      </c>
      <c r="J13" s="17" t="s">
        <v>88</v>
      </c>
    </row>
    <row r="14">
      <c r="A14" s="1" t="s">
        <v>55</v>
      </c>
      <c r="C14" s="17" t="s">
        <v>113</v>
      </c>
      <c r="E14" s="17" t="s">
        <v>87</v>
      </c>
      <c r="F14" s="17">
        <v>2900.0</v>
      </c>
      <c r="H14" s="17">
        <v>32.0</v>
      </c>
      <c r="I14" s="17">
        <v>5.59</v>
      </c>
      <c r="J14" s="17" t="s">
        <v>114</v>
      </c>
    </row>
    <row r="15">
      <c r="A15" s="1" t="s">
        <v>115</v>
      </c>
      <c r="C15" s="17" t="s">
        <v>116</v>
      </c>
      <c r="E15" s="17" t="s">
        <v>117</v>
      </c>
      <c r="F15" s="17">
        <v>1900.0</v>
      </c>
      <c r="H15" s="17">
        <v>17.0</v>
      </c>
      <c r="I15" s="17">
        <v>3.7</v>
      </c>
      <c r="J15" s="17" t="s">
        <v>118</v>
      </c>
    </row>
    <row r="16">
      <c r="A16" s="1" t="s">
        <v>119</v>
      </c>
      <c r="C16" s="17" t="s">
        <v>120</v>
      </c>
      <c r="E16" s="17" t="s">
        <v>87</v>
      </c>
      <c r="F16" s="17">
        <v>1600.0</v>
      </c>
      <c r="H16" s="17">
        <v>29.0</v>
      </c>
      <c r="I16" s="17">
        <v>3.89</v>
      </c>
      <c r="J16" s="17" t="s">
        <v>121</v>
      </c>
    </row>
    <row r="17">
      <c r="A17" s="1" t="s">
        <v>122</v>
      </c>
      <c r="C17" s="17" t="s">
        <v>123</v>
      </c>
      <c r="E17" s="17" t="s">
        <v>87</v>
      </c>
      <c r="F17" s="17">
        <v>1600.0</v>
      </c>
      <c r="H17" s="17">
        <v>34.0</v>
      </c>
      <c r="I17" s="17">
        <v>5.59</v>
      </c>
      <c r="J17" s="17" t="s">
        <v>124</v>
      </c>
    </row>
    <row r="18">
      <c r="A18" s="1" t="s">
        <v>125</v>
      </c>
      <c r="C18" s="17" t="s">
        <v>126</v>
      </c>
      <c r="E18" s="17" t="s">
        <v>87</v>
      </c>
      <c r="F18" s="17">
        <v>1300.0</v>
      </c>
      <c r="H18" s="17">
        <v>52.0</v>
      </c>
      <c r="I18" s="17">
        <v>5.59</v>
      </c>
      <c r="J18" s="17" t="s">
        <v>127</v>
      </c>
    </row>
    <row r="19">
      <c r="A19" s="1" t="s">
        <v>128</v>
      </c>
      <c r="C19" s="17" t="s">
        <v>129</v>
      </c>
      <c r="E19" s="17" t="s">
        <v>117</v>
      </c>
      <c r="F19" s="17">
        <v>1300.0</v>
      </c>
      <c r="H19" s="17">
        <v>28.0</v>
      </c>
      <c r="I19" s="17">
        <v>1.1</v>
      </c>
      <c r="J19" s="17" t="s">
        <v>130</v>
      </c>
    </row>
    <row r="20">
      <c r="A20" s="1" t="s">
        <v>131</v>
      </c>
      <c r="C20" s="17" t="s">
        <v>132</v>
      </c>
      <c r="E20" s="17" t="s">
        <v>117</v>
      </c>
      <c r="F20" s="17">
        <v>1000.0</v>
      </c>
      <c r="H20" s="17">
        <v>11.0</v>
      </c>
      <c r="I20" s="17">
        <v>1.0</v>
      </c>
      <c r="J20" s="17" t="s">
        <v>133</v>
      </c>
    </row>
    <row r="21">
      <c r="A21" s="1" t="s">
        <v>134</v>
      </c>
      <c r="C21" s="17" t="s">
        <v>135</v>
      </c>
      <c r="E21" s="17" t="s">
        <v>87</v>
      </c>
      <c r="F21" s="17">
        <v>880.0</v>
      </c>
      <c r="H21" s="17">
        <v>33.0</v>
      </c>
      <c r="I21" s="17">
        <v>4.69</v>
      </c>
      <c r="J21" s="17" t="s">
        <v>136</v>
      </c>
    </row>
    <row r="22">
      <c r="A22" s="1" t="s">
        <v>137</v>
      </c>
      <c r="C22" s="17" t="s">
        <v>138</v>
      </c>
      <c r="E22" s="17" t="s">
        <v>90</v>
      </c>
      <c r="F22" s="17">
        <v>720.0</v>
      </c>
      <c r="H22" s="17">
        <v>24.0</v>
      </c>
      <c r="I22" s="17">
        <v>3.83</v>
      </c>
      <c r="J22" s="17" t="s">
        <v>139</v>
      </c>
    </row>
    <row r="23">
      <c r="A23" s="1" t="s">
        <v>41</v>
      </c>
      <c r="C23" s="17" t="s">
        <v>140</v>
      </c>
      <c r="E23" s="17" t="s">
        <v>117</v>
      </c>
      <c r="F23" s="17">
        <v>720.0</v>
      </c>
      <c r="H23" s="17">
        <v>24.0</v>
      </c>
      <c r="I23" s="17">
        <v>2.72</v>
      </c>
      <c r="J23" s="17" t="s">
        <v>141</v>
      </c>
    </row>
    <row r="24">
      <c r="A24" s="1" t="s">
        <v>142</v>
      </c>
      <c r="C24" s="17" t="s">
        <v>143</v>
      </c>
      <c r="E24" s="17" t="s">
        <v>87</v>
      </c>
      <c r="F24" s="17">
        <v>590.0</v>
      </c>
      <c r="H24" s="17">
        <v>21.0</v>
      </c>
      <c r="I24" s="17">
        <v>3.71</v>
      </c>
      <c r="J24" s="17" t="s">
        <v>144</v>
      </c>
    </row>
    <row r="25">
      <c r="A25" s="1" t="s">
        <v>145</v>
      </c>
      <c r="C25" s="17" t="s">
        <v>146</v>
      </c>
      <c r="E25" s="17" t="s">
        <v>87</v>
      </c>
      <c r="F25" s="17">
        <v>590.0</v>
      </c>
      <c r="H25" s="17">
        <v>34.0</v>
      </c>
      <c r="I25" s="17">
        <v>3.02</v>
      </c>
      <c r="J25" s="17" t="s">
        <v>147</v>
      </c>
    </row>
    <row r="26">
      <c r="A26" s="18" t="s">
        <v>148</v>
      </c>
      <c r="C26" s="17" t="s">
        <v>149</v>
      </c>
      <c r="E26" s="17" t="s">
        <v>87</v>
      </c>
      <c r="F26" s="17">
        <v>390.0</v>
      </c>
      <c r="H26" s="17">
        <v>27.0</v>
      </c>
      <c r="I26" s="17">
        <v>4.37</v>
      </c>
      <c r="J26" s="17" t="s">
        <v>106</v>
      </c>
    </row>
    <row r="27">
      <c r="A27" s="18" t="s">
        <v>150</v>
      </c>
      <c r="C27" s="17" t="s">
        <v>151</v>
      </c>
      <c r="E27" s="17" t="s">
        <v>87</v>
      </c>
      <c r="F27" s="17">
        <v>50.0</v>
      </c>
      <c r="H27" s="17">
        <v>3.0</v>
      </c>
      <c r="I27" s="17">
        <v>0.0</v>
      </c>
      <c r="J27" s="17" t="s">
        <v>152</v>
      </c>
    </row>
    <row r="28">
      <c r="A28" s="18" t="s">
        <v>153</v>
      </c>
      <c r="C28" s="17" t="s">
        <v>154</v>
      </c>
      <c r="E28" s="17" t="s">
        <v>87</v>
      </c>
      <c r="F28" s="17">
        <v>40.0</v>
      </c>
      <c r="H28" s="17">
        <v>13.0</v>
      </c>
      <c r="I28" s="17">
        <v>5.53</v>
      </c>
      <c r="J28" s="17" t="s">
        <v>155</v>
      </c>
    </row>
    <row r="29">
      <c r="A29" s="19" t="s">
        <v>156</v>
      </c>
      <c r="C29" s="17" t="s">
        <v>157</v>
      </c>
      <c r="E29" s="17" t="s">
        <v>87</v>
      </c>
      <c r="F29" s="17">
        <v>170.0</v>
      </c>
      <c r="H29" s="17">
        <v>24.0</v>
      </c>
      <c r="I29" s="17">
        <v>3.89</v>
      </c>
      <c r="J29" s="17" t="s">
        <v>158</v>
      </c>
    </row>
    <row r="30">
      <c r="C30" s="17" t="s">
        <v>159</v>
      </c>
      <c r="E30" s="17" t="s">
        <v>160</v>
      </c>
      <c r="F30" s="17">
        <v>1900.0</v>
      </c>
      <c r="H30" s="17">
        <v>38.0</v>
      </c>
      <c r="I30" s="17">
        <v>4.22</v>
      </c>
      <c r="J30" s="17" t="s">
        <v>161</v>
      </c>
    </row>
    <row r="31">
      <c r="C31" s="17" t="s">
        <v>17</v>
      </c>
      <c r="E31" s="17" t="s">
        <v>87</v>
      </c>
      <c r="F31" s="17">
        <v>1900.0</v>
      </c>
      <c r="H31" s="17">
        <v>37.0</v>
      </c>
      <c r="I31" s="17">
        <v>4.22</v>
      </c>
      <c r="J31" s="17" t="s">
        <v>162</v>
      </c>
    </row>
    <row r="32">
      <c r="C32" s="17" t="s">
        <v>163</v>
      </c>
      <c r="E32" s="17" t="s">
        <v>87</v>
      </c>
      <c r="F32" s="17">
        <v>720.0</v>
      </c>
      <c r="H32" s="17">
        <v>15.0</v>
      </c>
      <c r="I32" s="17">
        <v>3.71</v>
      </c>
      <c r="J32" s="17" t="s">
        <v>164</v>
      </c>
    </row>
    <row r="33">
      <c r="C33" s="17" t="s">
        <v>165</v>
      </c>
      <c r="E33" s="17" t="s">
        <v>87</v>
      </c>
      <c r="F33" s="17">
        <v>590.0</v>
      </c>
      <c r="H33" s="17">
        <v>21.0</v>
      </c>
      <c r="I33" s="17">
        <v>3.31</v>
      </c>
      <c r="J33" s="17" t="s">
        <v>166</v>
      </c>
    </row>
    <row r="34">
      <c r="C34" s="17" t="s">
        <v>167</v>
      </c>
      <c r="E34" s="17" t="s">
        <v>99</v>
      </c>
      <c r="F34" s="17">
        <v>590.0</v>
      </c>
      <c r="H34" s="17">
        <v>37.0</v>
      </c>
      <c r="I34" s="17">
        <v>0.93</v>
      </c>
      <c r="J34" s="17" t="s">
        <v>168</v>
      </c>
    </row>
    <row r="35">
      <c r="C35" s="17" t="s">
        <v>169</v>
      </c>
      <c r="E35" s="17" t="s">
        <v>117</v>
      </c>
      <c r="F35" s="17">
        <v>480.0</v>
      </c>
      <c r="H35" s="17">
        <v>17.0</v>
      </c>
      <c r="I35" s="17">
        <v>3.22</v>
      </c>
      <c r="J35" s="17" t="s">
        <v>170</v>
      </c>
    </row>
    <row r="36">
      <c r="C36" s="17" t="s">
        <v>112</v>
      </c>
      <c r="E36" s="17" t="s">
        <v>87</v>
      </c>
      <c r="F36" s="17">
        <v>6600.0</v>
      </c>
      <c r="G36" s="17" t="s">
        <v>171</v>
      </c>
      <c r="H36" s="17">
        <v>41.0</v>
      </c>
      <c r="I36" s="17">
        <v>5.59</v>
      </c>
      <c r="J36" s="17" t="s">
        <v>172</v>
      </c>
    </row>
    <row r="37">
      <c r="C37" s="17" t="s">
        <v>18</v>
      </c>
      <c r="E37" s="17" t="s">
        <v>87</v>
      </c>
      <c r="F37" s="17">
        <v>1000.0</v>
      </c>
      <c r="G37" s="17" t="s">
        <v>173</v>
      </c>
      <c r="H37" s="17">
        <v>40.0</v>
      </c>
      <c r="I37" s="17">
        <v>2.67</v>
      </c>
      <c r="J37" s="17" t="s">
        <v>174</v>
      </c>
    </row>
    <row r="38">
      <c r="C38" s="17" t="s">
        <v>55</v>
      </c>
      <c r="E38" s="17" t="s">
        <v>87</v>
      </c>
      <c r="F38" s="17">
        <v>320.0</v>
      </c>
      <c r="G38" s="17" t="s">
        <v>175</v>
      </c>
      <c r="H38" s="17">
        <v>42.0</v>
      </c>
      <c r="I38" s="17">
        <v>5.79</v>
      </c>
      <c r="J38" s="17" t="s">
        <v>176</v>
      </c>
    </row>
    <row r="39">
      <c r="C39" s="17" t="s">
        <v>41</v>
      </c>
      <c r="E39" s="17" t="s">
        <v>87</v>
      </c>
      <c r="F39" s="17">
        <v>50.0</v>
      </c>
      <c r="G39" s="17" t="s">
        <v>177</v>
      </c>
      <c r="H39" s="17">
        <v>35.0</v>
      </c>
      <c r="I39" s="17">
        <v>2.98</v>
      </c>
      <c r="J39" s="17" t="s">
        <v>178</v>
      </c>
    </row>
    <row r="40">
      <c r="C40" s="17" t="s">
        <v>128</v>
      </c>
      <c r="E40" s="17" t="s">
        <v>87</v>
      </c>
      <c r="H40" s="17">
        <v>17.0</v>
      </c>
      <c r="J40" s="17" t="s">
        <v>179</v>
      </c>
    </row>
    <row r="41">
      <c r="C41" s="17" t="s">
        <v>125</v>
      </c>
      <c r="E41" s="17" t="s">
        <v>87</v>
      </c>
      <c r="H41" s="17">
        <v>18.0</v>
      </c>
      <c r="J41" s="17" t="s">
        <v>180</v>
      </c>
    </row>
    <row r="42">
      <c r="C42" s="17" t="s">
        <v>181</v>
      </c>
      <c r="E42" s="17" t="s">
        <v>99</v>
      </c>
      <c r="F42" s="17">
        <v>590.0</v>
      </c>
      <c r="H42" s="17">
        <v>15.0</v>
      </c>
      <c r="I42" s="17">
        <v>1.44</v>
      </c>
      <c r="J42" s="17" t="s">
        <v>182</v>
      </c>
    </row>
    <row r="43">
      <c r="C43" s="17" t="s">
        <v>183</v>
      </c>
      <c r="E43" s="17" t="s">
        <v>87</v>
      </c>
      <c r="F43" s="17">
        <v>210.0</v>
      </c>
      <c r="H43" s="17">
        <v>23.0</v>
      </c>
      <c r="I43" s="17">
        <v>1.33</v>
      </c>
      <c r="J43" s="17" t="s">
        <v>184</v>
      </c>
    </row>
    <row r="44">
      <c r="C44" s="17" t="s">
        <v>185</v>
      </c>
      <c r="E44" s="17" t="s">
        <v>160</v>
      </c>
      <c r="F44" s="17">
        <v>110.0</v>
      </c>
      <c r="H44" s="17">
        <v>27.0</v>
      </c>
      <c r="I44" s="17">
        <v>3.18</v>
      </c>
      <c r="J44" s="17" t="s">
        <v>186</v>
      </c>
    </row>
    <row r="45">
      <c r="C45" s="17" t="s">
        <v>187</v>
      </c>
      <c r="E45" s="17" t="s">
        <v>90</v>
      </c>
      <c r="F45" s="17">
        <v>70.0</v>
      </c>
      <c r="H45" s="17">
        <v>16.0</v>
      </c>
      <c r="I45" s="17">
        <v>4.08</v>
      </c>
      <c r="J45" s="17" t="s">
        <v>188</v>
      </c>
    </row>
    <row r="46">
      <c r="C46" s="1" t="s">
        <v>189</v>
      </c>
    </row>
    <row r="47">
      <c r="C47" s="1" t="s">
        <v>122</v>
      </c>
      <c r="E47" s="20" t="s">
        <v>190</v>
      </c>
      <c r="F47" s="17">
        <v>1600.0</v>
      </c>
      <c r="G47" s="17" t="s">
        <v>191</v>
      </c>
      <c r="H47" s="17">
        <v>42.0</v>
      </c>
      <c r="I47" s="17">
        <v>2.63</v>
      </c>
      <c r="J47" s="17" t="s">
        <v>192</v>
      </c>
    </row>
    <row r="48">
      <c r="C48" s="1" t="s">
        <v>193</v>
      </c>
      <c r="E48" s="20" t="s">
        <v>190</v>
      </c>
    </row>
    <row r="49">
      <c r="C49" s="1" t="s">
        <v>194</v>
      </c>
      <c r="E49" s="20" t="s">
        <v>190</v>
      </c>
    </row>
    <row r="50">
      <c r="C50" s="1" t="s">
        <v>195</v>
      </c>
      <c r="E50" s="20" t="s">
        <v>190</v>
      </c>
    </row>
    <row r="51">
      <c r="C51" s="1" t="s">
        <v>196</v>
      </c>
      <c r="E51" s="20" t="s">
        <v>190</v>
      </c>
    </row>
    <row r="53">
      <c r="C53" s="17">
        <f t="array" ref="C53">counta(UNIQUE(C2:C51))</f>
        <v>50</v>
      </c>
    </row>
  </sheetData>
  <hyperlinks>
    <hyperlink r:id="rId1" ref="E47"/>
    <hyperlink r:id="rId2" ref="E48"/>
    <hyperlink r:id="rId3" ref="E49"/>
    <hyperlink r:id="rId4" ref="E50"/>
    <hyperlink r:id="rId5" ref="E51"/>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88"/>
    <col customWidth="1" min="2" max="2" width="25.63"/>
    <col customWidth="1" min="3" max="3" width="7.63"/>
    <col customWidth="1" min="4" max="4" width="53.88"/>
    <col customWidth="1" min="5" max="5" width="16.88"/>
    <col customWidth="1" min="6" max="6" width="11.38"/>
    <col customWidth="1" min="7" max="7" width="135.75"/>
    <col customWidth="1" min="10" max="10" width="397.63"/>
  </cols>
  <sheetData>
    <row r="1">
      <c r="A1" s="21" t="s">
        <v>1</v>
      </c>
      <c r="B1" s="21" t="s">
        <v>79</v>
      </c>
      <c r="C1" s="21" t="s">
        <v>80</v>
      </c>
      <c r="D1" s="21" t="s">
        <v>81</v>
      </c>
      <c r="E1" s="21" t="s">
        <v>82</v>
      </c>
      <c r="F1" s="21" t="s">
        <v>83</v>
      </c>
      <c r="G1" s="21" t="s">
        <v>84</v>
      </c>
      <c r="H1" s="1" t="s">
        <v>197</v>
      </c>
    </row>
    <row r="2">
      <c r="A2" s="22" t="s">
        <v>104</v>
      </c>
      <c r="B2" s="22" t="s">
        <v>87</v>
      </c>
      <c r="C2" s="23">
        <v>9900.0</v>
      </c>
      <c r="D2" s="22" t="s">
        <v>198</v>
      </c>
      <c r="E2" s="23">
        <v>55.0</v>
      </c>
      <c r="F2" s="23">
        <v>6.34</v>
      </c>
      <c r="G2" s="21" t="s">
        <v>199</v>
      </c>
      <c r="I2" s="17" t="str">
        <f>IFERROR(__xludf.DUMMYFUNCTION("(GEMINI(""Based on this SEM RUSH keyword data, how would you structure keyword density on a website?"", A1:H50))"),"A recommended strategy for keyword density would be to aim for a 1-3% density for your primary target keywords [4, 5]. Since the data provided is a list of keywords and their intent, volume, and difficulty, a good structure would involve:  * **Commercial "&amp;"Keywords (High Volume/High Difficulty):** Target high-volume commercial keywords like ""bathtub refinishing"" (Volume: 9900, Difficulty: 55) for core service pages. Use this as the primary keyword, aiming for 1-3% density, especially in the title, meta de"&amp;"scription, and first paragraph \[3\].
  * **Transactional Keywords (Near Me):** For transactional, location-specific keywords such as ""bathtub reglazing near me"" (Volume: 6600), use these in landing pages specifically tailored to local services.
  * **I"&amp;"nformational Keywords:** Use informational terms like ""how to refinish a bathtub"" (Volume: 1600) for blog content or informational guides. These articles can then naturally incorporate related commercial keywords, using them as secondary keywords or var"&amp;"iations \[2, 3\].
  * **Long-Tail Keywords and Variations:** Incorporate variations of the primary keyword (e.g., ""tub refinishing,"" ""reglaze bathtub,"" ""reglaze tub"") naturally throughout the content to signal relevance without keyword stuffing \[2\"&amp;"].
  * **Alt Text and Subheadings:** Utilize keywords or their variations in image alt text and subheadings (H2, H3) for both commercial and informational content \[3\].")</f>
        <v>A recommended strategy for keyword density would be to aim for a 1-3% density for your primary target keywords [4, 5]. Since the data provided is a list of keywords and their intent, volume, and difficulty, a good structure would involve:  * **Commercial Keywords (High Volume/High Difficulty):** Target high-volume commercial keywords like "bathtub refinishing" (Volume: 9900, Difficulty: 55) for core service pages. Use this as the primary keyword, aiming for 1-3% density, especially in the title, meta description, and first paragraph \[3\].
  * **Transactional Keywords (Near Me):** For transactional, location-specific keywords such as "bathtub reglazing near me" (Volume: 6600), use these in landing pages specifically tailored to local services.
  * **Informational Keywords:** Use informational terms like "how to refinish a bathtub" (Volume: 1600) for blog content or informational guides. These articles can then naturally incorporate related commercial keywords, using them as secondary keywords or variations \[2, 3\].
  * **Long-Tail Keywords and Variations:** Incorporate variations of the primary keyword (e.g., "tub refinishing," "reglaze bathtub," "reglaze tub") naturally throughout the content to signal relevance without keyword stuffing \[2\].
  * **Alt Text and Subheadings:** Utilize keywords or their variations in image alt text and subheadings (H2, H3) for both commercial and informational content \[3\].</v>
      </c>
    </row>
    <row r="3">
      <c r="A3" s="22" t="s">
        <v>5</v>
      </c>
      <c r="B3" s="22" t="s">
        <v>87</v>
      </c>
      <c r="C3" s="23">
        <v>6600.0</v>
      </c>
      <c r="D3" s="22" t="s">
        <v>200</v>
      </c>
      <c r="E3" s="23">
        <v>38.0</v>
      </c>
      <c r="F3" s="23">
        <v>4.43</v>
      </c>
      <c r="G3" s="21" t="s">
        <v>201</v>
      </c>
    </row>
    <row r="4">
      <c r="A4" s="22" t="s">
        <v>12</v>
      </c>
      <c r="B4" s="22" t="s">
        <v>90</v>
      </c>
      <c r="C4" s="23">
        <v>6600.0</v>
      </c>
      <c r="D4" s="22" t="s">
        <v>202</v>
      </c>
      <c r="E4" s="23">
        <v>35.0</v>
      </c>
      <c r="F4" s="23">
        <v>5.52</v>
      </c>
      <c r="G4" s="21" t="s">
        <v>203</v>
      </c>
      <c r="J4" s="24" t="s">
        <v>204</v>
      </c>
    </row>
    <row r="5">
      <c r="A5" s="22" t="s">
        <v>112</v>
      </c>
      <c r="B5" s="22" t="s">
        <v>87</v>
      </c>
      <c r="C5" s="23">
        <v>6600.0</v>
      </c>
      <c r="D5" s="22" t="s">
        <v>205</v>
      </c>
      <c r="E5" s="23">
        <v>42.0</v>
      </c>
      <c r="F5" s="23">
        <v>5.53</v>
      </c>
      <c r="G5" s="21" t="s">
        <v>206</v>
      </c>
    </row>
    <row r="6">
      <c r="A6" s="22" t="s">
        <v>93</v>
      </c>
      <c r="B6" s="22" t="s">
        <v>87</v>
      </c>
      <c r="C6" s="23">
        <v>3600.0</v>
      </c>
      <c r="D6" s="22" t="s">
        <v>207</v>
      </c>
      <c r="E6" s="23">
        <v>39.0</v>
      </c>
      <c r="F6" s="23">
        <v>4.43</v>
      </c>
      <c r="G6" s="21" t="s">
        <v>208</v>
      </c>
    </row>
    <row r="7">
      <c r="A7" s="22" t="s">
        <v>9</v>
      </c>
      <c r="B7" s="22" t="s">
        <v>160</v>
      </c>
      <c r="C7" s="23">
        <v>3600.0</v>
      </c>
      <c r="D7" s="22" t="s">
        <v>209</v>
      </c>
      <c r="E7" s="23">
        <v>43.0</v>
      </c>
      <c r="F7" s="23">
        <v>4.75</v>
      </c>
      <c r="G7" s="21" t="s">
        <v>210</v>
      </c>
    </row>
    <row r="8">
      <c r="A8" s="22" t="s">
        <v>19</v>
      </c>
      <c r="B8" s="22" t="s">
        <v>90</v>
      </c>
      <c r="C8" s="23">
        <v>3600.0</v>
      </c>
      <c r="D8" s="22" t="s">
        <v>211</v>
      </c>
      <c r="E8" s="23">
        <v>49.0</v>
      </c>
      <c r="F8" s="23">
        <v>5.52</v>
      </c>
      <c r="G8" s="21" t="s">
        <v>212</v>
      </c>
    </row>
    <row r="9">
      <c r="A9" s="21" t="s">
        <v>113</v>
      </c>
      <c r="B9" s="21" t="s">
        <v>87</v>
      </c>
      <c r="C9" s="25">
        <v>2900.0</v>
      </c>
      <c r="D9" s="21" t="s">
        <v>213</v>
      </c>
      <c r="E9" s="25">
        <v>32.0</v>
      </c>
      <c r="F9" s="25">
        <v>5.53</v>
      </c>
      <c r="G9" s="21" t="s">
        <v>214</v>
      </c>
    </row>
    <row r="10">
      <c r="A10" s="21" t="s">
        <v>31</v>
      </c>
      <c r="B10" s="21" t="s">
        <v>99</v>
      </c>
      <c r="C10" s="25">
        <v>2400.0</v>
      </c>
      <c r="D10" s="21" t="s">
        <v>215</v>
      </c>
      <c r="E10" s="25">
        <v>11.0</v>
      </c>
      <c r="F10" s="25">
        <v>1.05</v>
      </c>
      <c r="G10" s="21" t="s">
        <v>216</v>
      </c>
    </row>
    <row r="11">
      <c r="A11" s="22" t="s">
        <v>116</v>
      </c>
      <c r="B11" s="22" t="s">
        <v>117</v>
      </c>
      <c r="C11" s="23">
        <v>1900.0</v>
      </c>
      <c r="D11" s="22" t="s">
        <v>217</v>
      </c>
      <c r="E11" s="23">
        <v>23.0</v>
      </c>
      <c r="F11" s="23">
        <v>3.73</v>
      </c>
      <c r="G11" s="21" t="s">
        <v>218</v>
      </c>
    </row>
    <row r="12">
      <c r="A12" s="21" t="s">
        <v>120</v>
      </c>
      <c r="B12" s="21" t="s">
        <v>87</v>
      </c>
      <c r="C12" s="25">
        <v>1600.0</v>
      </c>
      <c r="D12" s="21" t="s">
        <v>219</v>
      </c>
      <c r="E12" s="25">
        <v>29.0</v>
      </c>
      <c r="F12" s="25">
        <v>3.89</v>
      </c>
      <c r="G12" s="21" t="s">
        <v>121</v>
      </c>
    </row>
    <row r="13">
      <c r="A13" s="21" t="s">
        <v>129</v>
      </c>
      <c r="B13" s="21" t="s">
        <v>117</v>
      </c>
      <c r="C13" s="25">
        <v>1600.0</v>
      </c>
      <c r="D13" s="21" t="s">
        <v>220</v>
      </c>
      <c r="E13" s="25">
        <v>16.0</v>
      </c>
      <c r="F13" s="25">
        <v>1.21</v>
      </c>
      <c r="G13" s="21" t="s">
        <v>221</v>
      </c>
    </row>
    <row r="14">
      <c r="A14" s="21" t="s">
        <v>123</v>
      </c>
      <c r="B14" s="21" t="s">
        <v>87</v>
      </c>
      <c r="C14" s="25">
        <v>1600.0</v>
      </c>
      <c r="D14" s="21" t="s">
        <v>222</v>
      </c>
      <c r="E14" s="25">
        <v>34.0</v>
      </c>
      <c r="F14" s="25">
        <v>5.59</v>
      </c>
      <c r="G14" s="21" t="s">
        <v>124</v>
      </c>
    </row>
    <row r="15">
      <c r="A15" s="21" t="s">
        <v>159</v>
      </c>
      <c r="B15" s="21" t="s">
        <v>160</v>
      </c>
      <c r="C15" s="25">
        <v>1600.0</v>
      </c>
      <c r="D15" s="21" t="s">
        <v>223</v>
      </c>
      <c r="E15" s="25">
        <v>33.0</v>
      </c>
      <c r="F15" s="25">
        <v>4.43</v>
      </c>
      <c r="G15" s="21" t="s">
        <v>224</v>
      </c>
    </row>
    <row r="16">
      <c r="A16" s="21" t="s">
        <v>122</v>
      </c>
      <c r="B16" s="21" t="s">
        <v>87</v>
      </c>
      <c r="C16" s="25">
        <v>1600.0</v>
      </c>
      <c r="D16" s="21" t="s">
        <v>225</v>
      </c>
      <c r="E16" s="25">
        <v>42.0</v>
      </c>
      <c r="F16" s="25">
        <v>2.64</v>
      </c>
      <c r="G16" s="21" t="s">
        <v>147</v>
      </c>
      <c r="H16" s="26" t="str">
        <f t="array" ref="H16">INDEX(Sheet10!E:E, MATCH(A16, Sheet10!C:C,0))</f>
        <v>JLFReglazing.com</v>
      </c>
    </row>
    <row r="17">
      <c r="A17" s="21" t="s">
        <v>126</v>
      </c>
      <c r="B17" s="21" t="s">
        <v>87</v>
      </c>
      <c r="C17" s="25">
        <v>1300.0</v>
      </c>
      <c r="D17" s="21" t="s">
        <v>226</v>
      </c>
      <c r="E17" s="25">
        <v>52.0</v>
      </c>
      <c r="F17" s="25">
        <v>5.59</v>
      </c>
      <c r="G17" s="21" t="s">
        <v>127</v>
      </c>
    </row>
    <row r="18">
      <c r="A18" s="21" t="s">
        <v>17</v>
      </c>
      <c r="B18" s="21" t="s">
        <v>87</v>
      </c>
      <c r="C18" s="25">
        <v>1300.0</v>
      </c>
      <c r="D18" s="21" t="s">
        <v>227</v>
      </c>
      <c r="E18" s="25">
        <v>28.0</v>
      </c>
      <c r="F18" s="25">
        <v>4.43</v>
      </c>
      <c r="G18" s="21" t="s">
        <v>228</v>
      </c>
    </row>
    <row r="19">
      <c r="A19" s="22" t="s">
        <v>138</v>
      </c>
      <c r="B19" s="22" t="s">
        <v>90</v>
      </c>
      <c r="C19" s="23">
        <v>1000.0</v>
      </c>
      <c r="D19" s="22" t="s">
        <v>229</v>
      </c>
      <c r="E19" s="23">
        <v>23.0</v>
      </c>
      <c r="F19" s="23">
        <v>3.7</v>
      </c>
      <c r="G19" s="21" t="s">
        <v>230</v>
      </c>
    </row>
    <row r="20">
      <c r="A20" s="21" t="s">
        <v>132</v>
      </c>
      <c r="B20" s="21" t="s">
        <v>117</v>
      </c>
      <c r="C20" s="25">
        <v>1000.0</v>
      </c>
      <c r="D20" s="21" t="s">
        <v>231</v>
      </c>
      <c r="E20" s="25">
        <v>11.0</v>
      </c>
      <c r="F20" s="25">
        <v>1.0</v>
      </c>
      <c r="G20" s="21" t="s">
        <v>133</v>
      </c>
    </row>
    <row r="21">
      <c r="A21" s="21" t="s">
        <v>102</v>
      </c>
      <c r="B21" s="21" t="s">
        <v>90</v>
      </c>
      <c r="C21" s="25">
        <v>1000.0</v>
      </c>
      <c r="D21" s="21" t="s">
        <v>232</v>
      </c>
      <c r="E21" s="25">
        <v>34.0</v>
      </c>
      <c r="F21" s="25">
        <v>5.52</v>
      </c>
      <c r="G21" s="21" t="s">
        <v>212</v>
      </c>
    </row>
    <row r="22">
      <c r="A22" s="21" t="s">
        <v>18</v>
      </c>
      <c r="B22" s="21" t="s">
        <v>87</v>
      </c>
      <c r="C22" s="25">
        <v>1000.0</v>
      </c>
      <c r="D22" s="21" t="s">
        <v>233</v>
      </c>
      <c r="E22" s="25">
        <v>40.0</v>
      </c>
      <c r="F22" s="25">
        <v>2.67</v>
      </c>
      <c r="G22" s="21" t="s">
        <v>174</v>
      </c>
    </row>
    <row r="23">
      <c r="A23" s="21" t="s">
        <v>135</v>
      </c>
      <c r="B23" s="21" t="s">
        <v>87</v>
      </c>
      <c r="C23" s="25">
        <v>880.0</v>
      </c>
      <c r="D23" s="21" t="s">
        <v>234</v>
      </c>
      <c r="E23" s="25">
        <v>33.0</v>
      </c>
      <c r="F23" s="25">
        <v>4.69</v>
      </c>
      <c r="G23" s="21" t="s">
        <v>136</v>
      </c>
    </row>
    <row r="24">
      <c r="A24" s="21" t="s">
        <v>105</v>
      </c>
      <c r="B24" s="21" t="s">
        <v>90</v>
      </c>
      <c r="C24" s="25">
        <v>720.0</v>
      </c>
      <c r="D24" s="21" t="s">
        <v>235</v>
      </c>
      <c r="E24" s="25">
        <v>36.0</v>
      </c>
      <c r="F24" s="25">
        <v>5.85</v>
      </c>
      <c r="G24" s="21" t="s">
        <v>97</v>
      </c>
    </row>
    <row r="25">
      <c r="A25" s="22" t="s">
        <v>194</v>
      </c>
      <c r="B25" s="22" t="s">
        <v>87</v>
      </c>
      <c r="C25" s="23">
        <v>720.0</v>
      </c>
      <c r="D25" s="22" t="s">
        <v>236</v>
      </c>
      <c r="E25" s="23">
        <v>36.0</v>
      </c>
      <c r="F25" s="23">
        <v>1.32</v>
      </c>
      <c r="G25" s="21" t="s">
        <v>237</v>
      </c>
      <c r="H25" s="26" t="str">
        <f t="array" ref="H25">INDEX(Sheet10!E:E, MATCH(A25, Sheet10!C:C,0))</f>
        <v>JLFReglazing.com</v>
      </c>
    </row>
    <row r="26">
      <c r="A26" s="21" t="s">
        <v>140</v>
      </c>
      <c r="B26" s="21" t="s">
        <v>117</v>
      </c>
      <c r="C26" s="25">
        <v>720.0</v>
      </c>
      <c r="D26" s="21" t="s">
        <v>238</v>
      </c>
      <c r="E26" s="25">
        <v>24.0</v>
      </c>
      <c r="F26" s="25">
        <v>2.72</v>
      </c>
      <c r="G26" s="21" t="s">
        <v>141</v>
      </c>
    </row>
    <row r="27">
      <c r="A27" s="21" t="s">
        <v>163</v>
      </c>
      <c r="B27" s="21" t="s">
        <v>87</v>
      </c>
      <c r="C27" s="25">
        <v>720.0</v>
      </c>
      <c r="D27" s="21" t="s">
        <v>239</v>
      </c>
      <c r="E27" s="25">
        <v>15.0</v>
      </c>
      <c r="F27" s="25">
        <v>3.71</v>
      </c>
      <c r="G27" s="21" t="s">
        <v>164</v>
      </c>
    </row>
    <row r="28">
      <c r="A28" s="21" t="s">
        <v>165</v>
      </c>
      <c r="B28" s="21" t="s">
        <v>87</v>
      </c>
      <c r="C28" s="25">
        <v>590.0</v>
      </c>
      <c r="D28" s="21" t="s">
        <v>240</v>
      </c>
      <c r="E28" s="25">
        <v>21.0</v>
      </c>
      <c r="F28" s="25">
        <v>3.31</v>
      </c>
      <c r="G28" s="21" t="s">
        <v>166</v>
      </c>
    </row>
    <row r="29">
      <c r="A29" s="21" t="s">
        <v>167</v>
      </c>
      <c r="B29" s="21" t="s">
        <v>99</v>
      </c>
      <c r="C29" s="25">
        <v>590.0</v>
      </c>
      <c r="D29" s="21" t="s">
        <v>241</v>
      </c>
      <c r="E29" s="25">
        <v>37.0</v>
      </c>
      <c r="F29" s="25">
        <v>0.93</v>
      </c>
      <c r="G29" s="21" t="s">
        <v>168</v>
      </c>
    </row>
    <row r="30">
      <c r="A30" s="21" t="s">
        <v>143</v>
      </c>
      <c r="B30" s="21" t="s">
        <v>87</v>
      </c>
      <c r="C30" s="25">
        <v>590.0</v>
      </c>
      <c r="D30" s="21" t="s">
        <v>242</v>
      </c>
      <c r="E30" s="25">
        <v>21.0</v>
      </c>
      <c r="F30" s="25">
        <v>3.71</v>
      </c>
      <c r="G30" s="21" t="s">
        <v>144</v>
      </c>
    </row>
    <row r="31">
      <c r="A31" s="21" t="s">
        <v>146</v>
      </c>
      <c r="B31" s="21" t="s">
        <v>87</v>
      </c>
      <c r="C31" s="25">
        <v>590.0</v>
      </c>
      <c r="D31" s="21" t="s">
        <v>243</v>
      </c>
      <c r="E31" s="25">
        <v>28.0</v>
      </c>
      <c r="F31" s="25">
        <v>3.16</v>
      </c>
      <c r="G31" s="21" t="s">
        <v>124</v>
      </c>
    </row>
    <row r="32">
      <c r="A32" s="22" t="s">
        <v>181</v>
      </c>
      <c r="B32" s="22" t="s">
        <v>99</v>
      </c>
      <c r="C32" s="23">
        <v>590.0</v>
      </c>
      <c r="D32" s="22" t="s">
        <v>244</v>
      </c>
      <c r="E32" s="23">
        <v>15.0</v>
      </c>
      <c r="F32" s="23">
        <v>1.44</v>
      </c>
      <c r="G32" s="21" t="s">
        <v>182</v>
      </c>
    </row>
    <row r="33">
      <c r="A33" s="21" t="s">
        <v>29</v>
      </c>
      <c r="B33" s="21" t="s">
        <v>87</v>
      </c>
      <c r="C33" s="25">
        <v>480.0</v>
      </c>
      <c r="D33" s="21" t="s">
        <v>245</v>
      </c>
      <c r="E33" s="25">
        <v>42.0</v>
      </c>
      <c r="F33" s="25">
        <v>3.89</v>
      </c>
      <c r="G33" s="21" t="s">
        <v>106</v>
      </c>
    </row>
    <row r="34">
      <c r="A34" s="21" t="s">
        <v>108</v>
      </c>
      <c r="B34" s="21" t="s">
        <v>87</v>
      </c>
      <c r="C34" s="25">
        <v>390.0</v>
      </c>
      <c r="D34" s="21" t="s">
        <v>246</v>
      </c>
      <c r="E34" s="25">
        <v>38.0</v>
      </c>
      <c r="F34" s="25">
        <v>3.89</v>
      </c>
      <c r="G34" s="21" t="s">
        <v>109</v>
      </c>
    </row>
    <row r="35">
      <c r="A35" s="21" t="s">
        <v>149</v>
      </c>
      <c r="B35" s="21" t="s">
        <v>87</v>
      </c>
      <c r="C35" s="25">
        <v>390.0</v>
      </c>
      <c r="D35" s="21" t="s">
        <v>247</v>
      </c>
      <c r="E35" s="25">
        <v>27.0</v>
      </c>
      <c r="F35" s="25">
        <v>4.37</v>
      </c>
      <c r="G35" s="21" t="s">
        <v>106</v>
      </c>
    </row>
    <row r="36">
      <c r="A36" s="21" t="s">
        <v>169</v>
      </c>
      <c r="B36" s="21" t="s">
        <v>117</v>
      </c>
      <c r="C36" s="25">
        <v>390.0</v>
      </c>
      <c r="D36" s="21" t="s">
        <v>248</v>
      </c>
      <c r="E36" s="25">
        <v>12.0</v>
      </c>
      <c r="F36" s="25">
        <v>3.31</v>
      </c>
      <c r="G36" s="21" t="s">
        <v>249</v>
      </c>
    </row>
    <row r="37">
      <c r="A37" s="22" t="s">
        <v>195</v>
      </c>
      <c r="B37" s="22" t="s">
        <v>87</v>
      </c>
      <c r="C37" s="23">
        <v>390.0</v>
      </c>
      <c r="D37" s="22" t="s">
        <v>250</v>
      </c>
      <c r="E37" s="23">
        <v>36.0</v>
      </c>
      <c r="F37" s="23">
        <v>0.0</v>
      </c>
      <c r="G37" s="21" t="s">
        <v>97</v>
      </c>
      <c r="H37" s="26" t="str">
        <f t="array" ref="H37">INDEX(Sheet10!E:E, MATCH(A37, Sheet10!C:C,0))</f>
        <v>JLFReglazing.com</v>
      </c>
    </row>
    <row r="38">
      <c r="A38" s="22" t="s">
        <v>193</v>
      </c>
      <c r="B38" s="22" t="s">
        <v>87</v>
      </c>
      <c r="C38" s="23">
        <v>390.0</v>
      </c>
      <c r="D38" s="22" t="s">
        <v>251</v>
      </c>
      <c r="E38" s="23">
        <v>20.0</v>
      </c>
      <c r="F38" s="23">
        <v>0.0</v>
      </c>
      <c r="G38" s="21" t="s">
        <v>103</v>
      </c>
      <c r="H38" s="26" t="str">
        <f t="array" ref="H38">INDEX(Sheet10!E:E, MATCH(A38, Sheet10!C:C,0))</f>
        <v>JLFReglazing.com</v>
      </c>
    </row>
    <row r="39">
      <c r="A39" s="21" t="s">
        <v>55</v>
      </c>
      <c r="B39" s="21" t="s">
        <v>87</v>
      </c>
      <c r="C39" s="25">
        <v>320.0</v>
      </c>
      <c r="D39" s="21" t="s">
        <v>252</v>
      </c>
      <c r="E39" s="25">
        <v>42.0</v>
      </c>
      <c r="F39" s="25">
        <v>5.79</v>
      </c>
      <c r="G39" s="21" t="s">
        <v>176</v>
      </c>
    </row>
    <row r="40">
      <c r="A40" s="22" t="s">
        <v>183</v>
      </c>
      <c r="B40" s="22" t="s">
        <v>99</v>
      </c>
      <c r="C40" s="23">
        <v>320.0</v>
      </c>
      <c r="D40" s="22" t="s">
        <v>253</v>
      </c>
      <c r="E40" s="23">
        <v>14.0</v>
      </c>
      <c r="F40" s="23">
        <v>1.49</v>
      </c>
      <c r="G40" s="21" t="s">
        <v>254</v>
      </c>
    </row>
    <row r="41">
      <c r="A41" s="21" t="s">
        <v>185</v>
      </c>
      <c r="B41" s="21" t="s">
        <v>87</v>
      </c>
      <c r="C41" s="25">
        <v>170.0</v>
      </c>
      <c r="D41" s="21" t="s">
        <v>255</v>
      </c>
      <c r="E41" s="25">
        <v>16.0</v>
      </c>
      <c r="F41" s="25">
        <v>3.1</v>
      </c>
      <c r="G41" s="21" t="s">
        <v>210</v>
      </c>
    </row>
    <row r="42">
      <c r="A42" s="21" t="s">
        <v>157</v>
      </c>
      <c r="B42" s="21" t="s">
        <v>87</v>
      </c>
      <c r="C42" s="25">
        <v>170.0</v>
      </c>
      <c r="D42" s="21" t="s">
        <v>256</v>
      </c>
      <c r="E42" s="25">
        <v>24.0</v>
      </c>
      <c r="F42" s="25">
        <v>3.89</v>
      </c>
      <c r="G42" s="21" t="s">
        <v>158</v>
      </c>
    </row>
    <row r="43">
      <c r="A43" s="21" t="s">
        <v>257</v>
      </c>
      <c r="B43" s="21" t="s">
        <v>87</v>
      </c>
      <c r="C43" s="25">
        <v>140.0</v>
      </c>
      <c r="D43" s="21" t="s">
        <v>258</v>
      </c>
      <c r="E43" s="25">
        <v>36.0</v>
      </c>
      <c r="F43" s="25">
        <v>7.94</v>
      </c>
      <c r="G43" s="21" t="s">
        <v>259</v>
      </c>
    </row>
    <row r="44">
      <c r="A44" s="21" t="s">
        <v>187</v>
      </c>
      <c r="B44" s="21" t="s">
        <v>90</v>
      </c>
      <c r="C44" s="25">
        <v>70.0</v>
      </c>
      <c r="D44" s="21" t="s">
        <v>260</v>
      </c>
      <c r="E44" s="25">
        <v>16.0</v>
      </c>
      <c r="F44" s="25">
        <v>4.08</v>
      </c>
      <c r="G44" s="21" t="s">
        <v>188</v>
      </c>
    </row>
    <row r="45">
      <c r="A45" s="21" t="s">
        <v>154</v>
      </c>
      <c r="B45" s="21" t="s">
        <v>87</v>
      </c>
      <c r="C45" s="25">
        <v>50.0</v>
      </c>
      <c r="D45" s="21" t="s">
        <v>261</v>
      </c>
      <c r="E45" s="25">
        <v>13.0</v>
      </c>
      <c r="F45" s="25">
        <v>11.95</v>
      </c>
      <c r="G45" s="21" t="s">
        <v>178</v>
      </c>
    </row>
    <row r="46">
      <c r="A46" s="21" t="s">
        <v>151</v>
      </c>
      <c r="B46" s="21" t="s">
        <v>87</v>
      </c>
      <c r="C46" s="25">
        <v>50.0</v>
      </c>
      <c r="D46" s="21" t="s">
        <v>262</v>
      </c>
      <c r="E46" s="25">
        <v>3.0</v>
      </c>
      <c r="F46" s="25">
        <v>0.0</v>
      </c>
      <c r="G46" s="21" t="s">
        <v>152</v>
      </c>
    </row>
    <row r="47">
      <c r="A47" s="21" t="s">
        <v>41</v>
      </c>
      <c r="B47" s="21" t="s">
        <v>87</v>
      </c>
      <c r="C47" s="25">
        <v>50.0</v>
      </c>
      <c r="D47" s="21" t="s">
        <v>263</v>
      </c>
      <c r="E47" s="25">
        <v>35.0</v>
      </c>
      <c r="F47" s="25">
        <v>2.98</v>
      </c>
      <c r="G47" s="21" t="s">
        <v>178</v>
      </c>
    </row>
    <row r="48">
      <c r="A48" s="21" t="s">
        <v>110</v>
      </c>
      <c r="B48" s="21" t="s">
        <v>87</v>
      </c>
      <c r="C48" s="25">
        <v>40.0</v>
      </c>
      <c r="D48" s="21" t="s">
        <v>264</v>
      </c>
      <c r="E48" s="25">
        <v>19.0</v>
      </c>
      <c r="F48" s="25">
        <v>0.44</v>
      </c>
      <c r="G48" s="21" t="s">
        <v>265</v>
      </c>
    </row>
    <row r="49">
      <c r="A49" s="21" t="s">
        <v>128</v>
      </c>
      <c r="B49" s="21" t="s">
        <v>87</v>
      </c>
      <c r="C49" s="27"/>
      <c r="D49" s="27"/>
      <c r="E49" s="25">
        <v>17.0</v>
      </c>
      <c r="F49" s="27"/>
      <c r="G49" s="21" t="s">
        <v>179</v>
      </c>
    </row>
    <row r="50">
      <c r="A50" s="21" t="s">
        <v>125</v>
      </c>
      <c r="B50" s="21" t="s">
        <v>87</v>
      </c>
      <c r="C50" s="27"/>
      <c r="D50" s="27"/>
      <c r="E50" s="25">
        <v>18.0</v>
      </c>
      <c r="F50" s="27"/>
      <c r="G50" s="21" t="s">
        <v>180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4.5"/>
    <col customWidth="1" min="3" max="3" width="43.5"/>
    <col customWidth="1" min="5" max="5" width="67.25"/>
    <col customWidth="1" min="8" max="8" width="110.13"/>
  </cols>
  <sheetData>
    <row r="1">
      <c r="A1" s="28" t="s">
        <v>266</v>
      </c>
      <c r="B1" s="21" t="s">
        <v>1</v>
      </c>
      <c r="C1" s="21" t="s">
        <v>79</v>
      </c>
      <c r="D1" s="21" t="s">
        <v>80</v>
      </c>
      <c r="E1" s="21" t="s">
        <v>81</v>
      </c>
      <c r="F1" s="21" t="s">
        <v>82</v>
      </c>
      <c r="G1" s="21" t="s">
        <v>83</v>
      </c>
      <c r="H1" s="21" t="s">
        <v>84</v>
      </c>
      <c r="I1" s="1" t="s">
        <v>85</v>
      </c>
    </row>
    <row r="2">
      <c r="A2" s="28" t="s">
        <v>267</v>
      </c>
      <c r="B2" s="21" t="s">
        <v>104</v>
      </c>
      <c r="C2" s="21" t="s">
        <v>87</v>
      </c>
      <c r="D2" s="25">
        <v>9900.0</v>
      </c>
      <c r="E2" s="21" t="s">
        <v>268</v>
      </c>
      <c r="F2" s="25">
        <v>55.0</v>
      </c>
      <c r="G2" s="25">
        <v>6.51</v>
      </c>
      <c r="H2" s="21" t="s">
        <v>88</v>
      </c>
      <c r="I2" s="1" t="s">
        <v>269</v>
      </c>
    </row>
    <row r="3">
      <c r="A3" s="28" t="s">
        <v>267</v>
      </c>
      <c r="B3" s="21" t="s">
        <v>5</v>
      </c>
      <c r="C3" s="21" t="s">
        <v>87</v>
      </c>
      <c r="D3" s="25">
        <v>6600.0</v>
      </c>
      <c r="E3" s="21" t="s">
        <v>270</v>
      </c>
      <c r="F3" s="25">
        <v>43.0</v>
      </c>
      <c r="G3" s="25">
        <v>4.22</v>
      </c>
      <c r="H3" s="21" t="s">
        <v>88</v>
      </c>
    </row>
    <row r="4">
      <c r="A4" s="28" t="s">
        <v>267</v>
      </c>
      <c r="B4" s="21" t="s">
        <v>112</v>
      </c>
      <c r="C4" s="21" t="s">
        <v>87</v>
      </c>
      <c r="D4" s="25">
        <v>6600.0</v>
      </c>
      <c r="E4" s="21" t="s">
        <v>171</v>
      </c>
      <c r="F4" s="25">
        <v>41.0</v>
      </c>
      <c r="G4" s="25">
        <v>5.59</v>
      </c>
      <c r="H4" s="21" t="s">
        <v>172</v>
      </c>
    </row>
    <row r="5">
      <c r="A5" s="21"/>
      <c r="B5" s="21" t="s">
        <v>9</v>
      </c>
      <c r="C5" s="21" t="s">
        <v>87</v>
      </c>
      <c r="D5" s="25">
        <v>3600.0</v>
      </c>
      <c r="E5" s="21" t="s">
        <v>271</v>
      </c>
      <c r="F5" s="25">
        <v>41.0</v>
      </c>
      <c r="G5" s="25">
        <v>4.67</v>
      </c>
      <c r="H5" s="21" t="s">
        <v>96</v>
      </c>
    </row>
    <row r="6">
      <c r="A6" s="28" t="s">
        <v>267</v>
      </c>
      <c r="B6" s="21" t="s">
        <v>122</v>
      </c>
      <c r="C6" s="21" t="s">
        <v>87</v>
      </c>
      <c r="D6" s="25">
        <v>1600.0</v>
      </c>
      <c r="E6" s="21" t="s">
        <v>191</v>
      </c>
      <c r="F6" s="25">
        <v>42.0</v>
      </c>
      <c r="G6" s="25">
        <v>2.63</v>
      </c>
      <c r="H6" s="21" t="s">
        <v>192</v>
      </c>
    </row>
    <row r="7">
      <c r="A7" s="28" t="s">
        <v>267</v>
      </c>
      <c r="B7" s="21" t="s">
        <v>18</v>
      </c>
      <c r="C7" s="21" t="s">
        <v>87</v>
      </c>
      <c r="D7" s="25">
        <v>1000.0</v>
      </c>
      <c r="E7" s="21" t="s">
        <v>173</v>
      </c>
      <c r="F7" s="25">
        <v>40.0</v>
      </c>
      <c r="G7" s="25">
        <v>2.67</v>
      </c>
      <c r="H7" s="21" t="s">
        <v>174</v>
      </c>
    </row>
    <row r="8">
      <c r="A8" s="21"/>
      <c r="B8" s="21" t="s">
        <v>98</v>
      </c>
      <c r="C8" s="29" t="s">
        <v>99</v>
      </c>
      <c r="D8" s="25">
        <v>720.0</v>
      </c>
      <c r="E8" s="21" t="s">
        <v>272</v>
      </c>
      <c r="F8" s="25">
        <v>13.0</v>
      </c>
      <c r="G8" s="25">
        <v>3.82</v>
      </c>
      <c r="H8" s="21" t="s">
        <v>273</v>
      </c>
      <c r="I8" s="1" t="s">
        <v>274</v>
      </c>
    </row>
    <row r="9">
      <c r="A9" s="28" t="s">
        <v>267</v>
      </c>
      <c r="B9" s="21" t="s">
        <v>55</v>
      </c>
      <c r="C9" s="21" t="s">
        <v>87</v>
      </c>
      <c r="D9" s="25">
        <v>320.0</v>
      </c>
      <c r="E9" s="21" t="s">
        <v>175</v>
      </c>
      <c r="F9" s="25">
        <v>42.0</v>
      </c>
      <c r="G9" s="25">
        <v>5.79</v>
      </c>
      <c r="H9" s="21" t="s">
        <v>176</v>
      </c>
    </row>
    <row r="10">
      <c r="A10" s="21"/>
      <c r="B10" s="21" t="s">
        <v>107</v>
      </c>
      <c r="C10" s="21" t="s">
        <v>87</v>
      </c>
      <c r="D10" s="25">
        <v>90.0</v>
      </c>
      <c r="E10" s="21" t="s">
        <v>275</v>
      </c>
      <c r="F10" s="25">
        <v>28.0</v>
      </c>
      <c r="G10" s="25">
        <v>2.45</v>
      </c>
      <c r="H10" s="21" t="s">
        <v>276</v>
      </c>
    </row>
    <row r="11">
      <c r="A11" s="30" t="s">
        <v>277</v>
      </c>
      <c r="B11" s="22" t="s">
        <v>41</v>
      </c>
      <c r="C11" s="22" t="s">
        <v>87</v>
      </c>
      <c r="D11" s="23">
        <v>50.0</v>
      </c>
      <c r="E11" s="22" t="s">
        <v>177</v>
      </c>
      <c r="F11" s="23">
        <v>35.0</v>
      </c>
      <c r="G11" s="23">
        <v>2.98</v>
      </c>
      <c r="H11" s="22" t="s">
        <v>178</v>
      </c>
    </row>
    <row r="12">
      <c r="A12" s="21"/>
      <c r="B12" s="21" t="s">
        <v>95</v>
      </c>
      <c r="C12" s="27"/>
      <c r="D12" s="25">
        <v>20.0</v>
      </c>
      <c r="E12" s="21" t="s">
        <v>278</v>
      </c>
      <c r="F12" s="27"/>
      <c r="G12" s="25">
        <v>0.0</v>
      </c>
      <c r="H12" s="27"/>
    </row>
    <row r="13">
      <c r="A13" s="21"/>
      <c r="B13" s="21" t="s">
        <v>134</v>
      </c>
      <c r="C13" s="27"/>
      <c r="D13" s="25">
        <v>10.0</v>
      </c>
      <c r="E13" s="21" t="s">
        <v>279</v>
      </c>
      <c r="F13" s="27"/>
      <c r="G13" s="25">
        <v>7.94</v>
      </c>
      <c r="H13" s="27"/>
    </row>
    <row r="14">
      <c r="A14" s="21"/>
      <c r="B14" s="21" t="s">
        <v>137</v>
      </c>
      <c r="C14" s="27"/>
      <c r="D14" s="25">
        <v>0.0</v>
      </c>
      <c r="E14" s="21" t="s">
        <v>280</v>
      </c>
      <c r="F14" s="27"/>
      <c r="G14" s="25">
        <v>0.0</v>
      </c>
      <c r="H14" s="27"/>
    </row>
    <row r="15">
      <c r="A15" s="21"/>
      <c r="B15" s="21" t="s">
        <v>115</v>
      </c>
      <c r="C15" s="21" t="s">
        <v>87</v>
      </c>
      <c r="D15" s="27"/>
      <c r="E15" s="27"/>
      <c r="F15" s="25">
        <v>17.0</v>
      </c>
      <c r="G15" s="27"/>
      <c r="H15" s="21" t="s">
        <v>281</v>
      </c>
    </row>
    <row r="16">
      <c r="A16" s="21"/>
      <c r="B16" s="21" t="s">
        <v>119</v>
      </c>
      <c r="C16" s="21" t="s">
        <v>87</v>
      </c>
      <c r="D16" s="27"/>
      <c r="E16" s="27"/>
      <c r="F16" s="25">
        <v>29.0</v>
      </c>
      <c r="G16" s="27"/>
      <c r="H16" s="21" t="s">
        <v>282</v>
      </c>
    </row>
    <row r="17">
      <c r="A17" s="21"/>
      <c r="B17" s="21" t="s">
        <v>101</v>
      </c>
      <c r="C17" s="21" t="s">
        <v>87</v>
      </c>
      <c r="D17" s="27"/>
      <c r="E17" s="27"/>
      <c r="F17" s="25">
        <v>28.0</v>
      </c>
      <c r="G17" s="27"/>
      <c r="H17" s="21" t="s">
        <v>283</v>
      </c>
    </row>
    <row r="18">
      <c r="A18" s="21"/>
      <c r="B18" s="21" t="s">
        <v>145</v>
      </c>
      <c r="C18" s="29" t="s">
        <v>99</v>
      </c>
      <c r="F18" s="25">
        <v>0.0</v>
      </c>
      <c r="G18" s="27"/>
      <c r="H18" s="21" t="s">
        <v>284</v>
      </c>
      <c r="I18" s="1" t="s">
        <v>285</v>
      </c>
    </row>
    <row r="19">
      <c r="A19" s="28" t="s">
        <v>267</v>
      </c>
      <c r="B19" s="21" t="s">
        <v>128</v>
      </c>
      <c r="C19" s="21" t="s">
        <v>87</v>
      </c>
      <c r="D19" s="27"/>
      <c r="E19" s="27"/>
      <c r="F19" s="25">
        <v>17.0</v>
      </c>
      <c r="G19" s="27"/>
      <c r="H19" s="21" t="s">
        <v>179</v>
      </c>
    </row>
    <row r="20">
      <c r="A20" s="28" t="s">
        <v>267</v>
      </c>
      <c r="B20" s="21" t="s">
        <v>125</v>
      </c>
      <c r="C20" s="21" t="s">
        <v>87</v>
      </c>
      <c r="D20" s="27"/>
      <c r="E20" s="27"/>
      <c r="F20" s="25">
        <v>18.0</v>
      </c>
      <c r="G20" s="27"/>
      <c r="H20" s="21" t="s">
        <v>180</v>
      </c>
    </row>
    <row r="21">
      <c r="A21" s="21"/>
      <c r="B21" s="21" t="s">
        <v>92</v>
      </c>
      <c r="C21" s="21" t="s">
        <v>87</v>
      </c>
      <c r="D21" s="27"/>
      <c r="E21" s="27"/>
      <c r="F21" s="25">
        <v>2.0</v>
      </c>
      <c r="G21" s="27"/>
      <c r="H21" s="21" t="s">
        <v>286</v>
      </c>
    </row>
    <row r="22">
      <c r="A22" s="21"/>
      <c r="B22" s="21" t="s">
        <v>131</v>
      </c>
      <c r="C22" s="21" t="s">
        <v>87</v>
      </c>
      <c r="D22" s="27"/>
      <c r="E22" s="27"/>
      <c r="F22" s="25">
        <v>25.0</v>
      </c>
      <c r="G22" s="27"/>
      <c r="H22" s="21" t="s">
        <v>287</v>
      </c>
    </row>
    <row r="23">
      <c r="A23" s="21"/>
      <c r="B23" s="21" t="s">
        <v>142</v>
      </c>
      <c r="C23" s="29" t="s">
        <v>90</v>
      </c>
      <c r="E23" s="27"/>
      <c r="F23" s="25">
        <v>33.0</v>
      </c>
      <c r="G23" s="27"/>
      <c r="H23" s="21" t="s">
        <v>288</v>
      </c>
      <c r="I23" s="1" t="s">
        <v>289</v>
      </c>
    </row>
    <row r="24">
      <c r="A24" s="21"/>
      <c r="B24" s="21" t="s">
        <v>86</v>
      </c>
      <c r="C24" s="21" t="s">
        <v>87</v>
      </c>
      <c r="D24" s="27"/>
      <c r="E24" s="27"/>
      <c r="F24" s="25">
        <v>9.0</v>
      </c>
      <c r="G24" s="27"/>
      <c r="H24" s="21" t="s">
        <v>290</v>
      </c>
    </row>
    <row r="25">
      <c r="A25" s="21"/>
      <c r="B25" s="21" t="s">
        <v>89</v>
      </c>
      <c r="C25" s="21" t="s">
        <v>87</v>
      </c>
      <c r="D25" s="27"/>
      <c r="E25" s="27"/>
      <c r="F25" s="25">
        <v>2.0</v>
      </c>
      <c r="G25" s="27"/>
      <c r="H25" s="21" t="s">
        <v>291</v>
      </c>
    </row>
    <row r="26">
      <c r="A26" s="1" t="s">
        <v>267</v>
      </c>
      <c r="B26" s="1" t="s">
        <v>181</v>
      </c>
      <c r="C26" s="1" t="s">
        <v>99</v>
      </c>
      <c r="D26" s="1">
        <v>590.0</v>
      </c>
      <c r="E26" s="1">
        <v>15.0</v>
      </c>
      <c r="F26" s="1">
        <v>1.44</v>
      </c>
      <c r="G26" s="1" t="s">
        <v>182</v>
      </c>
    </row>
    <row r="27">
      <c r="A27" s="1" t="s">
        <v>267</v>
      </c>
      <c r="B27" s="1" t="s">
        <v>183</v>
      </c>
      <c r="C27" s="1" t="s">
        <v>87</v>
      </c>
      <c r="D27" s="1">
        <v>210.0</v>
      </c>
      <c r="E27" s="1">
        <v>23.0</v>
      </c>
      <c r="F27" s="1">
        <v>1.33</v>
      </c>
      <c r="G27" s="1" t="s">
        <v>184</v>
      </c>
    </row>
    <row r="28">
      <c r="A28" s="1" t="s">
        <v>267</v>
      </c>
      <c r="B28" s="1" t="s">
        <v>185</v>
      </c>
      <c r="C28" s="1" t="s">
        <v>160</v>
      </c>
      <c r="D28" s="1">
        <v>110.0</v>
      </c>
      <c r="E28" s="1">
        <v>27.0</v>
      </c>
      <c r="F28" s="1">
        <v>3.18</v>
      </c>
      <c r="G28" s="1" t="s">
        <v>186</v>
      </c>
    </row>
    <row r="29">
      <c r="A29" s="1" t="s">
        <v>267</v>
      </c>
      <c r="B29" s="1" t="s">
        <v>187</v>
      </c>
      <c r="C29" s="1" t="s">
        <v>90</v>
      </c>
      <c r="D29" s="1">
        <v>70.0</v>
      </c>
      <c r="E29" s="1">
        <v>16.0</v>
      </c>
      <c r="F29" s="1">
        <v>4.08</v>
      </c>
      <c r="G29" s="1" t="s">
        <v>188</v>
      </c>
    </row>
    <row r="30">
      <c r="B30" s="1" t="s">
        <v>292</v>
      </c>
      <c r="D30" s="1">
        <v>30.0</v>
      </c>
      <c r="F30" s="1">
        <v>2.8</v>
      </c>
    </row>
    <row r="31">
      <c r="B31" s="1" t="s">
        <v>293</v>
      </c>
      <c r="C31" s="1" t="s">
        <v>99</v>
      </c>
      <c r="D31" s="1">
        <v>30.0</v>
      </c>
      <c r="E31" s="1">
        <v>14.0</v>
      </c>
      <c r="F31" s="1">
        <v>0.38</v>
      </c>
      <c r="G31" s="1" t="s">
        <v>294</v>
      </c>
    </row>
    <row r="32">
      <c r="B32" s="1" t="s">
        <v>295</v>
      </c>
      <c r="C32" s="1" t="s">
        <v>117</v>
      </c>
      <c r="D32" s="1">
        <v>30.0</v>
      </c>
      <c r="E32" s="1">
        <v>3.0</v>
      </c>
      <c r="F32" s="1">
        <v>4.98</v>
      </c>
      <c r="G32" s="1" t="s">
        <v>296</v>
      </c>
    </row>
    <row r="33">
      <c r="B33" s="1" t="s">
        <v>297</v>
      </c>
      <c r="D33" s="1">
        <v>30.0</v>
      </c>
      <c r="F33" s="1">
        <v>0.0</v>
      </c>
    </row>
    <row r="34">
      <c r="B34" s="1" t="s">
        <v>298</v>
      </c>
      <c r="D34" s="1">
        <v>20.0</v>
      </c>
      <c r="F34" s="1">
        <v>0.0</v>
      </c>
    </row>
    <row r="35">
      <c r="B35" s="1" t="s">
        <v>299</v>
      </c>
      <c r="D35" s="1">
        <v>20.0</v>
      </c>
      <c r="F35" s="1">
        <v>0.76</v>
      </c>
    </row>
    <row r="36">
      <c r="B36" s="1" t="s">
        <v>300</v>
      </c>
      <c r="D36" s="1">
        <v>20.0</v>
      </c>
      <c r="F36" s="1">
        <v>0.0</v>
      </c>
    </row>
    <row r="37">
      <c r="B37" s="1" t="s">
        <v>301</v>
      </c>
      <c r="D37" s="1">
        <v>20.0</v>
      </c>
      <c r="F37" s="1">
        <v>0.0</v>
      </c>
    </row>
    <row r="38">
      <c r="B38" s="1" t="s">
        <v>302</v>
      </c>
      <c r="D38" s="1">
        <v>20.0</v>
      </c>
      <c r="F38" s="1">
        <v>0.0</v>
      </c>
    </row>
    <row r="39">
      <c r="B39" s="1" t="s">
        <v>303</v>
      </c>
      <c r="D39" s="1">
        <v>20.0</v>
      </c>
      <c r="F39" s="1">
        <v>0.55</v>
      </c>
    </row>
    <row r="40">
      <c r="B40" s="1" t="s">
        <v>304</v>
      </c>
      <c r="D40" s="1">
        <v>20.0</v>
      </c>
      <c r="F40" s="1">
        <v>0.0</v>
      </c>
    </row>
    <row r="41">
      <c r="B41" s="1" t="s">
        <v>305</v>
      </c>
      <c r="D41" s="1">
        <v>20.0</v>
      </c>
      <c r="F41" s="1">
        <v>0.0</v>
      </c>
    </row>
    <row r="42">
      <c r="B42" s="1" t="s">
        <v>306</v>
      </c>
      <c r="D42" s="1">
        <v>20.0</v>
      </c>
      <c r="F42" s="1">
        <v>0.0</v>
      </c>
    </row>
    <row r="43">
      <c r="B43" s="1" t="s">
        <v>307</v>
      </c>
      <c r="D43" s="1">
        <v>20.0</v>
      </c>
      <c r="F43" s="1">
        <v>0.0</v>
      </c>
    </row>
    <row r="44">
      <c r="B44" s="1" t="s">
        <v>308</v>
      </c>
      <c r="D44" s="1">
        <v>20.0</v>
      </c>
      <c r="F44" s="1">
        <v>0.0</v>
      </c>
    </row>
    <row r="45">
      <c r="B45" s="1" t="s">
        <v>309</v>
      </c>
      <c r="D45" s="1">
        <v>20.0</v>
      </c>
      <c r="F45" s="1">
        <v>0.97</v>
      </c>
    </row>
    <row r="46">
      <c r="B46" s="1" t="s">
        <v>310</v>
      </c>
      <c r="D46" s="1">
        <v>20.0</v>
      </c>
      <c r="F46" s="1">
        <v>0.38</v>
      </c>
    </row>
    <row r="47">
      <c r="B47" s="1" t="s">
        <v>311</v>
      </c>
      <c r="D47" s="1">
        <v>20.0</v>
      </c>
      <c r="F47" s="1">
        <v>0.0</v>
      </c>
    </row>
    <row r="48">
      <c r="B48" s="1" t="s">
        <v>312</v>
      </c>
      <c r="D48" s="1">
        <v>20.0</v>
      </c>
      <c r="F48" s="1">
        <v>1.44</v>
      </c>
    </row>
    <row r="49">
      <c r="B49" s="1" t="s">
        <v>313</v>
      </c>
      <c r="D49" s="1">
        <v>20.0</v>
      </c>
      <c r="F49" s="1">
        <v>1.7</v>
      </c>
    </row>
    <row r="50">
      <c r="B50" s="1" t="s">
        <v>314</v>
      </c>
      <c r="D50" s="1">
        <v>20.0</v>
      </c>
      <c r="F50" s="1">
        <v>0.0</v>
      </c>
    </row>
    <row r="51">
      <c r="B51" s="1" t="s">
        <v>315</v>
      </c>
      <c r="D51" s="1">
        <v>20.0</v>
      </c>
      <c r="F51" s="1">
        <v>0.0</v>
      </c>
    </row>
    <row r="52">
      <c r="B52" s="1" t="s">
        <v>316</v>
      </c>
      <c r="D52" s="1">
        <v>20.0</v>
      </c>
      <c r="F52" s="1">
        <v>0.0</v>
      </c>
    </row>
    <row r="53">
      <c r="B53" s="1" t="s">
        <v>317</v>
      </c>
      <c r="D53" s="1">
        <v>20.0</v>
      </c>
      <c r="F53" s="1">
        <v>0.0</v>
      </c>
    </row>
    <row r="54">
      <c r="B54" s="1" t="s">
        <v>318</v>
      </c>
      <c r="D54" s="1">
        <v>20.0</v>
      </c>
      <c r="F54" s="1">
        <v>0.0</v>
      </c>
    </row>
    <row r="55">
      <c r="B55" s="1" t="s">
        <v>319</v>
      </c>
      <c r="D55" s="1">
        <v>20.0</v>
      </c>
      <c r="F55" s="1">
        <v>1.16</v>
      </c>
    </row>
    <row r="56">
      <c r="B56" s="1" t="s">
        <v>320</v>
      </c>
      <c r="D56" s="1">
        <v>20.0</v>
      </c>
      <c r="F56" s="1">
        <v>0.0</v>
      </c>
    </row>
    <row r="57">
      <c r="B57" s="1" t="s">
        <v>321</v>
      </c>
      <c r="D57" s="1">
        <v>10.0</v>
      </c>
      <c r="F57" s="1">
        <v>0.0</v>
      </c>
    </row>
    <row r="58">
      <c r="B58" s="1" t="s">
        <v>322</v>
      </c>
      <c r="D58" s="1">
        <v>10.0</v>
      </c>
      <c r="F58" s="1">
        <v>0.0</v>
      </c>
    </row>
    <row r="59">
      <c r="B59" s="1" t="s">
        <v>323</v>
      </c>
      <c r="D59" s="1">
        <v>10.0</v>
      </c>
      <c r="F59" s="1">
        <v>0.0</v>
      </c>
    </row>
    <row r="60">
      <c r="B60" s="1" t="s">
        <v>324</v>
      </c>
      <c r="D60" s="1">
        <v>10.0</v>
      </c>
      <c r="F60" s="1">
        <v>0.0</v>
      </c>
    </row>
    <row r="61">
      <c r="B61" s="1" t="s">
        <v>325</v>
      </c>
      <c r="D61" s="1">
        <v>10.0</v>
      </c>
      <c r="F61" s="1">
        <v>0.0</v>
      </c>
    </row>
    <row r="62">
      <c r="B62" s="1" t="s">
        <v>326</v>
      </c>
      <c r="D62" s="1">
        <v>10.0</v>
      </c>
      <c r="F62" s="1">
        <v>0.0</v>
      </c>
    </row>
    <row r="63">
      <c r="B63" s="1" t="s">
        <v>327</v>
      </c>
      <c r="D63" s="1">
        <v>10.0</v>
      </c>
      <c r="F63" s="1">
        <v>0.0</v>
      </c>
    </row>
    <row r="64">
      <c r="B64" s="1" t="s">
        <v>328</v>
      </c>
      <c r="D64" s="1">
        <v>10.0</v>
      </c>
      <c r="F64" s="1">
        <v>0.0</v>
      </c>
    </row>
    <row r="65">
      <c r="B65" s="1" t="s">
        <v>329</v>
      </c>
      <c r="D65" s="1">
        <v>10.0</v>
      </c>
      <c r="F65" s="1">
        <v>1.44</v>
      </c>
    </row>
    <row r="66">
      <c r="B66" s="1" t="s">
        <v>330</v>
      </c>
      <c r="D66" s="1">
        <v>10.0</v>
      </c>
      <c r="F66" s="1">
        <v>0.0</v>
      </c>
    </row>
    <row r="67">
      <c r="B67" s="1" t="s">
        <v>331</v>
      </c>
      <c r="D67" s="1">
        <v>10.0</v>
      </c>
      <c r="F67" s="1">
        <v>0.0</v>
      </c>
    </row>
    <row r="68">
      <c r="B68" s="1" t="s">
        <v>332</v>
      </c>
      <c r="D68" s="1">
        <v>0.0</v>
      </c>
      <c r="F68" s="1">
        <v>0.0</v>
      </c>
    </row>
    <row r="69">
      <c r="B69" s="1" t="s">
        <v>333</v>
      </c>
      <c r="D69" s="1">
        <v>0.0</v>
      </c>
      <c r="F69" s="1">
        <v>0.0</v>
      </c>
    </row>
    <row r="70">
      <c r="B70" s="1" t="s">
        <v>334</v>
      </c>
      <c r="D70" s="1">
        <v>0.0</v>
      </c>
      <c r="F70" s="1">
        <v>0.0</v>
      </c>
    </row>
    <row r="71">
      <c r="B71" s="1" t="s">
        <v>335</v>
      </c>
      <c r="D71" s="1">
        <v>0.0</v>
      </c>
      <c r="F71" s="1">
        <v>0.0</v>
      </c>
    </row>
    <row r="72">
      <c r="B72" s="1" t="s">
        <v>336</v>
      </c>
      <c r="D72" s="1">
        <v>0.0</v>
      </c>
      <c r="F72" s="1">
        <v>0.0</v>
      </c>
    </row>
    <row r="73">
      <c r="B73" s="1" t="s">
        <v>337</v>
      </c>
      <c r="D73" s="1">
        <v>0.0</v>
      </c>
      <c r="F73" s="1">
        <v>0.0</v>
      </c>
    </row>
    <row r="74">
      <c r="B74" s="1" t="s">
        <v>338</v>
      </c>
      <c r="D74" s="1">
        <v>0.0</v>
      </c>
      <c r="F74" s="1">
        <v>0.0</v>
      </c>
    </row>
    <row r="75">
      <c r="B75" s="1" t="s">
        <v>339</v>
      </c>
      <c r="D75" s="1">
        <v>0.0</v>
      </c>
      <c r="F75" s="1">
        <v>0.0</v>
      </c>
    </row>
    <row r="76">
      <c r="B76" s="1" t="s">
        <v>340</v>
      </c>
      <c r="D76" s="1">
        <v>0.0</v>
      </c>
      <c r="F76" s="1">
        <v>0.0</v>
      </c>
    </row>
    <row r="77">
      <c r="B77" s="1" t="s">
        <v>341</v>
      </c>
      <c r="D77" s="1">
        <v>0.0</v>
      </c>
      <c r="F77" s="1">
        <v>0.0</v>
      </c>
    </row>
    <row r="78">
      <c r="B78" s="1" t="s">
        <v>342</v>
      </c>
      <c r="D78" s="1">
        <v>0.0</v>
      </c>
      <c r="F78" s="1">
        <v>0.0</v>
      </c>
    </row>
    <row r="79">
      <c r="B79" s="1" t="s">
        <v>343</v>
      </c>
      <c r="D79" s="1">
        <v>0.0</v>
      </c>
      <c r="F79" s="1">
        <v>0.0</v>
      </c>
    </row>
    <row r="80">
      <c r="B80" s="1" t="s">
        <v>344</v>
      </c>
      <c r="D80" s="1">
        <v>0.0</v>
      </c>
      <c r="F80" s="1">
        <v>0.0</v>
      </c>
    </row>
    <row r="81">
      <c r="B81" s="1" t="s">
        <v>345</v>
      </c>
      <c r="D81" s="1">
        <v>0.0</v>
      </c>
      <c r="F81" s="1">
        <v>0.55</v>
      </c>
    </row>
    <row r="82">
      <c r="B82" s="1" t="s">
        <v>346</v>
      </c>
      <c r="D82" s="1">
        <v>0.0</v>
      </c>
      <c r="F82" s="1">
        <v>0.0</v>
      </c>
    </row>
    <row r="83">
      <c r="B83" s="1" t="s">
        <v>347</v>
      </c>
      <c r="D83" s="1">
        <v>0.0</v>
      </c>
      <c r="F83" s="1">
        <v>0.0</v>
      </c>
    </row>
    <row r="84">
      <c r="B84" s="1" t="s">
        <v>348</v>
      </c>
      <c r="D84" s="1">
        <v>0.0</v>
      </c>
      <c r="F84" s="1">
        <v>0.0</v>
      </c>
    </row>
    <row r="85">
      <c r="B85" s="1" t="s">
        <v>349</v>
      </c>
      <c r="D85" s="1">
        <v>0.0</v>
      </c>
      <c r="F85" s="1">
        <v>0.0</v>
      </c>
    </row>
    <row r="86">
      <c r="B86" s="1" t="s">
        <v>350</v>
      </c>
      <c r="D86" s="1">
        <v>0.0</v>
      </c>
      <c r="F86" s="1">
        <v>0.0</v>
      </c>
    </row>
    <row r="87">
      <c r="B87" s="1" t="s">
        <v>351</v>
      </c>
      <c r="D87" s="1">
        <v>0.0</v>
      </c>
      <c r="F87" s="1">
        <v>0.0</v>
      </c>
    </row>
    <row r="88">
      <c r="B88" s="1" t="s">
        <v>352</v>
      </c>
      <c r="D88" s="1">
        <v>0.0</v>
      </c>
      <c r="F88" s="1">
        <v>0.0</v>
      </c>
    </row>
    <row r="89">
      <c r="B89" s="1" t="s">
        <v>353</v>
      </c>
      <c r="D89" s="1">
        <v>0.0</v>
      </c>
      <c r="F89" s="1">
        <v>0.0</v>
      </c>
    </row>
    <row r="90">
      <c r="B90" s="1" t="s">
        <v>354</v>
      </c>
      <c r="D90" s="1">
        <v>0.0</v>
      </c>
      <c r="F90" s="1">
        <v>0.0</v>
      </c>
    </row>
    <row r="91">
      <c r="B91" s="1" t="s">
        <v>355</v>
      </c>
      <c r="D91" s="1">
        <v>0.0</v>
      </c>
      <c r="F91" s="1">
        <v>0.0</v>
      </c>
    </row>
    <row r="92">
      <c r="B92" s="1" t="s">
        <v>356</v>
      </c>
      <c r="D92" s="1">
        <v>0.0</v>
      </c>
      <c r="F92" s="1">
        <v>0.0</v>
      </c>
    </row>
    <row r="93">
      <c r="B93" s="1" t="s">
        <v>357</v>
      </c>
      <c r="D93" s="1">
        <v>0.0</v>
      </c>
      <c r="F93" s="1">
        <v>0.0</v>
      </c>
    </row>
    <row r="94">
      <c r="B94" s="1" t="s">
        <v>358</v>
      </c>
      <c r="D94" s="1">
        <v>0.0</v>
      </c>
      <c r="F94" s="1">
        <v>0.0</v>
      </c>
    </row>
    <row r="95">
      <c r="B95" s="1" t="s">
        <v>359</v>
      </c>
      <c r="D95" s="1">
        <v>0.0</v>
      </c>
      <c r="F95" s="1">
        <v>0.0</v>
      </c>
    </row>
    <row r="96">
      <c r="B96" s="1" t="s">
        <v>360</v>
      </c>
      <c r="D96" s="1">
        <v>0.0</v>
      </c>
      <c r="F96" s="1">
        <v>0.0</v>
      </c>
    </row>
    <row r="97">
      <c r="B97" s="1" t="s">
        <v>361</v>
      </c>
      <c r="D97" s="1">
        <v>0.0</v>
      </c>
      <c r="F97" s="1">
        <v>0.0</v>
      </c>
    </row>
    <row r="98">
      <c r="B98" s="1" t="s">
        <v>362</v>
      </c>
      <c r="D98" s="1">
        <v>0.0</v>
      </c>
      <c r="F98" s="1">
        <v>0.0</v>
      </c>
    </row>
    <row r="99">
      <c r="B99" s="1" t="s">
        <v>363</v>
      </c>
      <c r="D99" s="1">
        <v>0.0</v>
      </c>
      <c r="F99" s="1">
        <v>0.0</v>
      </c>
    </row>
    <row r="100">
      <c r="B100" s="1" t="s">
        <v>364</v>
      </c>
      <c r="D100" s="1">
        <v>0.0</v>
      </c>
      <c r="F100" s="1">
        <v>0.0</v>
      </c>
    </row>
    <row r="101">
      <c r="B101" s="1" t="s">
        <v>365</v>
      </c>
      <c r="D101" s="1">
        <v>0.0</v>
      </c>
      <c r="F101" s="1">
        <v>0.0</v>
      </c>
    </row>
    <row r="102">
      <c r="B102" s="1" t="s">
        <v>366</v>
      </c>
      <c r="D102" s="1">
        <v>0.0</v>
      </c>
      <c r="F102" s="1">
        <v>0.0</v>
      </c>
    </row>
    <row r="103">
      <c r="B103" s="1" t="s">
        <v>367</v>
      </c>
      <c r="D103" s="1">
        <v>0.0</v>
      </c>
      <c r="F103" s="1">
        <v>0.0</v>
      </c>
    </row>
    <row r="104">
      <c r="B104" s="1" t="s">
        <v>368</v>
      </c>
      <c r="D104" s="1">
        <v>0.0</v>
      </c>
      <c r="F104" s="1">
        <v>0.0</v>
      </c>
    </row>
    <row r="105">
      <c r="B105" s="1" t="s">
        <v>369</v>
      </c>
      <c r="D105" s="1">
        <v>0.0</v>
      </c>
      <c r="F105" s="1">
        <v>0.0</v>
      </c>
    </row>
    <row r="106">
      <c r="B106" s="1" t="s">
        <v>370</v>
      </c>
      <c r="D106" s="1">
        <v>0.0</v>
      </c>
      <c r="F106" s="1">
        <v>0.0</v>
      </c>
    </row>
    <row r="107">
      <c r="B107" s="1" t="s">
        <v>371</v>
      </c>
      <c r="D107" s="1">
        <v>0.0</v>
      </c>
      <c r="F107" s="1">
        <v>0.0</v>
      </c>
    </row>
    <row r="108">
      <c r="B108" s="1" t="s">
        <v>372</v>
      </c>
      <c r="D108" s="1">
        <v>0.0</v>
      </c>
      <c r="F108" s="1">
        <v>0.0</v>
      </c>
    </row>
    <row r="109">
      <c r="B109" s="1" t="s">
        <v>373</v>
      </c>
      <c r="D109" s="1">
        <v>0.0</v>
      </c>
      <c r="F109" s="1">
        <v>0.0</v>
      </c>
    </row>
    <row r="110">
      <c r="B110" s="1" t="s">
        <v>374</v>
      </c>
      <c r="D110" s="1">
        <v>0.0</v>
      </c>
      <c r="F110" s="1">
        <v>0.0</v>
      </c>
    </row>
    <row r="111">
      <c r="B111" s="1" t="s">
        <v>375</v>
      </c>
      <c r="D111" s="1">
        <v>0.0</v>
      </c>
      <c r="F111" s="1">
        <v>0.0</v>
      </c>
    </row>
    <row r="112">
      <c r="B112" s="1" t="s">
        <v>376</v>
      </c>
      <c r="D112" s="1">
        <v>0.0</v>
      </c>
      <c r="F112" s="1">
        <v>0.0</v>
      </c>
    </row>
    <row r="113">
      <c r="B113" s="1" t="s">
        <v>377</v>
      </c>
      <c r="D113" s="1">
        <v>0.0</v>
      </c>
      <c r="F113" s="1">
        <v>0.0</v>
      </c>
    </row>
    <row r="114">
      <c r="B114" s="1" t="s">
        <v>378</v>
      </c>
      <c r="D114" s="1">
        <v>0.0</v>
      </c>
      <c r="F114" s="1">
        <v>0.0</v>
      </c>
    </row>
    <row r="115">
      <c r="B115" s="1" t="s">
        <v>379</v>
      </c>
      <c r="D115" s="1">
        <v>0.0</v>
      </c>
      <c r="F115" s="1">
        <v>0.0</v>
      </c>
    </row>
    <row r="116">
      <c r="B116" s="1" t="s">
        <v>380</v>
      </c>
      <c r="D116" s="1">
        <v>0.0</v>
      </c>
      <c r="F116" s="1">
        <v>0.0</v>
      </c>
    </row>
    <row r="117">
      <c r="B117" s="1" t="s">
        <v>381</v>
      </c>
      <c r="D117" s="1">
        <v>0.0</v>
      </c>
      <c r="F117" s="1">
        <v>0.0</v>
      </c>
    </row>
    <row r="118">
      <c r="B118" s="1" t="s">
        <v>382</v>
      </c>
      <c r="D118" s="1">
        <v>0.0</v>
      </c>
      <c r="F118" s="1">
        <v>0.0</v>
      </c>
    </row>
    <row r="119">
      <c r="B119" s="1" t="s">
        <v>383</v>
      </c>
      <c r="D119" s="1">
        <v>0.0</v>
      </c>
      <c r="F119" s="1">
        <v>0.0</v>
      </c>
    </row>
    <row r="120">
      <c r="B120" s="1" t="s">
        <v>384</v>
      </c>
      <c r="D120" s="1">
        <v>0.0</v>
      </c>
      <c r="F120" s="1">
        <v>0.0</v>
      </c>
    </row>
    <row r="121">
      <c r="B121" s="1" t="s">
        <v>385</v>
      </c>
      <c r="D121" s="1">
        <v>0.0</v>
      </c>
      <c r="F121" s="1">
        <v>0.0</v>
      </c>
    </row>
    <row r="122">
      <c r="B122" s="1" t="s">
        <v>386</v>
      </c>
      <c r="D122" s="1">
        <v>0.0</v>
      </c>
      <c r="F122" s="1">
        <v>0.0</v>
      </c>
    </row>
    <row r="123">
      <c r="B123" s="1" t="s">
        <v>387</v>
      </c>
      <c r="D123" s="1">
        <v>0.0</v>
      </c>
      <c r="F123" s="1">
        <v>0.0</v>
      </c>
    </row>
    <row r="124">
      <c r="B124" s="1" t="s">
        <v>388</v>
      </c>
      <c r="D124" s="1">
        <v>0.0</v>
      </c>
      <c r="F124" s="1">
        <v>0.0</v>
      </c>
    </row>
    <row r="125">
      <c r="B125" s="1" t="s">
        <v>389</v>
      </c>
      <c r="D125" s="1">
        <v>0.0</v>
      </c>
      <c r="F125" s="1">
        <v>0.0</v>
      </c>
    </row>
    <row r="126">
      <c r="B126" s="1" t="s">
        <v>390</v>
      </c>
      <c r="D126" s="1">
        <v>0.0</v>
      </c>
      <c r="F126" s="1">
        <v>0.0</v>
      </c>
    </row>
    <row r="127">
      <c r="B127" s="1" t="s">
        <v>391</v>
      </c>
      <c r="D127" s="1">
        <v>0.0</v>
      </c>
      <c r="F127" s="1">
        <v>0.0</v>
      </c>
    </row>
    <row r="128">
      <c r="B128" s="1" t="s">
        <v>392</v>
      </c>
      <c r="D128" s="1">
        <v>0.0</v>
      </c>
      <c r="F128" s="1">
        <v>1.44</v>
      </c>
    </row>
    <row r="129">
      <c r="B129" s="1" t="s">
        <v>393</v>
      </c>
      <c r="D129" s="1">
        <v>0.0</v>
      </c>
      <c r="F129" s="1">
        <v>0.0</v>
      </c>
    </row>
    <row r="130">
      <c r="B130" s="1" t="s">
        <v>394</v>
      </c>
      <c r="D130" s="1">
        <v>0.0</v>
      </c>
      <c r="F130" s="1">
        <v>0.0</v>
      </c>
    </row>
    <row r="131">
      <c r="B131" s="1" t="s">
        <v>395</v>
      </c>
      <c r="D131" s="1">
        <v>0.0</v>
      </c>
      <c r="F131" s="1">
        <v>0.0</v>
      </c>
    </row>
    <row r="132">
      <c r="B132" s="1" t="s">
        <v>396</v>
      </c>
      <c r="D132" s="1">
        <v>0.0</v>
      </c>
      <c r="F132" s="1">
        <v>0.0</v>
      </c>
    </row>
    <row r="133">
      <c r="B133" s="1" t="s">
        <v>397</v>
      </c>
      <c r="D133" s="1">
        <v>0.0</v>
      </c>
      <c r="F133" s="1">
        <v>0.0</v>
      </c>
    </row>
    <row r="134">
      <c r="B134" s="1" t="s">
        <v>398</v>
      </c>
      <c r="D134" s="1">
        <v>0.0</v>
      </c>
      <c r="F134" s="1">
        <v>0.0</v>
      </c>
    </row>
    <row r="135">
      <c r="B135" s="1" t="s">
        <v>399</v>
      </c>
      <c r="D135" s="1">
        <v>0.0</v>
      </c>
      <c r="F135" s="1">
        <v>0.0</v>
      </c>
    </row>
    <row r="136">
      <c r="B136" s="1" t="s">
        <v>400</v>
      </c>
      <c r="D136" s="1">
        <v>0.0</v>
      </c>
      <c r="F136" s="1">
        <v>0.0</v>
      </c>
    </row>
    <row r="137">
      <c r="B137" s="1" t="s">
        <v>401</v>
      </c>
      <c r="D137" s="1">
        <v>0.0</v>
      </c>
      <c r="F137" s="1">
        <v>0.0</v>
      </c>
    </row>
    <row r="138">
      <c r="B138" s="1" t="s">
        <v>402</v>
      </c>
      <c r="D138" s="1">
        <v>0.0</v>
      </c>
      <c r="F138" s="1">
        <v>0.0</v>
      </c>
    </row>
    <row r="139">
      <c r="B139" s="1" t="s">
        <v>403</v>
      </c>
      <c r="D139" s="1">
        <v>0.0</v>
      </c>
      <c r="F139" s="1">
        <v>0.0</v>
      </c>
    </row>
    <row r="140">
      <c r="B140" s="1" t="s">
        <v>404</v>
      </c>
      <c r="D140" s="1">
        <v>0.0</v>
      </c>
      <c r="F140" s="1">
        <v>0.0</v>
      </c>
    </row>
    <row r="141">
      <c r="B141" s="1" t="s">
        <v>405</v>
      </c>
      <c r="D141" s="1">
        <v>0.0</v>
      </c>
      <c r="F141" s="1">
        <v>0.0</v>
      </c>
    </row>
    <row r="142">
      <c r="B142" s="1" t="s">
        <v>406</v>
      </c>
      <c r="D142" s="1">
        <v>0.0</v>
      </c>
      <c r="F142" s="1">
        <v>0.0</v>
      </c>
    </row>
    <row r="143">
      <c r="B143" s="1" t="s">
        <v>407</v>
      </c>
      <c r="D143" s="1">
        <v>0.0</v>
      </c>
      <c r="F143" s="1">
        <v>0.0</v>
      </c>
    </row>
    <row r="144">
      <c r="B144" s="1" t="s">
        <v>408</v>
      </c>
      <c r="D144" s="1">
        <v>0.0</v>
      </c>
      <c r="F144" s="1">
        <v>0.0</v>
      </c>
    </row>
    <row r="145">
      <c r="B145" s="1" t="s">
        <v>409</v>
      </c>
      <c r="D145" s="1">
        <v>0.0</v>
      </c>
      <c r="F145" s="1">
        <v>1.44</v>
      </c>
    </row>
    <row r="146">
      <c r="B146" s="1" t="s">
        <v>410</v>
      </c>
      <c r="D146" s="1">
        <v>0.0</v>
      </c>
      <c r="F146" s="1">
        <v>0.0</v>
      </c>
    </row>
    <row r="147">
      <c r="B147" s="1" t="s">
        <v>411</v>
      </c>
      <c r="D147" s="1">
        <v>0.0</v>
      </c>
      <c r="F147" s="1">
        <v>0.0</v>
      </c>
    </row>
    <row r="148">
      <c r="B148" s="1" t="s">
        <v>412</v>
      </c>
      <c r="D148" s="1">
        <v>0.0</v>
      </c>
      <c r="F148" s="1">
        <v>0.0</v>
      </c>
    </row>
    <row r="149">
      <c r="B149" s="1" t="s">
        <v>413</v>
      </c>
      <c r="D149" s="1">
        <v>0.0</v>
      </c>
      <c r="F149" s="1">
        <v>0.0</v>
      </c>
    </row>
    <row r="150">
      <c r="B150" s="1" t="s">
        <v>414</v>
      </c>
      <c r="D150" s="1">
        <v>0.0</v>
      </c>
      <c r="F150" s="1">
        <v>1.7</v>
      </c>
    </row>
    <row r="151">
      <c r="B151" s="1" t="s">
        <v>415</v>
      </c>
      <c r="D151" s="1">
        <v>0.0</v>
      </c>
      <c r="F151" s="1">
        <v>0.0</v>
      </c>
    </row>
    <row r="152">
      <c r="B152" s="1" t="s">
        <v>416</v>
      </c>
      <c r="D152" s="1">
        <v>0.0</v>
      </c>
      <c r="F152" s="1">
        <v>0.0</v>
      </c>
    </row>
    <row r="153">
      <c r="B153" s="1" t="s">
        <v>417</v>
      </c>
      <c r="D153" s="1">
        <v>0.0</v>
      </c>
      <c r="F153" s="1">
        <v>0.0</v>
      </c>
    </row>
    <row r="154">
      <c r="B154" s="1" t="s">
        <v>418</v>
      </c>
      <c r="D154" s="1">
        <v>0.0</v>
      </c>
      <c r="F154" s="1">
        <v>0.0</v>
      </c>
    </row>
  </sheetData>
  <autoFilter ref="$A$1:$I$154"/>
  <mergeCells count="2">
    <mergeCell ref="C18:E18"/>
    <mergeCell ref="C23:D23"/>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60.88"/>
    <col customWidth="1" min="6" max="6" width="20.5"/>
  </cols>
  <sheetData>
    <row r="1">
      <c r="A1" s="28" t="s">
        <v>266</v>
      </c>
      <c r="B1" s="21" t="s">
        <v>1</v>
      </c>
      <c r="C1" s="21" t="s">
        <v>79</v>
      </c>
      <c r="D1" s="21" t="s">
        <v>80</v>
      </c>
      <c r="E1" s="21" t="s">
        <v>82</v>
      </c>
      <c r="F1" s="21" t="s">
        <v>83</v>
      </c>
      <c r="G1" s="21" t="s">
        <v>84</v>
      </c>
    </row>
    <row r="2">
      <c r="A2" s="28" t="s">
        <v>267</v>
      </c>
      <c r="B2" s="21" t="s">
        <v>129</v>
      </c>
      <c r="C2" s="21" t="s">
        <v>117</v>
      </c>
      <c r="D2" s="25">
        <v>1300.0</v>
      </c>
      <c r="E2" s="25">
        <v>28.0</v>
      </c>
      <c r="F2" s="25">
        <v>1.1</v>
      </c>
      <c r="G2" s="21" t="s">
        <v>130</v>
      </c>
    </row>
    <row r="3">
      <c r="A3" s="21"/>
      <c r="B3" s="21" t="s">
        <v>132</v>
      </c>
      <c r="C3" s="21" t="s">
        <v>117</v>
      </c>
      <c r="D3" s="25">
        <v>1000.0</v>
      </c>
      <c r="E3" s="25">
        <v>11.0</v>
      </c>
      <c r="F3" s="25">
        <v>1.0</v>
      </c>
      <c r="G3" s="21" t="s">
        <v>133</v>
      </c>
    </row>
    <row r="4">
      <c r="A4" s="21"/>
      <c r="B4" s="21" t="s">
        <v>419</v>
      </c>
      <c r="C4" s="21" t="s">
        <v>117</v>
      </c>
      <c r="D4" s="25">
        <v>880.0</v>
      </c>
      <c r="E4" s="25">
        <v>19.0</v>
      </c>
      <c r="F4" s="25">
        <v>0.0</v>
      </c>
      <c r="G4" s="21" t="s">
        <v>420</v>
      </c>
    </row>
    <row r="5">
      <c r="A5" s="21"/>
      <c r="B5" s="21" t="s">
        <v>421</v>
      </c>
      <c r="C5" s="21" t="s">
        <v>117</v>
      </c>
      <c r="D5" s="25">
        <v>480.0</v>
      </c>
      <c r="E5" s="25">
        <v>17.0</v>
      </c>
      <c r="F5" s="25">
        <v>2.83</v>
      </c>
      <c r="G5" s="21" t="s">
        <v>130</v>
      </c>
    </row>
    <row r="6">
      <c r="A6" s="21"/>
      <c r="B6" s="21" t="s">
        <v>422</v>
      </c>
      <c r="C6" s="21" t="s">
        <v>117</v>
      </c>
      <c r="D6" s="25">
        <v>480.0</v>
      </c>
      <c r="E6" s="25">
        <v>35.0</v>
      </c>
      <c r="F6" s="25">
        <v>1.22</v>
      </c>
      <c r="G6" s="21" t="s">
        <v>423</v>
      </c>
    </row>
    <row r="7">
      <c r="A7" s="21"/>
      <c r="B7" s="21" t="s">
        <v>424</v>
      </c>
      <c r="C7" s="21" t="s">
        <v>117</v>
      </c>
      <c r="D7" s="25">
        <v>480.0</v>
      </c>
      <c r="E7" s="25">
        <v>21.0</v>
      </c>
      <c r="F7" s="25">
        <v>1.1</v>
      </c>
      <c r="G7" s="21" t="s">
        <v>425</v>
      </c>
    </row>
    <row r="8">
      <c r="A8" s="21"/>
      <c r="B8" s="21" t="s">
        <v>426</v>
      </c>
      <c r="C8" s="21" t="s">
        <v>117</v>
      </c>
      <c r="D8" s="25">
        <v>390.0</v>
      </c>
      <c r="E8" s="25">
        <v>22.0</v>
      </c>
      <c r="F8" s="25">
        <v>0.69</v>
      </c>
      <c r="G8" s="21" t="s">
        <v>427</v>
      </c>
    </row>
    <row r="9">
      <c r="A9" s="21"/>
      <c r="B9" s="21" t="s">
        <v>428</v>
      </c>
      <c r="C9" s="21" t="s">
        <v>117</v>
      </c>
      <c r="D9" s="25">
        <v>260.0</v>
      </c>
      <c r="E9" s="25">
        <v>24.0</v>
      </c>
      <c r="F9" s="25">
        <v>2.48</v>
      </c>
      <c r="G9" s="21" t="s">
        <v>429</v>
      </c>
    </row>
    <row r="10">
      <c r="A10" s="21"/>
      <c r="B10" s="21" t="s">
        <v>430</v>
      </c>
      <c r="C10" s="21" t="s">
        <v>117</v>
      </c>
      <c r="D10" s="25">
        <v>260.0</v>
      </c>
      <c r="E10" s="25">
        <v>9.0</v>
      </c>
      <c r="F10" s="25">
        <v>3.74</v>
      </c>
      <c r="G10" s="21" t="s">
        <v>431</v>
      </c>
    </row>
    <row r="11">
      <c r="A11" s="21"/>
      <c r="B11" s="21" t="s">
        <v>432</v>
      </c>
      <c r="C11" s="21" t="s">
        <v>117</v>
      </c>
      <c r="D11" s="25">
        <v>260.0</v>
      </c>
      <c r="E11" s="25">
        <v>5.0</v>
      </c>
      <c r="F11" s="25">
        <v>1.21</v>
      </c>
      <c r="G11" s="21" t="s">
        <v>433</v>
      </c>
    </row>
    <row r="12">
      <c r="A12" s="21"/>
      <c r="B12" s="21" t="s">
        <v>434</v>
      </c>
      <c r="C12" s="21" t="s">
        <v>117</v>
      </c>
      <c r="D12" s="25">
        <v>210.0</v>
      </c>
      <c r="E12" s="25">
        <v>12.0</v>
      </c>
      <c r="F12" s="25">
        <v>0.97</v>
      </c>
      <c r="G12" s="21" t="s">
        <v>435</v>
      </c>
    </row>
    <row r="13">
      <c r="A13" s="21"/>
      <c r="B13" s="21" t="s">
        <v>436</v>
      </c>
      <c r="C13" s="21" t="s">
        <v>117</v>
      </c>
      <c r="D13" s="25">
        <v>210.0</v>
      </c>
      <c r="E13" s="25">
        <v>0.0</v>
      </c>
      <c r="F13" s="25">
        <v>3.6</v>
      </c>
      <c r="G13" s="21" t="s">
        <v>437</v>
      </c>
    </row>
    <row r="14">
      <c r="A14" s="21"/>
      <c r="B14" s="21" t="s">
        <v>438</v>
      </c>
      <c r="D14" s="25">
        <v>210.0</v>
      </c>
      <c r="E14" s="25">
        <v>24.0</v>
      </c>
      <c r="F14" s="25">
        <v>3.8</v>
      </c>
      <c r="G14" s="21" t="s">
        <v>439</v>
      </c>
    </row>
    <row r="15">
      <c r="A15" s="21"/>
      <c r="B15" s="21" t="s">
        <v>440</v>
      </c>
      <c r="C15" s="21" t="s">
        <v>117</v>
      </c>
      <c r="D15" s="25">
        <v>170.0</v>
      </c>
      <c r="E15" s="25">
        <v>37.0</v>
      </c>
      <c r="F15" s="25">
        <v>0.74</v>
      </c>
      <c r="G15" s="21" t="s">
        <v>441</v>
      </c>
    </row>
    <row r="16">
      <c r="A16" s="21"/>
      <c r="B16" s="21" t="s">
        <v>442</v>
      </c>
      <c r="C16" s="21" t="s">
        <v>117</v>
      </c>
      <c r="D16" s="25">
        <v>170.0</v>
      </c>
      <c r="E16" s="25">
        <v>25.0</v>
      </c>
      <c r="F16" s="25">
        <v>1.0</v>
      </c>
      <c r="G16" s="21" t="s">
        <v>130</v>
      </c>
    </row>
    <row r="17">
      <c r="A17" s="21"/>
      <c r="B17" s="21" t="s">
        <v>443</v>
      </c>
      <c r="C17" s="21" t="s">
        <v>117</v>
      </c>
      <c r="D17" s="25">
        <v>170.0</v>
      </c>
      <c r="E17" s="25">
        <v>0.0</v>
      </c>
      <c r="F17" s="25">
        <v>1.21</v>
      </c>
      <c r="G17" s="21" t="s">
        <v>444</v>
      </c>
    </row>
    <row r="18">
      <c r="A18" s="21"/>
      <c r="B18" s="21" t="s">
        <v>445</v>
      </c>
      <c r="C18" s="21" t="s">
        <v>117</v>
      </c>
      <c r="D18" s="25">
        <v>170.0</v>
      </c>
      <c r="E18" s="25">
        <v>22.0</v>
      </c>
      <c r="F18" s="25">
        <v>1.03</v>
      </c>
      <c r="G18" s="21" t="s">
        <v>446</v>
      </c>
    </row>
    <row r="19">
      <c r="A19" s="21"/>
      <c r="B19" s="21" t="s">
        <v>447</v>
      </c>
      <c r="C19" s="21" t="s">
        <v>117</v>
      </c>
      <c r="D19" s="25">
        <v>170.0</v>
      </c>
      <c r="E19" s="25">
        <v>34.0</v>
      </c>
      <c r="F19" s="25">
        <v>0.86</v>
      </c>
      <c r="G19" s="21" t="s">
        <v>429</v>
      </c>
    </row>
    <row r="20">
      <c r="A20" s="21"/>
      <c r="B20" s="21" t="s">
        <v>448</v>
      </c>
      <c r="C20" s="21" t="s">
        <v>117</v>
      </c>
      <c r="D20" s="25">
        <v>140.0</v>
      </c>
      <c r="E20" s="25">
        <v>22.0</v>
      </c>
      <c r="F20" s="25">
        <v>2.27</v>
      </c>
      <c r="G20" s="21" t="s">
        <v>170</v>
      </c>
    </row>
    <row r="21">
      <c r="A21" s="21"/>
      <c r="B21" s="21" t="s">
        <v>449</v>
      </c>
      <c r="C21" s="21" t="s">
        <v>117</v>
      </c>
      <c r="D21" s="25">
        <v>140.0</v>
      </c>
      <c r="E21" s="25">
        <v>2.0</v>
      </c>
      <c r="F21" s="25">
        <v>1.09</v>
      </c>
      <c r="G21" s="21" t="s">
        <v>450</v>
      </c>
    </row>
    <row r="22">
      <c r="A22" s="21"/>
      <c r="B22" s="21" t="s">
        <v>451</v>
      </c>
      <c r="C22" s="21" t="s">
        <v>117</v>
      </c>
      <c r="D22" s="25">
        <v>140.0</v>
      </c>
      <c r="E22" s="25">
        <v>0.0</v>
      </c>
      <c r="F22" s="25">
        <v>3.23</v>
      </c>
      <c r="G22" s="21" t="s">
        <v>130</v>
      </c>
    </row>
    <row r="23">
      <c r="A23" s="21"/>
      <c r="B23" s="21" t="s">
        <v>452</v>
      </c>
      <c r="C23" s="21" t="s">
        <v>117</v>
      </c>
      <c r="D23" s="25">
        <v>140.0</v>
      </c>
      <c r="E23" s="25">
        <v>23.0</v>
      </c>
      <c r="F23" s="25">
        <v>2.84</v>
      </c>
      <c r="G23" s="21" t="s">
        <v>453</v>
      </c>
    </row>
    <row r="24">
      <c r="A24" s="21"/>
      <c r="B24" s="21" t="s">
        <v>454</v>
      </c>
      <c r="C24" s="21" t="s">
        <v>117</v>
      </c>
      <c r="D24" s="25">
        <v>110.0</v>
      </c>
      <c r="E24" s="25">
        <v>17.0</v>
      </c>
      <c r="F24" s="25">
        <v>3.11</v>
      </c>
      <c r="G24" s="21" t="s">
        <v>455</v>
      </c>
    </row>
    <row r="25">
      <c r="A25" s="21"/>
      <c r="B25" s="21" t="s">
        <v>456</v>
      </c>
      <c r="C25" s="21" t="s">
        <v>117</v>
      </c>
      <c r="D25" s="25">
        <v>90.0</v>
      </c>
      <c r="E25" s="25">
        <v>14.0</v>
      </c>
      <c r="F25" s="25">
        <v>0.0</v>
      </c>
      <c r="G25" s="21" t="s">
        <v>457</v>
      </c>
    </row>
    <row r="26">
      <c r="A26" s="21"/>
      <c r="B26" s="21" t="s">
        <v>458</v>
      </c>
      <c r="C26" s="21" t="s">
        <v>117</v>
      </c>
      <c r="D26" s="25">
        <v>70.0</v>
      </c>
      <c r="E26" s="25">
        <v>6.0</v>
      </c>
      <c r="F26" s="25">
        <v>3.57</v>
      </c>
      <c r="G26" s="21" t="s">
        <v>218</v>
      </c>
    </row>
    <row r="27">
      <c r="A27" s="21"/>
      <c r="B27" s="21" t="s">
        <v>459</v>
      </c>
      <c r="C27" s="21" t="s">
        <v>117</v>
      </c>
      <c r="D27" s="25">
        <v>70.0</v>
      </c>
      <c r="E27" s="25">
        <v>7.0</v>
      </c>
      <c r="F27" s="25">
        <v>0.69</v>
      </c>
      <c r="G27" s="21" t="s">
        <v>130</v>
      </c>
    </row>
    <row r="28">
      <c r="A28" s="21"/>
      <c r="B28" s="21" t="s">
        <v>460</v>
      </c>
      <c r="C28" s="21" t="s">
        <v>117</v>
      </c>
      <c r="D28" s="25">
        <v>70.0</v>
      </c>
      <c r="E28" s="25">
        <v>40.0</v>
      </c>
      <c r="F28" s="25">
        <v>1.13</v>
      </c>
      <c r="G28" s="21" t="s">
        <v>461</v>
      </c>
    </row>
    <row r="29">
      <c r="A29" s="21"/>
      <c r="B29" s="21" t="s">
        <v>462</v>
      </c>
      <c r="C29" s="21" t="s">
        <v>117</v>
      </c>
      <c r="D29" s="25">
        <v>50.0</v>
      </c>
      <c r="E29" s="25">
        <v>10.0</v>
      </c>
      <c r="F29" s="25">
        <v>3.43</v>
      </c>
      <c r="G29" s="21" t="s">
        <v>463</v>
      </c>
    </row>
    <row r="30">
      <c r="A30" s="21"/>
      <c r="B30" s="21" t="s">
        <v>464</v>
      </c>
      <c r="C30" s="21" t="s">
        <v>117</v>
      </c>
      <c r="D30" s="25">
        <v>50.0</v>
      </c>
      <c r="E30" s="25">
        <v>23.0</v>
      </c>
      <c r="F30" s="25">
        <v>3.21</v>
      </c>
      <c r="G30" s="21" t="s">
        <v>465</v>
      </c>
    </row>
    <row r="31">
      <c r="A31" s="21"/>
      <c r="B31" s="21" t="s">
        <v>466</v>
      </c>
      <c r="C31" s="21" t="s">
        <v>117</v>
      </c>
      <c r="D31" s="25">
        <v>50.0</v>
      </c>
      <c r="E31" s="25">
        <v>40.0</v>
      </c>
      <c r="F31" s="25">
        <v>0.0</v>
      </c>
      <c r="G31" s="21" t="s">
        <v>457</v>
      </c>
    </row>
    <row r="32">
      <c r="A32" s="21"/>
      <c r="B32" s="21" t="s">
        <v>467</v>
      </c>
      <c r="C32" s="21" t="s">
        <v>117</v>
      </c>
      <c r="D32" s="25">
        <v>50.0</v>
      </c>
      <c r="E32" s="25">
        <v>31.0</v>
      </c>
      <c r="F32" s="25">
        <v>1.13</v>
      </c>
      <c r="G32" s="21" t="s">
        <v>429</v>
      </c>
    </row>
    <row r="33">
      <c r="A33" s="21"/>
      <c r="B33" s="21" t="s">
        <v>468</v>
      </c>
      <c r="C33" s="21" t="s">
        <v>117</v>
      </c>
      <c r="D33" s="25">
        <v>50.0</v>
      </c>
      <c r="E33" s="25">
        <v>0.0</v>
      </c>
      <c r="F33" s="25">
        <v>4.73</v>
      </c>
      <c r="G33" s="21" t="s">
        <v>431</v>
      </c>
    </row>
    <row r="34">
      <c r="A34" s="21"/>
      <c r="B34" s="21" t="s">
        <v>469</v>
      </c>
      <c r="C34" s="21" t="s">
        <v>117</v>
      </c>
      <c r="D34" s="25">
        <v>50.0</v>
      </c>
      <c r="E34" s="25">
        <v>2.0</v>
      </c>
      <c r="F34" s="25">
        <v>0.0</v>
      </c>
      <c r="G34" s="21" t="s">
        <v>470</v>
      </c>
    </row>
    <row r="35">
      <c r="A35" s="21"/>
      <c r="B35" s="21" t="s">
        <v>471</v>
      </c>
      <c r="C35" s="21" t="s">
        <v>117</v>
      </c>
      <c r="D35" s="25">
        <v>50.0</v>
      </c>
      <c r="E35" s="25">
        <v>25.0</v>
      </c>
      <c r="F35" s="25">
        <v>3.99</v>
      </c>
      <c r="G35" s="21" t="s">
        <v>472</v>
      </c>
    </row>
    <row r="36">
      <c r="A36" s="21"/>
      <c r="B36" s="21" t="s">
        <v>473</v>
      </c>
      <c r="C36" s="21" t="s">
        <v>117</v>
      </c>
      <c r="D36" s="25">
        <v>50.0</v>
      </c>
      <c r="E36" s="25">
        <v>14.0</v>
      </c>
      <c r="F36" s="25">
        <v>0.0</v>
      </c>
      <c r="G36" s="21" t="s">
        <v>474</v>
      </c>
    </row>
    <row r="37">
      <c r="A37" s="21"/>
      <c r="B37" s="21" t="s">
        <v>475</v>
      </c>
      <c r="C37" s="21" t="s">
        <v>117</v>
      </c>
      <c r="D37" s="25">
        <v>50.0</v>
      </c>
      <c r="E37" s="25">
        <v>14.0</v>
      </c>
      <c r="F37" s="25">
        <v>4.22</v>
      </c>
      <c r="G37" s="21" t="s">
        <v>476</v>
      </c>
    </row>
    <row r="38">
      <c r="A38" s="21"/>
      <c r="B38" s="21" t="s">
        <v>477</v>
      </c>
      <c r="C38" s="21" t="s">
        <v>117</v>
      </c>
      <c r="D38" s="25">
        <v>50.0</v>
      </c>
      <c r="E38" s="25">
        <v>32.0</v>
      </c>
      <c r="F38" s="25">
        <v>1.22</v>
      </c>
      <c r="G38" s="21" t="s">
        <v>478</v>
      </c>
    </row>
    <row r="39">
      <c r="A39" s="21"/>
      <c r="B39" s="21" t="s">
        <v>479</v>
      </c>
      <c r="C39" s="21" t="s">
        <v>117</v>
      </c>
      <c r="D39" s="25">
        <v>50.0</v>
      </c>
      <c r="E39" s="25">
        <v>5.0</v>
      </c>
      <c r="F39" s="25">
        <v>2.02</v>
      </c>
      <c r="G39" s="21" t="s">
        <v>463</v>
      </c>
    </row>
    <row r="40">
      <c r="A40" s="21"/>
      <c r="B40" s="21" t="s">
        <v>480</v>
      </c>
      <c r="C40" s="21" t="s">
        <v>117</v>
      </c>
      <c r="D40" s="25">
        <v>50.0</v>
      </c>
      <c r="E40" s="25">
        <v>30.0</v>
      </c>
      <c r="F40" s="25">
        <v>1.32</v>
      </c>
      <c r="G40" s="21" t="s">
        <v>431</v>
      </c>
    </row>
    <row r="41">
      <c r="A41" s="21"/>
      <c r="B41" s="21" t="s">
        <v>481</v>
      </c>
      <c r="C41" s="21" t="s">
        <v>117</v>
      </c>
      <c r="D41" s="25">
        <v>50.0</v>
      </c>
      <c r="E41" s="25">
        <v>31.0</v>
      </c>
      <c r="F41" s="25">
        <v>1.13</v>
      </c>
      <c r="G41" s="21" t="s">
        <v>478</v>
      </c>
    </row>
    <row r="42">
      <c r="A42" s="21"/>
      <c r="B42" s="21" t="s">
        <v>482</v>
      </c>
      <c r="D42" s="25">
        <v>50.0</v>
      </c>
      <c r="E42" s="27"/>
      <c r="F42" s="25">
        <v>0.0</v>
      </c>
      <c r="G42" s="27"/>
    </row>
    <row r="43">
      <c r="A43" s="21"/>
      <c r="B43" s="21" t="s">
        <v>483</v>
      </c>
      <c r="C43" s="21" t="s">
        <v>117</v>
      </c>
      <c r="D43" s="25">
        <v>50.0</v>
      </c>
      <c r="E43" s="25">
        <v>8.0</v>
      </c>
      <c r="F43" s="25">
        <v>0.0</v>
      </c>
      <c r="G43" s="21" t="s">
        <v>420</v>
      </c>
    </row>
    <row r="44">
      <c r="A44" s="21"/>
      <c r="B44" s="21" t="s">
        <v>484</v>
      </c>
      <c r="C44" s="21" t="s">
        <v>87</v>
      </c>
      <c r="D44" s="25">
        <v>50.0</v>
      </c>
      <c r="E44" s="25">
        <v>16.0</v>
      </c>
      <c r="F44" s="25">
        <v>6.5</v>
      </c>
      <c r="G44" s="21" t="s">
        <v>485</v>
      </c>
    </row>
    <row r="45">
      <c r="A45" s="21"/>
      <c r="B45" s="21" t="s">
        <v>486</v>
      </c>
      <c r="C45" s="21" t="s">
        <v>160</v>
      </c>
      <c r="D45" s="25">
        <v>40.0</v>
      </c>
      <c r="E45" s="25">
        <v>44.0</v>
      </c>
      <c r="F45" s="25">
        <v>6.33</v>
      </c>
      <c r="G45" s="21" t="s">
        <v>487</v>
      </c>
    </row>
    <row r="46">
      <c r="A46" s="21"/>
      <c r="B46" s="21" t="s">
        <v>488</v>
      </c>
      <c r="C46" s="21" t="s">
        <v>117</v>
      </c>
      <c r="D46" s="25">
        <v>40.0</v>
      </c>
      <c r="E46" s="25">
        <v>23.0</v>
      </c>
      <c r="F46" s="25">
        <v>2.43</v>
      </c>
      <c r="G46" s="21" t="s">
        <v>429</v>
      </c>
    </row>
    <row r="47">
      <c r="A47" s="21"/>
      <c r="B47" s="21" t="s">
        <v>489</v>
      </c>
      <c r="C47" s="21" t="s">
        <v>117</v>
      </c>
      <c r="D47" s="25">
        <v>40.0</v>
      </c>
      <c r="E47" s="25">
        <v>19.0</v>
      </c>
      <c r="F47" s="25">
        <v>0.0</v>
      </c>
      <c r="G47" s="21" t="s">
        <v>463</v>
      </c>
    </row>
    <row r="48">
      <c r="A48" s="21"/>
      <c r="B48" s="21" t="s">
        <v>490</v>
      </c>
      <c r="C48" s="21" t="s">
        <v>117</v>
      </c>
      <c r="D48" s="25">
        <v>40.0</v>
      </c>
      <c r="E48" s="25">
        <v>22.0</v>
      </c>
      <c r="F48" s="25">
        <v>2.06</v>
      </c>
      <c r="G48" s="21" t="s">
        <v>429</v>
      </c>
    </row>
    <row r="49">
      <c r="A49" s="21"/>
      <c r="B49" s="21" t="s">
        <v>491</v>
      </c>
      <c r="C49" s="21" t="s">
        <v>117</v>
      </c>
      <c r="D49" s="25">
        <v>40.0</v>
      </c>
      <c r="E49" s="25">
        <v>27.0</v>
      </c>
      <c r="F49" s="25">
        <v>0.0</v>
      </c>
      <c r="G49" s="21" t="s">
        <v>429</v>
      </c>
    </row>
    <row r="50">
      <c r="A50" s="21"/>
      <c r="B50" s="21" t="s">
        <v>492</v>
      </c>
      <c r="C50" s="21" t="s">
        <v>117</v>
      </c>
      <c r="D50" s="25">
        <v>40.0</v>
      </c>
      <c r="E50" s="25">
        <v>14.0</v>
      </c>
      <c r="F50" s="25">
        <v>2.38</v>
      </c>
      <c r="G50" s="21" t="s">
        <v>493</v>
      </c>
    </row>
    <row r="51">
      <c r="A51" s="21"/>
      <c r="B51" s="21" t="s">
        <v>494</v>
      </c>
      <c r="C51" s="21" t="s">
        <v>117</v>
      </c>
      <c r="D51" s="25">
        <v>40.0</v>
      </c>
      <c r="E51" s="25">
        <v>10.0</v>
      </c>
      <c r="F51" s="25">
        <v>2.38</v>
      </c>
      <c r="G51" s="21" t="s">
        <v>495</v>
      </c>
    </row>
    <row r="52">
      <c r="A52" s="21"/>
      <c r="B52" s="21" t="s">
        <v>496</v>
      </c>
      <c r="C52" s="21" t="s">
        <v>117</v>
      </c>
      <c r="D52" s="25">
        <v>40.0</v>
      </c>
      <c r="E52" s="25">
        <v>0.0</v>
      </c>
      <c r="F52" s="25">
        <v>0.0</v>
      </c>
      <c r="G52" s="21" t="s">
        <v>431</v>
      </c>
    </row>
    <row r="53">
      <c r="A53" s="21"/>
      <c r="B53" s="21" t="s">
        <v>497</v>
      </c>
      <c r="C53" s="21" t="s">
        <v>117</v>
      </c>
      <c r="D53" s="25">
        <v>40.0</v>
      </c>
      <c r="E53" s="25">
        <v>0.0</v>
      </c>
      <c r="F53" s="25">
        <v>4.02</v>
      </c>
      <c r="G53" s="21" t="s">
        <v>218</v>
      </c>
    </row>
    <row r="54">
      <c r="A54" s="21"/>
      <c r="B54" s="21" t="s">
        <v>498</v>
      </c>
      <c r="C54" s="21" t="s">
        <v>117</v>
      </c>
      <c r="D54" s="25">
        <v>40.0</v>
      </c>
      <c r="E54" s="25">
        <v>34.0</v>
      </c>
      <c r="F54" s="25">
        <v>0.65</v>
      </c>
      <c r="G54" s="21" t="s">
        <v>499</v>
      </c>
    </row>
    <row r="55">
      <c r="A55" s="21"/>
      <c r="B55" s="21" t="s">
        <v>500</v>
      </c>
      <c r="C55" s="21" t="s">
        <v>117</v>
      </c>
      <c r="D55" s="25">
        <v>40.0</v>
      </c>
      <c r="E55" s="25">
        <v>36.0</v>
      </c>
      <c r="F55" s="25">
        <v>0.65</v>
      </c>
      <c r="G55" s="21" t="s">
        <v>429</v>
      </c>
    </row>
    <row r="56">
      <c r="A56" s="21"/>
      <c r="B56" s="21" t="s">
        <v>501</v>
      </c>
      <c r="C56" s="21" t="s">
        <v>117</v>
      </c>
      <c r="D56" s="25">
        <v>40.0</v>
      </c>
      <c r="E56" s="25">
        <v>20.0</v>
      </c>
      <c r="F56" s="25">
        <v>0.0</v>
      </c>
      <c r="G56" s="21" t="s">
        <v>502</v>
      </c>
    </row>
    <row r="57">
      <c r="A57" s="21"/>
      <c r="B57" s="21" t="s">
        <v>503</v>
      </c>
      <c r="C57" s="21" t="s">
        <v>117</v>
      </c>
      <c r="D57" s="25">
        <v>40.0</v>
      </c>
      <c r="E57" s="25">
        <v>29.0</v>
      </c>
      <c r="F57" s="25">
        <v>0.5</v>
      </c>
      <c r="G57" s="21" t="s">
        <v>478</v>
      </c>
    </row>
    <row r="58">
      <c r="A58" s="21"/>
      <c r="B58" s="21" t="s">
        <v>504</v>
      </c>
      <c r="C58" s="21" t="s">
        <v>117</v>
      </c>
      <c r="D58" s="25">
        <v>40.0</v>
      </c>
      <c r="E58" s="25">
        <v>32.0</v>
      </c>
      <c r="F58" s="25">
        <v>0.86</v>
      </c>
      <c r="G58" s="21" t="s">
        <v>505</v>
      </c>
    </row>
    <row r="59">
      <c r="A59" s="21"/>
      <c r="B59" s="21" t="s">
        <v>506</v>
      </c>
      <c r="C59" s="21" t="s">
        <v>117</v>
      </c>
      <c r="D59" s="25">
        <v>40.0</v>
      </c>
      <c r="E59" s="25">
        <v>14.0</v>
      </c>
      <c r="F59" s="25">
        <v>0.0</v>
      </c>
      <c r="G59" s="21" t="s">
        <v>507</v>
      </c>
    </row>
    <row r="60">
      <c r="A60" s="21"/>
      <c r="B60" s="21" t="s">
        <v>508</v>
      </c>
      <c r="C60" s="21" t="s">
        <v>117</v>
      </c>
      <c r="D60" s="25">
        <v>40.0</v>
      </c>
      <c r="E60" s="25">
        <v>14.0</v>
      </c>
      <c r="F60" s="25">
        <v>2.18</v>
      </c>
      <c r="G60" s="21" t="s">
        <v>431</v>
      </c>
    </row>
    <row r="61">
      <c r="A61" s="21"/>
      <c r="B61" s="21" t="s">
        <v>509</v>
      </c>
      <c r="D61" s="25">
        <v>30.0</v>
      </c>
      <c r="E61" s="27"/>
      <c r="F61" s="25">
        <v>0.0</v>
      </c>
      <c r="G61" s="27"/>
    </row>
    <row r="62">
      <c r="A62" s="21"/>
      <c r="B62" s="21" t="s">
        <v>510</v>
      </c>
      <c r="D62" s="25">
        <v>30.0</v>
      </c>
      <c r="E62" s="27"/>
      <c r="F62" s="25">
        <v>0.0</v>
      </c>
      <c r="G62" s="27"/>
    </row>
    <row r="63">
      <c r="A63" s="21"/>
      <c r="B63" s="21" t="s">
        <v>511</v>
      </c>
      <c r="C63" s="21" t="s">
        <v>117</v>
      </c>
      <c r="D63" s="25">
        <v>30.0</v>
      </c>
      <c r="E63" s="25">
        <v>31.0</v>
      </c>
      <c r="F63" s="25">
        <v>1.21</v>
      </c>
      <c r="G63" s="21" t="s">
        <v>512</v>
      </c>
    </row>
    <row r="64">
      <c r="A64" s="21"/>
      <c r="B64" s="21" t="s">
        <v>513</v>
      </c>
      <c r="C64" s="21" t="s">
        <v>117</v>
      </c>
      <c r="D64" s="25">
        <v>30.0</v>
      </c>
      <c r="E64" s="25">
        <v>32.0</v>
      </c>
      <c r="F64" s="25">
        <v>0.9</v>
      </c>
      <c r="G64" s="21" t="s">
        <v>431</v>
      </c>
    </row>
    <row r="65">
      <c r="A65" s="21"/>
      <c r="B65" s="21" t="s">
        <v>514</v>
      </c>
      <c r="D65" s="25">
        <v>30.0</v>
      </c>
      <c r="E65" s="27"/>
      <c r="F65" s="25">
        <v>4.71</v>
      </c>
      <c r="G65" s="27"/>
    </row>
    <row r="66">
      <c r="A66" s="21"/>
      <c r="B66" s="21" t="s">
        <v>515</v>
      </c>
      <c r="D66" s="25">
        <v>30.0</v>
      </c>
      <c r="E66" s="27"/>
      <c r="F66" s="25">
        <v>3.5</v>
      </c>
      <c r="G66" s="27"/>
    </row>
    <row r="67">
      <c r="A67" s="21"/>
      <c r="B67" s="21" t="s">
        <v>516</v>
      </c>
      <c r="D67" s="25">
        <v>30.0</v>
      </c>
      <c r="E67" s="25">
        <v>14.0</v>
      </c>
      <c r="F67" s="25">
        <v>2.18</v>
      </c>
      <c r="G67" s="21" t="s">
        <v>517</v>
      </c>
    </row>
    <row r="68">
      <c r="A68" s="21"/>
      <c r="B68" s="21" t="s">
        <v>518</v>
      </c>
      <c r="D68" s="25">
        <v>30.0</v>
      </c>
      <c r="E68" s="27"/>
      <c r="F68" s="25">
        <v>0.0</v>
      </c>
      <c r="G68" s="27"/>
    </row>
    <row r="69">
      <c r="A69" s="21"/>
      <c r="B69" s="21" t="s">
        <v>519</v>
      </c>
      <c r="D69" s="25">
        <v>20.0</v>
      </c>
      <c r="E69" s="27"/>
      <c r="F69" s="25">
        <v>0.0</v>
      </c>
      <c r="G69" s="27"/>
    </row>
    <row r="70">
      <c r="A70" s="21"/>
      <c r="B70" s="21" t="s">
        <v>520</v>
      </c>
      <c r="D70" s="25">
        <v>20.0</v>
      </c>
      <c r="E70" s="27"/>
      <c r="F70" s="25">
        <v>0.0</v>
      </c>
      <c r="G70" s="27"/>
    </row>
    <row r="71">
      <c r="A71" s="21"/>
      <c r="B71" s="21" t="s">
        <v>521</v>
      </c>
      <c r="D71" s="25">
        <v>20.0</v>
      </c>
      <c r="E71" s="27"/>
      <c r="F71" s="25">
        <v>0.0</v>
      </c>
      <c r="G71" s="27"/>
    </row>
    <row r="72">
      <c r="A72" s="21"/>
      <c r="B72" s="21" t="s">
        <v>522</v>
      </c>
      <c r="D72" s="25">
        <v>20.0</v>
      </c>
      <c r="E72" s="27"/>
      <c r="F72" s="25">
        <v>3.86</v>
      </c>
      <c r="G72" s="27"/>
    </row>
    <row r="73">
      <c r="A73" s="21"/>
      <c r="B73" s="21" t="s">
        <v>523</v>
      </c>
      <c r="D73" s="25">
        <v>20.0</v>
      </c>
      <c r="E73" s="27"/>
      <c r="F73" s="25">
        <v>10.24</v>
      </c>
      <c r="G73" s="27"/>
    </row>
    <row r="74">
      <c r="A74" s="21"/>
      <c r="B74" s="21" t="s">
        <v>524</v>
      </c>
      <c r="D74" s="25">
        <v>20.0</v>
      </c>
      <c r="E74" s="27"/>
      <c r="F74" s="25">
        <v>0.0</v>
      </c>
      <c r="G74" s="27"/>
    </row>
    <row r="75">
      <c r="A75" s="21"/>
      <c r="B75" s="21" t="s">
        <v>525</v>
      </c>
      <c r="D75" s="25">
        <v>20.0</v>
      </c>
      <c r="E75" s="27"/>
      <c r="F75" s="25">
        <v>0.0</v>
      </c>
      <c r="G75" s="27"/>
    </row>
    <row r="76">
      <c r="A76" s="21"/>
      <c r="B76" s="21" t="s">
        <v>526</v>
      </c>
      <c r="D76" s="25">
        <v>20.0</v>
      </c>
      <c r="E76" s="27"/>
      <c r="F76" s="25">
        <v>0.0</v>
      </c>
      <c r="G76" s="27"/>
    </row>
    <row r="77">
      <c r="A77" s="21"/>
      <c r="B77" s="21" t="s">
        <v>527</v>
      </c>
      <c r="D77" s="25">
        <v>20.0</v>
      </c>
      <c r="E77" s="27"/>
      <c r="F77" s="25">
        <v>3.67</v>
      </c>
      <c r="G77" s="27"/>
    </row>
    <row r="78">
      <c r="A78" s="21"/>
      <c r="B78" s="21" t="s">
        <v>528</v>
      </c>
      <c r="D78" s="25">
        <v>20.0</v>
      </c>
      <c r="E78" s="27"/>
      <c r="F78" s="25">
        <v>1.27</v>
      </c>
      <c r="G78" s="27"/>
    </row>
    <row r="79">
      <c r="A79" s="21"/>
      <c r="B79" s="21" t="s">
        <v>529</v>
      </c>
      <c r="D79" s="25">
        <v>20.0</v>
      </c>
      <c r="E79" s="27"/>
      <c r="F79" s="25">
        <v>2.65</v>
      </c>
      <c r="G79" s="27"/>
    </row>
    <row r="80">
      <c r="A80" s="21"/>
      <c r="B80" s="21" t="s">
        <v>530</v>
      </c>
      <c r="D80" s="25">
        <v>20.0</v>
      </c>
      <c r="E80" s="27"/>
      <c r="F80" s="25">
        <v>2.65</v>
      </c>
      <c r="G80" s="27"/>
    </row>
    <row r="81">
      <c r="A81" s="21"/>
      <c r="B81" s="21" t="s">
        <v>531</v>
      </c>
      <c r="D81" s="25">
        <v>20.0</v>
      </c>
      <c r="E81" s="27"/>
      <c r="F81" s="25">
        <v>3.06</v>
      </c>
      <c r="G81" s="27"/>
    </row>
    <row r="82">
      <c r="A82" s="21"/>
      <c r="B82" s="21" t="s">
        <v>532</v>
      </c>
      <c r="D82" s="25">
        <v>20.0</v>
      </c>
      <c r="E82" s="27"/>
      <c r="F82" s="25">
        <v>0.0</v>
      </c>
      <c r="G82" s="27"/>
    </row>
    <row r="83">
      <c r="A83" s="21"/>
      <c r="B83" s="21" t="s">
        <v>533</v>
      </c>
      <c r="D83" s="25">
        <v>20.0</v>
      </c>
      <c r="E83" s="27"/>
      <c r="F83" s="25">
        <v>0.0</v>
      </c>
      <c r="G83" s="27"/>
    </row>
    <row r="84">
      <c r="A84" s="21"/>
      <c r="B84" s="21" t="s">
        <v>534</v>
      </c>
      <c r="D84" s="25">
        <v>20.0</v>
      </c>
      <c r="E84" s="27"/>
      <c r="F84" s="25">
        <v>0.0</v>
      </c>
      <c r="G84" s="27"/>
    </row>
    <row r="85">
      <c r="A85" s="21"/>
      <c r="B85" s="21" t="s">
        <v>535</v>
      </c>
      <c r="D85" s="25">
        <v>20.0</v>
      </c>
      <c r="E85" s="27"/>
      <c r="F85" s="25">
        <v>0.0</v>
      </c>
      <c r="G85" s="27"/>
    </row>
    <row r="86">
      <c r="A86" s="21"/>
      <c r="B86" s="21" t="s">
        <v>536</v>
      </c>
      <c r="D86" s="25">
        <v>20.0</v>
      </c>
      <c r="E86" s="27"/>
      <c r="F86" s="25">
        <v>0.0</v>
      </c>
      <c r="G86" s="27"/>
    </row>
    <row r="87">
      <c r="A87" s="21"/>
      <c r="B87" s="21" t="s">
        <v>537</v>
      </c>
      <c r="D87" s="25">
        <v>20.0</v>
      </c>
      <c r="E87" s="27"/>
      <c r="F87" s="25">
        <v>4.31</v>
      </c>
      <c r="G87" s="27"/>
    </row>
    <row r="88">
      <c r="A88" s="21"/>
      <c r="B88" s="21" t="s">
        <v>538</v>
      </c>
      <c r="D88" s="25">
        <v>20.0</v>
      </c>
      <c r="E88" s="27"/>
      <c r="F88" s="25">
        <v>4.31</v>
      </c>
      <c r="G88" s="27"/>
    </row>
    <row r="89">
      <c r="A89" s="21"/>
      <c r="B89" s="21" t="s">
        <v>539</v>
      </c>
      <c r="D89" s="25">
        <v>20.0</v>
      </c>
      <c r="E89" s="27"/>
      <c r="F89" s="25">
        <v>0.0</v>
      </c>
      <c r="G89" s="27"/>
    </row>
    <row r="90">
      <c r="A90" s="21"/>
      <c r="B90" s="21" t="s">
        <v>540</v>
      </c>
      <c r="D90" s="25">
        <v>20.0</v>
      </c>
      <c r="E90" s="27"/>
      <c r="F90" s="25">
        <v>4.07</v>
      </c>
      <c r="G90" s="27"/>
    </row>
    <row r="91">
      <c r="A91" s="21"/>
      <c r="B91" s="21" t="s">
        <v>541</v>
      </c>
      <c r="D91" s="25">
        <v>20.0</v>
      </c>
      <c r="E91" s="27"/>
      <c r="F91" s="25">
        <v>0.0</v>
      </c>
      <c r="G91" s="27"/>
    </row>
    <row r="92">
      <c r="A92" s="21"/>
      <c r="B92" s="21" t="s">
        <v>542</v>
      </c>
      <c r="D92" s="25">
        <v>20.0</v>
      </c>
      <c r="E92" s="27"/>
      <c r="F92" s="25">
        <v>2.33</v>
      </c>
      <c r="G92" s="27"/>
    </row>
    <row r="93">
      <c r="A93" s="21"/>
      <c r="B93" s="21" t="s">
        <v>543</v>
      </c>
      <c r="D93" s="25">
        <v>20.0</v>
      </c>
      <c r="E93" s="27"/>
      <c r="F93" s="25">
        <v>0.0</v>
      </c>
      <c r="G93" s="27"/>
    </row>
    <row r="94">
      <c r="A94" s="21"/>
      <c r="B94" s="21" t="s">
        <v>544</v>
      </c>
      <c r="D94" s="25">
        <v>20.0</v>
      </c>
      <c r="E94" s="27"/>
      <c r="F94" s="25">
        <v>0.52</v>
      </c>
      <c r="G94" s="27"/>
    </row>
    <row r="95">
      <c r="A95" s="21"/>
      <c r="B95" s="21" t="s">
        <v>545</v>
      </c>
      <c r="D95" s="25">
        <v>20.0</v>
      </c>
      <c r="E95" s="27"/>
      <c r="F95" s="25">
        <v>1.09</v>
      </c>
      <c r="G95" s="27"/>
    </row>
    <row r="96">
      <c r="A96" s="21"/>
      <c r="B96" s="21" t="s">
        <v>546</v>
      </c>
      <c r="D96" s="25">
        <v>20.0</v>
      </c>
      <c r="E96" s="27"/>
      <c r="F96" s="25">
        <v>1.44</v>
      </c>
      <c r="G96" s="27"/>
    </row>
    <row r="97">
      <c r="A97" s="21"/>
      <c r="B97" s="21" t="s">
        <v>547</v>
      </c>
      <c r="D97" s="25">
        <v>20.0</v>
      </c>
      <c r="E97" s="27"/>
      <c r="F97" s="25">
        <v>1.44</v>
      </c>
      <c r="G97" s="27"/>
    </row>
    <row r="98">
      <c r="A98" s="21"/>
      <c r="B98" s="21" t="s">
        <v>548</v>
      </c>
      <c r="D98" s="25">
        <v>20.0</v>
      </c>
      <c r="E98" s="27"/>
      <c r="F98" s="25">
        <v>1.06</v>
      </c>
      <c r="G98" s="27"/>
    </row>
    <row r="99">
      <c r="A99" s="21"/>
      <c r="B99" s="21" t="s">
        <v>549</v>
      </c>
      <c r="D99" s="25">
        <v>20.0</v>
      </c>
      <c r="E99" s="27"/>
      <c r="F99" s="25">
        <v>0.93</v>
      </c>
      <c r="G99" s="27"/>
    </row>
    <row r="100">
      <c r="A100" s="21"/>
      <c r="B100" s="21" t="s">
        <v>550</v>
      </c>
      <c r="D100" s="25">
        <v>20.0</v>
      </c>
      <c r="E100" s="27"/>
      <c r="F100" s="25">
        <v>0.83</v>
      </c>
      <c r="G100" s="27"/>
    </row>
    <row r="101">
      <c r="A101" s="21"/>
      <c r="B101" s="21" t="s">
        <v>551</v>
      </c>
      <c r="D101" s="25">
        <v>20.0</v>
      </c>
      <c r="E101" s="27"/>
      <c r="F101" s="25">
        <v>1.84</v>
      </c>
      <c r="G101" s="27"/>
    </row>
    <row r="102">
      <c r="A102" s="21"/>
      <c r="B102" s="21" t="s">
        <v>552</v>
      </c>
      <c r="D102" s="25">
        <v>20.0</v>
      </c>
      <c r="E102" s="27"/>
      <c r="F102" s="25">
        <v>1.21</v>
      </c>
      <c r="G102" s="27"/>
    </row>
    <row r="103">
      <c r="A103" s="21"/>
      <c r="B103" s="21" t="s">
        <v>553</v>
      </c>
      <c r="D103" s="25">
        <v>20.0</v>
      </c>
      <c r="E103" s="27"/>
      <c r="F103" s="25">
        <v>1.31</v>
      </c>
      <c r="G103" s="27"/>
    </row>
    <row r="104">
      <c r="A104" s="21"/>
      <c r="B104" s="21" t="s">
        <v>554</v>
      </c>
      <c r="D104" s="25">
        <v>20.0</v>
      </c>
      <c r="E104" s="27"/>
      <c r="F104" s="25">
        <v>0.0</v>
      </c>
      <c r="G104" s="27"/>
    </row>
    <row r="105">
      <c r="A105" s="21"/>
      <c r="B105" s="21" t="s">
        <v>555</v>
      </c>
      <c r="D105" s="25">
        <v>20.0</v>
      </c>
      <c r="E105" s="27"/>
      <c r="F105" s="25">
        <v>0.0</v>
      </c>
      <c r="G105" s="27"/>
    </row>
    <row r="106">
      <c r="A106" s="21"/>
      <c r="B106" s="21" t="s">
        <v>556</v>
      </c>
      <c r="D106" s="25">
        <v>20.0</v>
      </c>
      <c r="E106" s="27"/>
      <c r="F106" s="25">
        <v>0.0</v>
      </c>
      <c r="G106" s="27"/>
    </row>
    <row r="107">
      <c r="A107" s="21"/>
      <c r="B107" s="21" t="s">
        <v>557</v>
      </c>
      <c r="D107" s="25">
        <v>20.0</v>
      </c>
      <c r="E107" s="27"/>
      <c r="F107" s="25">
        <v>0.0</v>
      </c>
      <c r="G107" s="27"/>
    </row>
    <row r="108">
      <c r="A108" s="21"/>
      <c r="B108" s="21" t="s">
        <v>558</v>
      </c>
      <c r="D108" s="25">
        <v>20.0</v>
      </c>
      <c r="E108" s="27"/>
      <c r="F108" s="25">
        <v>0.0</v>
      </c>
      <c r="G108" s="27"/>
    </row>
    <row r="109">
      <c r="A109" s="21"/>
      <c r="B109" s="21" t="s">
        <v>559</v>
      </c>
      <c r="D109" s="25">
        <v>20.0</v>
      </c>
      <c r="E109" s="27"/>
      <c r="F109" s="25">
        <v>1.03</v>
      </c>
      <c r="G109" s="27"/>
    </row>
    <row r="110">
      <c r="A110" s="21"/>
      <c r="B110" s="21" t="s">
        <v>560</v>
      </c>
      <c r="D110" s="25">
        <v>20.0</v>
      </c>
      <c r="E110" s="27"/>
      <c r="F110" s="25">
        <v>3.08</v>
      </c>
      <c r="G110" s="27"/>
    </row>
    <row r="111">
      <c r="A111" s="21"/>
      <c r="B111" s="21" t="s">
        <v>561</v>
      </c>
      <c r="D111" s="25">
        <v>20.0</v>
      </c>
      <c r="E111" s="27"/>
      <c r="F111" s="25">
        <v>0.0</v>
      </c>
      <c r="G111" s="27"/>
    </row>
    <row r="112">
      <c r="A112" s="21"/>
      <c r="B112" s="21" t="s">
        <v>562</v>
      </c>
      <c r="D112" s="25">
        <v>20.0</v>
      </c>
      <c r="E112" s="27"/>
      <c r="F112" s="25">
        <v>3.06</v>
      </c>
      <c r="G112" s="27"/>
    </row>
    <row r="113">
      <c r="A113" s="21"/>
      <c r="B113" s="21" t="s">
        <v>563</v>
      </c>
      <c r="D113" s="25">
        <v>20.0</v>
      </c>
      <c r="E113" s="27"/>
      <c r="F113" s="25">
        <v>4.27</v>
      </c>
      <c r="G113" s="27"/>
    </row>
    <row r="114">
      <c r="A114" s="21"/>
      <c r="B114" s="21" t="s">
        <v>564</v>
      </c>
      <c r="D114" s="25">
        <v>20.0</v>
      </c>
      <c r="E114" s="27"/>
      <c r="F114" s="25">
        <v>0.74</v>
      </c>
      <c r="G114" s="27"/>
    </row>
    <row r="115">
      <c r="A115" s="21"/>
      <c r="B115" s="21" t="s">
        <v>565</v>
      </c>
      <c r="D115" s="25">
        <v>20.0</v>
      </c>
      <c r="E115" s="27"/>
      <c r="F115" s="25">
        <v>0.0</v>
      </c>
      <c r="G115" s="27"/>
    </row>
    <row r="116">
      <c r="A116" s="21"/>
      <c r="B116" s="21" t="s">
        <v>566</v>
      </c>
      <c r="D116" s="25">
        <v>20.0</v>
      </c>
      <c r="E116" s="27"/>
      <c r="F116" s="25">
        <v>0.0</v>
      </c>
      <c r="G116" s="27"/>
    </row>
    <row r="117">
      <c r="A117" s="21"/>
      <c r="B117" s="21" t="s">
        <v>567</v>
      </c>
      <c r="D117" s="25">
        <v>20.0</v>
      </c>
      <c r="E117" s="27"/>
      <c r="F117" s="25">
        <v>0.0</v>
      </c>
      <c r="G117" s="27"/>
    </row>
    <row r="118">
      <c r="A118" s="21"/>
      <c r="B118" s="21" t="s">
        <v>568</v>
      </c>
      <c r="D118" s="25">
        <v>20.0</v>
      </c>
      <c r="E118" s="27"/>
      <c r="F118" s="25">
        <v>0.0</v>
      </c>
      <c r="G118" s="27"/>
    </row>
    <row r="119">
      <c r="A119" s="21"/>
      <c r="B119" s="21" t="s">
        <v>569</v>
      </c>
      <c r="D119" s="25">
        <v>20.0</v>
      </c>
      <c r="E119" s="27"/>
      <c r="F119" s="25">
        <v>5.59</v>
      </c>
      <c r="G119" s="27"/>
    </row>
    <row r="120">
      <c r="A120" s="21"/>
      <c r="B120" s="21" t="s">
        <v>570</v>
      </c>
      <c r="D120" s="25">
        <v>10.0</v>
      </c>
      <c r="E120" s="27"/>
      <c r="F120" s="25">
        <v>3.43</v>
      </c>
      <c r="G120" s="27"/>
    </row>
    <row r="121">
      <c r="A121" s="21"/>
      <c r="B121" s="21" t="s">
        <v>571</v>
      </c>
      <c r="D121" s="25">
        <v>10.0</v>
      </c>
      <c r="E121" s="27"/>
      <c r="F121" s="25">
        <v>0.0</v>
      </c>
      <c r="G121" s="27"/>
    </row>
    <row r="122">
      <c r="A122" s="21"/>
      <c r="B122" s="21" t="s">
        <v>572</v>
      </c>
      <c r="D122" s="25">
        <v>10.0</v>
      </c>
      <c r="E122" s="27"/>
      <c r="F122" s="25">
        <v>0.0</v>
      </c>
      <c r="G122" s="27"/>
    </row>
    <row r="123">
      <c r="A123" s="21"/>
      <c r="B123" s="21" t="s">
        <v>573</v>
      </c>
      <c r="D123" s="25">
        <v>10.0</v>
      </c>
      <c r="E123" s="27"/>
      <c r="F123" s="25">
        <v>0.0</v>
      </c>
      <c r="G123" s="27"/>
    </row>
    <row r="124">
      <c r="A124" s="21"/>
      <c r="B124" s="21" t="s">
        <v>574</v>
      </c>
      <c r="D124" s="25">
        <v>10.0</v>
      </c>
      <c r="E124" s="27"/>
      <c r="F124" s="25">
        <v>3.58</v>
      </c>
      <c r="G124" s="27"/>
    </row>
    <row r="125">
      <c r="A125" s="21"/>
      <c r="B125" s="21" t="s">
        <v>575</v>
      </c>
      <c r="D125" s="25">
        <v>10.0</v>
      </c>
      <c r="E125" s="27"/>
      <c r="F125" s="25">
        <v>0.0</v>
      </c>
      <c r="G125" s="27"/>
    </row>
    <row r="126">
      <c r="A126" s="21"/>
      <c r="B126" s="21" t="s">
        <v>576</v>
      </c>
      <c r="D126" s="25">
        <v>10.0</v>
      </c>
      <c r="E126" s="27"/>
      <c r="F126" s="25">
        <v>0.0</v>
      </c>
      <c r="G126" s="27"/>
    </row>
    <row r="127">
      <c r="A127" s="21"/>
      <c r="B127" s="21" t="s">
        <v>577</v>
      </c>
      <c r="D127" s="25">
        <v>10.0</v>
      </c>
      <c r="E127" s="27"/>
      <c r="F127" s="25">
        <v>0.0</v>
      </c>
      <c r="G127" s="27"/>
    </row>
    <row r="128">
      <c r="A128" s="21"/>
      <c r="B128" s="21" t="s">
        <v>578</v>
      </c>
      <c r="D128" s="25">
        <v>10.0</v>
      </c>
      <c r="E128" s="27"/>
      <c r="F128" s="25">
        <v>0.59</v>
      </c>
      <c r="G128" s="27"/>
    </row>
    <row r="129">
      <c r="A129" s="21"/>
      <c r="B129" s="21" t="s">
        <v>579</v>
      </c>
      <c r="D129" s="25">
        <v>10.0</v>
      </c>
      <c r="E129" s="27"/>
      <c r="F129" s="25">
        <v>0.94</v>
      </c>
      <c r="G129" s="27"/>
    </row>
    <row r="130">
      <c r="A130" s="21"/>
      <c r="B130" s="21" t="s">
        <v>580</v>
      </c>
      <c r="D130" s="25">
        <v>10.0</v>
      </c>
      <c r="E130" s="27"/>
      <c r="F130" s="25">
        <v>0.0</v>
      </c>
      <c r="G130" s="27"/>
    </row>
    <row r="131">
      <c r="A131" s="21"/>
      <c r="B131" s="21" t="s">
        <v>581</v>
      </c>
      <c r="D131" s="25">
        <v>10.0</v>
      </c>
      <c r="E131" s="27"/>
      <c r="F131" s="25">
        <v>0.0</v>
      </c>
      <c r="G131" s="27"/>
    </row>
    <row r="132">
      <c r="A132" s="21"/>
      <c r="B132" s="21" t="s">
        <v>582</v>
      </c>
      <c r="D132" s="25">
        <v>10.0</v>
      </c>
      <c r="E132" s="27"/>
      <c r="F132" s="25">
        <v>0.89</v>
      </c>
      <c r="G132" s="27"/>
    </row>
    <row r="133">
      <c r="A133" s="21"/>
      <c r="B133" s="21" t="s">
        <v>583</v>
      </c>
      <c r="D133" s="25">
        <v>10.0</v>
      </c>
      <c r="E133" s="27"/>
      <c r="F133" s="25">
        <v>1.21</v>
      </c>
      <c r="G133" s="27"/>
    </row>
    <row r="134">
      <c r="A134" s="21"/>
      <c r="B134" s="21" t="s">
        <v>584</v>
      </c>
      <c r="D134" s="25">
        <v>10.0</v>
      </c>
      <c r="E134" s="27"/>
      <c r="F134" s="25">
        <v>1.21</v>
      </c>
      <c r="G134" s="27"/>
    </row>
    <row r="135">
      <c r="A135" s="21"/>
      <c r="B135" s="21" t="s">
        <v>585</v>
      </c>
      <c r="D135" s="25">
        <v>10.0</v>
      </c>
      <c r="E135" s="27"/>
      <c r="F135" s="25">
        <v>0.0</v>
      </c>
      <c r="G135" s="27"/>
    </row>
    <row r="136">
      <c r="A136" s="21"/>
      <c r="B136" s="21" t="s">
        <v>586</v>
      </c>
      <c r="D136" s="25">
        <v>10.0</v>
      </c>
      <c r="E136" s="27"/>
      <c r="F136" s="25">
        <v>0.26</v>
      </c>
      <c r="G136" s="27"/>
    </row>
    <row r="137">
      <c r="A137" s="21"/>
      <c r="B137" s="21" t="s">
        <v>587</v>
      </c>
      <c r="D137" s="25">
        <v>10.0</v>
      </c>
      <c r="E137" s="27"/>
      <c r="F137" s="25">
        <v>0.0</v>
      </c>
      <c r="G137" s="27"/>
    </row>
    <row r="138">
      <c r="A138" s="21"/>
      <c r="B138" s="21" t="s">
        <v>588</v>
      </c>
      <c r="D138" s="25">
        <v>10.0</v>
      </c>
      <c r="E138" s="27"/>
      <c r="F138" s="25">
        <v>7.4</v>
      </c>
      <c r="G138" s="27"/>
    </row>
    <row r="139">
      <c r="A139" s="21"/>
      <c r="B139" s="21" t="s">
        <v>589</v>
      </c>
      <c r="D139" s="25">
        <v>0.0</v>
      </c>
      <c r="E139" s="27"/>
      <c r="F139" s="25">
        <v>0.0</v>
      </c>
      <c r="G139" s="27"/>
    </row>
    <row r="140">
      <c r="A140" s="21"/>
      <c r="B140" s="21" t="s">
        <v>590</v>
      </c>
      <c r="D140" s="25">
        <v>0.0</v>
      </c>
      <c r="E140" s="27"/>
      <c r="F140" s="25">
        <v>0.0</v>
      </c>
      <c r="G140" s="27"/>
    </row>
    <row r="141">
      <c r="A141" s="21"/>
      <c r="B141" s="21" t="s">
        <v>591</v>
      </c>
      <c r="D141" s="25">
        <v>0.0</v>
      </c>
      <c r="E141" s="27"/>
      <c r="F141" s="25">
        <v>0.0</v>
      </c>
      <c r="G141" s="27"/>
    </row>
    <row r="142">
      <c r="A142" s="21"/>
      <c r="B142" s="21" t="s">
        <v>592</v>
      </c>
      <c r="D142" s="25">
        <v>0.0</v>
      </c>
      <c r="E142" s="27"/>
      <c r="F142" s="25">
        <v>0.0</v>
      </c>
      <c r="G142" s="27"/>
    </row>
    <row r="143">
      <c r="A143" s="21"/>
      <c r="B143" s="21" t="s">
        <v>593</v>
      </c>
      <c r="D143" s="25">
        <v>0.0</v>
      </c>
      <c r="E143" s="27"/>
      <c r="F143" s="25">
        <v>0.0</v>
      </c>
      <c r="G143" s="27"/>
    </row>
    <row r="144">
      <c r="A144" s="21"/>
      <c r="B144" s="21" t="s">
        <v>594</v>
      </c>
      <c r="D144" s="25">
        <v>0.0</v>
      </c>
      <c r="E144" s="27"/>
      <c r="F144" s="25">
        <v>0.0</v>
      </c>
      <c r="G144" s="27"/>
    </row>
    <row r="145">
      <c r="A145" s="21"/>
      <c r="B145" s="21" t="s">
        <v>595</v>
      </c>
      <c r="D145" s="25">
        <v>0.0</v>
      </c>
      <c r="E145" s="27"/>
      <c r="F145" s="25">
        <v>0.0</v>
      </c>
      <c r="G145" s="27"/>
    </row>
    <row r="146">
      <c r="A146" s="21"/>
      <c r="B146" s="21" t="s">
        <v>596</v>
      </c>
      <c r="D146" s="25">
        <v>0.0</v>
      </c>
      <c r="E146" s="27"/>
      <c r="F146" s="25">
        <v>0.0</v>
      </c>
      <c r="G146" s="27"/>
    </row>
    <row r="147">
      <c r="A147" s="21"/>
      <c r="B147" s="21" t="s">
        <v>597</v>
      </c>
      <c r="D147" s="25">
        <v>0.0</v>
      </c>
      <c r="E147" s="27"/>
      <c r="F147" s="25">
        <v>0.0</v>
      </c>
      <c r="G147" s="27"/>
    </row>
    <row r="148">
      <c r="A148" s="21"/>
      <c r="B148" s="21" t="s">
        <v>598</v>
      </c>
      <c r="D148" s="25">
        <v>0.0</v>
      </c>
      <c r="E148" s="27"/>
      <c r="F148" s="25">
        <v>0.0</v>
      </c>
      <c r="G148" s="27"/>
    </row>
    <row r="149">
      <c r="A149" s="21"/>
      <c r="B149" s="21" t="s">
        <v>599</v>
      </c>
      <c r="D149" s="25">
        <v>0.0</v>
      </c>
      <c r="E149" s="27"/>
      <c r="F149" s="25">
        <v>0.0</v>
      </c>
      <c r="G149" s="27"/>
    </row>
    <row r="150">
      <c r="A150" s="21"/>
      <c r="B150" s="21" t="s">
        <v>600</v>
      </c>
      <c r="D150" s="25">
        <v>0.0</v>
      </c>
      <c r="E150" s="27"/>
      <c r="F150" s="25">
        <v>0.0</v>
      </c>
      <c r="G150" s="27"/>
    </row>
    <row r="151">
      <c r="A151" s="21"/>
      <c r="B151" s="21" t="s">
        <v>601</v>
      </c>
      <c r="D151" s="25">
        <v>0.0</v>
      </c>
      <c r="E151" s="27"/>
      <c r="F151" s="25">
        <v>0.0</v>
      </c>
      <c r="G151" s="27"/>
    </row>
    <row r="152">
      <c r="A152" s="21"/>
      <c r="B152" s="21" t="s">
        <v>602</v>
      </c>
      <c r="D152" s="25">
        <v>0.0</v>
      </c>
      <c r="E152" s="27"/>
      <c r="F152" s="25">
        <v>0.0</v>
      </c>
      <c r="G152" s="27"/>
    </row>
    <row r="153">
      <c r="A153" s="21"/>
      <c r="B153" s="21" t="s">
        <v>603</v>
      </c>
      <c r="D153" s="25">
        <v>0.0</v>
      </c>
      <c r="E153" s="27"/>
      <c r="F153" s="25">
        <v>0.0</v>
      </c>
      <c r="G153" s="27"/>
    </row>
    <row r="154">
      <c r="A154" s="21"/>
      <c r="B154" s="21" t="s">
        <v>604</v>
      </c>
      <c r="D154" s="25">
        <v>0.0</v>
      </c>
      <c r="E154" s="27"/>
      <c r="F154" s="25">
        <v>7.36</v>
      </c>
      <c r="G154" s="27"/>
    </row>
    <row r="155">
      <c r="A155" s="21"/>
      <c r="B155" s="21" t="s">
        <v>605</v>
      </c>
      <c r="D155" s="25">
        <v>0.0</v>
      </c>
      <c r="E155" s="27"/>
      <c r="F155" s="25">
        <v>0.0</v>
      </c>
      <c r="G155" s="27"/>
    </row>
    <row r="156">
      <c r="A156" s="21"/>
      <c r="B156" s="21" t="s">
        <v>606</v>
      </c>
      <c r="D156" s="25">
        <v>0.0</v>
      </c>
      <c r="E156" s="27"/>
      <c r="F156" s="25">
        <v>0.0</v>
      </c>
      <c r="G156" s="27"/>
    </row>
    <row r="157">
      <c r="A157" s="21"/>
      <c r="B157" s="21" t="s">
        <v>607</v>
      </c>
      <c r="D157" s="25">
        <v>0.0</v>
      </c>
      <c r="E157" s="27"/>
      <c r="F157" s="25">
        <v>0.0</v>
      </c>
      <c r="G157" s="27"/>
    </row>
    <row r="158">
      <c r="A158" s="21"/>
      <c r="B158" s="21" t="s">
        <v>608</v>
      </c>
      <c r="D158" s="25">
        <v>0.0</v>
      </c>
      <c r="E158" s="27"/>
      <c r="F158" s="25">
        <v>0.0</v>
      </c>
      <c r="G158" s="27"/>
    </row>
    <row r="159">
      <c r="A159" s="21"/>
      <c r="B159" s="21" t="s">
        <v>609</v>
      </c>
      <c r="D159" s="25">
        <v>0.0</v>
      </c>
      <c r="E159" s="27"/>
      <c r="F159" s="25">
        <v>0.0</v>
      </c>
      <c r="G159" s="27"/>
    </row>
    <row r="160">
      <c r="A160" s="21"/>
      <c r="B160" s="21" t="s">
        <v>610</v>
      </c>
      <c r="D160" s="25">
        <v>0.0</v>
      </c>
      <c r="E160" s="27"/>
      <c r="F160" s="25">
        <v>0.0</v>
      </c>
      <c r="G160" s="27"/>
    </row>
    <row r="161">
      <c r="A161" s="21"/>
      <c r="B161" s="21" t="s">
        <v>611</v>
      </c>
      <c r="D161" s="25">
        <v>0.0</v>
      </c>
      <c r="E161" s="27"/>
      <c r="F161" s="25">
        <v>0.0</v>
      </c>
      <c r="G161" s="27"/>
    </row>
    <row r="162">
      <c r="A162" s="21"/>
      <c r="B162" s="21" t="s">
        <v>612</v>
      </c>
      <c r="D162" s="25">
        <v>0.0</v>
      </c>
      <c r="E162" s="27"/>
      <c r="F162" s="25">
        <v>0.0</v>
      </c>
      <c r="G162" s="27"/>
    </row>
    <row r="163">
      <c r="A163" s="21"/>
      <c r="B163" s="21" t="s">
        <v>613</v>
      </c>
      <c r="D163" s="25">
        <v>0.0</v>
      </c>
      <c r="E163" s="27"/>
      <c r="F163" s="25">
        <v>0.0</v>
      </c>
      <c r="G163" s="27"/>
    </row>
    <row r="164">
      <c r="A164" s="21"/>
      <c r="B164" s="21" t="s">
        <v>614</v>
      </c>
      <c r="D164" s="25">
        <v>0.0</v>
      </c>
      <c r="E164" s="27"/>
      <c r="F164" s="25">
        <v>0.0</v>
      </c>
      <c r="G164" s="27"/>
    </row>
    <row r="165">
      <c r="A165" s="21"/>
      <c r="B165" s="21" t="s">
        <v>615</v>
      </c>
      <c r="D165" s="25">
        <v>0.0</v>
      </c>
      <c r="E165" s="27"/>
      <c r="F165" s="25">
        <v>0.0</v>
      </c>
      <c r="G165" s="27"/>
    </row>
    <row r="166">
      <c r="A166" s="21"/>
      <c r="B166" s="21" t="s">
        <v>616</v>
      </c>
      <c r="D166" s="25">
        <v>0.0</v>
      </c>
      <c r="E166" s="27"/>
      <c r="F166" s="25">
        <v>0.0</v>
      </c>
      <c r="G166" s="27"/>
    </row>
    <row r="167">
      <c r="A167" s="21"/>
      <c r="B167" s="21" t="s">
        <v>617</v>
      </c>
      <c r="D167" s="25">
        <v>0.0</v>
      </c>
      <c r="E167" s="27"/>
      <c r="F167" s="25">
        <v>0.0</v>
      </c>
      <c r="G167" s="27"/>
    </row>
    <row r="168">
      <c r="A168" s="21"/>
      <c r="B168" s="21" t="s">
        <v>618</v>
      </c>
      <c r="D168" s="25">
        <v>0.0</v>
      </c>
      <c r="E168" s="27"/>
      <c r="F168" s="25">
        <v>0.0</v>
      </c>
      <c r="G168" s="27"/>
    </row>
    <row r="169">
      <c r="A169" s="21"/>
      <c r="B169" s="21" t="s">
        <v>619</v>
      </c>
      <c r="D169" s="25">
        <v>0.0</v>
      </c>
      <c r="E169" s="27"/>
      <c r="F169" s="25">
        <v>0.0</v>
      </c>
      <c r="G169" s="27"/>
    </row>
    <row r="170">
      <c r="A170" s="21"/>
      <c r="B170" s="21" t="s">
        <v>620</v>
      </c>
      <c r="D170" s="25">
        <v>0.0</v>
      </c>
      <c r="E170" s="27"/>
      <c r="F170" s="25">
        <v>0.0</v>
      </c>
      <c r="G170" s="27"/>
    </row>
    <row r="171">
      <c r="A171" s="21"/>
      <c r="B171" s="21" t="s">
        <v>621</v>
      </c>
      <c r="D171" s="25">
        <v>0.0</v>
      </c>
      <c r="E171" s="27"/>
      <c r="F171" s="25">
        <v>3.2</v>
      </c>
      <c r="G171" s="27"/>
    </row>
    <row r="172">
      <c r="A172" s="21"/>
      <c r="B172" s="21" t="s">
        <v>622</v>
      </c>
      <c r="D172" s="25">
        <v>0.0</v>
      </c>
      <c r="E172" s="27"/>
      <c r="F172" s="25">
        <v>0.0</v>
      </c>
      <c r="G172" s="27"/>
    </row>
    <row r="173">
      <c r="A173" s="21"/>
      <c r="B173" s="21" t="s">
        <v>623</v>
      </c>
      <c r="D173" s="25">
        <v>0.0</v>
      </c>
      <c r="E173" s="27"/>
      <c r="F173" s="25">
        <v>0.0</v>
      </c>
      <c r="G173" s="27"/>
    </row>
    <row r="174">
      <c r="A174" s="21"/>
      <c r="B174" s="21" t="s">
        <v>624</v>
      </c>
      <c r="D174" s="25">
        <v>0.0</v>
      </c>
      <c r="E174" s="27"/>
      <c r="F174" s="25">
        <v>0.0</v>
      </c>
      <c r="G174" s="27"/>
    </row>
    <row r="175">
      <c r="A175" s="21"/>
      <c r="B175" s="21" t="s">
        <v>625</v>
      </c>
      <c r="D175" s="25">
        <v>0.0</v>
      </c>
      <c r="E175" s="27"/>
      <c r="F175" s="25">
        <v>3.11</v>
      </c>
      <c r="G175" s="27"/>
    </row>
    <row r="176">
      <c r="A176" s="21"/>
      <c r="B176" s="21" t="s">
        <v>626</v>
      </c>
      <c r="D176" s="25">
        <v>0.0</v>
      </c>
      <c r="E176" s="27"/>
      <c r="F176" s="25">
        <v>0.0</v>
      </c>
      <c r="G176" s="27"/>
    </row>
    <row r="177">
      <c r="A177" s="21"/>
      <c r="B177" s="21" t="s">
        <v>627</v>
      </c>
      <c r="D177" s="25">
        <v>0.0</v>
      </c>
      <c r="E177" s="27"/>
      <c r="F177" s="25">
        <v>0.0</v>
      </c>
      <c r="G177" s="27"/>
    </row>
    <row r="178">
      <c r="A178" s="21"/>
      <c r="B178" s="21" t="s">
        <v>628</v>
      </c>
      <c r="D178" s="25">
        <v>0.0</v>
      </c>
      <c r="E178" s="27"/>
      <c r="F178" s="25">
        <v>0.0</v>
      </c>
      <c r="G178" s="27"/>
    </row>
    <row r="179">
      <c r="A179" s="21"/>
      <c r="B179" s="21" t="s">
        <v>629</v>
      </c>
      <c r="D179" s="25">
        <v>0.0</v>
      </c>
      <c r="E179" s="27"/>
      <c r="F179" s="25">
        <v>0.0</v>
      </c>
      <c r="G179" s="27"/>
    </row>
    <row r="180">
      <c r="A180" s="21"/>
      <c r="B180" s="21" t="s">
        <v>630</v>
      </c>
      <c r="D180" s="25">
        <v>0.0</v>
      </c>
      <c r="E180" s="27"/>
      <c r="F180" s="25">
        <v>0.0</v>
      </c>
      <c r="G180" s="27"/>
    </row>
    <row r="181">
      <c r="A181" s="21"/>
      <c r="B181" s="21" t="s">
        <v>631</v>
      </c>
      <c r="D181" s="25">
        <v>0.0</v>
      </c>
      <c r="E181" s="27"/>
      <c r="F181" s="25">
        <v>0.0</v>
      </c>
      <c r="G181" s="27"/>
    </row>
    <row r="182">
      <c r="A182" s="21"/>
      <c r="B182" s="21" t="s">
        <v>632</v>
      </c>
      <c r="D182" s="25">
        <v>0.0</v>
      </c>
      <c r="E182" s="27"/>
      <c r="F182" s="25">
        <v>0.0</v>
      </c>
      <c r="G182" s="27"/>
    </row>
    <row r="183">
      <c r="A183" s="21"/>
      <c r="B183" s="21" t="s">
        <v>633</v>
      </c>
      <c r="D183" s="25">
        <v>0.0</v>
      </c>
      <c r="E183" s="27"/>
      <c r="F183" s="25">
        <v>0.0</v>
      </c>
      <c r="G183" s="27"/>
    </row>
    <row r="184">
      <c r="A184" s="21"/>
      <c r="B184" s="21" t="s">
        <v>634</v>
      </c>
      <c r="D184" s="25">
        <v>0.0</v>
      </c>
      <c r="E184" s="27"/>
      <c r="F184" s="25">
        <v>0.0</v>
      </c>
      <c r="G184" s="27"/>
    </row>
    <row r="185">
      <c r="A185" s="21"/>
      <c r="B185" s="21" t="s">
        <v>635</v>
      </c>
      <c r="D185" s="25">
        <v>0.0</v>
      </c>
      <c r="E185" s="27"/>
      <c r="F185" s="25">
        <v>0.0</v>
      </c>
      <c r="G185" s="27"/>
    </row>
    <row r="186">
      <c r="A186" s="21"/>
      <c r="B186" s="21" t="s">
        <v>636</v>
      </c>
      <c r="D186" s="25">
        <v>0.0</v>
      </c>
      <c r="E186" s="27"/>
      <c r="F186" s="25">
        <v>0.0</v>
      </c>
      <c r="G186" s="27"/>
    </row>
    <row r="187">
      <c r="A187" s="21"/>
      <c r="B187" s="21" t="s">
        <v>637</v>
      </c>
      <c r="D187" s="25">
        <v>0.0</v>
      </c>
      <c r="E187" s="27"/>
      <c r="F187" s="25">
        <v>0.0</v>
      </c>
      <c r="G187" s="27"/>
    </row>
    <row r="188">
      <c r="A188" s="21"/>
      <c r="B188" s="21" t="s">
        <v>638</v>
      </c>
      <c r="D188" s="25">
        <v>0.0</v>
      </c>
      <c r="E188" s="27"/>
      <c r="F188" s="25">
        <v>0.0</v>
      </c>
      <c r="G188" s="27"/>
    </row>
    <row r="189">
      <c r="A189" s="21"/>
      <c r="B189" s="21" t="s">
        <v>639</v>
      </c>
      <c r="D189" s="25">
        <v>0.0</v>
      </c>
      <c r="E189" s="27"/>
      <c r="F189" s="25">
        <v>0.0</v>
      </c>
      <c r="G189" s="27"/>
    </row>
    <row r="190">
      <c r="A190" s="21"/>
      <c r="B190" s="21" t="s">
        <v>640</v>
      </c>
      <c r="D190" s="25">
        <v>0.0</v>
      </c>
      <c r="E190" s="27"/>
      <c r="F190" s="25">
        <v>0.0</v>
      </c>
      <c r="G190" s="27"/>
    </row>
    <row r="191">
      <c r="A191" s="21"/>
      <c r="B191" s="21" t="s">
        <v>641</v>
      </c>
      <c r="D191" s="25">
        <v>0.0</v>
      </c>
      <c r="E191" s="27"/>
      <c r="F191" s="25">
        <v>0.0</v>
      </c>
      <c r="G191" s="27"/>
    </row>
    <row r="192">
      <c r="A192" s="21"/>
      <c r="B192" s="21" t="s">
        <v>642</v>
      </c>
      <c r="D192" s="25">
        <v>0.0</v>
      </c>
      <c r="E192" s="27"/>
      <c r="F192" s="25">
        <v>0.0</v>
      </c>
      <c r="G192" s="27"/>
    </row>
    <row r="193">
      <c r="A193" s="21"/>
      <c r="B193" s="21" t="s">
        <v>643</v>
      </c>
      <c r="D193" s="25">
        <v>0.0</v>
      </c>
      <c r="E193" s="27"/>
      <c r="F193" s="25">
        <v>0.0</v>
      </c>
      <c r="G193" s="27"/>
    </row>
    <row r="194">
      <c r="A194" s="21"/>
      <c r="B194" s="21" t="s">
        <v>644</v>
      </c>
      <c r="D194" s="25">
        <v>0.0</v>
      </c>
      <c r="E194" s="27"/>
      <c r="F194" s="25">
        <v>0.0</v>
      </c>
      <c r="G194" s="27"/>
    </row>
    <row r="195">
      <c r="A195" s="21"/>
      <c r="B195" s="21" t="s">
        <v>645</v>
      </c>
      <c r="D195" s="25">
        <v>0.0</v>
      </c>
      <c r="E195" s="27"/>
      <c r="F195" s="25">
        <v>0.0</v>
      </c>
      <c r="G195" s="27"/>
    </row>
    <row r="196">
      <c r="A196" s="21"/>
      <c r="B196" s="21" t="s">
        <v>646</v>
      </c>
      <c r="D196" s="25">
        <v>0.0</v>
      </c>
      <c r="E196" s="27"/>
      <c r="F196" s="25">
        <v>0.0</v>
      </c>
      <c r="G196" s="27"/>
    </row>
    <row r="197">
      <c r="A197" s="21"/>
      <c r="B197" s="21" t="s">
        <v>647</v>
      </c>
      <c r="D197" s="25">
        <v>0.0</v>
      </c>
      <c r="E197" s="27"/>
      <c r="F197" s="25">
        <v>0.0</v>
      </c>
      <c r="G197" s="27"/>
    </row>
    <row r="198">
      <c r="A198" s="21"/>
      <c r="B198" s="21" t="s">
        <v>648</v>
      </c>
      <c r="D198" s="25">
        <v>0.0</v>
      </c>
      <c r="E198" s="27"/>
      <c r="F198" s="25">
        <v>0.0</v>
      </c>
      <c r="G198" s="27"/>
    </row>
    <row r="199">
      <c r="A199" s="21"/>
      <c r="B199" s="21" t="s">
        <v>649</v>
      </c>
      <c r="D199" s="25">
        <v>0.0</v>
      </c>
      <c r="E199" s="27"/>
      <c r="F199" s="25">
        <v>0.0</v>
      </c>
      <c r="G199" s="27"/>
    </row>
    <row r="200">
      <c r="A200" s="21"/>
      <c r="B200" s="21" t="s">
        <v>650</v>
      </c>
      <c r="D200" s="25">
        <v>0.0</v>
      </c>
      <c r="E200" s="27"/>
      <c r="F200" s="25">
        <v>0.0</v>
      </c>
      <c r="G200" s="27"/>
    </row>
    <row r="201">
      <c r="A201" s="21"/>
      <c r="B201" s="21" t="s">
        <v>651</v>
      </c>
      <c r="D201" s="25">
        <v>0.0</v>
      </c>
      <c r="E201" s="27"/>
      <c r="F201" s="25">
        <v>0.0</v>
      </c>
      <c r="G201" s="27"/>
    </row>
    <row r="202">
      <c r="A202" s="21"/>
      <c r="B202" s="21" t="s">
        <v>652</v>
      </c>
      <c r="D202" s="25">
        <v>0.0</v>
      </c>
      <c r="E202" s="27"/>
      <c r="F202" s="25">
        <v>0.0</v>
      </c>
      <c r="G202" s="27"/>
    </row>
    <row r="203">
      <c r="A203" s="21"/>
      <c r="B203" s="21" t="s">
        <v>653</v>
      </c>
      <c r="D203" s="25">
        <v>0.0</v>
      </c>
      <c r="E203" s="27"/>
      <c r="F203" s="25">
        <v>0.0</v>
      </c>
      <c r="G203" s="27"/>
    </row>
    <row r="204">
      <c r="A204" s="21"/>
      <c r="B204" s="21" t="s">
        <v>654</v>
      </c>
      <c r="D204" s="25">
        <v>0.0</v>
      </c>
      <c r="E204" s="27"/>
      <c r="F204" s="25">
        <v>0.0</v>
      </c>
      <c r="G204" s="27"/>
    </row>
    <row r="205">
      <c r="A205" s="21"/>
      <c r="B205" s="21" t="s">
        <v>655</v>
      </c>
      <c r="D205" s="25">
        <v>0.0</v>
      </c>
      <c r="E205" s="27"/>
      <c r="F205" s="25">
        <v>0.0</v>
      </c>
      <c r="G205" s="27"/>
    </row>
    <row r="206">
      <c r="A206" s="21"/>
      <c r="B206" s="21" t="s">
        <v>656</v>
      </c>
      <c r="D206" s="25">
        <v>0.0</v>
      </c>
      <c r="E206" s="27"/>
      <c r="F206" s="25">
        <v>0.0</v>
      </c>
      <c r="G206" s="27"/>
    </row>
    <row r="207">
      <c r="A207" s="21"/>
      <c r="B207" s="21" t="s">
        <v>657</v>
      </c>
      <c r="D207" s="25">
        <v>0.0</v>
      </c>
      <c r="E207" s="27"/>
      <c r="F207" s="25">
        <v>0.0</v>
      </c>
      <c r="G207" s="27"/>
    </row>
    <row r="208">
      <c r="A208" s="21"/>
      <c r="B208" s="21" t="s">
        <v>658</v>
      </c>
      <c r="D208" s="25">
        <v>0.0</v>
      </c>
      <c r="E208" s="27"/>
      <c r="F208" s="25">
        <v>0.0</v>
      </c>
      <c r="G208" s="27"/>
    </row>
    <row r="209">
      <c r="A209" s="21"/>
      <c r="B209" s="21" t="s">
        <v>659</v>
      </c>
      <c r="D209" s="25">
        <v>0.0</v>
      </c>
      <c r="E209" s="27"/>
      <c r="F209" s="25">
        <v>0.0</v>
      </c>
      <c r="G209" s="27"/>
    </row>
    <row r="210">
      <c r="A210" s="21"/>
      <c r="B210" s="21" t="s">
        <v>660</v>
      </c>
      <c r="D210" s="25">
        <v>0.0</v>
      </c>
      <c r="E210" s="27"/>
      <c r="F210" s="25">
        <v>0.0</v>
      </c>
      <c r="G210" s="27"/>
    </row>
    <row r="211">
      <c r="A211" s="21"/>
      <c r="B211" s="21" t="s">
        <v>661</v>
      </c>
      <c r="D211" s="25">
        <v>0.0</v>
      </c>
      <c r="E211" s="27"/>
      <c r="F211" s="25">
        <v>0.0</v>
      </c>
      <c r="G211" s="27"/>
    </row>
    <row r="212">
      <c r="A212" s="21"/>
      <c r="B212" s="21" t="s">
        <v>662</v>
      </c>
      <c r="D212" s="25">
        <v>0.0</v>
      </c>
      <c r="E212" s="27"/>
      <c r="F212" s="25">
        <v>0.0</v>
      </c>
      <c r="G212" s="27"/>
    </row>
    <row r="213">
      <c r="A213" s="21"/>
      <c r="B213" s="21" t="s">
        <v>663</v>
      </c>
      <c r="D213" s="25">
        <v>0.0</v>
      </c>
      <c r="E213" s="27"/>
      <c r="F213" s="25">
        <v>0.0</v>
      </c>
      <c r="G213" s="27"/>
    </row>
    <row r="214">
      <c r="A214" s="21"/>
      <c r="B214" s="21" t="s">
        <v>664</v>
      </c>
      <c r="D214" s="25">
        <v>0.0</v>
      </c>
      <c r="E214" s="27"/>
      <c r="F214" s="25">
        <v>0.0</v>
      </c>
      <c r="G214" s="27"/>
    </row>
    <row r="215">
      <c r="A215" s="21"/>
      <c r="B215" s="21" t="s">
        <v>665</v>
      </c>
      <c r="D215" s="25">
        <v>0.0</v>
      </c>
      <c r="E215" s="27"/>
      <c r="F215" s="25">
        <v>1.21</v>
      </c>
      <c r="G215" s="27"/>
    </row>
    <row r="216">
      <c r="A216" s="21"/>
      <c r="B216" s="21" t="s">
        <v>666</v>
      </c>
      <c r="D216" s="25">
        <v>0.0</v>
      </c>
      <c r="E216" s="27"/>
      <c r="F216" s="25">
        <v>1.21</v>
      </c>
      <c r="G216" s="27"/>
    </row>
    <row r="217">
      <c r="A217" s="21"/>
      <c r="B217" s="21" t="s">
        <v>667</v>
      </c>
      <c r="D217" s="25">
        <v>0.0</v>
      </c>
      <c r="E217" s="27"/>
      <c r="F217" s="25">
        <v>0.0</v>
      </c>
      <c r="G217" s="27"/>
    </row>
    <row r="218">
      <c r="A218" s="21"/>
      <c r="B218" s="21" t="s">
        <v>668</v>
      </c>
      <c r="D218" s="25">
        <v>0.0</v>
      </c>
      <c r="E218" s="27"/>
      <c r="F218" s="25">
        <v>0.0</v>
      </c>
      <c r="G218" s="27"/>
    </row>
    <row r="219">
      <c r="A219" s="21"/>
      <c r="B219" s="21" t="s">
        <v>669</v>
      </c>
      <c r="D219" s="25">
        <v>0.0</v>
      </c>
      <c r="E219" s="27"/>
      <c r="F219" s="25">
        <v>0.0</v>
      </c>
      <c r="G219" s="27"/>
    </row>
    <row r="220">
      <c r="A220" s="21"/>
      <c r="B220" s="21" t="s">
        <v>670</v>
      </c>
      <c r="D220" s="25">
        <v>0.0</v>
      </c>
      <c r="E220" s="27"/>
      <c r="F220" s="25">
        <v>0.0</v>
      </c>
      <c r="G220" s="27"/>
    </row>
    <row r="221">
      <c r="A221" s="21"/>
      <c r="B221" s="21" t="s">
        <v>671</v>
      </c>
      <c r="D221" s="25">
        <v>0.0</v>
      </c>
      <c r="E221" s="27"/>
      <c r="F221" s="25">
        <v>0.0</v>
      </c>
      <c r="G221" s="27"/>
    </row>
    <row r="222">
      <c r="A222" s="21"/>
      <c r="B222" s="21" t="s">
        <v>672</v>
      </c>
      <c r="D222" s="25">
        <v>0.0</v>
      </c>
      <c r="E222" s="27"/>
      <c r="F222" s="25">
        <v>0.0</v>
      </c>
      <c r="G222" s="27"/>
    </row>
    <row r="223">
      <c r="A223" s="21"/>
      <c r="B223" s="21" t="s">
        <v>673</v>
      </c>
      <c r="D223" s="25">
        <v>0.0</v>
      </c>
      <c r="E223" s="27"/>
      <c r="F223" s="25">
        <v>0.0</v>
      </c>
      <c r="G223" s="27"/>
    </row>
    <row r="224">
      <c r="A224" s="21"/>
      <c r="B224" s="21" t="s">
        <v>674</v>
      </c>
      <c r="D224" s="25">
        <v>0.0</v>
      </c>
      <c r="E224" s="27"/>
      <c r="F224" s="25">
        <v>0.0</v>
      </c>
      <c r="G224" s="27"/>
    </row>
    <row r="225">
      <c r="A225" s="21"/>
      <c r="B225" s="21" t="s">
        <v>675</v>
      </c>
      <c r="D225" s="25">
        <v>0.0</v>
      </c>
      <c r="E225" s="27"/>
      <c r="F225" s="25">
        <v>0.0</v>
      </c>
      <c r="G225" s="27"/>
    </row>
    <row r="226">
      <c r="A226" s="21"/>
      <c r="B226" s="21" t="s">
        <v>676</v>
      </c>
      <c r="D226" s="25">
        <v>0.0</v>
      </c>
      <c r="E226" s="27"/>
      <c r="F226" s="25">
        <v>0.0</v>
      </c>
      <c r="G226" s="27"/>
    </row>
    <row r="227">
      <c r="A227" s="21"/>
      <c r="B227" s="21" t="s">
        <v>677</v>
      </c>
      <c r="D227" s="25">
        <v>0.0</v>
      </c>
      <c r="E227" s="27"/>
      <c r="F227" s="25">
        <v>0.0</v>
      </c>
      <c r="G227" s="27"/>
    </row>
    <row r="228">
      <c r="A228" s="21"/>
      <c r="B228" s="21" t="s">
        <v>678</v>
      </c>
      <c r="D228" s="25">
        <v>0.0</v>
      </c>
      <c r="E228" s="27"/>
      <c r="F228" s="25">
        <v>0.0</v>
      </c>
      <c r="G228" s="27"/>
    </row>
    <row r="229">
      <c r="A229" s="21"/>
      <c r="B229" s="21" t="s">
        <v>679</v>
      </c>
      <c r="D229" s="25">
        <v>0.0</v>
      </c>
      <c r="E229" s="27"/>
      <c r="F229" s="25">
        <v>0.0</v>
      </c>
      <c r="G229" s="27"/>
    </row>
    <row r="230">
      <c r="A230" s="21"/>
      <c r="B230" s="21" t="s">
        <v>680</v>
      </c>
      <c r="D230" s="25">
        <v>0.0</v>
      </c>
      <c r="E230" s="27"/>
      <c r="F230" s="25">
        <v>0.0</v>
      </c>
      <c r="G230" s="27"/>
    </row>
    <row r="231">
      <c r="A231" s="21"/>
      <c r="B231" s="21" t="s">
        <v>681</v>
      </c>
      <c r="D231" s="25">
        <v>0.0</v>
      </c>
      <c r="E231" s="27"/>
      <c r="F231" s="25">
        <v>0.0</v>
      </c>
      <c r="G231" s="27"/>
    </row>
    <row r="232">
      <c r="A232" s="21"/>
      <c r="B232" s="21" t="s">
        <v>682</v>
      </c>
      <c r="D232" s="25">
        <v>0.0</v>
      </c>
      <c r="E232" s="27"/>
      <c r="F232" s="25">
        <v>0.0</v>
      </c>
      <c r="G232" s="27"/>
    </row>
    <row r="233">
      <c r="A233" s="21"/>
      <c r="B233" s="21" t="s">
        <v>683</v>
      </c>
      <c r="D233" s="25">
        <v>0.0</v>
      </c>
      <c r="E233" s="27"/>
      <c r="F233" s="25">
        <v>0.0</v>
      </c>
      <c r="G233" s="27"/>
    </row>
    <row r="234">
      <c r="A234" s="21"/>
      <c r="B234" s="21" t="s">
        <v>684</v>
      </c>
      <c r="D234" s="25">
        <v>0.0</v>
      </c>
      <c r="E234" s="27"/>
      <c r="F234" s="25">
        <v>0.0</v>
      </c>
      <c r="G234" s="27"/>
    </row>
    <row r="235">
      <c r="A235" s="21"/>
      <c r="B235" s="21" t="s">
        <v>685</v>
      </c>
      <c r="D235" s="25">
        <v>0.0</v>
      </c>
      <c r="E235" s="27"/>
      <c r="F235" s="25">
        <v>0.0</v>
      </c>
      <c r="G235" s="27"/>
    </row>
    <row r="236">
      <c r="A236" s="21"/>
      <c r="B236" s="21" t="s">
        <v>686</v>
      </c>
      <c r="D236" s="25">
        <v>0.0</v>
      </c>
      <c r="E236" s="27"/>
      <c r="F236" s="25">
        <v>0.0</v>
      </c>
      <c r="G236" s="27"/>
    </row>
    <row r="237">
      <c r="A237" s="21"/>
      <c r="B237" s="21" t="s">
        <v>687</v>
      </c>
      <c r="D237" s="25">
        <v>0.0</v>
      </c>
      <c r="E237" s="27"/>
      <c r="F237" s="25">
        <v>0.0</v>
      </c>
      <c r="G237" s="27"/>
    </row>
    <row r="238">
      <c r="A238" s="21"/>
      <c r="B238" s="21" t="s">
        <v>688</v>
      </c>
      <c r="D238" s="25">
        <v>0.0</v>
      </c>
      <c r="E238" s="27"/>
      <c r="F238" s="25">
        <v>0.0</v>
      </c>
      <c r="G238" s="27"/>
    </row>
    <row r="239">
      <c r="A239" s="21"/>
      <c r="B239" s="21" t="s">
        <v>689</v>
      </c>
      <c r="D239" s="25">
        <v>0.0</v>
      </c>
      <c r="E239" s="27"/>
      <c r="F239" s="25">
        <v>0.0</v>
      </c>
      <c r="G239" s="27"/>
    </row>
    <row r="240">
      <c r="A240" s="21"/>
      <c r="B240" s="21" t="s">
        <v>690</v>
      </c>
      <c r="D240" s="25">
        <v>0.0</v>
      </c>
      <c r="E240" s="27"/>
      <c r="F240" s="25">
        <v>0.0</v>
      </c>
      <c r="G240" s="27"/>
    </row>
    <row r="241">
      <c r="A241" s="21"/>
      <c r="B241" s="21" t="s">
        <v>691</v>
      </c>
      <c r="D241" s="25">
        <v>0.0</v>
      </c>
      <c r="E241" s="27"/>
      <c r="F241" s="25">
        <v>0.0</v>
      </c>
      <c r="G241" s="27"/>
    </row>
    <row r="242">
      <c r="A242" s="21"/>
      <c r="B242" s="21" t="s">
        <v>692</v>
      </c>
      <c r="D242" s="25">
        <v>0.0</v>
      </c>
      <c r="E242" s="27"/>
      <c r="F242" s="25">
        <v>0.0</v>
      </c>
      <c r="G242" s="27"/>
    </row>
    <row r="243">
      <c r="A243" s="21"/>
      <c r="B243" s="21" t="s">
        <v>693</v>
      </c>
      <c r="D243" s="25">
        <v>0.0</v>
      </c>
      <c r="E243" s="27"/>
      <c r="F243" s="25">
        <v>0.0</v>
      </c>
      <c r="G243" s="27"/>
    </row>
    <row r="244">
      <c r="A244" s="21"/>
      <c r="B244" s="21" t="s">
        <v>694</v>
      </c>
      <c r="D244" s="25">
        <v>0.0</v>
      </c>
      <c r="E244" s="27"/>
      <c r="F244" s="25">
        <v>0.0</v>
      </c>
      <c r="G244" s="27"/>
    </row>
    <row r="245">
      <c r="A245" s="21"/>
      <c r="B245" s="21" t="s">
        <v>695</v>
      </c>
      <c r="D245" s="25">
        <v>0.0</v>
      </c>
      <c r="E245" s="27"/>
      <c r="F245" s="25">
        <v>0.0</v>
      </c>
      <c r="G245" s="27"/>
    </row>
    <row r="246">
      <c r="A246" s="21"/>
      <c r="B246" s="21" t="s">
        <v>696</v>
      </c>
      <c r="D246" s="25">
        <v>0.0</v>
      </c>
      <c r="E246" s="27"/>
      <c r="F246" s="25">
        <v>0.0</v>
      </c>
      <c r="G246" s="27"/>
    </row>
    <row r="247">
      <c r="A247" s="21"/>
      <c r="B247" s="21" t="s">
        <v>697</v>
      </c>
      <c r="D247" s="25">
        <v>0.0</v>
      </c>
      <c r="E247" s="27"/>
      <c r="F247" s="25">
        <v>0.0</v>
      </c>
      <c r="G247" s="27"/>
    </row>
    <row r="248">
      <c r="A248" s="21"/>
      <c r="B248" s="21" t="s">
        <v>698</v>
      </c>
      <c r="D248" s="25">
        <v>0.0</v>
      </c>
      <c r="E248" s="27"/>
      <c r="F248" s="25">
        <v>0.0</v>
      </c>
      <c r="G248" s="27"/>
    </row>
    <row r="249">
      <c r="A249" s="21"/>
      <c r="B249" s="21" t="s">
        <v>699</v>
      </c>
      <c r="D249" s="25">
        <v>0.0</v>
      </c>
      <c r="E249" s="27"/>
      <c r="F249" s="25">
        <v>0.0</v>
      </c>
      <c r="G249" s="27"/>
    </row>
    <row r="250">
      <c r="A250" s="21"/>
      <c r="B250" s="21" t="s">
        <v>700</v>
      </c>
      <c r="D250" s="25">
        <v>0.0</v>
      </c>
      <c r="E250" s="27"/>
      <c r="F250" s="25">
        <v>0.0</v>
      </c>
      <c r="G250" s="27"/>
    </row>
    <row r="251">
      <c r="A251" s="21"/>
      <c r="B251" s="21" t="s">
        <v>701</v>
      </c>
      <c r="D251" s="25">
        <v>0.0</v>
      </c>
      <c r="E251" s="27"/>
      <c r="F251" s="25">
        <v>0.0</v>
      </c>
      <c r="G251" s="27"/>
    </row>
    <row r="252">
      <c r="A252" s="21"/>
      <c r="B252" s="21" t="s">
        <v>702</v>
      </c>
      <c r="D252" s="25">
        <v>0.0</v>
      </c>
      <c r="E252" s="27"/>
      <c r="F252" s="25">
        <v>0.0</v>
      </c>
      <c r="G252" s="27"/>
    </row>
    <row r="253">
      <c r="A253" s="21"/>
      <c r="B253" s="21" t="s">
        <v>703</v>
      </c>
      <c r="D253" s="25">
        <v>0.0</v>
      </c>
      <c r="E253" s="27"/>
      <c r="F253" s="25">
        <v>3.12</v>
      </c>
      <c r="G253" s="27"/>
    </row>
    <row r="254">
      <c r="A254" s="21"/>
      <c r="B254" s="21" t="s">
        <v>704</v>
      </c>
      <c r="D254" s="25">
        <v>0.0</v>
      </c>
      <c r="E254" s="27"/>
      <c r="F254" s="25">
        <v>0.0</v>
      </c>
      <c r="G254" s="27"/>
    </row>
    <row r="255">
      <c r="A255" s="21"/>
      <c r="B255" s="21" t="s">
        <v>705</v>
      </c>
      <c r="D255" s="25">
        <v>0.0</v>
      </c>
      <c r="E255" s="27"/>
      <c r="F255" s="25">
        <v>0.0</v>
      </c>
      <c r="G255" s="27"/>
    </row>
    <row r="256">
      <c r="A256" s="21"/>
      <c r="B256" s="21" t="s">
        <v>706</v>
      </c>
      <c r="D256" s="25">
        <v>0.0</v>
      </c>
      <c r="E256" s="27"/>
      <c r="F256" s="25">
        <v>0.0</v>
      </c>
      <c r="G256" s="27"/>
    </row>
    <row r="257">
      <c r="A257" s="21"/>
      <c r="B257" s="21" t="s">
        <v>707</v>
      </c>
      <c r="D257" s="25">
        <v>0.0</v>
      </c>
      <c r="E257" s="27"/>
      <c r="F257" s="25">
        <v>2.96</v>
      </c>
      <c r="G257" s="27"/>
    </row>
    <row r="258">
      <c r="A258" s="21"/>
      <c r="B258" s="21" t="s">
        <v>708</v>
      </c>
      <c r="D258" s="25">
        <v>0.0</v>
      </c>
      <c r="E258" s="27"/>
      <c r="F258" s="25">
        <v>0.0</v>
      </c>
      <c r="G258" s="27"/>
    </row>
    <row r="259">
      <c r="A259" s="21"/>
      <c r="B259" s="21" t="s">
        <v>709</v>
      </c>
      <c r="D259" s="25">
        <v>0.0</v>
      </c>
      <c r="E259" s="27"/>
      <c r="F259" s="25">
        <v>0.0</v>
      </c>
      <c r="G259" s="27"/>
    </row>
    <row r="260">
      <c r="A260" s="21"/>
      <c r="B260" s="21" t="s">
        <v>710</v>
      </c>
      <c r="D260" s="25">
        <v>0.0</v>
      </c>
      <c r="E260" s="27"/>
      <c r="F260" s="25">
        <v>0.0</v>
      </c>
      <c r="G260" s="27"/>
    </row>
    <row r="261">
      <c r="A261" s="21"/>
      <c r="B261" s="21" t="s">
        <v>711</v>
      </c>
      <c r="D261" s="25">
        <v>0.0</v>
      </c>
      <c r="E261" s="27"/>
      <c r="F261" s="25">
        <v>0.0</v>
      </c>
      <c r="G261" s="27"/>
    </row>
    <row r="262">
      <c r="A262" s="21"/>
      <c r="B262" s="21" t="s">
        <v>712</v>
      </c>
      <c r="D262" s="25">
        <v>0.0</v>
      </c>
      <c r="E262" s="27"/>
      <c r="F262" s="25">
        <v>0.0</v>
      </c>
      <c r="G262" s="27"/>
    </row>
    <row r="263">
      <c r="A263" s="21"/>
      <c r="B263" s="21" t="s">
        <v>713</v>
      </c>
      <c r="D263" s="25">
        <v>0.0</v>
      </c>
      <c r="E263" s="27"/>
      <c r="F263" s="25">
        <v>0.0</v>
      </c>
      <c r="G263" s="27"/>
    </row>
    <row r="264">
      <c r="A264" s="21"/>
      <c r="B264" s="21" t="s">
        <v>714</v>
      </c>
      <c r="D264" s="25">
        <v>0.0</v>
      </c>
      <c r="E264" s="27"/>
      <c r="F264" s="25">
        <v>0.0</v>
      </c>
      <c r="G264" s="27"/>
    </row>
    <row r="265">
      <c r="A265" s="21"/>
      <c r="B265" s="21" t="s">
        <v>715</v>
      </c>
      <c r="D265" s="25">
        <v>0.0</v>
      </c>
      <c r="E265" s="27"/>
      <c r="F265" s="25">
        <v>0.0</v>
      </c>
      <c r="G265" s="27"/>
    </row>
    <row r="266">
      <c r="A266" s="21"/>
      <c r="B266" s="21" t="s">
        <v>716</v>
      </c>
      <c r="D266" s="25">
        <v>0.0</v>
      </c>
      <c r="E266" s="27"/>
      <c r="F266" s="25">
        <v>0.0</v>
      </c>
      <c r="G266" s="27"/>
    </row>
    <row r="267">
      <c r="A267" s="21"/>
      <c r="B267" s="21" t="s">
        <v>717</v>
      </c>
      <c r="D267" s="25">
        <v>0.0</v>
      </c>
      <c r="E267" s="27"/>
      <c r="F267" s="25">
        <v>0.0</v>
      </c>
      <c r="G267" s="27"/>
    </row>
    <row r="268">
      <c r="A268" s="21"/>
      <c r="B268" s="21" t="s">
        <v>718</v>
      </c>
      <c r="D268" s="25">
        <v>0.0</v>
      </c>
      <c r="E268" s="27"/>
      <c r="F268" s="25">
        <v>0.0</v>
      </c>
      <c r="G268" s="27"/>
    </row>
    <row r="269">
      <c r="A269" s="21"/>
      <c r="B269" s="21" t="s">
        <v>719</v>
      </c>
      <c r="D269" s="25">
        <v>0.0</v>
      </c>
      <c r="E269" s="27"/>
      <c r="F269" s="25">
        <v>0.0</v>
      </c>
      <c r="G269" s="27"/>
    </row>
    <row r="270">
      <c r="A270" s="21"/>
      <c r="B270" s="21" t="s">
        <v>720</v>
      </c>
      <c r="D270" s="25">
        <v>0.0</v>
      </c>
      <c r="E270" s="27"/>
      <c r="F270" s="25">
        <v>0.0</v>
      </c>
      <c r="G270" s="27"/>
    </row>
    <row r="271">
      <c r="A271" s="21"/>
      <c r="B271" s="21" t="s">
        <v>721</v>
      </c>
      <c r="D271" s="25">
        <v>0.0</v>
      </c>
      <c r="E271" s="27"/>
      <c r="F271" s="25">
        <v>0.0</v>
      </c>
      <c r="G271" s="27"/>
    </row>
    <row r="272">
      <c r="A272" s="21"/>
      <c r="B272" s="21" t="s">
        <v>722</v>
      </c>
      <c r="D272" s="25">
        <v>0.0</v>
      </c>
      <c r="E272" s="27"/>
      <c r="F272" s="25">
        <v>0.0</v>
      </c>
      <c r="G272" s="27"/>
    </row>
    <row r="273">
      <c r="A273" s="21"/>
      <c r="B273" s="21" t="s">
        <v>723</v>
      </c>
      <c r="D273" s="25">
        <v>0.0</v>
      </c>
      <c r="E273" s="27"/>
      <c r="F273" s="25">
        <v>0.0</v>
      </c>
      <c r="G273" s="27"/>
    </row>
    <row r="274">
      <c r="A274" s="21"/>
      <c r="B274" s="21" t="s">
        <v>724</v>
      </c>
      <c r="D274" s="25">
        <v>0.0</v>
      </c>
      <c r="E274" s="27"/>
      <c r="F274" s="25">
        <v>1.21</v>
      </c>
      <c r="G274" s="27"/>
    </row>
    <row r="275">
      <c r="A275" s="21"/>
      <c r="B275" s="21" t="s">
        <v>725</v>
      </c>
      <c r="D275" s="25">
        <v>0.0</v>
      </c>
      <c r="E275" s="27"/>
      <c r="F275" s="25">
        <v>0.0</v>
      </c>
      <c r="G275" s="27"/>
    </row>
    <row r="276">
      <c r="A276" s="21"/>
      <c r="B276" s="21" t="s">
        <v>726</v>
      </c>
      <c r="D276" s="25">
        <v>0.0</v>
      </c>
      <c r="E276" s="27"/>
      <c r="F276" s="25">
        <v>0.0</v>
      </c>
      <c r="G276" s="27"/>
    </row>
    <row r="277">
      <c r="A277" s="21"/>
      <c r="B277" s="21" t="s">
        <v>727</v>
      </c>
      <c r="D277" s="25">
        <v>0.0</v>
      </c>
      <c r="E277" s="27"/>
      <c r="F277" s="25">
        <v>0.0</v>
      </c>
      <c r="G277" s="27"/>
    </row>
    <row r="278">
      <c r="A278" s="21"/>
      <c r="B278" s="21" t="s">
        <v>728</v>
      </c>
      <c r="D278" s="25">
        <v>0.0</v>
      </c>
      <c r="E278" s="27"/>
      <c r="F278" s="25">
        <v>0.0</v>
      </c>
      <c r="G278" s="27"/>
    </row>
    <row r="279">
      <c r="A279" s="21"/>
      <c r="B279" s="21" t="s">
        <v>729</v>
      </c>
      <c r="D279" s="25">
        <v>0.0</v>
      </c>
      <c r="E279" s="27"/>
      <c r="F279" s="25">
        <v>0.0</v>
      </c>
      <c r="G279" s="27"/>
    </row>
    <row r="280">
      <c r="A280" s="21"/>
      <c r="B280" s="21" t="s">
        <v>730</v>
      </c>
      <c r="D280" s="25">
        <v>0.0</v>
      </c>
      <c r="E280" s="27"/>
      <c r="F280" s="25">
        <v>0.0</v>
      </c>
      <c r="G280" s="27"/>
    </row>
    <row r="281">
      <c r="A281" s="21"/>
      <c r="B281" s="21" t="s">
        <v>731</v>
      </c>
      <c r="D281" s="25">
        <v>0.0</v>
      </c>
      <c r="E281" s="27"/>
      <c r="F281" s="25">
        <v>0.0</v>
      </c>
      <c r="G281" s="27"/>
    </row>
    <row r="282">
      <c r="A282" s="21"/>
      <c r="B282" s="21" t="s">
        <v>732</v>
      </c>
      <c r="D282" s="25">
        <v>0.0</v>
      </c>
      <c r="E282" s="27"/>
      <c r="F282" s="25">
        <v>0.0</v>
      </c>
      <c r="G282" s="27"/>
    </row>
    <row r="283">
      <c r="A283" s="21"/>
      <c r="B283" s="21" t="s">
        <v>733</v>
      </c>
      <c r="D283" s="25">
        <v>0.0</v>
      </c>
      <c r="E283" s="27"/>
      <c r="F283" s="25">
        <v>0.0</v>
      </c>
      <c r="G283" s="27"/>
    </row>
    <row r="284">
      <c r="A284" s="21"/>
      <c r="B284" s="21" t="s">
        <v>734</v>
      </c>
      <c r="D284" s="25">
        <v>0.0</v>
      </c>
      <c r="E284" s="27"/>
      <c r="F284" s="25">
        <v>0.0</v>
      </c>
      <c r="G284" s="27"/>
    </row>
    <row r="285">
      <c r="A285" s="21"/>
      <c r="B285" s="21" t="s">
        <v>735</v>
      </c>
      <c r="D285" s="25">
        <v>0.0</v>
      </c>
      <c r="E285" s="27"/>
      <c r="F285" s="25">
        <v>0.0</v>
      </c>
      <c r="G285" s="27"/>
    </row>
    <row r="286">
      <c r="A286" s="21"/>
      <c r="B286" s="21" t="s">
        <v>736</v>
      </c>
      <c r="D286" s="25">
        <v>0.0</v>
      </c>
      <c r="E286" s="27"/>
      <c r="F286" s="25">
        <v>0.0</v>
      </c>
      <c r="G286" s="27"/>
    </row>
    <row r="287">
      <c r="A287" s="21"/>
      <c r="B287" s="21" t="s">
        <v>737</v>
      </c>
      <c r="D287" s="25">
        <v>0.0</v>
      </c>
      <c r="E287" s="27"/>
      <c r="F287" s="25">
        <v>0.0</v>
      </c>
      <c r="G287" s="27"/>
    </row>
    <row r="288">
      <c r="A288" s="21"/>
      <c r="B288" s="21" t="s">
        <v>738</v>
      </c>
      <c r="D288" s="25">
        <v>0.0</v>
      </c>
      <c r="E288" s="27"/>
      <c r="F288" s="25">
        <v>0.0</v>
      </c>
      <c r="G288" s="27"/>
    </row>
    <row r="289">
      <c r="A289" s="21"/>
      <c r="B289" s="21" t="s">
        <v>739</v>
      </c>
      <c r="D289" s="25">
        <v>0.0</v>
      </c>
      <c r="E289" s="27"/>
      <c r="F289" s="25">
        <v>0.0</v>
      </c>
      <c r="G289" s="27"/>
    </row>
    <row r="290">
      <c r="A290" s="21"/>
      <c r="B290" s="21" t="s">
        <v>740</v>
      </c>
      <c r="D290" s="25">
        <v>0.0</v>
      </c>
      <c r="E290" s="27"/>
      <c r="F290" s="25">
        <v>0.0</v>
      </c>
      <c r="G290" s="27"/>
    </row>
    <row r="291">
      <c r="A291" s="21"/>
      <c r="B291" s="21" t="s">
        <v>741</v>
      </c>
      <c r="D291" s="25">
        <v>0.0</v>
      </c>
      <c r="E291" s="27"/>
      <c r="F291" s="25">
        <v>0.0</v>
      </c>
      <c r="G291" s="27"/>
    </row>
    <row r="292">
      <c r="A292" s="21"/>
      <c r="B292" s="21" t="s">
        <v>742</v>
      </c>
      <c r="D292" s="25">
        <v>0.0</v>
      </c>
      <c r="E292" s="27"/>
      <c r="F292" s="25">
        <v>0.0</v>
      </c>
      <c r="G292" s="27"/>
    </row>
    <row r="293">
      <c r="A293" s="21"/>
      <c r="B293" s="21" t="s">
        <v>743</v>
      </c>
      <c r="D293" s="25">
        <v>0.0</v>
      </c>
      <c r="E293" s="27"/>
      <c r="F293" s="25">
        <v>0.0</v>
      </c>
      <c r="G293" s="27"/>
    </row>
    <row r="294">
      <c r="A294" s="21"/>
      <c r="B294" s="21" t="s">
        <v>744</v>
      </c>
      <c r="D294" s="25">
        <v>0.0</v>
      </c>
      <c r="E294" s="27"/>
      <c r="F294" s="25">
        <v>0.0</v>
      </c>
      <c r="G294" s="27"/>
    </row>
    <row r="295">
      <c r="A295" s="21"/>
      <c r="B295" s="21" t="s">
        <v>745</v>
      </c>
      <c r="D295" s="25">
        <v>0.0</v>
      </c>
      <c r="E295" s="27"/>
      <c r="F295" s="25">
        <v>0.0</v>
      </c>
      <c r="G295" s="27"/>
    </row>
    <row r="296">
      <c r="A296" s="21"/>
      <c r="B296" s="21" t="s">
        <v>746</v>
      </c>
      <c r="D296" s="25">
        <v>0.0</v>
      </c>
      <c r="E296" s="27"/>
      <c r="F296" s="25">
        <v>0.0</v>
      </c>
      <c r="G296" s="27"/>
    </row>
    <row r="297">
      <c r="A297" s="21"/>
      <c r="B297" s="21" t="s">
        <v>747</v>
      </c>
      <c r="D297" s="25">
        <v>0.0</v>
      </c>
      <c r="E297" s="27"/>
      <c r="F297" s="25">
        <v>0.0</v>
      </c>
      <c r="G297" s="27"/>
    </row>
    <row r="298">
      <c r="A298" s="21"/>
      <c r="B298" s="21" t="s">
        <v>748</v>
      </c>
      <c r="D298" s="25">
        <v>0.0</v>
      </c>
      <c r="E298" s="27"/>
      <c r="F298" s="25">
        <v>0.0</v>
      </c>
      <c r="G298" s="27"/>
    </row>
    <row r="299">
      <c r="A299" s="21"/>
      <c r="B299" s="21" t="s">
        <v>749</v>
      </c>
      <c r="D299" s="25">
        <v>0.0</v>
      </c>
      <c r="E299" s="27"/>
      <c r="F299" s="25">
        <v>0.0</v>
      </c>
      <c r="G299" s="27"/>
    </row>
    <row r="300">
      <c r="A300" s="21"/>
      <c r="B300" s="21" t="s">
        <v>750</v>
      </c>
      <c r="D300" s="25">
        <v>0.0</v>
      </c>
      <c r="E300" s="27"/>
      <c r="F300" s="25">
        <v>1.15</v>
      </c>
      <c r="G300" s="27"/>
    </row>
    <row r="301">
      <c r="A301" s="21"/>
      <c r="B301" s="21" t="s">
        <v>751</v>
      </c>
      <c r="D301" s="25">
        <v>0.0</v>
      </c>
      <c r="E301" s="27"/>
      <c r="F301" s="25">
        <v>0.0</v>
      </c>
      <c r="G301" s="27"/>
    </row>
    <row r="302">
      <c r="A302" s="21"/>
      <c r="B302" s="21" t="s">
        <v>752</v>
      </c>
      <c r="D302" s="25">
        <v>0.0</v>
      </c>
      <c r="E302" s="27"/>
      <c r="F302" s="25">
        <v>0.0</v>
      </c>
      <c r="G302" s="27"/>
    </row>
    <row r="303">
      <c r="A303" s="21"/>
      <c r="B303" s="21" t="s">
        <v>753</v>
      </c>
      <c r="D303" s="25">
        <v>0.0</v>
      </c>
      <c r="E303" s="27"/>
      <c r="F303" s="25">
        <v>0.0</v>
      </c>
      <c r="G303" s="27"/>
    </row>
    <row r="304">
      <c r="A304" s="21"/>
      <c r="B304" s="21" t="s">
        <v>754</v>
      </c>
      <c r="D304" s="25">
        <v>0.0</v>
      </c>
      <c r="E304" s="27"/>
      <c r="F304" s="25">
        <v>0.0</v>
      </c>
      <c r="G304" s="27"/>
    </row>
    <row r="305">
      <c r="A305" s="21"/>
      <c r="B305" s="21" t="s">
        <v>755</v>
      </c>
      <c r="D305" s="25">
        <v>0.0</v>
      </c>
      <c r="E305" s="27"/>
      <c r="F305" s="25">
        <v>0.0</v>
      </c>
      <c r="G305" s="27"/>
    </row>
    <row r="306">
      <c r="A306" s="21"/>
      <c r="B306" s="21" t="s">
        <v>756</v>
      </c>
      <c r="D306" s="25">
        <v>0.0</v>
      </c>
      <c r="E306" s="27"/>
      <c r="F306" s="25">
        <v>0.0</v>
      </c>
      <c r="G306" s="27"/>
    </row>
    <row r="307">
      <c r="A307" s="21"/>
      <c r="B307" s="21" t="s">
        <v>757</v>
      </c>
      <c r="D307" s="25">
        <v>0.0</v>
      </c>
      <c r="E307" s="27"/>
      <c r="F307" s="25">
        <v>0.0</v>
      </c>
      <c r="G307" s="27"/>
    </row>
    <row r="308">
      <c r="A308" s="21"/>
      <c r="B308" s="21" t="s">
        <v>758</v>
      </c>
      <c r="D308" s="25">
        <v>0.0</v>
      </c>
      <c r="E308" s="27"/>
      <c r="F308" s="25">
        <v>0.0</v>
      </c>
      <c r="G308" s="27"/>
    </row>
    <row r="309">
      <c r="A309" s="21"/>
      <c r="B309" s="21" t="s">
        <v>759</v>
      </c>
      <c r="D309" s="25">
        <v>0.0</v>
      </c>
      <c r="E309" s="27"/>
      <c r="F309" s="25">
        <v>0.0</v>
      </c>
      <c r="G309" s="27"/>
    </row>
    <row r="310">
      <c r="A310" s="21"/>
      <c r="B310" s="21" t="s">
        <v>760</v>
      </c>
      <c r="D310" s="25">
        <v>0.0</v>
      </c>
      <c r="E310" s="27"/>
      <c r="F310" s="25">
        <v>0.0</v>
      </c>
      <c r="G310" s="27"/>
    </row>
    <row r="311">
      <c r="A311" s="21"/>
      <c r="B311" s="21" t="s">
        <v>761</v>
      </c>
      <c r="D311" s="25">
        <v>0.0</v>
      </c>
      <c r="E311" s="27"/>
      <c r="F311" s="25">
        <v>0.0</v>
      </c>
      <c r="G311" s="27"/>
    </row>
    <row r="312">
      <c r="A312" s="21"/>
      <c r="B312" s="21" t="s">
        <v>762</v>
      </c>
      <c r="D312" s="25">
        <v>0.0</v>
      </c>
      <c r="E312" s="27"/>
      <c r="F312" s="25">
        <v>0.0</v>
      </c>
      <c r="G312" s="27"/>
    </row>
    <row r="313">
      <c r="A313" s="21"/>
      <c r="B313" s="21" t="s">
        <v>763</v>
      </c>
      <c r="D313" s="25">
        <v>0.0</v>
      </c>
      <c r="E313" s="27"/>
      <c r="F313" s="25">
        <v>0.0</v>
      </c>
      <c r="G313" s="27"/>
    </row>
    <row r="314">
      <c r="A314" s="21"/>
      <c r="B314" s="21" t="s">
        <v>764</v>
      </c>
      <c r="D314" s="25">
        <v>0.0</v>
      </c>
      <c r="E314" s="27"/>
      <c r="F314" s="25">
        <v>0.0</v>
      </c>
      <c r="G314" s="27"/>
    </row>
    <row r="315">
      <c r="A315" s="21"/>
      <c r="B315" s="21" t="s">
        <v>765</v>
      </c>
      <c r="D315" s="25">
        <v>0.0</v>
      </c>
      <c r="E315" s="27"/>
      <c r="F315" s="25">
        <v>0.0</v>
      </c>
      <c r="G315" s="27"/>
    </row>
    <row r="316">
      <c r="A316" s="21"/>
      <c r="B316" s="21" t="s">
        <v>766</v>
      </c>
      <c r="D316" s="25">
        <v>0.0</v>
      </c>
      <c r="E316" s="27"/>
      <c r="F316" s="25">
        <v>0.0</v>
      </c>
      <c r="G316" s="27"/>
    </row>
    <row r="317">
      <c r="A317" s="21"/>
      <c r="B317" s="21" t="s">
        <v>767</v>
      </c>
      <c r="D317" s="25">
        <v>0.0</v>
      </c>
      <c r="E317" s="27"/>
      <c r="F317" s="25">
        <v>0.99</v>
      </c>
      <c r="G317" s="27"/>
    </row>
    <row r="318">
      <c r="A318" s="21"/>
      <c r="B318" s="21" t="s">
        <v>768</v>
      </c>
      <c r="D318" s="25">
        <v>0.0</v>
      </c>
      <c r="E318" s="27"/>
      <c r="F318" s="25">
        <v>0.0</v>
      </c>
      <c r="G318" s="27"/>
    </row>
    <row r="319">
      <c r="A319" s="21"/>
      <c r="B319" s="21" t="s">
        <v>769</v>
      </c>
      <c r="D319" s="25">
        <v>0.0</v>
      </c>
      <c r="E319" s="27"/>
      <c r="F319" s="25">
        <v>0.0</v>
      </c>
      <c r="G319" s="27"/>
    </row>
    <row r="320">
      <c r="A320" s="21"/>
      <c r="B320" s="21" t="s">
        <v>770</v>
      </c>
      <c r="D320" s="25">
        <v>0.0</v>
      </c>
      <c r="E320" s="27"/>
      <c r="F320" s="25">
        <v>0.0</v>
      </c>
      <c r="G320" s="27"/>
    </row>
    <row r="321">
      <c r="A321" s="21"/>
      <c r="B321" s="21" t="s">
        <v>771</v>
      </c>
      <c r="D321" s="25">
        <v>0.0</v>
      </c>
      <c r="E321" s="27"/>
      <c r="F321" s="25">
        <v>0.0</v>
      </c>
      <c r="G321" s="27"/>
    </row>
    <row r="322">
      <c r="A322" s="21"/>
      <c r="B322" s="21" t="s">
        <v>772</v>
      </c>
      <c r="D322" s="25">
        <v>0.0</v>
      </c>
      <c r="E322" s="27"/>
      <c r="F322" s="25">
        <v>0.0</v>
      </c>
      <c r="G322" s="27"/>
    </row>
    <row r="323">
      <c r="A323" s="21"/>
      <c r="B323" s="21" t="s">
        <v>773</v>
      </c>
      <c r="D323" s="25">
        <v>0.0</v>
      </c>
      <c r="E323" s="27"/>
      <c r="F323" s="25">
        <v>1.09</v>
      </c>
      <c r="G323" s="27"/>
    </row>
    <row r="324">
      <c r="A324" s="21"/>
      <c r="B324" s="21" t="s">
        <v>774</v>
      </c>
      <c r="D324" s="25">
        <v>0.0</v>
      </c>
      <c r="E324" s="27"/>
      <c r="F324" s="25">
        <v>0.0</v>
      </c>
      <c r="G324" s="27"/>
    </row>
    <row r="325">
      <c r="A325" s="21"/>
      <c r="B325" s="21" t="s">
        <v>775</v>
      </c>
      <c r="D325" s="25">
        <v>0.0</v>
      </c>
      <c r="E325" s="27"/>
      <c r="F325" s="25">
        <v>0.0</v>
      </c>
      <c r="G325" s="27"/>
    </row>
    <row r="326">
      <c r="A326" s="21"/>
      <c r="B326" s="21" t="s">
        <v>776</v>
      </c>
      <c r="D326" s="25">
        <v>0.0</v>
      </c>
      <c r="E326" s="27"/>
      <c r="F326" s="25">
        <v>0.0</v>
      </c>
      <c r="G326" s="27"/>
    </row>
    <row r="327">
      <c r="A327" s="21"/>
      <c r="B327" s="21" t="s">
        <v>777</v>
      </c>
      <c r="D327" s="25">
        <v>0.0</v>
      </c>
      <c r="E327" s="27"/>
      <c r="F327" s="25">
        <v>0.0</v>
      </c>
      <c r="G327" s="27"/>
    </row>
    <row r="328">
      <c r="A328" s="21"/>
      <c r="B328" s="21" t="s">
        <v>778</v>
      </c>
      <c r="D328" s="25">
        <v>0.0</v>
      </c>
      <c r="E328" s="27"/>
      <c r="F328" s="25">
        <v>0.0</v>
      </c>
      <c r="G328" s="27"/>
    </row>
    <row r="329">
      <c r="A329" s="21"/>
      <c r="B329" s="21" t="s">
        <v>779</v>
      </c>
      <c r="D329" s="25">
        <v>0.0</v>
      </c>
      <c r="E329" s="27"/>
      <c r="F329" s="25">
        <v>0.0</v>
      </c>
      <c r="G329" s="27"/>
    </row>
    <row r="330">
      <c r="A330" s="21"/>
      <c r="B330" s="21" t="s">
        <v>780</v>
      </c>
      <c r="D330" s="25">
        <v>0.0</v>
      </c>
      <c r="E330" s="27"/>
      <c r="F330" s="25">
        <v>0.0</v>
      </c>
      <c r="G330" s="27"/>
    </row>
    <row r="331">
      <c r="A331" s="21"/>
      <c r="B331" s="21" t="s">
        <v>781</v>
      </c>
      <c r="D331" s="25">
        <v>0.0</v>
      </c>
      <c r="E331" s="27"/>
      <c r="F331" s="25">
        <v>1.21</v>
      </c>
      <c r="G331" s="27"/>
    </row>
    <row r="332">
      <c r="A332" s="21"/>
      <c r="B332" s="21" t="s">
        <v>782</v>
      </c>
      <c r="D332" s="25">
        <v>0.0</v>
      </c>
      <c r="E332" s="27"/>
      <c r="F332" s="25">
        <v>0.0</v>
      </c>
      <c r="G332" s="27"/>
    </row>
    <row r="333">
      <c r="A333" s="21"/>
      <c r="B333" s="21" t="s">
        <v>783</v>
      </c>
      <c r="D333" s="25">
        <v>0.0</v>
      </c>
      <c r="E333" s="27"/>
      <c r="F333" s="25">
        <v>0.0</v>
      </c>
      <c r="G333" s="27"/>
    </row>
    <row r="334">
      <c r="A334" s="21"/>
      <c r="B334" s="21" t="s">
        <v>784</v>
      </c>
      <c r="D334" s="25">
        <v>0.0</v>
      </c>
      <c r="E334" s="27"/>
      <c r="F334" s="25">
        <v>0.0</v>
      </c>
      <c r="G334" s="27"/>
    </row>
    <row r="335">
      <c r="A335" s="21"/>
      <c r="B335" s="21" t="s">
        <v>785</v>
      </c>
      <c r="D335" s="25">
        <v>0.0</v>
      </c>
      <c r="E335" s="27"/>
      <c r="F335" s="25">
        <v>0.0</v>
      </c>
      <c r="G335" s="27"/>
    </row>
    <row r="336">
      <c r="A336" s="21"/>
      <c r="B336" s="21" t="s">
        <v>786</v>
      </c>
      <c r="D336" s="25">
        <v>0.0</v>
      </c>
      <c r="E336" s="27"/>
      <c r="F336" s="25">
        <v>0.0</v>
      </c>
      <c r="G336" s="27"/>
    </row>
    <row r="337">
      <c r="A337" s="21"/>
      <c r="B337" s="21" t="s">
        <v>787</v>
      </c>
      <c r="D337" s="25">
        <v>0.0</v>
      </c>
      <c r="E337" s="27"/>
      <c r="F337" s="25">
        <v>0.0</v>
      </c>
      <c r="G337" s="27"/>
    </row>
    <row r="338">
      <c r="A338" s="21"/>
      <c r="B338" s="21" t="s">
        <v>788</v>
      </c>
      <c r="D338" s="25">
        <v>0.0</v>
      </c>
      <c r="E338" s="27"/>
      <c r="F338" s="25">
        <v>0.0</v>
      </c>
      <c r="G338" s="27"/>
    </row>
    <row r="339">
      <c r="A339" s="21"/>
      <c r="B339" s="21" t="s">
        <v>789</v>
      </c>
      <c r="D339" s="25">
        <v>0.0</v>
      </c>
      <c r="E339" s="27"/>
      <c r="F339" s="25">
        <v>0.0</v>
      </c>
      <c r="G339" s="27"/>
    </row>
    <row r="340">
      <c r="A340" s="21"/>
      <c r="B340" s="21" t="s">
        <v>790</v>
      </c>
      <c r="D340" s="25">
        <v>0.0</v>
      </c>
      <c r="E340" s="27"/>
      <c r="F340" s="25">
        <v>0.0</v>
      </c>
      <c r="G340" s="27"/>
    </row>
    <row r="341">
      <c r="A341" s="21"/>
      <c r="B341" s="21" t="s">
        <v>791</v>
      </c>
      <c r="D341" s="25">
        <v>0.0</v>
      </c>
      <c r="E341" s="27"/>
      <c r="F341" s="25">
        <v>0.0</v>
      </c>
      <c r="G341" s="27"/>
    </row>
    <row r="342">
      <c r="A342" s="21"/>
      <c r="B342" s="21" t="s">
        <v>792</v>
      </c>
      <c r="D342" s="25">
        <v>0.0</v>
      </c>
      <c r="E342" s="27"/>
      <c r="F342" s="25">
        <v>0.0</v>
      </c>
      <c r="G342" s="27"/>
    </row>
    <row r="343">
      <c r="A343" s="21"/>
      <c r="B343" s="21" t="s">
        <v>793</v>
      </c>
      <c r="D343" s="25">
        <v>0.0</v>
      </c>
      <c r="E343" s="27"/>
      <c r="F343" s="25">
        <v>0.0</v>
      </c>
      <c r="G343" s="27"/>
    </row>
    <row r="344">
      <c r="A344" s="21"/>
      <c r="B344" s="21" t="s">
        <v>794</v>
      </c>
      <c r="D344" s="25">
        <v>0.0</v>
      </c>
      <c r="E344" s="27"/>
      <c r="F344" s="25">
        <v>0.0</v>
      </c>
      <c r="G344" s="27"/>
    </row>
    <row r="345">
      <c r="A345" s="21"/>
      <c r="B345" s="21" t="s">
        <v>795</v>
      </c>
      <c r="D345" s="25">
        <v>0.0</v>
      </c>
      <c r="E345" s="27"/>
      <c r="F345" s="25">
        <v>0.0</v>
      </c>
      <c r="G345" s="27"/>
    </row>
    <row r="346">
      <c r="A346" s="21"/>
      <c r="B346" s="21" t="s">
        <v>796</v>
      </c>
      <c r="D346" s="25">
        <v>0.0</v>
      </c>
      <c r="E346" s="27"/>
      <c r="F346" s="25">
        <v>0.0</v>
      </c>
      <c r="G346" s="27"/>
    </row>
    <row r="347">
      <c r="A347" s="21"/>
      <c r="B347" s="21" t="s">
        <v>797</v>
      </c>
      <c r="D347" s="25">
        <v>0.0</v>
      </c>
      <c r="E347" s="27"/>
      <c r="F347" s="25">
        <v>0.0</v>
      </c>
      <c r="G347" s="27"/>
    </row>
    <row r="348">
      <c r="A348" s="21"/>
      <c r="B348" s="21" t="s">
        <v>798</v>
      </c>
      <c r="D348" s="25">
        <v>0.0</v>
      </c>
      <c r="E348" s="27"/>
      <c r="F348" s="25">
        <v>0.0</v>
      </c>
      <c r="G348" s="27"/>
    </row>
    <row r="349">
      <c r="A349" s="21"/>
      <c r="B349" s="21" t="s">
        <v>799</v>
      </c>
      <c r="D349" s="25">
        <v>0.0</v>
      </c>
      <c r="E349" s="27"/>
      <c r="F349" s="25">
        <v>0.0</v>
      </c>
      <c r="G349" s="27"/>
    </row>
    <row r="350">
      <c r="A350" s="21"/>
      <c r="B350" s="21" t="s">
        <v>800</v>
      </c>
      <c r="D350" s="25">
        <v>0.0</v>
      </c>
      <c r="E350" s="27"/>
      <c r="F350" s="25">
        <v>0.0</v>
      </c>
      <c r="G350" s="27"/>
    </row>
    <row r="351">
      <c r="A351" s="21"/>
      <c r="B351" s="21" t="s">
        <v>801</v>
      </c>
      <c r="D351" s="25">
        <v>0.0</v>
      </c>
      <c r="E351" s="27"/>
      <c r="F351" s="25">
        <v>0.0</v>
      </c>
      <c r="G351" s="27"/>
    </row>
    <row r="352">
      <c r="A352" s="21"/>
      <c r="B352" s="21" t="s">
        <v>802</v>
      </c>
      <c r="D352" s="25">
        <v>0.0</v>
      </c>
      <c r="E352" s="27"/>
      <c r="F352" s="25">
        <v>0.0</v>
      </c>
      <c r="G352" s="27"/>
    </row>
    <row r="353">
      <c r="A353" s="21"/>
      <c r="B353" s="21" t="s">
        <v>803</v>
      </c>
      <c r="D353" s="25">
        <v>0.0</v>
      </c>
      <c r="E353" s="27"/>
      <c r="F353" s="25">
        <v>0.0</v>
      </c>
      <c r="G353" s="27"/>
    </row>
    <row r="354">
      <c r="A354" s="21"/>
      <c r="B354" s="21" t="s">
        <v>804</v>
      </c>
      <c r="D354" s="25">
        <v>0.0</v>
      </c>
      <c r="E354" s="27"/>
      <c r="F354" s="25">
        <v>0.0</v>
      </c>
      <c r="G354" s="27"/>
    </row>
    <row r="355">
      <c r="A355" s="21"/>
      <c r="B355" s="21" t="s">
        <v>805</v>
      </c>
      <c r="D355" s="25">
        <v>0.0</v>
      </c>
      <c r="E355" s="27"/>
      <c r="F355" s="25">
        <v>0.0</v>
      </c>
      <c r="G355" s="27"/>
    </row>
    <row r="356">
      <c r="A356" s="21"/>
      <c r="B356" s="21" t="s">
        <v>806</v>
      </c>
      <c r="D356" s="25">
        <v>0.0</v>
      </c>
      <c r="E356" s="27"/>
      <c r="F356" s="25">
        <v>0.0</v>
      </c>
      <c r="G356" s="27"/>
    </row>
    <row r="357">
      <c r="A357" s="21"/>
      <c r="B357" s="21" t="s">
        <v>807</v>
      </c>
      <c r="D357" s="25">
        <v>0.0</v>
      </c>
      <c r="E357" s="27"/>
      <c r="F357" s="25">
        <v>0.0</v>
      </c>
      <c r="G357" s="27"/>
    </row>
    <row r="358">
      <c r="A358" s="21"/>
      <c r="B358" s="21" t="s">
        <v>808</v>
      </c>
      <c r="D358" s="25">
        <v>0.0</v>
      </c>
      <c r="E358" s="27"/>
      <c r="F358" s="25">
        <v>0.0</v>
      </c>
      <c r="G358" s="27"/>
    </row>
    <row r="359">
      <c r="A359" s="21"/>
      <c r="B359" s="21" t="s">
        <v>809</v>
      </c>
      <c r="D359" s="25">
        <v>0.0</v>
      </c>
      <c r="E359" s="27"/>
      <c r="F359" s="25">
        <v>0.0</v>
      </c>
      <c r="G359" s="27"/>
    </row>
    <row r="360">
      <c r="A360" s="21"/>
      <c r="B360" s="21" t="s">
        <v>810</v>
      </c>
      <c r="D360" s="25">
        <v>0.0</v>
      </c>
      <c r="E360" s="27"/>
      <c r="F360" s="25">
        <v>0.0</v>
      </c>
      <c r="G360" s="27"/>
    </row>
    <row r="361">
      <c r="A361" s="21"/>
      <c r="B361" s="21" t="s">
        <v>811</v>
      </c>
      <c r="D361" s="25">
        <v>0.0</v>
      </c>
      <c r="E361" s="27"/>
      <c r="F361" s="25">
        <v>0.0</v>
      </c>
      <c r="G361" s="27"/>
    </row>
    <row r="362">
      <c r="A362" s="21"/>
      <c r="B362" s="21" t="s">
        <v>812</v>
      </c>
      <c r="D362" s="25">
        <v>0.0</v>
      </c>
      <c r="E362" s="27"/>
      <c r="F362" s="25">
        <v>0.0</v>
      </c>
      <c r="G362" s="27"/>
    </row>
    <row r="363">
      <c r="A363" s="21"/>
      <c r="B363" s="21" t="s">
        <v>813</v>
      </c>
      <c r="D363" s="25">
        <v>0.0</v>
      </c>
      <c r="E363" s="27"/>
      <c r="F363" s="25">
        <v>0.0</v>
      </c>
      <c r="G363" s="27"/>
    </row>
    <row r="364">
      <c r="A364" s="21"/>
      <c r="B364" s="21" t="s">
        <v>814</v>
      </c>
      <c r="D364" s="25">
        <v>0.0</v>
      </c>
      <c r="E364" s="27"/>
      <c r="F364" s="25">
        <v>0.0</v>
      </c>
      <c r="G364" s="27"/>
    </row>
    <row r="365">
      <c r="A365" s="21"/>
      <c r="B365" s="21" t="s">
        <v>815</v>
      </c>
      <c r="D365" s="25">
        <v>0.0</v>
      </c>
      <c r="E365" s="27"/>
      <c r="F365" s="25">
        <v>0.0</v>
      </c>
      <c r="G365" s="27"/>
    </row>
    <row r="366">
      <c r="A366" s="21"/>
      <c r="B366" s="21" t="s">
        <v>816</v>
      </c>
      <c r="D366" s="25">
        <v>0.0</v>
      </c>
      <c r="E366" s="27"/>
      <c r="F366" s="25">
        <v>0.0</v>
      </c>
      <c r="G366" s="27"/>
    </row>
    <row r="367">
      <c r="A367" s="21"/>
      <c r="B367" s="21" t="s">
        <v>817</v>
      </c>
      <c r="D367" s="25">
        <v>0.0</v>
      </c>
      <c r="E367" s="27"/>
      <c r="F367" s="25">
        <v>0.0</v>
      </c>
      <c r="G367" s="27"/>
    </row>
    <row r="368">
      <c r="A368" s="21"/>
      <c r="B368" s="21" t="s">
        <v>818</v>
      </c>
      <c r="D368" s="25">
        <v>0.0</v>
      </c>
      <c r="E368" s="27"/>
      <c r="F368" s="25">
        <v>0.0</v>
      </c>
      <c r="G368" s="27"/>
    </row>
    <row r="369">
      <c r="A369" s="21"/>
      <c r="B369" s="21" t="s">
        <v>819</v>
      </c>
      <c r="D369" s="25">
        <v>0.0</v>
      </c>
      <c r="E369" s="27"/>
      <c r="F369" s="25">
        <v>0.0</v>
      </c>
      <c r="G369" s="27"/>
    </row>
    <row r="370">
      <c r="A370" s="21"/>
      <c r="B370" s="21" t="s">
        <v>820</v>
      </c>
      <c r="D370" s="25">
        <v>0.0</v>
      </c>
      <c r="E370" s="27"/>
      <c r="F370" s="25">
        <v>0.0</v>
      </c>
      <c r="G370" s="27"/>
    </row>
    <row r="371">
      <c r="A371" s="21"/>
      <c r="B371" s="21" t="s">
        <v>821</v>
      </c>
      <c r="D371" s="25">
        <v>0.0</v>
      </c>
      <c r="E371" s="27"/>
      <c r="F371" s="25">
        <v>0.0</v>
      </c>
      <c r="G371" s="27"/>
    </row>
    <row r="372">
      <c r="A372" s="21"/>
      <c r="B372" s="21" t="s">
        <v>822</v>
      </c>
      <c r="D372" s="25">
        <v>0.0</v>
      </c>
      <c r="E372" s="27"/>
      <c r="F372" s="25">
        <v>0.0</v>
      </c>
      <c r="G372" s="27"/>
    </row>
    <row r="373">
      <c r="A373" s="21"/>
      <c r="B373" s="21" t="s">
        <v>823</v>
      </c>
      <c r="D373" s="25">
        <v>0.0</v>
      </c>
      <c r="E373" s="27"/>
      <c r="F373" s="25">
        <v>0.0</v>
      </c>
      <c r="G373" s="27"/>
    </row>
    <row r="374">
      <c r="A374" s="21"/>
      <c r="B374" s="21" t="s">
        <v>824</v>
      </c>
      <c r="D374" s="25">
        <v>0.0</v>
      </c>
      <c r="E374" s="27"/>
      <c r="F374" s="25">
        <v>0.0</v>
      </c>
      <c r="G374" s="27"/>
    </row>
    <row r="375">
      <c r="A375" s="21"/>
      <c r="B375" s="21" t="s">
        <v>825</v>
      </c>
      <c r="D375" s="25">
        <v>0.0</v>
      </c>
      <c r="E375" s="27"/>
      <c r="F375" s="25">
        <v>0.0</v>
      </c>
      <c r="G375" s="27"/>
    </row>
    <row r="376">
      <c r="A376" s="21"/>
      <c r="B376" s="21" t="s">
        <v>826</v>
      </c>
      <c r="D376" s="25">
        <v>0.0</v>
      </c>
      <c r="E376" s="27"/>
      <c r="F376" s="25">
        <v>0.0</v>
      </c>
      <c r="G376" s="27"/>
    </row>
    <row r="377">
      <c r="A377" s="21"/>
      <c r="B377" s="21" t="s">
        <v>827</v>
      </c>
      <c r="D377" s="25">
        <v>0.0</v>
      </c>
      <c r="E377" s="27"/>
      <c r="F377" s="25">
        <v>0.0</v>
      </c>
      <c r="G377" s="27"/>
    </row>
    <row r="378">
      <c r="A378" s="21"/>
      <c r="B378" s="21" t="s">
        <v>828</v>
      </c>
      <c r="D378" s="25">
        <v>0.0</v>
      </c>
      <c r="E378" s="27"/>
      <c r="F378" s="25">
        <v>0.0</v>
      </c>
      <c r="G378" s="27"/>
    </row>
    <row r="379">
      <c r="A379" s="21"/>
      <c r="B379" s="21" t="s">
        <v>829</v>
      </c>
      <c r="D379" s="25">
        <v>0.0</v>
      </c>
      <c r="E379" s="27"/>
      <c r="F379" s="25">
        <v>0.0</v>
      </c>
      <c r="G379" s="27"/>
    </row>
    <row r="380">
      <c r="A380" s="21"/>
      <c r="B380" s="21" t="s">
        <v>830</v>
      </c>
      <c r="D380" s="25">
        <v>0.0</v>
      </c>
      <c r="E380" s="27"/>
      <c r="F380" s="25">
        <v>0.0</v>
      </c>
      <c r="G380" s="27"/>
    </row>
    <row r="381">
      <c r="A381" s="21"/>
      <c r="B381" s="21" t="s">
        <v>831</v>
      </c>
      <c r="D381" s="25">
        <v>0.0</v>
      </c>
      <c r="E381" s="27"/>
      <c r="F381" s="25">
        <v>0.0</v>
      </c>
      <c r="G381" s="27"/>
    </row>
    <row r="382">
      <c r="A382" s="21"/>
      <c r="B382" s="21" t="s">
        <v>832</v>
      </c>
      <c r="D382" s="25">
        <v>0.0</v>
      </c>
      <c r="E382" s="27"/>
      <c r="F382" s="25">
        <v>0.0</v>
      </c>
      <c r="G382" s="27"/>
    </row>
    <row r="383">
      <c r="A383" s="21"/>
      <c r="B383" s="21" t="s">
        <v>833</v>
      </c>
      <c r="D383" s="25">
        <v>0.0</v>
      </c>
      <c r="E383" s="27"/>
      <c r="F383" s="25">
        <v>0.0</v>
      </c>
      <c r="G383" s="27"/>
    </row>
    <row r="384">
      <c r="A384" s="21"/>
      <c r="B384" s="21" t="s">
        <v>834</v>
      </c>
      <c r="D384" s="25">
        <v>0.0</v>
      </c>
      <c r="E384" s="27"/>
      <c r="F384" s="25">
        <v>0.0</v>
      </c>
      <c r="G384" s="27"/>
    </row>
    <row r="385">
      <c r="A385" s="21"/>
      <c r="B385" s="21" t="s">
        <v>835</v>
      </c>
      <c r="D385" s="25">
        <v>0.0</v>
      </c>
      <c r="E385" s="27"/>
      <c r="F385" s="25">
        <v>0.0</v>
      </c>
      <c r="G385" s="27"/>
    </row>
    <row r="386">
      <c r="A386" s="21"/>
      <c r="B386" s="21" t="s">
        <v>836</v>
      </c>
      <c r="D386" s="25">
        <v>0.0</v>
      </c>
      <c r="E386" s="27"/>
      <c r="F386" s="25">
        <v>0.0</v>
      </c>
      <c r="G386" s="27"/>
    </row>
    <row r="387">
      <c r="A387" s="21"/>
      <c r="B387" s="21" t="s">
        <v>837</v>
      </c>
      <c r="D387" s="25">
        <v>0.0</v>
      </c>
      <c r="E387" s="27"/>
      <c r="F387" s="25">
        <v>0.0</v>
      </c>
      <c r="G387" s="27"/>
    </row>
    <row r="388">
      <c r="A388" s="21"/>
      <c r="B388" s="21" t="s">
        <v>838</v>
      </c>
      <c r="D388" s="25">
        <v>0.0</v>
      </c>
      <c r="E388" s="27"/>
      <c r="F388" s="25">
        <v>0.0</v>
      </c>
      <c r="G388" s="27"/>
    </row>
    <row r="389">
      <c r="A389" s="21"/>
      <c r="B389" s="21" t="s">
        <v>839</v>
      </c>
      <c r="D389" s="25">
        <v>0.0</v>
      </c>
      <c r="E389" s="27"/>
      <c r="F389" s="25">
        <v>0.0</v>
      </c>
      <c r="G389" s="27"/>
    </row>
    <row r="390">
      <c r="A390" s="21"/>
      <c r="B390" s="21" t="s">
        <v>840</v>
      </c>
      <c r="D390" s="25">
        <v>0.0</v>
      </c>
      <c r="E390" s="27"/>
      <c r="F390" s="25">
        <v>0.0</v>
      </c>
      <c r="G390" s="27"/>
    </row>
    <row r="391">
      <c r="A391" s="21"/>
      <c r="B391" s="21" t="s">
        <v>841</v>
      </c>
      <c r="D391" s="25">
        <v>0.0</v>
      </c>
      <c r="E391" s="27"/>
      <c r="F391" s="25">
        <v>0.0</v>
      </c>
      <c r="G391" s="27"/>
    </row>
    <row r="392">
      <c r="A392" s="21"/>
      <c r="B392" s="21" t="s">
        <v>842</v>
      </c>
      <c r="D392" s="25">
        <v>0.0</v>
      </c>
      <c r="E392" s="27"/>
      <c r="F392" s="25">
        <v>0.0</v>
      </c>
      <c r="G392" s="27"/>
    </row>
    <row r="393">
      <c r="A393" s="21"/>
      <c r="B393" s="21" t="s">
        <v>843</v>
      </c>
      <c r="D393" s="25">
        <v>0.0</v>
      </c>
      <c r="E393" s="27"/>
      <c r="F393" s="25">
        <v>0.0</v>
      </c>
      <c r="G393" s="27"/>
    </row>
    <row r="394">
      <c r="A394" s="21"/>
      <c r="B394" s="21" t="s">
        <v>844</v>
      </c>
      <c r="D394" s="25">
        <v>0.0</v>
      </c>
      <c r="E394" s="27"/>
      <c r="F394" s="25">
        <v>0.0</v>
      </c>
      <c r="G394" s="27"/>
    </row>
    <row r="395">
      <c r="A395" s="21"/>
      <c r="B395" s="21" t="s">
        <v>845</v>
      </c>
      <c r="D395" s="25">
        <v>0.0</v>
      </c>
      <c r="E395" s="27"/>
      <c r="F395" s="25">
        <v>0.0</v>
      </c>
      <c r="G395" s="27"/>
    </row>
    <row r="396">
      <c r="A396" s="21"/>
      <c r="B396" s="21" t="s">
        <v>846</v>
      </c>
      <c r="D396" s="25">
        <v>0.0</v>
      </c>
      <c r="E396" s="27"/>
      <c r="F396" s="25">
        <v>0.0</v>
      </c>
      <c r="G396" s="27"/>
    </row>
    <row r="397">
      <c r="A397" s="21"/>
      <c r="B397" s="21" t="s">
        <v>847</v>
      </c>
      <c r="D397" s="25">
        <v>0.0</v>
      </c>
      <c r="E397" s="27"/>
      <c r="F397" s="25">
        <v>0.0</v>
      </c>
      <c r="G397" s="27"/>
    </row>
    <row r="398">
      <c r="A398" s="21"/>
      <c r="B398" s="21" t="s">
        <v>848</v>
      </c>
      <c r="D398" s="25">
        <v>0.0</v>
      </c>
      <c r="E398" s="27"/>
      <c r="F398" s="25">
        <v>0.0</v>
      </c>
      <c r="G398" s="27"/>
    </row>
    <row r="399">
      <c r="A399" s="21"/>
      <c r="B399" s="21" t="s">
        <v>849</v>
      </c>
      <c r="D399" s="25">
        <v>0.0</v>
      </c>
      <c r="E399" s="27"/>
      <c r="F399" s="25">
        <v>0.0</v>
      </c>
      <c r="G399" s="27"/>
    </row>
    <row r="400">
      <c r="A400" s="21"/>
      <c r="B400" s="21" t="s">
        <v>850</v>
      </c>
      <c r="D400" s="25">
        <v>0.0</v>
      </c>
      <c r="E400" s="27"/>
      <c r="F400" s="25">
        <v>0.0</v>
      </c>
      <c r="G400" s="27"/>
    </row>
    <row r="401">
      <c r="A401" s="21"/>
      <c r="B401" s="21" t="s">
        <v>851</v>
      </c>
      <c r="D401" s="25">
        <v>0.0</v>
      </c>
      <c r="E401" s="27"/>
      <c r="F401" s="25">
        <v>0.0</v>
      </c>
      <c r="G401" s="27"/>
    </row>
  </sheetData>
  <autoFilter ref="$A$1:$G$401"/>
  <mergeCells count="341">
    <mergeCell ref="B14:C14"/>
    <mergeCell ref="B42:C42"/>
    <mergeCell ref="B61:C61"/>
    <mergeCell ref="B62:C62"/>
    <mergeCell ref="B65:C65"/>
    <mergeCell ref="B66:C66"/>
    <mergeCell ref="B67:C67"/>
    <mergeCell ref="B68:C68"/>
    <mergeCell ref="B69:C69"/>
    <mergeCell ref="B70:C70"/>
    <mergeCell ref="B71:C71"/>
    <mergeCell ref="B72:C72"/>
    <mergeCell ref="B73:C73"/>
    <mergeCell ref="B74:C74"/>
    <mergeCell ref="B75:C75"/>
    <mergeCell ref="B76:C76"/>
    <mergeCell ref="B77:C77"/>
    <mergeCell ref="B78:C78"/>
    <mergeCell ref="B79:C79"/>
    <mergeCell ref="B80:C80"/>
    <mergeCell ref="B81:C81"/>
    <mergeCell ref="B82:C82"/>
    <mergeCell ref="B83:C83"/>
    <mergeCell ref="B84:C84"/>
    <mergeCell ref="B85:C85"/>
    <mergeCell ref="B86:C86"/>
    <mergeCell ref="B87:C87"/>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09:C109"/>
    <mergeCell ref="B110:C110"/>
    <mergeCell ref="B111:C111"/>
    <mergeCell ref="B112:C112"/>
    <mergeCell ref="B113:C113"/>
    <mergeCell ref="B114:C114"/>
    <mergeCell ref="B115:C115"/>
    <mergeCell ref="B116:C116"/>
    <mergeCell ref="B117:C117"/>
    <mergeCell ref="B118:C118"/>
    <mergeCell ref="B119:C119"/>
    <mergeCell ref="B120:C120"/>
    <mergeCell ref="B121:C121"/>
    <mergeCell ref="B122:C122"/>
    <mergeCell ref="B123:C123"/>
    <mergeCell ref="B124:C124"/>
    <mergeCell ref="B125:C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B158:C158"/>
    <mergeCell ref="B159:C159"/>
    <mergeCell ref="B160:C160"/>
    <mergeCell ref="B161:C161"/>
    <mergeCell ref="B162:C162"/>
    <mergeCell ref="B163:C163"/>
    <mergeCell ref="B164:C164"/>
    <mergeCell ref="B165:C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B214:C214"/>
    <mergeCell ref="B215:C215"/>
    <mergeCell ref="B216:C216"/>
    <mergeCell ref="B217:C217"/>
    <mergeCell ref="B218:C218"/>
    <mergeCell ref="B219:C219"/>
    <mergeCell ref="B220:C220"/>
    <mergeCell ref="B221:C221"/>
    <mergeCell ref="B222:C222"/>
    <mergeCell ref="B223:C223"/>
    <mergeCell ref="B224:C224"/>
    <mergeCell ref="B225:C225"/>
    <mergeCell ref="B226:C226"/>
    <mergeCell ref="B227:C227"/>
    <mergeCell ref="B228:C228"/>
    <mergeCell ref="B229:C229"/>
    <mergeCell ref="B230:C230"/>
    <mergeCell ref="B231:C231"/>
    <mergeCell ref="B232:C232"/>
    <mergeCell ref="B233:C233"/>
    <mergeCell ref="B234:C234"/>
    <mergeCell ref="B235:C235"/>
    <mergeCell ref="B236:C236"/>
    <mergeCell ref="B237:C237"/>
    <mergeCell ref="B238:C238"/>
    <mergeCell ref="B239:C239"/>
    <mergeCell ref="B240:C240"/>
    <mergeCell ref="B241:C241"/>
    <mergeCell ref="B242:C242"/>
    <mergeCell ref="B243:C243"/>
    <mergeCell ref="B244:C244"/>
    <mergeCell ref="B245:C245"/>
    <mergeCell ref="B246:C246"/>
    <mergeCell ref="B247:C247"/>
    <mergeCell ref="B248:C248"/>
    <mergeCell ref="B249:C249"/>
    <mergeCell ref="B250:C250"/>
    <mergeCell ref="B251:C251"/>
    <mergeCell ref="B252:C252"/>
    <mergeCell ref="B253:C253"/>
    <mergeCell ref="B254:C254"/>
    <mergeCell ref="B255:C255"/>
    <mergeCell ref="B256:C256"/>
    <mergeCell ref="B257:C257"/>
    <mergeCell ref="B258:C258"/>
    <mergeCell ref="B259:C259"/>
    <mergeCell ref="B260:C260"/>
    <mergeCell ref="B261:C261"/>
    <mergeCell ref="B262:C262"/>
    <mergeCell ref="B263:C263"/>
    <mergeCell ref="B264:C264"/>
    <mergeCell ref="B265:C265"/>
    <mergeCell ref="B266:C266"/>
    <mergeCell ref="B267:C267"/>
    <mergeCell ref="B268:C268"/>
    <mergeCell ref="B269:C269"/>
    <mergeCell ref="B270:C270"/>
    <mergeCell ref="B271:C271"/>
    <mergeCell ref="B272:C272"/>
    <mergeCell ref="B273:C273"/>
    <mergeCell ref="B274:C274"/>
    <mergeCell ref="B275:C275"/>
    <mergeCell ref="B276:C276"/>
    <mergeCell ref="B277:C277"/>
    <mergeCell ref="B278:C278"/>
    <mergeCell ref="B279:C279"/>
    <mergeCell ref="B280:C280"/>
    <mergeCell ref="B281:C281"/>
    <mergeCell ref="B282:C282"/>
    <mergeCell ref="B283:C283"/>
    <mergeCell ref="B284:C284"/>
    <mergeCell ref="B285:C285"/>
    <mergeCell ref="B286:C286"/>
    <mergeCell ref="B287:C287"/>
    <mergeCell ref="B288:C288"/>
    <mergeCell ref="B289:C289"/>
    <mergeCell ref="B290:C290"/>
    <mergeCell ref="B291:C291"/>
    <mergeCell ref="B292:C292"/>
    <mergeCell ref="B293:C293"/>
    <mergeCell ref="B294:C294"/>
    <mergeCell ref="B295:C295"/>
    <mergeCell ref="B296:C296"/>
    <mergeCell ref="B297:C297"/>
    <mergeCell ref="B298:C298"/>
    <mergeCell ref="B299:C299"/>
    <mergeCell ref="B300:C300"/>
    <mergeCell ref="B301:C301"/>
    <mergeCell ref="B302:C302"/>
    <mergeCell ref="B303:C303"/>
    <mergeCell ref="B304:C304"/>
    <mergeCell ref="B305:C305"/>
    <mergeCell ref="B355:C355"/>
    <mergeCell ref="B356:C356"/>
    <mergeCell ref="B357:C357"/>
    <mergeCell ref="B358:C358"/>
    <mergeCell ref="B359:C359"/>
    <mergeCell ref="B360:C360"/>
    <mergeCell ref="B361:C361"/>
    <mergeCell ref="B362:C362"/>
    <mergeCell ref="B363:C363"/>
    <mergeCell ref="B364:C364"/>
    <mergeCell ref="B365:C365"/>
    <mergeCell ref="B366:C366"/>
    <mergeCell ref="B367:C367"/>
    <mergeCell ref="B368:C368"/>
    <mergeCell ref="B369:C369"/>
    <mergeCell ref="B370:C370"/>
    <mergeCell ref="B371:C371"/>
    <mergeCell ref="B372:C372"/>
    <mergeCell ref="B373:C373"/>
    <mergeCell ref="B374:C374"/>
    <mergeCell ref="B375:C375"/>
    <mergeCell ref="B376:C376"/>
    <mergeCell ref="B377:C377"/>
    <mergeCell ref="B378:C378"/>
    <mergeCell ref="B379:C379"/>
    <mergeCell ref="B380:C380"/>
    <mergeCell ref="B381:C381"/>
    <mergeCell ref="B382:C382"/>
    <mergeCell ref="B383:C383"/>
    <mergeCell ref="B384:C384"/>
    <mergeCell ref="B385:C385"/>
    <mergeCell ref="B386:C386"/>
    <mergeCell ref="B387:C387"/>
    <mergeCell ref="B388:C388"/>
    <mergeCell ref="B389:C389"/>
    <mergeCell ref="B397:C397"/>
    <mergeCell ref="B398:C398"/>
    <mergeCell ref="B399:C399"/>
    <mergeCell ref="B400:C400"/>
    <mergeCell ref="B401:C401"/>
    <mergeCell ref="B390:C390"/>
    <mergeCell ref="B391:C391"/>
    <mergeCell ref="B392:C392"/>
    <mergeCell ref="B393:C393"/>
    <mergeCell ref="B394:C394"/>
    <mergeCell ref="B395:C395"/>
    <mergeCell ref="B396:C396"/>
    <mergeCell ref="B306:C306"/>
    <mergeCell ref="B307:C307"/>
    <mergeCell ref="B308:C308"/>
    <mergeCell ref="B309:C309"/>
    <mergeCell ref="B310:C310"/>
    <mergeCell ref="B311:C311"/>
    <mergeCell ref="B312:C312"/>
    <mergeCell ref="B313:C313"/>
    <mergeCell ref="B314:C314"/>
    <mergeCell ref="B315:C315"/>
    <mergeCell ref="B316:C316"/>
    <mergeCell ref="B317:C317"/>
    <mergeCell ref="B318:C318"/>
    <mergeCell ref="B319:C319"/>
    <mergeCell ref="B320:C320"/>
    <mergeCell ref="B321:C321"/>
    <mergeCell ref="B322:C322"/>
    <mergeCell ref="B323:C323"/>
    <mergeCell ref="B324:C324"/>
    <mergeCell ref="B325:C325"/>
    <mergeCell ref="B326:C326"/>
    <mergeCell ref="B327:C327"/>
    <mergeCell ref="B328:C328"/>
    <mergeCell ref="B329:C329"/>
    <mergeCell ref="B330:C330"/>
    <mergeCell ref="B331:C331"/>
    <mergeCell ref="B332:C332"/>
    <mergeCell ref="B333:C333"/>
    <mergeCell ref="B334:C334"/>
    <mergeCell ref="B335:C335"/>
    <mergeCell ref="B336:C336"/>
    <mergeCell ref="B337:C337"/>
    <mergeCell ref="B338:C338"/>
    <mergeCell ref="B339:C339"/>
    <mergeCell ref="B340:C340"/>
    <mergeCell ref="B341:C341"/>
    <mergeCell ref="B342:C342"/>
    <mergeCell ref="B343:C343"/>
    <mergeCell ref="B344:C344"/>
    <mergeCell ref="B345:C345"/>
    <mergeCell ref="B346:C346"/>
    <mergeCell ref="B347:C347"/>
    <mergeCell ref="B348:C348"/>
    <mergeCell ref="B349:C349"/>
    <mergeCell ref="B350:C350"/>
    <mergeCell ref="B351:C351"/>
    <mergeCell ref="B352:C352"/>
    <mergeCell ref="B353:C353"/>
    <mergeCell ref="B354:C35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33.75"/>
  </cols>
  <sheetData>
    <row r="1">
      <c r="A1" s="28" t="s">
        <v>266</v>
      </c>
      <c r="B1" s="21" t="s">
        <v>1</v>
      </c>
      <c r="C1" s="21" t="s">
        <v>79</v>
      </c>
      <c r="D1" s="21" t="s">
        <v>80</v>
      </c>
      <c r="E1" s="21" t="s">
        <v>82</v>
      </c>
      <c r="F1" s="21" t="s">
        <v>83</v>
      </c>
      <c r="G1" s="21" t="s">
        <v>84</v>
      </c>
    </row>
    <row r="2">
      <c r="A2" s="28" t="s">
        <v>267</v>
      </c>
      <c r="B2" s="21" t="s">
        <v>104</v>
      </c>
      <c r="C2" s="21" t="s">
        <v>87</v>
      </c>
      <c r="D2" s="25">
        <v>9900.0</v>
      </c>
      <c r="E2" s="25">
        <v>55.0</v>
      </c>
      <c r="F2" s="25">
        <v>6.51</v>
      </c>
      <c r="G2" s="21" t="s">
        <v>88</v>
      </c>
    </row>
    <row r="3" hidden="1">
      <c r="A3" s="21"/>
      <c r="B3" s="21" t="s">
        <v>852</v>
      </c>
      <c r="C3" s="21" t="s">
        <v>90</v>
      </c>
      <c r="D3" s="25">
        <v>6600.0</v>
      </c>
      <c r="E3" s="25">
        <v>29.0</v>
      </c>
      <c r="F3" s="25">
        <v>5.85</v>
      </c>
      <c r="G3" s="21" t="s">
        <v>212</v>
      </c>
    </row>
    <row r="4" hidden="1">
      <c r="A4" s="21"/>
      <c r="B4" s="21" t="s">
        <v>853</v>
      </c>
      <c r="C4" s="21" t="s">
        <v>99</v>
      </c>
      <c r="D4" s="25">
        <v>4400.0</v>
      </c>
      <c r="E4" s="25">
        <v>33.0</v>
      </c>
      <c r="F4" s="25">
        <v>1.07</v>
      </c>
      <c r="G4" s="21" t="s">
        <v>854</v>
      </c>
    </row>
    <row r="5">
      <c r="A5" s="28" t="s">
        <v>267</v>
      </c>
      <c r="B5" s="21" t="s">
        <v>113</v>
      </c>
      <c r="C5" s="21" t="s">
        <v>87</v>
      </c>
      <c r="D5" s="25">
        <v>2900.0</v>
      </c>
      <c r="E5" s="25">
        <v>32.0</v>
      </c>
      <c r="F5" s="25">
        <v>5.59</v>
      </c>
      <c r="G5" s="21" t="s">
        <v>114</v>
      </c>
    </row>
    <row r="6">
      <c r="A6" s="28" t="s">
        <v>267</v>
      </c>
      <c r="B6" s="21" t="s">
        <v>116</v>
      </c>
      <c r="C6" s="21" t="s">
        <v>117</v>
      </c>
      <c r="D6" s="25">
        <v>1900.0</v>
      </c>
      <c r="E6" s="25">
        <v>17.0</v>
      </c>
      <c r="F6" s="25">
        <v>3.7</v>
      </c>
      <c r="G6" s="21" t="s">
        <v>118</v>
      </c>
    </row>
    <row r="7">
      <c r="A7" s="28" t="s">
        <v>267</v>
      </c>
      <c r="B7" s="21" t="s">
        <v>120</v>
      </c>
      <c r="C7" s="21" t="s">
        <v>87</v>
      </c>
      <c r="D7" s="25">
        <v>1600.0</v>
      </c>
      <c r="E7" s="25">
        <v>29.0</v>
      </c>
      <c r="F7" s="25">
        <v>3.89</v>
      </c>
      <c r="G7" s="21" t="s">
        <v>121</v>
      </c>
    </row>
    <row r="8" hidden="1">
      <c r="A8" s="21"/>
      <c r="B8" s="21" t="s">
        <v>123</v>
      </c>
      <c r="C8" s="21" t="s">
        <v>87</v>
      </c>
      <c r="D8" s="25">
        <v>1600.0</v>
      </c>
      <c r="E8" s="25">
        <v>34.0</v>
      </c>
      <c r="F8" s="25">
        <v>5.59</v>
      </c>
      <c r="G8" s="21" t="s">
        <v>124</v>
      </c>
    </row>
    <row r="9">
      <c r="A9" s="28" t="s">
        <v>267</v>
      </c>
      <c r="B9" s="21" t="s">
        <v>126</v>
      </c>
      <c r="C9" s="21" t="s">
        <v>87</v>
      </c>
      <c r="D9" s="25">
        <v>1300.0</v>
      </c>
      <c r="E9" s="25">
        <v>52.0</v>
      </c>
      <c r="F9" s="25">
        <v>5.59</v>
      </c>
      <c r="G9" s="21" t="s">
        <v>127</v>
      </c>
    </row>
    <row r="10" hidden="1">
      <c r="A10" s="21"/>
      <c r="B10" s="21" t="s">
        <v>129</v>
      </c>
      <c r="C10" s="21" t="s">
        <v>117</v>
      </c>
      <c r="D10" s="25">
        <v>1300.0</v>
      </c>
      <c r="E10" s="25">
        <v>28.0</v>
      </c>
      <c r="F10" s="25">
        <v>1.1</v>
      </c>
      <c r="G10" s="21" t="s">
        <v>130</v>
      </c>
    </row>
    <row r="11" hidden="1">
      <c r="A11" s="21"/>
      <c r="B11" s="21" t="s">
        <v>132</v>
      </c>
      <c r="C11" s="21" t="s">
        <v>117</v>
      </c>
      <c r="D11" s="25">
        <v>1000.0</v>
      </c>
      <c r="E11" s="25">
        <v>11.0</v>
      </c>
      <c r="F11" s="25">
        <v>1.0</v>
      </c>
      <c r="G11" s="21" t="s">
        <v>133</v>
      </c>
    </row>
    <row r="12">
      <c r="A12" s="28" t="s">
        <v>267</v>
      </c>
      <c r="B12" s="21" t="s">
        <v>135</v>
      </c>
      <c r="C12" s="21" t="s">
        <v>87</v>
      </c>
      <c r="D12" s="25">
        <v>880.0</v>
      </c>
      <c r="E12" s="25">
        <v>33.0</v>
      </c>
      <c r="F12" s="25">
        <v>4.69</v>
      </c>
      <c r="G12" s="21" t="s">
        <v>136</v>
      </c>
    </row>
    <row r="13" hidden="1">
      <c r="A13" s="21"/>
      <c r="B13" s="21" t="s">
        <v>419</v>
      </c>
      <c r="C13" s="21" t="s">
        <v>117</v>
      </c>
      <c r="D13" s="25">
        <v>880.0</v>
      </c>
      <c r="E13" s="25">
        <v>19.0</v>
      </c>
      <c r="F13" s="25">
        <v>0.0</v>
      </c>
      <c r="G13" s="21" t="s">
        <v>420</v>
      </c>
    </row>
    <row r="14">
      <c r="A14" s="28" t="s">
        <v>267</v>
      </c>
      <c r="B14" s="21" t="s">
        <v>138</v>
      </c>
      <c r="C14" s="21" t="s">
        <v>90</v>
      </c>
      <c r="D14" s="25">
        <v>720.0</v>
      </c>
      <c r="E14" s="25">
        <v>24.0</v>
      </c>
      <c r="F14" s="25">
        <v>3.83</v>
      </c>
      <c r="G14" s="21" t="s">
        <v>139</v>
      </c>
    </row>
    <row r="15" hidden="1">
      <c r="A15" s="21"/>
      <c r="B15" s="21" t="s">
        <v>140</v>
      </c>
      <c r="C15" s="21" t="s">
        <v>117</v>
      </c>
      <c r="D15" s="25">
        <v>720.0</v>
      </c>
      <c r="E15" s="25">
        <v>24.0</v>
      </c>
      <c r="F15" s="25">
        <v>2.72</v>
      </c>
      <c r="G15" s="21" t="s">
        <v>141</v>
      </c>
    </row>
    <row r="16" hidden="1">
      <c r="A16" s="21"/>
      <c r="B16" s="21" t="s">
        <v>855</v>
      </c>
      <c r="C16" s="21" t="s">
        <v>90</v>
      </c>
      <c r="D16" s="25">
        <v>590.0</v>
      </c>
      <c r="E16" s="25">
        <v>10.0</v>
      </c>
      <c r="F16" s="25">
        <v>6.93</v>
      </c>
      <c r="G16" s="21" t="s">
        <v>856</v>
      </c>
    </row>
    <row r="17">
      <c r="A17" s="28" t="s">
        <v>267</v>
      </c>
      <c r="B17" s="21" t="s">
        <v>167</v>
      </c>
      <c r="C17" s="21" t="s">
        <v>99</v>
      </c>
      <c r="D17" s="25">
        <v>590.0</v>
      </c>
      <c r="E17" s="25">
        <v>37.0</v>
      </c>
      <c r="F17" s="25">
        <v>0.93</v>
      </c>
      <c r="G17" s="21" t="s">
        <v>168</v>
      </c>
    </row>
    <row r="18">
      <c r="A18" s="28" t="s">
        <v>267</v>
      </c>
      <c r="B18" s="21" t="s">
        <v>143</v>
      </c>
      <c r="C18" s="21" t="s">
        <v>87</v>
      </c>
      <c r="D18" s="25">
        <v>590.0</v>
      </c>
      <c r="E18" s="25">
        <v>21.0</v>
      </c>
      <c r="F18" s="25">
        <v>3.71</v>
      </c>
      <c r="G18" s="21" t="s">
        <v>144</v>
      </c>
    </row>
    <row r="19">
      <c r="A19" s="28" t="s">
        <v>267</v>
      </c>
      <c r="B19" s="21" t="s">
        <v>146</v>
      </c>
      <c r="C19" s="21" t="s">
        <v>87</v>
      </c>
      <c r="D19" s="25">
        <v>590.0</v>
      </c>
      <c r="E19" s="25">
        <v>34.0</v>
      </c>
      <c r="F19" s="25">
        <v>3.02</v>
      </c>
      <c r="G19" s="21" t="s">
        <v>147</v>
      </c>
    </row>
    <row r="20" hidden="1">
      <c r="A20" s="21"/>
      <c r="B20" s="21" t="s">
        <v>857</v>
      </c>
      <c r="C20" s="21" t="s">
        <v>87</v>
      </c>
      <c r="D20" s="25">
        <v>480.0</v>
      </c>
      <c r="E20" s="25">
        <v>20.0</v>
      </c>
      <c r="F20" s="25">
        <v>3.82</v>
      </c>
      <c r="G20" s="21" t="s">
        <v>858</v>
      </c>
    </row>
    <row r="21" hidden="1">
      <c r="A21" s="21"/>
      <c r="B21" s="21" t="s">
        <v>859</v>
      </c>
      <c r="C21" s="21" t="s">
        <v>99</v>
      </c>
      <c r="D21" s="25">
        <v>480.0</v>
      </c>
      <c r="E21" s="25">
        <v>32.0</v>
      </c>
      <c r="F21" s="25">
        <v>0.48</v>
      </c>
      <c r="G21" s="21" t="s">
        <v>860</v>
      </c>
    </row>
    <row r="22" hidden="1">
      <c r="A22" s="21"/>
      <c r="B22" s="21" t="s">
        <v>861</v>
      </c>
      <c r="C22" s="21" t="s">
        <v>90</v>
      </c>
      <c r="D22" s="25">
        <v>480.0</v>
      </c>
      <c r="E22" s="25">
        <v>33.0</v>
      </c>
      <c r="F22" s="25">
        <v>8.54</v>
      </c>
      <c r="G22" s="21" t="s">
        <v>862</v>
      </c>
    </row>
    <row r="23" hidden="1">
      <c r="A23" s="21"/>
      <c r="B23" s="21" t="s">
        <v>863</v>
      </c>
      <c r="C23" s="21" t="s">
        <v>99</v>
      </c>
      <c r="D23" s="25">
        <v>480.0</v>
      </c>
      <c r="E23" s="25">
        <v>28.0</v>
      </c>
      <c r="F23" s="25">
        <v>1.32</v>
      </c>
      <c r="G23" s="21" t="s">
        <v>864</v>
      </c>
    </row>
    <row r="24" hidden="1">
      <c r="A24" s="21"/>
      <c r="B24" s="21" t="s">
        <v>865</v>
      </c>
      <c r="C24" s="21" t="s">
        <v>87</v>
      </c>
      <c r="D24" s="25">
        <v>480.0</v>
      </c>
      <c r="E24" s="25">
        <v>23.0</v>
      </c>
      <c r="F24" s="25">
        <v>0.65</v>
      </c>
      <c r="G24" s="21" t="s">
        <v>866</v>
      </c>
    </row>
    <row r="25" hidden="1">
      <c r="A25" s="21"/>
      <c r="B25" s="21" t="s">
        <v>867</v>
      </c>
      <c r="C25" s="21" t="s">
        <v>99</v>
      </c>
      <c r="D25" s="25">
        <v>480.0</v>
      </c>
      <c r="E25" s="25">
        <v>41.0</v>
      </c>
      <c r="F25" s="25">
        <v>0.42</v>
      </c>
      <c r="G25" s="21" t="s">
        <v>868</v>
      </c>
    </row>
    <row r="26" hidden="1">
      <c r="A26" s="21"/>
      <c r="B26" s="21" t="s">
        <v>869</v>
      </c>
      <c r="C26" s="21" t="s">
        <v>99</v>
      </c>
      <c r="D26" s="25">
        <v>480.0</v>
      </c>
      <c r="E26" s="25">
        <v>30.0</v>
      </c>
      <c r="F26" s="25">
        <v>1.25</v>
      </c>
      <c r="G26" s="21" t="s">
        <v>870</v>
      </c>
    </row>
    <row r="27" hidden="1">
      <c r="A27" s="21"/>
      <c r="B27" s="21" t="s">
        <v>421</v>
      </c>
      <c r="C27" s="21" t="s">
        <v>117</v>
      </c>
      <c r="D27" s="25">
        <v>480.0</v>
      </c>
      <c r="E27" s="25">
        <v>17.0</v>
      </c>
      <c r="F27" s="25">
        <v>2.83</v>
      </c>
      <c r="G27" s="21" t="s">
        <v>130</v>
      </c>
    </row>
    <row r="28" hidden="1">
      <c r="A28" s="21"/>
      <c r="B28" s="21" t="s">
        <v>422</v>
      </c>
      <c r="C28" s="21" t="s">
        <v>117</v>
      </c>
      <c r="D28" s="25">
        <v>480.0</v>
      </c>
      <c r="E28" s="25">
        <v>35.0</v>
      </c>
      <c r="F28" s="25">
        <v>1.22</v>
      </c>
      <c r="G28" s="21" t="s">
        <v>423</v>
      </c>
    </row>
    <row r="29" hidden="1">
      <c r="A29" s="21"/>
      <c r="B29" s="21" t="s">
        <v>424</v>
      </c>
      <c r="C29" s="21" t="s">
        <v>117</v>
      </c>
      <c r="D29" s="25">
        <v>480.0</v>
      </c>
      <c r="E29" s="25">
        <v>21.0</v>
      </c>
      <c r="F29" s="25">
        <v>1.1</v>
      </c>
      <c r="G29" s="21" t="s">
        <v>425</v>
      </c>
    </row>
    <row r="30">
      <c r="A30" s="28" t="s">
        <v>267</v>
      </c>
      <c r="B30" s="21" t="s">
        <v>169</v>
      </c>
      <c r="C30" s="21" t="s">
        <v>117</v>
      </c>
      <c r="D30" s="25">
        <v>480.0</v>
      </c>
      <c r="E30" s="25">
        <v>17.0</v>
      </c>
      <c r="F30" s="25">
        <v>3.22</v>
      </c>
      <c r="G30" s="21" t="s">
        <v>170</v>
      </c>
    </row>
    <row r="31" hidden="1">
      <c r="A31" s="21"/>
      <c r="B31" s="21" t="s">
        <v>871</v>
      </c>
      <c r="C31" s="21" t="s">
        <v>117</v>
      </c>
      <c r="D31" s="25">
        <v>480.0</v>
      </c>
      <c r="E31" s="25">
        <v>28.0</v>
      </c>
      <c r="F31" s="25">
        <v>3.5</v>
      </c>
      <c r="G31" s="21" t="s">
        <v>872</v>
      </c>
    </row>
    <row r="32" hidden="1">
      <c r="A32" s="21"/>
      <c r="B32" s="21" t="s">
        <v>873</v>
      </c>
      <c r="C32" s="21" t="s">
        <v>87</v>
      </c>
      <c r="D32" s="25">
        <v>390.0</v>
      </c>
      <c r="E32" s="25">
        <v>37.0</v>
      </c>
      <c r="F32" s="25">
        <v>5.2</v>
      </c>
      <c r="G32" s="21" t="s">
        <v>874</v>
      </c>
    </row>
    <row r="33" hidden="1">
      <c r="A33" s="21"/>
      <c r="B33" s="21" t="s">
        <v>875</v>
      </c>
      <c r="C33" s="21" t="s">
        <v>87</v>
      </c>
      <c r="D33" s="25">
        <v>390.0</v>
      </c>
      <c r="E33" s="25">
        <v>35.0</v>
      </c>
      <c r="F33" s="25">
        <v>6.07</v>
      </c>
      <c r="G33" s="21" t="s">
        <v>876</v>
      </c>
    </row>
    <row r="34" hidden="1">
      <c r="A34" s="21"/>
      <c r="B34" s="21" t="s">
        <v>877</v>
      </c>
      <c r="C34" s="21" t="s">
        <v>87</v>
      </c>
      <c r="D34" s="25">
        <v>390.0</v>
      </c>
      <c r="E34" s="25">
        <v>36.0</v>
      </c>
      <c r="F34" s="25">
        <v>7.28</v>
      </c>
      <c r="G34" s="21" t="s">
        <v>147</v>
      </c>
    </row>
    <row r="35" hidden="1">
      <c r="A35" s="21"/>
      <c r="B35" s="21" t="s">
        <v>878</v>
      </c>
      <c r="C35" s="21" t="s">
        <v>87</v>
      </c>
      <c r="D35" s="25">
        <v>390.0</v>
      </c>
      <c r="E35" s="25">
        <v>23.0</v>
      </c>
      <c r="F35" s="25">
        <v>3.08</v>
      </c>
      <c r="G35" s="21" t="s">
        <v>879</v>
      </c>
    </row>
    <row r="36" hidden="1">
      <c r="A36" s="21"/>
      <c r="B36" s="21" t="s">
        <v>426</v>
      </c>
      <c r="C36" s="21" t="s">
        <v>117</v>
      </c>
      <c r="D36" s="25">
        <v>390.0</v>
      </c>
      <c r="E36" s="25">
        <v>22.0</v>
      </c>
      <c r="F36" s="25">
        <v>0.69</v>
      </c>
      <c r="G36" s="21" t="s">
        <v>427</v>
      </c>
    </row>
    <row r="37" hidden="1">
      <c r="A37" s="21"/>
      <c r="B37" s="21" t="s">
        <v>149</v>
      </c>
      <c r="C37" s="21" t="s">
        <v>87</v>
      </c>
      <c r="D37" s="25">
        <v>390.0</v>
      </c>
      <c r="E37" s="25">
        <v>27.0</v>
      </c>
      <c r="F37" s="25">
        <v>4.37</v>
      </c>
      <c r="G37" s="21" t="s">
        <v>106</v>
      </c>
    </row>
    <row r="38" hidden="1">
      <c r="A38" s="21"/>
      <c r="B38" s="21" t="s">
        <v>880</v>
      </c>
      <c r="C38" s="21" t="s">
        <v>117</v>
      </c>
      <c r="D38" s="25">
        <v>320.0</v>
      </c>
      <c r="E38" s="25">
        <v>22.0</v>
      </c>
      <c r="F38" s="25">
        <v>4.66</v>
      </c>
      <c r="G38" s="21" t="s">
        <v>881</v>
      </c>
    </row>
    <row r="39" hidden="1">
      <c r="A39" s="21"/>
      <c r="B39" s="21" t="s">
        <v>882</v>
      </c>
      <c r="C39" s="21" t="s">
        <v>99</v>
      </c>
      <c r="D39" s="25">
        <v>320.0</v>
      </c>
      <c r="E39" s="25">
        <v>36.0</v>
      </c>
      <c r="F39" s="25">
        <v>1.11</v>
      </c>
      <c r="G39" s="21" t="s">
        <v>186</v>
      </c>
    </row>
    <row r="40" hidden="1">
      <c r="A40" s="21"/>
      <c r="B40" s="21" t="s">
        <v>883</v>
      </c>
      <c r="C40" s="21" t="s">
        <v>87</v>
      </c>
      <c r="D40" s="25">
        <v>320.0</v>
      </c>
      <c r="E40" s="25">
        <v>39.0</v>
      </c>
      <c r="F40" s="25">
        <v>5.18</v>
      </c>
      <c r="G40" s="21" t="s">
        <v>884</v>
      </c>
    </row>
    <row r="41" hidden="1">
      <c r="A41" s="21"/>
      <c r="B41" s="21" t="s">
        <v>885</v>
      </c>
      <c r="C41" s="21" t="s">
        <v>90</v>
      </c>
      <c r="D41" s="25">
        <v>320.0</v>
      </c>
      <c r="E41" s="25">
        <v>18.0</v>
      </c>
      <c r="F41" s="25">
        <v>3.41</v>
      </c>
      <c r="G41" s="21" t="s">
        <v>886</v>
      </c>
    </row>
    <row r="42" hidden="1">
      <c r="A42" s="21"/>
      <c r="B42" s="21" t="s">
        <v>887</v>
      </c>
      <c r="C42" s="21" t="s">
        <v>117</v>
      </c>
      <c r="D42" s="25">
        <v>320.0</v>
      </c>
      <c r="E42" s="25">
        <v>6.0</v>
      </c>
      <c r="F42" s="25">
        <v>3.83</v>
      </c>
      <c r="G42" s="21" t="s">
        <v>429</v>
      </c>
    </row>
    <row r="43" hidden="1">
      <c r="A43" s="21"/>
      <c r="B43" s="21" t="s">
        <v>888</v>
      </c>
      <c r="C43" s="21" t="s">
        <v>87</v>
      </c>
      <c r="D43" s="25">
        <v>260.0</v>
      </c>
      <c r="E43" s="25">
        <v>36.0</v>
      </c>
      <c r="F43" s="25">
        <v>10.74</v>
      </c>
      <c r="G43" s="21" t="s">
        <v>147</v>
      </c>
    </row>
    <row r="44" hidden="1">
      <c r="A44" s="21"/>
      <c r="B44" s="21" t="s">
        <v>889</v>
      </c>
      <c r="C44" s="21" t="s">
        <v>99</v>
      </c>
      <c r="D44" s="25">
        <v>260.0</v>
      </c>
      <c r="E44" s="25">
        <v>21.0</v>
      </c>
      <c r="F44" s="25">
        <v>0.46</v>
      </c>
      <c r="G44" s="21" t="s">
        <v>890</v>
      </c>
    </row>
    <row r="45" hidden="1">
      <c r="A45" s="21"/>
      <c r="B45" s="21" t="s">
        <v>428</v>
      </c>
      <c r="C45" s="21" t="s">
        <v>117</v>
      </c>
      <c r="D45" s="25">
        <v>260.0</v>
      </c>
      <c r="E45" s="25">
        <v>24.0</v>
      </c>
      <c r="F45" s="25">
        <v>2.48</v>
      </c>
      <c r="G45" s="21" t="s">
        <v>429</v>
      </c>
    </row>
    <row r="46" hidden="1">
      <c r="A46" s="21"/>
      <c r="B46" s="21" t="s">
        <v>891</v>
      </c>
      <c r="C46" s="21" t="s">
        <v>117</v>
      </c>
      <c r="D46" s="25">
        <v>260.0</v>
      </c>
      <c r="E46" s="25">
        <v>22.0</v>
      </c>
      <c r="F46" s="25">
        <v>3.04</v>
      </c>
      <c r="G46" s="21" t="s">
        <v>461</v>
      </c>
    </row>
    <row r="47" hidden="1">
      <c r="A47" s="21"/>
      <c r="B47" s="21" t="s">
        <v>892</v>
      </c>
      <c r="C47" s="21" t="s">
        <v>117</v>
      </c>
      <c r="D47" s="25">
        <v>260.0</v>
      </c>
      <c r="E47" s="25">
        <v>3.0</v>
      </c>
      <c r="F47" s="25">
        <v>3.61</v>
      </c>
      <c r="G47" s="21" t="s">
        <v>893</v>
      </c>
    </row>
    <row r="48" hidden="1">
      <c r="A48" s="21"/>
      <c r="B48" s="21" t="s">
        <v>430</v>
      </c>
      <c r="C48" s="21" t="s">
        <v>117</v>
      </c>
      <c r="D48" s="25">
        <v>260.0</v>
      </c>
      <c r="E48" s="25">
        <v>9.0</v>
      </c>
      <c r="F48" s="25">
        <v>3.74</v>
      </c>
      <c r="G48" s="21" t="s">
        <v>431</v>
      </c>
    </row>
    <row r="49" hidden="1">
      <c r="A49" s="21"/>
      <c r="B49" s="21" t="s">
        <v>432</v>
      </c>
      <c r="C49" s="21" t="s">
        <v>117</v>
      </c>
      <c r="D49" s="25">
        <v>260.0</v>
      </c>
      <c r="E49" s="25">
        <v>5.0</v>
      </c>
      <c r="F49" s="25">
        <v>1.21</v>
      </c>
      <c r="G49" s="21" t="s">
        <v>433</v>
      </c>
    </row>
    <row r="50" hidden="1">
      <c r="A50" s="21"/>
      <c r="B50" s="21" t="s">
        <v>894</v>
      </c>
      <c r="D50" s="25">
        <v>260.0</v>
      </c>
      <c r="E50" s="27"/>
      <c r="F50" s="25">
        <v>0.0</v>
      </c>
      <c r="G50" s="27"/>
    </row>
    <row r="51" hidden="1">
      <c r="A51" s="21"/>
      <c r="B51" s="21" t="s">
        <v>895</v>
      </c>
      <c r="C51" s="21" t="s">
        <v>117</v>
      </c>
      <c r="D51" s="25">
        <v>260.0</v>
      </c>
      <c r="E51" s="25">
        <v>26.0</v>
      </c>
      <c r="F51" s="25">
        <v>2.91</v>
      </c>
      <c r="G51" s="21" t="s">
        <v>866</v>
      </c>
    </row>
    <row r="52" hidden="1">
      <c r="A52" s="21"/>
      <c r="B52" s="21" t="s">
        <v>896</v>
      </c>
      <c r="C52" s="21" t="s">
        <v>87</v>
      </c>
      <c r="D52" s="25">
        <v>210.0</v>
      </c>
      <c r="E52" s="25">
        <v>35.0</v>
      </c>
      <c r="F52" s="25">
        <v>6.75</v>
      </c>
      <c r="G52" s="21" t="s">
        <v>897</v>
      </c>
    </row>
    <row r="53" hidden="1">
      <c r="A53" s="21"/>
      <c r="B53" s="21" t="s">
        <v>898</v>
      </c>
      <c r="C53" s="21" t="s">
        <v>117</v>
      </c>
      <c r="D53" s="25">
        <v>210.0</v>
      </c>
      <c r="E53" s="25">
        <v>6.0</v>
      </c>
      <c r="F53" s="25">
        <v>3.83</v>
      </c>
      <c r="G53" s="21" t="s">
        <v>899</v>
      </c>
    </row>
    <row r="54" hidden="1">
      <c r="A54" s="21"/>
      <c r="B54" s="21" t="s">
        <v>900</v>
      </c>
      <c r="C54" s="21" t="s">
        <v>87</v>
      </c>
      <c r="D54" s="25">
        <v>210.0</v>
      </c>
      <c r="E54" s="25">
        <v>30.0</v>
      </c>
      <c r="F54" s="25">
        <v>6.28</v>
      </c>
      <c r="G54" s="21" t="s">
        <v>901</v>
      </c>
    </row>
    <row r="55" hidden="1">
      <c r="A55" s="21"/>
      <c r="B55" s="21" t="s">
        <v>902</v>
      </c>
      <c r="C55" s="21" t="s">
        <v>87</v>
      </c>
      <c r="D55" s="25">
        <v>210.0</v>
      </c>
      <c r="E55" s="25">
        <v>40.0</v>
      </c>
      <c r="F55" s="25">
        <v>9.24</v>
      </c>
      <c r="G55" s="21" t="s">
        <v>903</v>
      </c>
    </row>
    <row r="56" hidden="1">
      <c r="A56" s="21"/>
      <c r="B56" s="21" t="s">
        <v>904</v>
      </c>
      <c r="C56" s="21" t="s">
        <v>87</v>
      </c>
      <c r="D56" s="25">
        <v>210.0</v>
      </c>
      <c r="E56" s="25">
        <v>33.0</v>
      </c>
      <c r="F56" s="25">
        <v>3.87</v>
      </c>
      <c r="G56" s="21" t="s">
        <v>905</v>
      </c>
    </row>
    <row r="57" hidden="1">
      <c r="A57" s="21"/>
      <c r="B57" s="21" t="s">
        <v>906</v>
      </c>
      <c r="C57" s="21" t="s">
        <v>87</v>
      </c>
      <c r="D57" s="25">
        <v>210.0</v>
      </c>
      <c r="E57" s="25">
        <v>12.0</v>
      </c>
      <c r="F57" s="25">
        <v>0.8</v>
      </c>
      <c r="G57" s="21" t="s">
        <v>294</v>
      </c>
    </row>
    <row r="58" hidden="1">
      <c r="A58" s="21"/>
      <c r="B58" s="21" t="s">
        <v>907</v>
      </c>
      <c r="C58" s="21" t="s">
        <v>99</v>
      </c>
      <c r="D58" s="25">
        <v>210.0</v>
      </c>
      <c r="E58" s="25">
        <v>20.0</v>
      </c>
      <c r="F58" s="25">
        <v>1.03</v>
      </c>
      <c r="G58" s="21" t="s">
        <v>908</v>
      </c>
    </row>
    <row r="59" hidden="1">
      <c r="A59" s="21"/>
      <c r="B59" s="21" t="s">
        <v>909</v>
      </c>
      <c r="C59" s="21" t="s">
        <v>160</v>
      </c>
      <c r="D59" s="25">
        <v>210.0</v>
      </c>
      <c r="E59" s="25">
        <v>11.0</v>
      </c>
      <c r="F59" s="25">
        <v>3.83</v>
      </c>
      <c r="G59" s="21" t="s">
        <v>461</v>
      </c>
    </row>
    <row r="60" hidden="1">
      <c r="A60" s="21"/>
      <c r="B60" s="21" t="s">
        <v>910</v>
      </c>
      <c r="D60" s="25">
        <v>210.0</v>
      </c>
      <c r="E60" s="25">
        <v>26.0</v>
      </c>
      <c r="F60" s="25">
        <v>1.26</v>
      </c>
      <c r="G60" s="21" t="s">
        <v>911</v>
      </c>
    </row>
    <row r="61" hidden="1">
      <c r="A61" s="21"/>
      <c r="B61" s="21" t="s">
        <v>912</v>
      </c>
      <c r="C61" s="21" t="s">
        <v>87</v>
      </c>
      <c r="D61" s="25">
        <v>210.0</v>
      </c>
      <c r="E61" s="25">
        <v>32.0</v>
      </c>
      <c r="F61" s="25">
        <v>0.8</v>
      </c>
      <c r="G61" s="21" t="s">
        <v>881</v>
      </c>
    </row>
    <row r="62" hidden="1">
      <c r="A62" s="21"/>
      <c r="B62" s="21" t="s">
        <v>434</v>
      </c>
      <c r="C62" s="21" t="s">
        <v>117</v>
      </c>
      <c r="D62" s="25">
        <v>210.0</v>
      </c>
      <c r="E62" s="25">
        <v>12.0</v>
      </c>
      <c r="F62" s="25">
        <v>0.97</v>
      </c>
      <c r="G62" s="21" t="s">
        <v>435</v>
      </c>
    </row>
    <row r="63" hidden="1">
      <c r="A63" s="21"/>
      <c r="B63" s="21" t="s">
        <v>436</v>
      </c>
      <c r="C63" s="21" t="s">
        <v>117</v>
      </c>
      <c r="D63" s="25">
        <v>210.0</v>
      </c>
      <c r="E63" s="25">
        <v>0.0</v>
      </c>
      <c r="F63" s="25">
        <v>3.6</v>
      </c>
      <c r="G63" s="21" t="s">
        <v>437</v>
      </c>
    </row>
    <row r="64" hidden="1">
      <c r="A64" s="21"/>
      <c r="B64" s="21" t="s">
        <v>438</v>
      </c>
      <c r="D64" s="25">
        <v>210.0</v>
      </c>
      <c r="E64" s="25">
        <v>24.0</v>
      </c>
      <c r="F64" s="25">
        <v>3.8</v>
      </c>
      <c r="G64" s="21" t="s">
        <v>439</v>
      </c>
    </row>
    <row r="65" hidden="1">
      <c r="A65" s="21"/>
      <c r="B65" s="21" t="s">
        <v>913</v>
      </c>
      <c r="C65" s="21" t="s">
        <v>87</v>
      </c>
      <c r="D65" s="25">
        <v>210.0</v>
      </c>
      <c r="E65" s="25">
        <v>25.0</v>
      </c>
      <c r="F65" s="25">
        <v>2.66</v>
      </c>
      <c r="G65" s="21" t="s">
        <v>914</v>
      </c>
    </row>
    <row r="66" hidden="1">
      <c r="A66" s="21"/>
      <c r="B66" s="21" t="s">
        <v>915</v>
      </c>
      <c r="C66" s="21" t="s">
        <v>117</v>
      </c>
      <c r="D66" s="25">
        <v>210.0</v>
      </c>
      <c r="E66" s="25">
        <v>29.0</v>
      </c>
      <c r="F66" s="25">
        <v>3.83</v>
      </c>
      <c r="G66" s="21" t="s">
        <v>916</v>
      </c>
    </row>
    <row r="67" hidden="1">
      <c r="A67" s="21"/>
      <c r="B67" s="21" t="s">
        <v>917</v>
      </c>
      <c r="C67" s="21" t="s">
        <v>87</v>
      </c>
      <c r="D67" s="25">
        <v>210.0</v>
      </c>
      <c r="E67" s="25">
        <v>38.0</v>
      </c>
      <c r="F67" s="25">
        <v>3.48</v>
      </c>
      <c r="G67" s="21" t="s">
        <v>876</v>
      </c>
    </row>
    <row r="68" hidden="1">
      <c r="A68" s="21"/>
      <c r="B68" s="21" t="s">
        <v>918</v>
      </c>
      <c r="C68" s="21" t="s">
        <v>117</v>
      </c>
      <c r="D68" s="25">
        <v>210.0</v>
      </c>
      <c r="E68" s="25">
        <v>37.0</v>
      </c>
      <c r="F68" s="25">
        <v>3.48</v>
      </c>
      <c r="G68" s="21" t="s">
        <v>919</v>
      </c>
    </row>
    <row r="69" hidden="1">
      <c r="A69" s="21"/>
      <c r="B69" s="21" t="s">
        <v>920</v>
      </c>
      <c r="C69" s="21" t="s">
        <v>87</v>
      </c>
      <c r="D69" s="25">
        <v>210.0</v>
      </c>
      <c r="E69" s="25">
        <v>43.0</v>
      </c>
      <c r="F69" s="25">
        <v>3.48</v>
      </c>
      <c r="G69" s="21" t="s">
        <v>921</v>
      </c>
    </row>
    <row r="70" hidden="1">
      <c r="A70" s="21"/>
      <c r="B70" s="21" t="s">
        <v>922</v>
      </c>
      <c r="C70" s="21" t="s">
        <v>99</v>
      </c>
      <c r="D70" s="25">
        <v>210.0</v>
      </c>
      <c r="E70" s="25">
        <v>25.0</v>
      </c>
      <c r="F70" s="25">
        <v>3.71</v>
      </c>
      <c r="G70" s="21" t="s">
        <v>923</v>
      </c>
    </row>
    <row r="71" hidden="1">
      <c r="A71" s="21"/>
      <c r="B71" s="21" t="s">
        <v>153</v>
      </c>
      <c r="C71" s="21" t="s">
        <v>87</v>
      </c>
      <c r="D71" s="25">
        <v>170.0</v>
      </c>
      <c r="E71" s="25">
        <v>21.0</v>
      </c>
      <c r="F71" s="25">
        <v>3.95</v>
      </c>
      <c r="G71" s="21" t="s">
        <v>874</v>
      </c>
    </row>
    <row r="72" hidden="1">
      <c r="A72" s="21"/>
      <c r="B72" s="21" t="s">
        <v>924</v>
      </c>
      <c r="C72" s="21" t="s">
        <v>160</v>
      </c>
      <c r="D72" s="25">
        <v>170.0</v>
      </c>
      <c r="E72" s="25">
        <v>36.0</v>
      </c>
      <c r="F72" s="25">
        <v>1.07</v>
      </c>
      <c r="G72" s="21" t="s">
        <v>925</v>
      </c>
    </row>
    <row r="73" hidden="1">
      <c r="A73" s="21"/>
      <c r="B73" s="21" t="s">
        <v>926</v>
      </c>
      <c r="C73" s="21" t="s">
        <v>87</v>
      </c>
      <c r="D73" s="25">
        <v>170.0</v>
      </c>
      <c r="E73" s="25">
        <v>26.0</v>
      </c>
      <c r="F73" s="25">
        <v>6.85</v>
      </c>
      <c r="G73" s="21" t="s">
        <v>147</v>
      </c>
    </row>
    <row r="74" hidden="1">
      <c r="A74" s="21"/>
      <c r="B74" s="21" t="s">
        <v>927</v>
      </c>
      <c r="C74" s="21" t="s">
        <v>87</v>
      </c>
      <c r="D74" s="25">
        <v>170.0</v>
      </c>
      <c r="E74" s="25">
        <v>45.0</v>
      </c>
      <c r="F74" s="25">
        <v>5.98</v>
      </c>
      <c r="G74" s="21" t="s">
        <v>212</v>
      </c>
    </row>
    <row r="75" hidden="1">
      <c r="A75" s="21"/>
      <c r="B75" s="21" t="s">
        <v>928</v>
      </c>
      <c r="C75" s="21" t="s">
        <v>90</v>
      </c>
      <c r="D75" s="25">
        <v>170.0</v>
      </c>
      <c r="E75" s="25">
        <v>40.0</v>
      </c>
      <c r="F75" s="25">
        <v>7.8</v>
      </c>
      <c r="G75" s="21" t="s">
        <v>929</v>
      </c>
    </row>
    <row r="76" hidden="1">
      <c r="A76" s="21"/>
      <c r="B76" s="21" t="s">
        <v>930</v>
      </c>
      <c r="C76" s="21" t="s">
        <v>87</v>
      </c>
      <c r="D76" s="25">
        <v>170.0</v>
      </c>
      <c r="E76" s="25">
        <v>27.0</v>
      </c>
      <c r="F76" s="25">
        <v>6.24</v>
      </c>
      <c r="G76" s="21" t="s">
        <v>931</v>
      </c>
    </row>
    <row r="77" hidden="1">
      <c r="A77" s="21"/>
      <c r="B77" s="21" t="s">
        <v>932</v>
      </c>
      <c r="C77" s="21" t="s">
        <v>87</v>
      </c>
      <c r="D77" s="25">
        <v>170.0</v>
      </c>
      <c r="E77" s="25">
        <v>40.0</v>
      </c>
      <c r="F77" s="25">
        <v>5.7</v>
      </c>
      <c r="G77" s="21" t="s">
        <v>897</v>
      </c>
    </row>
    <row r="78" hidden="1">
      <c r="A78" s="21"/>
      <c r="B78" s="21" t="s">
        <v>933</v>
      </c>
      <c r="C78" s="21" t="s">
        <v>87</v>
      </c>
      <c r="D78" s="25">
        <v>170.0</v>
      </c>
      <c r="E78" s="25">
        <v>10.0</v>
      </c>
      <c r="F78" s="25">
        <v>5.85</v>
      </c>
      <c r="G78" s="21" t="s">
        <v>934</v>
      </c>
    </row>
    <row r="79" hidden="1">
      <c r="A79" s="21"/>
      <c r="B79" s="21" t="s">
        <v>935</v>
      </c>
      <c r="C79" s="21" t="s">
        <v>90</v>
      </c>
      <c r="D79" s="25">
        <v>170.0</v>
      </c>
      <c r="E79" s="25">
        <v>27.0</v>
      </c>
      <c r="F79" s="25">
        <v>0.86</v>
      </c>
      <c r="G79" s="21" t="s">
        <v>936</v>
      </c>
    </row>
    <row r="80" hidden="1">
      <c r="A80" s="21"/>
      <c r="B80" s="21" t="s">
        <v>937</v>
      </c>
      <c r="C80" s="21" t="s">
        <v>99</v>
      </c>
      <c r="D80" s="25">
        <v>170.0</v>
      </c>
      <c r="E80" s="25">
        <v>26.0</v>
      </c>
      <c r="F80" s="25">
        <v>0.91</v>
      </c>
      <c r="G80" s="21" t="s">
        <v>938</v>
      </c>
    </row>
    <row r="81" hidden="1">
      <c r="A81" s="21"/>
      <c r="B81" s="21" t="s">
        <v>939</v>
      </c>
      <c r="C81" s="21" t="s">
        <v>160</v>
      </c>
      <c r="D81" s="25">
        <v>170.0</v>
      </c>
      <c r="E81" s="25">
        <v>14.0</v>
      </c>
      <c r="F81" s="25">
        <v>3.83</v>
      </c>
      <c r="G81" s="21" t="s">
        <v>899</v>
      </c>
    </row>
    <row r="82" hidden="1">
      <c r="A82" s="21"/>
      <c r="B82" s="21" t="s">
        <v>940</v>
      </c>
      <c r="C82" s="21" t="s">
        <v>117</v>
      </c>
      <c r="D82" s="25">
        <v>170.0</v>
      </c>
      <c r="E82" s="25">
        <v>4.0</v>
      </c>
      <c r="F82" s="25">
        <v>3.83</v>
      </c>
      <c r="G82" s="21" t="s">
        <v>429</v>
      </c>
    </row>
    <row r="83" hidden="1">
      <c r="A83" s="21"/>
      <c r="B83" s="21" t="s">
        <v>440</v>
      </c>
      <c r="C83" s="21" t="s">
        <v>117</v>
      </c>
      <c r="D83" s="25">
        <v>170.0</v>
      </c>
      <c r="E83" s="25">
        <v>37.0</v>
      </c>
      <c r="F83" s="25">
        <v>0.74</v>
      </c>
      <c r="G83" s="21" t="s">
        <v>441</v>
      </c>
    </row>
    <row r="84" hidden="1">
      <c r="A84" s="21"/>
      <c r="B84" s="21" t="s">
        <v>442</v>
      </c>
      <c r="C84" s="21" t="s">
        <v>117</v>
      </c>
      <c r="D84" s="25">
        <v>170.0</v>
      </c>
      <c r="E84" s="25">
        <v>25.0</v>
      </c>
      <c r="F84" s="25">
        <v>1.0</v>
      </c>
      <c r="G84" s="21" t="s">
        <v>130</v>
      </c>
    </row>
    <row r="85" hidden="1">
      <c r="A85" s="21"/>
      <c r="B85" s="21" t="s">
        <v>443</v>
      </c>
      <c r="C85" s="21" t="s">
        <v>117</v>
      </c>
      <c r="D85" s="25">
        <v>170.0</v>
      </c>
      <c r="E85" s="25">
        <v>0.0</v>
      </c>
      <c r="F85" s="25">
        <v>1.21</v>
      </c>
      <c r="G85" s="21" t="s">
        <v>444</v>
      </c>
    </row>
    <row r="86" hidden="1">
      <c r="A86" s="21"/>
      <c r="B86" s="21" t="s">
        <v>445</v>
      </c>
      <c r="C86" s="21" t="s">
        <v>117</v>
      </c>
      <c r="D86" s="25">
        <v>170.0</v>
      </c>
      <c r="E86" s="25">
        <v>22.0</v>
      </c>
      <c r="F86" s="25">
        <v>1.03</v>
      </c>
      <c r="G86" s="21" t="s">
        <v>446</v>
      </c>
    </row>
    <row r="87" hidden="1">
      <c r="A87" s="21"/>
      <c r="B87" s="21" t="s">
        <v>447</v>
      </c>
      <c r="C87" s="21" t="s">
        <v>117</v>
      </c>
      <c r="D87" s="25">
        <v>170.0</v>
      </c>
      <c r="E87" s="25">
        <v>34.0</v>
      </c>
      <c r="F87" s="25">
        <v>0.86</v>
      </c>
      <c r="G87" s="21" t="s">
        <v>429</v>
      </c>
    </row>
    <row r="88" hidden="1">
      <c r="A88" s="21"/>
      <c r="B88" s="21" t="s">
        <v>941</v>
      </c>
      <c r="C88" s="21" t="s">
        <v>90</v>
      </c>
      <c r="D88" s="25">
        <v>170.0</v>
      </c>
      <c r="E88" s="25">
        <v>36.0</v>
      </c>
      <c r="F88" s="25">
        <v>5.8</v>
      </c>
      <c r="G88" s="21" t="s">
        <v>905</v>
      </c>
    </row>
    <row r="89" hidden="1">
      <c r="A89" s="21"/>
      <c r="B89" s="21" t="s">
        <v>942</v>
      </c>
      <c r="C89" s="21" t="s">
        <v>87</v>
      </c>
      <c r="D89" s="25">
        <v>170.0</v>
      </c>
      <c r="E89" s="25">
        <v>46.0</v>
      </c>
      <c r="F89" s="25">
        <v>5.21</v>
      </c>
      <c r="G89" s="21" t="s">
        <v>943</v>
      </c>
    </row>
    <row r="90" hidden="1">
      <c r="A90" s="21"/>
      <c r="B90" s="21" t="s">
        <v>944</v>
      </c>
      <c r="C90" s="21" t="s">
        <v>99</v>
      </c>
      <c r="D90" s="25">
        <v>170.0</v>
      </c>
      <c r="E90" s="25">
        <v>41.0</v>
      </c>
      <c r="F90" s="25">
        <v>0.39</v>
      </c>
      <c r="G90" s="21" t="s">
        <v>945</v>
      </c>
    </row>
    <row r="91" hidden="1">
      <c r="A91" s="21"/>
      <c r="B91" s="21" t="s">
        <v>946</v>
      </c>
      <c r="C91" s="21" t="s">
        <v>87</v>
      </c>
      <c r="D91" s="25">
        <v>140.0</v>
      </c>
      <c r="E91" s="25">
        <v>10.0</v>
      </c>
      <c r="F91" s="25">
        <v>10.53</v>
      </c>
      <c r="G91" s="21" t="s">
        <v>188</v>
      </c>
    </row>
    <row r="92" hidden="1">
      <c r="A92" s="21"/>
      <c r="B92" s="21" t="s">
        <v>947</v>
      </c>
      <c r="C92" s="21" t="s">
        <v>87</v>
      </c>
      <c r="D92" s="25">
        <v>140.0</v>
      </c>
      <c r="E92" s="25">
        <v>6.0</v>
      </c>
      <c r="F92" s="25">
        <v>7.17</v>
      </c>
      <c r="G92" s="21" t="s">
        <v>948</v>
      </c>
    </row>
    <row r="93" hidden="1">
      <c r="A93" s="21"/>
      <c r="B93" s="21" t="s">
        <v>949</v>
      </c>
      <c r="C93" s="21" t="s">
        <v>87</v>
      </c>
      <c r="D93" s="25">
        <v>140.0</v>
      </c>
      <c r="E93" s="25">
        <v>19.0</v>
      </c>
      <c r="F93" s="25">
        <v>6.42</v>
      </c>
      <c r="G93" s="21" t="s">
        <v>950</v>
      </c>
    </row>
    <row r="94" hidden="1">
      <c r="A94" s="22"/>
      <c r="B94" s="22" t="s">
        <v>257</v>
      </c>
      <c r="C94" s="22" t="s">
        <v>87</v>
      </c>
      <c r="D94" s="23">
        <v>140.0</v>
      </c>
      <c r="E94" s="23">
        <v>36.0</v>
      </c>
      <c r="F94" s="23">
        <v>7.94</v>
      </c>
      <c r="G94" s="22" t="s">
        <v>259</v>
      </c>
    </row>
    <row r="95" hidden="1">
      <c r="A95" s="21"/>
      <c r="B95" s="21" t="s">
        <v>951</v>
      </c>
      <c r="C95" s="21" t="s">
        <v>87</v>
      </c>
      <c r="D95" s="25">
        <v>140.0</v>
      </c>
      <c r="E95" s="25">
        <v>0.0</v>
      </c>
      <c r="F95" s="25">
        <v>4.38</v>
      </c>
      <c r="G95" s="21" t="s">
        <v>155</v>
      </c>
    </row>
    <row r="96" hidden="1">
      <c r="A96" s="21"/>
      <c r="B96" s="21" t="s">
        <v>952</v>
      </c>
      <c r="C96" s="21" t="s">
        <v>87</v>
      </c>
      <c r="D96" s="25">
        <v>140.0</v>
      </c>
      <c r="E96" s="25">
        <v>25.0</v>
      </c>
      <c r="F96" s="25">
        <v>7.51</v>
      </c>
      <c r="G96" s="21" t="s">
        <v>147</v>
      </c>
    </row>
    <row r="97" hidden="1">
      <c r="A97" s="21"/>
      <c r="B97" s="21" t="s">
        <v>953</v>
      </c>
      <c r="C97" s="21" t="s">
        <v>87</v>
      </c>
      <c r="D97" s="25">
        <v>140.0</v>
      </c>
      <c r="E97" s="25">
        <v>16.0</v>
      </c>
      <c r="F97" s="25">
        <v>10.67</v>
      </c>
      <c r="G97" s="21" t="s">
        <v>886</v>
      </c>
    </row>
    <row r="98" hidden="1">
      <c r="A98" s="21"/>
      <c r="B98" s="21" t="s">
        <v>448</v>
      </c>
      <c r="C98" s="21" t="s">
        <v>117</v>
      </c>
      <c r="D98" s="25">
        <v>140.0</v>
      </c>
      <c r="E98" s="25">
        <v>22.0</v>
      </c>
      <c r="F98" s="25">
        <v>2.27</v>
      </c>
      <c r="G98" s="21" t="s">
        <v>170</v>
      </c>
    </row>
    <row r="99" hidden="1">
      <c r="A99" s="21"/>
      <c r="B99" s="21" t="s">
        <v>954</v>
      </c>
      <c r="C99" s="21" t="s">
        <v>117</v>
      </c>
      <c r="D99" s="25">
        <v>140.0</v>
      </c>
      <c r="E99" s="25">
        <v>25.0</v>
      </c>
      <c r="F99" s="25">
        <v>2.78</v>
      </c>
      <c r="G99" s="21" t="s">
        <v>955</v>
      </c>
    </row>
    <row r="100" hidden="1">
      <c r="A100" s="21"/>
      <c r="B100" s="21" t="s">
        <v>956</v>
      </c>
      <c r="C100" s="21" t="s">
        <v>87</v>
      </c>
      <c r="D100" s="25">
        <v>140.0</v>
      </c>
      <c r="E100" s="25">
        <v>44.0</v>
      </c>
      <c r="F100" s="25">
        <v>4.39</v>
      </c>
      <c r="G100" s="21" t="s">
        <v>957</v>
      </c>
    </row>
    <row r="101" hidden="1">
      <c r="A101" s="21"/>
      <c r="B101" s="21" t="s">
        <v>958</v>
      </c>
      <c r="C101" s="21" t="s">
        <v>959</v>
      </c>
      <c r="D101" s="25">
        <v>140.0</v>
      </c>
      <c r="E101" s="25">
        <v>39.0</v>
      </c>
      <c r="F101" s="25">
        <v>4.46</v>
      </c>
      <c r="G101" s="21" t="s">
        <v>897</v>
      </c>
    </row>
    <row r="102" hidden="1">
      <c r="A102" s="21"/>
      <c r="B102" s="21" t="s">
        <v>449</v>
      </c>
      <c r="C102" s="21" t="s">
        <v>117</v>
      </c>
      <c r="D102" s="25">
        <v>140.0</v>
      </c>
      <c r="E102" s="25">
        <v>2.0</v>
      </c>
      <c r="F102" s="25">
        <v>1.09</v>
      </c>
      <c r="G102" s="21" t="s">
        <v>450</v>
      </c>
    </row>
    <row r="103" hidden="1">
      <c r="A103" s="21"/>
      <c r="B103" s="21" t="s">
        <v>451</v>
      </c>
      <c r="C103" s="21" t="s">
        <v>117</v>
      </c>
      <c r="D103" s="25">
        <v>140.0</v>
      </c>
      <c r="E103" s="25">
        <v>0.0</v>
      </c>
      <c r="F103" s="25">
        <v>3.23</v>
      </c>
      <c r="G103" s="21" t="s">
        <v>130</v>
      </c>
    </row>
    <row r="104" hidden="1">
      <c r="A104" s="21"/>
      <c r="B104" s="21" t="s">
        <v>960</v>
      </c>
      <c r="C104" s="21" t="s">
        <v>90</v>
      </c>
      <c r="D104" s="25">
        <v>140.0</v>
      </c>
      <c r="E104" s="25">
        <v>27.0</v>
      </c>
      <c r="F104" s="25">
        <v>0.87</v>
      </c>
      <c r="G104" s="21" t="s">
        <v>961</v>
      </c>
    </row>
    <row r="105" hidden="1">
      <c r="A105" s="21"/>
      <c r="B105" s="21" t="s">
        <v>452</v>
      </c>
      <c r="C105" s="21" t="s">
        <v>117</v>
      </c>
      <c r="D105" s="25">
        <v>140.0</v>
      </c>
      <c r="E105" s="25">
        <v>23.0</v>
      </c>
      <c r="F105" s="25">
        <v>2.84</v>
      </c>
      <c r="G105" s="21" t="s">
        <v>453</v>
      </c>
    </row>
    <row r="106" hidden="1">
      <c r="A106" s="21"/>
      <c r="B106" s="21" t="s">
        <v>962</v>
      </c>
      <c r="C106" s="21" t="s">
        <v>87</v>
      </c>
      <c r="D106" s="25">
        <v>110.0</v>
      </c>
      <c r="E106" s="25">
        <v>28.0</v>
      </c>
      <c r="F106" s="25">
        <v>7.18</v>
      </c>
      <c r="G106" s="21" t="s">
        <v>283</v>
      </c>
    </row>
    <row r="107" hidden="1">
      <c r="A107" s="21"/>
      <c r="B107" s="21" t="s">
        <v>963</v>
      </c>
      <c r="C107" s="21" t="s">
        <v>99</v>
      </c>
      <c r="D107" s="25">
        <v>110.0</v>
      </c>
      <c r="E107" s="25">
        <v>29.0</v>
      </c>
      <c r="F107" s="25">
        <v>0.69</v>
      </c>
      <c r="G107" s="21" t="s">
        <v>964</v>
      </c>
    </row>
    <row r="108" hidden="1">
      <c r="A108" s="21"/>
      <c r="B108" s="21" t="s">
        <v>965</v>
      </c>
      <c r="C108" s="21" t="s">
        <v>87</v>
      </c>
      <c r="D108" s="25">
        <v>110.0</v>
      </c>
      <c r="E108" s="25">
        <v>25.0</v>
      </c>
      <c r="F108" s="25">
        <v>6.49</v>
      </c>
      <c r="G108" s="21" t="s">
        <v>966</v>
      </c>
    </row>
    <row r="109" hidden="1">
      <c r="A109" s="21"/>
      <c r="B109" s="21" t="s">
        <v>967</v>
      </c>
      <c r="C109" s="21" t="s">
        <v>87</v>
      </c>
      <c r="D109" s="25">
        <v>110.0</v>
      </c>
      <c r="E109" s="25">
        <v>12.0</v>
      </c>
      <c r="F109" s="25">
        <v>6.6</v>
      </c>
      <c r="G109" s="21" t="s">
        <v>968</v>
      </c>
    </row>
    <row r="110" hidden="1">
      <c r="A110" s="21"/>
      <c r="B110" s="21" t="s">
        <v>969</v>
      </c>
      <c r="C110" s="21" t="s">
        <v>87</v>
      </c>
      <c r="D110" s="25">
        <v>110.0</v>
      </c>
      <c r="E110" s="25">
        <v>29.0</v>
      </c>
      <c r="F110" s="25">
        <v>6.85</v>
      </c>
      <c r="G110" s="21" t="s">
        <v>970</v>
      </c>
    </row>
    <row r="111" hidden="1">
      <c r="A111" s="21"/>
      <c r="B111" s="21" t="s">
        <v>971</v>
      </c>
      <c r="C111" s="21" t="s">
        <v>87</v>
      </c>
      <c r="D111" s="25">
        <v>110.0</v>
      </c>
      <c r="E111" s="25">
        <v>6.0</v>
      </c>
      <c r="F111" s="25">
        <v>7.3</v>
      </c>
      <c r="G111" s="21" t="s">
        <v>972</v>
      </c>
    </row>
    <row r="112" hidden="1">
      <c r="A112" s="21"/>
      <c r="B112" s="21" t="s">
        <v>973</v>
      </c>
      <c r="C112" s="21" t="s">
        <v>87</v>
      </c>
      <c r="D112" s="25">
        <v>110.0</v>
      </c>
      <c r="E112" s="25">
        <v>19.0</v>
      </c>
      <c r="F112" s="25">
        <v>6.98</v>
      </c>
      <c r="G112" s="21" t="s">
        <v>188</v>
      </c>
    </row>
    <row r="113" hidden="1">
      <c r="A113" s="21"/>
      <c r="B113" s="21" t="s">
        <v>974</v>
      </c>
      <c r="C113" s="21" t="s">
        <v>87</v>
      </c>
      <c r="D113" s="25">
        <v>110.0</v>
      </c>
      <c r="E113" s="25">
        <v>13.0</v>
      </c>
      <c r="F113" s="25">
        <v>17.36</v>
      </c>
      <c r="G113" s="21" t="s">
        <v>155</v>
      </c>
    </row>
    <row r="114" hidden="1">
      <c r="A114" s="21"/>
      <c r="B114" s="21" t="s">
        <v>975</v>
      </c>
      <c r="C114" s="21" t="s">
        <v>87</v>
      </c>
      <c r="D114" s="25">
        <v>110.0</v>
      </c>
      <c r="E114" s="25">
        <v>43.0</v>
      </c>
      <c r="F114" s="25">
        <v>4.69</v>
      </c>
      <c r="G114" s="21" t="s">
        <v>976</v>
      </c>
    </row>
    <row r="115" hidden="1">
      <c r="A115" s="21"/>
      <c r="B115" s="21" t="s">
        <v>977</v>
      </c>
      <c r="C115" s="21" t="s">
        <v>160</v>
      </c>
      <c r="D115" s="25">
        <v>110.0</v>
      </c>
      <c r="E115" s="25">
        <v>0.0</v>
      </c>
      <c r="F115" s="25">
        <v>2.3</v>
      </c>
      <c r="G115" s="21" t="s">
        <v>978</v>
      </c>
    </row>
    <row r="116" hidden="1">
      <c r="A116" s="21"/>
      <c r="B116" s="21" t="s">
        <v>979</v>
      </c>
      <c r="C116" s="21" t="s">
        <v>87</v>
      </c>
      <c r="D116" s="25">
        <v>110.0</v>
      </c>
      <c r="E116" s="25">
        <v>32.0</v>
      </c>
      <c r="F116" s="25">
        <v>8.19</v>
      </c>
      <c r="G116" s="21" t="s">
        <v>106</v>
      </c>
    </row>
    <row r="117" hidden="1">
      <c r="A117" s="21"/>
      <c r="B117" s="21" t="s">
        <v>980</v>
      </c>
      <c r="C117" s="21" t="s">
        <v>99</v>
      </c>
      <c r="D117" s="25">
        <v>110.0</v>
      </c>
      <c r="E117" s="25">
        <v>25.0</v>
      </c>
      <c r="F117" s="25">
        <v>0.69</v>
      </c>
      <c r="G117" s="21" t="s">
        <v>981</v>
      </c>
    </row>
    <row r="118" hidden="1">
      <c r="A118" s="21"/>
      <c r="B118" s="21" t="s">
        <v>982</v>
      </c>
      <c r="C118" s="21" t="s">
        <v>87</v>
      </c>
      <c r="D118" s="25">
        <v>110.0</v>
      </c>
      <c r="E118" s="25">
        <v>16.0</v>
      </c>
      <c r="F118" s="25">
        <v>6.81</v>
      </c>
      <c r="G118" s="21" t="s">
        <v>903</v>
      </c>
    </row>
    <row r="119" hidden="1">
      <c r="A119" s="21"/>
      <c r="B119" s="21" t="s">
        <v>983</v>
      </c>
      <c r="C119" s="21" t="s">
        <v>87</v>
      </c>
      <c r="D119" s="25">
        <v>110.0</v>
      </c>
      <c r="E119" s="25">
        <v>38.0</v>
      </c>
      <c r="F119" s="25">
        <v>5.21</v>
      </c>
      <c r="G119" s="21" t="s">
        <v>147</v>
      </c>
    </row>
    <row r="120" hidden="1">
      <c r="A120" s="21"/>
      <c r="B120" s="21" t="s">
        <v>984</v>
      </c>
      <c r="C120" s="21" t="s">
        <v>87</v>
      </c>
      <c r="D120" s="25">
        <v>110.0</v>
      </c>
      <c r="E120" s="25">
        <v>22.0</v>
      </c>
      <c r="F120" s="25">
        <v>6.06</v>
      </c>
      <c r="G120" s="21" t="s">
        <v>985</v>
      </c>
    </row>
    <row r="121" hidden="1">
      <c r="A121" s="21"/>
      <c r="B121" s="21" t="s">
        <v>986</v>
      </c>
      <c r="C121" s="21" t="s">
        <v>87</v>
      </c>
      <c r="D121" s="25">
        <v>110.0</v>
      </c>
      <c r="E121" s="25">
        <v>10.0</v>
      </c>
      <c r="F121" s="25">
        <v>9.38</v>
      </c>
      <c r="G121" s="21" t="s">
        <v>897</v>
      </c>
    </row>
    <row r="122" hidden="1">
      <c r="A122" s="21"/>
      <c r="B122" s="21" t="s">
        <v>987</v>
      </c>
      <c r="C122" s="21" t="s">
        <v>87</v>
      </c>
      <c r="D122" s="25">
        <v>110.0</v>
      </c>
      <c r="E122" s="25">
        <v>13.0</v>
      </c>
      <c r="F122" s="25">
        <v>9.38</v>
      </c>
      <c r="G122" s="21" t="s">
        <v>988</v>
      </c>
    </row>
    <row r="123" hidden="1">
      <c r="A123" s="21"/>
      <c r="B123" s="21" t="s">
        <v>989</v>
      </c>
      <c r="C123" s="21" t="s">
        <v>117</v>
      </c>
      <c r="D123" s="25">
        <v>110.0</v>
      </c>
      <c r="E123" s="25">
        <v>11.0</v>
      </c>
      <c r="F123" s="25">
        <v>3.12</v>
      </c>
      <c r="G123" s="21" t="s">
        <v>170</v>
      </c>
    </row>
    <row r="124" hidden="1">
      <c r="A124" s="21"/>
      <c r="B124" s="21" t="s">
        <v>990</v>
      </c>
      <c r="C124" s="21" t="s">
        <v>87</v>
      </c>
      <c r="D124" s="25">
        <v>110.0</v>
      </c>
      <c r="E124" s="25">
        <v>0.0</v>
      </c>
      <c r="F124" s="25">
        <v>0.0</v>
      </c>
      <c r="G124" s="21" t="s">
        <v>903</v>
      </c>
    </row>
    <row r="125" hidden="1">
      <c r="A125" s="21"/>
      <c r="B125" s="21" t="s">
        <v>991</v>
      </c>
      <c r="C125" s="21" t="s">
        <v>87</v>
      </c>
      <c r="D125" s="25">
        <v>110.0</v>
      </c>
      <c r="E125" s="25">
        <v>17.0</v>
      </c>
      <c r="F125" s="25">
        <v>6.45</v>
      </c>
      <c r="G125" s="21" t="s">
        <v>147</v>
      </c>
    </row>
    <row r="126" hidden="1">
      <c r="A126" s="21"/>
      <c r="B126" s="21" t="s">
        <v>992</v>
      </c>
      <c r="C126" s="21" t="s">
        <v>87</v>
      </c>
      <c r="D126" s="25">
        <v>110.0</v>
      </c>
      <c r="E126" s="25">
        <v>5.0</v>
      </c>
      <c r="F126" s="25">
        <v>6.79</v>
      </c>
      <c r="G126" s="21" t="s">
        <v>993</v>
      </c>
    </row>
    <row r="127" hidden="1">
      <c r="A127" s="21"/>
      <c r="B127" s="21" t="s">
        <v>994</v>
      </c>
      <c r="C127" s="21" t="s">
        <v>87</v>
      </c>
      <c r="D127" s="25">
        <v>110.0</v>
      </c>
      <c r="E127" s="25">
        <v>17.0</v>
      </c>
      <c r="F127" s="25">
        <v>7.34</v>
      </c>
      <c r="G127" s="21" t="s">
        <v>995</v>
      </c>
    </row>
    <row r="128" hidden="1">
      <c r="A128" s="21"/>
      <c r="B128" s="21" t="s">
        <v>996</v>
      </c>
      <c r="C128" s="21" t="s">
        <v>87</v>
      </c>
      <c r="D128" s="25">
        <v>110.0</v>
      </c>
      <c r="E128" s="25">
        <v>0.0</v>
      </c>
      <c r="F128" s="25">
        <v>6.83</v>
      </c>
      <c r="G128" s="21" t="s">
        <v>259</v>
      </c>
    </row>
    <row r="129" hidden="1">
      <c r="A129" s="21"/>
      <c r="B129" s="21" t="s">
        <v>997</v>
      </c>
      <c r="C129" s="21" t="s">
        <v>87</v>
      </c>
      <c r="D129" s="25">
        <v>110.0</v>
      </c>
      <c r="E129" s="25">
        <v>42.0</v>
      </c>
      <c r="F129" s="25">
        <v>7.68</v>
      </c>
      <c r="G129" s="21" t="s">
        <v>998</v>
      </c>
    </row>
    <row r="130" hidden="1">
      <c r="A130" s="21"/>
      <c r="B130" s="21" t="s">
        <v>999</v>
      </c>
      <c r="C130" s="21" t="s">
        <v>87</v>
      </c>
      <c r="D130" s="25">
        <v>110.0</v>
      </c>
      <c r="E130" s="25">
        <v>16.0</v>
      </c>
      <c r="F130" s="25">
        <v>1.76</v>
      </c>
      <c r="G130" s="21" t="s">
        <v>1000</v>
      </c>
    </row>
    <row r="131" hidden="1">
      <c r="A131" s="21"/>
      <c r="B131" s="21" t="s">
        <v>454</v>
      </c>
      <c r="C131" s="21" t="s">
        <v>117</v>
      </c>
      <c r="D131" s="25">
        <v>110.0</v>
      </c>
      <c r="E131" s="25">
        <v>17.0</v>
      </c>
      <c r="F131" s="25">
        <v>3.11</v>
      </c>
      <c r="G131" s="21" t="s">
        <v>455</v>
      </c>
    </row>
    <row r="132" hidden="1">
      <c r="A132" s="21"/>
      <c r="B132" s="21" t="s">
        <v>1001</v>
      </c>
      <c r="C132" s="21" t="s">
        <v>87</v>
      </c>
      <c r="D132" s="25">
        <v>110.0</v>
      </c>
      <c r="E132" s="25">
        <v>35.0</v>
      </c>
      <c r="F132" s="25">
        <v>5.18</v>
      </c>
      <c r="G132" s="21" t="s">
        <v>144</v>
      </c>
    </row>
    <row r="133" hidden="1">
      <c r="A133" s="21"/>
      <c r="B133" s="21" t="s">
        <v>1002</v>
      </c>
      <c r="C133" s="21" t="s">
        <v>87</v>
      </c>
      <c r="D133" s="25">
        <v>110.0</v>
      </c>
      <c r="E133" s="25">
        <v>27.0</v>
      </c>
      <c r="F133" s="25">
        <v>2.76</v>
      </c>
      <c r="G133" s="21" t="s">
        <v>1003</v>
      </c>
    </row>
    <row r="134" hidden="1">
      <c r="A134" s="21"/>
      <c r="B134" s="21" t="s">
        <v>1004</v>
      </c>
      <c r="C134" s="21" t="s">
        <v>117</v>
      </c>
      <c r="D134" s="25">
        <v>110.0</v>
      </c>
      <c r="E134" s="25">
        <v>39.0</v>
      </c>
      <c r="F134" s="25">
        <v>3.11</v>
      </c>
      <c r="G134" s="21" t="s">
        <v>1005</v>
      </c>
    </row>
    <row r="135" hidden="1">
      <c r="A135" s="21"/>
      <c r="B135" s="21" t="s">
        <v>1006</v>
      </c>
      <c r="C135" s="21" t="s">
        <v>90</v>
      </c>
      <c r="D135" s="25">
        <v>110.0</v>
      </c>
      <c r="E135" s="25">
        <v>23.0</v>
      </c>
      <c r="F135" s="25">
        <v>5.8</v>
      </c>
      <c r="G135" s="21" t="s">
        <v>1007</v>
      </c>
    </row>
    <row r="136" hidden="1">
      <c r="A136" s="21"/>
      <c r="B136" s="21" t="s">
        <v>1008</v>
      </c>
      <c r="C136" s="21" t="s">
        <v>99</v>
      </c>
      <c r="D136" s="25">
        <v>110.0</v>
      </c>
      <c r="E136" s="25">
        <v>43.0</v>
      </c>
      <c r="F136" s="25">
        <v>0.39</v>
      </c>
      <c r="G136" s="21" t="s">
        <v>1009</v>
      </c>
    </row>
    <row r="137" hidden="1">
      <c r="A137" s="21"/>
      <c r="B137" s="21" t="s">
        <v>1010</v>
      </c>
      <c r="C137" s="21" t="s">
        <v>99</v>
      </c>
      <c r="D137" s="25">
        <v>110.0</v>
      </c>
      <c r="E137" s="25">
        <v>23.0</v>
      </c>
      <c r="F137" s="25">
        <v>0.64</v>
      </c>
      <c r="G137" s="21" t="s">
        <v>1011</v>
      </c>
    </row>
    <row r="138" hidden="1">
      <c r="A138" s="21"/>
      <c r="B138" s="21" t="s">
        <v>1012</v>
      </c>
      <c r="C138" s="21" t="s">
        <v>87</v>
      </c>
      <c r="D138" s="25">
        <v>90.0</v>
      </c>
      <c r="E138" s="25">
        <v>7.0</v>
      </c>
      <c r="F138" s="25">
        <v>2.55</v>
      </c>
      <c r="G138" s="21" t="s">
        <v>188</v>
      </c>
    </row>
    <row r="139" hidden="1">
      <c r="A139" s="21"/>
      <c r="B139" s="21" t="s">
        <v>1013</v>
      </c>
      <c r="C139" s="21" t="s">
        <v>87</v>
      </c>
      <c r="D139" s="25">
        <v>90.0</v>
      </c>
      <c r="E139" s="25">
        <v>20.0</v>
      </c>
      <c r="F139" s="25">
        <v>6.6</v>
      </c>
      <c r="G139" s="21" t="s">
        <v>1014</v>
      </c>
    </row>
    <row r="140" hidden="1">
      <c r="A140" s="21"/>
      <c r="B140" s="21" t="s">
        <v>1015</v>
      </c>
      <c r="C140" s="21" t="s">
        <v>117</v>
      </c>
      <c r="D140" s="25">
        <v>90.0</v>
      </c>
      <c r="E140" s="25">
        <v>23.0</v>
      </c>
      <c r="F140" s="25">
        <v>6.03</v>
      </c>
      <c r="G140" s="21" t="s">
        <v>1016</v>
      </c>
    </row>
    <row r="141" hidden="1">
      <c r="A141" s="21"/>
      <c r="B141" s="21" t="s">
        <v>1017</v>
      </c>
      <c r="C141" s="21" t="s">
        <v>87</v>
      </c>
      <c r="D141" s="25">
        <v>90.0</v>
      </c>
      <c r="E141" s="25">
        <v>9.0</v>
      </c>
      <c r="F141" s="25">
        <v>6.03</v>
      </c>
      <c r="G141" s="21" t="s">
        <v>1018</v>
      </c>
    </row>
    <row r="142" hidden="1">
      <c r="A142" s="21"/>
      <c r="B142" s="21" t="s">
        <v>1019</v>
      </c>
      <c r="C142" s="21" t="s">
        <v>90</v>
      </c>
      <c r="D142" s="25">
        <v>90.0</v>
      </c>
      <c r="E142" s="25">
        <v>32.0</v>
      </c>
      <c r="F142" s="25">
        <v>1.51</v>
      </c>
      <c r="G142" s="21" t="s">
        <v>854</v>
      </c>
    </row>
    <row r="143" hidden="1">
      <c r="A143" s="21"/>
      <c r="B143" s="21" t="s">
        <v>1020</v>
      </c>
      <c r="C143" s="21" t="s">
        <v>87</v>
      </c>
      <c r="D143" s="25">
        <v>90.0</v>
      </c>
      <c r="E143" s="25">
        <v>16.0</v>
      </c>
      <c r="F143" s="25">
        <v>6.14</v>
      </c>
      <c r="G143" s="21" t="s">
        <v>1021</v>
      </c>
    </row>
    <row r="144" hidden="1">
      <c r="A144" s="21"/>
      <c r="B144" s="21" t="s">
        <v>1022</v>
      </c>
      <c r="C144" s="21" t="s">
        <v>87</v>
      </c>
      <c r="D144" s="25">
        <v>90.0</v>
      </c>
      <c r="E144" s="25">
        <v>11.0</v>
      </c>
      <c r="F144" s="25">
        <v>5.37</v>
      </c>
      <c r="G144" s="21" t="s">
        <v>155</v>
      </c>
    </row>
    <row r="145" hidden="1">
      <c r="A145" s="21"/>
      <c r="B145" s="21" t="s">
        <v>1023</v>
      </c>
      <c r="C145" s="21" t="s">
        <v>87</v>
      </c>
      <c r="D145" s="25">
        <v>90.0</v>
      </c>
      <c r="E145" s="25">
        <v>44.0</v>
      </c>
      <c r="F145" s="25">
        <v>3.93</v>
      </c>
      <c r="G145" s="21" t="s">
        <v>988</v>
      </c>
    </row>
    <row r="146" hidden="1">
      <c r="A146" s="21"/>
      <c r="B146" s="21" t="s">
        <v>1024</v>
      </c>
      <c r="C146" s="21" t="s">
        <v>87</v>
      </c>
      <c r="D146" s="25">
        <v>90.0</v>
      </c>
      <c r="E146" s="25">
        <v>19.0</v>
      </c>
      <c r="F146" s="25">
        <v>5.21</v>
      </c>
      <c r="G146" s="21" t="s">
        <v>155</v>
      </c>
    </row>
    <row r="147" hidden="1">
      <c r="A147" s="21"/>
      <c r="B147" s="21" t="s">
        <v>1025</v>
      </c>
      <c r="C147" s="21" t="s">
        <v>87</v>
      </c>
      <c r="D147" s="25">
        <v>90.0</v>
      </c>
      <c r="E147" s="25">
        <v>27.0</v>
      </c>
      <c r="F147" s="25">
        <v>3.96</v>
      </c>
      <c r="G147" s="21" t="s">
        <v>147</v>
      </c>
    </row>
    <row r="148" hidden="1">
      <c r="A148" s="21"/>
      <c r="B148" s="21" t="s">
        <v>1026</v>
      </c>
      <c r="C148" s="21" t="s">
        <v>87</v>
      </c>
      <c r="D148" s="25">
        <v>90.0</v>
      </c>
      <c r="E148" s="25">
        <v>0.0</v>
      </c>
      <c r="F148" s="25">
        <v>5.74</v>
      </c>
      <c r="G148" s="21" t="s">
        <v>1027</v>
      </c>
    </row>
    <row r="149" hidden="1">
      <c r="A149" s="21"/>
      <c r="B149" s="21" t="s">
        <v>1028</v>
      </c>
      <c r="C149" s="21" t="s">
        <v>87</v>
      </c>
      <c r="D149" s="25">
        <v>90.0</v>
      </c>
      <c r="E149" s="25">
        <v>6.0</v>
      </c>
      <c r="F149" s="25">
        <v>12.26</v>
      </c>
      <c r="G149" s="21" t="s">
        <v>1029</v>
      </c>
    </row>
    <row r="150" hidden="1">
      <c r="A150" s="21"/>
      <c r="B150" s="21" t="s">
        <v>1030</v>
      </c>
      <c r="C150" s="21" t="s">
        <v>87</v>
      </c>
      <c r="D150" s="25">
        <v>90.0</v>
      </c>
      <c r="E150" s="25">
        <v>3.0</v>
      </c>
      <c r="F150" s="25">
        <v>5.75</v>
      </c>
      <c r="G150" s="21" t="s">
        <v>972</v>
      </c>
    </row>
    <row r="151" hidden="1">
      <c r="A151" s="21"/>
      <c r="B151" s="21" t="s">
        <v>1031</v>
      </c>
      <c r="C151" s="21" t="s">
        <v>87</v>
      </c>
      <c r="D151" s="25">
        <v>90.0</v>
      </c>
      <c r="E151" s="25">
        <v>17.0</v>
      </c>
      <c r="F151" s="25">
        <v>8.35</v>
      </c>
      <c r="G151" s="21" t="s">
        <v>212</v>
      </c>
    </row>
    <row r="152" hidden="1">
      <c r="A152" s="21"/>
      <c r="B152" s="21" t="s">
        <v>1032</v>
      </c>
      <c r="C152" s="21" t="s">
        <v>87</v>
      </c>
      <c r="D152" s="25">
        <v>90.0</v>
      </c>
      <c r="E152" s="25">
        <v>11.0</v>
      </c>
      <c r="F152" s="25">
        <v>0.0</v>
      </c>
      <c r="G152" s="21" t="s">
        <v>1033</v>
      </c>
    </row>
    <row r="153" hidden="1">
      <c r="A153" s="21"/>
      <c r="B153" s="21" t="s">
        <v>1034</v>
      </c>
      <c r="C153" s="21" t="s">
        <v>117</v>
      </c>
      <c r="D153" s="25">
        <v>90.0</v>
      </c>
      <c r="E153" s="25">
        <v>0.0</v>
      </c>
      <c r="F153" s="25">
        <v>0.0</v>
      </c>
      <c r="G153" s="21" t="s">
        <v>1035</v>
      </c>
    </row>
    <row r="154" hidden="1">
      <c r="A154" s="21"/>
      <c r="B154" s="21" t="s">
        <v>1036</v>
      </c>
      <c r="C154" s="21" t="s">
        <v>87</v>
      </c>
      <c r="D154" s="25">
        <v>90.0</v>
      </c>
      <c r="E154" s="25">
        <v>38.0</v>
      </c>
      <c r="F154" s="25">
        <v>0.0</v>
      </c>
      <c r="G154" s="21" t="s">
        <v>1037</v>
      </c>
    </row>
    <row r="155" hidden="1">
      <c r="A155" s="21"/>
      <c r="B155" s="21" t="s">
        <v>1038</v>
      </c>
      <c r="C155" s="21" t="s">
        <v>87</v>
      </c>
      <c r="D155" s="25">
        <v>90.0</v>
      </c>
      <c r="E155" s="25">
        <v>5.0</v>
      </c>
      <c r="F155" s="25">
        <v>0.0</v>
      </c>
      <c r="G155" s="21" t="s">
        <v>1039</v>
      </c>
    </row>
    <row r="156" hidden="1">
      <c r="A156" s="21"/>
      <c r="B156" s="21" t="s">
        <v>1040</v>
      </c>
      <c r="C156" s="21" t="s">
        <v>87</v>
      </c>
      <c r="D156" s="25">
        <v>90.0</v>
      </c>
      <c r="E156" s="25">
        <v>7.0</v>
      </c>
      <c r="F156" s="25">
        <v>3.37</v>
      </c>
      <c r="G156" s="21" t="s">
        <v>1041</v>
      </c>
    </row>
    <row r="157" hidden="1">
      <c r="A157" s="21"/>
      <c r="B157" s="21" t="s">
        <v>1042</v>
      </c>
      <c r="C157" s="21" t="s">
        <v>90</v>
      </c>
      <c r="D157" s="25">
        <v>90.0</v>
      </c>
      <c r="E157" s="25">
        <v>17.0</v>
      </c>
      <c r="F157" s="25">
        <v>6.11</v>
      </c>
      <c r="G157" s="21" t="s">
        <v>259</v>
      </c>
    </row>
    <row r="158" hidden="1">
      <c r="A158" s="21"/>
      <c r="B158" s="21" t="s">
        <v>1043</v>
      </c>
      <c r="C158" s="21" t="s">
        <v>87</v>
      </c>
      <c r="D158" s="25">
        <v>90.0</v>
      </c>
      <c r="E158" s="25">
        <v>30.0</v>
      </c>
      <c r="F158" s="25">
        <v>5.4</v>
      </c>
      <c r="G158" s="21" t="s">
        <v>124</v>
      </c>
    </row>
    <row r="159" hidden="1">
      <c r="A159" s="21"/>
      <c r="B159" s="21" t="s">
        <v>1044</v>
      </c>
      <c r="C159" s="21" t="s">
        <v>90</v>
      </c>
      <c r="D159" s="25">
        <v>90.0</v>
      </c>
      <c r="E159" s="25">
        <v>20.0</v>
      </c>
      <c r="F159" s="25">
        <v>3.77</v>
      </c>
      <c r="G159" s="21" t="s">
        <v>1045</v>
      </c>
    </row>
    <row r="160" hidden="1">
      <c r="A160" s="21"/>
      <c r="B160" s="21" t="s">
        <v>1046</v>
      </c>
      <c r="C160" s="21" t="s">
        <v>99</v>
      </c>
      <c r="D160" s="25">
        <v>90.0</v>
      </c>
      <c r="E160" s="25">
        <v>26.0</v>
      </c>
      <c r="F160" s="25">
        <v>0.86</v>
      </c>
      <c r="G160" s="21" t="s">
        <v>936</v>
      </c>
    </row>
    <row r="161" hidden="1">
      <c r="A161" s="21"/>
      <c r="B161" s="21" t="s">
        <v>456</v>
      </c>
      <c r="C161" s="21" t="s">
        <v>117</v>
      </c>
      <c r="D161" s="25">
        <v>90.0</v>
      </c>
      <c r="E161" s="25">
        <v>14.0</v>
      </c>
      <c r="F161" s="25">
        <v>0.0</v>
      </c>
      <c r="G161" s="21" t="s">
        <v>457</v>
      </c>
    </row>
    <row r="162" hidden="1">
      <c r="A162" s="21"/>
      <c r="B162" s="21" t="s">
        <v>1047</v>
      </c>
      <c r="C162" s="21" t="s">
        <v>160</v>
      </c>
      <c r="D162" s="25">
        <v>90.0</v>
      </c>
      <c r="E162" s="25">
        <v>14.0</v>
      </c>
      <c r="F162" s="25">
        <v>3.93</v>
      </c>
      <c r="G162" s="21" t="s">
        <v>1048</v>
      </c>
    </row>
    <row r="163" hidden="1">
      <c r="A163" s="21"/>
      <c r="B163" s="21" t="s">
        <v>1049</v>
      </c>
      <c r="C163" s="21" t="s">
        <v>1050</v>
      </c>
      <c r="D163" s="25">
        <v>90.0</v>
      </c>
      <c r="E163" s="25">
        <v>24.0</v>
      </c>
      <c r="F163" s="25">
        <v>7.21</v>
      </c>
      <c r="G163" s="21" t="s">
        <v>147</v>
      </c>
    </row>
    <row r="164" hidden="1">
      <c r="A164" s="21"/>
      <c r="B164" s="21" t="s">
        <v>1051</v>
      </c>
      <c r="C164" s="21" t="s">
        <v>87</v>
      </c>
      <c r="D164" s="25">
        <v>90.0</v>
      </c>
      <c r="E164" s="25">
        <v>5.0</v>
      </c>
      <c r="F164" s="25">
        <v>0.0</v>
      </c>
      <c r="G164" s="21" t="s">
        <v>1052</v>
      </c>
    </row>
    <row r="165" hidden="1">
      <c r="A165" s="21"/>
      <c r="B165" s="21" t="s">
        <v>1053</v>
      </c>
      <c r="C165" s="21" t="s">
        <v>160</v>
      </c>
      <c r="D165" s="25">
        <v>90.0</v>
      </c>
      <c r="E165" s="25">
        <v>32.0</v>
      </c>
      <c r="F165" s="25">
        <v>1.15</v>
      </c>
      <c r="G165" s="21" t="s">
        <v>1054</v>
      </c>
    </row>
    <row r="166" hidden="1">
      <c r="A166" s="21"/>
      <c r="B166" s="21" t="s">
        <v>1055</v>
      </c>
      <c r="C166" s="21" t="s">
        <v>87</v>
      </c>
      <c r="D166" s="25">
        <v>90.0</v>
      </c>
      <c r="E166" s="25">
        <v>29.0</v>
      </c>
      <c r="F166" s="25">
        <v>0.54</v>
      </c>
      <c r="G166" s="21" t="s">
        <v>1056</v>
      </c>
    </row>
    <row r="167" hidden="1">
      <c r="A167" s="21"/>
      <c r="B167" s="21" t="s">
        <v>1057</v>
      </c>
      <c r="C167" s="21" t="s">
        <v>99</v>
      </c>
      <c r="D167" s="25">
        <v>90.0</v>
      </c>
      <c r="E167" s="25">
        <v>33.0</v>
      </c>
      <c r="F167" s="25">
        <v>0.48</v>
      </c>
      <c r="G167" s="21" t="s">
        <v>908</v>
      </c>
    </row>
    <row r="168" hidden="1">
      <c r="A168" s="21"/>
      <c r="B168" s="21" t="s">
        <v>1058</v>
      </c>
      <c r="C168" s="21" t="s">
        <v>117</v>
      </c>
      <c r="D168" s="25">
        <v>90.0</v>
      </c>
      <c r="E168" s="25">
        <v>17.0</v>
      </c>
      <c r="F168" s="25">
        <v>0.93</v>
      </c>
      <c r="G168" s="21" t="s">
        <v>1059</v>
      </c>
    </row>
    <row r="169" hidden="1">
      <c r="A169" s="21"/>
      <c r="B169" s="21" t="s">
        <v>1060</v>
      </c>
      <c r="C169" s="21" t="s">
        <v>90</v>
      </c>
      <c r="D169" s="25">
        <v>90.0</v>
      </c>
      <c r="E169" s="25">
        <v>35.0</v>
      </c>
      <c r="F169" s="25">
        <v>5.8</v>
      </c>
      <c r="G169" s="21" t="s">
        <v>259</v>
      </c>
    </row>
    <row r="170" hidden="1">
      <c r="A170" s="21"/>
      <c r="B170" s="21" t="s">
        <v>1061</v>
      </c>
      <c r="C170" s="21" t="s">
        <v>87</v>
      </c>
      <c r="D170" s="25">
        <v>90.0</v>
      </c>
      <c r="E170" s="25">
        <v>18.0</v>
      </c>
      <c r="F170" s="25">
        <v>7.17</v>
      </c>
      <c r="G170" s="21" t="s">
        <v>188</v>
      </c>
    </row>
    <row r="171" hidden="1">
      <c r="A171" s="21"/>
      <c r="B171" s="21" t="s">
        <v>1062</v>
      </c>
      <c r="C171" s="21" t="s">
        <v>160</v>
      </c>
      <c r="D171" s="25">
        <v>90.0</v>
      </c>
      <c r="E171" s="25">
        <v>19.0</v>
      </c>
      <c r="F171" s="25">
        <v>0.0</v>
      </c>
      <c r="G171" s="21" t="s">
        <v>1063</v>
      </c>
    </row>
    <row r="172" hidden="1">
      <c r="A172" s="21"/>
      <c r="B172" s="21" t="s">
        <v>1064</v>
      </c>
      <c r="C172" s="21" t="s">
        <v>1065</v>
      </c>
      <c r="D172" s="25">
        <v>90.0</v>
      </c>
      <c r="E172" s="25">
        <v>32.0</v>
      </c>
      <c r="F172" s="25">
        <v>3.64</v>
      </c>
      <c r="G172" s="21" t="s">
        <v>1066</v>
      </c>
    </row>
    <row r="173" hidden="1">
      <c r="A173" s="21"/>
      <c r="B173" s="21" t="s">
        <v>1067</v>
      </c>
      <c r="C173" s="21" t="s">
        <v>117</v>
      </c>
      <c r="D173" s="25">
        <v>70.0</v>
      </c>
      <c r="E173" s="25">
        <v>7.0</v>
      </c>
      <c r="F173" s="25">
        <v>0.0</v>
      </c>
      <c r="G173" s="21" t="s">
        <v>1068</v>
      </c>
    </row>
    <row r="174" hidden="1">
      <c r="A174" s="21"/>
      <c r="B174" s="21" t="s">
        <v>1069</v>
      </c>
      <c r="C174" s="21" t="s">
        <v>87</v>
      </c>
      <c r="D174" s="25">
        <v>70.0</v>
      </c>
      <c r="E174" s="25">
        <v>25.0</v>
      </c>
      <c r="F174" s="25">
        <v>5.58</v>
      </c>
      <c r="G174" s="21" t="s">
        <v>147</v>
      </c>
    </row>
    <row r="175" hidden="1">
      <c r="A175" s="21"/>
      <c r="B175" s="21" t="s">
        <v>1070</v>
      </c>
      <c r="C175" s="21" t="s">
        <v>87</v>
      </c>
      <c r="D175" s="25">
        <v>70.0</v>
      </c>
      <c r="E175" s="25">
        <v>25.0</v>
      </c>
      <c r="F175" s="25">
        <v>8.35</v>
      </c>
      <c r="G175" s="21" t="s">
        <v>1071</v>
      </c>
    </row>
    <row r="176" hidden="1">
      <c r="A176" s="21"/>
      <c r="B176" s="21" t="s">
        <v>1072</v>
      </c>
      <c r="C176" s="21" t="s">
        <v>160</v>
      </c>
      <c r="D176" s="25">
        <v>70.0</v>
      </c>
      <c r="E176" s="25">
        <v>11.0</v>
      </c>
      <c r="F176" s="25">
        <v>0.0</v>
      </c>
      <c r="G176" s="21" t="s">
        <v>1073</v>
      </c>
    </row>
    <row r="177" hidden="1">
      <c r="A177" s="21"/>
      <c r="B177" s="21" t="s">
        <v>1074</v>
      </c>
      <c r="C177" s="21" t="s">
        <v>87</v>
      </c>
      <c r="D177" s="25">
        <v>70.0</v>
      </c>
      <c r="E177" s="25">
        <v>13.0</v>
      </c>
      <c r="F177" s="25">
        <v>0.0</v>
      </c>
      <c r="G177" s="21" t="s">
        <v>1075</v>
      </c>
    </row>
    <row r="178" hidden="1">
      <c r="A178" s="21"/>
      <c r="B178" s="21" t="s">
        <v>1076</v>
      </c>
      <c r="C178" s="21" t="s">
        <v>90</v>
      </c>
      <c r="D178" s="25">
        <v>70.0</v>
      </c>
      <c r="E178" s="25">
        <v>22.0</v>
      </c>
      <c r="F178" s="25">
        <v>0.42</v>
      </c>
      <c r="G178" s="21" t="s">
        <v>1077</v>
      </c>
    </row>
    <row r="179" hidden="1">
      <c r="A179" s="21"/>
      <c r="B179" s="21" t="s">
        <v>1078</v>
      </c>
      <c r="C179" s="21" t="s">
        <v>117</v>
      </c>
      <c r="D179" s="25">
        <v>70.0</v>
      </c>
      <c r="E179" s="25">
        <v>36.0</v>
      </c>
      <c r="F179" s="25">
        <v>0.93</v>
      </c>
      <c r="G179" s="21" t="s">
        <v>1079</v>
      </c>
    </row>
    <row r="180" hidden="1">
      <c r="A180" s="21"/>
      <c r="B180" s="21" t="s">
        <v>1080</v>
      </c>
      <c r="C180" s="21" t="s">
        <v>160</v>
      </c>
      <c r="D180" s="25">
        <v>70.0</v>
      </c>
      <c r="E180" s="25">
        <v>0.0</v>
      </c>
      <c r="F180" s="25">
        <v>2.02</v>
      </c>
      <c r="G180" s="21" t="s">
        <v>1081</v>
      </c>
    </row>
    <row r="181" hidden="1">
      <c r="A181" s="21"/>
      <c r="B181" s="21" t="s">
        <v>1082</v>
      </c>
      <c r="C181" s="21" t="s">
        <v>99</v>
      </c>
      <c r="D181" s="25">
        <v>70.0</v>
      </c>
      <c r="E181" s="25">
        <v>24.0</v>
      </c>
      <c r="F181" s="25">
        <v>0.9</v>
      </c>
      <c r="G181" s="21" t="s">
        <v>1083</v>
      </c>
    </row>
    <row r="182" hidden="1">
      <c r="A182" s="21"/>
      <c r="B182" s="21" t="s">
        <v>1084</v>
      </c>
      <c r="C182" s="21" t="s">
        <v>117</v>
      </c>
      <c r="D182" s="25">
        <v>70.0</v>
      </c>
      <c r="E182" s="25">
        <v>2.0</v>
      </c>
      <c r="F182" s="25">
        <v>3.41</v>
      </c>
      <c r="G182" s="21" t="s">
        <v>1085</v>
      </c>
    </row>
    <row r="183" hidden="1">
      <c r="A183" s="21"/>
      <c r="B183" s="21" t="s">
        <v>1086</v>
      </c>
      <c r="C183" s="21" t="s">
        <v>117</v>
      </c>
      <c r="D183" s="25">
        <v>70.0</v>
      </c>
      <c r="E183" s="25">
        <v>8.0</v>
      </c>
      <c r="F183" s="25">
        <v>0.0</v>
      </c>
      <c r="G183" s="21" t="s">
        <v>1087</v>
      </c>
    </row>
    <row r="184" hidden="1">
      <c r="A184" s="21"/>
      <c r="B184" s="21" t="s">
        <v>1088</v>
      </c>
      <c r="C184" s="21" t="s">
        <v>87</v>
      </c>
      <c r="D184" s="25">
        <v>70.0</v>
      </c>
      <c r="E184" s="25">
        <v>22.0</v>
      </c>
      <c r="F184" s="25">
        <v>0.0</v>
      </c>
      <c r="G184" s="21" t="s">
        <v>1089</v>
      </c>
    </row>
    <row r="185" hidden="1">
      <c r="A185" s="21"/>
      <c r="B185" s="21" t="s">
        <v>1090</v>
      </c>
      <c r="C185" s="21" t="s">
        <v>87</v>
      </c>
      <c r="D185" s="25">
        <v>70.0</v>
      </c>
      <c r="E185" s="25">
        <v>30.0</v>
      </c>
      <c r="F185" s="25">
        <v>7.28</v>
      </c>
      <c r="G185" s="21" t="s">
        <v>188</v>
      </c>
    </row>
    <row r="186" hidden="1">
      <c r="A186" s="21"/>
      <c r="B186" s="21" t="s">
        <v>1091</v>
      </c>
      <c r="C186" s="21" t="s">
        <v>117</v>
      </c>
      <c r="D186" s="25">
        <v>70.0</v>
      </c>
      <c r="E186" s="25">
        <v>15.0</v>
      </c>
      <c r="F186" s="25">
        <v>0.0</v>
      </c>
      <c r="G186" s="21" t="s">
        <v>893</v>
      </c>
    </row>
    <row r="187" hidden="1">
      <c r="A187" s="21"/>
      <c r="B187" s="21" t="s">
        <v>1092</v>
      </c>
      <c r="C187" s="21" t="s">
        <v>87</v>
      </c>
      <c r="D187" s="25">
        <v>70.0</v>
      </c>
      <c r="E187" s="25">
        <v>41.0</v>
      </c>
      <c r="F187" s="25">
        <v>4.11</v>
      </c>
      <c r="G187" s="21" t="s">
        <v>1093</v>
      </c>
    </row>
    <row r="188" hidden="1">
      <c r="A188" s="21"/>
      <c r="B188" s="21" t="s">
        <v>1094</v>
      </c>
      <c r="C188" s="21" t="s">
        <v>87</v>
      </c>
      <c r="D188" s="25">
        <v>70.0</v>
      </c>
      <c r="E188" s="25">
        <v>35.0</v>
      </c>
      <c r="F188" s="25">
        <v>3.32</v>
      </c>
      <c r="G188" s="21" t="s">
        <v>1095</v>
      </c>
    </row>
    <row r="189" hidden="1">
      <c r="A189" s="21"/>
      <c r="B189" s="21" t="s">
        <v>1096</v>
      </c>
      <c r="C189" s="21" t="s">
        <v>87</v>
      </c>
      <c r="D189" s="25">
        <v>70.0</v>
      </c>
      <c r="E189" s="25">
        <v>10.0</v>
      </c>
      <c r="F189" s="25">
        <v>7.95</v>
      </c>
      <c r="G189" s="21" t="s">
        <v>259</v>
      </c>
    </row>
    <row r="190" hidden="1">
      <c r="A190" s="21"/>
      <c r="B190" s="21" t="s">
        <v>1097</v>
      </c>
      <c r="C190" s="21" t="s">
        <v>87</v>
      </c>
      <c r="D190" s="25">
        <v>70.0</v>
      </c>
      <c r="E190" s="25">
        <v>9.0</v>
      </c>
      <c r="F190" s="25">
        <v>5.67</v>
      </c>
      <c r="G190" s="21" t="s">
        <v>259</v>
      </c>
    </row>
    <row r="191" hidden="1">
      <c r="A191" s="21"/>
      <c r="B191" s="21" t="s">
        <v>1098</v>
      </c>
      <c r="C191" s="21" t="s">
        <v>87</v>
      </c>
      <c r="D191" s="25">
        <v>70.0</v>
      </c>
      <c r="E191" s="25">
        <v>8.0</v>
      </c>
      <c r="F191" s="25">
        <v>7.78</v>
      </c>
      <c r="G191" s="21" t="s">
        <v>212</v>
      </c>
    </row>
    <row r="192" hidden="1">
      <c r="A192" s="21"/>
      <c r="B192" s="21" t="s">
        <v>1099</v>
      </c>
      <c r="C192" s="21" t="s">
        <v>87</v>
      </c>
      <c r="D192" s="25">
        <v>70.0</v>
      </c>
      <c r="E192" s="25">
        <v>7.0</v>
      </c>
      <c r="F192" s="25">
        <v>5.01</v>
      </c>
      <c r="G192" s="21" t="s">
        <v>147</v>
      </c>
    </row>
    <row r="193" hidden="1">
      <c r="A193" s="21"/>
      <c r="B193" s="21" t="s">
        <v>1100</v>
      </c>
      <c r="C193" s="21" t="s">
        <v>87</v>
      </c>
      <c r="D193" s="25">
        <v>70.0</v>
      </c>
      <c r="E193" s="25">
        <v>36.0</v>
      </c>
      <c r="F193" s="25">
        <v>8.52</v>
      </c>
      <c r="G193" s="21" t="s">
        <v>1033</v>
      </c>
    </row>
    <row r="194" hidden="1">
      <c r="A194" s="21"/>
      <c r="B194" s="21" t="s">
        <v>1101</v>
      </c>
      <c r="C194" s="21" t="s">
        <v>87</v>
      </c>
      <c r="D194" s="25">
        <v>70.0</v>
      </c>
      <c r="E194" s="25">
        <v>34.0</v>
      </c>
      <c r="F194" s="25">
        <v>4.39</v>
      </c>
      <c r="G194" s="21" t="s">
        <v>1102</v>
      </c>
    </row>
    <row r="195" hidden="1">
      <c r="A195" s="21"/>
      <c r="B195" s="21" t="s">
        <v>1103</v>
      </c>
      <c r="C195" s="21" t="s">
        <v>87</v>
      </c>
      <c r="D195" s="25">
        <v>70.0</v>
      </c>
      <c r="E195" s="25">
        <v>9.0</v>
      </c>
      <c r="F195" s="25">
        <v>5.44</v>
      </c>
      <c r="G195" s="21" t="s">
        <v>1104</v>
      </c>
    </row>
    <row r="196" hidden="1">
      <c r="A196" s="21"/>
      <c r="B196" s="21" t="s">
        <v>1105</v>
      </c>
      <c r="C196" s="21" t="s">
        <v>87</v>
      </c>
      <c r="D196" s="25">
        <v>70.0</v>
      </c>
      <c r="E196" s="25">
        <v>19.0</v>
      </c>
      <c r="F196" s="25">
        <v>5.33</v>
      </c>
      <c r="G196" s="21" t="s">
        <v>1106</v>
      </c>
    </row>
    <row r="197" hidden="1">
      <c r="A197" s="21"/>
      <c r="B197" s="21" t="s">
        <v>1107</v>
      </c>
      <c r="C197" s="21" t="s">
        <v>87</v>
      </c>
      <c r="D197" s="25">
        <v>70.0</v>
      </c>
      <c r="E197" s="25">
        <v>24.0</v>
      </c>
      <c r="F197" s="25">
        <v>6.28</v>
      </c>
      <c r="G197" s="21" t="s">
        <v>155</v>
      </c>
    </row>
    <row r="198" hidden="1">
      <c r="A198" s="21"/>
      <c r="B198" s="21" t="s">
        <v>1108</v>
      </c>
      <c r="C198" s="21" t="s">
        <v>117</v>
      </c>
      <c r="D198" s="25">
        <v>70.0</v>
      </c>
      <c r="E198" s="25">
        <v>14.0</v>
      </c>
      <c r="F198" s="25">
        <v>3.41</v>
      </c>
      <c r="G198" s="21" t="s">
        <v>1109</v>
      </c>
    </row>
    <row r="199" hidden="1">
      <c r="A199" s="21"/>
      <c r="B199" s="21" t="s">
        <v>1110</v>
      </c>
      <c r="C199" s="21" t="s">
        <v>99</v>
      </c>
      <c r="D199" s="25">
        <v>70.0</v>
      </c>
      <c r="E199" s="25">
        <v>0.0</v>
      </c>
      <c r="F199" s="25">
        <v>3.7</v>
      </c>
      <c r="G199" s="21" t="s">
        <v>1111</v>
      </c>
    </row>
    <row r="200" hidden="1">
      <c r="A200" s="21"/>
      <c r="B200" s="21" t="s">
        <v>1112</v>
      </c>
      <c r="C200" s="21" t="s">
        <v>117</v>
      </c>
      <c r="D200" s="25">
        <v>70.0</v>
      </c>
      <c r="E200" s="25">
        <v>39.0</v>
      </c>
      <c r="F200" s="25">
        <v>3.12</v>
      </c>
      <c r="G200" s="21" t="s">
        <v>429</v>
      </c>
    </row>
    <row r="201" hidden="1">
      <c r="A201" s="21"/>
      <c r="B201" s="21" t="s">
        <v>1113</v>
      </c>
      <c r="C201" s="21" t="s">
        <v>87</v>
      </c>
      <c r="D201" s="25">
        <v>70.0</v>
      </c>
      <c r="E201" s="25">
        <v>20.0</v>
      </c>
      <c r="F201" s="25">
        <v>10.75</v>
      </c>
      <c r="G201" s="21" t="s">
        <v>147</v>
      </c>
    </row>
    <row r="202" hidden="1">
      <c r="A202" s="21"/>
      <c r="B202" s="21" t="s">
        <v>1114</v>
      </c>
      <c r="C202" s="21" t="s">
        <v>87</v>
      </c>
      <c r="D202" s="25">
        <v>70.0</v>
      </c>
      <c r="E202" s="25">
        <v>16.0</v>
      </c>
      <c r="F202" s="25">
        <v>10.75</v>
      </c>
      <c r="G202" s="21" t="s">
        <v>155</v>
      </c>
    </row>
    <row r="203" hidden="1">
      <c r="A203" s="21"/>
      <c r="B203" s="21" t="s">
        <v>1115</v>
      </c>
      <c r="C203" s="21" t="s">
        <v>87</v>
      </c>
      <c r="D203" s="25">
        <v>70.0</v>
      </c>
      <c r="E203" s="25">
        <v>30.0</v>
      </c>
      <c r="F203" s="25">
        <v>5.78</v>
      </c>
      <c r="G203" s="21" t="s">
        <v>1116</v>
      </c>
    </row>
    <row r="204" hidden="1">
      <c r="A204" s="21"/>
      <c r="B204" s="21" t="s">
        <v>1117</v>
      </c>
      <c r="C204" s="21" t="s">
        <v>87</v>
      </c>
      <c r="D204" s="25">
        <v>70.0</v>
      </c>
      <c r="E204" s="25">
        <v>0.0</v>
      </c>
      <c r="F204" s="25">
        <v>8.69</v>
      </c>
      <c r="G204" s="21" t="s">
        <v>901</v>
      </c>
    </row>
    <row r="205" hidden="1">
      <c r="A205" s="21"/>
      <c r="B205" s="21" t="s">
        <v>1118</v>
      </c>
      <c r="C205" s="21" t="s">
        <v>87</v>
      </c>
      <c r="D205" s="25">
        <v>70.0</v>
      </c>
      <c r="E205" s="25">
        <v>26.0</v>
      </c>
      <c r="F205" s="25">
        <v>1.45</v>
      </c>
      <c r="G205" s="21" t="s">
        <v>1119</v>
      </c>
    </row>
    <row r="206" hidden="1">
      <c r="A206" s="21"/>
      <c r="B206" s="21" t="s">
        <v>1120</v>
      </c>
      <c r="C206" s="21" t="s">
        <v>87</v>
      </c>
      <c r="D206" s="25">
        <v>70.0</v>
      </c>
      <c r="E206" s="25">
        <v>16.0</v>
      </c>
      <c r="F206" s="25">
        <v>0.0</v>
      </c>
      <c r="G206" s="21" t="s">
        <v>886</v>
      </c>
    </row>
    <row r="207" hidden="1">
      <c r="A207" s="21"/>
      <c r="B207" s="21" t="s">
        <v>1121</v>
      </c>
      <c r="C207" s="21" t="s">
        <v>99</v>
      </c>
      <c r="D207" s="25">
        <v>70.0</v>
      </c>
      <c r="E207" s="25">
        <v>0.0</v>
      </c>
      <c r="F207" s="25">
        <v>2.85</v>
      </c>
      <c r="G207" s="21" t="s">
        <v>1122</v>
      </c>
    </row>
    <row r="208" hidden="1">
      <c r="A208" s="21"/>
      <c r="B208" s="21" t="s">
        <v>1123</v>
      </c>
      <c r="C208" s="21" t="s">
        <v>87</v>
      </c>
      <c r="D208" s="25">
        <v>70.0</v>
      </c>
      <c r="E208" s="25">
        <v>23.0</v>
      </c>
      <c r="F208" s="25">
        <v>5.17</v>
      </c>
      <c r="G208" s="21" t="s">
        <v>1124</v>
      </c>
    </row>
    <row r="209" hidden="1">
      <c r="A209" s="21"/>
      <c r="B209" s="21" t="s">
        <v>1125</v>
      </c>
      <c r="C209" s="21" t="s">
        <v>87</v>
      </c>
      <c r="D209" s="25">
        <v>70.0</v>
      </c>
      <c r="E209" s="25">
        <v>9.0</v>
      </c>
      <c r="F209" s="25">
        <v>6.47</v>
      </c>
      <c r="G209" s="21" t="s">
        <v>476</v>
      </c>
    </row>
    <row r="210" hidden="1">
      <c r="A210" s="21"/>
      <c r="B210" s="21" t="s">
        <v>1126</v>
      </c>
      <c r="C210" s="21" t="s">
        <v>87</v>
      </c>
      <c r="D210" s="25">
        <v>70.0</v>
      </c>
      <c r="E210" s="25">
        <v>0.0</v>
      </c>
      <c r="F210" s="25">
        <v>0.0</v>
      </c>
      <c r="G210" s="21" t="s">
        <v>1127</v>
      </c>
    </row>
    <row r="211" hidden="1">
      <c r="A211" s="21"/>
      <c r="B211" s="21" t="s">
        <v>1128</v>
      </c>
      <c r="C211" s="21" t="s">
        <v>117</v>
      </c>
      <c r="D211" s="25">
        <v>70.0</v>
      </c>
      <c r="E211" s="25">
        <v>0.0</v>
      </c>
      <c r="F211" s="25">
        <v>0.0</v>
      </c>
      <c r="G211" s="21" t="s">
        <v>218</v>
      </c>
    </row>
    <row r="212" hidden="1">
      <c r="A212" s="21"/>
      <c r="B212" s="21" t="s">
        <v>1129</v>
      </c>
      <c r="C212" s="21" t="s">
        <v>87</v>
      </c>
      <c r="D212" s="25">
        <v>70.0</v>
      </c>
      <c r="E212" s="25">
        <v>18.0</v>
      </c>
      <c r="F212" s="25">
        <v>4.13</v>
      </c>
      <c r="G212" s="21" t="s">
        <v>276</v>
      </c>
    </row>
    <row r="213" hidden="1">
      <c r="A213" s="21"/>
      <c r="B213" s="21" t="s">
        <v>1130</v>
      </c>
      <c r="C213" s="21" t="s">
        <v>87</v>
      </c>
      <c r="D213" s="25">
        <v>70.0</v>
      </c>
      <c r="E213" s="25">
        <v>24.0</v>
      </c>
      <c r="F213" s="25">
        <v>3.06</v>
      </c>
      <c r="G213" s="21" t="s">
        <v>1131</v>
      </c>
    </row>
    <row r="214" hidden="1">
      <c r="A214" s="21"/>
      <c r="B214" s="21" t="s">
        <v>1132</v>
      </c>
      <c r="C214" s="21" t="s">
        <v>87</v>
      </c>
      <c r="D214" s="25">
        <v>70.0</v>
      </c>
      <c r="E214" s="25">
        <v>41.0</v>
      </c>
      <c r="F214" s="25">
        <v>1.22</v>
      </c>
      <c r="G214" s="21" t="s">
        <v>429</v>
      </c>
    </row>
    <row r="215" hidden="1">
      <c r="A215" s="21"/>
      <c r="B215" s="21" t="s">
        <v>1133</v>
      </c>
      <c r="C215" s="21" t="s">
        <v>959</v>
      </c>
      <c r="D215" s="25">
        <v>70.0</v>
      </c>
      <c r="E215" s="25">
        <v>31.0</v>
      </c>
      <c r="F215" s="25">
        <v>6.76</v>
      </c>
      <c r="G215" s="21" t="s">
        <v>106</v>
      </c>
    </row>
    <row r="216" hidden="1">
      <c r="A216" s="21"/>
      <c r="B216" s="21" t="s">
        <v>1134</v>
      </c>
      <c r="C216" s="21" t="s">
        <v>117</v>
      </c>
      <c r="D216" s="25">
        <v>70.0</v>
      </c>
      <c r="E216" s="25">
        <v>3.0</v>
      </c>
      <c r="F216" s="25">
        <v>2.89</v>
      </c>
      <c r="G216" s="21" t="s">
        <v>437</v>
      </c>
    </row>
    <row r="217" hidden="1">
      <c r="A217" s="21"/>
      <c r="B217" s="21" t="s">
        <v>1135</v>
      </c>
      <c r="C217" s="21" t="s">
        <v>87</v>
      </c>
      <c r="D217" s="25">
        <v>70.0</v>
      </c>
      <c r="E217" s="25">
        <v>6.0</v>
      </c>
      <c r="F217" s="25">
        <v>0.74</v>
      </c>
      <c r="G217" s="21" t="s">
        <v>1136</v>
      </c>
    </row>
    <row r="218" hidden="1">
      <c r="A218" s="21"/>
      <c r="B218" s="21" t="s">
        <v>1137</v>
      </c>
      <c r="C218" s="21" t="s">
        <v>87</v>
      </c>
      <c r="D218" s="25">
        <v>70.0</v>
      </c>
      <c r="E218" s="25">
        <v>43.0</v>
      </c>
      <c r="F218" s="25">
        <v>7.4</v>
      </c>
      <c r="G218" s="21" t="s">
        <v>1138</v>
      </c>
    </row>
    <row r="219" hidden="1">
      <c r="A219" s="21"/>
      <c r="B219" s="21" t="s">
        <v>1139</v>
      </c>
      <c r="C219" s="21" t="s">
        <v>117</v>
      </c>
      <c r="D219" s="25">
        <v>70.0</v>
      </c>
      <c r="E219" s="25">
        <v>8.0</v>
      </c>
      <c r="F219" s="25">
        <v>4.84</v>
      </c>
      <c r="G219" s="21" t="s">
        <v>1140</v>
      </c>
    </row>
    <row r="220" hidden="1">
      <c r="A220" s="21"/>
      <c r="B220" s="21" t="s">
        <v>1141</v>
      </c>
      <c r="C220" s="21" t="s">
        <v>117</v>
      </c>
      <c r="D220" s="25">
        <v>70.0</v>
      </c>
      <c r="E220" s="25">
        <v>18.0</v>
      </c>
      <c r="F220" s="25">
        <v>3.7</v>
      </c>
      <c r="G220" s="21" t="s">
        <v>1142</v>
      </c>
    </row>
    <row r="221" hidden="1">
      <c r="A221" s="21"/>
      <c r="B221" s="21" t="s">
        <v>1143</v>
      </c>
      <c r="C221" s="21" t="s">
        <v>117</v>
      </c>
      <c r="D221" s="25">
        <v>70.0</v>
      </c>
      <c r="E221" s="25">
        <v>12.0</v>
      </c>
      <c r="F221" s="25">
        <v>5.87</v>
      </c>
      <c r="G221" s="21" t="s">
        <v>1144</v>
      </c>
    </row>
    <row r="222" hidden="1">
      <c r="A222" s="21"/>
      <c r="B222" s="21" t="s">
        <v>1145</v>
      </c>
      <c r="C222" s="21" t="s">
        <v>99</v>
      </c>
      <c r="D222" s="25">
        <v>70.0</v>
      </c>
      <c r="E222" s="25">
        <v>31.0</v>
      </c>
      <c r="F222" s="25">
        <v>0.9</v>
      </c>
      <c r="G222" s="21" t="s">
        <v>1146</v>
      </c>
    </row>
    <row r="223" hidden="1">
      <c r="A223" s="21"/>
      <c r="B223" s="21" t="s">
        <v>1147</v>
      </c>
      <c r="C223" s="21" t="s">
        <v>87</v>
      </c>
      <c r="D223" s="25">
        <v>70.0</v>
      </c>
      <c r="E223" s="25">
        <v>27.0</v>
      </c>
      <c r="F223" s="25">
        <v>2.02</v>
      </c>
      <c r="G223" s="21" t="s">
        <v>1148</v>
      </c>
    </row>
    <row r="224" hidden="1">
      <c r="A224" s="21"/>
      <c r="B224" s="21" t="s">
        <v>1149</v>
      </c>
      <c r="C224" s="21" t="s">
        <v>87</v>
      </c>
      <c r="D224" s="25">
        <v>70.0</v>
      </c>
      <c r="E224" s="25">
        <v>32.0</v>
      </c>
      <c r="F224" s="25">
        <v>5.66</v>
      </c>
      <c r="G224" s="21" t="s">
        <v>1150</v>
      </c>
    </row>
    <row r="225" hidden="1">
      <c r="A225" s="21"/>
      <c r="B225" s="21" t="s">
        <v>1151</v>
      </c>
      <c r="C225" s="21" t="s">
        <v>160</v>
      </c>
      <c r="D225" s="25">
        <v>70.0</v>
      </c>
      <c r="E225" s="25">
        <v>0.0</v>
      </c>
      <c r="F225" s="25">
        <v>0.0</v>
      </c>
      <c r="G225" s="21" t="s">
        <v>1152</v>
      </c>
    </row>
    <row r="226" hidden="1">
      <c r="A226" s="21"/>
      <c r="B226" s="21" t="s">
        <v>458</v>
      </c>
      <c r="C226" s="21" t="s">
        <v>117</v>
      </c>
      <c r="D226" s="25">
        <v>70.0</v>
      </c>
      <c r="E226" s="25">
        <v>6.0</v>
      </c>
      <c r="F226" s="25">
        <v>3.57</v>
      </c>
      <c r="G226" s="21" t="s">
        <v>218</v>
      </c>
    </row>
    <row r="227" hidden="1">
      <c r="A227" s="21"/>
      <c r="B227" s="21" t="s">
        <v>459</v>
      </c>
      <c r="C227" s="21" t="s">
        <v>117</v>
      </c>
      <c r="D227" s="25">
        <v>70.0</v>
      </c>
      <c r="E227" s="25">
        <v>7.0</v>
      </c>
      <c r="F227" s="25">
        <v>0.69</v>
      </c>
      <c r="G227" s="21" t="s">
        <v>130</v>
      </c>
    </row>
    <row r="228" hidden="1">
      <c r="A228" s="21"/>
      <c r="B228" s="21" t="s">
        <v>460</v>
      </c>
      <c r="C228" s="21" t="s">
        <v>117</v>
      </c>
      <c r="D228" s="25">
        <v>70.0</v>
      </c>
      <c r="E228" s="25">
        <v>40.0</v>
      </c>
      <c r="F228" s="25">
        <v>1.13</v>
      </c>
      <c r="G228" s="21" t="s">
        <v>461</v>
      </c>
    </row>
    <row r="229" hidden="1">
      <c r="A229" s="21"/>
      <c r="B229" s="21" t="s">
        <v>1153</v>
      </c>
      <c r="C229" s="21" t="s">
        <v>87</v>
      </c>
      <c r="D229" s="25">
        <v>70.0</v>
      </c>
      <c r="E229" s="25">
        <v>11.0</v>
      </c>
      <c r="F229" s="25">
        <v>5.37</v>
      </c>
      <c r="G229" s="21" t="s">
        <v>155</v>
      </c>
    </row>
    <row r="230" hidden="1">
      <c r="A230" s="21"/>
      <c r="B230" s="21" t="s">
        <v>1154</v>
      </c>
      <c r="C230" s="21" t="s">
        <v>1065</v>
      </c>
      <c r="D230" s="25">
        <v>70.0</v>
      </c>
      <c r="E230" s="25">
        <v>21.0</v>
      </c>
      <c r="F230" s="25">
        <v>1.19</v>
      </c>
      <c r="G230" s="21" t="s">
        <v>1155</v>
      </c>
    </row>
    <row r="231" hidden="1">
      <c r="A231" s="21"/>
      <c r="B231" s="21" t="s">
        <v>1156</v>
      </c>
      <c r="C231" s="21" t="s">
        <v>117</v>
      </c>
      <c r="D231" s="25">
        <v>70.0</v>
      </c>
      <c r="E231" s="25">
        <v>10.0</v>
      </c>
      <c r="F231" s="25">
        <v>5.32</v>
      </c>
      <c r="G231" s="21" t="s">
        <v>476</v>
      </c>
    </row>
    <row r="232" hidden="1">
      <c r="A232" s="21"/>
      <c r="B232" s="21" t="s">
        <v>1157</v>
      </c>
      <c r="C232" s="21" t="s">
        <v>87</v>
      </c>
      <c r="D232" s="25">
        <v>70.0</v>
      </c>
      <c r="E232" s="25">
        <v>0.0</v>
      </c>
      <c r="F232" s="25">
        <v>0.0</v>
      </c>
      <c r="G232" s="21" t="s">
        <v>1158</v>
      </c>
    </row>
    <row r="233" hidden="1">
      <c r="A233" s="21"/>
      <c r="B233" s="21" t="s">
        <v>1159</v>
      </c>
      <c r="C233" s="21" t="s">
        <v>160</v>
      </c>
      <c r="D233" s="25">
        <v>70.0</v>
      </c>
      <c r="E233" s="25">
        <v>0.0</v>
      </c>
      <c r="F233" s="25">
        <v>0.0</v>
      </c>
      <c r="G233" s="21" t="s">
        <v>1160</v>
      </c>
    </row>
    <row r="234" hidden="1">
      <c r="A234" s="21"/>
      <c r="B234" s="21" t="s">
        <v>1161</v>
      </c>
      <c r="C234" s="21" t="s">
        <v>87</v>
      </c>
      <c r="D234" s="25">
        <v>70.0</v>
      </c>
      <c r="E234" s="25">
        <v>22.0</v>
      </c>
      <c r="F234" s="25">
        <v>3.03</v>
      </c>
      <c r="G234" s="21" t="s">
        <v>1162</v>
      </c>
    </row>
    <row r="235" hidden="1">
      <c r="A235" s="21"/>
      <c r="B235" s="21" t="s">
        <v>1163</v>
      </c>
      <c r="C235" s="21" t="s">
        <v>99</v>
      </c>
      <c r="D235" s="25">
        <v>70.0</v>
      </c>
      <c r="E235" s="25">
        <v>3.0</v>
      </c>
      <c r="F235" s="25">
        <v>5.74</v>
      </c>
      <c r="G235" s="21" t="s">
        <v>1155</v>
      </c>
    </row>
    <row r="236" hidden="1">
      <c r="A236" s="21"/>
      <c r="B236" s="21" t="s">
        <v>1164</v>
      </c>
      <c r="C236" s="21" t="s">
        <v>117</v>
      </c>
      <c r="D236" s="25">
        <v>70.0</v>
      </c>
      <c r="E236" s="25">
        <v>20.0</v>
      </c>
      <c r="F236" s="25">
        <v>3.53</v>
      </c>
      <c r="G236" s="21" t="s">
        <v>429</v>
      </c>
    </row>
    <row r="237" hidden="1">
      <c r="A237" s="21"/>
      <c r="B237" s="21" t="s">
        <v>1165</v>
      </c>
      <c r="C237" s="21" t="s">
        <v>90</v>
      </c>
      <c r="D237" s="25">
        <v>70.0</v>
      </c>
      <c r="E237" s="25">
        <v>19.0</v>
      </c>
      <c r="F237" s="25">
        <v>5.42</v>
      </c>
      <c r="G237" s="21" t="s">
        <v>259</v>
      </c>
    </row>
    <row r="238" hidden="1">
      <c r="A238" s="21"/>
      <c r="B238" s="21" t="s">
        <v>1166</v>
      </c>
      <c r="C238" s="21" t="s">
        <v>87</v>
      </c>
      <c r="D238" s="25">
        <v>70.0</v>
      </c>
      <c r="E238" s="25">
        <v>35.0</v>
      </c>
      <c r="F238" s="25">
        <v>4.38</v>
      </c>
      <c r="G238" s="21" t="s">
        <v>988</v>
      </c>
    </row>
    <row r="239" hidden="1">
      <c r="A239" s="21"/>
      <c r="B239" s="21" t="s">
        <v>1167</v>
      </c>
      <c r="C239" s="21" t="s">
        <v>99</v>
      </c>
      <c r="D239" s="25">
        <v>70.0</v>
      </c>
      <c r="E239" s="25">
        <v>20.0</v>
      </c>
      <c r="F239" s="25">
        <v>1.89</v>
      </c>
      <c r="G239" s="21" t="s">
        <v>1168</v>
      </c>
    </row>
    <row r="240" hidden="1">
      <c r="A240" s="21"/>
      <c r="B240" s="21" t="s">
        <v>1169</v>
      </c>
      <c r="C240" s="21" t="s">
        <v>117</v>
      </c>
      <c r="D240" s="25">
        <v>70.0</v>
      </c>
      <c r="E240" s="25">
        <v>27.0</v>
      </c>
      <c r="F240" s="25">
        <v>3.26</v>
      </c>
      <c r="G240" s="21" t="s">
        <v>1170</v>
      </c>
    </row>
    <row r="241" hidden="1">
      <c r="A241" s="21"/>
      <c r="B241" s="21" t="s">
        <v>1171</v>
      </c>
      <c r="C241" s="21" t="s">
        <v>117</v>
      </c>
      <c r="D241" s="25">
        <v>70.0</v>
      </c>
      <c r="E241" s="25">
        <v>21.0</v>
      </c>
      <c r="F241" s="25">
        <v>0.93</v>
      </c>
      <c r="G241" s="21" t="s">
        <v>450</v>
      </c>
    </row>
    <row r="242" hidden="1">
      <c r="A242" s="21"/>
      <c r="B242" s="21" t="s">
        <v>1172</v>
      </c>
      <c r="C242" s="21" t="s">
        <v>117</v>
      </c>
      <c r="D242" s="25">
        <v>70.0</v>
      </c>
      <c r="E242" s="25">
        <v>19.0</v>
      </c>
      <c r="F242" s="25">
        <v>0.0</v>
      </c>
      <c r="G242" s="21" t="s">
        <v>476</v>
      </c>
    </row>
    <row r="243" hidden="1">
      <c r="A243" s="21"/>
      <c r="B243" s="21" t="s">
        <v>1173</v>
      </c>
      <c r="C243" s="21" t="s">
        <v>160</v>
      </c>
      <c r="D243" s="25">
        <v>70.0</v>
      </c>
      <c r="E243" s="25">
        <v>18.0</v>
      </c>
      <c r="F243" s="25">
        <v>3.7</v>
      </c>
      <c r="G243" s="21" t="s">
        <v>1174</v>
      </c>
    </row>
    <row r="244" hidden="1">
      <c r="A244" s="21"/>
      <c r="B244" s="21" t="s">
        <v>1175</v>
      </c>
      <c r="C244" s="21" t="s">
        <v>87</v>
      </c>
      <c r="D244" s="25">
        <v>70.0</v>
      </c>
      <c r="E244" s="25">
        <v>28.0</v>
      </c>
      <c r="F244" s="25">
        <v>0.0</v>
      </c>
      <c r="G244" s="21" t="s">
        <v>1176</v>
      </c>
    </row>
    <row r="245" hidden="1">
      <c r="A245" s="21"/>
      <c r="B245" s="21" t="s">
        <v>1177</v>
      </c>
      <c r="C245" s="21" t="s">
        <v>117</v>
      </c>
      <c r="D245" s="25">
        <v>70.0</v>
      </c>
      <c r="E245" s="25">
        <v>2.0</v>
      </c>
      <c r="F245" s="25">
        <v>3.31</v>
      </c>
      <c r="G245" s="21" t="s">
        <v>444</v>
      </c>
    </row>
    <row r="246" hidden="1">
      <c r="A246" s="21"/>
      <c r="B246" s="21" t="s">
        <v>1178</v>
      </c>
      <c r="C246" s="21" t="s">
        <v>99</v>
      </c>
      <c r="D246" s="25">
        <v>70.0</v>
      </c>
      <c r="E246" s="25">
        <v>30.0</v>
      </c>
      <c r="F246" s="25">
        <v>0.54</v>
      </c>
      <c r="G246" s="21" t="s">
        <v>1179</v>
      </c>
    </row>
    <row r="247" hidden="1">
      <c r="A247" s="21"/>
      <c r="B247" s="21" t="s">
        <v>1180</v>
      </c>
      <c r="C247" s="21" t="s">
        <v>87</v>
      </c>
      <c r="D247" s="25">
        <v>70.0</v>
      </c>
      <c r="E247" s="25">
        <v>31.0</v>
      </c>
      <c r="F247" s="25">
        <v>2.76</v>
      </c>
      <c r="G247" s="21" t="s">
        <v>972</v>
      </c>
    </row>
    <row r="248" hidden="1">
      <c r="A248" s="21"/>
      <c r="B248" s="21" t="s">
        <v>1181</v>
      </c>
      <c r="C248" s="21" t="s">
        <v>87</v>
      </c>
      <c r="D248" s="25">
        <v>70.0</v>
      </c>
      <c r="E248" s="25">
        <v>23.0</v>
      </c>
      <c r="F248" s="25">
        <v>3.82</v>
      </c>
      <c r="G248" s="21" t="s">
        <v>1127</v>
      </c>
    </row>
    <row r="249" hidden="1">
      <c r="A249" s="21"/>
      <c r="B249" s="21" t="s">
        <v>1182</v>
      </c>
      <c r="C249" s="21" t="s">
        <v>117</v>
      </c>
      <c r="D249" s="25">
        <v>70.0</v>
      </c>
      <c r="E249" s="25">
        <v>18.0</v>
      </c>
      <c r="F249" s="25">
        <v>0.0</v>
      </c>
      <c r="G249" s="21" t="s">
        <v>1183</v>
      </c>
    </row>
    <row r="250" hidden="1">
      <c r="A250" s="21"/>
      <c r="B250" s="21" t="s">
        <v>1184</v>
      </c>
      <c r="C250" s="21" t="s">
        <v>160</v>
      </c>
      <c r="D250" s="25">
        <v>50.0</v>
      </c>
      <c r="E250" s="25">
        <v>23.0</v>
      </c>
      <c r="F250" s="25">
        <v>1.1</v>
      </c>
      <c r="G250" s="21" t="s">
        <v>111</v>
      </c>
    </row>
    <row r="251" hidden="1">
      <c r="A251" s="21"/>
      <c r="B251" s="21" t="s">
        <v>1185</v>
      </c>
      <c r="C251" s="21" t="s">
        <v>87</v>
      </c>
      <c r="D251" s="25">
        <v>50.0</v>
      </c>
      <c r="E251" s="25">
        <v>1.0</v>
      </c>
      <c r="F251" s="25">
        <v>0.0</v>
      </c>
      <c r="G251" s="21" t="s">
        <v>1027</v>
      </c>
    </row>
    <row r="252" hidden="1">
      <c r="A252" s="21"/>
      <c r="B252" s="21" t="s">
        <v>1186</v>
      </c>
      <c r="C252" s="21" t="s">
        <v>117</v>
      </c>
      <c r="D252" s="25">
        <v>50.0</v>
      </c>
      <c r="E252" s="25">
        <v>0.0</v>
      </c>
      <c r="F252" s="25">
        <v>3.45</v>
      </c>
      <c r="G252" s="21" t="s">
        <v>1187</v>
      </c>
    </row>
    <row r="253" hidden="1">
      <c r="A253" s="21"/>
      <c r="B253" s="21" t="s">
        <v>1188</v>
      </c>
      <c r="C253" s="21" t="s">
        <v>87</v>
      </c>
      <c r="D253" s="25">
        <v>50.0</v>
      </c>
      <c r="E253" s="25">
        <v>7.0</v>
      </c>
      <c r="F253" s="25">
        <v>0.0</v>
      </c>
      <c r="G253" s="21" t="s">
        <v>1063</v>
      </c>
    </row>
    <row r="254" hidden="1">
      <c r="A254" s="21"/>
      <c r="B254" s="21" t="s">
        <v>1189</v>
      </c>
      <c r="C254" s="21" t="s">
        <v>87</v>
      </c>
      <c r="D254" s="25">
        <v>50.0</v>
      </c>
      <c r="E254" s="25">
        <v>28.0</v>
      </c>
      <c r="F254" s="25">
        <v>7.02</v>
      </c>
      <c r="G254" s="21" t="s">
        <v>158</v>
      </c>
    </row>
    <row r="255" hidden="1">
      <c r="A255" s="21"/>
      <c r="B255" s="21" t="s">
        <v>1190</v>
      </c>
      <c r="C255" s="21" t="s">
        <v>87</v>
      </c>
      <c r="D255" s="25">
        <v>50.0</v>
      </c>
      <c r="E255" s="25">
        <v>42.0</v>
      </c>
      <c r="F255" s="25">
        <v>0.0</v>
      </c>
      <c r="G255" s="21" t="s">
        <v>1191</v>
      </c>
    </row>
    <row r="256" hidden="1">
      <c r="A256" s="21"/>
      <c r="B256" s="21" t="s">
        <v>1192</v>
      </c>
      <c r="C256" s="21" t="s">
        <v>87</v>
      </c>
      <c r="D256" s="25">
        <v>50.0</v>
      </c>
      <c r="E256" s="25">
        <v>32.0</v>
      </c>
      <c r="F256" s="25">
        <v>4.76</v>
      </c>
      <c r="G256" s="21" t="s">
        <v>147</v>
      </c>
    </row>
    <row r="257" hidden="1">
      <c r="A257" s="21"/>
      <c r="B257" s="21" t="s">
        <v>1193</v>
      </c>
      <c r="C257" s="21" t="s">
        <v>117</v>
      </c>
      <c r="D257" s="25">
        <v>50.0</v>
      </c>
      <c r="E257" s="25">
        <v>7.0</v>
      </c>
      <c r="F257" s="25">
        <v>0.93</v>
      </c>
      <c r="G257" s="21" t="s">
        <v>450</v>
      </c>
    </row>
    <row r="258" hidden="1">
      <c r="A258" s="21"/>
      <c r="B258" s="21" t="s">
        <v>1194</v>
      </c>
      <c r="C258" s="21" t="s">
        <v>87</v>
      </c>
      <c r="D258" s="25">
        <v>50.0</v>
      </c>
      <c r="E258" s="25">
        <v>0.0</v>
      </c>
      <c r="F258" s="25">
        <v>7.22</v>
      </c>
      <c r="G258" s="21" t="s">
        <v>1195</v>
      </c>
    </row>
    <row r="259" hidden="1">
      <c r="A259" s="21"/>
      <c r="B259" s="21" t="s">
        <v>1196</v>
      </c>
      <c r="C259" s="21" t="s">
        <v>87</v>
      </c>
      <c r="D259" s="25">
        <v>50.0</v>
      </c>
      <c r="E259" s="25">
        <v>2.0</v>
      </c>
      <c r="F259" s="25">
        <v>6.98</v>
      </c>
      <c r="G259" s="21" t="s">
        <v>1197</v>
      </c>
    </row>
    <row r="260" hidden="1">
      <c r="A260" s="21"/>
      <c r="B260" s="21" t="s">
        <v>1198</v>
      </c>
      <c r="C260" s="21" t="s">
        <v>117</v>
      </c>
      <c r="D260" s="25">
        <v>50.0</v>
      </c>
      <c r="E260" s="25">
        <v>2.0</v>
      </c>
      <c r="F260" s="25">
        <v>2.85</v>
      </c>
      <c r="G260" s="21" t="s">
        <v>228</v>
      </c>
    </row>
    <row r="261" hidden="1">
      <c r="A261" s="21"/>
      <c r="B261" s="21" t="s">
        <v>1199</v>
      </c>
      <c r="C261" s="21" t="s">
        <v>90</v>
      </c>
      <c r="D261" s="25">
        <v>50.0</v>
      </c>
      <c r="E261" s="25">
        <v>10.0</v>
      </c>
      <c r="F261" s="25">
        <v>7.8</v>
      </c>
      <c r="G261" s="21" t="s">
        <v>97</v>
      </c>
    </row>
    <row r="262" hidden="1">
      <c r="A262" s="21"/>
      <c r="B262" s="21" t="s">
        <v>1200</v>
      </c>
      <c r="C262" s="21" t="s">
        <v>90</v>
      </c>
      <c r="D262" s="25">
        <v>50.0</v>
      </c>
      <c r="E262" s="25">
        <v>29.0</v>
      </c>
      <c r="F262" s="25">
        <v>7.91</v>
      </c>
      <c r="G262" s="21" t="s">
        <v>259</v>
      </c>
    </row>
    <row r="263" hidden="1">
      <c r="A263" s="21"/>
      <c r="B263" s="21" t="s">
        <v>1201</v>
      </c>
      <c r="C263" s="21" t="s">
        <v>87</v>
      </c>
      <c r="D263" s="25">
        <v>50.0</v>
      </c>
      <c r="E263" s="25">
        <v>17.0</v>
      </c>
      <c r="F263" s="25">
        <v>3.38</v>
      </c>
      <c r="G263" s="21" t="s">
        <v>1195</v>
      </c>
    </row>
    <row r="264" hidden="1">
      <c r="A264" s="21"/>
      <c r="B264" s="21" t="s">
        <v>1202</v>
      </c>
      <c r="C264" s="21" t="s">
        <v>87</v>
      </c>
      <c r="D264" s="25">
        <v>50.0</v>
      </c>
      <c r="E264" s="25">
        <v>33.0</v>
      </c>
      <c r="F264" s="25">
        <v>9.24</v>
      </c>
      <c r="G264" s="21" t="s">
        <v>948</v>
      </c>
    </row>
    <row r="265" hidden="1">
      <c r="A265" s="21"/>
      <c r="B265" s="21" t="s">
        <v>1203</v>
      </c>
      <c r="C265" s="21" t="s">
        <v>90</v>
      </c>
      <c r="D265" s="25">
        <v>50.0</v>
      </c>
      <c r="E265" s="25">
        <v>36.0</v>
      </c>
      <c r="F265" s="25">
        <v>0.75</v>
      </c>
      <c r="G265" s="21" t="s">
        <v>111</v>
      </c>
    </row>
    <row r="266" hidden="1">
      <c r="A266" s="21"/>
      <c r="B266" s="21" t="s">
        <v>1204</v>
      </c>
      <c r="C266" s="21" t="s">
        <v>99</v>
      </c>
      <c r="D266" s="25">
        <v>50.0</v>
      </c>
      <c r="E266" s="25">
        <v>44.0</v>
      </c>
      <c r="F266" s="25">
        <v>0.0</v>
      </c>
      <c r="G266" s="21" t="s">
        <v>1205</v>
      </c>
    </row>
    <row r="267" hidden="1">
      <c r="A267" s="21"/>
      <c r="B267" s="21" t="s">
        <v>1206</v>
      </c>
      <c r="C267" s="21" t="s">
        <v>117</v>
      </c>
      <c r="D267" s="25">
        <v>50.0</v>
      </c>
      <c r="E267" s="25">
        <v>13.0</v>
      </c>
      <c r="F267" s="25">
        <v>0.0</v>
      </c>
      <c r="G267" s="21" t="s">
        <v>1039</v>
      </c>
    </row>
    <row r="268" hidden="1">
      <c r="A268" s="21"/>
      <c r="B268" s="21" t="s">
        <v>1207</v>
      </c>
      <c r="C268" s="21" t="s">
        <v>99</v>
      </c>
      <c r="D268" s="25">
        <v>50.0</v>
      </c>
      <c r="E268" s="25">
        <v>20.0</v>
      </c>
      <c r="F268" s="25">
        <v>0.65</v>
      </c>
      <c r="G268" s="21" t="s">
        <v>1208</v>
      </c>
    </row>
    <row r="269" hidden="1">
      <c r="A269" s="21"/>
      <c r="B269" s="21" t="s">
        <v>1209</v>
      </c>
      <c r="C269" s="21" t="s">
        <v>87</v>
      </c>
      <c r="D269" s="25">
        <v>50.0</v>
      </c>
      <c r="E269" s="25">
        <v>24.0</v>
      </c>
      <c r="F269" s="25">
        <v>8.92</v>
      </c>
      <c r="G269" s="21" t="s">
        <v>948</v>
      </c>
    </row>
    <row r="270" hidden="1">
      <c r="A270" s="21"/>
      <c r="B270" s="21" t="s">
        <v>1210</v>
      </c>
      <c r="C270" s="21" t="s">
        <v>87</v>
      </c>
      <c r="D270" s="25">
        <v>50.0</v>
      </c>
      <c r="E270" s="25">
        <v>33.0</v>
      </c>
      <c r="F270" s="25">
        <v>4.17</v>
      </c>
      <c r="G270" s="21" t="s">
        <v>905</v>
      </c>
    </row>
    <row r="271" hidden="1">
      <c r="A271" s="21"/>
      <c r="B271" s="21" t="s">
        <v>1211</v>
      </c>
      <c r="C271" s="21" t="s">
        <v>87</v>
      </c>
      <c r="D271" s="25">
        <v>50.0</v>
      </c>
      <c r="E271" s="25">
        <v>23.0</v>
      </c>
      <c r="F271" s="25">
        <v>8.8</v>
      </c>
      <c r="G271" s="21" t="s">
        <v>1212</v>
      </c>
    </row>
    <row r="272" hidden="1">
      <c r="A272" s="21"/>
      <c r="B272" s="21" t="s">
        <v>1213</v>
      </c>
      <c r="C272" s="21" t="s">
        <v>117</v>
      </c>
      <c r="D272" s="25">
        <v>50.0</v>
      </c>
      <c r="E272" s="25">
        <v>4.0</v>
      </c>
      <c r="F272" s="25">
        <v>3.58</v>
      </c>
      <c r="G272" s="21" t="s">
        <v>1214</v>
      </c>
    </row>
    <row r="273" hidden="1">
      <c r="A273" s="21"/>
      <c r="B273" s="21" t="s">
        <v>1215</v>
      </c>
      <c r="C273" s="21" t="s">
        <v>117</v>
      </c>
      <c r="D273" s="25">
        <v>50.0</v>
      </c>
      <c r="E273" s="25">
        <v>16.0</v>
      </c>
      <c r="F273" s="25">
        <v>0.0</v>
      </c>
      <c r="G273" s="21" t="s">
        <v>1191</v>
      </c>
    </row>
    <row r="274" hidden="1">
      <c r="A274" s="21"/>
      <c r="B274" s="21" t="s">
        <v>1216</v>
      </c>
      <c r="C274" s="21" t="s">
        <v>87</v>
      </c>
      <c r="D274" s="25">
        <v>50.0</v>
      </c>
      <c r="E274" s="25">
        <v>3.0</v>
      </c>
      <c r="F274" s="25">
        <v>7.51</v>
      </c>
      <c r="G274" s="21" t="s">
        <v>1217</v>
      </c>
    </row>
    <row r="275" hidden="1">
      <c r="A275" s="21"/>
      <c r="B275" s="21" t="s">
        <v>1218</v>
      </c>
      <c r="C275" s="21" t="s">
        <v>90</v>
      </c>
      <c r="D275" s="25">
        <v>50.0</v>
      </c>
      <c r="E275" s="25">
        <v>25.0</v>
      </c>
      <c r="F275" s="25">
        <v>4.74</v>
      </c>
      <c r="G275" s="21" t="s">
        <v>259</v>
      </c>
    </row>
    <row r="276" hidden="1">
      <c r="A276" s="21"/>
      <c r="B276" s="21" t="s">
        <v>1219</v>
      </c>
      <c r="C276" s="21" t="s">
        <v>87</v>
      </c>
      <c r="D276" s="25">
        <v>50.0</v>
      </c>
      <c r="E276" s="25">
        <v>31.0</v>
      </c>
      <c r="F276" s="25">
        <v>5.04</v>
      </c>
      <c r="G276" s="21" t="s">
        <v>1220</v>
      </c>
    </row>
    <row r="277" hidden="1">
      <c r="A277" s="21"/>
      <c r="B277" s="21" t="s">
        <v>1221</v>
      </c>
      <c r="C277" s="21" t="s">
        <v>87</v>
      </c>
      <c r="D277" s="25">
        <v>50.0</v>
      </c>
      <c r="E277" s="25">
        <v>1.0</v>
      </c>
      <c r="F277" s="25">
        <v>3.33</v>
      </c>
      <c r="G277" s="21" t="s">
        <v>155</v>
      </c>
    </row>
    <row r="278" hidden="1">
      <c r="A278" s="21"/>
      <c r="B278" s="21" t="s">
        <v>1222</v>
      </c>
      <c r="C278" s="21" t="s">
        <v>87</v>
      </c>
      <c r="D278" s="25">
        <v>50.0</v>
      </c>
      <c r="E278" s="25">
        <v>4.0</v>
      </c>
      <c r="F278" s="25">
        <v>3.33</v>
      </c>
      <c r="G278" s="21" t="s">
        <v>155</v>
      </c>
    </row>
    <row r="279" hidden="1">
      <c r="A279" s="21"/>
      <c r="B279" s="21" t="s">
        <v>1223</v>
      </c>
      <c r="C279" s="21" t="s">
        <v>87</v>
      </c>
      <c r="D279" s="25">
        <v>50.0</v>
      </c>
      <c r="E279" s="25">
        <v>5.0</v>
      </c>
      <c r="F279" s="25">
        <v>7.53</v>
      </c>
      <c r="G279" s="21" t="s">
        <v>970</v>
      </c>
    </row>
    <row r="280" hidden="1">
      <c r="A280" s="21"/>
      <c r="B280" s="21" t="s">
        <v>151</v>
      </c>
      <c r="C280" s="21" t="s">
        <v>87</v>
      </c>
      <c r="D280" s="25">
        <v>50.0</v>
      </c>
      <c r="E280" s="25">
        <v>3.0</v>
      </c>
      <c r="F280" s="25">
        <v>0.0</v>
      </c>
      <c r="G280" s="21" t="s">
        <v>152</v>
      </c>
    </row>
    <row r="281" hidden="1">
      <c r="A281" s="21"/>
      <c r="B281" s="21" t="s">
        <v>1224</v>
      </c>
      <c r="C281" s="21" t="s">
        <v>87</v>
      </c>
      <c r="D281" s="25">
        <v>50.0</v>
      </c>
      <c r="E281" s="25">
        <v>2.0</v>
      </c>
      <c r="F281" s="25">
        <v>5.75</v>
      </c>
      <c r="G281" s="21" t="s">
        <v>886</v>
      </c>
    </row>
    <row r="282" hidden="1">
      <c r="A282" s="21"/>
      <c r="B282" s="21" t="s">
        <v>1225</v>
      </c>
      <c r="C282" s="21" t="s">
        <v>87</v>
      </c>
      <c r="D282" s="25">
        <v>50.0</v>
      </c>
      <c r="E282" s="25">
        <v>23.0</v>
      </c>
      <c r="F282" s="25">
        <v>5.97</v>
      </c>
      <c r="G282" s="21" t="s">
        <v>1226</v>
      </c>
    </row>
    <row r="283" hidden="1">
      <c r="A283" s="21"/>
      <c r="B283" s="21" t="s">
        <v>1227</v>
      </c>
      <c r="C283" s="21" t="s">
        <v>160</v>
      </c>
      <c r="D283" s="25">
        <v>50.0</v>
      </c>
      <c r="E283" s="25">
        <v>11.0</v>
      </c>
      <c r="F283" s="25">
        <v>6.27</v>
      </c>
      <c r="G283" s="21" t="s">
        <v>1228</v>
      </c>
    </row>
    <row r="284" hidden="1">
      <c r="A284" s="21"/>
      <c r="B284" s="21" t="s">
        <v>1229</v>
      </c>
      <c r="C284" s="21" t="s">
        <v>160</v>
      </c>
      <c r="D284" s="25">
        <v>50.0</v>
      </c>
      <c r="E284" s="25">
        <v>44.0</v>
      </c>
      <c r="F284" s="25">
        <v>4.31</v>
      </c>
      <c r="G284" s="21" t="s">
        <v>1230</v>
      </c>
    </row>
    <row r="285" hidden="1">
      <c r="A285" s="21"/>
      <c r="B285" s="21" t="s">
        <v>1231</v>
      </c>
      <c r="C285" s="21" t="s">
        <v>117</v>
      </c>
      <c r="D285" s="25">
        <v>50.0</v>
      </c>
      <c r="E285" s="25">
        <v>17.0</v>
      </c>
      <c r="F285" s="25">
        <v>0.0</v>
      </c>
      <c r="G285" s="21" t="s">
        <v>476</v>
      </c>
    </row>
    <row r="286" hidden="1">
      <c r="A286" s="21"/>
      <c r="B286" s="21" t="s">
        <v>1232</v>
      </c>
      <c r="C286" s="21" t="s">
        <v>87</v>
      </c>
      <c r="D286" s="25">
        <v>50.0</v>
      </c>
      <c r="E286" s="25">
        <v>32.0</v>
      </c>
      <c r="F286" s="25">
        <v>11.14</v>
      </c>
      <c r="G286" s="21" t="s">
        <v>188</v>
      </c>
    </row>
    <row r="287" hidden="1">
      <c r="A287" s="21"/>
      <c r="B287" s="21" t="s">
        <v>1233</v>
      </c>
      <c r="C287" s="21" t="s">
        <v>87</v>
      </c>
      <c r="D287" s="25">
        <v>50.0</v>
      </c>
      <c r="E287" s="25">
        <v>38.0</v>
      </c>
      <c r="F287" s="25">
        <v>5.83</v>
      </c>
      <c r="G287" s="21" t="s">
        <v>1234</v>
      </c>
    </row>
    <row r="288" hidden="1">
      <c r="A288" s="21"/>
      <c r="B288" s="21" t="s">
        <v>1235</v>
      </c>
      <c r="C288" s="21" t="s">
        <v>117</v>
      </c>
      <c r="D288" s="25">
        <v>50.0</v>
      </c>
      <c r="E288" s="25">
        <v>22.0</v>
      </c>
      <c r="F288" s="25">
        <v>3.83</v>
      </c>
      <c r="G288" s="21" t="s">
        <v>1236</v>
      </c>
    </row>
    <row r="289" hidden="1">
      <c r="A289" s="21"/>
      <c r="B289" s="21" t="s">
        <v>1237</v>
      </c>
      <c r="C289" s="21" t="s">
        <v>117</v>
      </c>
      <c r="D289" s="25">
        <v>50.0</v>
      </c>
      <c r="E289" s="25">
        <v>8.0</v>
      </c>
      <c r="F289" s="25">
        <v>4.66</v>
      </c>
      <c r="G289" s="21" t="s">
        <v>981</v>
      </c>
    </row>
    <row r="290" hidden="1">
      <c r="A290" s="21"/>
      <c r="B290" s="21" t="s">
        <v>1238</v>
      </c>
      <c r="C290" s="21" t="s">
        <v>90</v>
      </c>
      <c r="D290" s="25">
        <v>50.0</v>
      </c>
      <c r="E290" s="25">
        <v>24.0</v>
      </c>
      <c r="F290" s="25">
        <v>4.74</v>
      </c>
      <c r="G290" s="21" t="s">
        <v>1239</v>
      </c>
    </row>
    <row r="291" hidden="1">
      <c r="A291" s="21"/>
      <c r="B291" s="21" t="s">
        <v>1240</v>
      </c>
      <c r="C291" s="21" t="s">
        <v>87</v>
      </c>
      <c r="D291" s="25">
        <v>50.0</v>
      </c>
      <c r="E291" s="25">
        <v>18.0</v>
      </c>
      <c r="F291" s="25">
        <v>0.92</v>
      </c>
      <c r="G291" s="21" t="s">
        <v>186</v>
      </c>
    </row>
    <row r="292" hidden="1">
      <c r="A292" s="21"/>
      <c r="B292" s="21" t="s">
        <v>1241</v>
      </c>
      <c r="C292" s="21" t="s">
        <v>87</v>
      </c>
      <c r="D292" s="25">
        <v>50.0</v>
      </c>
      <c r="E292" s="25">
        <v>18.0</v>
      </c>
      <c r="F292" s="25">
        <v>6.75</v>
      </c>
      <c r="G292" s="21" t="s">
        <v>897</v>
      </c>
    </row>
    <row r="293" hidden="1">
      <c r="A293" s="21"/>
      <c r="B293" s="21" t="s">
        <v>1242</v>
      </c>
      <c r="C293" s="21" t="s">
        <v>87</v>
      </c>
      <c r="D293" s="25">
        <v>50.0</v>
      </c>
      <c r="E293" s="25">
        <v>25.0</v>
      </c>
      <c r="F293" s="25">
        <v>0.0</v>
      </c>
      <c r="G293" s="21" t="s">
        <v>1243</v>
      </c>
    </row>
    <row r="294" hidden="1">
      <c r="A294" s="21"/>
      <c r="B294" s="21" t="s">
        <v>462</v>
      </c>
      <c r="C294" s="21" t="s">
        <v>117</v>
      </c>
      <c r="D294" s="25">
        <v>50.0</v>
      </c>
      <c r="E294" s="25">
        <v>10.0</v>
      </c>
      <c r="F294" s="25">
        <v>3.43</v>
      </c>
      <c r="G294" s="21" t="s">
        <v>463</v>
      </c>
    </row>
    <row r="295" hidden="1">
      <c r="A295" s="21"/>
      <c r="B295" s="21" t="s">
        <v>464</v>
      </c>
      <c r="C295" s="21" t="s">
        <v>117</v>
      </c>
      <c r="D295" s="25">
        <v>50.0</v>
      </c>
      <c r="E295" s="25">
        <v>23.0</v>
      </c>
      <c r="F295" s="25">
        <v>3.21</v>
      </c>
      <c r="G295" s="21" t="s">
        <v>465</v>
      </c>
    </row>
    <row r="296" hidden="1">
      <c r="A296" s="21"/>
      <c r="B296" s="21" t="s">
        <v>1244</v>
      </c>
      <c r="C296" s="21" t="s">
        <v>87</v>
      </c>
      <c r="D296" s="25">
        <v>50.0</v>
      </c>
      <c r="E296" s="25">
        <v>1.0</v>
      </c>
      <c r="F296" s="25">
        <v>0.0</v>
      </c>
      <c r="G296" s="21" t="s">
        <v>1021</v>
      </c>
    </row>
    <row r="297" hidden="1">
      <c r="A297" s="21"/>
      <c r="B297" s="21" t="s">
        <v>1245</v>
      </c>
      <c r="C297" s="21" t="s">
        <v>87</v>
      </c>
      <c r="D297" s="25">
        <v>50.0</v>
      </c>
      <c r="E297" s="25">
        <v>51.0</v>
      </c>
      <c r="F297" s="25">
        <v>2.56</v>
      </c>
      <c r="G297" s="21" t="s">
        <v>874</v>
      </c>
    </row>
    <row r="298" hidden="1">
      <c r="A298" s="21"/>
      <c r="B298" s="21" t="s">
        <v>1246</v>
      </c>
      <c r="C298" s="21" t="s">
        <v>117</v>
      </c>
      <c r="D298" s="25">
        <v>50.0</v>
      </c>
      <c r="E298" s="25">
        <v>12.0</v>
      </c>
      <c r="F298" s="25">
        <v>3.57</v>
      </c>
      <c r="G298" s="21" t="s">
        <v>429</v>
      </c>
    </row>
    <row r="299" hidden="1">
      <c r="A299" s="21"/>
      <c r="B299" s="21" t="s">
        <v>1247</v>
      </c>
      <c r="C299" s="21" t="s">
        <v>117</v>
      </c>
      <c r="D299" s="25">
        <v>50.0</v>
      </c>
      <c r="E299" s="25">
        <v>15.0</v>
      </c>
      <c r="F299" s="25">
        <v>3.53</v>
      </c>
      <c r="G299" s="21" t="s">
        <v>429</v>
      </c>
    </row>
    <row r="300" hidden="1">
      <c r="A300" s="21"/>
      <c r="B300" s="21" t="s">
        <v>1248</v>
      </c>
      <c r="C300" s="21" t="s">
        <v>87</v>
      </c>
      <c r="D300" s="25">
        <v>50.0</v>
      </c>
      <c r="E300" s="25">
        <v>39.0</v>
      </c>
      <c r="F300" s="25">
        <v>6.28</v>
      </c>
      <c r="G300" s="21" t="s">
        <v>97</v>
      </c>
    </row>
    <row r="301" hidden="1">
      <c r="A301" s="21"/>
      <c r="B301" s="21" t="s">
        <v>1249</v>
      </c>
      <c r="C301" s="21" t="s">
        <v>117</v>
      </c>
      <c r="D301" s="25">
        <v>50.0</v>
      </c>
      <c r="E301" s="25">
        <v>21.0</v>
      </c>
      <c r="F301" s="25">
        <v>0.93</v>
      </c>
      <c r="G301" s="21" t="s">
        <v>1059</v>
      </c>
    </row>
    <row r="302" hidden="1">
      <c r="A302" s="21"/>
      <c r="B302" s="21" t="s">
        <v>466</v>
      </c>
      <c r="C302" s="21" t="s">
        <v>117</v>
      </c>
      <c r="D302" s="25">
        <v>50.0</v>
      </c>
      <c r="E302" s="25">
        <v>40.0</v>
      </c>
      <c r="F302" s="25">
        <v>0.0</v>
      </c>
      <c r="G302" s="21" t="s">
        <v>457</v>
      </c>
    </row>
    <row r="303" hidden="1">
      <c r="A303" s="21"/>
      <c r="B303" s="21" t="s">
        <v>1250</v>
      </c>
      <c r="D303" s="25">
        <v>50.0</v>
      </c>
      <c r="E303" s="27"/>
      <c r="F303" s="25">
        <v>1.26</v>
      </c>
      <c r="G303" s="27"/>
    </row>
    <row r="304" hidden="1">
      <c r="A304" s="21"/>
      <c r="B304" s="21" t="s">
        <v>1251</v>
      </c>
      <c r="C304" s="21" t="s">
        <v>87</v>
      </c>
      <c r="D304" s="25">
        <v>50.0</v>
      </c>
      <c r="E304" s="25">
        <v>37.0</v>
      </c>
      <c r="F304" s="25">
        <v>3.32</v>
      </c>
      <c r="G304" s="21" t="s">
        <v>1148</v>
      </c>
    </row>
    <row r="305" hidden="1">
      <c r="A305" s="21"/>
      <c r="B305" s="21" t="s">
        <v>467</v>
      </c>
      <c r="C305" s="21" t="s">
        <v>117</v>
      </c>
      <c r="D305" s="25">
        <v>50.0</v>
      </c>
      <c r="E305" s="25">
        <v>31.0</v>
      </c>
      <c r="F305" s="25">
        <v>1.13</v>
      </c>
      <c r="G305" s="21" t="s">
        <v>429</v>
      </c>
    </row>
    <row r="306" hidden="1">
      <c r="A306" s="21"/>
      <c r="B306" s="21" t="s">
        <v>468</v>
      </c>
      <c r="C306" s="21" t="s">
        <v>117</v>
      </c>
      <c r="D306" s="25">
        <v>50.0</v>
      </c>
      <c r="E306" s="25">
        <v>0.0</v>
      </c>
      <c r="F306" s="25">
        <v>4.73</v>
      </c>
      <c r="G306" s="21" t="s">
        <v>431</v>
      </c>
    </row>
    <row r="307" hidden="1">
      <c r="A307" s="21"/>
      <c r="B307" s="21" t="s">
        <v>469</v>
      </c>
      <c r="C307" s="21" t="s">
        <v>117</v>
      </c>
      <c r="D307" s="25">
        <v>50.0</v>
      </c>
      <c r="E307" s="25">
        <v>2.0</v>
      </c>
      <c r="F307" s="25">
        <v>0.0</v>
      </c>
      <c r="G307" s="21" t="s">
        <v>470</v>
      </c>
    </row>
    <row r="308" hidden="1">
      <c r="A308" s="21"/>
      <c r="B308" s="21" t="s">
        <v>471</v>
      </c>
      <c r="C308" s="21" t="s">
        <v>117</v>
      </c>
      <c r="D308" s="25">
        <v>50.0</v>
      </c>
      <c r="E308" s="25">
        <v>25.0</v>
      </c>
      <c r="F308" s="25">
        <v>3.99</v>
      </c>
      <c r="G308" s="21" t="s">
        <v>472</v>
      </c>
    </row>
    <row r="309" hidden="1">
      <c r="A309" s="21"/>
      <c r="B309" s="21" t="s">
        <v>473</v>
      </c>
      <c r="C309" s="21" t="s">
        <v>117</v>
      </c>
      <c r="D309" s="25">
        <v>50.0</v>
      </c>
      <c r="E309" s="25">
        <v>14.0</v>
      </c>
      <c r="F309" s="25">
        <v>0.0</v>
      </c>
      <c r="G309" s="21" t="s">
        <v>474</v>
      </c>
    </row>
    <row r="310" hidden="1">
      <c r="A310" s="21"/>
      <c r="B310" s="21" t="s">
        <v>475</v>
      </c>
      <c r="C310" s="21" t="s">
        <v>117</v>
      </c>
      <c r="D310" s="25">
        <v>50.0</v>
      </c>
      <c r="E310" s="25">
        <v>14.0</v>
      </c>
      <c r="F310" s="25">
        <v>4.22</v>
      </c>
      <c r="G310" s="21" t="s">
        <v>476</v>
      </c>
    </row>
    <row r="311" hidden="1">
      <c r="A311" s="21"/>
      <c r="B311" s="21" t="s">
        <v>477</v>
      </c>
      <c r="C311" s="21" t="s">
        <v>117</v>
      </c>
      <c r="D311" s="25">
        <v>50.0</v>
      </c>
      <c r="E311" s="25">
        <v>32.0</v>
      </c>
      <c r="F311" s="25">
        <v>1.22</v>
      </c>
      <c r="G311" s="21" t="s">
        <v>478</v>
      </c>
    </row>
    <row r="312" hidden="1">
      <c r="A312" s="21"/>
      <c r="B312" s="21" t="s">
        <v>479</v>
      </c>
      <c r="C312" s="21" t="s">
        <v>117</v>
      </c>
      <c r="D312" s="25">
        <v>50.0</v>
      </c>
      <c r="E312" s="25">
        <v>5.0</v>
      </c>
      <c r="F312" s="25">
        <v>2.02</v>
      </c>
      <c r="G312" s="21" t="s">
        <v>463</v>
      </c>
    </row>
    <row r="313" hidden="1">
      <c r="A313" s="21"/>
      <c r="B313" s="21" t="s">
        <v>480</v>
      </c>
      <c r="C313" s="21" t="s">
        <v>117</v>
      </c>
      <c r="D313" s="25">
        <v>50.0</v>
      </c>
      <c r="E313" s="25">
        <v>30.0</v>
      </c>
      <c r="F313" s="25">
        <v>1.32</v>
      </c>
      <c r="G313" s="21" t="s">
        <v>431</v>
      </c>
    </row>
    <row r="314" hidden="1">
      <c r="A314" s="21"/>
      <c r="B314" s="21" t="s">
        <v>481</v>
      </c>
      <c r="C314" s="21" t="s">
        <v>117</v>
      </c>
      <c r="D314" s="25">
        <v>50.0</v>
      </c>
      <c r="E314" s="25">
        <v>31.0</v>
      </c>
      <c r="F314" s="25">
        <v>1.13</v>
      </c>
      <c r="G314" s="21" t="s">
        <v>478</v>
      </c>
    </row>
    <row r="315" hidden="1">
      <c r="A315" s="21"/>
      <c r="B315" s="21" t="s">
        <v>482</v>
      </c>
      <c r="D315" s="25">
        <v>50.0</v>
      </c>
      <c r="E315" s="27"/>
      <c r="F315" s="25">
        <v>0.0</v>
      </c>
      <c r="G315" s="27"/>
    </row>
    <row r="316" hidden="1">
      <c r="A316" s="21"/>
      <c r="B316" s="21" t="s">
        <v>1252</v>
      </c>
      <c r="C316" s="21" t="s">
        <v>87</v>
      </c>
      <c r="D316" s="25">
        <v>50.0</v>
      </c>
      <c r="E316" s="25">
        <v>12.0</v>
      </c>
      <c r="F316" s="25">
        <v>5.81</v>
      </c>
      <c r="G316" s="21" t="s">
        <v>1253</v>
      </c>
    </row>
    <row r="317" hidden="1">
      <c r="A317" s="21"/>
      <c r="B317" s="21" t="s">
        <v>1254</v>
      </c>
      <c r="C317" s="21" t="s">
        <v>117</v>
      </c>
      <c r="D317" s="25">
        <v>50.0</v>
      </c>
      <c r="E317" s="25">
        <v>11.0</v>
      </c>
      <c r="F317" s="25">
        <v>0.0</v>
      </c>
      <c r="G317" s="21" t="s">
        <v>1255</v>
      </c>
    </row>
    <row r="318" hidden="1">
      <c r="A318" s="21"/>
      <c r="B318" s="21" t="s">
        <v>1256</v>
      </c>
      <c r="C318" s="21" t="s">
        <v>117</v>
      </c>
      <c r="D318" s="25">
        <v>50.0</v>
      </c>
      <c r="E318" s="25">
        <v>17.0</v>
      </c>
      <c r="F318" s="25">
        <v>2.92</v>
      </c>
      <c r="G318" s="21" t="s">
        <v>1257</v>
      </c>
    </row>
    <row r="319" hidden="1">
      <c r="A319" s="21"/>
      <c r="B319" s="21" t="s">
        <v>1258</v>
      </c>
      <c r="C319" s="21" t="s">
        <v>87</v>
      </c>
      <c r="D319" s="25">
        <v>50.0</v>
      </c>
      <c r="E319" s="25">
        <v>5.0</v>
      </c>
      <c r="F319" s="25">
        <v>0.0</v>
      </c>
      <c r="G319" s="21" t="s">
        <v>1183</v>
      </c>
    </row>
    <row r="320" hidden="1">
      <c r="A320" s="21"/>
      <c r="B320" s="21" t="s">
        <v>1259</v>
      </c>
      <c r="C320" s="21" t="s">
        <v>959</v>
      </c>
      <c r="D320" s="25">
        <v>50.0</v>
      </c>
      <c r="E320" s="25">
        <v>24.0</v>
      </c>
      <c r="F320" s="25">
        <v>7.19</v>
      </c>
      <c r="G320" s="21" t="s">
        <v>1260</v>
      </c>
    </row>
    <row r="321" hidden="1">
      <c r="A321" s="21"/>
      <c r="B321" s="21" t="s">
        <v>1261</v>
      </c>
      <c r="C321" s="21" t="s">
        <v>1065</v>
      </c>
      <c r="D321" s="25">
        <v>50.0</v>
      </c>
      <c r="E321" s="25">
        <v>34.0</v>
      </c>
      <c r="F321" s="25">
        <v>5.02</v>
      </c>
      <c r="G321" s="21" t="s">
        <v>1262</v>
      </c>
    </row>
    <row r="322" hidden="1">
      <c r="A322" s="21"/>
      <c r="B322" s="21" t="s">
        <v>1263</v>
      </c>
      <c r="C322" s="21" t="s">
        <v>87</v>
      </c>
      <c r="D322" s="25">
        <v>50.0</v>
      </c>
      <c r="E322" s="25">
        <v>37.0</v>
      </c>
      <c r="F322" s="25">
        <v>4.62</v>
      </c>
      <c r="G322" s="21" t="s">
        <v>1033</v>
      </c>
    </row>
    <row r="323" hidden="1">
      <c r="A323" s="21"/>
      <c r="B323" s="21" t="s">
        <v>1264</v>
      </c>
      <c r="C323" s="21" t="s">
        <v>87</v>
      </c>
      <c r="D323" s="25">
        <v>50.0</v>
      </c>
      <c r="E323" s="25">
        <v>16.0</v>
      </c>
      <c r="F323" s="25">
        <v>0.0</v>
      </c>
      <c r="G323" s="21" t="s">
        <v>1265</v>
      </c>
    </row>
    <row r="324" hidden="1">
      <c r="A324" s="21"/>
      <c r="B324" s="21" t="s">
        <v>1266</v>
      </c>
      <c r="D324" s="25">
        <v>50.0</v>
      </c>
      <c r="E324" s="27"/>
      <c r="F324" s="25">
        <v>0.0</v>
      </c>
      <c r="G324" s="27"/>
    </row>
    <row r="325" hidden="1">
      <c r="A325" s="21"/>
      <c r="B325" s="21" t="s">
        <v>1267</v>
      </c>
      <c r="C325" s="21" t="s">
        <v>117</v>
      </c>
      <c r="D325" s="25">
        <v>50.0</v>
      </c>
      <c r="E325" s="25">
        <v>17.0</v>
      </c>
      <c r="F325" s="25">
        <v>0.0</v>
      </c>
      <c r="G325" s="21" t="s">
        <v>170</v>
      </c>
    </row>
    <row r="326" hidden="1">
      <c r="A326" s="21"/>
      <c r="B326" s="21" t="s">
        <v>1268</v>
      </c>
      <c r="C326" s="21" t="s">
        <v>117</v>
      </c>
      <c r="D326" s="25">
        <v>50.0</v>
      </c>
      <c r="E326" s="25">
        <v>9.0</v>
      </c>
      <c r="F326" s="25">
        <v>0.0</v>
      </c>
      <c r="G326" s="21" t="s">
        <v>1269</v>
      </c>
    </row>
    <row r="327" hidden="1">
      <c r="A327" s="21"/>
      <c r="B327" s="21" t="s">
        <v>1270</v>
      </c>
      <c r="C327" s="21" t="s">
        <v>117</v>
      </c>
      <c r="D327" s="25">
        <v>50.0</v>
      </c>
      <c r="E327" s="25">
        <v>0.0</v>
      </c>
      <c r="F327" s="25">
        <v>0.0</v>
      </c>
      <c r="G327" s="21" t="s">
        <v>1271</v>
      </c>
    </row>
    <row r="328" hidden="1">
      <c r="A328" s="21"/>
      <c r="B328" s="21" t="s">
        <v>1272</v>
      </c>
      <c r="C328" s="21" t="s">
        <v>117</v>
      </c>
      <c r="D328" s="25">
        <v>50.0</v>
      </c>
      <c r="E328" s="25">
        <v>40.0</v>
      </c>
      <c r="F328" s="25">
        <v>1.48</v>
      </c>
      <c r="G328" s="21" t="s">
        <v>431</v>
      </c>
    </row>
    <row r="329" hidden="1">
      <c r="A329" s="21"/>
      <c r="B329" s="21" t="s">
        <v>1273</v>
      </c>
      <c r="C329" s="21" t="s">
        <v>117</v>
      </c>
      <c r="D329" s="25">
        <v>50.0</v>
      </c>
      <c r="E329" s="25">
        <v>18.0</v>
      </c>
      <c r="F329" s="25">
        <v>0.0</v>
      </c>
      <c r="G329" s="21" t="s">
        <v>1274</v>
      </c>
    </row>
    <row r="330" hidden="1">
      <c r="A330" s="21"/>
      <c r="B330" s="21" t="s">
        <v>1275</v>
      </c>
      <c r="C330" s="21" t="s">
        <v>90</v>
      </c>
      <c r="D330" s="25">
        <v>50.0</v>
      </c>
      <c r="E330" s="25">
        <v>17.0</v>
      </c>
      <c r="F330" s="25">
        <v>5.84</v>
      </c>
      <c r="G330" s="21" t="s">
        <v>259</v>
      </c>
    </row>
    <row r="331" hidden="1">
      <c r="A331" s="21"/>
      <c r="B331" s="21" t="s">
        <v>1276</v>
      </c>
      <c r="C331" s="21" t="s">
        <v>160</v>
      </c>
      <c r="D331" s="25">
        <v>50.0</v>
      </c>
      <c r="E331" s="25">
        <v>28.0</v>
      </c>
      <c r="F331" s="25">
        <v>3.32</v>
      </c>
      <c r="G331" s="21" t="s">
        <v>170</v>
      </c>
    </row>
    <row r="332" hidden="1">
      <c r="A332" s="21"/>
      <c r="B332" s="21" t="s">
        <v>1277</v>
      </c>
      <c r="C332" s="21" t="s">
        <v>117</v>
      </c>
      <c r="D332" s="25">
        <v>50.0</v>
      </c>
      <c r="E332" s="25">
        <v>2.0</v>
      </c>
      <c r="F332" s="25">
        <v>2.02</v>
      </c>
      <c r="G332" s="21" t="s">
        <v>1278</v>
      </c>
    </row>
    <row r="333" hidden="1">
      <c r="A333" s="21"/>
      <c r="B333" s="21" t="s">
        <v>1279</v>
      </c>
      <c r="C333" s="21" t="s">
        <v>117</v>
      </c>
      <c r="D333" s="25">
        <v>50.0</v>
      </c>
      <c r="E333" s="25">
        <v>25.0</v>
      </c>
      <c r="F333" s="25">
        <v>3.26</v>
      </c>
      <c r="G333" s="21" t="s">
        <v>1280</v>
      </c>
    </row>
    <row r="334" hidden="1">
      <c r="A334" s="21"/>
      <c r="B334" s="21" t="s">
        <v>1281</v>
      </c>
      <c r="C334" s="21" t="s">
        <v>87</v>
      </c>
      <c r="D334" s="25">
        <v>50.0</v>
      </c>
      <c r="E334" s="25">
        <v>2.0</v>
      </c>
      <c r="F334" s="25">
        <v>0.0</v>
      </c>
      <c r="G334" s="21" t="s">
        <v>1195</v>
      </c>
    </row>
    <row r="335" hidden="1">
      <c r="A335" s="21"/>
      <c r="B335" s="21" t="s">
        <v>483</v>
      </c>
      <c r="C335" s="21" t="s">
        <v>117</v>
      </c>
      <c r="D335" s="25">
        <v>50.0</v>
      </c>
      <c r="E335" s="25">
        <v>8.0</v>
      </c>
      <c r="F335" s="25">
        <v>0.0</v>
      </c>
      <c r="G335" s="21" t="s">
        <v>420</v>
      </c>
    </row>
    <row r="336" hidden="1">
      <c r="A336" s="21"/>
      <c r="B336" s="21" t="s">
        <v>1282</v>
      </c>
      <c r="C336" s="21" t="s">
        <v>87</v>
      </c>
      <c r="D336" s="25">
        <v>50.0</v>
      </c>
      <c r="E336" s="25">
        <v>31.0</v>
      </c>
      <c r="F336" s="25">
        <v>5.05</v>
      </c>
      <c r="G336" s="21" t="s">
        <v>1283</v>
      </c>
    </row>
    <row r="337" hidden="1">
      <c r="A337" s="21"/>
      <c r="B337" s="21" t="s">
        <v>1284</v>
      </c>
      <c r="C337" s="21" t="s">
        <v>160</v>
      </c>
      <c r="D337" s="25">
        <v>50.0</v>
      </c>
      <c r="E337" s="25">
        <v>32.0</v>
      </c>
      <c r="F337" s="25">
        <v>3.47</v>
      </c>
      <c r="G337" s="21" t="s">
        <v>1285</v>
      </c>
    </row>
    <row r="338" hidden="1">
      <c r="A338" s="21"/>
      <c r="B338" s="21" t="s">
        <v>484</v>
      </c>
      <c r="C338" s="21" t="s">
        <v>87</v>
      </c>
      <c r="D338" s="25">
        <v>50.0</v>
      </c>
      <c r="E338" s="25">
        <v>16.0</v>
      </c>
      <c r="F338" s="25">
        <v>6.5</v>
      </c>
      <c r="G338" s="21" t="s">
        <v>485</v>
      </c>
    </row>
    <row r="339" hidden="1">
      <c r="A339" s="21"/>
      <c r="B339" s="21" t="s">
        <v>1286</v>
      </c>
      <c r="C339" s="21" t="s">
        <v>160</v>
      </c>
      <c r="D339" s="25">
        <v>50.0</v>
      </c>
      <c r="E339" s="25">
        <v>19.0</v>
      </c>
      <c r="F339" s="25">
        <v>0.0</v>
      </c>
      <c r="G339" s="21" t="s">
        <v>1287</v>
      </c>
    </row>
    <row r="340" hidden="1">
      <c r="A340" s="21"/>
      <c r="B340" s="21" t="s">
        <v>486</v>
      </c>
      <c r="C340" s="21" t="s">
        <v>160</v>
      </c>
      <c r="D340" s="25">
        <v>40.0</v>
      </c>
      <c r="E340" s="25">
        <v>44.0</v>
      </c>
      <c r="F340" s="25">
        <v>6.33</v>
      </c>
      <c r="G340" s="21" t="s">
        <v>487</v>
      </c>
    </row>
    <row r="341" hidden="1">
      <c r="A341" s="21"/>
      <c r="B341" s="21" t="s">
        <v>1288</v>
      </c>
      <c r="C341" s="21" t="s">
        <v>90</v>
      </c>
      <c r="D341" s="25">
        <v>40.0</v>
      </c>
      <c r="E341" s="25">
        <v>11.0</v>
      </c>
      <c r="F341" s="25">
        <v>7.1</v>
      </c>
      <c r="G341" s="21" t="s">
        <v>966</v>
      </c>
    </row>
    <row r="342" hidden="1">
      <c r="A342" s="21"/>
      <c r="B342" s="21" t="s">
        <v>1289</v>
      </c>
      <c r="C342" s="21" t="s">
        <v>117</v>
      </c>
      <c r="D342" s="25">
        <v>40.0</v>
      </c>
      <c r="E342" s="25">
        <v>20.0</v>
      </c>
      <c r="F342" s="25">
        <v>0.0</v>
      </c>
      <c r="G342" s="21" t="s">
        <v>1290</v>
      </c>
    </row>
    <row r="343" hidden="1">
      <c r="A343" s="21"/>
      <c r="B343" s="21" t="s">
        <v>1291</v>
      </c>
      <c r="D343" s="25">
        <v>40.0</v>
      </c>
      <c r="E343" s="27"/>
      <c r="F343" s="25">
        <v>5.59</v>
      </c>
      <c r="G343" s="27"/>
    </row>
    <row r="344" hidden="1">
      <c r="A344" s="21"/>
      <c r="B344" s="21" t="s">
        <v>1292</v>
      </c>
      <c r="C344" s="21" t="s">
        <v>87</v>
      </c>
      <c r="D344" s="25">
        <v>40.0</v>
      </c>
      <c r="E344" s="25">
        <v>33.0</v>
      </c>
      <c r="F344" s="25">
        <v>2.61</v>
      </c>
      <c r="G344" s="21" t="s">
        <v>1162</v>
      </c>
    </row>
    <row r="345" hidden="1">
      <c r="A345" s="21"/>
      <c r="B345" s="21" t="s">
        <v>1293</v>
      </c>
      <c r="C345" s="21" t="s">
        <v>87</v>
      </c>
      <c r="D345" s="25">
        <v>40.0</v>
      </c>
      <c r="E345" s="25">
        <v>44.0</v>
      </c>
      <c r="F345" s="25">
        <v>5.47</v>
      </c>
      <c r="G345" s="21" t="s">
        <v>1294</v>
      </c>
    </row>
    <row r="346" hidden="1">
      <c r="A346" s="21"/>
      <c r="B346" s="21" t="s">
        <v>156</v>
      </c>
      <c r="C346" s="21" t="s">
        <v>87</v>
      </c>
      <c r="D346" s="25">
        <v>40.0</v>
      </c>
      <c r="E346" s="25">
        <v>40.0</v>
      </c>
      <c r="F346" s="25">
        <v>6.62</v>
      </c>
      <c r="G346" s="21" t="s">
        <v>1295</v>
      </c>
    </row>
    <row r="347" hidden="1">
      <c r="A347" s="21"/>
      <c r="B347" s="21" t="s">
        <v>1296</v>
      </c>
      <c r="C347" s="21" t="s">
        <v>117</v>
      </c>
      <c r="D347" s="25">
        <v>40.0</v>
      </c>
      <c r="E347" s="25">
        <v>4.0</v>
      </c>
      <c r="F347" s="25">
        <v>3.63</v>
      </c>
      <c r="G347" s="21" t="s">
        <v>254</v>
      </c>
    </row>
    <row r="348" hidden="1">
      <c r="A348" s="21"/>
      <c r="B348" s="21" t="s">
        <v>1297</v>
      </c>
      <c r="C348" s="21" t="s">
        <v>87</v>
      </c>
      <c r="D348" s="25">
        <v>40.0</v>
      </c>
      <c r="E348" s="25">
        <v>18.0</v>
      </c>
      <c r="F348" s="25">
        <v>6.78</v>
      </c>
      <c r="G348" s="21" t="s">
        <v>1298</v>
      </c>
    </row>
    <row r="349" hidden="1">
      <c r="A349" s="21"/>
      <c r="B349" s="21" t="s">
        <v>1299</v>
      </c>
      <c r="D349" s="25">
        <v>40.0</v>
      </c>
      <c r="E349" s="27"/>
      <c r="F349" s="25">
        <v>4.51</v>
      </c>
      <c r="G349" s="27"/>
    </row>
    <row r="350" hidden="1">
      <c r="A350" s="21"/>
      <c r="B350" s="21" t="s">
        <v>1300</v>
      </c>
      <c r="C350" s="21" t="s">
        <v>87</v>
      </c>
      <c r="D350" s="25">
        <v>40.0</v>
      </c>
      <c r="E350" s="25">
        <v>12.0</v>
      </c>
      <c r="F350" s="25">
        <v>6.91</v>
      </c>
      <c r="G350" s="21" t="s">
        <v>1214</v>
      </c>
    </row>
    <row r="351" hidden="1">
      <c r="A351" s="21"/>
      <c r="B351" s="21" t="s">
        <v>1301</v>
      </c>
      <c r="C351" s="21" t="s">
        <v>87</v>
      </c>
      <c r="D351" s="25">
        <v>40.0</v>
      </c>
      <c r="E351" s="25">
        <v>38.0</v>
      </c>
      <c r="F351" s="25">
        <v>9.24</v>
      </c>
      <c r="G351" s="21" t="s">
        <v>1027</v>
      </c>
    </row>
    <row r="352" hidden="1">
      <c r="A352" s="21"/>
      <c r="B352" s="21" t="s">
        <v>1302</v>
      </c>
      <c r="D352" s="25">
        <v>40.0</v>
      </c>
      <c r="E352" s="27"/>
      <c r="F352" s="25">
        <v>5.08</v>
      </c>
      <c r="G352" s="27"/>
    </row>
    <row r="353" hidden="1">
      <c r="A353" s="21"/>
      <c r="B353" s="21" t="s">
        <v>1303</v>
      </c>
      <c r="C353" s="21" t="s">
        <v>117</v>
      </c>
      <c r="D353" s="25">
        <v>40.0</v>
      </c>
      <c r="E353" s="25">
        <v>4.0</v>
      </c>
      <c r="F353" s="25">
        <v>1.0</v>
      </c>
      <c r="G353" s="21" t="s">
        <v>1304</v>
      </c>
    </row>
    <row r="354" hidden="1">
      <c r="A354" s="21"/>
      <c r="B354" s="21" t="s">
        <v>1305</v>
      </c>
      <c r="C354" s="21" t="s">
        <v>87</v>
      </c>
      <c r="D354" s="25">
        <v>40.0</v>
      </c>
      <c r="E354" s="25">
        <v>7.0</v>
      </c>
      <c r="F354" s="25">
        <v>4.51</v>
      </c>
      <c r="G354" s="21" t="s">
        <v>931</v>
      </c>
    </row>
    <row r="355" hidden="1">
      <c r="A355" s="21"/>
      <c r="B355" s="21" t="s">
        <v>1306</v>
      </c>
      <c r="C355" s="21" t="s">
        <v>99</v>
      </c>
      <c r="D355" s="25">
        <v>40.0</v>
      </c>
      <c r="E355" s="25">
        <v>26.0</v>
      </c>
      <c r="F355" s="25">
        <v>0.0</v>
      </c>
      <c r="G355" s="21" t="s">
        <v>1011</v>
      </c>
    </row>
    <row r="356" hidden="1">
      <c r="A356" s="21"/>
      <c r="B356" s="21" t="s">
        <v>1307</v>
      </c>
      <c r="C356" s="21" t="s">
        <v>87</v>
      </c>
      <c r="D356" s="25">
        <v>40.0</v>
      </c>
      <c r="E356" s="25">
        <v>22.0</v>
      </c>
      <c r="F356" s="25">
        <v>0.43</v>
      </c>
      <c r="G356" s="21" t="s">
        <v>170</v>
      </c>
    </row>
    <row r="357" hidden="1">
      <c r="A357" s="21"/>
      <c r="B357" s="21" t="s">
        <v>154</v>
      </c>
      <c r="C357" s="21" t="s">
        <v>87</v>
      </c>
      <c r="D357" s="25">
        <v>40.0</v>
      </c>
      <c r="E357" s="25">
        <v>13.0</v>
      </c>
      <c r="F357" s="25">
        <v>5.53</v>
      </c>
      <c r="G357" s="21" t="s">
        <v>155</v>
      </c>
    </row>
    <row r="358" hidden="1">
      <c r="A358" s="21"/>
      <c r="B358" s="21" t="s">
        <v>1308</v>
      </c>
      <c r="C358" s="21" t="s">
        <v>87</v>
      </c>
      <c r="D358" s="25">
        <v>40.0</v>
      </c>
      <c r="E358" s="25">
        <v>1.0</v>
      </c>
      <c r="F358" s="25">
        <v>10.3</v>
      </c>
      <c r="G358" s="21" t="s">
        <v>178</v>
      </c>
    </row>
    <row r="359" hidden="1">
      <c r="A359" s="21"/>
      <c r="B359" s="21" t="s">
        <v>1309</v>
      </c>
      <c r="C359" s="21" t="s">
        <v>117</v>
      </c>
      <c r="D359" s="25">
        <v>40.0</v>
      </c>
      <c r="E359" s="25">
        <v>9.0</v>
      </c>
      <c r="F359" s="25">
        <v>5.4</v>
      </c>
      <c r="G359" s="21" t="s">
        <v>1310</v>
      </c>
    </row>
    <row r="360" hidden="1">
      <c r="A360" s="21"/>
      <c r="B360" s="21" t="s">
        <v>1311</v>
      </c>
      <c r="D360" s="25">
        <v>40.0</v>
      </c>
      <c r="E360" s="27"/>
      <c r="F360" s="25">
        <v>0.0</v>
      </c>
      <c r="G360" s="27"/>
    </row>
    <row r="361" hidden="1">
      <c r="A361" s="21"/>
      <c r="B361" s="21" t="s">
        <v>1312</v>
      </c>
      <c r="C361" s="21" t="s">
        <v>87</v>
      </c>
      <c r="D361" s="25">
        <v>40.0</v>
      </c>
      <c r="E361" s="25">
        <v>4.0</v>
      </c>
      <c r="F361" s="25">
        <v>8.52</v>
      </c>
      <c r="G361" s="21" t="s">
        <v>1313</v>
      </c>
    </row>
    <row r="362" hidden="1">
      <c r="A362" s="21"/>
      <c r="B362" s="21" t="s">
        <v>1314</v>
      </c>
      <c r="C362" s="21" t="s">
        <v>87</v>
      </c>
      <c r="D362" s="25">
        <v>40.0</v>
      </c>
      <c r="E362" s="25">
        <v>5.0</v>
      </c>
      <c r="F362" s="25">
        <v>2.56</v>
      </c>
      <c r="G362" s="21" t="s">
        <v>147</v>
      </c>
    </row>
    <row r="363" hidden="1">
      <c r="A363" s="21"/>
      <c r="B363" s="21" t="s">
        <v>1315</v>
      </c>
      <c r="C363" s="21" t="s">
        <v>87</v>
      </c>
      <c r="D363" s="25">
        <v>40.0</v>
      </c>
      <c r="E363" s="25">
        <v>41.0</v>
      </c>
      <c r="F363" s="25">
        <v>1.34</v>
      </c>
      <c r="G363" s="21" t="s">
        <v>147</v>
      </c>
    </row>
    <row r="364" hidden="1">
      <c r="A364" s="21"/>
      <c r="B364" s="21" t="s">
        <v>1316</v>
      </c>
      <c r="D364" s="25">
        <v>40.0</v>
      </c>
      <c r="E364" s="27"/>
      <c r="F364" s="25">
        <v>5.04</v>
      </c>
      <c r="G364" s="27"/>
    </row>
    <row r="365" hidden="1">
      <c r="A365" s="21"/>
      <c r="B365" s="21" t="s">
        <v>1317</v>
      </c>
      <c r="C365" s="21" t="s">
        <v>87</v>
      </c>
      <c r="D365" s="25">
        <v>40.0</v>
      </c>
      <c r="E365" s="25">
        <v>0.0</v>
      </c>
      <c r="F365" s="25">
        <v>3.82</v>
      </c>
      <c r="G365" s="21" t="s">
        <v>966</v>
      </c>
    </row>
    <row r="366" hidden="1">
      <c r="A366" s="21"/>
      <c r="B366" s="21" t="s">
        <v>1318</v>
      </c>
      <c r="D366" s="25">
        <v>40.0</v>
      </c>
      <c r="E366" s="27"/>
      <c r="F366" s="25">
        <v>0.0</v>
      </c>
      <c r="G366" s="27"/>
    </row>
    <row r="367" hidden="1">
      <c r="A367" s="21"/>
      <c r="B367" s="21" t="s">
        <v>1319</v>
      </c>
      <c r="C367" s="21" t="s">
        <v>117</v>
      </c>
      <c r="D367" s="25">
        <v>40.0</v>
      </c>
      <c r="E367" s="25">
        <v>10.0</v>
      </c>
      <c r="F367" s="25">
        <v>0.0</v>
      </c>
      <c r="G367" s="21" t="s">
        <v>174</v>
      </c>
    </row>
    <row r="368" hidden="1">
      <c r="A368" s="21"/>
      <c r="B368" s="21" t="s">
        <v>1320</v>
      </c>
      <c r="D368" s="25">
        <v>40.0</v>
      </c>
      <c r="E368" s="27"/>
      <c r="F368" s="25">
        <v>0.0</v>
      </c>
      <c r="G368" s="27"/>
    </row>
    <row r="369" hidden="1">
      <c r="A369" s="21"/>
      <c r="B369" s="21" t="s">
        <v>1321</v>
      </c>
      <c r="C369" s="21" t="s">
        <v>87</v>
      </c>
      <c r="D369" s="25">
        <v>40.0</v>
      </c>
      <c r="E369" s="25">
        <v>0.0</v>
      </c>
      <c r="F369" s="25">
        <v>6.23</v>
      </c>
      <c r="G369" s="21" t="s">
        <v>886</v>
      </c>
    </row>
    <row r="370" hidden="1">
      <c r="A370" s="21"/>
      <c r="B370" s="21" t="s">
        <v>1322</v>
      </c>
      <c r="C370" s="21" t="s">
        <v>87</v>
      </c>
      <c r="D370" s="25">
        <v>40.0</v>
      </c>
      <c r="E370" s="25">
        <v>9.0</v>
      </c>
      <c r="F370" s="25">
        <v>0.0</v>
      </c>
      <c r="G370" s="21" t="s">
        <v>147</v>
      </c>
    </row>
    <row r="371" hidden="1">
      <c r="A371" s="21"/>
      <c r="B371" s="21" t="s">
        <v>1323</v>
      </c>
      <c r="C371" s="21" t="s">
        <v>87</v>
      </c>
      <c r="D371" s="25">
        <v>40.0</v>
      </c>
      <c r="E371" s="25">
        <v>29.0</v>
      </c>
      <c r="F371" s="25">
        <v>7.15</v>
      </c>
      <c r="G371" s="21" t="s">
        <v>1324</v>
      </c>
    </row>
    <row r="372" hidden="1">
      <c r="A372" s="21"/>
      <c r="B372" s="21" t="s">
        <v>1325</v>
      </c>
      <c r="D372" s="25">
        <v>40.0</v>
      </c>
      <c r="E372" s="27"/>
      <c r="F372" s="25">
        <v>0.0</v>
      </c>
      <c r="G372" s="27"/>
    </row>
    <row r="373" hidden="1">
      <c r="A373" s="21"/>
      <c r="B373" s="21" t="s">
        <v>1326</v>
      </c>
      <c r="C373" s="21" t="s">
        <v>87</v>
      </c>
      <c r="D373" s="25">
        <v>40.0</v>
      </c>
      <c r="E373" s="25">
        <v>18.0</v>
      </c>
      <c r="F373" s="25">
        <v>6.15</v>
      </c>
      <c r="G373" s="21" t="s">
        <v>1327</v>
      </c>
    </row>
    <row r="374" hidden="1">
      <c r="A374" s="21"/>
      <c r="B374" s="21" t="s">
        <v>1328</v>
      </c>
      <c r="C374" s="21" t="s">
        <v>1065</v>
      </c>
      <c r="D374" s="25">
        <v>40.0</v>
      </c>
      <c r="E374" s="25">
        <v>17.0</v>
      </c>
      <c r="F374" s="25">
        <v>7.3</v>
      </c>
      <c r="G374" s="21" t="s">
        <v>1262</v>
      </c>
    </row>
    <row r="375" hidden="1">
      <c r="A375" s="21"/>
      <c r="B375" s="21" t="s">
        <v>1329</v>
      </c>
      <c r="C375" s="21" t="s">
        <v>87</v>
      </c>
      <c r="D375" s="25">
        <v>40.0</v>
      </c>
      <c r="E375" s="25">
        <v>2.0</v>
      </c>
      <c r="F375" s="25">
        <v>0.0</v>
      </c>
      <c r="G375" s="21" t="s">
        <v>1027</v>
      </c>
    </row>
    <row r="376" hidden="1">
      <c r="A376" s="21"/>
      <c r="B376" s="21" t="s">
        <v>488</v>
      </c>
      <c r="C376" s="21" t="s">
        <v>117</v>
      </c>
      <c r="D376" s="25">
        <v>40.0</v>
      </c>
      <c r="E376" s="25">
        <v>23.0</v>
      </c>
      <c r="F376" s="25">
        <v>2.43</v>
      </c>
      <c r="G376" s="21" t="s">
        <v>429</v>
      </c>
    </row>
    <row r="377" hidden="1">
      <c r="A377" s="21"/>
      <c r="B377" s="21" t="s">
        <v>489</v>
      </c>
      <c r="C377" s="21" t="s">
        <v>117</v>
      </c>
      <c r="D377" s="25">
        <v>40.0</v>
      </c>
      <c r="E377" s="25">
        <v>19.0</v>
      </c>
      <c r="F377" s="25">
        <v>0.0</v>
      </c>
      <c r="G377" s="21" t="s">
        <v>463</v>
      </c>
    </row>
    <row r="378" hidden="1">
      <c r="A378" s="21"/>
      <c r="B378" s="21" t="s">
        <v>490</v>
      </c>
      <c r="C378" s="21" t="s">
        <v>117</v>
      </c>
      <c r="D378" s="25">
        <v>40.0</v>
      </c>
      <c r="E378" s="25">
        <v>22.0</v>
      </c>
      <c r="F378" s="25">
        <v>2.06</v>
      </c>
      <c r="G378" s="21" t="s">
        <v>429</v>
      </c>
    </row>
    <row r="379" hidden="1">
      <c r="A379" s="21"/>
      <c r="B379" s="21" t="s">
        <v>491</v>
      </c>
      <c r="C379" s="21" t="s">
        <v>117</v>
      </c>
      <c r="D379" s="25">
        <v>40.0</v>
      </c>
      <c r="E379" s="25">
        <v>27.0</v>
      </c>
      <c r="F379" s="25">
        <v>0.0</v>
      </c>
      <c r="G379" s="21" t="s">
        <v>429</v>
      </c>
    </row>
    <row r="380" hidden="1">
      <c r="A380" s="21"/>
      <c r="B380" s="21" t="s">
        <v>1330</v>
      </c>
      <c r="C380" s="21" t="s">
        <v>117</v>
      </c>
      <c r="D380" s="25">
        <v>40.0</v>
      </c>
      <c r="E380" s="25">
        <v>3.0</v>
      </c>
      <c r="F380" s="25">
        <v>0.0</v>
      </c>
      <c r="G380" s="21" t="s">
        <v>1063</v>
      </c>
    </row>
    <row r="381" hidden="1">
      <c r="A381" s="21"/>
      <c r="B381" s="21" t="s">
        <v>492</v>
      </c>
      <c r="C381" s="21" t="s">
        <v>117</v>
      </c>
      <c r="D381" s="25">
        <v>40.0</v>
      </c>
      <c r="E381" s="25">
        <v>14.0</v>
      </c>
      <c r="F381" s="25">
        <v>2.38</v>
      </c>
      <c r="G381" s="21" t="s">
        <v>493</v>
      </c>
    </row>
    <row r="382" hidden="1">
      <c r="A382" s="21"/>
      <c r="B382" s="21" t="s">
        <v>494</v>
      </c>
      <c r="C382" s="21" t="s">
        <v>117</v>
      </c>
      <c r="D382" s="25">
        <v>40.0</v>
      </c>
      <c r="E382" s="25">
        <v>10.0</v>
      </c>
      <c r="F382" s="25">
        <v>2.38</v>
      </c>
      <c r="G382" s="21" t="s">
        <v>495</v>
      </c>
    </row>
    <row r="383" hidden="1">
      <c r="A383" s="21"/>
      <c r="B383" s="21" t="s">
        <v>1331</v>
      </c>
      <c r="C383" s="21" t="s">
        <v>959</v>
      </c>
      <c r="D383" s="25">
        <v>40.0</v>
      </c>
      <c r="E383" s="25">
        <v>6.0</v>
      </c>
      <c r="F383" s="25">
        <v>0.0</v>
      </c>
      <c r="G383" s="21" t="s">
        <v>1332</v>
      </c>
    </row>
    <row r="384" hidden="1">
      <c r="A384" s="21"/>
      <c r="B384" s="21" t="s">
        <v>1333</v>
      </c>
      <c r="C384" s="21" t="s">
        <v>99</v>
      </c>
      <c r="D384" s="25">
        <v>40.0</v>
      </c>
      <c r="E384" s="25">
        <v>28.0</v>
      </c>
      <c r="F384" s="25">
        <v>0.97</v>
      </c>
      <c r="G384" s="21" t="s">
        <v>1334</v>
      </c>
    </row>
    <row r="385" hidden="1">
      <c r="A385" s="21"/>
      <c r="B385" s="21" t="s">
        <v>1335</v>
      </c>
      <c r="C385" s="21" t="s">
        <v>87</v>
      </c>
      <c r="D385" s="25">
        <v>40.0</v>
      </c>
      <c r="E385" s="25">
        <v>20.0</v>
      </c>
      <c r="F385" s="25">
        <v>6.49</v>
      </c>
      <c r="G385" s="21" t="s">
        <v>1336</v>
      </c>
    </row>
    <row r="386" hidden="1">
      <c r="A386" s="21"/>
      <c r="B386" s="21" t="s">
        <v>1337</v>
      </c>
      <c r="C386" s="21" t="s">
        <v>87</v>
      </c>
      <c r="D386" s="25">
        <v>40.0</v>
      </c>
      <c r="E386" s="25">
        <v>46.0</v>
      </c>
      <c r="F386" s="25">
        <v>0.0</v>
      </c>
      <c r="G386" s="21" t="s">
        <v>1338</v>
      </c>
    </row>
    <row r="387" hidden="1">
      <c r="A387" s="21"/>
      <c r="B387" s="21" t="s">
        <v>1339</v>
      </c>
      <c r="D387" s="25">
        <v>40.0</v>
      </c>
      <c r="E387" s="27"/>
      <c r="F387" s="25">
        <v>0.0</v>
      </c>
      <c r="G387" s="27"/>
    </row>
    <row r="388" hidden="1">
      <c r="A388" s="21"/>
      <c r="B388" s="21" t="s">
        <v>496</v>
      </c>
      <c r="C388" s="21" t="s">
        <v>117</v>
      </c>
      <c r="D388" s="25">
        <v>40.0</v>
      </c>
      <c r="E388" s="25">
        <v>0.0</v>
      </c>
      <c r="F388" s="25">
        <v>0.0</v>
      </c>
      <c r="G388" s="21" t="s">
        <v>431</v>
      </c>
    </row>
    <row r="389" hidden="1">
      <c r="A389" s="21"/>
      <c r="B389" s="21" t="s">
        <v>497</v>
      </c>
      <c r="C389" s="21" t="s">
        <v>117</v>
      </c>
      <c r="D389" s="25">
        <v>40.0</v>
      </c>
      <c r="E389" s="25">
        <v>0.0</v>
      </c>
      <c r="F389" s="25">
        <v>4.02</v>
      </c>
      <c r="G389" s="21" t="s">
        <v>218</v>
      </c>
    </row>
    <row r="390" hidden="1">
      <c r="A390" s="21"/>
      <c r="B390" s="21" t="s">
        <v>498</v>
      </c>
      <c r="C390" s="21" t="s">
        <v>117</v>
      </c>
      <c r="D390" s="25">
        <v>40.0</v>
      </c>
      <c r="E390" s="25">
        <v>34.0</v>
      </c>
      <c r="F390" s="25">
        <v>0.65</v>
      </c>
      <c r="G390" s="21" t="s">
        <v>499</v>
      </c>
    </row>
    <row r="391" hidden="1">
      <c r="A391" s="21"/>
      <c r="B391" s="21" t="s">
        <v>500</v>
      </c>
      <c r="C391" s="21" t="s">
        <v>117</v>
      </c>
      <c r="D391" s="25">
        <v>40.0</v>
      </c>
      <c r="E391" s="25">
        <v>36.0</v>
      </c>
      <c r="F391" s="25">
        <v>0.65</v>
      </c>
      <c r="G391" s="21" t="s">
        <v>429</v>
      </c>
    </row>
    <row r="392" hidden="1">
      <c r="A392" s="21"/>
      <c r="B392" s="21" t="s">
        <v>501</v>
      </c>
      <c r="C392" s="21" t="s">
        <v>117</v>
      </c>
      <c r="D392" s="25">
        <v>40.0</v>
      </c>
      <c r="E392" s="25">
        <v>20.0</v>
      </c>
      <c r="F392" s="25">
        <v>0.0</v>
      </c>
      <c r="G392" s="21" t="s">
        <v>502</v>
      </c>
    </row>
    <row r="393" hidden="1">
      <c r="A393" s="21"/>
      <c r="B393" s="21" t="s">
        <v>503</v>
      </c>
      <c r="C393" s="21" t="s">
        <v>117</v>
      </c>
      <c r="D393" s="25">
        <v>40.0</v>
      </c>
      <c r="E393" s="25">
        <v>29.0</v>
      </c>
      <c r="F393" s="25">
        <v>0.5</v>
      </c>
      <c r="G393" s="21" t="s">
        <v>478</v>
      </c>
    </row>
    <row r="394" hidden="1">
      <c r="A394" s="21"/>
      <c r="B394" s="21" t="s">
        <v>504</v>
      </c>
      <c r="C394" s="21" t="s">
        <v>117</v>
      </c>
      <c r="D394" s="25">
        <v>40.0</v>
      </c>
      <c r="E394" s="25">
        <v>32.0</v>
      </c>
      <c r="F394" s="25">
        <v>0.86</v>
      </c>
      <c r="G394" s="21" t="s">
        <v>505</v>
      </c>
    </row>
    <row r="395" hidden="1">
      <c r="A395" s="21"/>
      <c r="B395" s="21" t="s">
        <v>1340</v>
      </c>
      <c r="D395" s="25">
        <v>40.0</v>
      </c>
      <c r="E395" s="27"/>
      <c r="F395" s="25">
        <v>8.52</v>
      </c>
      <c r="G395" s="27"/>
    </row>
    <row r="396" hidden="1">
      <c r="A396" s="21"/>
      <c r="B396" s="21" t="s">
        <v>1341</v>
      </c>
      <c r="C396" s="21" t="s">
        <v>959</v>
      </c>
      <c r="D396" s="25">
        <v>40.0</v>
      </c>
      <c r="E396" s="25">
        <v>2.0</v>
      </c>
      <c r="F396" s="25">
        <v>4.64</v>
      </c>
      <c r="G396" s="21" t="s">
        <v>212</v>
      </c>
    </row>
    <row r="397" hidden="1">
      <c r="A397" s="21"/>
      <c r="B397" s="21" t="s">
        <v>1342</v>
      </c>
      <c r="D397" s="25">
        <v>40.0</v>
      </c>
      <c r="E397" s="27"/>
      <c r="F397" s="25">
        <v>0.0</v>
      </c>
      <c r="G397" s="27"/>
    </row>
    <row r="398" hidden="1">
      <c r="A398" s="21"/>
      <c r="B398" s="21" t="s">
        <v>1343</v>
      </c>
      <c r="C398" s="21" t="s">
        <v>99</v>
      </c>
      <c r="D398" s="25">
        <v>40.0</v>
      </c>
      <c r="E398" s="25">
        <v>25.0</v>
      </c>
      <c r="F398" s="25">
        <v>0.0</v>
      </c>
      <c r="G398" s="21" t="s">
        <v>1344</v>
      </c>
    </row>
    <row r="399" hidden="1">
      <c r="A399" s="21"/>
      <c r="B399" s="21" t="s">
        <v>1345</v>
      </c>
      <c r="D399" s="25">
        <v>40.0</v>
      </c>
      <c r="E399" s="27"/>
      <c r="F399" s="25">
        <v>0.0</v>
      </c>
      <c r="G399" s="27"/>
    </row>
    <row r="400" hidden="1">
      <c r="A400" s="21"/>
      <c r="B400" s="21" t="s">
        <v>1346</v>
      </c>
      <c r="C400" s="21" t="s">
        <v>117</v>
      </c>
      <c r="D400" s="25">
        <v>40.0</v>
      </c>
      <c r="E400" s="25">
        <v>11.0</v>
      </c>
      <c r="F400" s="25">
        <v>1.2</v>
      </c>
      <c r="G400" s="21" t="s">
        <v>1347</v>
      </c>
    </row>
    <row r="401" hidden="1">
      <c r="A401" s="21"/>
      <c r="B401" s="21" t="s">
        <v>1348</v>
      </c>
      <c r="D401" s="25">
        <v>40.0</v>
      </c>
      <c r="E401" s="27"/>
      <c r="F401" s="25">
        <v>4.0</v>
      </c>
      <c r="G401" s="27"/>
    </row>
    <row r="402" hidden="1">
      <c r="A402" s="21"/>
      <c r="B402" s="21" t="s">
        <v>1349</v>
      </c>
      <c r="C402" s="21" t="s">
        <v>117</v>
      </c>
      <c r="D402" s="25">
        <v>40.0</v>
      </c>
      <c r="E402" s="25">
        <v>28.0</v>
      </c>
      <c r="F402" s="25">
        <v>0.93</v>
      </c>
      <c r="G402" s="21" t="s">
        <v>1059</v>
      </c>
    </row>
    <row r="403" hidden="1">
      <c r="A403" s="21"/>
      <c r="B403" s="21" t="s">
        <v>1350</v>
      </c>
      <c r="C403" s="21" t="s">
        <v>117</v>
      </c>
      <c r="D403" s="25">
        <v>40.0</v>
      </c>
      <c r="E403" s="25">
        <v>25.0</v>
      </c>
      <c r="F403" s="25">
        <v>3.32</v>
      </c>
      <c r="G403" s="21" t="s">
        <v>1351</v>
      </c>
    </row>
    <row r="404" hidden="1">
      <c r="A404" s="21"/>
      <c r="B404" s="21" t="s">
        <v>1352</v>
      </c>
      <c r="D404" s="25">
        <v>40.0</v>
      </c>
      <c r="E404" s="27"/>
      <c r="F404" s="25">
        <v>0.0</v>
      </c>
      <c r="G404" s="27"/>
    </row>
    <row r="405" hidden="1">
      <c r="A405" s="21"/>
      <c r="B405" s="21" t="s">
        <v>1353</v>
      </c>
      <c r="D405" s="25">
        <v>40.0</v>
      </c>
      <c r="E405" s="27"/>
      <c r="F405" s="25">
        <v>0.0</v>
      </c>
      <c r="G405" s="27"/>
    </row>
    <row r="406" hidden="1">
      <c r="A406" s="21"/>
      <c r="B406" s="21" t="s">
        <v>1354</v>
      </c>
      <c r="D406" s="25">
        <v>40.0</v>
      </c>
      <c r="E406" s="27"/>
      <c r="F406" s="25">
        <v>0.0</v>
      </c>
      <c r="G406" s="27"/>
    </row>
    <row r="407" hidden="1">
      <c r="A407" s="21"/>
      <c r="B407" s="21" t="s">
        <v>1355</v>
      </c>
      <c r="D407" s="25">
        <v>40.0</v>
      </c>
      <c r="E407" s="27"/>
      <c r="F407" s="25">
        <v>0.0</v>
      </c>
      <c r="G407" s="27"/>
    </row>
    <row r="408" hidden="1">
      <c r="A408" s="21"/>
      <c r="B408" s="21" t="s">
        <v>1356</v>
      </c>
      <c r="D408" s="25">
        <v>40.0</v>
      </c>
      <c r="E408" s="27"/>
      <c r="F408" s="25">
        <v>0.0</v>
      </c>
      <c r="G408" s="27"/>
    </row>
    <row r="409" hidden="1">
      <c r="A409" s="21"/>
      <c r="B409" s="21" t="s">
        <v>1357</v>
      </c>
      <c r="C409" s="21" t="s">
        <v>117</v>
      </c>
      <c r="D409" s="25">
        <v>40.0</v>
      </c>
      <c r="E409" s="25">
        <v>25.0</v>
      </c>
      <c r="F409" s="25">
        <v>3.35</v>
      </c>
      <c r="G409" s="21" t="s">
        <v>1358</v>
      </c>
    </row>
    <row r="410" hidden="1">
      <c r="A410" s="21"/>
      <c r="B410" s="21" t="s">
        <v>1359</v>
      </c>
      <c r="C410" s="21" t="s">
        <v>87</v>
      </c>
      <c r="D410" s="25">
        <v>40.0</v>
      </c>
      <c r="E410" s="25">
        <v>46.0</v>
      </c>
      <c r="F410" s="25">
        <v>4.38</v>
      </c>
      <c r="G410" s="21" t="s">
        <v>972</v>
      </c>
    </row>
    <row r="411" hidden="1">
      <c r="A411" s="21"/>
      <c r="B411" s="21" t="s">
        <v>1360</v>
      </c>
      <c r="C411" s="21" t="s">
        <v>117</v>
      </c>
      <c r="D411" s="25">
        <v>40.0</v>
      </c>
      <c r="E411" s="25">
        <v>15.0</v>
      </c>
      <c r="F411" s="25">
        <v>3.53</v>
      </c>
      <c r="G411" s="21" t="s">
        <v>1361</v>
      </c>
    </row>
    <row r="412" hidden="1">
      <c r="A412" s="21"/>
      <c r="B412" s="21" t="s">
        <v>1362</v>
      </c>
      <c r="C412" s="21" t="s">
        <v>117</v>
      </c>
      <c r="D412" s="25">
        <v>40.0</v>
      </c>
      <c r="E412" s="25">
        <v>25.0</v>
      </c>
      <c r="F412" s="25">
        <v>0.0</v>
      </c>
      <c r="G412" s="21" t="s">
        <v>1059</v>
      </c>
    </row>
    <row r="413" hidden="1">
      <c r="A413" s="21"/>
      <c r="B413" s="21" t="s">
        <v>1363</v>
      </c>
      <c r="C413" s="21" t="s">
        <v>117</v>
      </c>
      <c r="D413" s="25">
        <v>40.0</v>
      </c>
      <c r="E413" s="25">
        <v>17.0</v>
      </c>
      <c r="F413" s="25">
        <v>3.71</v>
      </c>
      <c r="G413" s="21" t="s">
        <v>1364</v>
      </c>
    </row>
    <row r="414" hidden="1">
      <c r="A414" s="21"/>
      <c r="B414" s="21" t="s">
        <v>1365</v>
      </c>
      <c r="C414" s="21" t="s">
        <v>117</v>
      </c>
      <c r="D414" s="25">
        <v>40.0</v>
      </c>
      <c r="E414" s="25">
        <v>23.0</v>
      </c>
      <c r="F414" s="25">
        <v>0.0</v>
      </c>
      <c r="G414" s="21" t="s">
        <v>139</v>
      </c>
    </row>
    <row r="415" hidden="1">
      <c r="A415" s="21"/>
      <c r="B415" s="21" t="s">
        <v>1366</v>
      </c>
      <c r="C415" s="21" t="s">
        <v>117</v>
      </c>
      <c r="D415" s="25">
        <v>40.0</v>
      </c>
      <c r="E415" s="25">
        <v>15.0</v>
      </c>
      <c r="F415" s="25">
        <v>3.37</v>
      </c>
      <c r="G415" s="21" t="s">
        <v>1367</v>
      </c>
    </row>
    <row r="416" hidden="1">
      <c r="A416" s="21"/>
      <c r="B416" s="21" t="s">
        <v>1368</v>
      </c>
      <c r="D416" s="25">
        <v>40.0</v>
      </c>
      <c r="E416" s="27"/>
      <c r="F416" s="25">
        <v>0.0</v>
      </c>
      <c r="G416" s="27"/>
    </row>
    <row r="417" hidden="1">
      <c r="A417" s="21"/>
      <c r="B417" s="21" t="s">
        <v>1369</v>
      </c>
      <c r="C417" s="21" t="s">
        <v>117</v>
      </c>
      <c r="D417" s="25">
        <v>40.0</v>
      </c>
      <c r="E417" s="25">
        <v>47.0</v>
      </c>
      <c r="F417" s="25">
        <v>4.38</v>
      </c>
      <c r="G417" s="21" t="s">
        <v>1005</v>
      </c>
    </row>
    <row r="418" hidden="1">
      <c r="A418" s="21"/>
      <c r="B418" s="21" t="s">
        <v>506</v>
      </c>
      <c r="C418" s="21" t="s">
        <v>117</v>
      </c>
      <c r="D418" s="25">
        <v>40.0</v>
      </c>
      <c r="E418" s="25">
        <v>14.0</v>
      </c>
      <c r="F418" s="25">
        <v>0.0</v>
      </c>
      <c r="G418" s="21" t="s">
        <v>507</v>
      </c>
    </row>
    <row r="419" hidden="1">
      <c r="A419" s="21"/>
      <c r="B419" s="21" t="s">
        <v>1370</v>
      </c>
      <c r="C419" s="21" t="s">
        <v>87</v>
      </c>
      <c r="D419" s="25">
        <v>40.0</v>
      </c>
      <c r="E419" s="25">
        <v>0.0</v>
      </c>
      <c r="F419" s="25">
        <v>0.0</v>
      </c>
      <c r="G419" s="21" t="s">
        <v>1371</v>
      </c>
    </row>
    <row r="420" hidden="1">
      <c r="A420" s="21"/>
      <c r="B420" s="21" t="s">
        <v>1372</v>
      </c>
      <c r="C420" s="21" t="s">
        <v>87</v>
      </c>
      <c r="D420" s="25">
        <v>40.0</v>
      </c>
      <c r="E420" s="25">
        <v>34.0</v>
      </c>
      <c r="F420" s="25">
        <v>1.24</v>
      </c>
      <c r="G420" s="21" t="s">
        <v>1373</v>
      </c>
    </row>
    <row r="421" hidden="1">
      <c r="A421" s="21"/>
      <c r="B421" s="21" t="s">
        <v>1374</v>
      </c>
      <c r="C421" s="21" t="s">
        <v>117</v>
      </c>
      <c r="D421" s="25">
        <v>40.0</v>
      </c>
      <c r="E421" s="25">
        <v>14.0</v>
      </c>
      <c r="F421" s="25">
        <v>0.0</v>
      </c>
      <c r="G421" s="21" t="s">
        <v>1160</v>
      </c>
    </row>
    <row r="422" hidden="1">
      <c r="A422" s="21"/>
      <c r="B422" s="21" t="s">
        <v>1375</v>
      </c>
      <c r="C422" s="21" t="s">
        <v>87</v>
      </c>
      <c r="D422" s="25">
        <v>40.0</v>
      </c>
      <c r="E422" s="25">
        <v>0.0</v>
      </c>
      <c r="F422" s="25">
        <v>0.0</v>
      </c>
      <c r="G422" s="21" t="s">
        <v>147</v>
      </c>
    </row>
    <row r="423" hidden="1">
      <c r="A423" s="21"/>
      <c r="B423" s="21" t="s">
        <v>508</v>
      </c>
      <c r="C423" s="21" t="s">
        <v>117</v>
      </c>
      <c r="D423" s="25">
        <v>40.0</v>
      </c>
      <c r="E423" s="25">
        <v>14.0</v>
      </c>
      <c r="F423" s="25">
        <v>2.18</v>
      </c>
      <c r="G423" s="21" t="s">
        <v>431</v>
      </c>
    </row>
    <row r="424" hidden="1">
      <c r="A424" s="21"/>
      <c r="B424" s="21" t="s">
        <v>509</v>
      </c>
      <c r="D424" s="25">
        <v>30.0</v>
      </c>
      <c r="E424" s="27"/>
      <c r="F424" s="25">
        <v>0.0</v>
      </c>
      <c r="G424" s="27"/>
    </row>
    <row r="425" hidden="1">
      <c r="A425" s="21"/>
      <c r="B425" s="21" t="s">
        <v>1376</v>
      </c>
      <c r="D425" s="25">
        <v>30.0</v>
      </c>
      <c r="E425" s="27"/>
      <c r="F425" s="25">
        <v>0.0</v>
      </c>
      <c r="G425" s="27"/>
    </row>
    <row r="426" hidden="1">
      <c r="A426" s="21"/>
      <c r="B426" s="21" t="s">
        <v>1377</v>
      </c>
      <c r="C426" s="21" t="s">
        <v>87</v>
      </c>
      <c r="D426" s="25">
        <v>30.0</v>
      </c>
      <c r="E426" s="25">
        <v>23.0</v>
      </c>
      <c r="F426" s="25">
        <v>0.0</v>
      </c>
      <c r="G426" s="21" t="s">
        <v>897</v>
      </c>
    </row>
    <row r="427" hidden="1">
      <c r="A427" s="21"/>
      <c r="B427" s="21" t="s">
        <v>1378</v>
      </c>
      <c r="C427" s="21" t="s">
        <v>117</v>
      </c>
      <c r="D427" s="25">
        <v>30.0</v>
      </c>
      <c r="E427" s="25">
        <v>37.0</v>
      </c>
      <c r="F427" s="25">
        <v>3.31</v>
      </c>
      <c r="G427" s="21" t="s">
        <v>461</v>
      </c>
    </row>
    <row r="428" hidden="1">
      <c r="A428" s="21"/>
      <c r="B428" s="21" t="s">
        <v>1379</v>
      </c>
      <c r="C428" s="21" t="s">
        <v>87</v>
      </c>
      <c r="D428" s="25">
        <v>30.0</v>
      </c>
      <c r="E428" s="25">
        <v>19.0</v>
      </c>
      <c r="F428" s="25">
        <v>2.9</v>
      </c>
      <c r="G428" s="21" t="s">
        <v>1380</v>
      </c>
    </row>
    <row r="429" hidden="1">
      <c r="A429" s="21"/>
      <c r="B429" s="21" t="s">
        <v>1381</v>
      </c>
      <c r="D429" s="25">
        <v>30.0</v>
      </c>
      <c r="E429" s="27"/>
      <c r="F429" s="25">
        <v>7.34</v>
      </c>
      <c r="G429" s="27"/>
    </row>
    <row r="430" hidden="1">
      <c r="A430" s="21"/>
      <c r="B430" s="21" t="s">
        <v>1382</v>
      </c>
      <c r="C430" s="21" t="s">
        <v>90</v>
      </c>
      <c r="D430" s="25">
        <v>30.0</v>
      </c>
      <c r="E430" s="25">
        <v>26.0</v>
      </c>
      <c r="F430" s="25">
        <v>5.83</v>
      </c>
      <c r="G430" s="21" t="s">
        <v>1383</v>
      </c>
    </row>
    <row r="431" hidden="1">
      <c r="A431" s="21"/>
      <c r="B431" s="21" t="s">
        <v>1384</v>
      </c>
      <c r="C431" s="21" t="s">
        <v>87</v>
      </c>
      <c r="D431" s="25">
        <v>30.0</v>
      </c>
      <c r="E431" s="25">
        <v>21.0</v>
      </c>
      <c r="F431" s="25">
        <v>1.1</v>
      </c>
      <c r="G431" s="21" t="s">
        <v>1119</v>
      </c>
    </row>
    <row r="432" hidden="1">
      <c r="A432" s="21"/>
      <c r="B432" s="21" t="s">
        <v>1385</v>
      </c>
      <c r="C432" s="21" t="s">
        <v>90</v>
      </c>
      <c r="D432" s="25">
        <v>30.0</v>
      </c>
      <c r="E432" s="25">
        <v>30.0</v>
      </c>
      <c r="F432" s="25">
        <v>5.85</v>
      </c>
      <c r="G432" s="21" t="s">
        <v>97</v>
      </c>
    </row>
    <row r="433" hidden="1">
      <c r="A433" s="21"/>
      <c r="B433" s="21" t="s">
        <v>1386</v>
      </c>
      <c r="D433" s="25">
        <v>30.0</v>
      </c>
      <c r="E433" s="27"/>
      <c r="F433" s="25">
        <v>7.06</v>
      </c>
      <c r="G433" s="27"/>
    </row>
    <row r="434" hidden="1">
      <c r="A434" s="21"/>
      <c r="B434" s="21" t="s">
        <v>1387</v>
      </c>
      <c r="D434" s="25">
        <v>30.0</v>
      </c>
      <c r="E434" s="27"/>
      <c r="F434" s="25">
        <v>0.0</v>
      </c>
      <c r="G434" s="27"/>
    </row>
    <row r="435" hidden="1">
      <c r="A435" s="21"/>
      <c r="B435" s="21" t="s">
        <v>1388</v>
      </c>
      <c r="C435" s="21" t="s">
        <v>87</v>
      </c>
      <c r="D435" s="25">
        <v>30.0</v>
      </c>
      <c r="E435" s="25">
        <v>9.0</v>
      </c>
      <c r="F435" s="25">
        <v>10.4</v>
      </c>
      <c r="G435" s="21" t="s">
        <v>97</v>
      </c>
    </row>
    <row r="436" hidden="1">
      <c r="A436" s="21"/>
      <c r="B436" s="21" t="s">
        <v>1389</v>
      </c>
      <c r="C436" s="21" t="s">
        <v>87</v>
      </c>
      <c r="D436" s="25">
        <v>30.0</v>
      </c>
      <c r="E436" s="25">
        <v>10.0</v>
      </c>
      <c r="F436" s="25">
        <v>7.22</v>
      </c>
      <c r="G436" s="21" t="s">
        <v>1390</v>
      </c>
    </row>
    <row r="437" hidden="1">
      <c r="A437" s="21"/>
      <c r="B437" s="21" t="s">
        <v>1391</v>
      </c>
      <c r="D437" s="25">
        <v>30.0</v>
      </c>
      <c r="E437" s="27"/>
      <c r="F437" s="25">
        <v>0.0</v>
      </c>
      <c r="G437" s="27"/>
    </row>
    <row r="438" hidden="1">
      <c r="A438" s="21"/>
      <c r="B438" s="21" t="s">
        <v>1392</v>
      </c>
      <c r="C438" s="21" t="s">
        <v>87</v>
      </c>
      <c r="D438" s="25">
        <v>30.0</v>
      </c>
      <c r="E438" s="25">
        <v>18.0</v>
      </c>
      <c r="F438" s="25">
        <v>6.78</v>
      </c>
      <c r="G438" s="21" t="s">
        <v>155</v>
      </c>
    </row>
    <row r="439" hidden="1">
      <c r="A439" s="21"/>
      <c r="B439" s="21" t="s">
        <v>1393</v>
      </c>
      <c r="C439" s="21" t="s">
        <v>87</v>
      </c>
      <c r="D439" s="25">
        <v>30.0</v>
      </c>
      <c r="E439" s="25">
        <v>18.0</v>
      </c>
      <c r="F439" s="25">
        <v>6.78</v>
      </c>
      <c r="G439" s="21" t="s">
        <v>147</v>
      </c>
    </row>
    <row r="440" hidden="1">
      <c r="A440" s="21"/>
      <c r="B440" s="21" t="s">
        <v>1394</v>
      </c>
      <c r="D440" s="25">
        <v>30.0</v>
      </c>
      <c r="E440" s="27"/>
      <c r="F440" s="25">
        <v>4.51</v>
      </c>
      <c r="G440" s="27"/>
    </row>
    <row r="441" hidden="1">
      <c r="A441" s="21"/>
      <c r="B441" s="21" t="s">
        <v>1395</v>
      </c>
      <c r="C441" s="21" t="s">
        <v>87</v>
      </c>
      <c r="D441" s="25">
        <v>30.0</v>
      </c>
      <c r="E441" s="25">
        <v>2.0</v>
      </c>
      <c r="F441" s="25">
        <v>5.86</v>
      </c>
      <c r="G441" s="21" t="s">
        <v>1033</v>
      </c>
    </row>
    <row r="442" hidden="1">
      <c r="A442" s="21"/>
      <c r="B442" s="21" t="s">
        <v>1396</v>
      </c>
      <c r="D442" s="25">
        <v>30.0</v>
      </c>
      <c r="E442" s="27"/>
      <c r="F442" s="25">
        <v>5.86</v>
      </c>
      <c r="G442" s="27"/>
    </row>
    <row r="443" hidden="1">
      <c r="A443" s="21"/>
      <c r="B443" s="21" t="s">
        <v>1397</v>
      </c>
      <c r="D443" s="25">
        <v>30.0</v>
      </c>
      <c r="E443" s="27"/>
      <c r="F443" s="25">
        <v>0.0</v>
      </c>
      <c r="G443" s="27"/>
    </row>
    <row r="444" hidden="1">
      <c r="A444" s="21"/>
      <c r="B444" s="21" t="s">
        <v>1398</v>
      </c>
      <c r="D444" s="25">
        <v>30.0</v>
      </c>
      <c r="E444" s="27"/>
      <c r="F444" s="25">
        <v>4.27</v>
      </c>
      <c r="G444" s="27"/>
    </row>
    <row r="445" hidden="1">
      <c r="A445" s="21"/>
      <c r="B445" s="21" t="s">
        <v>1399</v>
      </c>
      <c r="C445" s="21" t="s">
        <v>160</v>
      </c>
      <c r="D445" s="25">
        <v>30.0</v>
      </c>
      <c r="E445" s="25">
        <v>13.0</v>
      </c>
      <c r="F445" s="25">
        <v>2.72</v>
      </c>
      <c r="G445" s="21" t="s">
        <v>1400</v>
      </c>
    </row>
    <row r="446" hidden="1">
      <c r="A446" s="21"/>
      <c r="B446" s="21" t="s">
        <v>1401</v>
      </c>
      <c r="D446" s="25">
        <v>30.0</v>
      </c>
      <c r="E446" s="27"/>
      <c r="F446" s="25">
        <v>0.0</v>
      </c>
      <c r="G446" s="27"/>
    </row>
    <row r="447" hidden="1">
      <c r="A447" s="21"/>
      <c r="B447" s="21" t="s">
        <v>1402</v>
      </c>
      <c r="C447" s="21" t="s">
        <v>87</v>
      </c>
      <c r="D447" s="25">
        <v>30.0</v>
      </c>
      <c r="E447" s="25">
        <v>13.0</v>
      </c>
      <c r="F447" s="25">
        <v>8.19</v>
      </c>
      <c r="G447" s="21" t="s">
        <v>1037</v>
      </c>
    </row>
    <row r="448" hidden="1">
      <c r="A448" s="21"/>
      <c r="B448" s="21" t="s">
        <v>1403</v>
      </c>
      <c r="D448" s="25">
        <v>30.0</v>
      </c>
      <c r="E448" s="27"/>
      <c r="F448" s="25">
        <v>28.86</v>
      </c>
      <c r="G448" s="27"/>
    </row>
    <row r="449" hidden="1">
      <c r="A449" s="21"/>
      <c r="B449" s="21" t="s">
        <v>1404</v>
      </c>
      <c r="D449" s="25">
        <v>30.0</v>
      </c>
      <c r="E449" s="27"/>
      <c r="F449" s="25">
        <v>8.09</v>
      </c>
      <c r="G449" s="27"/>
    </row>
    <row r="450" hidden="1">
      <c r="A450" s="21"/>
      <c r="B450" s="21" t="s">
        <v>1405</v>
      </c>
      <c r="D450" s="25">
        <v>30.0</v>
      </c>
      <c r="E450" s="27"/>
      <c r="F450" s="25">
        <v>0.0</v>
      </c>
      <c r="G450" s="27"/>
    </row>
    <row r="451" hidden="1">
      <c r="A451" s="21"/>
      <c r="B451" s="21" t="s">
        <v>1406</v>
      </c>
      <c r="D451" s="25">
        <v>30.0</v>
      </c>
      <c r="E451" s="27"/>
      <c r="F451" s="25">
        <v>9.67</v>
      </c>
      <c r="G451" s="27"/>
    </row>
    <row r="452" hidden="1">
      <c r="A452" s="21"/>
      <c r="B452" s="21" t="s">
        <v>1407</v>
      </c>
      <c r="C452" s="21" t="s">
        <v>90</v>
      </c>
      <c r="D452" s="25">
        <v>30.0</v>
      </c>
      <c r="E452" s="25">
        <v>15.0</v>
      </c>
      <c r="F452" s="25">
        <v>0.65</v>
      </c>
      <c r="G452" s="21" t="s">
        <v>936</v>
      </c>
    </row>
    <row r="453" hidden="1">
      <c r="A453" s="21"/>
      <c r="B453" s="21" t="s">
        <v>1408</v>
      </c>
      <c r="D453" s="25">
        <v>30.0</v>
      </c>
      <c r="E453" s="27"/>
      <c r="F453" s="25">
        <v>0.85</v>
      </c>
      <c r="G453" s="27"/>
    </row>
    <row r="454" hidden="1">
      <c r="A454" s="21"/>
      <c r="B454" s="21" t="s">
        <v>1409</v>
      </c>
      <c r="D454" s="25">
        <v>30.0</v>
      </c>
      <c r="E454" s="27"/>
      <c r="F454" s="25">
        <v>0.0</v>
      </c>
      <c r="G454" s="27"/>
    </row>
    <row r="455" hidden="1">
      <c r="A455" s="21"/>
      <c r="B455" s="21" t="s">
        <v>1410</v>
      </c>
      <c r="D455" s="25">
        <v>30.0</v>
      </c>
      <c r="E455" s="27"/>
      <c r="F455" s="25">
        <v>5.22</v>
      </c>
      <c r="G455" s="27"/>
    </row>
    <row r="456" hidden="1">
      <c r="A456" s="21"/>
      <c r="B456" s="21" t="s">
        <v>1411</v>
      </c>
      <c r="C456" s="21" t="s">
        <v>87</v>
      </c>
      <c r="D456" s="25">
        <v>30.0</v>
      </c>
      <c r="E456" s="25">
        <v>0.0</v>
      </c>
      <c r="F456" s="25">
        <v>8.9</v>
      </c>
      <c r="G456" s="21" t="s">
        <v>1027</v>
      </c>
    </row>
    <row r="457" hidden="1">
      <c r="A457" s="21"/>
      <c r="B457" s="21" t="s">
        <v>1412</v>
      </c>
      <c r="C457" s="21" t="s">
        <v>87</v>
      </c>
      <c r="D457" s="25">
        <v>30.0</v>
      </c>
      <c r="E457" s="25">
        <v>3.0</v>
      </c>
      <c r="F457" s="25">
        <v>10.3</v>
      </c>
      <c r="G457" s="21" t="s">
        <v>1413</v>
      </c>
    </row>
    <row r="458" hidden="1">
      <c r="A458" s="21"/>
      <c r="B458" s="21" t="s">
        <v>1414</v>
      </c>
      <c r="D458" s="25">
        <v>30.0</v>
      </c>
      <c r="E458" s="27"/>
      <c r="F458" s="25">
        <v>6.81</v>
      </c>
      <c r="G458" s="27"/>
    </row>
    <row r="459" hidden="1">
      <c r="A459" s="21"/>
      <c r="B459" s="21" t="s">
        <v>1415</v>
      </c>
      <c r="C459" s="21" t="s">
        <v>87</v>
      </c>
      <c r="D459" s="25">
        <v>30.0</v>
      </c>
      <c r="E459" s="25">
        <v>40.0</v>
      </c>
      <c r="F459" s="25">
        <v>6.81</v>
      </c>
      <c r="G459" s="21" t="s">
        <v>1027</v>
      </c>
    </row>
    <row r="460" hidden="1">
      <c r="A460" s="21"/>
      <c r="B460" s="21" t="s">
        <v>1416</v>
      </c>
      <c r="D460" s="25">
        <v>30.0</v>
      </c>
      <c r="E460" s="27"/>
      <c r="F460" s="25">
        <v>0.0</v>
      </c>
      <c r="G460" s="27"/>
    </row>
    <row r="461" hidden="1">
      <c r="A461" s="21"/>
      <c r="B461" s="21" t="s">
        <v>1417</v>
      </c>
      <c r="C461" s="21" t="s">
        <v>87</v>
      </c>
      <c r="D461" s="25">
        <v>30.0</v>
      </c>
      <c r="E461" s="25">
        <v>5.0</v>
      </c>
      <c r="F461" s="25">
        <v>8.12</v>
      </c>
      <c r="G461" s="21" t="s">
        <v>97</v>
      </c>
    </row>
    <row r="462" hidden="1">
      <c r="A462" s="21"/>
      <c r="B462" s="21" t="s">
        <v>1418</v>
      </c>
      <c r="C462" s="21" t="s">
        <v>117</v>
      </c>
      <c r="D462" s="25">
        <v>30.0</v>
      </c>
      <c r="E462" s="25">
        <v>16.0</v>
      </c>
      <c r="F462" s="25">
        <v>6.74</v>
      </c>
      <c r="G462" s="21" t="s">
        <v>1419</v>
      </c>
    </row>
    <row r="463" hidden="1">
      <c r="A463" s="21"/>
      <c r="B463" s="21" t="s">
        <v>1420</v>
      </c>
      <c r="C463" s="21" t="s">
        <v>87</v>
      </c>
      <c r="D463" s="25">
        <v>30.0</v>
      </c>
      <c r="E463" s="25">
        <v>8.0</v>
      </c>
      <c r="F463" s="25">
        <v>5.86</v>
      </c>
      <c r="G463" s="21" t="s">
        <v>212</v>
      </c>
    </row>
    <row r="464" hidden="1">
      <c r="A464" s="21"/>
      <c r="B464" s="21" t="s">
        <v>1421</v>
      </c>
      <c r="D464" s="25">
        <v>30.0</v>
      </c>
      <c r="E464" s="27"/>
      <c r="F464" s="25">
        <v>0.0</v>
      </c>
      <c r="G464" s="27"/>
    </row>
    <row r="465" hidden="1">
      <c r="A465" s="21"/>
      <c r="B465" s="21" t="s">
        <v>1422</v>
      </c>
      <c r="D465" s="25">
        <v>30.0</v>
      </c>
      <c r="E465" s="27"/>
      <c r="F465" s="25">
        <v>0.0</v>
      </c>
      <c r="G465" s="27"/>
    </row>
    <row r="466" hidden="1">
      <c r="A466" s="21"/>
      <c r="B466" s="21" t="s">
        <v>1423</v>
      </c>
      <c r="D466" s="25">
        <v>30.0</v>
      </c>
      <c r="E466" s="27"/>
      <c r="F466" s="25">
        <v>0.0</v>
      </c>
      <c r="G466" s="27"/>
    </row>
    <row r="467" hidden="1">
      <c r="A467" s="21"/>
      <c r="B467" s="21" t="s">
        <v>1424</v>
      </c>
      <c r="C467" s="21" t="s">
        <v>87</v>
      </c>
      <c r="D467" s="25">
        <v>30.0</v>
      </c>
      <c r="E467" s="25">
        <v>9.0</v>
      </c>
      <c r="F467" s="25">
        <v>5.1</v>
      </c>
      <c r="G467" s="21" t="s">
        <v>1425</v>
      </c>
    </row>
    <row r="468" hidden="1">
      <c r="A468" s="21"/>
      <c r="B468" s="21" t="s">
        <v>1426</v>
      </c>
      <c r="C468" s="21" t="s">
        <v>87</v>
      </c>
      <c r="D468" s="25">
        <v>30.0</v>
      </c>
      <c r="E468" s="25">
        <v>22.0</v>
      </c>
      <c r="F468" s="25">
        <v>3.85</v>
      </c>
      <c r="G468" s="21" t="s">
        <v>429</v>
      </c>
    </row>
    <row r="469" hidden="1">
      <c r="A469" s="21"/>
      <c r="B469" s="21" t="s">
        <v>1427</v>
      </c>
      <c r="C469" s="21" t="s">
        <v>87</v>
      </c>
      <c r="D469" s="25">
        <v>30.0</v>
      </c>
      <c r="E469" s="25">
        <v>5.0</v>
      </c>
      <c r="F469" s="25">
        <v>8.1</v>
      </c>
      <c r="G469" s="21" t="s">
        <v>1428</v>
      </c>
    </row>
    <row r="470" hidden="1">
      <c r="A470" s="21"/>
      <c r="B470" s="21" t="s">
        <v>1429</v>
      </c>
      <c r="C470" s="21" t="s">
        <v>87</v>
      </c>
      <c r="D470" s="25">
        <v>30.0</v>
      </c>
      <c r="E470" s="25">
        <v>5.0</v>
      </c>
      <c r="F470" s="25">
        <v>7.88</v>
      </c>
      <c r="G470" s="21" t="s">
        <v>948</v>
      </c>
    </row>
    <row r="471" hidden="1">
      <c r="A471" s="21"/>
      <c r="B471" s="21" t="s">
        <v>1430</v>
      </c>
      <c r="C471" s="21" t="s">
        <v>87</v>
      </c>
      <c r="D471" s="25">
        <v>30.0</v>
      </c>
      <c r="E471" s="25">
        <v>6.0</v>
      </c>
      <c r="F471" s="25">
        <v>10.33</v>
      </c>
      <c r="G471" s="21" t="s">
        <v>1212</v>
      </c>
    </row>
    <row r="472" hidden="1">
      <c r="A472" s="21"/>
      <c r="B472" s="21" t="s">
        <v>1431</v>
      </c>
      <c r="C472" s="21" t="s">
        <v>87</v>
      </c>
      <c r="D472" s="25">
        <v>30.0</v>
      </c>
      <c r="E472" s="25">
        <v>24.0</v>
      </c>
      <c r="F472" s="25">
        <v>10.74</v>
      </c>
      <c r="G472" s="21" t="s">
        <v>970</v>
      </c>
    </row>
    <row r="473" hidden="1">
      <c r="A473" s="21"/>
      <c r="B473" s="21" t="s">
        <v>1432</v>
      </c>
      <c r="D473" s="25">
        <v>30.0</v>
      </c>
      <c r="E473" s="27"/>
      <c r="F473" s="25">
        <v>8.35</v>
      </c>
      <c r="G473" s="27"/>
    </row>
    <row r="474" hidden="1">
      <c r="A474" s="21"/>
      <c r="B474" s="21" t="s">
        <v>1433</v>
      </c>
      <c r="D474" s="25">
        <v>30.0</v>
      </c>
      <c r="E474" s="27"/>
      <c r="F474" s="25">
        <v>0.0</v>
      </c>
      <c r="G474" s="27"/>
    </row>
    <row r="475" hidden="1">
      <c r="A475" s="21"/>
      <c r="B475" s="21" t="s">
        <v>1434</v>
      </c>
      <c r="C475" s="21" t="s">
        <v>87</v>
      </c>
      <c r="D475" s="25">
        <v>30.0</v>
      </c>
      <c r="E475" s="25">
        <v>17.0</v>
      </c>
      <c r="F475" s="25">
        <v>6.83</v>
      </c>
      <c r="G475" s="21" t="s">
        <v>948</v>
      </c>
    </row>
    <row r="476" hidden="1">
      <c r="A476" s="21"/>
      <c r="B476" s="21" t="s">
        <v>1435</v>
      </c>
      <c r="D476" s="25">
        <v>30.0</v>
      </c>
      <c r="E476" s="27"/>
      <c r="F476" s="25">
        <v>0.0</v>
      </c>
      <c r="G476" s="27"/>
    </row>
    <row r="477" hidden="1">
      <c r="A477" s="21"/>
      <c r="B477" s="21" t="s">
        <v>1436</v>
      </c>
      <c r="C477" s="21" t="s">
        <v>87</v>
      </c>
      <c r="D477" s="25">
        <v>30.0</v>
      </c>
      <c r="E477" s="25">
        <v>10.0</v>
      </c>
      <c r="F477" s="25">
        <v>7.74</v>
      </c>
      <c r="G477" s="21" t="s">
        <v>988</v>
      </c>
    </row>
    <row r="478" hidden="1">
      <c r="A478" s="21"/>
      <c r="B478" s="21" t="s">
        <v>1437</v>
      </c>
      <c r="D478" s="25">
        <v>30.0</v>
      </c>
      <c r="E478" s="27"/>
      <c r="F478" s="25">
        <v>0.0</v>
      </c>
      <c r="G478" s="27"/>
    </row>
    <row r="479" hidden="1">
      <c r="A479" s="21"/>
      <c r="B479" s="21" t="s">
        <v>1438</v>
      </c>
      <c r="D479" s="25">
        <v>30.0</v>
      </c>
      <c r="E479" s="27"/>
      <c r="F479" s="25">
        <v>3.93</v>
      </c>
      <c r="G479" s="27"/>
    </row>
    <row r="480" hidden="1">
      <c r="A480" s="21"/>
      <c r="B480" s="21" t="s">
        <v>1439</v>
      </c>
      <c r="D480" s="25">
        <v>30.0</v>
      </c>
      <c r="E480" s="27"/>
      <c r="F480" s="25">
        <v>0.0</v>
      </c>
      <c r="G480" s="27"/>
    </row>
    <row r="481" hidden="1">
      <c r="A481" s="21"/>
      <c r="B481" s="21" t="s">
        <v>1440</v>
      </c>
      <c r="D481" s="25">
        <v>30.0</v>
      </c>
      <c r="E481" s="27"/>
      <c r="F481" s="25">
        <v>0.0</v>
      </c>
      <c r="G481" s="27"/>
    </row>
    <row r="482" hidden="1">
      <c r="A482" s="21"/>
      <c r="B482" s="21" t="s">
        <v>1441</v>
      </c>
      <c r="C482" s="21" t="s">
        <v>117</v>
      </c>
      <c r="D482" s="25">
        <v>30.0</v>
      </c>
      <c r="E482" s="25">
        <v>3.0</v>
      </c>
      <c r="F482" s="25">
        <v>3.08</v>
      </c>
      <c r="G482" s="21" t="s">
        <v>1442</v>
      </c>
    </row>
    <row r="483" hidden="1">
      <c r="A483" s="21"/>
      <c r="B483" s="21" t="s">
        <v>1443</v>
      </c>
      <c r="C483" s="21" t="s">
        <v>87</v>
      </c>
      <c r="D483" s="25">
        <v>30.0</v>
      </c>
      <c r="E483" s="25">
        <v>20.0</v>
      </c>
      <c r="F483" s="25">
        <v>6.91</v>
      </c>
      <c r="G483" s="21" t="s">
        <v>970</v>
      </c>
    </row>
    <row r="484" hidden="1">
      <c r="A484" s="21"/>
      <c r="B484" s="21" t="s">
        <v>1444</v>
      </c>
      <c r="D484" s="25">
        <v>30.0</v>
      </c>
      <c r="E484" s="27"/>
      <c r="F484" s="25">
        <v>0.0</v>
      </c>
      <c r="G484" s="27"/>
    </row>
    <row r="485" hidden="1">
      <c r="A485" s="21"/>
      <c r="B485" s="21" t="s">
        <v>1445</v>
      </c>
      <c r="D485" s="25">
        <v>30.0</v>
      </c>
      <c r="E485" s="27"/>
      <c r="F485" s="25">
        <v>0.93</v>
      </c>
      <c r="G485" s="27"/>
    </row>
    <row r="486" hidden="1">
      <c r="A486" s="21"/>
      <c r="B486" s="21" t="s">
        <v>1446</v>
      </c>
      <c r="D486" s="25">
        <v>30.0</v>
      </c>
      <c r="E486" s="27"/>
      <c r="F486" s="25">
        <v>0.0</v>
      </c>
      <c r="G486" s="27"/>
    </row>
    <row r="487" hidden="1">
      <c r="A487" s="21"/>
      <c r="B487" s="21" t="s">
        <v>1447</v>
      </c>
      <c r="C487" s="21" t="s">
        <v>87</v>
      </c>
      <c r="D487" s="25">
        <v>30.0</v>
      </c>
      <c r="E487" s="25">
        <v>21.0</v>
      </c>
      <c r="F487" s="25">
        <v>2.9</v>
      </c>
      <c r="G487" s="21" t="s">
        <v>1448</v>
      </c>
    </row>
    <row r="488" hidden="1">
      <c r="A488" s="21"/>
      <c r="B488" s="21" t="s">
        <v>1449</v>
      </c>
      <c r="D488" s="25">
        <v>30.0</v>
      </c>
      <c r="E488" s="27"/>
      <c r="F488" s="25">
        <v>0.7</v>
      </c>
      <c r="G488" s="27"/>
    </row>
    <row r="489" hidden="1">
      <c r="A489" s="21"/>
      <c r="B489" s="21" t="s">
        <v>1450</v>
      </c>
      <c r="D489" s="25">
        <v>30.0</v>
      </c>
      <c r="E489" s="27"/>
      <c r="F489" s="25">
        <v>0.0</v>
      </c>
      <c r="G489" s="27"/>
    </row>
    <row r="490" hidden="1">
      <c r="A490" s="21"/>
      <c r="B490" s="21" t="s">
        <v>1451</v>
      </c>
      <c r="C490" s="21" t="s">
        <v>99</v>
      </c>
      <c r="D490" s="25">
        <v>30.0</v>
      </c>
      <c r="E490" s="25">
        <v>29.0</v>
      </c>
      <c r="F490" s="25">
        <v>0.49</v>
      </c>
      <c r="G490" s="21" t="s">
        <v>890</v>
      </c>
    </row>
    <row r="491" hidden="1">
      <c r="A491" s="21"/>
      <c r="B491" s="21" t="s">
        <v>1452</v>
      </c>
      <c r="C491" s="21" t="s">
        <v>90</v>
      </c>
      <c r="D491" s="25">
        <v>30.0</v>
      </c>
      <c r="E491" s="25">
        <v>32.0</v>
      </c>
      <c r="F491" s="25">
        <v>1.9</v>
      </c>
      <c r="G491" s="21" t="s">
        <v>936</v>
      </c>
    </row>
    <row r="492" hidden="1">
      <c r="A492" s="21"/>
      <c r="B492" s="21" t="s">
        <v>510</v>
      </c>
      <c r="D492" s="25">
        <v>30.0</v>
      </c>
      <c r="E492" s="27"/>
      <c r="F492" s="25">
        <v>0.0</v>
      </c>
      <c r="G492" s="27"/>
    </row>
    <row r="493" hidden="1">
      <c r="A493" s="21"/>
      <c r="B493" s="21" t="s">
        <v>511</v>
      </c>
      <c r="C493" s="21" t="s">
        <v>117</v>
      </c>
      <c r="D493" s="25">
        <v>30.0</v>
      </c>
      <c r="E493" s="25">
        <v>31.0</v>
      </c>
      <c r="F493" s="25">
        <v>1.21</v>
      </c>
      <c r="G493" s="21" t="s">
        <v>512</v>
      </c>
    </row>
    <row r="494" hidden="1">
      <c r="A494" s="21"/>
      <c r="B494" s="21" t="s">
        <v>513</v>
      </c>
      <c r="C494" s="21" t="s">
        <v>117</v>
      </c>
      <c r="D494" s="25">
        <v>30.0</v>
      </c>
      <c r="E494" s="25">
        <v>32.0</v>
      </c>
      <c r="F494" s="25">
        <v>0.9</v>
      </c>
      <c r="G494" s="21" t="s">
        <v>431</v>
      </c>
    </row>
    <row r="495" hidden="1">
      <c r="A495" s="21"/>
      <c r="B495" s="21" t="s">
        <v>514</v>
      </c>
      <c r="D495" s="25">
        <v>30.0</v>
      </c>
      <c r="E495" s="27"/>
      <c r="F495" s="25">
        <v>4.71</v>
      </c>
      <c r="G495" s="27"/>
    </row>
    <row r="496" hidden="1">
      <c r="A496" s="21"/>
      <c r="B496" s="21" t="s">
        <v>515</v>
      </c>
      <c r="D496" s="25">
        <v>30.0</v>
      </c>
      <c r="E496" s="27"/>
      <c r="F496" s="25">
        <v>3.5</v>
      </c>
      <c r="G496" s="27"/>
    </row>
    <row r="497" hidden="1">
      <c r="A497" s="21"/>
      <c r="B497" s="21" t="s">
        <v>1453</v>
      </c>
      <c r="D497" s="25">
        <v>30.0</v>
      </c>
      <c r="E497" s="27"/>
      <c r="F497" s="25">
        <v>0.76</v>
      </c>
      <c r="G497" s="27"/>
    </row>
    <row r="498" hidden="1">
      <c r="A498" s="21"/>
      <c r="B498" s="21" t="s">
        <v>1454</v>
      </c>
      <c r="D498" s="25">
        <v>30.0</v>
      </c>
      <c r="E498" s="27"/>
      <c r="F498" s="25">
        <v>0.98</v>
      </c>
      <c r="G498" s="27"/>
    </row>
    <row r="499" hidden="1">
      <c r="A499" s="21"/>
      <c r="B499" s="21" t="s">
        <v>1455</v>
      </c>
      <c r="D499" s="25">
        <v>30.0</v>
      </c>
      <c r="E499" s="27"/>
      <c r="F499" s="25">
        <v>0.0</v>
      </c>
      <c r="G499" s="27"/>
    </row>
    <row r="500" hidden="1">
      <c r="A500" s="21"/>
      <c r="B500" s="21" t="s">
        <v>1456</v>
      </c>
      <c r="C500" s="21" t="s">
        <v>87</v>
      </c>
      <c r="D500" s="25">
        <v>30.0</v>
      </c>
      <c r="E500" s="25">
        <v>15.0</v>
      </c>
      <c r="F500" s="25">
        <v>7.21</v>
      </c>
      <c r="G500" s="21" t="s">
        <v>1457</v>
      </c>
    </row>
    <row r="501" hidden="1">
      <c r="A501" s="21"/>
      <c r="B501" s="21" t="s">
        <v>1458</v>
      </c>
      <c r="C501" s="21" t="s">
        <v>99</v>
      </c>
      <c r="D501" s="25">
        <v>30.0</v>
      </c>
      <c r="E501" s="25">
        <v>24.0</v>
      </c>
      <c r="F501" s="25">
        <v>1.42</v>
      </c>
      <c r="G501" s="21" t="s">
        <v>1459</v>
      </c>
    </row>
    <row r="502" hidden="1">
      <c r="A502" s="21"/>
      <c r="B502" s="21" t="s">
        <v>1460</v>
      </c>
      <c r="D502" s="25">
        <v>30.0</v>
      </c>
      <c r="E502" s="27"/>
      <c r="F502" s="25">
        <v>0.0</v>
      </c>
      <c r="G502" s="27"/>
    </row>
    <row r="503" hidden="1">
      <c r="A503" s="21"/>
      <c r="B503" s="21" t="s">
        <v>1461</v>
      </c>
      <c r="D503" s="25">
        <v>30.0</v>
      </c>
      <c r="E503" s="27"/>
      <c r="F503" s="25">
        <v>0.0</v>
      </c>
      <c r="G503" s="27"/>
    </row>
    <row r="504" hidden="1">
      <c r="A504" s="21"/>
      <c r="B504" s="21" t="s">
        <v>1462</v>
      </c>
      <c r="D504" s="25">
        <v>30.0</v>
      </c>
      <c r="E504" s="27"/>
      <c r="F504" s="25">
        <v>0.0</v>
      </c>
      <c r="G504" s="27"/>
    </row>
    <row r="505" hidden="1">
      <c r="A505" s="21"/>
      <c r="B505" s="21" t="s">
        <v>1463</v>
      </c>
      <c r="D505" s="25">
        <v>30.0</v>
      </c>
      <c r="E505" s="27"/>
      <c r="F505" s="25">
        <v>0.0</v>
      </c>
      <c r="G505" s="27"/>
    </row>
    <row r="506" hidden="1">
      <c r="A506" s="21"/>
      <c r="B506" s="21" t="s">
        <v>1464</v>
      </c>
      <c r="D506" s="25">
        <v>30.0</v>
      </c>
      <c r="E506" s="27"/>
      <c r="F506" s="25">
        <v>0.55</v>
      </c>
      <c r="G506" s="27"/>
    </row>
    <row r="507" hidden="1">
      <c r="A507" s="21"/>
      <c r="B507" s="21" t="s">
        <v>1465</v>
      </c>
      <c r="C507" s="21" t="s">
        <v>87</v>
      </c>
      <c r="D507" s="25">
        <v>30.0</v>
      </c>
      <c r="E507" s="25">
        <v>10.0</v>
      </c>
      <c r="F507" s="25">
        <v>4.41</v>
      </c>
      <c r="G507" s="21" t="s">
        <v>1466</v>
      </c>
    </row>
    <row r="508" hidden="1">
      <c r="A508" s="21"/>
      <c r="B508" s="21" t="s">
        <v>1467</v>
      </c>
      <c r="C508" s="21" t="s">
        <v>117</v>
      </c>
      <c r="D508" s="25">
        <v>30.0</v>
      </c>
      <c r="E508" s="25">
        <v>18.0</v>
      </c>
      <c r="F508" s="25">
        <v>3.12</v>
      </c>
      <c r="G508" s="21" t="s">
        <v>1351</v>
      </c>
    </row>
    <row r="509" hidden="1">
      <c r="A509" s="21"/>
      <c r="B509" s="21" t="s">
        <v>1468</v>
      </c>
      <c r="D509" s="25">
        <v>30.0</v>
      </c>
      <c r="E509" s="27"/>
      <c r="F509" s="25">
        <v>0.95</v>
      </c>
      <c r="G509" s="27"/>
    </row>
    <row r="510" hidden="1">
      <c r="A510" s="21"/>
      <c r="B510" s="21" t="s">
        <v>1469</v>
      </c>
      <c r="C510" s="21" t="s">
        <v>87</v>
      </c>
      <c r="D510" s="25">
        <v>30.0</v>
      </c>
      <c r="E510" s="25">
        <v>27.0</v>
      </c>
      <c r="F510" s="25">
        <v>6.83</v>
      </c>
      <c r="G510" s="21" t="s">
        <v>144</v>
      </c>
    </row>
    <row r="511" hidden="1">
      <c r="A511" s="21"/>
      <c r="B511" s="21" t="s">
        <v>1470</v>
      </c>
      <c r="D511" s="25">
        <v>30.0</v>
      </c>
      <c r="E511" s="27"/>
      <c r="F511" s="25">
        <v>0.0</v>
      </c>
      <c r="G511" s="27"/>
    </row>
    <row r="512" hidden="1">
      <c r="A512" s="21"/>
      <c r="B512" s="21" t="s">
        <v>1471</v>
      </c>
      <c r="D512" s="25">
        <v>30.0</v>
      </c>
      <c r="E512" s="27"/>
      <c r="F512" s="25">
        <v>3.7</v>
      </c>
      <c r="G512" s="27"/>
    </row>
    <row r="513" hidden="1">
      <c r="A513" s="21"/>
      <c r="B513" s="21" t="s">
        <v>1472</v>
      </c>
      <c r="D513" s="25">
        <v>30.0</v>
      </c>
      <c r="E513" s="27"/>
      <c r="F513" s="25">
        <v>0.0</v>
      </c>
      <c r="G513" s="27"/>
    </row>
    <row r="514" hidden="1">
      <c r="A514" s="21"/>
      <c r="B514" s="21" t="s">
        <v>1473</v>
      </c>
      <c r="C514" s="21" t="s">
        <v>117</v>
      </c>
      <c r="D514" s="25">
        <v>30.0</v>
      </c>
      <c r="E514" s="25">
        <v>32.0</v>
      </c>
      <c r="F514" s="25">
        <v>3.57</v>
      </c>
      <c r="G514" s="21" t="s">
        <v>1005</v>
      </c>
    </row>
    <row r="515" hidden="1">
      <c r="A515" s="21"/>
      <c r="B515" s="21" t="s">
        <v>1474</v>
      </c>
      <c r="D515" s="25">
        <v>30.0</v>
      </c>
      <c r="E515" s="27"/>
      <c r="F515" s="25">
        <v>0.0</v>
      </c>
      <c r="G515" s="27"/>
    </row>
    <row r="516" hidden="1">
      <c r="A516" s="21"/>
      <c r="B516" s="21" t="s">
        <v>1475</v>
      </c>
      <c r="D516" s="25">
        <v>30.0</v>
      </c>
      <c r="E516" s="27"/>
      <c r="F516" s="25">
        <v>0.0</v>
      </c>
      <c r="G516" s="27"/>
    </row>
    <row r="517" hidden="1">
      <c r="A517" s="21"/>
      <c r="B517" s="21" t="s">
        <v>1476</v>
      </c>
      <c r="D517" s="25">
        <v>30.0</v>
      </c>
      <c r="E517" s="27"/>
      <c r="F517" s="25">
        <v>0.0</v>
      </c>
      <c r="G517" s="27"/>
    </row>
    <row r="518" hidden="1">
      <c r="A518" s="21"/>
      <c r="B518" s="21" t="s">
        <v>1477</v>
      </c>
      <c r="D518" s="25">
        <v>30.0</v>
      </c>
      <c r="E518" s="27"/>
      <c r="F518" s="25">
        <v>5.59</v>
      </c>
      <c r="G518" s="27"/>
    </row>
    <row r="519" hidden="1">
      <c r="A519" s="21"/>
      <c r="B519" s="21" t="s">
        <v>1478</v>
      </c>
      <c r="C519" s="21" t="s">
        <v>117</v>
      </c>
      <c r="D519" s="25">
        <v>30.0</v>
      </c>
      <c r="E519" s="25">
        <v>10.0</v>
      </c>
      <c r="F519" s="25">
        <v>3.41</v>
      </c>
      <c r="G519" s="21" t="s">
        <v>1479</v>
      </c>
    </row>
    <row r="520" hidden="1">
      <c r="A520" s="21"/>
      <c r="B520" s="21" t="s">
        <v>1480</v>
      </c>
      <c r="C520" s="21" t="s">
        <v>117</v>
      </c>
      <c r="D520" s="25">
        <v>30.0</v>
      </c>
      <c r="E520" s="25">
        <v>7.0</v>
      </c>
      <c r="F520" s="25">
        <v>3.31</v>
      </c>
      <c r="G520" s="21" t="s">
        <v>1481</v>
      </c>
    </row>
    <row r="521" hidden="1">
      <c r="A521" s="21"/>
      <c r="B521" s="21" t="s">
        <v>1482</v>
      </c>
      <c r="D521" s="25">
        <v>30.0</v>
      </c>
      <c r="E521" s="27"/>
      <c r="F521" s="25">
        <v>0.0</v>
      </c>
      <c r="G521" s="27"/>
    </row>
    <row r="522" hidden="1">
      <c r="A522" s="21"/>
      <c r="B522" s="21" t="s">
        <v>1483</v>
      </c>
      <c r="D522" s="25">
        <v>30.0</v>
      </c>
      <c r="E522" s="27"/>
      <c r="F522" s="25">
        <v>0.0</v>
      </c>
      <c r="G522" s="27"/>
    </row>
    <row r="523" hidden="1">
      <c r="A523" s="21"/>
      <c r="B523" s="21" t="s">
        <v>1484</v>
      </c>
      <c r="D523" s="25">
        <v>30.0</v>
      </c>
      <c r="E523" s="27"/>
      <c r="F523" s="25">
        <v>8.35</v>
      </c>
      <c r="G523" s="27"/>
    </row>
    <row r="524" hidden="1">
      <c r="A524" s="21"/>
      <c r="B524" s="21" t="s">
        <v>1485</v>
      </c>
      <c r="D524" s="25">
        <v>30.0</v>
      </c>
      <c r="E524" s="27"/>
      <c r="F524" s="25">
        <v>4.22</v>
      </c>
      <c r="G524" s="27"/>
    </row>
    <row r="525" hidden="1">
      <c r="A525" s="21"/>
      <c r="B525" s="21" t="s">
        <v>1486</v>
      </c>
      <c r="D525" s="25">
        <v>30.0</v>
      </c>
      <c r="E525" s="27"/>
      <c r="F525" s="25">
        <v>0.0</v>
      </c>
      <c r="G525" s="27"/>
    </row>
    <row r="526" hidden="1">
      <c r="A526" s="21"/>
      <c r="B526" s="21" t="s">
        <v>1487</v>
      </c>
      <c r="D526" s="25">
        <v>30.0</v>
      </c>
      <c r="E526" s="27"/>
      <c r="F526" s="25">
        <v>0.0</v>
      </c>
      <c r="G526" s="27"/>
    </row>
    <row r="527" hidden="1">
      <c r="A527" s="21"/>
      <c r="B527" s="21" t="s">
        <v>516</v>
      </c>
      <c r="D527" s="25">
        <v>30.0</v>
      </c>
      <c r="E527" s="25">
        <v>14.0</v>
      </c>
      <c r="F527" s="25">
        <v>2.18</v>
      </c>
      <c r="G527" s="21" t="s">
        <v>517</v>
      </c>
    </row>
    <row r="528" hidden="1">
      <c r="A528" s="21"/>
      <c r="B528" s="21" t="s">
        <v>518</v>
      </c>
      <c r="D528" s="25">
        <v>30.0</v>
      </c>
      <c r="E528" s="27"/>
      <c r="F528" s="25">
        <v>0.0</v>
      </c>
      <c r="G528" s="27"/>
    </row>
    <row r="529" hidden="1">
      <c r="A529" s="21"/>
      <c r="B529" s="21" t="s">
        <v>1488</v>
      </c>
      <c r="D529" s="25">
        <v>30.0</v>
      </c>
      <c r="E529" s="27"/>
      <c r="F529" s="25">
        <v>0.0</v>
      </c>
      <c r="G529" s="27"/>
    </row>
    <row r="530" hidden="1">
      <c r="A530" s="21"/>
      <c r="B530" s="21" t="s">
        <v>1489</v>
      </c>
      <c r="D530" s="25">
        <v>30.0</v>
      </c>
      <c r="E530" s="27"/>
      <c r="F530" s="25">
        <v>0.0</v>
      </c>
      <c r="G530" s="27"/>
    </row>
    <row r="531" hidden="1">
      <c r="A531" s="21"/>
      <c r="B531" s="21" t="s">
        <v>1490</v>
      </c>
      <c r="D531" s="25">
        <v>20.0</v>
      </c>
      <c r="E531" s="27"/>
      <c r="F531" s="25">
        <v>2.22</v>
      </c>
      <c r="G531" s="27"/>
    </row>
    <row r="532" hidden="1">
      <c r="A532" s="21"/>
      <c r="B532" s="21" t="s">
        <v>1491</v>
      </c>
      <c r="D532" s="25">
        <v>20.0</v>
      </c>
      <c r="E532" s="27"/>
      <c r="F532" s="25">
        <v>0.0</v>
      </c>
      <c r="G532" s="27"/>
    </row>
    <row r="533" hidden="1">
      <c r="A533" s="21"/>
      <c r="B533" s="21" t="s">
        <v>1492</v>
      </c>
      <c r="D533" s="25">
        <v>20.0</v>
      </c>
      <c r="E533" s="27"/>
      <c r="F533" s="25">
        <v>0.0</v>
      </c>
      <c r="G533" s="27"/>
    </row>
    <row r="534" hidden="1">
      <c r="A534" s="21"/>
      <c r="B534" s="21" t="s">
        <v>519</v>
      </c>
      <c r="D534" s="25">
        <v>20.0</v>
      </c>
      <c r="E534" s="27"/>
      <c r="F534" s="25">
        <v>0.0</v>
      </c>
      <c r="G534" s="27"/>
    </row>
    <row r="535" hidden="1">
      <c r="A535" s="21"/>
      <c r="B535" s="21" t="s">
        <v>520</v>
      </c>
      <c r="D535" s="25">
        <v>20.0</v>
      </c>
      <c r="E535" s="27"/>
      <c r="F535" s="25">
        <v>0.0</v>
      </c>
      <c r="G535" s="27"/>
    </row>
    <row r="536" hidden="1">
      <c r="A536" s="21"/>
      <c r="B536" s="21" t="s">
        <v>521</v>
      </c>
      <c r="D536" s="25">
        <v>20.0</v>
      </c>
      <c r="E536" s="27"/>
      <c r="F536" s="25">
        <v>0.0</v>
      </c>
      <c r="G536" s="27"/>
    </row>
    <row r="537" hidden="1">
      <c r="A537" s="21"/>
      <c r="B537" s="21" t="s">
        <v>522</v>
      </c>
      <c r="D537" s="25">
        <v>20.0</v>
      </c>
      <c r="E537" s="27"/>
      <c r="F537" s="25">
        <v>3.86</v>
      </c>
      <c r="G537" s="27"/>
    </row>
    <row r="538" hidden="1">
      <c r="A538" s="21"/>
      <c r="B538" s="21" t="s">
        <v>523</v>
      </c>
      <c r="D538" s="25">
        <v>20.0</v>
      </c>
      <c r="E538" s="27"/>
      <c r="F538" s="25">
        <v>10.24</v>
      </c>
      <c r="G538" s="27"/>
    </row>
    <row r="539" hidden="1">
      <c r="A539" s="21"/>
      <c r="B539" s="21" t="s">
        <v>1493</v>
      </c>
      <c r="D539" s="25">
        <v>20.0</v>
      </c>
      <c r="E539" s="27"/>
      <c r="F539" s="25">
        <v>6.69</v>
      </c>
      <c r="G539" s="27"/>
    </row>
    <row r="540" hidden="1">
      <c r="A540" s="21"/>
      <c r="B540" s="21" t="s">
        <v>1494</v>
      </c>
      <c r="D540" s="25">
        <v>20.0</v>
      </c>
      <c r="E540" s="27"/>
      <c r="F540" s="25">
        <v>6.36</v>
      </c>
      <c r="G540" s="27"/>
    </row>
    <row r="541" hidden="1">
      <c r="A541" s="21"/>
      <c r="B541" s="21" t="s">
        <v>1495</v>
      </c>
      <c r="D541" s="25">
        <v>20.0</v>
      </c>
      <c r="E541" s="27"/>
      <c r="F541" s="25">
        <v>6.17</v>
      </c>
      <c r="G541" s="27"/>
    </row>
    <row r="542" hidden="1">
      <c r="A542" s="21"/>
      <c r="B542" s="21" t="s">
        <v>1496</v>
      </c>
      <c r="D542" s="25">
        <v>20.0</v>
      </c>
      <c r="E542" s="27"/>
      <c r="F542" s="25">
        <v>0.0</v>
      </c>
      <c r="G542" s="27"/>
    </row>
    <row r="543" hidden="1">
      <c r="A543" s="21"/>
      <c r="B543" s="21" t="s">
        <v>1497</v>
      </c>
      <c r="D543" s="25">
        <v>20.0</v>
      </c>
      <c r="E543" s="27"/>
      <c r="F543" s="25">
        <v>0.0</v>
      </c>
      <c r="G543" s="27"/>
    </row>
    <row r="544" hidden="1">
      <c r="A544" s="21"/>
      <c r="B544" s="21" t="s">
        <v>1498</v>
      </c>
      <c r="D544" s="25">
        <v>20.0</v>
      </c>
      <c r="E544" s="27"/>
      <c r="F544" s="25">
        <v>5.69</v>
      </c>
      <c r="G544" s="27"/>
    </row>
    <row r="545" hidden="1">
      <c r="A545" s="21"/>
      <c r="B545" s="21" t="s">
        <v>1499</v>
      </c>
      <c r="D545" s="25">
        <v>20.0</v>
      </c>
      <c r="E545" s="27"/>
      <c r="F545" s="25">
        <v>0.0</v>
      </c>
      <c r="G545" s="27"/>
    </row>
    <row r="546" hidden="1">
      <c r="A546" s="21"/>
      <c r="B546" s="21" t="s">
        <v>1500</v>
      </c>
      <c r="D546" s="25">
        <v>20.0</v>
      </c>
      <c r="E546" s="27"/>
      <c r="F546" s="25">
        <v>0.0</v>
      </c>
      <c r="G546" s="27"/>
    </row>
    <row r="547" hidden="1">
      <c r="A547" s="21"/>
      <c r="B547" s="21" t="s">
        <v>1501</v>
      </c>
      <c r="D547" s="25">
        <v>20.0</v>
      </c>
      <c r="E547" s="27"/>
      <c r="F547" s="25">
        <v>4.56</v>
      </c>
      <c r="G547" s="27"/>
    </row>
    <row r="548" hidden="1">
      <c r="A548" s="21"/>
      <c r="B548" s="21" t="s">
        <v>1502</v>
      </c>
      <c r="D548" s="25">
        <v>20.0</v>
      </c>
      <c r="E548" s="27"/>
      <c r="F548" s="25">
        <v>7.6</v>
      </c>
      <c r="G548" s="27"/>
    </row>
    <row r="549" hidden="1">
      <c r="A549" s="21"/>
      <c r="B549" s="21" t="s">
        <v>1503</v>
      </c>
      <c r="D549" s="25">
        <v>20.0</v>
      </c>
      <c r="E549" s="27"/>
      <c r="F549" s="25">
        <v>1.43</v>
      </c>
      <c r="G549" s="27"/>
    </row>
    <row r="550" hidden="1">
      <c r="A550" s="21"/>
      <c r="B550" s="21" t="s">
        <v>1504</v>
      </c>
      <c r="D550" s="25">
        <v>20.0</v>
      </c>
      <c r="E550" s="27"/>
      <c r="F550" s="25">
        <v>0.0</v>
      </c>
      <c r="G550" s="27"/>
    </row>
    <row r="551" hidden="1">
      <c r="A551" s="21"/>
      <c r="B551" s="21" t="s">
        <v>1505</v>
      </c>
      <c r="D551" s="25">
        <v>20.0</v>
      </c>
      <c r="E551" s="27"/>
      <c r="F551" s="25">
        <v>7.41</v>
      </c>
      <c r="G551" s="27"/>
    </row>
    <row r="552" hidden="1">
      <c r="A552" s="21"/>
      <c r="B552" s="21" t="s">
        <v>1506</v>
      </c>
      <c r="D552" s="25">
        <v>20.0</v>
      </c>
      <c r="E552" s="27"/>
      <c r="F552" s="25">
        <v>9.52</v>
      </c>
      <c r="G552" s="27"/>
    </row>
    <row r="553" hidden="1">
      <c r="A553" s="21"/>
      <c r="B553" s="21" t="s">
        <v>1507</v>
      </c>
      <c r="D553" s="25">
        <v>20.0</v>
      </c>
      <c r="E553" s="27"/>
      <c r="F553" s="25">
        <v>5.47</v>
      </c>
      <c r="G553" s="27"/>
    </row>
    <row r="554" hidden="1">
      <c r="A554" s="21"/>
      <c r="B554" s="21" t="s">
        <v>1508</v>
      </c>
      <c r="D554" s="25">
        <v>20.0</v>
      </c>
      <c r="E554" s="27"/>
      <c r="F554" s="25">
        <v>6.88</v>
      </c>
      <c r="G554" s="27"/>
    </row>
    <row r="555" hidden="1">
      <c r="A555" s="21"/>
      <c r="B555" s="21" t="s">
        <v>1509</v>
      </c>
      <c r="D555" s="25">
        <v>20.0</v>
      </c>
      <c r="E555" s="27"/>
      <c r="F555" s="25">
        <v>3.82</v>
      </c>
      <c r="G555" s="27"/>
    </row>
    <row r="556" hidden="1">
      <c r="A556" s="21"/>
      <c r="B556" s="21" t="s">
        <v>1510</v>
      </c>
      <c r="D556" s="25">
        <v>20.0</v>
      </c>
      <c r="E556" s="27"/>
      <c r="F556" s="25">
        <v>3.82</v>
      </c>
      <c r="G556" s="27"/>
    </row>
    <row r="557" hidden="1">
      <c r="A557" s="21"/>
      <c r="B557" s="21" t="s">
        <v>1511</v>
      </c>
      <c r="D557" s="25">
        <v>20.0</v>
      </c>
      <c r="E557" s="27"/>
      <c r="F557" s="25">
        <v>0.0</v>
      </c>
      <c r="G557" s="27"/>
    </row>
    <row r="558" hidden="1">
      <c r="A558" s="21"/>
      <c r="B558" s="21" t="s">
        <v>1512</v>
      </c>
      <c r="D558" s="25">
        <v>20.0</v>
      </c>
      <c r="E558" s="27"/>
      <c r="F558" s="25">
        <v>0.0</v>
      </c>
      <c r="G558" s="27"/>
    </row>
    <row r="559" hidden="1">
      <c r="A559" s="21"/>
      <c r="B559" s="21" t="s">
        <v>1513</v>
      </c>
      <c r="D559" s="25">
        <v>20.0</v>
      </c>
      <c r="E559" s="27"/>
      <c r="F559" s="25">
        <v>5.29</v>
      </c>
      <c r="G559" s="27"/>
    </row>
    <row r="560" hidden="1">
      <c r="A560" s="21"/>
      <c r="B560" s="21" t="s">
        <v>1514</v>
      </c>
      <c r="D560" s="25">
        <v>20.0</v>
      </c>
      <c r="E560" s="27"/>
      <c r="F560" s="25">
        <v>3.5</v>
      </c>
      <c r="G560" s="27"/>
    </row>
    <row r="561" hidden="1">
      <c r="A561" s="21"/>
      <c r="B561" s="21" t="s">
        <v>1515</v>
      </c>
      <c r="D561" s="25">
        <v>20.0</v>
      </c>
      <c r="E561" s="27"/>
      <c r="F561" s="25">
        <v>5.51</v>
      </c>
      <c r="G561" s="27"/>
    </row>
    <row r="562" hidden="1">
      <c r="A562" s="21"/>
      <c r="B562" s="21" t="s">
        <v>1516</v>
      </c>
      <c r="D562" s="25">
        <v>20.0</v>
      </c>
      <c r="E562" s="27"/>
      <c r="F562" s="25">
        <v>0.0</v>
      </c>
      <c r="G562" s="27"/>
    </row>
    <row r="563" hidden="1">
      <c r="A563" s="21"/>
      <c r="B563" s="21" t="s">
        <v>1517</v>
      </c>
      <c r="D563" s="25">
        <v>20.0</v>
      </c>
      <c r="E563" s="27"/>
      <c r="F563" s="25">
        <v>0.0</v>
      </c>
      <c r="G563" s="27"/>
    </row>
    <row r="564" hidden="1">
      <c r="A564" s="21"/>
      <c r="B564" s="21" t="s">
        <v>1518</v>
      </c>
      <c r="D564" s="25">
        <v>20.0</v>
      </c>
      <c r="E564" s="27"/>
      <c r="F564" s="25">
        <v>2.71</v>
      </c>
      <c r="G564" s="27"/>
    </row>
    <row r="565" hidden="1">
      <c r="A565" s="21"/>
      <c r="B565" s="21" t="s">
        <v>1519</v>
      </c>
      <c r="D565" s="25">
        <v>20.0</v>
      </c>
      <c r="E565" s="27"/>
      <c r="F565" s="25">
        <v>4.52</v>
      </c>
      <c r="G565" s="27"/>
    </row>
    <row r="566" hidden="1">
      <c r="A566" s="21"/>
      <c r="B566" s="21" t="s">
        <v>1520</v>
      </c>
      <c r="D566" s="25">
        <v>20.0</v>
      </c>
      <c r="E566" s="27"/>
      <c r="F566" s="25">
        <v>0.0</v>
      </c>
      <c r="G566" s="27"/>
    </row>
    <row r="567" hidden="1">
      <c r="A567" s="21"/>
      <c r="B567" s="21" t="s">
        <v>1521</v>
      </c>
      <c r="D567" s="25">
        <v>20.0</v>
      </c>
      <c r="E567" s="27"/>
      <c r="F567" s="25">
        <v>5.92</v>
      </c>
      <c r="G567" s="27"/>
    </row>
    <row r="568" hidden="1">
      <c r="A568" s="21"/>
      <c r="B568" s="21" t="s">
        <v>1522</v>
      </c>
      <c r="D568" s="25">
        <v>20.0</v>
      </c>
      <c r="E568" s="27"/>
      <c r="F568" s="25">
        <v>0.0</v>
      </c>
      <c r="G568" s="27"/>
    </row>
    <row r="569" hidden="1">
      <c r="A569" s="21"/>
      <c r="B569" s="21" t="s">
        <v>1523</v>
      </c>
      <c r="D569" s="25">
        <v>20.0</v>
      </c>
      <c r="E569" s="27"/>
      <c r="F569" s="25">
        <v>0.0</v>
      </c>
      <c r="G569" s="27"/>
    </row>
    <row r="570" hidden="1">
      <c r="A570" s="21"/>
      <c r="B570" s="21" t="s">
        <v>1524</v>
      </c>
      <c r="D570" s="25">
        <v>20.0</v>
      </c>
      <c r="E570" s="27"/>
      <c r="F570" s="25">
        <v>0.0</v>
      </c>
      <c r="G570" s="27"/>
    </row>
    <row r="571" hidden="1">
      <c r="A571" s="21"/>
      <c r="B571" s="21" t="s">
        <v>1525</v>
      </c>
      <c r="D571" s="25">
        <v>20.0</v>
      </c>
      <c r="E571" s="27"/>
      <c r="F571" s="25">
        <v>1.93</v>
      </c>
      <c r="G571" s="27"/>
    </row>
    <row r="572" hidden="1">
      <c r="A572" s="21"/>
      <c r="B572" s="21" t="s">
        <v>1526</v>
      </c>
      <c r="D572" s="25">
        <v>20.0</v>
      </c>
      <c r="E572" s="27"/>
      <c r="F572" s="25">
        <v>3.07</v>
      </c>
      <c r="G572" s="27"/>
    </row>
    <row r="573" hidden="1">
      <c r="A573" s="21"/>
      <c r="B573" s="21" t="s">
        <v>1527</v>
      </c>
      <c r="D573" s="25">
        <v>20.0</v>
      </c>
      <c r="E573" s="27"/>
      <c r="F573" s="25">
        <v>0.0</v>
      </c>
      <c r="G573" s="27"/>
    </row>
    <row r="574" hidden="1">
      <c r="A574" s="21"/>
      <c r="B574" s="21" t="s">
        <v>1528</v>
      </c>
      <c r="D574" s="25">
        <v>20.0</v>
      </c>
      <c r="E574" s="27"/>
      <c r="F574" s="25">
        <v>3.31</v>
      </c>
      <c r="G574" s="27"/>
    </row>
    <row r="575" hidden="1">
      <c r="A575" s="21"/>
      <c r="B575" s="21" t="s">
        <v>298</v>
      </c>
      <c r="D575" s="25">
        <v>20.0</v>
      </c>
      <c r="E575" s="27"/>
      <c r="F575" s="25">
        <v>0.0</v>
      </c>
      <c r="G575" s="27"/>
    </row>
    <row r="576" hidden="1">
      <c r="A576" s="21"/>
      <c r="B576" s="21" t="s">
        <v>1529</v>
      </c>
      <c r="D576" s="25">
        <v>20.0</v>
      </c>
      <c r="E576" s="27"/>
      <c r="F576" s="25">
        <v>3.39</v>
      </c>
      <c r="G576" s="27"/>
    </row>
    <row r="577" hidden="1">
      <c r="A577" s="21"/>
      <c r="B577" s="21" t="s">
        <v>1530</v>
      </c>
      <c r="D577" s="25">
        <v>20.0</v>
      </c>
      <c r="E577" s="27"/>
      <c r="F577" s="25">
        <v>0.0</v>
      </c>
      <c r="G577" s="27"/>
    </row>
    <row r="578" hidden="1">
      <c r="A578" s="21"/>
      <c r="B578" s="21" t="s">
        <v>1531</v>
      </c>
      <c r="D578" s="25">
        <v>20.0</v>
      </c>
      <c r="E578" s="27"/>
      <c r="F578" s="25">
        <v>10.53</v>
      </c>
      <c r="G578" s="27"/>
    </row>
    <row r="579" hidden="1">
      <c r="A579" s="21"/>
      <c r="B579" s="21" t="s">
        <v>1532</v>
      </c>
      <c r="D579" s="25">
        <v>20.0</v>
      </c>
      <c r="E579" s="27"/>
      <c r="F579" s="25">
        <v>0.0</v>
      </c>
      <c r="G579" s="27"/>
    </row>
    <row r="580" hidden="1">
      <c r="A580" s="21"/>
      <c r="B580" s="21" t="s">
        <v>1533</v>
      </c>
      <c r="D580" s="25">
        <v>20.0</v>
      </c>
      <c r="E580" s="27"/>
      <c r="F580" s="25">
        <v>0.0</v>
      </c>
      <c r="G580" s="27"/>
    </row>
    <row r="581" hidden="1">
      <c r="A581" s="21"/>
      <c r="B581" s="21" t="s">
        <v>1534</v>
      </c>
      <c r="D581" s="25">
        <v>20.0</v>
      </c>
      <c r="E581" s="27"/>
      <c r="F581" s="25">
        <v>4.01</v>
      </c>
      <c r="G581" s="27"/>
    </row>
    <row r="582" hidden="1">
      <c r="A582" s="21"/>
      <c r="B582" s="21" t="s">
        <v>1535</v>
      </c>
      <c r="D582" s="25">
        <v>20.0</v>
      </c>
      <c r="E582" s="27"/>
      <c r="F582" s="25">
        <v>0.0</v>
      </c>
      <c r="G582" s="27"/>
    </row>
    <row r="583" hidden="1">
      <c r="A583" s="21"/>
      <c r="B583" s="21" t="s">
        <v>1536</v>
      </c>
      <c r="D583" s="25">
        <v>20.0</v>
      </c>
      <c r="E583" s="27"/>
      <c r="F583" s="25">
        <v>0.0</v>
      </c>
      <c r="G583" s="27"/>
    </row>
    <row r="584" hidden="1">
      <c r="A584" s="21"/>
      <c r="B584" s="21" t="s">
        <v>1537</v>
      </c>
      <c r="D584" s="25">
        <v>20.0</v>
      </c>
      <c r="E584" s="27"/>
      <c r="F584" s="25">
        <v>0.0</v>
      </c>
      <c r="G584" s="27"/>
    </row>
    <row r="585" hidden="1">
      <c r="A585" s="21"/>
      <c r="B585" s="21" t="s">
        <v>1538</v>
      </c>
      <c r="D585" s="25">
        <v>20.0</v>
      </c>
      <c r="E585" s="27"/>
      <c r="F585" s="25">
        <v>7.41</v>
      </c>
      <c r="G585" s="27"/>
    </row>
    <row r="586" hidden="1">
      <c r="A586" s="21"/>
      <c r="B586" s="21" t="s">
        <v>1539</v>
      </c>
      <c r="D586" s="25">
        <v>20.0</v>
      </c>
      <c r="E586" s="27"/>
      <c r="F586" s="25">
        <v>7.04</v>
      </c>
      <c r="G586" s="27"/>
    </row>
    <row r="587" hidden="1">
      <c r="A587" s="21"/>
      <c r="B587" s="21" t="s">
        <v>1540</v>
      </c>
      <c r="D587" s="25">
        <v>20.0</v>
      </c>
      <c r="E587" s="27"/>
      <c r="F587" s="25">
        <v>7.04</v>
      </c>
      <c r="G587" s="27"/>
    </row>
    <row r="588" hidden="1">
      <c r="A588" s="21"/>
      <c r="B588" s="21" t="s">
        <v>1541</v>
      </c>
      <c r="D588" s="25">
        <v>20.0</v>
      </c>
      <c r="E588" s="27"/>
      <c r="F588" s="25">
        <v>0.0</v>
      </c>
      <c r="G588" s="27"/>
    </row>
    <row r="589" hidden="1">
      <c r="A589" s="21"/>
      <c r="B589" s="21" t="s">
        <v>1542</v>
      </c>
      <c r="D589" s="25">
        <v>20.0</v>
      </c>
      <c r="E589" s="27"/>
      <c r="F589" s="25">
        <v>7.14</v>
      </c>
      <c r="G589" s="27"/>
    </row>
    <row r="590" hidden="1">
      <c r="A590" s="21"/>
      <c r="B590" s="21" t="s">
        <v>1543</v>
      </c>
      <c r="D590" s="25">
        <v>20.0</v>
      </c>
      <c r="E590" s="27"/>
      <c r="F590" s="25">
        <v>0.0</v>
      </c>
      <c r="G590" s="27"/>
    </row>
    <row r="591" hidden="1">
      <c r="A591" s="21"/>
      <c r="B591" s="21" t="s">
        <v>1544</v>
      </c>
      <c r="D591" s="25">
        <v>20.0</v>
      </c>
      <c r="E591" s="27"/>
      <c r="F591" s="25">
        <v>0.0</v>
      </c>
      <c r="G591" s="27"/>
    </row>
    <row r="592" hidden="1">
      <c r="A592" s="21"/>
      <c r="B592" s="21" t="s">
        <v>1545</v>
      </c>
      <c r="D592" s="25">
        <v>20.0</v>
      </c>
      <c r="E592" s="27"/>
      <c r="F592" s="25">
        <v>2.07</v>
      </c>
      <c r="G592" s="27"/>
    </row>
    <row r="593" hidden="1">
      <c r="A593" s="21"/>
      <c r="B593" s="21" t="s">
        <v>1546</v>
      </c>
      <c r="D593" s="25">
        <v>20.0</v>
      </c>
      <c r="E593" s="27"/>
      <c r="F593" s="25">
        <v>2.07</v>
      </c>
      <c r="G593" s="27"/>
    </row>
    <row r="594" hidden="1">
      <c r="A594" s="21"/>
      <c r="B594" s="21" t="s">
        <v>1547</v>
      </c>
      <c r="D594" s="25">
        <v>20.0</v>
      </c>
      <c r="E594" s="27"/>
      <c r="F594" s="25">
        <v>0.0</v>
      </c>
      <c r="G594" s="27"/>
    </row>
    <row r="595" hidden="1">
      <c r="A595" s="21"/>
      <c r="B595" s="21" t="s">
        <v>1548</v>
      </c>
      <c r="D595" s="25">
        <v>20.0</v>
      </c>
      <c r="E595" s="27"/>
      <c r="F595" s="25">
        <v>0.0</v>
      </c>
      <c r="G595" s="27"/>
    </row>
    <row r="596" hidden="1">
      <c r="A596" s="21"/>
      <c r="B596" s="21" t="s">
        <v>1549</v>
      </c>
      <c r="D596" s="25">
        <v>20.0</v>
      </c>
      <c r="E596" s="27"/>
      <c r="F596" s="25">
        <v>4.68</v>
      </c>
      <c r="G596" s="27"/>
    </row>
    <row r="597" hidden="1">
      <c r="A597" s="21"/>
      <c r="B597" s="21" t="s">
        <v>1550</v>
      </c>
      <c r="D597" s="25">
        <v>20.0</v>
      </c>
      <c r="E597" s="27"/>
      <c r="F597" s="25">
        <v>0.0</v>
      </c>
      <c r="G597" s="27"/>
    </row>
    <row r="598" hidden="1">
      <c r="A598" s="21"/>
      <c r="B598" s="21" t="s">
        <v>1551</v>
      </c>
      <c r="D598" s="25">
        <v>20.0</v>
      </c>
      <c r="E598" s="27"/>
      <c r="F598" s="25">
        <v>0.0</v>
      </c>
      <c r="G598" s="27"/>
    </row>
    <row r="599" hidden="1">
      <c r="A599" s="21"/>
      <c r="B599" s="21" t="s">
        <v>1552</v>
      </c>
      <c r="D599" s="25">
        <v>20.0</v>
      </c>
      <c r="E599" s="27"/>
      <c r="F599" s="25">
        <v>0.0</v>
      </c>
      <c r="G599" s="27"/>
    </row>
    <row r="600" hidden="1">
      <c r="A600" s="21"/>
      <c r="B600" s="21" t="s">
        <v>1553</v>
      </c>
      <c r="D600" s="25">
        <v>20.0</v>
      </c>
      <c r="E600" s="27"/>
      <c r="F600" s="25">
        <v>10.91</v>
      </c>
      <c r="G600" s="27"/>
    </row>
    <row r="601" hidden="1">
      <c r="A601" s="21"/>
      <c r="B601" s="21" t="s">
        <v>1554</v>
      </c>
      <c r="D601" s="25">
        <v>20.0</v>
      </c>
      <c r="E601" s="27"/>
      <c r="F601" s="25">
        <v>10.91</v>
      </c>
      <c r="G601" s="27"/>
    </row>
    <row r="602" hidden="1">
      <c r="A602" s="21"/>
      <c r="B602" s="21" t="s">
        <v>1555</v>
      </c>
      <c r="D602" s="25">
        <v>20.0</v>
      </c>
      <c r="E602" s="27"/>
      <c r="F602" s="25">
        <v>0.0</v>
      </c>
      <c r="G602" s="27"/>
    </row>
    <row r="603" hidden="1">
      <c r="A603" s="21"/>
      <c r="B603" s="21" t="s">
        <v>1556</v>
      </c>
      <c r="D603" s="25">
        <v>20.0</v>
      </c>
      <c r="E603" s="27"/>
      <c r="F603" s="25">
        <v>5.65</v>
      </c>
      <c r="G603" s="27"/>
    </row>
    <row r="604" hidden="1">
      <c r="A604" s="21"/>
      <c r="B604" s="21" t="s">
        <v>1557</v>
      </c>
      <c r="D604" s="25">
        <v>20.0</v>
      </c>
      <c r="E604" s="27"/>
      <c r="F604" s="25">
        <v>8.16</v>
      </c>
      <c r="G604" s="27"/>
    </row>
    <row r="605" hidden="1">
      <c r="A605" s="21"/>
      <c r="B605" s="21" t="s">
        <v>1558</v>
      </c>
      <c r="D605" s="25">
        <v>20.0</v>
      </c>
      <c r="E605" s="27"/>
      <c r="F605" s="25">
        <v>0.0</v>
      </c>
      <c r="G605" s="27"/>
    </row>
    <row r="606" hidden="1">
      <c r="A606" s="21"/>
      <c r="B606" s="21" t="s">
        <v>1559</v>
      </c>
      <c r="D606" s="25">
        <v>20.0</v>
      </c>
      <c r="E606" s="27"/>
      <c r="F606" s="25">
        <v>0.0</v>
      </c>
      <c r="G606" s="27"/>
    </row>
    <row r="607" hidden="1">
      <c r="A607" s="21"/>
      <c r="B607" s="21" t="s">
        <v>1560</v>
      </c>
      <c r="D607" s="25">
        <v>20.0</v>
      </c>
      <c r="E607" s="27"/>
      <c r="F607" s="25">
        <v>10.91</v>
      </c>
      <c r="G607" s="27"/>
    </row>
    <row r="608" hidden="1">
      <c r="A608" s="21"/>
      <c r="B608" s="21" t="s">
        <v>1561</v>
      </c>
      <c r="D608" s="25">
        <v>20.0</v>
      </c>
      <c r="E608" s="27"/>
      <c r="F608" s="25">
        <v>4.57</v>
      </c>
      <c r="G608" s="27"/>
    </row>
    <row r="609" hidden="1">
      <c r="A609" s="21"/>
      <c r="B609" s="21" t="s">
        <v>1562</v>
      </c>
      <c r="D609" s="25">
        <v>20.0</v>
      </c>
      <c r="E609" s="27"/>
      <c r="F609" s="25">
        <v>3.5</v>
      </c>
      <c r="G609" s="27"/>
    </row>
    <row r="610" hidden="1">
      <c r="A610" s="21"/>
      <c r="B610" s="21" t="s">
        <v>1563</v>
      </c>
      <c r="D610" s="25">
        <v>20.0</v>
      </c>
      <c r="E610" s="27"/>
      <c r="F610" s="25">
        <v>0.0</v>
      </c>
      <c r="G610" s="27"/>
    </row>
    <row r="611" hidden="1">
      <c r="A611" s="21"/>
      <c r="B611" s="21" t="s">
        <v>1564</v>
      </c>
      <c r="D611" s="25">
        <v>20.0</v>
      </c>
      <c r="E611" s="27"/>
      <c r="F611" s="25">
        <v>0.0</v>
      </c>
      <c r="G611" s="27"/>
    </row>
    <row r="612" hidden="1">
      <c r="A612" s="21"/>
      <c r="B612" s="21" t="s">
        <v>1565</v>
      </c>
      <c r="D612" s="25">
        <v>20.0</v>
      </c>
      <c r="E612" s="27"/>
      <c r="F612" s="25">
        <v>0.0</v>
      </c>
      <c r="G612" s="27"/>
    </row>
    <row r="613" hidden="1">
      <c r="A613" s="21"/>
      <c r="B613" s="21" t="s">
        <v>1566</v>
      </c>
      <c r="D613" s="25">
        <v>20.0</v>
      </c>
      <c r="E613" s="27"/>
      <c r="F613" s="25">
        <v>0.0</v>
      </c>
      <c r="G613" s="27"/>
    </row>
    <row r="614" hidden="1">
      <c r="A614" s="21"/>
      <c r="B614" s="21" t="s">
        <v>1567</v>
      </c>
      <c r="D614" s="25">
        <v>20.0</v>
      </c>
      <c r="E614" s="27"/>
      <c r="F614" s="25">
        <v>0.0</v>
      </c>
      <c r="G614" s="27"/>
    </row>
    <row r="615" hidden="1">
      <c r="A615" s="21"/>
      <c r="B615" s="21" t="s">
        <v>1568</v>
      </c>
      <c r="D615" s="25">
        <v>20.0</v>
      </c>
      <c r="E615" s="27"/>
      <c r="F615" s="25">
        <v>9.88</v>
      </c>
      <c r="G615" s="27"/>
    </row>
    <row r="616" hidden="1">
      <c r="A616" s="21"/>
      <c r="B616" s="21" t="s">
        <v>1569</v>
      </c>
      <c r="D616" s="25">
        <v>20.0</v>
      </c>
      <c r="E616" s="27"/>
      <c r="F616" s="25">
        <v>9.95</v>
      </c>
      <c r="G616" s="27"/>
    </row>
    <row r="617" hidden="1">
      <c r="A617" s="21"/>
      <c r="B617" s="21" t="s">
        <v>1570</v>
      </c>
      <c r="D617" s="25">
        <v>20.0</v>
      </c>
      <c r="E617" s="27"/>
      <c r="F617" s="25">
        <v>0.0</v>
      </c>
      <c r="G617" s="27"/>
    </row>
    <row r="618" hidden="1">
      <c r="A618" s="21"/>
      <c r="B618" s="21" t="s">
        <v>1571</v>
      </c>
      <c r="D618" s="25">
        <v>20.0</v>
      </c>
      <c r="E618" s="27"/>
      <c r="F618" s="25">
        <v>0.0</v>
      </c>
      <c r="G618" s="27"/>
    </row>
    <row r="619" hidden="1">
      <c r="A619" s="21"/>
      <c r="B619" s="21" t="s">
        <v>1572</v>
      </c>
      <c r="D619" s="25">
        <v>20.0</v>
      </c>
      <c r="E619" s="27"/>
      <c r="F619" s="25">
        <v>0.0</v>
      </c>
      <c r="G619" s="27"/>
    </row>
    <row r="620" hidden="1">
      <c r="A620" s="21"/>
      <c r="B620" s="21" t="s">
        <v>1573</v>
      </c>
      <c r="D620" s="25">
        <v>20.0</v>
      </c>
      <c r="E620" s="27"/>
      <c r="F620" s="25">
        <v>0.0</v>
      </c>
      <c r="G620" s="27"/>
    </row>
    <row r="621" hidden="1">
      <c r="A621" s="21"/>
      <c r="B621" s="21" t="s">
        <v>1574</v>
      </c>
      <c r="D621" s="25">
        <v>20.0</v>
      </c>
      <c r="E621" s="27"/>
      <c r="F621" s="25">
        <v>0.0</v>
      </c>
      <c r="G621" s="27"/>
    </row>
    <row r="622" hidden="1">
      <c r="A622" s="21"/>
      <c r="B622" s="21" t="s">
        <v>1575</v>
      </c>
      <c r="D622" s="25">
        <v>20.0</v>
      </c>
      <c r="E622" s="27"/>
      <c r="F622" s="25">
        <v>0.0</v>
      </c>
      <c r="G622" s="27"/>
    </row>
    <row r="623" hidden="1">
      <c r="A623" s="21"/>
      <c r="B623" s="21" t="s">
        <v>1576</v>
      </c>
      <c r="D623" s="25">
        <v>20.0</v>
      </c>
      <c r="E623" s="27"/>
      <c r="F623" s="25">
        <v>0.0</v>
      </c>
      <c r="G623" s="27"/>
    </row>
    <row r="624" hidden="1">
      <c r="A624" s="21"/>
      <c r="B624" s="21" t="s">
        <v>1577</v>
      </c>
      <c r="D624" s="25">
        <v>20.0</v>
      </c>
      <c r="E624" s="27"/>
      <c r="F624" s="25">
        <v>0.0</v>
      </c>
      <c r="G624" s="27"/>
    </row>
    <row r="625" hidden="1">
      <c r="A625" s="21"/>
      <c r="B625" s="21" t="s">
        <v>1578</v>
      </c>
      <c r="D625" s="25">
        <v>20.0</v>
      </c>
      <c r="E625" s="27"/>
      <c r="F625" s="25">
        <v>0.0</v>
      </c>
      <c r="G625" s="27"/>
    </row>
    <row r="626" hidden="1">
      <c r="A626" s="21"/>
      <c r="B626" s="21" t="s">
        <v>1579</v>
      </c>
      <c r="D626" s="25">
        <v>20.0</v>
      </c>
      <c r="E626" s="27"/>
      <c r="F626" s="25">
        <v>0.0</v>
      </c>
      <c r="G626" s="27"/>
    </row>
    <row r="627" hidden="1">
      <c r="A627" s="21"/>
      <c r="B627" s="21" t="s">
        <v>1580</v>
      </c>
      <c r="D627" s="25">
        <v>20.0</v>
      </c>
      <c r="E627" s="27"/>
      <c r="F627" s="25">
        <v>0.0</v>
      </c>
      <c r="G627" s="27"/>
    </row>
    <row r="628" hidden="1">
      <c r="A628" s="21"/>
      <c r="B628" s="21" t="s">
        <v>1581</v>
      </c>
      <c r="D628" s="25">
        <v>20.0</v>
      </c>
      <c r="E628" s="27"/>
      <c r="F628" s="25">
        <v>0.0</v>
      </c>
      <c r="G628" s="27"/>
    </row>
    <row r="629" hidden="1">
      <c r="A629" s="21"/>
      <c r="B629" s="21" t="s">
        <v>1582</v>
      </c>
      <c r="D629" s="25">
        <v>20.0</v>
      </c>
      <c r="E629" s="27"/>
      <c r="F629" s="25">
        <v>0.0</v>
      </c>
      <c r="G629" s="27"/>
    </row>
    <row r="630" hidden="1">
      <c r="A630" s="21"/>
      <c r="B630" s="21" t="s">
        <v>1583</v>
      </c>
      <c r="D630" s="25">
        <v>20.0</v>
      </c>
      <c r="E630" s="27"/>
      <c r="F630" s="25">
        <v>0.0</v>
      </c>
      <c r="G630" s="27"/>
    </row>
    <row r="631" hidden="1">
      <c r="A631" s="21"/>
      <c r="B631" s="21" t="s">
        <v>1584</v>
      </c>
      <c r="D631" s="25">
        <v>20.0</v>
      </c>
      <c r="E631" s="27"/>
      <c r="F631" s="25">
        <v>0.0</v>
      </c>
      <c r="G631" s="27"/>
    </row>
    <row r="632" hidden="1">
      <c r="A632" s="21"/>
      <c r="B632" s="21" t="s">
        <v>1585</v>
      </c>
      <c r="D632" s="25">
        <v>20.0</v>
      </c>
      <c r="E632" s="27"/>
      <c r="F632" s="25">
        <v>0.0</v>
      </c>
      <c r="G632" s="27"/>
    </row>
    <row r="633" hidden="1">
      <c r="A633" s="21"/>
      <c r="B633" s="21" t="s">
        <v>1586</v>
      </c>
      <c r="D633" s="25">
        <v>20.0</v>
      </c>
      <c r="E633" s="27"/>
      <c r="F633" s="25">
        <v>0.0</v>
      </c>
      <c r="G633" s="27"/>
    </row>
    <row r="634" hidden="1">
      <c r="A634" s="21"/>
      <c r="B634" s="21" t="s">
        <v>1587</v>
      </c>
      <c r="D634" s="25">
        <v>20.0</v>
      </c>
      <c r="E634" s="27"/>
      <c r="F634" s="25">
        <v>0.0</v>
      </c>
      <c r="G634" s="27"/>
    </row>
    <row r="635" hidden="1">
      <c r="A635" s="21"/>
      <c r="B635" s="21" t="s">
        <v>1588</v>
      </c>
      <c r="D635" s="25">
        <v>20.0</v>
      </c>
      <c r="E635" s="27"/>
      <c r="F635" s="25">
        <v>7.9</v>
      </c>
      <c r="G635" s="27"/>
    </row>
    <row r="636" hidden="1">
      <c r="A636" s="21"/>
      <c r="B636" s="21" t="s">
        <v>1589</v>
      </c>
      <c r="D636" s="25">
        <v>20.0</v>
      </c>
      <c r="E636" s="27"/>
      <c r="F636" s="25">
        <v>0.0</v>
      </c>
      <c r="G636" s="27"/>
    </row>
    <row r="637" hidden="1">
      <c r="A637" s="21"/>
      <c r="B637" s="21" t="s">
        <v>1590</v>
      </c>
      <c r="D637" s="25">
        <v>20.0</v>
      </c>
      <c r="E637" s="27"/>
      <c r="F637" s="25">
        <v>0.0</v>
      </c>
      <c r="G637" s="27"/>
    </row>
    <row r="638" hidden="1">
      <c r="A638" s="21"/>
      <c r="B638" s="21" t="s">
        <v>1591</v>
      </c>
      <c r="D638" s="25">
        <v>20.0</v>
      </c>
      <c r="E638" s="27"/>
      <c r="F638" s="25">
        <v>0.0</v>
      </c>
      <c r="G638" s="27"/>
    </row>
    <row r="639" hidden="1">
      <c r="A639" s="21"/>
      <c r="B639" s="21" t="s">
        <v>1592</v>
      </c>
      <c r="D639" s="25">
        <v>20.0</v>
      </c>
      <c r="E639" s="27"/>
      <c r="F639" s="25">
        <v>0.0</v>
      </c>
      <c r="G639" s="27"/>
    </row>
    <row r="640" hidden="1">
      <c r="A640" s="21"/>
      <c r="B640" s="21" t="s">
        <v>1593</v>
      </c>
      <c r="D640" s="25">
        <v>20.0</v>
      </c>
      <c r="E640" s="27"/>
      <c r="F640" s="25">
        <v>0.0</v>
      </c>
      <c r="G640" s="27"/>
    </row>
    <row r="641" hidden="1">
      <c r="A641" s="21"/>
      <c r="B641" s="21" t="s">
        <v>1594</v>
      </c>
      <c r="D641" s="25">
        <v>20.0</v>
      </c>
      <c r="E641" s="27"/>
      <c r="F641" s="25">
        <v>0.0</v>
      </c>
      <c r="G641" s="27"/>
    </row>
    <row r="642" hidden="1">
      <c r="A642" s="21"/>
      <c r="B642" s="21" t="s">
        <v>1595</v>
      </c>
      <c r="D642" s="25">
        <v>20.0</v>
      </c>
      <c r="E642" s="27"/>
      <c r="F642" s="25">
        <v>2.55</v>
      </c>
      <c r="G642" s="27"/>
    </row>
    <row r="643" hidden="1">
      <c r="A643" s="21"/>
      <c r="B643" s="21" t="s">
        <v>1596</v>
      </c>
      <c r="D643" s="25">
        <v>20.0</v>
      </c>
      <c r="E643" s="27"/>
      <c r="F643" s="25">
        <v>7.89</v>
      </c>
      <c r="G643" s="27"/>
    </row>
    <row r="644" hidden="1">
      <c r="A644" s="21"/>
      <c r="B644" s="21" t="s">
        <v>1597</v>
      </c>
      <c r="D644" s="25">
        <v>20.0</v>
      </c>
      <c r="E644" s="27"/>
      <c r="F644" s="25">
        <v>4.9</v>
      </c>
      <c r="G644" s="27"/>
    </row>
    <row r="645" hidden="1">
      <c r="A645" s="21"/>
      <c r="B645" s="21" t="s">
        <v>1598</v>
      </c>
      <c r="D645" s="25">
        <v>20.0</v>
      </c>
      <c r="E645" s="27"/>
      <c r="F645" s="25">
        <v>0.0</v>
      </c>
      <c r="G645" s="27"/>
    </row>
    <row r="646" hidden="1">
      <c r="A646" s="21"/>
      <c r="B646" s="21" t="s">
        <v>1599</v>
      </c>
      <c r="D646" s="25">
        <v>20.0</v>
      </c>
      <c r="E646" s="27"/>
      <c r="F646" s="25">
        <v>0.0</v>
      </c>
      <c r="G646" s="27"/>
    </row>
    <row r="647" hidden="1">
      <c r="A647" s="21"/>
      <c r="B647" s="21" t="s">
        <v>1600</v>
      </c>
      <c r="D647" s="25">
        <v>20.0</v>
      </c>
      <c r="E647" s="27"/>
      <c r="F647" s="25">
        <v>0.0</v>
      </c>
      <c r="G647" s="27"/>
    </row>
    <row r="648" hidden="1">
      <c r="A648" s="21"/>
      <c r="B648" s="21" t="s">
        <v>1601</v>
      </c>
      <c r="D648" s="25">
        <v>20.0</v>
      </c>
      <c r="E648" s="27"/>
      <c r="F648" s="25">
        <v>0.0</v>
      </c>
      <c r="G648" s="27"/>
    </row>
    <row r="649" hidden="1">
      <c r="A649" s="21"/>
      <c r="B649" s="21" t="s">
        <v>1602</v>
      </c>
      <c r="D649" s="25">
        <v>20.0</v>
      </c>
      <c r="E649" s="27"/>
      <c r="F649" s="25">
        <v>4.32</v>
      </c>
      <c r="G649" s="27"/>
    </row>
    <row r="650" hidden="1">
      <c r="A650" s="21"/>
      <c r="B650" s="21" t="s">
        <v>1603</v>
      </c>
      <c r="D650" s="25">
        <v>20.0</v>
      </c>
      <c r="E650" s="27"/>
      <c r="F650" s="25">
        <v>9.11</v>
      </c>
      <c r="G650" s="27"/>
    </row>
    <row r="651" hidden="1">
      <c r="A651" s="21"/>
      <c r="B651" s="21" t="s">
        <v>1604</v>
      </c>
      <c r="D651" s="25">
        <v>20.0</v>
      </c>
      <c r="E651" s="27"/>
      <c r="F651" s="25">
        <v>0.0</v>
      </c>
      <c r="G651" s="27"/>
    </row>
    <row r="652" hidden="1">
      <c r="A652" s="21"/>
      <c r="B652" s="21" t="s">
        <v>1605</v>
      </c>
      <c r="D652" s="25">
        <v>20.0</v>
      </c>
      <c r="E652" s="27"/>
      <c r="F652" s="25">
        <v>0.0</v>
      </c>
      <c r="G652" s="27"/>
    </row>
    <row r="653" hidden="1">
      <c r="A653" s="21"/>
      <c r="B653" s="21" t="s">
        <v>1606</v>
      </c>
      <c r="D653" s="25">
        <v>20.0</v>
      </c>
      <c r="E653" s="27"/>
      <c r="F653" s="25">
        <v>10.84</v>
      </c>
      <c r="G653" s="27"/>
    </row>
    <row r="654" hidden="1">
      <c r="A654" s="21"/>
      <c r="B654" s="21" t="s">
        <v>1607</v>
      </c>
      <c r="D654" s="25">
        <v>20.0</v>
      </c>
      <c r="E654" s="27"/>
      <c r="F654" s="25">
        <v>0.0</v>
      </c>
      <c r="G654" s="27"/>
    </row>
    <row r="655" hidden="1">
      <c r="A655" s="21"/>
      <c r="B655" s="21" t="s">
        <v>1608</v>
      </c>
      <c r="D655" s="25">
        <v>20.0</v>
      </c>
      <c r="E655" s="27"/>
      <c r="F655" s="25">
        <v>0.0</v>
      </c>
      <c r="G655" s="27"/>
    </row>
    <row r="656" hidden="1">
      <c r="A656" s="21"/>
      <c r="B656" s="21" t="s">
        <v>1609</v>
      </c>
      <c r="D656" s="25">
        <v>20.0</v>
      </c>
      <c r="E656" s="27"/>
      <c r="F656" s="25">
        <v>0.0</v>
      </c>
      <c r="G656" s="27"/>
    </row>
    <row r="657" hidden="1">
      <c r="A657" s="21"/>
      <c r="B657" s="21" t="s">
        <v>1610</v>
      </c>
      <c r="D657" s="25">
        <v>20.0</v>
      </c>
      <c r="E657" s="27"/>
      <c r="F657" s="25">
        <v>6.47</v>
      </c>
      <c r="G657" s="27"/>
    </row>
    <row r="658" hidden="1">
      <c r="A658" s="21"/>
      <c r="B658" s="21" t="s">
        <v>1611</v>
      </c>
      <c r="D658" s="25">
        <v>20.0</v>
      </c>
      <c r="E658" s="27"/>
      <c r="F658" s="25">
        <v>0.93</v>
      </c>
      <c r="G658" s="27"/>
    </row>
    <row r="659" hidden="1">
      <c r="A659" s="21"/>
      <c r="B659" s="21" t="s">
        <v>1612</v>
      </c>
      <c r="D659" s="25">
        <v>20.0</v>
      </c>
      <c r="E659" s="27"/>
      <c r="F659" s="25">
        <v>0.0</v>
      </c>
      <c r="G659" s="27"/>
    </row>
    <row r="660" hidden="1">
      <c r="A660" s="21"/>
      <c r="B660" s="21" t="s">
        <v>1613</v>
      </c>
      <c r="D660" s="25">
        <v>20.0</v>
      </c>
      <c r="E660" s="27"/>
      <c r="F660" s="25">
        <v>0.0</v>
      </c>
      <c r="G660" s="27"/>
    </row>
    <row r="661" hidden="1">
      <c r="A661" s="21"/>
      <c r="B661" s="21" t="s">
        <v>1614</v>
      </c>
      <c r="D661" s="25">
        <v>20.0</v>
      </c>
      <c r="E661" s="27"/>
      <c r="F661" s="25">
        <v>0.0</v>
      </c>
      <c r="G661" s="27"/>
    </row>
    <row r="662" hidden="1">
      <c r="A662" s="21"/>
      <c r="B662" s="21" t="s">
        <v>1615</v>
      </c>
      <c r="D662" s="25">
        <v>20.0</v>
      </c>
      <c r="E662" s="27"/>
      <c r="F662" s="25">
        <v>0.0</v>
      </c>
      <c r="G662" s="27"/>
    </row>
    <row r="663" hidden="1">
      <c r="A663" s="21"/>
      <c r="B663" s="21" t="s">
        <v>1616</v>
      </c>
      <c r="D663" s="25">
        <v>20.0</v>
      </c>
      <c r="E663" s="27"/>
      <c r="F663" s="25">
        <v>0.0</v>
      </c>
      <c r="G663" s="27"/>
    </row>
    <row r="664" hidden="1">
      <c r="A664" s="21"/>
      <c r="B664" s="21" t="s">
        <v>1617</v>
      </c>
      <c r="D664" s="25">
        <v>20.0</v>
      </c>
      <c r="E664" s="27"/>
      <c r="F664" s="25">
        <v>0.0</v>
      </c>
      <c r="G664" s="27"/>
    </row>
    <row r="665" hidden="1">
      <c r="A665" s="21"/>
      <c r="B665" s="21" t="s">
        <v>1618</v>
      </c>
      <c r="D665" s="25">
        <v>20.0</v>
      </c>
      <c r="E665" s="27"/>
      <c r="F665" s="25">
        <v>0.0</v>
      </c>
      <c r="G665" s="27"/>
    </row>
    <row r="666" hidden="1">
      <c r="A666" s="21"/>
      <c r="B666" s="21" t="s">
        <v>1619</v>
      </c>
      <c r="D666" s="25">
        <v>20.0</v>
      </c>
      <c r="E666" s="27"/>
      <c r="F666" s="25">
        <v>0.74</v>
      </c>
      <c r="G666" s="27"/>
    </row>
    <row r="667" hidden="1">
      <c r="A667" s="21"/>
      <c r="B667" s="21" t="s">
        <v>1620</v>
      </c>
      <c r="D667" s="25">
        <v>20.0</v>
      </c>
      <c r="E667" s="27"/>
      <c r="F667" s="25">
        <v>4.41</v>
      </c>
      <c r="G667" s="27"/>
    </row>
    <row r="668" hidden="1">
      <c r="A668" s="21"/>
      <c r="B668" s="21" t="s">
        <v>1621</v>
      </c>
      <c r="D668" s="25">
        <v>20.0</v>
      </c>
      <c r="E668" s="27"/>
      <c r="F668" s="25">
        <v>7.08</v>
      </c>
      <c r="G668" s="27"/>
    </row>
    <row r="669" hidden="1">
      <c r="A669" s="21"/>
      <c r="B669" s="21" t="s">
        <v>1622</v>
      </c>
      <c r="D669" s="25">
        <v>20.0</v>
      </c>
      <c r="E669" s="27"/>
      <c r="F669" s="25">
        <v>0.0</v>
      </c>
      <c r="G669" s="27"/>
    </row>
    <row r="670" hidden="1">
      <c r="A670" s="21"/>
      <c r="B670" s="21" t="s">
        <v>1623</v>
      </c>
      <c r="D670" s="25">
        <v>20.0</v>
      </c>
      <c r="E670" s="27"/>
      <c r="F670" s="25">
        <v>0.0</v>
      </c>
      <c r="G670" s="27"/>
    </row>
    <row r="671" hidden="1">
      <c r="A671" s="21"/>
      <c r="B671" s="21" t="s">
        <v>1624</v>
      </c>
      <c r="D671" s="25">
        <v>20.0</v>
      </c>
      <c r="E671" s="27"/>
      <c r="F671" s="25">
        <v>0.0</v>
      </c>
      <c r="G671" s="27"/>
    </row>
    <row r="672" hidden="1">
      <c r="A672" s="21"/>
      <c r="B672" s="21" t="s">
        <v>1625</v>
      </c>
      <c r="D672" s="25">
        <v>20.0</v>
      </c>
      <c r="E672" s="27"/>
      <c r="F672" s="25">
        <v>0.0</v>
      </c>
      <c r="G672" s="27"/>
    </row>
    <row r="673" hidden="1">
      <c r="A673" s="21"/>
      <c r="B673" s="21" t="s">
        <v>1626</v>
      </c>
      <c r="D673" s="25">
        <v>20.0</v>
      </c>
      <c r="E673" s="27"/>
      <c r="F673" s="25">
        <v>0.0</v>
      </c>
      <c r="G673" s="27"/>
    </row>
    <row r="674" hidden="1">
      <c r="A674" s="21"/>
      <c r="B674" s="21" t="s">
        <v>1627</v>
      </c>
      <c r="D674" s="25">
        <v>20.0</v>
      </c>
      <c r="E674" s="27"/>
      <c r="F674" s="25">
        <v>0.0</v>
      </c>
      <c r="G674" s="27"/>
    </row>
    <row r="675" hidden="1">
      <c r="A675" s="21"/>
      <c r="B675" s="21" t="s">
        <v>1628</v>
      </c>
      <c r="D675" s="25">
        <v>20.0</v>
      </c>
      <c r="E675" s="27"/>
      <c r="F675" s="25">
        <v>9.99</v>
      </c>
      <c r="G675" s="27"/>
    </row>
    <row r="676" hidden="1">
      <c r="A676" s="21"/>
      <c r="B676" s="21" t="s">
        <v>1629</v>
      </c>
      <c r="D676" s="25">
        <v>20.0</v>
      </c>
      <c r="E676" s="27"/>
      <c r="F676" s="25">
        <v>9.99</v>
      </c>
      <c r="G676" s="27"/>
    </row>
    <row r="677" hidden="1">
      <c r="A677" s="21"/>
      <c r="B677" s="21" t="s">
        <v>1630</v>
      </c>
      <c r="D677" s="25">
        <v>20.0</v>
      </c>
      <c r="E677" s="27"/>
      <c r="F677" s="25">
        <v>0.0</v>
      </c>
      <c r="G677" s="27"/>
    </row>
    <row r="678" hidden="1">
      <c r="A678" s="21"/>
      <c r="B678" s="21" t="s">
        <v>1631</v>
      </c>
      <c r="D678" s="25">
        <v>20.0</v>
      </c>
      <c r="E678" s="27"/>
      <c r="F678" s="25">
        <v>0.0</v>
      </c>
      <c r="G678" s="27"/>
    </row>
    <row r="679" hidden="1">
      <c r="A679" s="21"/>
      <c r="B679" s="21" t="s">
        <v>1632</v>
      </c>
      <c r="D679" s="25">
        <v>20.0</v>
      </c>
      <c r="E679" s="27"/>
      <c r="F679" s="25">
        <v>0.0</v>
      </c>
      <c r="G679" s="27"/>
    </row>
    <row r="680" hidden="1">
      <c r="A680" s="21"/>
      <c r="B680" s="21" t="s">
        <v>1633</v>
      </c>
      <c r="D680" s="25">
        <v>20.0</v>
      </c>
      <c r="E680" s="27"/>
      <c r="F680" s="25">
        <v>6.47</v>
      </c>
      <c r="G680" s="27"/>
    </row>
    <row r="681" hidden="1">
      <c r="A681" s="21"/>
      <c r="B681" s="21" t="s">
        <v>1634</v>
      </c>
      <c r="D681" s="25">
        <v>20.0</v>
      </c>
      <c r="E681" s="27"/>
      <c r="F681" s="25">
        <v>0.0</v>
      </c>
      <c r="G681" s="27"/>
    </row>
    <row r="682" hidden="1">
      <c r="A682" s="21"/>
      <c r="B682" s="21" t="s">
        <v>1635</v>
      </c>
      <c r="D682" s="25">
        <v>20.0</v>
      </c>
      <c r="E682" s="27"/>
      <c r="F682" s="25">
        <v>0.0</v>
      </c>
      <c r="G682" s="27"/>
    </row>
    <row r="683" hidden="1">
      <c r="A683" s="21"/>
      <c r="B683" s="21" t="s">
        <v>1636</v>
      </c>
      <c r="D683" s="25">
        <v>20.0</v>
      </c>
      <c r="E683" s="27"/>
      <c r="F683" s="25">
        <v>6.55</v>
      </c>
      <c r="G683" s="27"/>
    </row>
    <row r="684" hidden="1">
      <c r="A684" s="21"/>
      <c r="B684" s="21" t="s">
        <v>1637</v>
      </c>
      <c r="D684" s="25">
        <v>20.0</v>
      </c>
      <c r="E684" s="27"/>
      <c r="F684" s="25">
        <v>0.0</v>
      </c>
      <c r="G684" s="27"/>
    </row>
    <row r="685" hidden="1">
      <c r="A685" s="21"/>
      <c r="B685" s="21" t="s">
        <v>1638</v>
      </c>
      <c r="D685" s="25">
        <v>20.0</v>
      </c>
      <c r="E685" s="27"/>
      <c r="F685" s="25">
        <v>0.0</v>
      </c>
      <c r="G685" s="27"/>
    </row>
    <row r="686" hidden="1">
      <c r="A686" s="21"/>
      <c r="B686" s="21" t="s">
        <v>1639</v>
      </c>
      <c r="D686" s="25">
        <v>20.0</v>
      </c>
      <c r="E686" s="27"/>
      <c r="F686" s="25">
        <v>0.0</v>
      </c>
      <c r="G686" s="27"/>
    </row>
    <row r="687" hidden="1">
      <c r="A687" s="21"/>
      <c r="B687" s="21" t="s">
        <v>1640</v>
      </c>
      <c r="D687" s="25">
        <v>20.0</v>
      </c>
      <c r="E687" s="27"/>
      <c r="F687" s="25">
        <v>0.0</v>
      </c>
      <c r="G687" s="27"/>
    </row>
    <row r="688" hidden="1">
      <c r="A688" s="21"/>
      <c r="B688" s="21" t="s">
        <v>1641</v>
      </c>
      <c r="D688" s="25">
        <v>20.0</v>
      </c>
      <c r="E688" s="27"/>
      <c r="F688" s="25">
        <v>0.0</v>
      </c>
      <c r="G688" s="27"/>
    </row>
    <row r="689" hidden="1">
      <c r="A689" s="21"/>
      <c r="B689" s="21" t="s">
        <v>1642</v>
      </c>
      <c r="D689" s="25">
        <v>20.0</v>
      </c>
      <c r="E689" s="27"/>
      <c r="F689" s="25">
        <v>0.0</v>
      </c>
      <c r="G689" s="27"/>
    </row>
    <row r="690" hidden="1">
      <c r="A690" s="21"/>
      <c r="B690" s="21" t="s">
        <v>1643</v>
      </c>
      <c r="D690" s="25">
        <v>20.0</v>
      </c>
      <c r="E690" s="27"/>
      <c r="F690" s="25">
        <v>9.34</v>
      </c>
      <c r="G690" s="27"/>
    </row>
    <row r="691" hidden="1">
      <c r="A691" s="21"/>
      <c r="B691" s="21" t="s">
        <v>1644</v>
      </c>
      <c r="D691" s="25">
        <v>20.0</v>
      </c>
      <c r="E691" s="27"/>
      <c r="F691" s="25">
        <v>0.0</v>
      </c>
      <c r="G691" s="27"/>
    </row>
    <row r="692" hidden="1">
      <c r="A692" s="21"/>
      <c r="B692" s="21" t="s">
        <v>1645</v>
      </c>
      <c r="D692" s="25">
        <v>20.0</v>
      </c>
      <c r="E692" s="27"/>
      <c r="F692" s="25">
        <v>6.59</v>
      </c>
      <c r="G692" s="27"/>
    </row>
    <row r="693" hidden="1">
      <c r="A693" s="21"/>
      <c r="B693" s="21" t="s">
        <v>1646</v>
      </c>
      <c r="D693" s="25">
        <v>20.0</v>
      </c>
      <c r="E693" s="27"/>
      <c r="F693" s="25">
        <v>0.0</v>
      </c>
      <c r="G693" s="27"/>
    </row>
    <row r="694" hidden="1">
      <c r="A694" s="21"/>
      <c r="B694" s="21" t="s">
        <v>1647</v>
      </c>
      <c r="D694" s="25">
        <v>20.0</v>
      </c>
      <c r="E694" s="27"/>
      <c r="F694" s="25">
        <v>0.0</v>
      </c>
      <c r="G694" s="27"/>
    </row>
    <row r="695" hidden="1">
      <c r="A695" s="21"/>
      <c r="B695" s="21" t="s">
        <v>1648</v>
      </c>
      <c r="D695" s="25">
        <v>20.0</v>
      </c>
      <c r="E695" s="27"/>
      <c r="F695" s="25">
        <v>0.0</v>
      </c>
      <c r="G695" s="27"/>
    </row>
    <row r="696" hidden="1">
      <c r="A696" s="21"/>
      <c r="B696" s="21" t="s">
        <v>1649</v>
      </c>
      <c r="D696" s="25">
        <v>20.0</v>
      </c>
      <c r="E696" s="27"/>
      <c r="F696" s="25">
        <v>0.0</v>
      </c>
      <c r="G696" s="27"/>
    </row>
    <row r="697" hidden="1">
      <c r="A697" s="21"/>
      <c r="B697" s="21" t="s">
        <v>1650</v>
      </c>
      <c r="D697" s="25">
        <v>20.0</v>
      </c>
      <c r="E697" s="27"/>
      <c r="F697" s="25">
        <v>0.0</v>
      </c>
      <c r="G697" s="27"/>
    </row>
    <row r="698" hidden="1">
      <c r="A698" s="21"/>
      <c r="B698" s="21" t="s">
        <v>1651</v>
      </c>
      <c r="D698" s="25">
        <v>20.0</v>
      </c>
      <c r="E698" s="27"/>
      <c r="F698" s="25">
        <v>0.0</v>
      </c>
      <c r="G698" s="27"/>
    </row>
    <row r="699" hidden="1">
      <c r="A699" s="21"/>
      <c r="B699" s="21" t="s">
        <v>1652</v>
      </c>
      <c r="D699" s="25">
        <v>20.0</v>
      </c>
      <c r="E699" s="27"/>
      <c r="F699" s="25">
        <v>1.59</v>
      </c>
      <c r="G699" s="27"/>
    </row>
    <row r="700" hidden="1">
      <c r="A700" s="21"/>
      <c r="B700" s="21" t="s">
        <v>1653</v>
      </c>
      <c r="D700" s="25">
        <v>20.0</v>
      </c>
      <c r="E700" s="27"/>
      <c r="F700" s="25">
        <v>0.0</v>
      </c>
      <c r="G700" s="27"/>
    </row>
    <row r="701" hidden="1">
      <c r="A701" s="21"/>
      <c r="B701" s="21" t="s">
        <v>1654</v>
      </c>
      <c r="D701" s="25">
        <v>20.0</v>
      </c>
      <c r="E701" s="27"/>
      <c r="F701" s="25">
        <v>4.21</v>
      </c>
      <c r="G701" s="27"/>
    </row>
    <row r="702" hidden="1">
      <c r="A702" s="21"/>
      <c r="B702" s="21" t="s">
        <v>1655</v>
      </c>
      <c r="D702" s="25">
        <v>20.0</v>
      </c>
      <c r="E702" s="27"/>
      <c r="F702" s="25">
        <v>0.0</v>
      </c>
      <c r="G702" s="27"/>
    </row>
    <row r="703" hidden="1">
      <c r="A703" s="21"/>
      <c r="B703" s="21" t="s">
        <v>1656</v>
      </c>
      <c r="D703" s="25">
        <v>20.0</v>
      </c>
      <c r="E703" s="27"/>
      <c r="F703" s="25">
        <v>0.0</v>
      </c>
      <c r="G703" s="27"/>
    </row>
    <row r="704" hidden="1">
      <c r="A704" s="21"/>
      <c r="B704" s="21" t="s">
        <v>1657</v>
      </c>
      <c r="D704" s="25">
        <v>20.0</v>
      </c>
      <c r="E704" s="27"/>
      <c r="F704" s="25">
        <v>0.0</v>
      </c>
      <c r="G704" s="27"/>
    </row>
    <row r="705" hidden="1">
      <c r="A705" s="21"/>
      <c r="B705" s="21" t="s">
        <v>1658</v>
      </c>
      <c r="D705" s="25">
        <v>20.0</v>
      </c>
      <c r="E705" s="27"/>
      <c r="F705" s="25">
        <v>0.0</v>
      </c>
      <c r="G705" s="27"/>
    </row>
    <row r="706" hidden="1">
      <c r="A706" s="21"/>
      <c r="B706" s="21" t="s">
        <v>1659</v>
      </c>
      <c r="D706" s="25">
        <v>20.0</v>
      </c>
      <c r="E706" s="27"/>
      <c r="F706" s="25">
        <v>0.0</v>
      </c>
      <c r="G706" s="27"/>
    </row>
    <row r="707" hidden="1">
      <c r="A707" s="21"/>
      <c r="B707" s="21" t="s">
        <v>1660</v>
      </c>
      <c r="D707" s="25">
        <v>20.0</v>
      </c>
      <c r="E707" s="27"/>
      <c r="F707" s="25">
        <v>0.0</v>
      </c>
      <c r="G707" s="27"/>
    </row>
    <row r="708" hidden="1">
      <c r="A708" s="21"/>
      <c r="B708" s="21" t="s">
        <v>1661</v>
      </c>
      <c r="D708" s="25">
        <v>20.0</v>
      </c>
      <c r="E708" s="27"/>
      <c r="F708" s="25">
        <v>0.0</v>
      </c>
      <c r="G708" s="27"/>
    </row>
    <row r="709" hidden="1">
      <c r="A709" s="21"/>
      <c r="B709" s="21" t="s">
        <v>1662</v>
      </c>
      <c r="D709" s="25">
        <v>20.0</v>
      </c>
      <c r="E709" s="27"/>
      <c r="F709" s="25">
        <v>0.0</v>
      </c>
      <c r="G709" s="27"/>
    </row>
    <row r="710" hidden="1">
      <c r="A710" s="21"/>
      <c r="B710" s="21" t="s">
        <v>1663</v>
      </c>
      <c r="D710" s="25">
        <v>20.0</v>
      </c>
      <c r="E710" s="27"/>
      <c r="F710" s="25">
        <v>0.0</v>
      </c>
      <c r="G710" s="27"/>
    </row>
    <row r="711" hidden="1">
      <c r="A711" s="21"/>
      <c r="B711" s="21" t="s">
        <v>1664</v>
      </c>
      <c r="D711" s="25">
        <v>20.0</v>
      </c>
      <c r="E711" s="27"/>
      <c r="F711" s="25">
        <v>0.0</v>
      </c>
      <c r="G711" s="27"/>
    </row>
    <row r="712" hidden="1">
      <c r="A712" s="21"/>
      <c r="B712" s="21" t="s">
        <v>1665</v>
      </c>
      <c r="D712" s="25">
        <v>20.0</v>
      </c>
      <c r="E712" s="27"/>
      <c r="F712" s="25">
        <v>8.09</v>
      </c>
      <c r="G712" s="27"/>
    </row>
    <row r="713" hidden="1">
      <c r="A713" s="21"/>
      <c r="B713" s="21" t="s">
        <v>1666</v>
      </c>
      <c r="D713" s="25">
        <v>20.0</v>
      </c>
      <c r="E713" s="27"/>
      <c r="F713" s="25">
        <v>0.0</v>
      </c>
      <c r="G713" s="27"/>
    </row>
    <row r="714" hidden="1">
      <c r="A714" s="21"/>
      <c r="B714" s="21" t="s">
        <v>1667</v>
      </c>
      <c r="D714" s="25">
        <v>20.0</v>
      </c>
      <c r="E714" s="27"/>
      <c r="F714" s="25">
        <v>0.0</v>
      </c>
      <c r="G714" s="27"/>
    </row>
    <row r="715" hidden="1">
      <c r="A715" s="21"/>
      <c r="B715" s="21" t="s">
        <v>1668</v>
      </c>
      <c r="D715" s="25">
        <v>20.0</v>
      </c>
      <c r="E715" s="27"/>
      <c r="F715" s="25">
        <v>0.0</v>
      </c>
      <c r="G715" s="27"/>
    </row>
    <row r="716" hidden="1">
      <c r="A716" s="21"/>
      <c r="B716" s="21" t="s">
        <v>1669</v>
      </c>
      <c r="D716" s="25">
        <v>20.0</v>
      </c>
      <c r="E716" s="27"/>
      <c r="F716" s="25">
        <v>0.0</v>
      </c>
      <c r="G716" s="27"/>
    </row>
    <row r="717" hidden="1">
      <c r="A717" s="21"/>
      <c r="B717" s="21" t="s">
        <v>1670</v>
      </c>
      <c r="D717" s="25">
        <v>20.0</v>
      </c>
      <c r="E717" s="27"/>
      <c r="F717" s="25">
        <v>0.0</v>
      </c>
      <c r="G717" s="27"/>
    </row>
    <row r="718" hidden="1">
      <c r="A718" s="21"/>
      <c r="B718" s="21" t="s">
        <v>1671</v>
      </c>
      <c r="D718" s="25">
        <v>20.0</v>
      </c>
      <c r="E718" s="27"/>
      <c r="F718" s="25">
        <v>0.0</v>
      </c>
      <c r="G718" s="27"/>
    </row>
    <row r="719" hidden="1">
      <c r="A719" s="21"/>
      <c r="B719" s="21" t="s">
        <v>1672</v>
      </c>
      <c r="D719" s="25">
        <v>20.0</v>
      </c>
      <c r="E719" s="27"/>
      <c r="F719" s="25">
        <v>0.0</v>
      </c>
      <c r="G719" s="27"/>
    </row>
    <row r="720" hidden="1">
      <c r="A720" s="21"/>
      <c r="B720" s="21" t="s">
        <v>1673</v>
      </c>
      <c r="D720" s="25">
        <v>20.0</v>
      </c>
      <c r="E720" s="27"/>
      <c r="F720" s="25">
        <v>0.0</v>
      </c>
      <c r="G720" s="27"/>
    </row>
    <row r="721" hidden="1">
      <c r="A721" s="21"/>
      <c r="B721" s="21" t="s">
        <v>1674</v>
      </c>
      <c r="D721" s="25">
        <v>20.0</v>
      </c>
      <c r="E721" s="27"/>
      <c r="F721" s="25">
        <v>2.52</v>
      </c>
      <c r="G721" s="27"/>
    </row>
    <row r="722" hidden="1">
      <c r="A722" s="21"/>
      <c r="B722" s="21" t="s">
        <v>1675</v>
      </c>
      <c r="D722" s="25">
        <v>20.0</v>
      </c>
      <c r="E722" s="27"/>
      <c r="F722" s="25">
        <v>0.0</v>
      </c>
      <c r="G722" s="27"/>
    </row>
    <row r="723" hidden="1">
      <c r="A723" s="21"/>
      <c r="B723" s="21" t="s">
        <v>1676</v>
      </c>
      <c r="D723" s="25">
        <v>20.0</v>
      </c>
      <c r="E723" s="27"/>
      <c r="F723" s="25">
        <v>0.0</v>
      </c>
      <c r="G723" s="27"/>
    </row>
    <row r="724" hidden="1">
      <c r="A724" s="21"/>
      <c r="B724" s="21" t="s">
        <v>1677</v>
      </c>
      <c r="D724" s="25">
        <v>20.0</v>
      </c>
      <c r="E724" s="27"/>
      <c r="F724" s="25">
        <v>0.0</v>
      </c>
      <c r="G724" s="27"/>
    </row>
    <row r="725" hidden="1">
      <c r="A725" s="21"/>
      <c r="B725" s="21" t="s">
        <v>1678</v>
      </c>
      <c r="D725" s="25">
        <v>20.0</v>
      </c>
      <c r="E725" s="27"/>
      <c r="F725" s="25">
        <v>0.0</v>
      </c>
      <c r="G725" s="27"/>
    </row>
    <row r="726" hidden="1">
      <c r="A726" s="21"/>
      <c r="B726" s="21" t="s">
        <v>1679</v>
      </c>
      <c r="D726" s="25">
        <v>20.0</v>
      </c>
      <c r="E726" s="27"/>
      <c r="F726" s="25">
        <v>0.0</v>
      </c>
      <c r="G726" s="27"/>
    </row>
    <row r="727" hidden="1">
      <c r="A727" s="21"/>
      <c r="B727" s="21" t="s">
        <v>1680</v>
      </c>
      <c r="D727" s="25">
        <v>20.0</v>
      </c>
      <c r="E727" s="27"/>
      <c r="F727" s="25">
        <v>0.0</v>
      </c>
      <c r="G727" s="27"/>
    </row>
    <row r="728" hidden="1">
      <c r="A728" s="21"/>
      <c r="B728" s="21" t="s">
        <v>1681</v>
      </c>
      <c r="D728" s="25">
        <v>20.0</v>
      </c>
      <c r="E728" s="27"/>
      <c r="F728" s="25">
        <v>0.0</v>
      </c>
      <c r="G728" s="27"/>
    </row>
    <row r="729" hidden="1">
      <c r="A729" s="21"/>
      <c r="B729" s="21" t="s">
        <v>1682</v>
      </c>
      <c r="D729" s="25">
        <v>20.0</v>
      </c>
      <c r="E729" s="27"/>
      <c r="F729" s="25">
        <v>9.67</v>
      </c>
      <c r="G729" s="27"/>
    </row>
    <row r="730" hidden="1">
      <c r="A730" s="21"/>
      <c r="B730" s="21" t="s">
        <v>1683</v>
      </c>
      <c r="D730" s="25">
        <v>20.0</v>
      </c>
      <c r="E730" s="27"/>
      <c r="F730" s="25">
        <v>0.0</v>
      </c>
      <c r="G730" s="27"/>
    </row>
    <row r="731" hidden="1">
      <c r="A731" s="21"/>
      <c r="B731" s="21" t="s">
        <v>1684</v>
      </c>
      <c r="D731" s="25">
        <v>20.0</v>
      </c>
      <c r="E731" s="27"/>
      <c r="F731" s="25">
        <v>0.61</v>
      </c>
      <c r="G731" s="27"/>
    </row>
    <row r="732" hidden="1">
      <c r="A732" s="21"/>
      <c r="B732" s="21" t="s">
        <v>1685</v>
      </c>
      <c r="D732" s="25">
        <v>20.0</v>
      </c>
      <c r="E732" s="27"/>
      <c r="F732" s="25">
        <v>0.0</v>
      </c>
      <c r="G732" s="27"/>
    </row>
    <row r="733" hidden="1">
      <c r="A733" s="21"/>
      <c r="B733" s="21" t="s">
        <v>1686</v>
      </c>
      <c r="D733" s="25">
        <v>20.0</v>
      </c>
      <c r="E733" s="27"/>
      <c r="F733" s="25">
        <v>0.0</v>
      </c>
      <c r="G733" s="27"/>
    </row>
    <row r="734" hidden="1">
      <c r="A734" s="21"/>
      <c r="B734" s="21" t="s">
        <v>1687</v>
      </c>
      <c r="D734" s="25">
        <v>20.0</v>
      </c>
      <c r="E734" s="27"/>
      <c r="F734" s="25">
        <v>0.0</v>
      </c>
      <c r="G734" s="27"/>
    </row>
    <row r="735" hidden="1">
      <c r="A735" s="21"/>
      <c r="B735" s="21" t="s">
        <v>1688</v>
      </c>
      <c r="D735" s="25">
        <v>20.0</v>
      </c>
      <c r="E735" s="27"/>
      <c r="F735" s="25">
        <v>0.57</v>
      </c>
      <c r="G735" s="27"/>
    </row>
    <row r="736" hidden="1">
      <c r="A736" s="21"/>
      <c r="B736" s="21" t="s">
        <v>1689</v>
      </c>
      <c r="D736" s="25">
        <v>20.0</v>
      </c>
      <c r="E736" s="27"/>
      <c r="F736" s="25">
        <v>0.56</v>
      </c>
      <c r="G736" s="27"/>
    </row>
    <row r="737" hidden="1">
      <c r="A737" s="21"/>
      <c r="B737" s="21" t="s">
        <v>1690</v>
      </c>
      <c r="D737" s="25">
        <v>20.0</v>
      </c>
      <c r="E737" s="27"/>
      <c r="F737" s="25">
        <v>0.0</v>
      </c>
      <c r="G737" s="27"/>
    </row>
    <row r="738" hidden="1">
      <c r="A738" s="21"/>
      <c r="B738" s="21" t="s">
        <v>1691</v>
      </c>
      <c r="D738" s="25">
        <v>20.0</v>
      </c>
      <c r="E738" s="27"/>
      <c r="F738" s="25">
        <v>7.13</v>
      </c>
      <c r="G738" s="27"/>
    </row>
    <row r="739" hidden="1">
      <c r="A739" s="21"/>
      <c r="B739" s="21" t="s">
        <v>1692</v>
      </c>
      <c r="D739" s="25">
        <v>20.0</v>
      </c>
      <c r="E739" s="27"/>
      <c r="F739" s="25">
        <v>7.13</v>
      </c>
      <c r="G739" s="27"/>
    </row>
    <row r="740" hidden="1">
      <c r="A740" s="21"/>
      <c r="B740" s="21" t="s">
        <v>1693</v>
      </c>
      <c r="D740" s="25">
        <v>20.0</v>
      </c>
      <c r="E740" s="27"/>
      <c r="F740" s="25">
        <v>6.51</v>
      </c>
      <c r="G740" s="27"/>
    </row>
    <row r="741" hidden="1">
      <c r="A741" s="21"/>
      <c r="B741" s="21" t="s">
        <v>1694</v>
      </c>
      <c r="D741" s="25">
        <v>20.0</v>
      </c>
      <c r="E741" s="27"/>
      <c r="F741" s="25">
        <v>0.0</v>
      </c>
      <c r="G741" s="27"/>
    </row>
    <row r="742" hidden="1">
      <c r="A742" s="21"/>
      <c r="B742" s="21" t="s">
        <v>1695</v>
      </c>
      <c r="D742" s="25">
        <v>20.0</v>
      </c>
      <c r="E742" s="27"/>
      <c r="F742" s="25">
        <v>0.0</v>
      </c>
      <c r="G742" s="27"/>
    </row>
    <row r="743" hidden="1">
      <c r="A743" s="21"/>
      <c r="B743" s="21" t="s">
        <v>1696</v>
      </c>
      <c r="D743" s="25">
        <v>20.0</v>
      </c>
      <c r="E743" s="27"/>
      <c r="F743" s="25">
        <v>0.0</v>
      </c>
      <c r="G743" s="27"/>
    </row>
    <row r="744" hidden="1">
      <c r="A744" s="21"/>
      <c r="B744" s="21" t="s">
        <v>1697</v>
      </c>
      <c r="D744" s="25">
        <v>20.0</v>
      </c>
      <c r="E744" s="27"/>
      <c r="F744" s="25">
        <v>0.0</v>
      </c>
      <c r="G744" s="27"/>
    </row>
    <row r="745" hidden="1">
      <c r="A745" s="21"/>
      <c r="B745" s="21" t="s">
        <v>1698</v>
      </c>
      <c r="D745" s="25">
        <v>20.0</v>
      </c>
      <c r="E745" s="27"/>
      <c r="F745" s="25">
        <v>0.0</v>
      </c>
      <c r="G745" s="27"/>
    </row>
    <row r="746" hidden="1">
      <c r="A746" s="21"/>
      <c r="B746" s="21" t="s">
        <v>1699</v>
      </c>
      <c r="D746" s="25">
        <v>20.0</v>
      </c>
      <c r="E746" s="27"/>
      <c r="F746" s="25">
        <v>4.73</v>
      </c>
      <c r="G746" s="27"/>
    </row>
    <row r="747" hidden="1">
      <c r="A747" s="21"/>
      <c r="B747" s="21" t="s">
        <v>1700</v>
      </c>
      <c r="D747" s="25">
        <v>20.0</v>
      </c>
      <c r="E747" s="27"/>
      <c r="F747" s="25">
        <v>5.22</v>
      </c>
      <c r="G747" s="27"/>
    </row>
    <row r="748" hidden="1">
      <c r="A748" s="21"/>
      <c r="B748" s="21" t="s">
        <v>1701</v>
      </c>
      <c r="D748" s="25">
        <v>20.0</v>
      </c>
      <c r="E748" s="27"/>
      <c r="F748" s="25">
        <v>0.0</v>
      </c>
      <c r="G748" s="27"/>
    </row>
    <row r="749" hidden="1">
      <c r="A749" s="21"/>
      <c r="B749" s="21" t="s">
        <v>1702</v>
      </c>
      <c r="D749" s="25">
        <v>20.0</v>
      </c>
      <c r="E749" s="27"/>
      <c r="F749" s="25">
        <v>0.0</v>
      </c>
      <c r="G749" s="27"/>
    </row>
    <row r="750" hidden="1">
      <c r="A750" s="21"/>
      <c r="B750" s="21" t="s">
        <v>1703</v>
      </c>
      <c r="D750" s="25">
        <v>20.0</v>
      </c>
      <c r="E750" s="27"/>
      <c r="F750" s="25">
        <v>5.92</v>
      </c>
      <c r="G750" s="27"/>
    </row>
    <row r="751" hidden="1">
      <c r="A751" s="21"/>
      <c r="B751" s="21" t="s">
        <v>1704</v>
      </c>
      <c r="D751" s="25">
        <v>20.0</v>
      </c>
      <c r="E751" s="27"/>
      <c r="F751" s="25">
        <v>0.0</v>
      </c>
      <c r="G751" s="27"/>
    </row>
    <row r="752" hidden="1">
      <c r="A752" s="21"/>
      <c r="B752" s="21" t="s">
        <v>1705</v>
      </c>
      <c r="D752" s="25">
        <v>20.0</v>
      </c>
      <c r="E752" s="27"/>
      <c r="F752" s="25">
        <v>7.13</v>
      </c>
      <c r="G752" s="27"/>
    </row>
    <row r="753" hidden="1">
      <c r="A753" s="21"/>
      <c r="B753" s="21" t="s">
        <v>1706</v>
      </c>
      <c r="D753" s="25">
        <v>20.0</v>
      </c>
      <c r="E753" s="27"/>
      <c r="F753" s="25">
        <v>0.0</v>
      </c>
      <c r="G753" s="27"/>
    </row>
    <row r="754" hidden="1">
      <c r="A754" s="21"/>
      <c r="B754" s="21" t="s">
        <v>1707</v>
      </c>
      <c r="D754" s="25">
        <v>20.0</v>
      </c>
      <c r="E754" s="27"/>
      <c r="F754" s="25">
        <v>0.0</v>
      </c>
      <c r="G754" s="27"/>
    </row>
    <row r="755" hidden="1">
      <c r="A755" s="21"/>
      <c r="B755" s="21" t="s">
        <v>1708</v>
      </c>
      <c r="D755" s="25">
        <v>20.0</v>
      </c>
      <c r="E755" s="27"/>
      <c r="F755" s="25">
        <v>0.0</v>
      </c>
      <c r="G755" s="27"/>
    </row>
    <row r="756" hidden="1">
      <c r="A756" s="21"/>
      <c r="B756" s="21" t="s">
        <v>1709</v>
      </c>
      <c r="D756" s="25">
        <v>20.0</v>
      </c>
      <c r="E756" s="27"/>
      <c r="F756" s="25">
        <v>4.17</v>
      </c>
      <c r="G756" s="27"/>
    </row>
    <row r="757" hidden="1">
      <c r="A757" s="21"/>
      <c r="B757" s="21" t="s">
        <v>1710</v>
      </c>
      <c r="D757" s="25">
        <v>20.0</v>
      </c>
      <c r="E757" s="27"/>
      <c r="F757" s="25">
        <v>0.0</v>
      </c>
      <c r="G757" s="27"/>
    </row>
    <row r="758" hidden="1">
      <c r="A758" s="21"/>
      <c r="B758" s="21" t="s">
        <v>1711</v>
      </c>
      <c r="D758" s="25">
        <v>20.0</v>
      </c>
      <c r="E758" s="27"/>
      <c r="F758" s="25">
        <v>0.0</v>
      </c>
      <c r="G758" s="27"/>
    </row>
    <row r="759" hidden="1">
      <c r="A759" s="21"/>
      <c r="B759" s="21" t="s">
        <v>1712</v>
      </c>
      <c r="D759" s="25">
        <v>20.0</v>
      </c>
      <c r="E759" s="27"/>
      <c r="F759" s="25">
        <v>0.0</v>
      </c>
      <c r="G759" s="27"/>
    </row>
    <row r="760" hidden="1">
      <c r="A760" s="21"/>
      <c r="B760" s="21" t="s">
        <v>1713</v>
      </c>
      <c r="D760" s="25">
        <v>20.0</v>
      </c>
      <c r="E760" s="27"/>
      <c r="F760" s="25">
        <v>0.0</v>
      </c>
      <c r="G760" s="27"/>
    </row>
    <row r="761" hidden="1">
      <c r="A761" s="21"/>
      <c r="B761" s="21" t="s">
        <v>1714</v>
      </c>
      <c r="D761" s="25">
        <v>20.0</v>
      </c>
      <c r="E761" s="27"/>
      <c r="F761" s="25">
        <v>3.67</v>
      </c>
      <c r="G761" s="27"/>
    </row>
    <row r="762" hidden="1">
      <c r="A762" s="21"/>
      <c r="B762" s="21" t="s">
        <v>1715</v>
      </c>
      <c r="D762" s="25">
        <v>20.0</v>
      </c>
      <c r="E762" s="27"/>
      <c r="F762" s="25">
        <v>3.67</v>
      </c>
      <c r="G762" s="27"/>
    </row>
    <row r="763" hidden="1">
      <c r="A763" s="21"/>
      <c r="B763" s="21" t="s">
        <v>1716</v>
      </c>
      <c r="D763" s="25">
        <v>20.0</v>
      </c>
      <c r="E763" s="27"/>
      <c r="F763" s="25">
        <v>0.0</v>
      </c>
      <c r="G763" s="27"/>
    </row>
    <row r="764" hidden="1">
      <c r="A764" s="21"/>
      <c r="B764" s="21" t="s">
        <v>1717</v>
      </c>
      <c r="D764" s="25">
        <v>20.0</v>
      </c>
      <c r="E764" s="27"/>
      <c r="F764" s="25">
        <v>10.07</v>
      </c>
      <c r="G764" s="27"/>
    </row>
    <row r="765" hidden="1">
      <c r="A765" s="21"/>
      <c r="B765" s="21" t="s">
        <v>1718</v>
      </c>
      <c r="D765" s="25">
        <v>20.0</v>
      </c>
      <c r="E765" s="27"/>
      <c r="F765" s="25">
        <v>0.0</v>
      </c>
      <c r="G765" s="27"/>
    </row>
    <row r="766" hidden="1">
      <c r="A766" s="21"/>
      <c r="B766" s="21" t="s">
        <v>1719</v>
      </c>
      <c r="D766" s="25">
        <v>20.0</v>
      </c>
      <c r="E766" s="27"/>
      <c r="F766" s="25">
        <v>1.05</v>
      </c>
      <c r="G766" s="27"/>
    </row>
    <row r="767" hidden="1">
      <c r="A767" s="21"/>
      <c r="B767" s="21" t="s">
        <v>1720</v>
      </c>
      <c r="D767" s="25">
        <v>20.0</v>
      </c>
      <c r="E767" s="27"/>
      <c r="F767" s="25">
        <v>0.0</v>
      </c>
      <c r="G767" s="27"/>
    </row>
    <row r="768" hidden="1">
      <c r="A768" s="21"/>
      <c r="B768" s="21" t="s">
        <v>1721</v>
      </c>
      <c r="D768" s="25">
        <v>20.0</v>
      </c>
      <c r="E768" s="27"/>
      <c r="F768" s="25">
        <v>0.0</v>
      </c>
      <c r="G768" s="27"/>
    </row>
    <row r="769" hidden="1">
      <c r="A769" s="21"/>
      <c r="B769" s="21" t="s">
        <v>1722</v>
      </c>
      <c r="D769" s="25">
        <v>20.0</v>
      </c>
      <c r="E769" s="27"/>
      <c r="F769" s="25">
        <v>0.0</v>
      </c>
      <c r="G769" s="27"/>
    </row>
    <row r="770" hidden="1">
      <c r="A770" s="21"/>
      <c r="B770" s="21" t="s">
        <v>1723</v>
      </c>
      <c r="D770" s="25">
        <v>20.0</v>
      </c>
      <c r="E770" s="27"/>
      <c r="F770" s="25">
        <v>0.0</v>
      </c>
      <c r="G770" s="27"/>
    </row>
    <row r="771" hidden="1">
      <c r="A771" s="21"/>
      <c r="B771" s="21" t="s">
        <v>1724</v>
      </c>
      <c r="D771" s="25">
        <v>20.0</v>
      </c>
      <c r="E771" s="27"/>
      <c r="F771" s="25">
        <v>6.02</v>
      </c>
      <c r="G771" s="27"/>
    </row>
    <row r="772" hidden="1">
      <c r="A772" s="21"/>
      <c r="B772" s="21" t="s">
        <v>1725</v>
      </c>
      <c r="D772" s="25">
        <v>20.0</v>
      </c>
      <c r="E772" s="27"/>
      <c r="F772" s="25">
        <v>7.76</v>
      </c>
      <c r="G772" s="27"/>
    </row>
    <row r="773" hidden="1">
      <c r="A773" s="21"/>
      <c r="B773" s="21" t="s">
        <v>1726</v>
      </c>
      <c r="D773" s="25">
        <v>20.0</v>
      </c>
      <c r="E773" s="27"/>
      <c r="F773" s="25">
        <v>0.0</v>
      </c>
      <c r="G773" s="27"/>
    </row>
    <row r="774" hidden="1">
      <c r="A774" s="21"/>
      <c r="B774" s="21" t="s">
        <v>1727</v>
      </c>
      <c r="D774" s="25">
        <v>20.0</v>
      </c>
      <c r="E774" s="27"/>
      <c r="F774" s="25">
        <v>0.0</v>
      </c>
      <c r="G774" s="27"/>
    </row>
    <row r="775" hidden="1">
      <c r="A775" s="21"/>
      <c r="B775" s="21" t="s">
        <v>1728</v>
      </c>
      <c r="D775" s="25">
        <v>20.0</v>
      </c>
      <c r="E775" s="27"/>
      <c r="F775" s="25">
        <v>0.0</v>
      </c>
      <c r="G775" s="27"/>
    </row>
    <row r="776" hidden="1">
      <c r="A776" s="21"/>
      <c r="B776" s="21" t="s">
        <v>1729</v>
      </c>
      <c r="D776" s="25">
        <v>20.0</v>
      </c>
      <c r="E776" s="27"/>
      <c r="F776" s="25">
        <v>0.0</v>
      </c>
      <c r="G776" s="27"/>
    </row>
    <row r="777" hidden="1">
      <c r="A777" s="21"/>
      <c r="B777" s="21" t="s">
        <v>1730</v>
      </c>
      <c r="D777" s="25">
        <v>20.0</v>
      </c>
      <c r="E777" s="27"/>
      <c r="F777" s="25">
        <v>0.0</v>
      </c>
      <c r="G777" s="27"/>
    </row>
    <row r="778" hidden="1">
      <c r="A778" s="21"/>
      <c r="B778" s="21" t="s">
        <v>1731</v>
      </c>
      <c r="D778" s="25">
        <v>20.0</v>
      </c>
      <c r="E778" s="27"/>
      <c r="F778" s="25">
        <v>0.0</v>
      </c>
      <c r="G778" s="27"/>
    </row>
    <row r="779" hidden="1">
      <c r="A779" s="21"/>
      <c r="B779" s="21" t="s">
        <v>1732</v>
      </c>
      <c r="D779" s="25">
        <v>20.0</v>
      </c>
      <c r="E779" s="27"/>
      <c r="F779" s="25">
        <v>0.0</v>
      </c>
      <c r="G779" s="27"/>
    </row>
    <row r="780" hidden="1">
      <c r="A780" s="21"/>
      <c r="B780" s="21" t="s">
        <v>1733</v>
      </c>
      <c r="D780" s="25">
        <v>20.0</v>
      </c>
      <c r="E780" s="27"/>
      <c r="F780" s="25">
        <v>0.0</v>
      </c>
      <c r="G780" s="27"/>
    </row>
    <row r="781" hidden="1">
      <c r="A781" s="21"/>
      <c r="B781" s="21" t="s">
        <v>1734</v>
      </c>
      <c r="D781" s="25">
        <v>20.0</v>
      </c>
      <c r="E781" s="27"/>
      <c r="F781" s="25">
        <v>0.0</v>
      </c>
      <c r="G781" s="27"/>
    </row>
    <row r="782" hidden="1">
      <c r="A782" s="21"/>
      <c r="B782" s="21" t="s">
        <v>1735</v>
      </c>
      <c r="D782" s="25">
        <v>20.0</v>
      </c>
      <c r="E782" s="27"/>
      <c r="F782" s="25">
        <v>0.0</v>
      </c>
      <c r="G782" s="27"/>
    </row>
    <row r="783" hidden="1">
      <c r="A783" s="21"/>
      <c r="B783" s="21" t="s">
        <v>1736</v>
      </c>
      <c r="D783" s="25">
        <v>20.0</v>
      </c>
      <c r="E783" s="27"/>
      <c r="F783" s="25">
        <v>7.16</v>
      </c>
      <c r="G783" s="27"/>
    </row>
    <row r="784" hidden="1">
      <c r="A784" s="21"/>
      <c r="B784" s="21" t="s">
        <v>1737</v>
      </c>
      <c r="D784" s="25">
        <v>20.0</v>
      </c>
      <c r="E784" s="27"/>
      <c r="F784" s="25">
        <v>7.16</v>
      </c>
      <c r="G784" s="27"/>
    </row>
    <row r="785" hidden="1">
      <c r="A785" s="21"/>
      <c r="B785" s="21" t="s">
        <v>1738</v>
      </c>
      <c r="D785" s="25">
        <v>20.0</v>
      </c>
      <c r="E785" s="27"/>
      <c r="F785" s="25">
        <v>0.0</v>
      </c>
      <c r="G785" s="27"/>
    </row>
    <row r="786" hidden="1">
      <c r="A786" s="21"/>
      <c r="B786" s="21" t="s">
        <v>1739</v>
      </c>
      <c r="D786" s="25">
        <v>20.0</v>
      </c>
      <c r="E786" s="27"/>
      <c r="F786" s="25">
        <v>3.32</v>
      </c>
      <c r="G786" s="27"/>
    </row>
    <row r="787" hidden="1">
      <c r="A787" s="21"/>
      <c r="B787" s="21" t="s">
        <v>1740</v>
      </c>
      <c r="D787" s="25">
        <v>20.0</v>
      </c>
      <c r="E787" s="27"/>
      <c r="F787" s="25">
        <v>3.32</v>
      </c>
      <c r="G787" s="27"/>
    </row>
    <row r="788" hidden="1">
      <c r="A788" s="21"/>
      <c r="B788" s="21" t="s">
        <v>1741</v>
      </c>
      <c r="D788" s="25">
        <v>20.0</v>
      </c>
      <c r="E788" s="27"/>
      <c r="F788" s="25">
        <v>6.65</v>
      </c>
      <c r="G788" s="27"/>
    </row>
    <row r="789" hidden="1">
      <c r="A789" s="21"/>
      <c r="B789" s="21" t="s">
        <v>1742</v>
      </c>
      <c r="D789" s="25">
        <v>20.0</v>
      </c>
      <c r="E789" s="27"/>
      <c r="F789" s="25">
        <v>2.94</v>
      </c>
      <c r="G789" s="27"/>
    </row>
    <row r="790" hidden="1">
      <c r="A790" s="21"/>
      <c r="B790" s="21" t="s">
        <v>1743</v>
      </c>
      <c r="D790" s="25">
        <v>20.0</v>
      </c>
      <c r="E790" s="27"/>
      <c r="F790" s="25">
        <v>6.34</v>
      </c>
      <c r="G790" s="27"/>
    </row>
    <row r="791" hidden="1">
      <c r="A791" s="21"/>
      <c r="B791" s="21" t="s">
        <v>1744</v>
      </c>
      <c r="D791" s="25">
        <v>20.0</v>
      </c>
      <c r="E791" s="27"/>
      <c r="F791" s="25">
        <v>0.0</v>
      </c>
      <c r="G791" s="27"/>
    </row>
    <row r="792" hidden="1">
      <c r="A792" s="21"/>
      <c r="B792" s="21" t="s">
        <v>1745</v>
      </c>
      <c r="D792" s="25">
        <v>20.0</v>
      </c>
      <c r="E792" s="27"/>
      <c r="F792" s="25">
        <v>10.53</v>
      </c>
      <c r="G792" s="27"/>
    </row>
    <row r="793" hidden="1">
      <c r="A793" s="21"/>
      <c r="B793" s="21" t="s">
        <v>1746</v>
      </c>
      <c r="D793" s="25">
        <v>20.0</v>
      </c>
      <c r="E793" s="27"/>
      <c r="F793" s="25">
        <v>10.53</v>
      </c>
      <c r="G793" s="27"/>
    </row>
    <row r="794" hidden="1">
      <c r="A794" s="21"/>
      <c r="B794" s="21" t="s">
        <v>1747</v>
      </c>
      <c r="D794" s="25">
        <v>20.0</v>
      </c>
      <c r="E794" s="27"/>
      <c r="F794" s="25">
        <v>5.58</v>
      </c>
      <c r="G794" s="27"/>
    </row>
    <row r="795" hidden="1">
      <c r="A795" s="21"/>
      <c r="B795" s="21" t="s">
        <v>1748</v>
      </c>
      <c r="D795" s="25">
        <v>20.0</v>
      </c>
      <c r="E795" s="27"/>
      <c r="F795" s="25">
        <v>0.0</v>
      </c>
      <c r="G795" s="27"/>
    </row>
    <row r="796" hidden="1">
      <c r="A796" s="21"/>
      <c r="B796" s="21" t="s">
        <v>1749</v>
      </c>
      <c r="D796" s="25">
        <v>20.0</v>
      </c>
      <c r="E796" s="27"/>
      <c r="F796" s="25">
        <v>8.19</v>
      </c>
      <c r="G796" s="27"/>
    </row>
    <row r="797" hidden="1">
      <c r="A797" s="21"/>
      <c r="B797" s="21" t="s">
        <v>1750</v>
      </c>
      <c r="D797" s="25">
        <v>20.0</v>
      </c>
      <c r="E797" s="27"/>
      <c r="F797" s="25">
        <v>8.19</v>
      </c>
      <c r="G797" s="27"/>
    </row>
    <row r="798" hidden="1">
      <c r="A798" s="21"/>
      <c r="B798" s="21" t="s">
        <v>1751</v>
      </c>
      <c r="D798" s="25">
        <v>20.0</v>
      </c>
      <c r="E798" s="27"/>
      <c r="F798" s="25">
        <v>8.52</v>
      </c>
      <c r="G798" s="27"/>
    </row>
    <row r="799" hidden="1">
      <c r="A799" s="21"/>
      <c r="B799" s="21" t="s">
        <v>1752</v>
      </c>
      <c r="D799" s="25">
        <v>20.0</v>
      </c>
      <c r="E799" s="27"/>
      <c r="F799" s="25">
        <v>8.52</v>
      </c>
      <c r="G799" s="27"/>
    </row>
    <row r="800" hidden="1">
      <c r="A800" s="21"/>
      <c r="B800" s="21" t="s">
        <v>1753</v>
      </c>
      <c r="D800" s="25">
        <v>20.0</v>
      </c>
      <c r="E800" s="27"/>
      <c r="F800" s="25">
        <v>5.34</v>
      </c>
      <c r="G800" s="27"/>
    </row>
    <row r="801" hidden="1">
      <c r="A801" s="21"/>
      <c r="B801" s="21" t="s">
        <v>1754</v>
      </c>
      <c r="D801" s="25">
        <v>20.0</v>
      </c>
      <c r="E801" s="27"/>
      <c r="F801" s="25">
        <v>5.86</v>
      </c>
      <c r="G801" s="27"/>
    </row>
    <row r="802" hidden="1">
      <c r="A802" s="21"/>
      <c r="B802" s="21" t="s">
        <v>1755</v>
      </c>
      <c r="D802" s="25">
        <v>20.0</v>
      </c>
      <c r="E802" s="27"/>
      <c r="F802" s="25">
        <v>0.0</v>
      </c>
      <c r="G802" s="27"/>
    </row>
    <row r="803" hidden="1">
      <c r="A803" s="21"/>
      <c r="B803" s="21" t="s">
        <v>1756</v>
      </c>
      <c r="D803" s="25">
        <v>20.0</v>
      </c>
      <c r="E803" s="27"/>
      <c r="F803" s="25">
        <v>0.0</v>
      </c>
      <c r="G803" s="27"/>
    </row>
    <row r="804" hidden="1">
      <c r="A804" s="21"/>
      <c r="B804" s="21" t="s">
        <v>1757</v>
      </c>
      <c r="D804" s="25">
        <v>20.0</v>
      </c>
      <c r="E804" s="27"/>
      <c r="F804" s="25">
        <v>0.0</v>
      </c>
      <c r="G804" s="27"/>
    </row>
    <row r="805" hidden="1">
      <c r="A805" s="21"/>
      <c r="B805" s="21" t="s">
        <v>1758</v>
      </c>
      <c r="D805" s="25">
        <v>20.0</v>
      </c>
      <c r="E805" s="27"/>
      <c r="F805" s="25">
        <v>0.0</v>
      </c>
      <c r="G805" s="27"/>
    </row>
    <row r="806" hidden="1">
      <c r="A806" s="21"/>
      <c r="B806" s="21" t="s">
        <v>1759</v>
      </c>
      <c r="D806" s="25">
        <v>20.0</v>
      </c>
      <c r="E806" s="27"/>
      <c r="F806" s="25">
        <v>7.18</v>
      </c>
      <c r="G806" s="27"/>
    </row>
    <row r="807" hidden="1">
      <c r="A807" s="21"/>
      <c r="B807" s="21" t="s">
        <v>1760</v>
      </c>
      <c r="D807" s="25">
        <v>20.0</v>
      </c>
      <c r="E807" s="27"/>
      <c r="F807" s="25">
        <v>7.18</v>
      </c>
      <c r="G807" s="27"/>
    </row>
    <row r="808" hidden="1">
      <c r="A808" s="21"/>
      <c r="B808" s="21" t="s">
        <v>1761</v>
      </c>
      <c r="D808" s="25">
        <v>20.0</v>
      </c>
      <c r="E808" s="27"/>
      <c r="F808" s="25">
        <v>3.71</v>
      </c>
      <c r="G808" s="27"/>
    </row>
    <row r="809" hidden="1">
      <c r="A809" s="21"/>
      <c r="B809" s="21" t="s">
        <v>1762</v>
      </c>
      <c r="D809" s="25">
        <v>20.0</v>
      </c>
      <c r="E809" s="27"/>
      <c r="F809" s="25">
        <v>5.3</v>
      </c>
      <c r="G809" s="27"/>
    </row>
    <row r="810" hidden="1">
      <c r="A810" s="21"/>
      <c r="B810" s="21" t="s">
        <v>1763</v>
      </c>
      <c r="D810" s="25">
        <v>20.0</v>
      </c>
      <c r="E810" s="27"/>
      <c r="F810" s="25">
        <v>0.0</v>
      </c>
      <c r="G810" s="27"/>
    </row>
    <row r="811" hidden="1">
      <c r="A811" s="21"/>
      <c r="B811" s="21" t="s">
        <v>1764</v>
      </c>
      <c r="D811" s="25">
        <v>20.0</v>
      </c>
      <c r="E811" s="27"/>
      <c r="F811" s="25">
        <v>0.0</v>
      </c>
      <c r="G811" s="27"/>
    </row>
    <row r="812" hidden="1">
      <c r="A812" s="21"/>
      <c r="B812" s="21" t="s">
        <v>1765</v>
      </c>
      <c r="D812" s="25">
        <v>20.0</v>
      </c>
      <c r="E812" s="27"/>
      <c r="F812" s="25">
        <v>0.0</v>
      </c>
      <c r="G812" s="27"/>
    </row>
    <row r="813" hidden="1">
      <c r="A813" s="21"/>
      <c r="B813" s="21" t="s">
        <v>1766</v>
      </c>
      <c r="D813" s="25">
        <v>20.0</v>
      </c>
      <c r="E813" s="27"/>
      <c r="F813" s="25">
        <v>0.0</v>
      </c>
      <c r="G813" s="27"/>
    </row>
    <row r="814" hidden="1">
      <c r="A814" s="21"/>
      <c r="B814" s="21" t="s">
        <v>1767</v>
      </c>
      <c r="D814" s="25">
        <v>20.0</v>
      </c>
      <c r="E814" s="27"/>
      <c r="F814" s="25">
        <v>0.0</v>
      </c>
      <c r="G814" s="27"/>
    </row>
    <row r="815" hidden="1">
      <c r="A815" s="21"/>
      <c r="B815" s="21" t="s">
        <v>1768</v>
      </c>
      <c r="D815" s="25">
        <v>20.0</v>
      </c>
      <c r="E815" s="27"/>
      <c r="F815" s="25">
        <v>0.0</v>
      </c>
      <c r="G815" s="27"/>
    </row>
    <row r="816" hidden="1">
      <c r="A816" s="21"/>
      <c r="B816" s="21" t="s">
        <v>1769</v>
      </c>
      <c r="D816" s="25">
        <v>20.0</v>
      </c>
      <c r="E816" s="27"/>
      <c r="F816" s="25">
        <v>0.0</v>
      </c>
      <c r="G816" s="27"/>
    </row>
    <row r="817" hidden="1">
      <c r="A817" s="21"/>
      <c r="B817" s="21" t="s">
        <v>1770</v>
      </c>
      <c r="D817" s="25">
        <v>20.0</v>
      </c>
      <c r="E817" s="27"/>
      <c r="F817" s="25">
        <v>0.0</v>
      </c>
      <c r="G817" s="27"/>
    </row>
    <row r="818" hidden="1">
      <c r="A818" s="21"/>
      <c r="B818" s="21" t="s">
        <v>1771</v>
      </c>
      <c r="D818" s="25">
        <v>20.0</v>
      </c>
      <c r="E818" s="27"/>
      <c r="F818" s="25">
        <v>0.0</v>
      </c>
      <c r="G818" s="27"/>
    </row>
    <row r="819" hidden="1">
      <c r="A819" s="21"/>
      <c r="B819" s="21" t="s">
        <v>1772</v>
      </c>
      <c r="D819" s="25">
        <v>20.0</v>
      </c>
      <c r="E819" s="27"/>
      <c r="F819" s="25">
        <v>0.0</v>
      </c>
      <c r="G819" s="27"/>
    </row>
    <row r="820" hidden="1">
      <c r="A820" s="21"/>
      <c r="B820" s="21" t="s">
        <v>1773</v>
      </c>
      <c r="D820" s="25">
        <v>20.0</v>
      </c>
      <c r="E820" s="27"/>
      <c r="F820" s="25">
        <v>0.0</v>
      </c>
      <c r="G820" s="27"/>
    </row>
    <row r="821" hidden="1">
      <c r="A821" s="21"/>
      <c r="B821" s="21" t="s">
        <v>1774</v>
      </c>
      <c r="D821" s="25">
        <v>20.0</v>
      </c>
      <c r="E821" s="27"/>
      <c r="F821" s="25">
        <v>3.3</v>
      </c>
      <c r="G821" s="27"/>
    </row>
    <row r="822" hidden="1">
      <c r="A822" s="21"/>
      <c r="B822" s="21" t="s">
        <v>1775</v>
      </c>
      <c r="D822" s="25">
        <v>20.0</v>
      </c>
      <c r="E822" s="27"/>
      <c r="F822" s="25">
        <v>3.3</v>
      </c>
      <c r="G822" s="27"/>
    </row>
    <row r="823" hidden="1">
      <c r="A823" s="21"/>
      <c r="B823" s="21" t="s">
        <v>1776</v>
      </c>
      <c r="D823" s="25">
        <v>20.0</v>
      </c>
      <c r="E823" s="27"/>
      <c r="F823" s="25">
        <v>0.0</v>
      </c>
      <c r="G823" s="27"/>
    </row>
    <row r="824" hidden="1">
      <c r="A824" s="21"/>
      <c r="B824" s="21" t="s">
        <v>1777</v>
      </c>
      <c r="D824" s="25">
        <v>20.0</v>
      </c>
      <c r="E824" s="27"/>
      <c r="F824" s="25">
        <v>0.0</v>
      </c>
      <c r="G824" s="27"/>
    </row>
    <row r="825" hidden="1">
      <c r="A825" s="21"/>
      <c r="B825" s="21" t="s">
        <v>1778</v>
      </c>
      <c r="D825" s="25">
        <v>20.0</v>
      </c>
      <c r="E825" s="27"/>
      <c r="F825" s="25">
        <v>3.5</v>
      </c>
      <c r="G825" s="27"/>
    </row>
    <row r="826" hidden="1">
      <c r="A826" s="21"/>
      <c r="B826" s="21" t="s">
        <v>1779</v>
      </c>
      <c r="D826" s="25">
        <v>20.0</v>
      </c>
      <c r="E826" s="27"/>
      <c r="F826" s="25">
        <v>0.0</v>
      </c>
      <c r="G826" s="27"/>
    </row>
    <row r="827" hidden="1">
      <c r="A827" s="21"/>
      <c r="B827" s="21" t="s">
        <v>1780</v>
      </c>
      <c r="D827" s="25">
        <v>20.0</v>
      </c>
      <c r="E827" s="27"/>
      <c r="F827" s="25">
        <v>5.38</v>
      </c>
      <c r="G827" s="27"/>
    </row>
    <row r="828" hidden="1">
      <c r="A828" s="21"/>
      <c r="B828" s="21" t="s">
        <v>1781</v>
      </c>
      <c r="D828" s="25">
        <v>20.0</v>
      </c>
      <c r="E828" s="27"/>
      <c r="F828" s="25">
        <v>8.54</v>
      </c>
      <c r="G828" s="27"/>
    </row>
    <row r="829" hidden="1">
      <c r="A829" s="21"/>
      <c r="B829" s="21" t="s">
        <v>1782</v>
      </c>
      <c r="D829" s="25">
        <v>20.0</v>
      </c>
      <c r="E829" s="27"/>
      <c r="F829" s="25">
        <v>5.38</v>
      </c>
      <c r="G829" s="27"/>
    </row>
    <row r="830" hidden="1">
      <c r="A830" s="21"/>
      <c r="B830" s="21" t="s">
        <v>1783</v>
      </c>
      <c r="D830" s="25">
        <v>20.0</v>
      </c>
      <c r="E830" s="27"/>
      <c r="F830" s="25">
        <v>5.38</v>
      </c>
      <c r="G830" s="27"/>
    </row>
    <row r="831" hidden="1">
      <c r="A831" s="21"/>
      <c r="B831" s="21" t="s">
        <v>1784</v>
      </c>
      <c r="D831" s="25">
        <v>20.0</v>
      </c>
      <c r="E831" s="27"/>
      <c r="F831" s="25">
        <v>10.09</v>
      </c>
      <c r="G831" s="27"/>
    </row>
    <row r="832" hidden="1">
      <c r="A832" s="21"/>
      <c r="B832" s="21" t="s">
        <v>1785</v>
      </c>
      <c r="D832" s="25">
        <v>20.0</v>
      </c>
      <c r="E832" s="27"/>
      <c r="F832" s="25">
        <v>10.09</v>
      </c>
      <c r="G832" s="27"/>
    </row>
    <row r="833" hidden="1">
      <c r="A833" s="21"/>
      <c r="B833" s="21" t="s">
        <v>1786</v>
      </c>
      <c r="D833" s="25">
        <v>20.0</v>
      </c>
      <c r="E833" s="27"/>
      <c r="F833" s="25">
        <v>0.0</v>
      </c>
      <c r="G833" s="27"/>
    </row>
    <row r="834" hidden="1">
      <c r="A834" s="21"/>
      <c r="B834" s="21" t="s">
        <v>1787</v>
      </c>
      <c r="D834" s="25">
        <v>20.0</v>
      </c>
      <c r="E834" s="27"/>
      <c r="F834" s="25">
        <v>8.05</v>
      </c>
      <c r="G834" s="27"/>
    </row>
    <row r="835" hidden="1">
      <c r="A835" s="21"/>
      <c r="B835" s="21" t="s">
        <v>1788</v>
      </c>
      <c r="D835" s="25">
        <v>20.0</v>
      </c>
      <c r="E835" s="27"/>
      <c r="F835" s="25">
        <v>8.05</v>
      </c>
      <c r="G835" s="27"/>
    </row>
    <row r="836" hidden="1">
      <c r="A836" s="21"/>
      <c r="B836" s="21" t="s">
        <v>1789</v>
      </c>
      <c r="D836" s="25">
        <v>20.0</v>
      </c>
      <c r="E836" s="27"/>
      <c r="F836" s="25">
        <v>0.0</v>
      </c>
      <c r="G836" s="27"/>
    </row>
    <row r="837" hidden="1">
      <c r="A837" s="21"/>
      <c r="B837" s="21" t="s">
        <v>1790</v>
      </c>
      <c r="D837" s="25">
        <v>20.0</v>
      </c>
      <c r="E837" s="27"/>
      <c r="F837" s="25">
        <v>8.7</v>
      </c>
      <c r="G837" s="27"/>
    </row>
    <row r="838" hidden="1">
      <c r="A838" s="21"/>
      <c r="B838" s="21" t="s">
        <v>1791</v>
      </c>
      <c r="D838" s="25">
        <v>20.0</v>
      </c>
      <c r="E838" s="27"/>
      <c r="F838" s="25">
        <v>8.7</v>
      </c>
      <c r="G838" s="27"/>
    </row>
    <row r="839" hidden="1">
      <c r="A839" s="21"/>
      <c r="B839" s="21" t="s">
        <v>1792</v>
      </c>
      <c r="D839" s="25">
        <v>20.0</v>
      </c>
      <c r="E839" s="27"/>
      <c r="F839" s="25">
        <v>3.65</v>
      </c>
      <c r="G839" s="27"/>
    </row>
    <row r="840" hidden="1">
      <c r="A840" s="21"/>
      <c r="B840" s="21" t="s">
        <v>1793</v>
      </c>
      <c r="D840" s="25">
        <v>20.0</v>
      </c>
      <c r="E840" s="27"/>
      <c r="F840" s="25">
        <v>0.0</v>
      </c>
      <c r="G840" s="27"/>
    </row>
    <row r="841" hidden="1">
      <c r="A841" s="21"/>
      <c r="B841" s="21" t="s">
        <v>1794</v>
      </c>
      <c r="D841" s="25">
        <v>20.0</v>
      </c>
      <c r="E841" s="27"/>
      <c r="F841" s="25">
        <v>0.0</v>
      </c>
      <c r="G841" s="27"/>
    </row>
    <row r="842" hidden="1">
      <c r="A842" s="21"/>
      <c r="B842" s="21" t="s">
        <v>1795</v>
      </c>
      <c r="D842" s="25">
        <v>20.0</v>
      </c>
      <c r="E842" s="27"/>
      <c r="F842" s="25">
        <v>0.0</v>
      </c>
      <c r="G842" s="27"/>
    </row>
    <row r="843" hidden="1">
      <c r="A843" s="21"/>
      <c r="B843" s="21" t="s">
        <v>1796</v>
      </c>
      <c r="D843" s="25">
        <v>20.0</v>
      </c>
      <c r="E843" s="27"/>
      <c r="F843" s="25">
        <v>0.0</v>
      </c>
      <c r="G843" s="27"/>
    </row>
    <row r="844" hidden="1">
      <c r="A844" s="21"/>
      <c r="B844" s="21" t="s">
        <v>1797</v>
      </c>
      <c r="D844" s="25">
        <v>20.0</v>
      </c>
      <c r="E844" s="27"/>
      <c r="F844" s="25">
        <v>0.0</v>
      </c>
      <c r="G844" s="27"/>
    </row>
    <row r="845" hidden="1">
      <c r="A845" s="21"/>
      <c r="B845" s="21" t="s">
        <v>1798</v>
      </c>
      <c r="D845" s="25">
        <v>20.0</v>
      </c>
      <c r="E845" s="27"/>
      <c r="F845" s="25">
        <v>0.0</v>
      </c>
      <c r="G845" s="27"/>
    </row>
    <row r="846" hidden="1">
      <c r="A846" s="21"/>
      <c r="B846" s="21" t="s">
        <v>1799</v>
      </c>
      <c r="D846" s="25">
        <v>20.0</v>
      </c>
      <c r="E846" s="27"/>
      <c r="F846" s="25">
        <v>0.0</v>
      </c>
      <c r="G846" s="27"/>
    </row>
    <row r="847" hidden="1">
      <c r="A847" s="21"/>
      <c r="B847" s="21" t="s">
        <v>1800</v>
      </c>
      <c r="D847" s="25">
        <v>20.0</v>
      </c>
      <c r="E847" s="27"/>
      <c r="F847" s="25">
        <v>0.0</v>
      </c>
      <c r="G847" s="27"/>
    </row>
    <row r="848" hidden="1">
      <c r="A848" s="21"/>
      <c r="B848" s="21" t="s">
        <v>1801</v>
      </c>
      <c r="D848" s="25">
        <v>20.0</v>
      </c>
      <c r="E848" s="27"/>
      <c r="F848" s="25">
        <v>0.0</v>
      </c>
      <c r="G848" s="27"/>
    </row>
    <row r="849" hidden="1">
      <c r="A849" s="21"/>
      <c r="B849" s="21" t="s">
        <v>1802</v>
      </c>
      <c r="D849" s="25">
        <v>20.0</v>
      </c>
      <c r="E849" s="27"/>
      <c r="F849" s="25">
        <v>0.0</v>
      </c>
      <c r="G849" s="27"/>
    </row>
    <row r="850" hidden="1">
      <c r="A850" s="21"/>
      <c r="B850" s="21" t="s">
        <v>1803</v>
      </c>
      <c r="D850" s="25">
        <v>20.0</v>
      </c>
      <c r="E850" s="27"/>
      <c r="F850" s="25">
        <v>0.0</v>
      </c>
      <c r="G850" s="27"/>
    </row>
    <row r="851" hidden="1">
      <c r="A851" s="21"/>
      <c r="B851" s="21" t="s">
        <v>1804</v>
      </c>
      <c r="D851" s="25">
        <v>20.0</v>
      </c>
      <c r="E851" s="27"/>
      <c r="F851" s="25">
        <v>7.75</v>
      </c>
      <c r="G851" s="27"/>
    </row>
    <row r="852" hidden="1">
      <c r="A852" s="21"/>
      <c r="B852" s="21" t="s">
        <v>1805</v>
      </c>
      <c r="D852" s="25">
        <v>20.0</v>
      </c>
      <c r="E852" s="27"/>
      <c r="F852" s="25">
        <v>7.75</v>
      </c>
      <c r="G852" s="27"/>
    </row>
    <row r="853" hidden="1">
      <c r="A853" s="21"/>
      <c r="B853" s="21" t="s">
        <v>1806</v>
      </c>
      <c r="D853" s="25">
        <v>20.0</v>
      </c>
      <c r="E853" s="27"/>
      <c r="F853" s="25">
        <v>0.0</v>
      </c>
      <c r="G853" s="27"/>
    </row>
    <row r="854" hidden="1">
      <c r="A854" s="21"/>
      <c r="B854" s="21" t="s">
        <v>1807</v>
      </c>
      <c r="D854" s="25">
        <v>20.0</v>
      </c>
      <c r="E854" s="27"/>
      <c r="F854" s="25">
        <v>0.64</v>
      </c>
      <c r="G854" s="27"/>
    </row>
    <row r="855" hidden="1">
      <c r="A855" s="21"/>
      <c r="B855" s="21" t="s">
        <v>1808</v>
      </c>
      <c r="D855" s="25">
        <v>20.0</v>
      </c>
      <c r="E855" s="27"/>
      <c r="F855" s="25">
        <v>0.85</v>
      </c>
      <c r="G855" s="27"/>
    </row>
    <row r="856" hidden="1">
      <c r="A856" s="21"/>
      <c r="B856" s="21" t="s">
        <v>1809</v>
      </c>
      <c r="D856" s="25">
        <v>20.0</v>
      </c>
      <c r="E856" s="27"/>
      <c r="F856" s="25">
        <v>0.0</v>
      </c>
      <c r="G856" s="27"/>
    </row>
    <row r="857" hidden="1">
      <c r="A857" s="21"/>
      <c r="B857" s="21" t="s">
        <v>1810</v>
      </c>
      <c r="D857" s="25">
        <v>20.0</v>
      </c>
      <c r="E857" s="27"/>
      <c r="F857" s="25">
        <v>0.0</v>
      </c>
      <c r="G857" s="27"/>
    </row>
    <row r="858" hidden="1">
      <c r="A858" s="21"/>
      <c r="B858" s="21" t="s">
        <v>1811</v>
      </c>
      <c r="D858" s="25">
        <v>20.0</v>
      </c>
      <c r="E858" s="27"/>
      <c r="F858" s="25">
        <v>17.13</v>
      </c>
      <c r="G858" s="27"/>
    </row>
    <row r="859" hidden="1">
      <c r="A859" s="21"/>
      <c r="B859" s="21" t="s">
        <v>1812</v>
      </c>
      <c r="D859" s="25">
        <v>20.0</v>
      </c>
      <c r="E859" s="27"/>
      <c r="F859" s="25">
        <v>0.0</v>
      </c>
      <c r="G859" s="27"/>
    </row>
    <row r="860" hidden="1">
      <c r="A860" s="21"/>
      <c r="B860" s="21" t="s">
        <v>1813</v>
      </c>
      <c r="D860" s="25">
        <v>20.0</v>
      </c>
      <c r="E860" s="27"/>
      <c r="F860" s="25">
        <v>0.0</v>
      </c>
      <c r="G860" s="27"/>
    </row>
    <row r="861" hidden="1">
      <c r="A861" s="21"/>
      <c r="B861" s="21" t="s">
        <v>1814</v>
      </c>
      <c r="D861" s="25">
        <v>20.0</v>
      </c>
      <c r="E861" s="27"/>
      <c r="F861" s="25">
        <v>7.07</v>
      </c>
      <c r="G861" s="27"/>
    </row>
    <row r="862" hidden="1">
      <c r="A862" s="21"/>
      <c r="B862" s="21" t="s">
        <v>1815</v>
      </c>
      <c r="D862" s="25">
        <v>20.0</v>
      </c>
      <c r="E862" s="27"/>
      <c r="F862" s="25">
        <v>7.07</v>
      </c>
      <c r="G862" s="27"/>
    </row>
    <row r="863" hidden="1">
      <c r="A863" s="21"/>
      <c r="B863" s="21" t="s">
        <v>1816</v>
      </c>
      <c r="D863" s="25">
        <v>20.0</v>
      </c>
      <c r="E863" s="27"/>
      <c r="F863" s="25">
        <v>0.0</v>
      </c>
      <c r="G863" s="27"/>
    </row>
    <row r="864" hidden="1">
      <c r="A864" s="21"/>
      <c r="B864" s="21" t="s">
        <v>1817</v>
      </c>
      <c r="D864" s="25">
        <v>20.0</v>
      </c>
      <c r="E864" s="27"/>
      <c r="F864" s="25">
        <v>0.0</v>
      </c>
      <c r="G864" s="27"/>
    </row>
    <row r="865" hidden="1">
      <c r="A865" s="21"/>
      <c r="B865" s="21" t="s">
        <v>1818</v>
      </c>
      <c r="D865" s="25">
        <v>20.0</v>
      </c>
      <c r="E865" s="27"/>
      <c r="F865" s="25">
        <v>0.0</v>
      </c>
      <c r="G865" s="27"/>
    </row>
    <row r="866" hidden="1">
      <c r="A866" s="21"/>
      <c r="B866" s="21" t="s">
        <v>1819</v>
      </c>
      <c r="D866" s="25">
        <v>20.0</v>
      </c>
      <c r="E866" s="27"/>
      <c r="F866" s="25">
        <v>8.53</v>
      </c>
      <c r="G866" s="27"/>
    </row>
    <row r="867" hidden="1">
      <c r="A867" s="21"/>
      <c r="B867" s="21" t="s">
        <v>1820</v>
      </c>
      <c r="D867" s="25">
        <v>20.0</v>
      </c>
      <c r="E867" s="27"/>
      <c r="F867" s="25">
        <v>5.45</v>
      </c>
      <c r="G867" s="27"/>
    </row>
    <row r="868" hidden="1">
      <c r="A868" s="21"/>
      <c r="B868" s="21" t="s">
        <v>1821</v>
      </c>
      <c r="D868" s="25">
        <v>20.0</v>
      </c>
      <c r="E868" s="27"/>
      <c r="F868" s="25">
        <v>7.28</v>
      </c>
      <c r="G868" s="27"/>
    </row>
    <row r="869" hidden="1">
      <c r="A869" s="21"/>
      <c r="B869" s="21" t="s">
        <v>1822</v>
      </c>
      <c r="D869" s="25">
        <v>20.0</v>
      </c>
      <c r="E869" s="27"/>
      <c r="F869" s="25">
        <v>4.4</v>
      </c>
      <c r="G869" s="27"/>
    </row>
    <row r="870" hidden="1">
      <c r="A870" s="21"/>
      <c r="B870" s="21" t="s">
        <v>1823</v>
      </c>
      <c r="D870" s="25">
        <v>20.0</v>
      </c>
      <c r="E870" s="27"/>
      <c r="F870" s="25">
        <v>4.4</v>
      </c>
      <c r="G870" s="27"/>
    </row>
    <row r="871" hidden="1">
      <c r="A871" s="21"/>
      <c r="B871" s="21" t="s">
        <v>1824</v>
      </c>
      <c r="D871" s="25">
        <v>20.0</v>
      </c>
      <c r="E871" s="27"/>
      <c r="F871" s="25">
        <v>0.0</v>
      </c>
      <c r="G871" s="27"/>
    </row>
    <row r="872" hidden="1">
      <c r="A872" s="21"/>
      <c r="B872" s="21" t="s">
        <v>1825</v>
      </c>
      <c r="D872" s="25">
        <v>20.0</v>
      </c>
      <c r="E872" s="27"/>
      <c r="F872" s="25">
        <v>0.0</v>
      </c>
      <c r="G872" s="27"/>
    </row>
    <row r="873" hidden="1">
      <c r="A873" s="21"/>
      <c r="B873" s="21" t="s">
        <v>1826</v>
      </c>
      <c r="D873" s="25">
        <v>20.0</v>
      </c>
      <c r="E873" s="27"/>
      <c r="F873" s="25">
        <v>2.93</v>
      </c>
      <c r="G873" s="27"/>
    </row>
    <row r="874" hidden="1">
      <c r="A874" s="21"/>
      <c r="B874" s="21" t="s">
        <v>1827</v>
      </c>
      <c r="D874" s="25">
        <v>20.0</v>
      </c>
      <c r="E874" s="27"/>
      <c r="F874" s="25">
        <v>1.99</v>
      </c>
      <c r="G874" s="27"/>
    </row>
    <row r="875" hidden="1">
      <c r="A875" s="21"/>
      <c r="B875" s="21" t="s">
        <v>1828</v>
      </c>
      <c r="D875" s="25">
        <v>20.0</v>
      </c>
      <c r="E875" s="27"/>
      <c r="F875" s="25">
        <v>0.0</v>
      </c>
      <c r="G875" s="27"/>
    </row>
    <row r="876" hidden="1">
      <c r="A876" s="21"/>
      <c r="B876" s="21" t="s">
        <v>1829</v>
      </c>
      <c r="D876" s="25">
        <v>20.0</v>
      </c>
      <c r="E876" s="27"/>
      <c r="F876" s="25">
        <v>0.0</v>
      </c>
      <c r="G876" s="27"/>
    </row>
    <row r="877" hidden="1">
      <c r="A877" s="21"/>
      <c r="B877" s="21" t="s">
        <v>1830</v>
      </c>
      <c r="D877" s="25">
        <v>20.0</v>
      </c>
      <c r="E877" s="27"/>
      <c r="F877" s="25">
        <v>2.52</v>
      </c>
      <c r="G877" s="27"/>
    </row>
    <row r="878" hidden="1">
      <c r="A878" s="21"/>
      <c r="B878" s="21" t="s">
        <v>1831</v>
      </c>
      <c r="D878" s="25">
        <v>20.0</v>
      </c>
      <c r="E878" s="27"/>
      <c r="F878" s="25">
        <v>0.0</v>
      </c>
      <c r="G878" s="27"/>
    </row>
    <row r="879" hidden="1">
      <c r="A879" s="21"/>
      <c r="B879" s="21" t="s">
        <v>1832</v>
      </c>
      <c r="D879" s="25">
        <v>20.0</v>
      </c>
      <c r="E879" s="27"/>
      <c r="F879" s="25">
        <v>5.19</v>
      </c>
      <c r="G879" s="27"/>
    </row>
    <row r="880" hidden="1">
      <c r="A880" s="21"/>
      <c r="B880" s="21" t="s">
        <v>1833</v>
      </c>
      <c r="D880" s="25">
        <v>20.0</v>
      </c>
      <c r="E880" s="27"/>
      <c r="F880" s="25">
        <v>0.0</v>
      </c>
      <c r="G880" s="27"/>
    </row>
    <row r="881" hidden="1">
      <c r="A881" s="21"/>
      <c r="B881" s="21" t="s">
        <v>1834</v>
      </c>
      <c r="D881" s="25">
        <v>20.0</v>
      </c>
      <c r="E881" s="27"/>
      <c r="F881" s="25">
        <v>0.0</v>
      </c>
      <c r="G881" s="27"/>
    </row>
    <row r="882" hidden="1">
      <c r="A882" s="21"/>
      <c r="B882" s="21" t="s">
        <v>1835</v>
      </c>
      <c r="D882" s="25">
        <v>20.0</v>
      </c>
      <c r="E882" s="27"/>
      <c r="F882" s="25">
        <v>0.0</v>
      </c>
      <c r="G882" s="27"/>
    </row>
    <row r="883" hidden="1">
      <c r="A883" s="21"/>
      <c r="B883" s="21" t="s">
        <v>1836</v>
      </c>
      <c r="D883" s="25">
        <v>20.0</v>
      </c>
      <c r="E883" s="27"/>
      <c r="F883" s="25">
        <v>9.88</v>
      </c>
      <c r="G883" s="27"/>
    </row>
    <row r="884" hidden="1">
      <c r="A884" s="21"/>
      <c r="B884" s="21" t="s">
        <v>1837</v>
      </c>
      <c r="D884" s="25">
        <v>20.0</v>
      </c>
      <c r="E884" s="27"/>
      <c r="F884" s="25">
        <v>0.0</v>
      </c>
      <c r="G884" s="27"/>
    </row>
    <row r="885" hidden="1">
      <c r="A885" s="21"/>
      <c r="B885" s="21" t="s">
        <v>1838</v>
      </c>
      <c r="D885" s="25">
        <v>20.0</v>
      </c>
      <c r="E885" s="27"/>
      <c r="F885" s="25">
        <v>0.0</v>
      </c>
      <c r="G885" s="27"/>
    </row>
    <row r="886" hidden="1">
      <c r="A886" s="21"/>
      <c r="B886" s="21" t="s">
        <v>1839</v>
      </c>
      <c r="D886" s="25">
        <v>20.0</v>
      </c>
      <c r="E886" s="27"/>
      <c r="F886" s="25">
        <v>0.0</v>
      </c>
      <c r="G886" s="27"/>
    </row>
    <row r="887" hidden="1">
      <c r="A887" s="21"/>
      <c r="B887" s="21" t="s">
        <v>1840</v>
      </c>
      <c r="D887" s="25">
        <v>20.0</v>
      </c>
      <c r="E887" s="27"/>
      <c r="F887" s="25">
        <v>0.0</v>
      </c>
      <c r="G887" s="27"/>
    </row>
    <row r="888" hidden="1">
      <c r="A888" s="21"/>
      <c r="B888" s="21" t="s">
        <v>1841</v>
      </c>
      <c r="D888" s="25">
        <v>20.0</v>
      </c>
      <c r="E888" s="27"/>
      <c r="F888" s="25">
        <v>4.66</v>
      </c>
      <c r="G888" s="27"/>
    </row>
    <row r="889" hidden="1">
      <c r="A889" s="21"/>
      <c r="B889" s="21" t="s">
        <v>1842</v>
      </c>
      <c r="D889" s="25">
        <v>20.0</v>
      </c>
      <c r="E889" s="27"/>
      <c r="F889" s="25">
        <v>0.0</v>
      </c>
      <c r="G889" s="27"/>
    </row>
    <row r="890" hidden="1">
      <c r="A890" s="21"/>
      <c r="B890" s="21" t="s">
        <v>1843</v>
      </c>
      <c r="D890" s="25">
        <v>20.0</v>
      </c>
      <c r="E890" s="27"/>
      <c r="F890" s="25">
        <v>0.0</v>
      </c>
      <c r="G890" s="27"/>
    </row>
    <row r="891" hidden="1">
      <c r="A891" s="21"/>
      <c r="B891" s="21" t="s">
        <v>1844</v>
      </c>
      <c r="D891" s="25">
        <v>20.0</v>
      </c>
      <c r="E891" s="27"/>
      <c r="F891" s="25">
        <v>10.84</v>
      </c>
      <c r="G891" s="27"/>
    </row>
    <row r="892" hidden="1">
      <c r="A892" s="21"/>
      <c r="B892" s="21" t="s">
        <v>1845</v>
      </c>
      <c r="D892" s="25">
        <v>20.0</v>
      </c>
      <c r="E892" s="27"/>
      <c r="F892" s="25">
        <v>0.0</v>
      </c>
      <c r="G892" s="27"/>
    </row>
    <row r="893" hidden="1">
      <c r="A893" s="21"/>
      <c r="B893" s="21" t="s">
        <v>1846</v>
      </c>
      <c r="D893" s="25">
        <v>20.0</v>
      </c>
      <c r="E893" s="27"/>
      <c r="F893" s="25">
        <v>0.0</v>
      </c>
      <c r="G893" s="27"/>
    </row>
    <row r="894" hidden="1">
      <c r="A894" s="21"/>
      <c r="B894" s="21" t="s">
        <v>1847</v>
      </c>
      <c r="D894" s="25">
        <v>20.0</v>
      </c>
      <c r="E894" s="27"/>
      <c r="F894" s="25">
        <v>5.41</v>
      </c>
      <c r="G894" s="27"/>
    </row>
    <row r="895" hidden="1">
      <c r="A895" s="21"/>
      <c r="B895" s="21" t="s">
        <v>1848</v>
      </c>
      <c r="D895" s="25">
        <v>20.0</v>
      </c>
      <c r="E895" s="27"/>
      <c r="F895" s="25">
        <v>13.17</v>
      </c>
      <c r="G895" s="27"/>
    </row>
    <row r="896" hidden="1">
      <c r="A896" s="21"/>
      <c r="B896" s="21" t="s">
        <v>1849</v>
      </c>
      <c r="D896" s="25">
        <v>20.0</v>
      </c>
      <c r="E896" s="27"/>
      <c r="F896" s="25">
        <v>13.17</v>
      </c>
      <c r="G896" s="27"/>
    </row>
    <row r="897" hidden="1">
      <c r="A897" s="21"/>
      <c r="B897" s="21" t="s">
        <v>1850</v>
      </c>
      <c r="D897" s="25">
        <v>20.0</v>
      </c>
      <c r="E897" s="27"/>
      <c r="F897" s="25">
        <v>3.41</v>
      </c>
      <c r="G897" s="27"/>
    </row>
    <row r="898" hidden="1">
      <c r="A898" s="21"/>
      <c r="B898" s="21" t="s">
        <v>1851</v>
      </c>
      <c r="D898" s="25">
        <v>20.0</v>
      </c>
      <c r="E898" s="27"/>
      <c r="F898" s="25">
        <v>0.0</v>
      </c>
      <c r="G898" s="27"/>
    </row>
    <row r="899" hidden="1">
      <c r="A899" s="21"/>
      <c r="B899" s="21" t="s">
        <v>1852</v>
      </c>
      <c r="D899" s="25">
        <v>20.0</v>
      </c>
      <c r="E899" s="27"/>
      <c r="F899" s="25">
        <v>0.0</v>
      </c>
      <c r="G899" s="27"/>
    </row>
    <row r="900" hidden="1">
      <c r="A900" s="21"/>
      <c r="B900" s="21" t="s">
        <v>1853</v>
      </c>
      <c r="D900" s="25">
        <v>20.0</v>
      </c>
      <c r="E900" s="27"/>
      <c r="F900" s="25">
        <v>0.0</v>
      </c>
      <c r="G900" s="27"/>
    </row>
    <row r="901" hidden="1">
      <c r="A901" s="21"/>
      <c r="B901" s="21" t="s">
        <v>1854</v>
      </c>
      <c r="D901" s="25">
        <v>20.0</v>
      </c>
      <c r="E901" s="27"/>
      <c r="F901" s="25">
        <v>0.0</v>
      </c>
      <c r="G901" s="27"/>
    </row>
    <row r="902" hidden="1">
      <c r="A902" s="21"/>
      <c r="B902" s="21" t="s">
        <v>1855</v>
      </c>
      <c r="D902" s="25">
        <v>20.0</v>
      </c>
      <c r="E902" s="27"/>
      <c r="F902" s="25">
        <v>5.48</v>
      </c>
      <c r="G902" s="27"/>
    </row>
    <row r="903" hidden="1">
      <c r="A903" s="21"/>
      <c r="B903" s="21" t="s">
        <v>1856</v>
      </c>
      <c r="D903" s="25">
        <v>20.0</v>
      </c>
      <c r="E903" s="27"/>
      <c r="F903" s="25">
        <v>0.0</v>
      </c>
      <c r="G903" s="27"/>
    </row>
    <row r="904" hidden="1">
      <c r="A904" s="21"/>
      <c r="B904" s="21" t="s">
        <v>1857</v>
      </c>
      <c r="D904" s="25">
        <v>20.0</v>
      </c>
      <c r="E904" s="27"/>
      <c r="F904" s="25">
        <v>0.0</v>
      </c>
      <c r="G904" s="27"/>
    </row>
    <row r="905" hidden="1">
      <c r="A905" s="21"/>
      <c r="B905" s="21" t="s">
        <v>1858</v>
      </c>
      <c r="D905" s="25">
        <v>20.0</v>
      </c>
      <c r="E905" s="27"/>
      <c r="F905" s="25">
        <v>0.0</v>
      </c>
      <c r="G905" s="27"/>
    </row>
    <row r="906" hidden="1">
      <c r="A906" s="21"/>
      <c r="B906" s="21" t="s">
        <v>1859</v>
      </c>
      <c r="D906" s="25">
        <v>20.0</v>
      </c>
      <c r="E906" s="27"/>
      <c r="F906" s="25">
        <v>3.2</v>
      </c>
      <c r="G906" s="27"/>
    </row>
    <row r="907" hidden="1">
      <c r="A907" s="21"/>
      <c r="B907" s="21" t="s">
        <v>1860</v>
      </c>
      <c r="D907" s="25">
        <v>20.0</v>
      </c>
      <c r="E907" s="27"/>
      <c r="F907" s="25">
        <v>5.59</v>
      </c>
      <c r="G907" s="27"/>
    </row>
    <row r="908" hidden="1">
      <c r="A908" s="21"/>
      <c r="B908" s="21" t="s">
        <v>1861</v>
      </c>
      <c r="D908" s="25">
        <v>20.0</v>
      </c>
      <c r="E908" s="27"/>
      <c r="F908" s="25">
        <v>0.0</v>
      </c>
      <c r="G908" s="27"/>
    </row>
    <row r="909" hidden="1">
      <c r="A909" s="21"/>
      <c r="B909" s="21" t="s">
        <v>1862</v>
      </c>
      <c r="D909" s="25">
        <v>20.0</v>
      </c>
      <c r="E909" s="27"/>
      <c r="F909" s="25">
        <v>4.64</v>
      </c>
      <c r="G909" s="27"/>
    </row>
    <row r="910" hidden="1">
      <c r="A910" s="21"/>
      <c r="B910" s="21" t="s">
        <v>1863</v>
      </c>
      <c r="D910" s="25">
        <v>20.0</v>
      </c>
      <c r="E910" s="27"/>
      <c r="F910" s="25">
        <v>0.0</v>
      </c>
      <c r="G910" s="27"/>
    </row>
    <row r="911" hidden="1">
      <c r="A911" s="21"/>
      <c r="B911" s="21" t="s">
        <v>1864</v>
      </c>
      <c r="D911" s="25">
        <v>20.0</v>
      </c>
      <c r="E911" s="27"/>
      <c r="F911" s="25">
        <v>0.0</v>
      </c>
      <c r="G911" s="27"/>
    </row>
    <row r="912" hidden="1">
      <c r="A912" s="21"/>
      <c r="B912" s="21" t="s">
        <v>1865</v>
      </c>
      <c r="D912" s="25">
        <v>20.0</v>
      </c>
      <c r="E912" s="27"/>
      <c r="F912" s="25">
        <v>0.6</v>
      </c>
      <c r="G912" s="27"/>
    </row>
    <row r="913" hidden="1">
      <c r="A913" s="21"/>
      <c r="B913" s="21" t="s">
        <v>1866</v>
      </c>
      <c r="D913" s="25">
        <v>20.0</v>
      </c>
      <c r="E913" s="27"/>
      <c r="F913" s="25">
        <v>0.0</v>
      </c>
      <c r="G913" s="27"/>
    </row>
    <row r="914" hidden="1">
      <c r="A914" s="21"/>
      <c r="B914" s="21" t="s">
        <v>1867</v>
      </c>
      <c r="D914" s="25">
        <v>20.0</v>
      </c>
      <c r="E914" s="27"/>
      <c r="F914" s="25">
        <v>3.54</v>
      </c>
      <c r="G914" s="27"/>
    </row>
    <row r="915" hidden="1">
      <c r="A915" s="21"/>
      <c r="B915" s="21" t="s">
        <v>1868</v>
      </c>
      <c r="D915" s="25">
        <v>20.0</v>
      </c>
      <c r="E915" s="27"/>
      <c r="F915" s="25">
        <v>0.0</v>
      </c>
      <c r="G915" s="27"/>
    </row>
    <row r="916" hidden="1">
      <c r="A916" s="21"/>
      <c r="B916" s="21" t="s">
        <v>1869</v>
      </c>
      <c r="D916" s="25">
        <v>20.0</v>
      </c>
      <c r="E916" s="27"/>
      <c r="F916" s="25">
        <v>0.67</v>
      </c>
      <c r="G916" s="27"/>
    </row>
    <row r="917" hidden="1">
      <c r="A917" s="21"/>
      <c r="B917" s="21" t="s">
        <v>1870</v>
      </c>
      <c r="D917" s="25">
        <v>20.0</v>
      </c>
      <c r="E917" s="27"/>
      <c r="F917" s="25">
        <v>0.36</v>
      </c>
      <c r="G917" s="27"/>
    </row>
    <row r="918" hidden="1">
      <c r="A918" s="21"/>
      <c r="B918" s="21" t="s">
        <v>1871</v>
      </c>
      <c r="D918" s="25">
        <v>20.0</v>
      </c>
      <c r="E918" s="27"/>
      <c r="F918" s="25">
        <v>0.64</v>
      </c>
      <c r="G918" s="27"/>
    </row>
    <row r="919" hidden="1">
      <c r="A919" s="21"/>
      <c r="B919" s="21" t="s">
        <v>1872</v>
      </c>
      <c r="D919" s="25">
        <v>20.0</v>
      </c>
      <c r="E919" s="27"/>
      <c r="F919" s="25">
        <v>1.92</v>
      </c>
      <c r="G919" s="27"/>
    </row>
    <row r="920" hidden="1">
      <c r="A920" s="21"/>
      <c r="B920" s="21" t="s">
        <v>1873</v>
      </c>
      <c r="D920" s="25">
        <v>20.0</v>
      </c>
      <c r="E920" s="27"/>
      <c r="F920" s="25">
        <v>0.0</v>
      </c>
      <c r="G920" s="27"/>
    </row>
    <row r="921" hidden="1">
      <c r="A921" s="21"/>
      <c r="B921" s="21" t="s">
        <v>1874</v>
      </c>
      <c r="D921" s="25">
        <v>20.0</v>
      </c>
      <c r="E921" s="27"/>
      <c r="F921" s="25">
        <v>0.0</v>
      </c>
      <c r="G921" s="27"/>
    </row>
    <row r="922" hidden="1">
      <c r="A922" s="21"/>
      <c r="B922" s="21" t="s">
        <v>1875</v>
      </c>
      <c r="D922" s="25">
        <v>20.0</v>
      </c>
      <c r="E922" s="27"/>
      <c r="F922" s="25">
        <v>0.0</v>
      </c>
      <c r="G922" s="27"/>
    </row>
    <row r="923" hidden="1">
      <c r="A923" s="21"/>
      <c r="B923" s="21" t="s">
        <v>1876</v>
      </c>
      <c r="D923" s="25">
        <v>20.0</v>
      </c>
      <c r="E923" s="27"/>
      <c r="F923" s="25">
        <v>6.14</v>
      </c>
      <c r="G923" s="27"/>
    </row>
    <row r="924" hidden="1">
      <c r="A924" s="21"/>
      <c r="B924" s="21" t="s">
        <v>1877</v>
      </c>
      <c r="D924" s="25">
        <v>20.0</v>
      </c>
      <c r="E924" s="27"/>
      <c r="F924" s="25">
        <v>3.57</v>
      </c>
      <c r="G924" s="27"/>
    </row>
    <row r="925" hidden="1">
      <c r="A925" s="21"/>
      <c r="B925" s="21" t="s">
        <v>1878</v>
      </c>
      <c r="D925" s="25">
        <v>20.0</v>
      </c>
      <c r="E925" s="27"/>
      <c r="F925" s="25">
        <v>0.0</v>
      </c>
      <c r="G925" s="27"/>
    </row>
    <row r="926" hidden="1">
      <c r="A926" s="21"/>
      <c r="B926" s="21" t="s">
        <v>1879</v>
      </c>
      <c r="D926" s="25">
        <v>20.0</v>
      </c>
      <c r="E926" s="27"/>
      <c r="F926" s="25">
        <v>0.0</v>
      </c>
      <c r="G926" s="27"/>
    </row>
    <row r="927" hidden="1">
      <c r="A927" s="21"/>
      <c r="B927" s="21" t="s">
        <v>524</v>
      </c>
      <c r="D927" s="25">
        <v>20.0</v>
      </c>
      <c r="E927" s="27"/>
      <c r="F927" s="25">
        <v>0.0</v>
      </c>
      <c r="G927" s="27"/>
    </row>
    <row r="928" hidden="1">
      <c r="A928" s="21"/>
      <c r="B928" s="21" t="s">
        <v>525</v>
      </c>
      <c r="D928" s="25">
        <v>20.0</v>
      </c>
      <c r="E928" s="27"/>
      <c r="F928" s="25">
        <v>0.0</v>
      </c>
      <c r="G928" s="27"/>
    </row>
    <row r="929" hidden="1">
      <c r="A929" s="21"/>
      <c r="B929" s="21" t="s">
        <v>526</v>
      </c>
      <c r="D929" s="25">
        <v>20.0</v>
      </c>
      <c r="E929" s="27"/>
      <c r="F929" s="25">
        <v>0.0</v>
      </c>
      <c r="G929" s="27"/>
    </row>
    <row r="930" hidden="1">
      <c r="A930" s="21"/>
      <c r="B930" s="21" t="s">
        <v>527</v>
      </c>
      <c r="D930" s="25">
        <v>20.0</v>
      </c>
      <c r="E930" s="27"/>
      <c r="F930" s="25">
        <v>3.67</v>
      </c>
      <c r="G930" s="27"/>
    </row>
    <row r="931" hidden="1">
      <c r="A931" s="21"/>
      <c r="B931" s="21" t="s">
        <v>528</v>
      </c>
      <c r="D931" s="25">
        <v>20.0</v>
      </c>
      <c r="E931" s="27"/>
      <c r="F931" s="25">
        <v>1.27</v>
      </c>
      <c r="G931" s="27"/>
    </row>
    <row r="932" hidden="1">
      <c r="A932" s="21"/>
      <c r="B932" s="21" t="s">
        <v>529</v>
      </c>
      <c r="D932" s="25">
        <v>20.0</v>
      </c>
      <c r="E932" s="27"/>
      <c r="F932" s="25">
        <v>2.65</v>
      </c>
      <c r="G932" s="27"/>
    </row>
    <row r="933" hidden="1">
      <c r="A933" s="21"/>
      <c r="B933" s="21" t="s">
        <v>530</v>
      </c>
      <c r="D933" s="25">
        <v>20.0</v>
      </c>
      <c r="E933" s="27"/>
      <c r="F933" s="25">
        <v>2.65</v>
      </c>
      <c r="G933" s="27"/>
    </row>
    <row r="934" hidden="1">
      <c r="A934" s="21"/>
      <c r="B934" s="21" t="s">
        <v>531</v>
      </c>
      <c r="D934" s="25">
        <v>20.0</v>
      </c>
      <c r="E934" s="27"/>
      <c r="F934" s="25">
        <v>3.06</v>
      </c>
      <c r="G934" s="27"/>
    </row>
    <row r="935" hidden="1">
      <c r="A935" s="21"/>
      <c r="B935" s="21" t="s">
        <v>532</v>
      </c>
      <c r="D935" s="25">
        <v>20.0</v>
      </c>
      <c r="E935" s="27"/>
      <c r="F935" s="25">
        <v>0.0</v>
      </c>
      <c r="G935" s="27"/>
    </row>
    <row r="936" hidden="1">
      <c r="A936" s="21"/>
      <c r="B936" s="21" t="s">
        <v>1880</v>
      </c>
      <c r="D936" s="25">
        <v>20.0</v>
      </c>
      <c r="E936" s="27"/>
      <c r="F936" s="25">
        <v>0.0</v>
      </c>
      <c r="G936" s="27"/>
    </row>
    <row r="937" hidden="1">
      <c r="A937" s="21"/>
      <c r="B937" s="21" t="s">
        <v>1881</v>
      </c>
      <c r="D937" s="25">
        <v>20.0</v>
      </c>
      <c r="E937" s="27"/>
      <c r="F937" s="25">
        <v>0.0</v>
      </c>
      <c r="G937" s="27"/>
    </row>
    <row r="938" hidden="1">
      <c r="A938" s="21"/>
      <c r="B938" s="21" t="s">
        <v>1882</v>
      </c>
      <c r="D938" s="25">
        <v>20.0</v>
      </c>
      <c r="E938" s="27"/>
      <c r="F938" s="25">
        <v>1.43</v>
      </c>
      <c r="G938" s="27"/>
    </row>
    <row r="939" hidden="1">
      <c r="A939" s="21"/>
      <c r="B939" s="21" t="s">
        <v>1883</v>
      </c>
      <c r="D939" s="25">
        <v>20.0</v>
      </c>
      <c r="E939" s="27"/>
      <c r="F939" s="25">
        <v>0.0</v>
      </c>
      <c r="G939" s="27"/>
    </row>
    <row r="940" hidden="1">
      <c r="A940" s="21"/>
      <c r="B940" s="21" t="s">
        <v>1884</v>
      </c>
      <c r="D940" s="25">
        <v>20.0</v>
      </c>
      <c r="E940" s="27"/>
      <c r="F940" s="25">
        <v>7.81</v>
      </c>
      <c r="G940" s="27"/>
    </row>
    <row r="941" hidden="1">
      <c r="A941" s="21"/>
      <c r="B941" s="21" t="s">
        <v>1885</v>
      </c>
      <c r="D941" s="25">
        <v>20.0</v>
      </c>
      <c r="E941" s="27"/>
      <c r="F941" s="25">
        <v>0.0</v>
      </c>
      <c r="G941" s="27"/>
    </row>
    <row r="942" hidden="1">
      <c r="A942" s="21"/>
      <c r="B942" s="21" t="s">
        <v>1886</v>
      </c>
      <c r="D942" s="25">
        <v>20.0</v>
      </c>
      <c r="E942" s="27"/>
      <c r="F942" s="25">
        <v>0.0</v>
      </c>
      <c r="G942" s="27"/>
    </row>
    <row r="943" hidden="1">
      <c r="A943" s="21"/>
      <c r="B943" s="21" t="s">
        <v>1887</v>
      </c>
      <c r="D943" s="25">
        <v>20.0</v>
      </c>
      <c r="E943" s="27"/>
      <c r="F943" s="25">
        <v>0.0</v>
      </c>
      <c r="G943" s="27"/>
    </row>
    <row r="944" hidden="1">
      <c r="A944" s="21"/>
      <c r="B944" s="21" t="s">
        <v>1888</v>
      </c>
      <c r="D944" s="25">
        <v>20.0</v>
      </c>
      <c r="E944" s="27"/>
      <c r="F944" s="25">
        <v>0.0</v>
      </c>
      <c r="G944" s="27"/>
    </row>
    <row r="945" hidden="1">
      <c r="A945" s="21"/>
      <c r="B945" s="21" t="s">
        <v>1889</v>
      </c>
      <c r="D945" s="25">
        <v>20.0</v>
      </c>
      <c r="E945" s="27"/>
      <c r="F945" s="25">
        <v>0.0</v>
      </c>
      <c r="G945" s="27"/>
    </row>
    <row r="946" hidden="1">
      <c r="A946" s="21"/>
      <c r="B946" s="21" t="s">
        <v>1890</v>
      </c>
      <c r="D946" s="25">
        <v>20.0</v>
      </c>
      <c r="E946" s="27"/>
      <c r="F946" s="25">
        <v>0.0</v>
      </c>
      <c r="G946" s="27"/>
    </row>
    <row r="947" hidden="1">
      <c r="A947" s="21"/>
      <c r="B947" s="21" t="s">
        <v>1891</v>
      </c>
      <c r="D947" s="25">
        <v>20.0</v>
      </c>
      <c r="E947" s="27"/>
      <c r="F947" s="25">
        <v>0.0</v>
      </c>
      <c r="G947" s="27"/>
    </row>
    <row r="948" hidden="1">
      <c r="A948" s="21"/>
      <c r="B948" s="21" t="s">
        <v>1892</v>
      </c>
      <c r="D948" s="25">
        <v>20.0</v>
      </c>
      <c r="E948" s="27"/>
      <c r="F948" s="25">
        <v>0.0</v>
      </c>
      <c r="G948" s="27"/>
    </row>
    <row r="949" hidden="1">
      <c r="A949" s="21"/>
      <c r="B949" s="21" t="s">
        <v>1893</v>
      </c>
      <c r="D949" s="25">
        <v>20.0</v>
      </c>
      <c r="E949" s="27"/>
      <c r="F949" s="25">
        <v>0.0</v>
      </c>
      <c r="G949" s="27"/>
    </row>
    <row r="950" hidden="1">
      <c r="A950" s="21"/>
      <c r="B950" s="21" t="s">
        <v>1894</v>
      </c>
      <c r="D950" s="25">
        <v>20.0</v>
      </c>
      <c r="E950" s="27"/>
      <c r="F950" s="25">
        <v>0.0</v>
      </c>
      <c r="G950" s="27"/>
    </row>
    <row r="951" hidden="1">
      <c r="A951" s="21"/>
      <c r="B951" s="21" t="s">
        <v>1895</v>
      </c>
      <c r="D951" s="25">
        <v>20.0</v>
      </c>
      <c r="E951" s="27"/>
      <c r="F951" s="25">
        <v>0.0</v>
      </c>
      <c r="G951" s="27"/>
    </row>
    <row r="952" hidden="1">
      <c r="A952" s="21"/>
      <c r="B952" s="21" t="s">
        <v>1896</v>
      </c>
      <c r="D952" s="25">
        <v>20.0</v>
      </c>
      <c r="E952" s="27"/>
      <c r="F952" s="25">
        <v>0.0</v>
      </c>
      <c r="G952" s="27"/>
    </row>
    <row r="953" hidden="1">
      <c r="A953" s="21"/>
      <c r="B953" s="21" t="s">
        <v>1897</v>
      </c>
      <c r="D953" s="25">
        <v>20.0</v>
      </c>
      <c r="E953" s="27"/>
      <c r="F953" s="25">
        <v>0.0</v>
      </c>
      <c r="G953" s="27"/>
    </row>
    <row r="954" hidden="1">
      <c r="A954" s="21"/>
      <c r="B954" s="21" t="s">
        <v>1898</v>
      </c>
      <c r="D954" s="25">
        <v>20.0</v>
      </c>
      <c r="E954" s="27"/>
      <c r="F954" s="25">
        <v>0.0</v>
      </c>
      <c r="G954" s="27"/>
    </row>
    <row r="955" hidden="1">
      <c r="A955" s="21"/>
      <c r="B955" s="21" t="s">
        <v>1899</v>
      </c>
      <c r="D955" s="25">
        <v>20.0</v>
      </c>
      <c r="E955" s="27"/>
      <c r="F955" s="25">
        <v>0.0</v>
      </c>
      <c r="G955" s="27"/>
    </row>
    <row r="956" hidden="1">
      <c r="A956" s="21"/>
      <c r="B956" s="21" t="s">
        <v>1900</v>
      </c>
      <c r="D956" s="25">
        <v>20.0</v>
      </c>
      <c r="E956" s="27"/>
      <c r="F956" s="25">
        <v>0.0</v>
      </c>
      <c r="G956" s="27"/>
    </row>
    <row r="957" hidden="1">
      <c r="A957" s="21"/>
      <c r="B957" s="21" t="s">
        <v>1901</v>
      </c>
      <c r="D957" s="25">
        <v>20.0</v>
      </c>
      <c r="E957" s="27"/>
      <c r="F957" s="25">
        <v>0.0</v>
      </c>
      <c r="G957" s="27"/>
    </row>
    <row r="958" hidden="1">
      <c r="A958" s="21"/>
      <c r="B958" s="21" t="s">
        <v>1902</v>
      </c>
      <c r="D958" s="25">
        <v>20.0</v>
      </c>
      <c r="E958" s="27"/>
      <c r="F958" s="25">
        <v>0.0</v>
      </c>
      <c r="G958" s="27"/>
    </row>
    <row r="959" hidden="1">
      <c r="A959" s="21"/>
      <c r="B959" s="21" t="s">
        <v>1903</v>
      </c>
      <c r="D959" s="25">
        <v>20.0</v>
      </c>
      <c r="E959" s="27"/>
      <c r="F959" s="25">
        <v>0.0</v>
      </c>
      <c r="G959" s="27"/>
    </row>
    <row r="960" hidden="1">
      <c r="A960" s="21"/>
      <c r="B960" s="21" t="s">
        <v>1904</v>
      </c>
      <c r="D960" s="25">
        <v>20.0</v>
      </c>
      <c r="E960" s="27"/>
      <c r="F960" s="25">
        <v>0.0</v>
      </c>
      <c r="G960" s="27"/>
    </row>
    <row r="961" hidden="1">
      <c r="A961" s="21"/>
      <c r="B961" s="21" t="s">
        <v>1905</v>
      </c>
      <c r="D961" s="25">
        <v>20.0</v>
      </c>
      <c r="E961" s="27"/>
      <c r="F961" s="25">
        <v>0.0</v>
      </c>
      <c r="G961" s="27"/>
    </row>
    <row r="962" hidden="1">
      <c r="A962" s="21"/>
      <c r="B962" s="21" t="s">
        <v>1906</v>
      </c>
      <c r="D962" s="25">
        <v>20.0</v>
      </c>
      <c r="E962" s="27"/>
      <c r="F962" s="25">
        <v>0.0</v>
      </c>
      <c r="G962" s="27"/>
    </row>
    <row r="963" hidden="1">
      <c r="A963" s="21"/>
      <c r="B963" s="21" t="s">
        <v>1907</v>
      </c>
      <c r="D963" s="25">
        <v>20.0</v>
      </c>
      <c r="E963" s="27"/>
      <c r="F963" s="25">
        <v>5.18</v>
      </c>
      <c r="G963" s="27"/>
    </row>
    <row r="964" hidden="1">
      <c r="A964" s="21"/>
      <c r="B964" s="21" t="s">
        <v>1908</v>
      </c>
      <c r="D964" s="25">
        <v>20.0</v>
      </c>
      <c r="E964" s="27"/>
      <c r="F964" s="25">
        <v>3.58</v>
      </c>
      <c r="G964" s="27"/>
    </row>
    <row r="965" hidden="1">
      <c r="A965" s="21"/>
      <c r="B965" s="21" t="s">
        <v>1909</v>
      </c>
      <c r="D965" s="25">
        <v>20.0</v>
      </c>
      <c r="E965" s="27"/>
      <c r="F965" s="25">
        <v>0.0</v>
      </c>
      <c r="G965" s="27"/>
    </row>
    <row r="966" hidden="1">
      <c r="A966" s="21"/>
      <c r="B966" s="21" t="s">
        <v>1910</v>
      </c>
      <c r="D966" s="25">
        <v>20.0</v>
      </c>
      <c r="E966" s="27"/>
      <c r="F966" s="25">
        <v>9.11</v>
      </c>
      <c r="G966" s="27"/>
    </row>
    <row r="967" hidden="1">
      <c r="A967" s="21"/>
      <c r="B967" s="21" t="s">
        <v>1911</v>
      </c>
      <c r="D967" s="25">
        <v>20.0</v>
      </c>
      <c r="E967" s="27"/>
      <c r="F967" s="25">
        <v>11.64</v>
      </c>
      <c r="G967" s="27"/>
    </row>
    <row r="968" hidden="1">
      <c r="A968" s="21"/>
      <c r="B968" s="21" t="s">
        <v>1912</v>
      </c>
      <c r="D968" s="25">
        <v>20.0</v>
      </c>
      <c r="E968" s="27"/>
      <c r="F968" s="25">
        <v>0.0</v>
      </c>
      <c r="G968" s="27"/>
    </row>
    <row r="969" hidden="1">
      <c r="A969" s="21"/>
      <c r="B969" s="21" t="s">
        <v>1913</v>
      </c>
      <c r="D969" s="25">
        <v>20.0</v>
      </c>
      <c r="E969" s="27"/>
      <c r="F969" s="25">
        <v>0.0</v>
      </c>
      <c r="G969" s="27"/>
    </row>
    <row r="970" hidden="1">
      <c r="A970" s="21"/>
      <c r="B970" s="21" t="s">
        <v>1914</v>
      </c>
      <c r="D970" s="25">
        <v>20.0</v>
      </c>
      <c r="E970" s="27"/>
      <c r="F970" s="25">
        <v>0.0</v>
      </c>
      <c r="G970" s="27"/>
    </row>
    <row r="971" hidden="1">
      <c r="A971" s="21"/>
      <c r="B971" s="21" t="s">
        <v>1915</v>
      </c>
      <c r="D971" s="25">
        <v>20.0</v>
      </c>
      <c r="E971" s="27"/>
      <c r="F971" s="25">
        <v>0.0</v>
      </c>
      <c r="G971" s="27"/>
    </row>
    <row r="972" hidden="1">
      <c r="A972" s="21"/>
      <c r="B972" s="21" t="s">
        <v>1916</v>
      </c>
      <c r="D972" s="25">
        <v>20.0</v>
      </c>
      <c r="E972" s="27"/>
      <c r="F972" s="25">
        <v>0.0</v>
      </c>
      <c r="G972" s="27"/>
    </row>
    <row r="973" hidden="1">
      <c r="A973" s="21"/>
      <c r="B973" s="21" t="s">
        <v>1917</v>
      </c>
      <c r="D973" s="25">
        <v>20.0</v>
      </c>
      <c r="E973" s="27"/>
      <c r="F973" s="25">
        <v>0.0</v>
      </c>
      <c r="G973" s="27"/>
    </row>
    <row r="974" hidden="1">
      <c r="A974" s="21"/>
      <c r="B974" s="21" t="s">
        <v>1918</v>
      </c>
      <c r="D974" s="25">
        <v>20.0</v>
      </c>
      <c r="E974" s="27"/>
      <c r="F974" s="25">
        <v>0.61</v>
      </c>
      <c r="G974" s="27"/>
    </row>
    <row r="975" hidden="1">
      <c r="A975" s="21"/>
      <c r="B975" s="21" t="s">
        <v>533</v>
      </c>
      <c r="D975" s="25">
        <v>20.0</v>
      </c>
      <c r="E975" s="27"/>
      <c r="F975" s="25">
        <v>0.0</v>
      </c>
      <c r="G975" s="27"/>
    </row>
    <row r="976" hidden="1">
      <c r="A976" s="21"/>
      <c r="B976" s="21" t="s">
        <v>534</v>
      </c>
      <c r="D976" s="25">
        <v>20.0</v>
      </c>
      <c r="E976" s="27"/>
      <c r="F976" s="25">
        <v>0.0</v>
      </c>
      <c r="G976" s="27"/>
    </row>
    <row r="977" hidden="1">
      <c r="A977" s="21"/>
      <c r="B977" s="21" t="s">
        <v>1919</v>
      </c>
      <c r="D977" s="25">
        <v>20.0</v>
      </c>
      <c r="E977" s="27"/>
      <c r="F977" s="25">
        <v>0.0</v>
      </c>
      <c r="G977" s="27"/>
    </row>
    <row r="978" hidden="1">
      <c r="A978" s="21"/>
      <c r="B978" s="21" t="s">
        <v>1920</v>
      </c>
      <c r="D978" s="25">
        <v>20.0</v>
      </c>
      <c r="E978" s="27"/>
      <c r="F978" s="25">
        <v>0.0</v>
      </c>
      <c r="G978" s="27"/>
    </row>
    <row r="979" hidden="1">
      <c r="A979" s="21"/>
      <c r="B979" s="21" t="s">
        <v>1921</v>
      </c>
      <c r="D979" s="25">
        <v>20.0</v>
      </c>
      <c r="E979" s="27"/>
      <c r="F979" s="25">
        <v>3.54</v>
      </c>
      <c r="G979" s="27"/>
    </row>
    <row r="980" hidden="1">
      <c r="A980" s="21"/>
      <c r="B980" s="21" t="s">
        <v>1922</v>
      </c>
      <c r="D980" s="25">
        <v>20.0</v>
      </c>
      <c r="E980" s="27"/>
      <c r="F980" s="25">
        <v>0.0</v>
      </c>
      <c r="G980" s="27"/>
    </row>
    <row r="981" hidden="1">
      <c r="A981" s="21"/>
      <c r="B981" s="21" t="s">
        <v>1923</v>
      </c>
      <c r="D981" s="25">
        <v>20.0</v>
      </c>
      <c r="E981" s="27"/>
      <c r="F981" s="25">
        <v>2.45</v>
      </c>
      <c r="G981" s="27"/>
    </row>
    <row r="982" hidden="1">
      <c r="A982" s="21"/>
      <c r="B982" s="21" t="s">
        <v>1924</v>
      </c>
      <c r="D982" s="25">
        <v>20.0</v>
      </c>
      <c r="E982" s="27"/>
      <c r="F982" s="25">
        <v>0.0</v>
      </c>
      <c r="G982" s="27"/>
    </row>
    <row r="983" hidden="1">
      <c r="A983" s="21"/>
      <c r="B983" s="21" t="s">
        <v>1925</v>
      </c>
      <c r="D983" s="25">
        <v>20.0</v>
      </c>
      <c r="E983" s="27"/>
      <c r="F983" s="25">
        <v>0.0</v>
      </c>
      <c r="G983" s="27"/>
    </row>
    <row r="984" hidden="1">
      <c r="A984" s="21"/>
      <c r="B984" s="21" t="s">
        <v>1926</v>
      </c>
      <c r="D984" s="25">
        <v>20.0</v>
      </c>
      <c r="E984" s="27"/>
      <c r="F984" s="25">
        <v>1.5</v>
      </c>
      <c r="G984" s="27"/>
    </row>
    <row r="985" hidden="1">
      <c r="A985" s="21"/>
      <c r="B985" s="21" t="s">
        <v>1927</v>
      </c>
      <c r="D985" s="25">
        <v>20.0</v>
      </c>
      <c r="E985" s="27"/>
      <c r="F985" s="25">
        <v>1.46</v>
      </c>
      <c r="G985" s="27"/>
    </row>
    <row r="986" hidden="1">
      <c r="A986" s="21"/>
      <c r="B986" s="21" t="s">
        <v>1928</v>
      </c>
      <c r="D986" s="25">
        <v>20.0</v>
      </c>
      <c r="E986" s="27"/>
      <c r="F986" s="25">
        <v>0.0</v>
      </c>
      <c r="G986" s="27"/>
    </row>
    <row r="987" hidden="1">
      <c r="A987" s="21"/>
      <c r="B987" s="21" t="s">
        <v>1929</v>
      </c>
      <c r="D987" s="25">
        <v>20.0</v>
      </c>
      <c r="E987" s="27"/>
      <c r="F987" s="25">
        <v>2.38</v>
      </c>
      <c r="G987" s="27"/>
    </row>
    <row r="988" hidden="1">
      <c r="A988" s="21"/>
      <c r="B988" s="21" t="s">
        <v>1930</v>
      </c>
      <c r="D988" s="25">
        <v>20.0</v>
      </c>
      <c r="E988" s="27"/>
      <c r="F988" s="25">
        <v>0.0</v>
      </c>
      <c r="G988" s="27"/>
    </row>
    <row r="989" hidden="1">
      <c r="A989" s="21"/>
      <c r="B989" s="21" t="s">
        <v>1931</v>
      </c>
      <c r="D989" s="25">
        <v>20.0</v>
      </c>
      <c r="E989" s="27"/>
      <c r="F989" s="25">
        <v>0.0</v>
      </c>
      <c r="G989" s="27"/>
    </row>
    <row r="990" hidden="1">
      <c r="A990" s="21"/>
      <c r="B990" s="21" t="s">
        <v>1932</v>
      </c>
      <c r="D990" s="25">
        <v>20.0</v>
      </c>
      <c r="E990" s="27"/>
      <c r="F990" s="25">
        <v>3.88</v>
      </c>
      <c r="G990" s="27"/>
    </row>
    <row r="991" hidden="1">
      <c r="A991" s="21"/>
      <c r="B991" s="21" t="s">
        <v>1933</v>
      </c>
      <c r="D991" s="25">
        <v>20.0</v>
      </c>
      <c r="E991" s="27"/>
      <c r="F991" s="25">
        <v>0.0</v>
      </c>
      <c r="G991" s="27"/>
    </row>
    <row r="992" hidden="1">
      <c r="A992" s="21"/>
      <c r="B992" s="21" t="s">
        <v>1934</v>
      </c>
      <c r="D992" s="25">
        <v>20.0</v>
      </c>
      <c r="E992" s="27"/>
      <c r="F992" s="25">
        <v>4.75</v>
      </c>
      <c r="G992" s="27"/>
    </row>
    <row r="993" hidden="1">
      <c r="A993" s="21"/>
      <c r="B993" s="21" t="s">
        <v>1935</v>
      </c>
      <c r="D993" s="25">
        <v>20.0</v>
      </c>
      <c r="E993" s="27"/>
      <c r="F993" s="25">
        <v>17.56</v>
      </c>
      <c r="G993" s="27"/>
    </row>
    <row r="994" hidden="1">
      <c r="A994" s="21"/>
      <c r="B994" s="21" t="s">
        <v>1936</v>
      </c>
      <c r="D994" s="25">
        <v>20.0</v>
      </c>
      <c r="E994" s="27"/>
      <c r="F994" s="25">
        <v>3.25</v>
      </c>
      <c r="G994" s="27"/>
    </row>
    <row r="995" hidden="1">
      <c r="A995" s="21"/>
      <c r="B995" s="21" t="s">
        <v>1937</v>
      </c>
      <c r="D995" s="25">
        <v>20.0</v>
      </c>
      <c r="E995" s="27"/>
      <c r="F995" s="25">
        <v>14.11</v>
      </c>
      <c r="G995" s="27"/>
    </row>
    <row r="996" hidden="1">
      <c r="A996" s="21"/>
      <c r="B996" s="21" t="s">
        <v>1938</v>
      </c>
      <c r="D996" s="25">
        <v>20.0</v>
      </c>
      <c r="E996" s="27"/>
      <c r="F996" s="25">
        <v>0.0</v>
      </c>
      <c r="G996" s="27"/>
    </row>
    <row r="997" hidden="1">
      <c r="A997" s="21"/>
      <c r="B997" s="21" t="s">
        <v>1939</v>
      </c>
      <c r="D997" s="25">
        <v>20.0</v>
      </c>
      <c r="E997" s="27"/>
      <c r="F997" s="25">
        <v>0.0</v>
      </c>
      <c r="G997" s="27"/>
    </row>
    <row r="998" hidden="1">
      <c r="A998" s="21"/>
      <c r="B998" s="21" t="s">
        <v>1940</v>
      </c>
      <c r="D998" s="25">
        <v>20.0</v>
      </c>
      <c r="E998" s="27"/>
      <c r="F998" s="25">
        <v>0.0</v>
      </c>
      <c r="G998" s="27"/>
    </row>
    <row r="999" hidden="1">
      <c r="A999" s="21"/>
      <c r="B999" s="21" t="s">
        <v>1941</v>
      </c>
      <c r="D999" s="25">
        <v>20.0</v>
      </c>
      <c r="E999" s="27"/>
      <c r="F999" s="25">
        <v>1.83</v>
      </c>
      <c r="G999" s="27"/>
    </row>
    <row r="1000" hidden="1">
      <c r="A1000" s="21"/>
      <c r="B1000" s="21" t="s">
        <v>1942</v>
      </c>
      <c r="D1000" s="25">
        <v>20.0</v>
      </c>
      <c r="E1000" s="27"/>
      <c r="F1000" s="25">
        <v>0.0</v>
      </c>
      <c r="G1000" s="27"/>
    </row>
    <row r="1001" hidden="1">
      <c r="A1001" s="21"/>
      <c r="B1001" s="21" t="s">
        <v>1943</v>
      </c>
      <c r="D1001" s="25">
        <v>20.0</v>
      </c>
      <c r="E1001" s="27"/>
      <c r="F1001" s="25">
        <v>0.0</v>
      </c>
      <c r="G1001" s="27"/>
    </row>
    <row r="1002" hidden="1">
      <c r="A1002" s="21"/>
      <c r="B1002" s="21" t="s">
        <v>1944</v>
      </c>
      <c r="D1002" s="25">
        <v>20.0</v>
      </c>
      <c r="E1002" s="27"/>
      <c r="F1002" s="25">
        <v>8.09</v>
      </c>
      <c r="G1002" s="27"/>
    </row>
    <row r="1003" hidden="1">
      <c r="A1003" s="21"/>
      <c r="B1003" s="21" t="s">
        <v>535</v>
      </c>
      <c r="D1003" s="25">
        <v>20.0</v>
      </c>
      <c r="E1003" s="27"/>
      <c r="F1003" s="25">
        <v>0.0</v>
      </c>
      <c r="G1003" s="27"/>
    </row>
    <row r="1004" hidden="1">
      <c r="A1004" s="21"/>
      <c r="B1004" s="21" t="s">
        <v>536</v>
      </c>
      <c r="D1004" s="25">
        <v>20.0</v>
      </c>
      <c r="E1004" s="27"/>
      <c r="F1004" s="25">
        <v>0.0</v>
      </c>
      <c r="G1004" s="27"/>
    </row>
    <row r="1005" hidden="1">
      <c r="A1005" s="21"/>
      <c r="B1005" s="21" t="s">
        <v>537</v>
      </c>
      <c r="D1005" s="25">
        <v>20.0</v>
      </c>
      <c r="E1005" s="27"/>
      <c r="F1005" s="25">
        <v>4.31</v>
      </c>
      <c r="G1005" s="27"/>
    </row>
    <row r="1006" hidden="1">
      <c r="A1006" s="21"/>
      <c r="B1006" s="21" t="s">
        <v>538</v>
      </c>
      <c r="D1006" s="25">
        <v>20.0</v>
      </c>
      <c r="E1006" s="27"/>
      <c r="F1006" s="25">
        <v>4.31</v>
      </c>
      <c r="G1006" s="27"/>
    </row>
    <row r="1007" hidden="1">
      <c r="A1007" s="21"/>
      <c r="B1007" s="21" t="s">
        <v>539</v>
      </c>
      <c r="D1007" s="25">
        <v>20.0</v>
      </c>
      <c r="E1007" s="27"/>
      <c r="F1007" s="25">
        <v>0.0</v>
      </c>
      <c r="G1007" s="27"/>
    </row>
    <row r="1008" hidden="1">
      <c r="A1008" s="21"/>
      <c r="B1008" s="21" t="s">
        <v>540</v>
      </c>
      <c r="D1008" s="25">
        <v>20.0</v>
      </c>
      <c r="E1008" s="27"/>
      <c r="F1008" s="25">
        <v>4.07</v>
      </c>
      <c r="G1008" s="27"/>
    </row>
    <row r="1009" hidden="1">
      <c r="A1009" s="21"/>
      <c r="B1009" s="21" t="s">
        <v>541</v>
      </c>
      <c r="D1009" s="25">
        <v>20.0</v>
      </c>
      <c r="E1009" s="27"/>
      <c r="F1009" s="25">
        <v>0.0</v>
      </c>
      <c r="G1009" s="27"/>
    </row>
    <row r="1010" hidden="1">
      <c r="A1010" s="21"/>
      <c r="B1010" s="21" t="s">
        <v>542</v>
      </c>
      <c r="D1010" s="25">
        <v>20.0</v>
      </c>
      <c r="E1010" s="27"/>
      <c r="F1010" s="25">
        <v>2.33</v>
      </c>
      <c r="G1010" s="27"/>
    </row>
    <row r="1011" hidden="1">
      <c r="A1011" s="21"/>
      <c r="B1011" s="21" t="s">
        <v>543</v>
      </c>
      <c r="D1011" s="25">
        <v>20.0</v>
      </c>
      <c r="E1011" s="27"/>
      <c r="F1011" s="25">
        <v>0.0</v>
      </c>
      <c r="G1011" s="27"/>
    </row>
    <row r="1012" hidden="1">
      <c r="A1012" s="21"/>
      <c r="B1012" s="21" t="s">
        <v>544</v>
      </c>
      <c r="D1012" s="25">
        <v>20.0</v>
      </c>
      <c r="E1012" s="27"/>
      <c r="F1012" s="25">
        <v>0.52</v>
      </c>
      <c r="G1012" s="27"/>
    </row>
    <row r="1013" hidden="1">
      <c r="A1013" s="21"/>
      <c r="B1013" s="21" t="s">
        <v>545</v>
      </c>
      <c r="D1013" s="25">
        <v>20.0</v>
      </c>
      <c r="E1013" s="27"/>
      <c r="F1013" s="25">
        <v>1.09</v>
      </c>
      <c r="G1013" s="27"/>
    </row>
    <row r="1014" hidden="1">
      <c r="A1014" s="21"/>
      <c r="B1014" s="21" t="s">
        <v>546</v>
      </c>
      <c r="D1014" s="25">
        <v>20.0</v>
      </c>
      <c r="E1014" s="27"/>
      <c r="F1014" s="25">
        <v>1.44</v>
      </c>
      <c r="G1014" s="27"/>
    </row>
    <row r="1015" hidden="1">
      <c r="A1015" s="21"/>
      <c r="B1015" s="21" t="s">
        <v>547</v>
      </c>
      <c r="D1015" s="25">
        <v>20.0</v>
      </c>
      <c r="E1015" s="27"/>
      <c r="F1015" s="25">
        <v>1.44</v>
      </c>
      <c r="G1015" s="27"/>
    </row>
    <row r="1016" hidden="1">
      <c r="A1016" s="21"/>
      <c r="B1016" s="21" t="s">
        <v>548</v>
      </c>
      <c r="D1016" s="25">
        <v>20.0</v>
      </c>
      <c r="E1016" s="27"/>
      <c r="F1016" s="25">
        <v>1.06</v>
      </c>
      <c r="G1016" s="27"/>
    </row>
    <row r="1017" hidden="1">
      <c r="A1017" s="21"/>
      <c r="B1017" s="21" t="s">
        <v>549</v>
      </c>
      <c r="D1017" s="25">
        <v>20.0</v>
      </c>
      <c r="E1017" s="27"/>
      <c r="F1017" s="25">
        <v>0.93</v>
      </c>
      <c r="G1017" s="27"/>
    </row>
    <row r="1018" hidden="1">
      <c r="A1018" s="21"/>
      <c r="B1018" s="21" t="s">
        <v>550</v>
      </c>
      <c r="D1018" s="25">
        <v>20.0</v>
      </c>
      <c r="E1018" s="27"/>
      <c r="F1018" s="25">
        <v>0.83</v>
      </c>
      <c r="G1018" s="27"/>
    </row>
    <row r="1019" hidden="1">
      <c r="A1019" s="21"/>
      <c r="B1019" s="21" t="s">
        <v>551</v>
      </c>
      <c r="D1019" s="25">
        <v>20.0</v>
      </c>
      <c r="E1019" s="27"/>
      <c r="F1019" s="25">
        <v>1.84</v>
      </c>
      <c r="G1019" s="27"/>
    </row>
    <row r="1020" hidden="1">
      <c r="A1020" s="21"/>
      <c r="B1020" s="21" t="s">
        <v>552</v>
      </c>
      <c r="D1020" s="25">
        <v>20.0</v>
      </c>
      <c r="E1020" s="27"/>
      <c r="F1020" s="25">
        <v>1.21</v>
      </c>
      <c r="G1020" s="27"/>
    </row>
    <row r="1021" hidden="1">
      <c r="A1021" s="21"/>
      <c r="B1021" s="21" t="s">
        <v>553</v>
      </c>
      <c r="D1021" s="25">
        <v>20.0</v>
      </c>
      <c r="E1021" s="27"/>
      <c r="F1021" s="25">
        <v>1.31</v>
      </c>
      <c r="G1021" s="27"/>
    </row>
    <row r="1022" hidden="1">
      <c r="A1022" s="21"/>
      <c r="B1022" s="21" t="s">
        <v>554</v>
      </c>
      <c r="D1022" s="25">
        <v>20.0</v>
      </c>
      <c r="E1022" s="27"/>
      <c r="F1022" s="25">
        <v>0.0</v>
      </c>
      <c r="G1022" s="27"/>
    </row>
    <row r="1023" hidden="1">
      <c r="A1023" s="21"/>
      <c r="B1023" s="21" t="s">
        <v>555</v>
      </c>
      <c r="D1023" s="25">
        <v>20.0</v>
      </c>
      <c r="E1023" s="27"/>
      <c r="F1023" s="25">
        <v>0.0</v>
      </c>
      <c r="G1023" s="27"/>
    </row>
    <row r="1024" hidden="1">
      <c r="A1024" s="21"/>
      <c r="B1024" s="21" t="s">
        <v>556</v>
      </c>
      <c r="D1024" s="25">
        <v>20.0</v>
      </c>
      <c r="E1024" s="27"/>
      <c r="F1024" s="25">
        <v>0.0</v>
      </c>
      <c r="G1024" s="27"/>
    </row>
    <row r="1025" hidden="1">
      <c r="A1025" s="21"/>
      <c r="B1025" s="21" t="s">
        <v>557</v>
      </c>
      <c r="D1025" s="25">
        <v>20.0</v>
      </c>
      <c r="E1025" s="27"/>
      <c r="F1025" s="25">
        <v>0.0</v>
      </c>
      <c r="G1025" s="27"/>
    </row>
    <row r="1026" hidden="1">
      <c r="A1026" s="21"/>
      <c r="B1026" s="21" t="s">
        <v>558</v>
      </c>
      <c r="D1026" s="25">
        <v>20.0</v>
      </c>
      <c r="E1026" s="27"/>
      <c r="F1026" s="25">
        <v>0.0</v>
      </c>
      <c r="G1026" s="27"/>
    </row>
    <row r="1027" hidden="1">
      <c r="A1027" s="21"/>
      <c r="B1027" s="21" t="s">
        <v>1945</v>
      </c>
      <c r="D1027" s="25">
        <v>20.0</v>
      </c>
      <c r="E1027" s="27"/>
      <c r="F1027" s="25">
        <v>0.0</v>
      </c>
      <c r="G1027" s="27"/>
    </row>
    <row r="1028" hidden="1">
      <c r="A1028" s="21"/>
      <c r="B1028" s="21" t="s">
        <v>1946</v>
      </c>
      <c r="D1028" s="25">
        <v>20.0</v>
      </c>
      <c r="E1028" s="27"/>
      <c r="F1028" s="25">
        <v>0.0</v>
      </c>
      <c r="G1028" s="27"/>
    </row>
    <row r="1029" hidden="1">
      <c r="A1029" s="21"/>
      <c r="B1029" s="21" t="s">
        <v>1947</v>
      </c>
      <c r="D1029" s="25">
        <v>20.0</v>
      </c>
      <c r="E1029" s="27"/>
      <c r="F1029" s="25">
        <v>0.0</v>
      </c>
      <c r="G1029" s="27"/>
    </row>
    <row r="1030" hidden="1">
      <c r="A1030" s="21"/>
      <c r="B1030" s="21" t="s">
        <v>1948</v>
      </c>
      <c r="D1030" s="25">
        <v>20.0</v>
      </c>
      <c r="E1030" s="27"/>
      <c r="F1030" s="25">
        <v>0.0</v>
      </c>
      <c r="G1030" s="27"/>
    </row>
    <row r="1031" hidden="1">
      <c r="A1031" s="21"/>
      <c r="B1031" s="21" t="s">
        <v>1949</v>
      </c>
      <c r="D1031" s="25">
        <v>20.0</v>
      </c>
      <c r="E1031" s="27"/>
      <c r="F1031" s="25">
        <v>0.0</v>
      </c>
      <c r="G1031" s="27"/>
    </row>
    <row r="1032" hidden="1">
      <c r="A1032" s="21"/>
      <c r="B1032" s="21" t="s">
        <v>1950</v>
      </c>
      <c r="D1032" s="25">
        <v>20.0</v>
      </c>
      <c r="E1032" s="27"/>
      <c r="F1032" s="25">
        <v>2.53</v>
      </c>
      <c r="G1032" s="27"/>
    </row>
    <row r="1033" hidden="1">
      <c r="A1033" s="21"/>
      <c r="B1033" s="21" t="s">
        <v>1951</v>
      </c>
      <c r="D1033" s="25">
        <v>20.0</v>
      </c>
      <c r="E1033" s="27"/>
      <c r="F1033" s="25">
        <v>0.0</v>
      </c>
      <c r="G1033" s="27"/>
    </row>
    <row r="1034" hidden="1">
      <c r="A1034" s="21"/>
      <c r="B1034" s="21" t="s">
        <v>1952</v>
      </c>
      <c r="D1034" s="25">
        <v>20.0</v>
      </c>
      <c r="E1034" s="27"/>
      <c r="F1034" s="25">
        <v>6.52</v>
      </c>
      <c r="G1034" s="27"/>
    </row>
    <row r="1035" hidden="1">
      <c r="A1035" s="21"/>
      <c r="B1035" s="21" t="s">
        <v>1953</v>
      </c>
      <c r="D1035" s="25">
        <v>20.0</v>
      </c>
      <c r="E1035" s="27"/>
      <c r="F1035" s="25">
        <v>0.0</v>
      </c>
      <c r="G1035" s="27"/>
    </row>
    <row r="1036" hidden="1">
      <c r="A1036" s="21"/>
      <c r="B1036" s="21" t="s">
        <v>1954</v>
      </c>
      <c r="D1036" s="25">
        <v>20.0</v>
      </c>
      <c r="E1036" s="27"/>
      <c r="F1036" s="25">
        <v>0.0</v>
      </c>
      <c r="G1036" s="27"/>
    </row>
    <row r="1037" hidden="1">
      <c r="A1037" s="21"/>
      <c r="B1037" s="21" t="s">
        <v>1955</v>
      </c>
      <c r="D1037" s="25">
        <v>20.0</v>
      </c>
      <c r="E1037" s="27"/>
      <c r="F1037" s="25">
        <v>0.0</v>
      </c>
      <c r="G1037" s="27"/>
    </row>
    <row r="1038" hidden="1">
      <c r="A1038" s="21"/>
      <c r="B1038" s="21" t="s">
        <v>1956</v>
      </c>
      <c r="D1038" s="25">
        <v>20.0</v>
      </c>
      <c r="E1038" s="27"/>
      <c r="F1038" s="25">
        <v>0.57</v>
      </c>
      <c r="G1038" s="27"/>
    </row>
    <row r="1039" hidden="1">
      <c r="A1039" s="21"/>
      <c r="B1039" s="21" t="s">
        <v>1957</v>
      </c>
      <c r="D1039" s="25">
        <v>20.0</v>
      </c>
      <c r="E1039" s="27"/>
      <c r="F1039" s="25">
        <v>6.81</v>
      </c>
      <c r="G1039" s="27"/>
    </row>
    <row r="1040" hidden="1">
      <c r="A1040" s="21"/>
      <c r="B1040" s="21" t="s">
        <v>1958</v>
      </c>
      <c r="D1040" s="25">
        <v>20.0</v>
      </c>
      <c r="E1040" s="27"/>
      <c r="F1040" s="25">
        <v>0.0</v>
      </c>
      <c r="G1040" s="27"/>
    </row>
    <row r="1041" hidden="1">
      <c r="A1041" s="21"/>
      <c r="B1041" s="21" t="s">
        <v>1959</v>
      </c>
      <c r="D1041" s="25">
        <v>20.0</v>
      </c>
      <c r="E1041" s="27"/>
      <c r="F1041" s="25">
        <v>0.0</v>
      </c>
      <c r="G1041" s="27"/>
    </row>
    <row r="1042" hidden="1">
      <c r="A1042" s="21"/>
      <c r="B1042" s="21" t="s">
        <v>1960</v>
      </c>
      <c r="D1042" s="25">
        <v>20.0</v>
      </c>
      <c r="E1042" s="27"/>
      <c r="F1042" s="25">
        <v>0.0</v>
      </c>
      <c r="G1042" s="27"/>
    </row>
    <row r="1043" hidden="1">
      <c r="A1043" s="21"/>
      <c r="B1043" s="21" t="s">
        <v>1961</v>
      </c>
      <c r="D1043" s="25">
        <v>20.0</v>
      </c>
      <c r="E1043" s="27"/>
      <c r="F1043" s="25">
        <v>4.76</v>
      </c>
      <c r="G1043" s="27"/>
    </row>
    <row r="1044" hidden="1">
      <c r="A1044" s="21"/>
      <c r="B1044" s="21" t="s">
        <v>1962</v>
      </c>
      <c r="D1044" s="25">
        <v>20.0</v>
      </c>
      <c r="E1044" s="27"/>
      <c r="F1044" s="25">
        <v>9.02</v>
      </c>
      <c r="G1044" s="27"/>
    </row>
    <row r="1045" hidden="1">
      <c r="A1045" s="21"/>
      <c r="B1045" s="21" t="s">
        <v>1963</v>
      </c>
      <c r="D1045" s="25">
        <v>20.0</v>
      </c>
      <c r="E1045" s="27"/>
      <c r="F1045" s="25">
        <v>0.0</v>
      </c>
      <c r="G1045" s="27"/>
    </row>
    <row r="1046" hidden="1">
      <c r="A1046" s="21"/>
      <c r="B1046" s="21" t="s">
        <v>1964</v>
      </c>
      <c r="D1046" s="25">
        <v>20.0</v>
      </c>
      <c r="E1046" s="27"/>
      <c r="F1046" s="25">
        <v>4.68</v>
      </c>
      <c r="G1046" s="27"/>
    </row>
    <row r="1047" hidden="1">
      <c r="A1047" s="21"/>
      <c r="B1047" s="21" t="s">
        <v>1965</v>
      </c>
      <c r="D1047" s="25">
        <v>20.0</v>
      </c>
      <c r="E1047" s="27"/>
      <c r="F1047" s="25">
        <v>3.39</v>
      </c>
      <c r="G1047" s="27"/>
    </row>
    <row r="1048" hidden="1">
      <c r="A1048" s="21"/>
      <c r="B1048" s="21" t="s">
        <v>1966</v>
      </c>
      <c r="D1048" s="25">
        <v>20.0</v>
      </c>
      <c r="E1048" s="27"/>
      <c r="F1048" s="25">
        <v>2.44</v>
      </c>
      <c r="G1048" s="27"/>
    </row>
    <row r="1049" hidden="1">
      <c r="A1049" s="21"/>
      <c r="B1049" s="21" t="s">
        <v>1967</v>
      </c>
      <c r="D1049" s="25">
        <v>20.0</v>
      </c>
      <c r="E1049" s="27"/>
      <c r="F1049" s="25">
        <v>0.0</v>
      </c>
      <c r="G1049" s="27"/>
    </row>
    <row r="1050" hidden="1">
      <c r="A1050" s="21"/>
      <c r="B1050" s="21" t="s">
        <v>1968</v>
      </c>
      <c r="D1050" s="25">
        <v>20.0</v>
      </c>
      <c r="E1050" s="27"/>
      <c r="F1050" s="25">
        <v>0.0</v>
      </c>
      <c r="G1050" s="27"/>
    </row>
    <row r="1051" hidden="1">
      <c r="A1051" s="21"/>
      <c r="B1051" s="21" t="s">
        <v>1969</v>
      </c>
      <c r="D1051" s="25">
        <v>20.0</v>
      </c>
      <c r="E1051" s="27"/>
      <c r="F1051" s="25">
        <v>2.55</v>
      </c>
      <c r="G1051" s="27"/>
    </row>
    <row r="1052" hidden="1">
      <c r="A1052" s="21"/>
      <c r="B1052" s="21" t="s">
        <v>1970</v>
      </c>
      <c r="D1052" s="25">
        <v>20.0</v>
      </c>
      <c r="E1052" s="27"/>
      <c r="F1052" s="25">
        <v>0.0</v>
      </c>
      <c r="G1052" s="27"/>
    </row>
    <row r="1053" hidden="1">
      <c r="A1053" s="21"/>
      <c r="B1053" s="21" t="s">
        <v>1971</v>
      </c>
      <c r="D1053" s="25">
        <v>20.0</v>
      </c>
      <c r="E1053" s="27"/>
      <c r="F1053" s="25">
        <v>4.21</v>
      </c>
      <c r="G1053" s="27"/>
    </row>
    <row r="1054" hidden="1">
      <c r="A1054" s="21"/>
      <c r="B1054" s="21" t="s">
        <v>1972</v>
      </c>
      <c r="D1054" s="25">
        <v>20.0</v>
      </c>
      <c r="E1054" s="27"/>
      <c r="F1054" s="25">
        <v>0.0</v>
      </c>
      <c r="G1054" s="27"/>
    </row>
    <row r="1055" hidden="1">
      <c r="A1055" s="21"/>
      <c r="B1055" s="21" t="s">
        <v>1973</v>
      </c>
      <c r="D1055" s="25">
        <v>20.0</v>
      </c>
      <c r="E1055" s="27"/>
      <c r="F1055" s="25">
        <v>0.0</v>
      </c>
      <c r="G1055" s="27"/>
    </row>
    <row r="1056" hidden="1">
      <c r="A1056" s="21"/>
      <c r="B1056" s="21" t="s">
        <v>1974</v>
      </c>
      <c r="D1056" s="25">
        <v>20.0</v>
      </c>
      <c r="E1056" s="27"/>
      <c r="F1056" s="25">
        <v>3.8</v>
      </c>
      <c r="G1056" s="27"/>
    </row>
    <row r="1057" hidden="1">
      <c r="A1057" s="21"/>
      <c r="B1057" s="21" t="s">
        <v>1975</v>
      </c>
      <c r="D1057" s="25">
        <v>20.0</v>
      </c>
      <c r="E1057" s="27"/>
      <c r="F1057" s="25">
        <v>0.0</v>
      </c>
      <c r="G1057" s="27"/>
    </row>
    <row r="1058" hidden="1">
      <c r="A1058" s="21"/>
      <c r="B1058" s="21" t="s">
        <v>1976</v>
      </c>
      <c r="D1058" s="25">
        <v>20.0</v>
      </c>
      <c r="E1058" s="27"/>
      <c r="F1058" s="25">
        <v>4.35</v>
      </c>
      <c r="G1058" s="27"/>
    </row>
    <row r="1059" hidden="1">
      <c r="A1059" s="21"/>
      <c r="B1059" s="21" t="s">
        <v>1977</v>
      </c>
      <c r="D1059" s="25">
        <v>20.0</v>
      </c>
      <c r="E1059" s="27"/>
      <c r="F1059" s="25">
        <v>3.95</v>
      </c>
      <c r="G1059" s="27"/>
    </row>
    <row r="1060" hidden="1">
      <c r="A1060" s="21"/>
      <c r="B1060" s="21" t="s">
        <v>1978</v>
      </c>
      <c r="D1060" s="25">
        <v>20.0</v>
      </c>
      <c r="E1060" s="27"/>
      <c r="F1060" s="25">
        <v>1.89</v>
      </c>
      <c r="G1060" s="27"/>
    </row>
    <row r="1061" hidden="1">
      <c r="A1061" s="21"/>
      <c r="B1061" s="21" t="s">
        <v>1979</v>
      </c>
      <c r="D1061" s="25">
        <v>20.0</v>
      </c>
      <c r="E1061" s="27"/>
      <c r="F1061" s="25">
        <v>2.28</v>
      </c>
      <c r="G1061" s="27"/>
    </row>
    <row r="1062" hidden="1">
      <c r="A1062" s="21"/>
      <c r="B1062" s="21" t="s">
        <v>1980</v>
      </c>
      <c r="D1062" s="25">
        <v>20.0</v>
      </c>
      <c r="E1062" s="27"/>
      <c r="F1062" s="25">
        <v>6.38</v>
      </c>
      <c r="G1062" s="27"/>
    </row>
    <row r="1063" hidden="1">
      <c r="A1063" s="21"/>
      <c r="B1063" s="21" t="s">
        <v>1981</v>
      </c>
      <c r="D1063" s="25">
        <v>20.0</v>
      </c>
      <c r="E1063" s="27"/>
      <c r="F1063" s="25">
        <v>6.38</v>
      </c>
      <c r="G1063" s="27"/>
    </row>
    <row r="1064" hidden="1">
      <c r="A1064" s="21"/>
      <c r="B1064" s="21" t="s">
        <v>1982</v>
      </c>
      <c r="D1064" s="25">
        <v>20.0</v>
      </c>
      <c r="E1064" s="27"/>
      <c r="F1064" s="25">
        <v>4.81</v>
      </c>
      <c r="G1064" s="27"/>
    </row>
    <row r="1065" hidden="1">
      <c r="A1065" s="21"/>
      <c r="B1065" s="21" t="s">
        <v>1983</v>
      </c>
      <c r="D1065" s="25">
        <v>20.0</v>
      </c>
      <c r="E1065" s="27"/>
      <c r="F1065" s="25">
        <v>0.0</v>
      </c>
      <c r="G1065" s="27"/>
    </row>
    <row r="1066" hidden="1">
      <c r="A1066" s="21"/>
      <c r="B1066" s="21" t="s">
        <v>1984</v>
      </c>
      <c r="D1066" s="25">
        <v>20.0</v>
      </c>
      <c r="E1066" s="27"/>
      <c r="F1066" s="25">
        <v>0.0</v>
      </c>
      <c r="G1066" s="27"/>
    </row>
    <row r="1067" hidden="1">
      <c r="A1067" s="21"/>
      <c r="B1067" s="21" t="s">
        <v>1985</v>
      </c>
      <c r="D1067" s="25">
        <v>20.0</v>
      </c>
      <c r="E1067" s="27"/>
      <c r="F1067" s="25">
        <v>0.0</v>
      </c>
      <c r="G1067" s="27"/>
    </row>
    <row r="1068" hidden="1">
      <c r="A1068" s="21"/>
      <c r="B1068" s="21" t="s">
        <v>1986</v>
      </c>
      <c r="D1068" s="25">
        <v>20.0</v>
      </c>
      <c r="E1068" s="27"/>
      <c r="F1068" s="25">
        <v>6.0</v>
      </c>
      <c r="G1068" s="27"/>
    </row>
    <row r="1069" hidden="1">
      <c r="A1069" s="21"/>
      <c r="B1069" s="21" t="s">
        <v>1987</v>
      </c>
      <c r="D1069" s="25">
        <v>20.0</v>
      </c>
      <c r="E1069" s="27"/>
      <c r="F1069" s="25">
        <v>0.0</v>
      </c>
      <c r="G1069" s="27"/>
    </row>
    <row r="1070" hidden="1">
      <c r="A1070" s="21"/>
      <c r="B1070" s="21" t="s">
        <v>1988</v>
      </c>
      <c r="D1070" s="25">
        <v>20.0</v>
      </c>
      <c r="E1070" s="27"/>
      <c r="F1070" s="25">
        <v>0.0</v>
      </c>
      <c r="G1070" s="27"/>
    </row>
    <row r="1071" hidden="1">
      <c r="A1071" s="21"/>
      <c r="B1071" s="21" t="s">
        <v>1989</v>
      </c>
      <c r="D1071" s="25">
        <v>20.0</v>
      </c>
      <c r="E1071" s="27"/>
      <c r="F1071" s="25">
        <v>1.92</v>
      </c>
      <c r="G1071" s="27"/>
    </row>
    <row r="1072" hidden="1">
      <c r="A1072" s="21"/>
      <c r="B1072" s="21" t="s">
        <v>1990</v>
      </c>
      <c r="D1072" s="25">
        <v>20.0</v>
      </c>
      <c r="E1072" s="27"/>
      <c r="F1072" s="25">
        <v>1.92</v>
      </c>
      <c r="G1072" s="27"/>
    </row>
    <row r="1073" hidden="1">
      <c r="A1073" s="21"/>
      <c r="B1073" s="21" t="s">
        <v>1991</v>
      </c>
      <c r="D1073" s="25">
        <v>20.0</v>
      </c>
      <c r="E1073" s="27"/>
      <c r="F1073" s="25">
        <v>0.0</v>
      </c>
      <c r="G1073" s="27"/>
    </row>
    <row r="1074" hidden="1">
      <c r="A1074" s="21"/>
      <c r="B1074" s="21" t="s">
        <v>1992</v>
      </c>
      <c r="D1074" s="25">
        <v>20.0</v>
      </c>
      <c r="E1074" s="27"/>
      <c r="F1074" s="25">
        <v>0.0</v>
      </c>
      <c r="G1074" s="27"/>
    </row>
    <row r="1075" hidden="1">
      <c r="A1075" s="21"/>
      <c r="B1075" s="21" t="s">
        <v>1993</v>
      </c>
      <c r="D1075" s="25">
        <v>20.0</v>
      </c>
      <c r="E1075" s="27"/>
      <c r="F1075" s="25">
        <v>0.0</v>
      </c>
      <c r="G1075" s="27"/>
    </row>
    <row r="1076" hidden="1">
      <c r="A1076" s="21"/>
      <c r="B1076" s="21" t="s">
        <v>1994</v>
      </c>
      <c r="D1076" s="25">
        <v>20.0</v>
      </c>
      <c r="E1076" s="27"/>
      <c r="F1076" s="25">
        <v>3.9</v>
      </c>
      <c r="G1076" s="27"/>
    </row>
    <row r="1077" hidden="1">
      <c r="A1077" s="21"/>
      <c r="B1077" s="21" t="s">
        <v>1995</v>
      </c>
      <c r="D1077" s="25">
        <v>20.0</v>
      </c>
      <c r="E1077" s="27"/>
      <c r="F1077" s="25">
        <v>0.0</v>
      </c>
      <c r="G1077" s="27"/>
    </row>
    <row r="1078" hidden="1">
      <c r="A1078" s="21"/>
      <c r="B1078" s="21" t="s">
        <v>1996</v>
      </c>
      <c r="D1078" s="25">
        <v>20.0</v>
      </c>
      <c r="E1078" s="27"/>
      <c r="F1078" s="25">
        <v>0.0</v>
      </c>
      <c r="G1078" s="27"/>
    </row>
    <row r="1079" hidden="1">
      <c r="A1079" s="21"/>
      <c r="B1079" s="21" t="s">
        <v>1997</v>
      </c>
      <c r="D1079" s="25">
        <v>20.0</v>
      </c>
      <c r="E1079" s="27"/>
      <c r="F1079" s="25">
        <v>0.0</v>
      </c>
      <c r="G1079" s="27"/>
    </row>
    <row r="1080" hidden="1">
      <c r="A1080" s="21"/>
      <c r="B1080" s="21" t="s">
        <v>1998</v>
      </c>
      <c r="D1080" s="25">
        <v>20.0</v>
      </c>
      <c r="E1080" s="27"/>
      <c r="F1080" s="25">
        <v>0.0</v>
      </c>
      <c r="G1080" s="27"/>
    </row>
    <row r="1081" hidden="1">
      <c r="A1081" s="21"/>
      <c r="B1081" s="21" t="s">
        <v>1999</v>
      </c>
      <c r="D1081" s="25">
        <v>20.0</v>
      </c>
      <c r="E1081" s="27"/>
      <c r="F1081" s="25">
        <v>2.9</v>
      </c>
      <c r="G1081" s="27"/>
    </row>
    <row r="1082" hidden="1">
      <c r="A1082" s="21"/>
      <c r="B1082" s="21" t="s">
        <v>2000</v>
      </c>
      <c r="D1082" s="25">
        <v>20.0</v>
      </c>
      <c r="E1082" s="27"/>
      <c r="F1082" s="25">
        <v>3.07</v>
      </c>
      <c r="G1082" s="27"/>
    </row>
    <row r="1083" hidden="1">
      <c r="A1083" s="21"/>
      <c r="B1083" s="21" t="s">
        <v>2001</v>
      </c>
      <c r="D1083" s="25">
        <v>20.0</v>
      </c>
      <c r="E1083" s="27"/>
      <c r="F1083" s="25">
        <v>4.34</v>
      </c>
      <c r="G1083" s="27"/>
    </row>
    <row r="1084" hidden="1">
      <c r="A1084" s="21"/>
      <c r="B1084" s="21" t="s">
        <v>2002</v>
      </c>
      <c r="D1084" s="25">
        <v>20.0</v>
      </c>
      <c r="E1084" s="27"/>
      <c r="F1084" s="25">
        <v>0.0</v>
      </c>
      <c r="G1084" s="27"/>
    </row>
    <row r="1085" hidden="1">
      <c r="A1085" s="21"/>
      <c r="B1085" s="21" t="s">
        <v>2003</v>
      </c>
      <c r="D1085" s="25">
        <v>20.0</v>
      </c>
      <c r="E1085" s="27"/>
      <c r="F1085" s="25">
        <v>0.0</v>
      </c>
      <c r="G1085" s="27"/>
    </row>
    <row r="1086" hidden="1">
      <c r="A1086" s="21"/>
      <c r="B1086" s="21" t="s">
        <v>2004</v>
      </c>
      <c r="D1086" s="25">
        <v>20.0</v>
      </c>
      <c r="E1086" s="27"/>
      <c r="F1086" s="25">
        <v>0.0</v>
      </c>
      <c r="G1086" s="27"/>
    </row>
    <row r="1087" hidden="1">
      <c r="A1087" s="21"/>
      <c r="B1087" s="21" t="s">
        <v>2005</v>
      </c>
      <c r="D1087" s="25">
        <v>20.0</v>
      </c>
      <c r="E1087" s="27"/>
      <c r="F1087" s="25">
        <v>0.55</v>
      </c>
      <c r="G1087" s="27"/>
    </row>
    <row r="1088" hidden="1">
      <c r="A1088" s="21"/>
      <c r="B1088" s="21" t="s">
        <v>2006</v>
      </c>
      <c r="D1088" s="25">
        <v>20.0</v>
      </c>
      <c r="E1088" s="27"/>
      <c r="F1088" s="25">
        <v>6.0</v>
      </c>
      <c r="G1088" s="27"/>
    </row>
    <row r="1089" hidden="1">
      <c r="A1089" s="21"/>
      <c r="B1089" s="21" t="s">
        <v>2007</v>
      </c>
      <c r="D1089" s="25">
        <v>20.0</v>
      </c>
      <c r="E1089" s="27"/>
      <c r="F1089" s="25">
        <v>1.48</v>
      </c>
      <c r="G1089" s="27"/>
    </row>
    <row r="1090" hidden="1">
      <c r="A1090" s="21"/>
      <c r="B1090" s="21" t="s">
        <v>2008</v>
      </c>
      <c r="D1090" s="25">
        <v>20.0</v>
      </c>
      <c r="E1090" s="27"/>
      <c r="F1090" s="25">
        <v>3.95</v>
      </c>
      <c r="G1090" s="27"/>
    </row>
    <row r="1091" hidden="1">
      <c r="A1091" s="21"/>
      <c r="B1091" s="21" t="s">
        <v>2009</v>
      </c>
      <c r="D1091" s="25">
        <v>20.0</v>
      </c>
      <c r="E1091" s="27"/>
      <c r="F1091" s="25">
        <v>0.0</v>
      </c>
      <c r="G1091" s="27"/>
    </row>
    <row r="1092" hidden="1">
      <c r="A1092" s="21"/>
      <c r="B1092" s="21" t="s">
        <v>2010</v>
      </c>
      <c r="D1092" s="25">
        <v>20.0</v>
      </c>
      <c r="E1092" s="27"/>
      <c r="F1092" s="25">
        <v>0.0</v>
      </c>
      <c r="G1092" s="27"/>
    </row>
    <row r="1093" hidden="1">
      <c r="A1093" s="21"/>
      <c r="B1093" s="21" t="s">
        <v>2011</v>
      </c>
      <c r="D1093" s="25">
        <v>20.0</v>
      </c>
      <c r="E1093" s="27"/>
      <c r="F1093" s="25">
        <v>3.8</v>
      </c>
      <c r="G1093" s="27"/>
    </row>
    <row r="1094" hidden="1">
      <c r="A1094" s="21"/>
      <c r="B1094" s="21" t="s">
        <v>2012</v>
      </c>
      <c r="D1094" s="25">
        <v>20.0</v>
      </c>
      <c r="E1094" s="27"/>
      <c r="F1094" s="25">
        <v>3.8</v>
      </c>
      <c r="G1094" s="27"/>
    </row>
    <row r="1095" hidden="1">
      <c r="A1095" s="21"/>
      <c r="B1095" s="21" t="s">
        <v>2013</v>
      </c>
      <c r="D1095" s="25">
        <v>20.0</v>
      </c>
      <c r="E1095" s="27"/>
      <c r="F1095" s="25">
        <v>1.89</v>
      </c>
      <c r="G1095" s="27"/>
    </row>
    <row r="1096" hidden="1">
      <c r="A1096" s="21"/>
      <c r="B1096" s="21" t="s">
        <v>2014</v>
      </c>
      <c r="D1096" s="25">
        <v>20.0</v>
      </c>
      <c r="E1096" s="27"/>
      <c r="F1096" s="25">
        <v>0.0</v>
      </c>
      <c r="G1096" s="27"/>
    </row>
    <row r="1097" hidden="1">
      <c r="A1097" s="21"/>
      <c r="B1097" s="21" t="s">
        <v>2015</v>
      </c>
      <c r="D1097" s="25">
        <v>20.0</v>
      </c>
      <c r="E1097" s="27"/>
      <c r="F1097" s="25">
        <v>4.48</v>
      </c>
      <c r="G1097" s="27"/>
    </row>
    <row r="1098" hidden="1">
      <c r="A1098" s="21"/>
      <c r="B1098" s="21" t="s">
        <v>2016</v>
      </c>
      <c r="D1098" s="25">
        <v>20.0</v>
      </c>
      <c r="E1098" s="27"/>
      <c r="F1098" s="25">
        <v>0.0</v>
      </c>
      <c r="G1098" s="27"/>
    </row>
    <row r="1099" hidden="1">
      <c r="A1099" s="21"/>
      <c r="B1099" s="21" t="s">
        <v>2017</v>
      </c>
      <c r="D1099" s="25">
        <v>20.0</v>
      </c>
      <c r="E1099" s="27"/>
      <c r="F1099" s="25">
        <v>3.97</v>
      </c>
      <c r="G1099" s="27"/>
    </row>
    <row r="1100" hidden="1">
      <c r="A1100" s="21"/>
      <c r="B1100" s="21" t="s">
        <v>2018</v>
      </c>
      <c r="D1100" s="25">
        <v>20.0</v>
      </c>
      <c r="E1100" s="27"/>
      <c r="F1100" s="25">
        <v>2.84</v>
      </c>
      <c r="G1100" s="27"/>
    </row>
    <row r="1101" hidden="1">
      <c r="A1101" s="21"/>
      <c r="B1101" s="21" t="s">
        <v>2019</v>
      </c>
      <c r="D1101" s="25">
        <v>20.0</v>
      </c>
      <c r="E1101" s="27"/>
      <c r="F1101" s="25">
        <v>0.54</v>
      </c>
      <c r="G1101" s="27"/>
    </row>
    <row r="1102" hidden="1">
      <c r="A1102" s="21"/>
      <c r="B1102" s="21" t="s">
        <v>2020</v>
      </c>
      <c r="D1102" s="25">
        <v>20.0</v>
      </c>
      <c r="E1102" s="27"/>
      <c r="F1102" s="25">
        <v>0.39</v>
      </c>
      <c r="G1102" s="27"/>
    </row>
    <row r="1103" hidden="1">
      <c r="A1103" s="21"/>
      <c r="B1103" s="21" t="s">
        <v>2021</v>
      </c>
      <c r="D1103" s="25">
        <v>20.0</v>
      </c>
      <c r="E1103" s="27"/>
      <c r="F1103" s="25">
        <v>0.27</v>
      </c>
      <c r="G1103" s="27"/>
    </row>
    <row r="1104" hidden="1">
      <c r="A1104" s="21"/>
      <c r="B1104" s="21" t="s">
        <v>2022</v>
      </c>
      <c r="D1104" s="25">
        <v>20.0</v>
      </c>
      <c r="E1104" s="27"/>
      <c r="F1104" s="25">
        <v>4.78</v>
      </c>
      <c r="G1104" s="27"/>
    </row>
    <row r="1105" hidden="1">
      <c r="A1105" s="21"/>
      <c r="B1105" s="21" t="s">
        <v>2023</v>
      </c>
      <c r="D1105" s="25">
        <v>20.0</v>
      </c>
      <c r="E1105" s="27"/>
      <c r="F1105" s="25">
        <v>10.31</v>
      </c>
      <c r="G1105" s="27"/>
    </row>
    <row r="1106" hidden="1">
      <c r="A1106" s="21"/>
      <c r="B1106" s="21" t="s">
        <v>2024</v>
      </c>
      <c r="D1106" s="25">
        <v>20.0</v>
      </c>
      <c r="E1106" s="27"/>
      <c r="F1106" s="25">
        <v>10.31</v>
      </c>
      <c r="G1106" s="27"/>
    </row>
    <row r="1107" hidden="1">
      <c r="A1107" s="21"/>
      <c r="B1107" s="21" t="s">
        <v>2025</v>
      </c>
      <c r="D1107" s="25">
        <v>20.0</v>
      </c>
      <c r="E1107" s="27"/>
      <c r="F1107" s="25">
        <v>0.0</v>
      </c>
      <c r="G1107" s="27"/>
    </row>
    <row r="1108" hidden="1">
      <c r="A1108" s="21"/>
      <c r="B1108" s="21" t="s">
        <v>2026</v>
      </c>
      <c r="D1108" s="25">
        <v>20.0</v>
      </c>
      <c r="E1108" s="27"/>
      <c r="F1108" s="25">
        <v>0.0</v>
      </c>
      <c r="G1108" s="27"/>
    </row>
    <row r="1109" hidden="1">
      <c r="A1109" s="21"/>
      <c r="B1109" s="21" t="s">
        <v>2027</v>
      </c>
      <c r="D1109" s="25">
        <v>20.0</v>
      </c>
      <c r="E1109" s="27"/>
      <c r="F1109" s="25">
        <v>0.0</v>
      </c>
      <c r="G1109" s="27"/>
    </row>
    <row r="1110" hidden="1">
      <c r="A1110" s="21"/>
      <c r="B1110" s="21" t="s">
        <v>2028</v>
      </c>
      <c r="D1110" s="25">
        <v>20.0</v>
      </c>
      <c r="E1110" s="27"/>
      <c r="F1110" s="25">
        <v>3.09</v>
      </c>
      <c r="G1110" s="27"/>
    </row>
    <row r="1111" hidden="1">
      <c r="A1111" s="21"/>
      <c r="B1111" s="21" t="s">
        <v>2029</v>
      </c>
      <c r="D1111" s="25">
        <v>20.0</v>
      </c>
      <c r="E1111" s="27"/>
      <c r="F1111" s="25">
        <v>2.56</v>
      </c>
      <c r="G1111" s="27"/>
    </row>
    <row r="1112" hidden="1">
      <c r="A1112" s="21"/>
      <c r="B1112" s="21" t="s">
        <v>2030</v>
      </c>
      <c r="D1112" s="25">
        <v>20.0</v>
      </c>
      <c r="E1112" s="27"/>
      <c r="F1112" s="25">
        <v>0.0</v>
      </c>
      <c r="G1112" s="27"/>
    </row>
    <row r="1113" hidden="1">
      <c r="A1113" s="21"/>
      <c r="B1113" s="21" t="s">
        <v>2031</v>
      </c>
      <c r="D1113" s="25">
        <v>20.0</v>
      </c>
      <c r="E1113" s="27"/>
      <c r="F1113" s="25">
        <v>2.92</v>
      </c>
      <c r="G1113" s="27"/>
    </row>
    <row r="1114" hidden="1">
      <c r="A1114" s="21"/>
      <c r="B1114" s="21" t="s">
        <v>2032</v>
      </c>
      <c r="D1114" s="25">
        <v>20.0</v>
      </c>
      <c r="E1114" s="27"/>
      <c r="F1114" s="25">
        <v>10.5</v>
      </c>
      <c r="G1114" s="27"/>
    </row>
    <row r="1115" hidden="1">
      <c r="A1115" s="21"/>
      <c r="B1115" s="21" t="s">
        <v>2033</v>
      </c>
      <c r="D1115" s="25">
        <v>20.0</v>
      </c>
      <c r="E1115" s="27"/>
      <c r="F1115" s="25">
        <v>0.0</v>
      </c>
      <c r="G1115" s="27"/>
    </row>
    <row r="1116" hidden="1">
      <c r="A1116" s="21"/>
      <c r="B1116" s="21" t="s">
        <v>2034</v>
      </c>
      <c r="D1116" s="25">
        <v>20.0</v>
      </c>
      <c r="E1116" s="27"/>
      <c r="F1116" s="25">
        <v>0.0</v>
      </c>
      <c r="G1116" s="27"/>
    </row>
    <row r="1117" hidden="1">
      <c r="A1117" s="21"/>
      <c r="B1117" s="21" t="s">
        <v>2035</v>
      </c>
      <c r="D1117" s="25">
        <v>20.0</v>
      </c>
      <c r="E1117" s="27"/>
      <c r="F1117" s="25">
        <v>0.0</v>
      </c>
      <c r="G1117" s="27"/>
    </row>
    <row r="1118" hidden="1">
      <c r="A1118" s="21"/>
      <c r="B1118" s="21" t="s">
        <v>2036</v>
      </c>
      <c r="D1118" s="25">
        <v>20.0</v>
      </c>
      <c r="E1118" s="27"/>
      <c r="F1118" s="25">
        <v>1.69</v>
      </c>
      <c r="G1118" s="27"/>
    </row>
    <row r="1119" hidden="1">
      <c r="A1119" s="21"/>
      <c r="B1119" s="21" t="s">
        <v>2037</v>
      </c>
      <c r="D1119" s="25">
        <v>20.0</v>
      </c>
      <c r="E1119" s="27"/>
      <c r="F1119" s="25">
        <v>0.0</v>
      </c>
      <c r="G1119" s="27"/>
    </row>
    <row r="1120" hidden="1">
      <c r="A1120" s="21"/>
      <c r="B1120" s="21" t="s">
        <v>2038</v>
      </c>
      <c r="D1120" s="25">
        <v>20.0</v>
      </c>
      <c r="E1120" s="27"/>
      <c r="F1120" s="25">
        <v>0.0</v>
      </c>
      <c r="G1120" s="27"/>
    </row>
    <row r="1121" hidden="1">
      <c r="A1121" s="21"/>
      <c r="B1121" s="21" t="s">
        <v>2039</v>
      </c>
      <c r="D1121" s="25">
        <v>20.0</v>
      </c>
      <c r="E1121" s="27"/>
      <c r="F1121" s="25">
        <v>0.0</v>
      </c>
      <c r="G1121" s="27"/>
    </row>
    <row r="1122" hidden="1">
      <c r="A1122" s="21"/>
      <c r="B1122" s="21" t="s">
        <v>2040</v>
      </c>
      <c r="D1122" s="25">
        <v>20.0</v>
      </c>
      <c r="E1122" s="27"/>
      <c r="F1122" s="25">
        <v>0.0</v>
      </c>
      <c r="G1122" s="27"/>
    </row>
    <row r="1123" hidden="1">
      <c r="A1123" s="21"/>
      <c r="B1123" s="21" t="s">
        <v>2041</v>
      </c>
      <c r="D1123" s="25">
        <v>20.0</v>
      </c>
      <c r="E1123" s="27"/>
      <c r="F1123" s="25">
        <v>6.62</v>
      </c>
      <c r="G1123" s="27"/>
    </row>
    <row r="1124" hidden="1">
      <c r="A1124" s="21"/>
      <c r="B1124" s="21" t="s">
        <v>2042</v>
      </c>
      <c r="D1124" s="25">
        <v>20.0</v>
      </c>
      <c r="E1124" s="27"/>
      <c r="F1124" s="25">
        <v>6.82</v>
      </c>
      <c r="G1124" s="27"/>
    </row>
    <row r="1125" hidden="1">
      <c r="A1125" s="21"/>
      <c r="B1125" s="21" t="s">
        <v>2043</v>
      </c>
      <c r="D1125" s="25">
        <v>20.0</v>
      </c>
      <c r="E1125" s="27"/>
      <c r="F1125" s="25">
        <v>7.28</v>
      </c>
      <c r="G1125" s="27"/>
    </row>
    <row r="1126" hidden="1">
      <c r="A1126" s="21"/>
      <c r="B1126" s="21" t="s">
        <v>2044</v>
      </c>
      <c r="D1126" s="25">
        <v>20.0</v>
      </c>
      <c r="E1126" s="27"/>
      <c r="F1126" s="25">
        <v>0.0</v>
      </c>
      <c r="G1126" s="27"/>
    </row>
    <row r="1127" hidden="1">
      <c r="A1127" s="21"/>
      <c r="B1127" s="21" t="s">
        <v>2045</v>
      </c>
      <c r="D1127" s="25">
        <v>20.0</v>
      </c>
      <c r="E1127" s="27"/>
      <c r="F1127" s="25">
        <v>0.7</v>
      </c>
      <c r="G1127" s="27"/>
    </row>
    <row r="1128" hidden="1">
      <c r="A1128" s="21"/>
      <c r="B1128" s="21" t="s">
        <v>2046</v>
      </c>
      <c r="D1128" s="25">
        <v>20.0</v>
      </c>
      <c r="E1128" s="27"/>
      <c r="F1128" s="25">
        <v>0.0</v>
      </c>
      <c r="G1128" s="27"/>
    </row>
    <row r="1129" hidden="1">
      <c r="A1129" s="21"/>
      <c r="B1129" s="21" t="s">
        <v>2047</v>
      </c>
      <c r="D1129" s="25">
        <v>20.0</v>
      </c>
      <c r="E1129" s="27"/>
      <c r="F1129" s="25">
        <v>0.0</v>
      </c>
      <c r="G1129" s="27"/>
    </row>
    <row r="1130" hidden="1">
      <c r="A1130" s="21"/>
      <c r="B1130" s="21" t="s">
        <v>2048</v>
      </c>
      <c r="D1130" s="25">
        <v>20.0</v>
      </c>
      <c r="E1130" s="27"/>
      <c r="F1130" s="25">
        <v>0.0</v>
      </c>
      <c r="G1130" s="27"/>
    </row>
    <row r="1131" hidden="1">
      <c r="A1131" s="21"/>
      <c r="B1131" s="21" t="s">
        <v>2049</v>
      </c>
      <c r="D1131" s="25">
        <v>20.0</v>
      </c>
      <c r="E1131" s="27"/>
      <c r="F1131" s="25">
        <v>5.25</v>
      </c>
      <c r="G1131" s="27"/>
    </row>
    <row r="1132" hidden="1">
      <c r="A1132" s="21"/>
      <c r="B1132" s="21" t="s">
        <v>2050</v>
      </c>
      <c r="D1132" s="25">
        <v>20.0</v>
      </c>
      <c r="E1132" s="27"/>
      <c r="F1132" s="25">
        <v>0.0</v>
      </c>
      <c r="G1132" s="27"/>
    </row>
    <row r="1133" hidden="1">
      <c r="A1133" s="21"/>
      <c r="B1133" s="21" t="s">
        <v>2051</v>
      </c>
      <c r="D1133" s="25">
        <v>20.0</v>
      </c>
      <c r="E1133" s="27"/>
      <c r="F1133" s="25">
        <v>0.89</v>
      </c>
      <c r="G1133" s="27"/>
    </row>
    <row r="1134" hidden="1">
      <c r="A1134" s="21"/>
      <c r="B1134" s="21" t="s">
        <v>2052</v>
      </c>
      <c r="D1134" s="25">
        <v>20.0</v>
      </c>
      <c r="E1134" s="27"/>
      <c r="F1134" s="25">
        <v>0.0</v>
      </c>
      <c r="G1134" s="27"/>
    </row>
    <row r="1135" hidden="1">
      <c r="A1135" s="21"/>
      <c r="B1135" s="21" t="s">
        <v>2053</v>
      </c>
      <c r="D1135" s="25">
        <v>20.0</v>
      </c>
      <c r="E1135" s="27"/>
      <c r="F1135" s="25">
        <v>0.0</v>
      </c>
      <c r="G1135" s="27"/>
    </row>
    <row r="1136" hidden="1">
      <c r="A1136" s="21"/>
      <c r="B1136" s="21" t="s">
        <v>2054</v>
      </c>
      <c r="D1136" s="25">
        <v>20.0</v>
      </c>
      <c r="E1136" s="27"/>
      <c r="F1136" s="25">
        <v>0.0</v>
      </c>
      <c r="G1136" s="27"/>
    </row>
    <row r="1137" hidden="1">
      <c r="A1137" s="21"/>
      <c r="B1137" s="21" t="s">
        <v>2055</v>
      </c>
      <c r="D1137" s="25">
        <v>20.0</v>
      </c>
      <c r="E1137" s="27"/>
      <c r="F1137" s="25">
        <v>0.0</v>
      </c>
      <c r="G1137" s="27"/>
    </row>
    <row r="1138" hidden="1">
      <c r="A1138" s="21"/>
      <c r="B1138" s="21" t="s">
        <v>2056</v>
      </c>
      <c r="D1138" s="25">
        <v>20.0</v>
      </c>
      <c r="E1138" s="27"/>
      <c r="F1138" s="25">
        <v>3.82</v>
      </c>
      <c r="G1138" s="27"/>
    </row>
    <row r="1139" hidden="1">
      <c r="A1139" s="21"/>
      <c r="B1139" s="21" t="s">
        <v>2057</v>
      </c>
      <c r="D1139" s="25">
        <v>20.0</v>
      </c>
      <c r="E1139" s="27"/>
      <c r="F1139" s="25">
        <v>0.0</v>
      </c>
      <c r="G1139" s="27"/>
    </row>
    <row r="1140" hidden="1">
      <c r="A1140" s="21"/>
      <c r="B1140" s="21" t="s">
        <v>2058</v>
      </c>
      <c r="D1140" s="25">
        <v>20.0</v>
      </c>
      <c r="E1140" s="27"/>
      <c r="F1140" s="25">
        <v>5.19</v>
      </c>
      <c r="G1140" s="27"/>
    </row>
    <row r="1141" hidden="1">
      <c r="A1141" s="21"/>
      <c r="B1141" s="21" t="s">
        <v>2059</v>
      </c>
      <c r="D1141" s="25">
        <v>20.0</v>
      </c>
      <c r="E1141" s="27"/>
      <c r="F1141" s="25">
        <v>0.0</v>
      </c>
      <c r="G1141" s="27"/>
    </row>
    <row r="1142" hidden="1">
      <c r="A1142" s="21"/>
      <c r="B1142" s="21" t="s">
        <v>2060</v>
      </c>
      <c r="D1142" s="25">
        <v>20.0</v>
      </c>
      <c r="E1142" s="27"/>
      <c r="F1142" s="25">
        <v>8.53</v>
      </c>
      <c r="G1142" s="27"/>
    </row>
    <row r="1143" hidden="1">
      <c r="A1143" s="21"/>
      <c r="B1143" s="21" t="s">
        <v>2061</v>
      </c>
      <c r="D1143" s="25">
        <v>20.0</v>
      </c>
      <c r="E1143" s="27"/>
      <c r="F1143" s="25">
        <v>4.33</v>
      </c>
      <c r="G1143" s="27"/>
    </row>
    <row r="1144" hidden="1">
      <c r="A1144" s="21"/>
      <c r="B1144" s="21" t="s">
        <v>2062</v>
      </c>
      <c r="D1144" s="25">
        <v>20.0</v>
      </c>
      <c r="E1144" s="27"/>
      <c r="F1144" s="25">
        <v>0.0</v>
      </c>
      <c r="G1144" s="27"/>
    </row>
    <row r="1145" hidden="1">
      <c r="A1145" s="21"/>
      <c r="B1145" s="21" t="s">
        <v>2063</v>
      </c>
      <c r="D1145" s="25">
        <v>20.0</v>
      </c>
      <c r="E1145" s="27"/>
      <c r="F1145" s="25">
        <v>0.0</v>
      </c>
      <c r="G1145" s="27"/>
    </row>
    <row r="1146" hidden="1">
      <c r="A1146" s="21"/>
      <c r="B1146" s="21" t="s">
        <v>2064</v>
      </c>
      <c r="D1146" s="25">
        <v>20.0</v>
      </c>
      <c r="E1146" s="27"/>
      <c r="F1146" s="25">
        <v>0.0</v>
      </c>
      <c r="G1146" s="27"/>
    </row>
    <row r="1147" hidden="1">
      <c r="A1147" s="21"/>
      <c r="B1147" s="21" t="s">
        <v>559</v>
      </c>
      <c r="D1147" s="25">
        <v>20.0</v>
      </c>
      <c r="E1147" s="27"/>
      <c r="F1147" s="25">
        <v>1.03</v>
      </c>
      <c r="G1147" s="27"/>
    </row>
    <row r="1148" hidden="1">
      <c r="A1148" s="21"/>
      <c r="B1148" s="21" t="s">
        <v>560</v>
      </c>
      <c r="D1148" s="25">
        <v>20.0</v>
      </c>
      <c r="E1148" s="27"/>
      <c r="F1148" s="25">
        <v>3.08</v>
      </c>
      <c r="G1148" s="27"/>
    </row>
    <row r="1149" hidden="1">
      <c r="A1149" s="21"/>
      <c r="B1149" s="21" t="s">
        <v>561</v>
      </c>
      <c r="D1149" s="25">
        <v>20.0</v>
      </c>
      <c r="E1149" s="27"/>
      <c r="F1149" s="25">
        <v>0.0</v>
      </c>
      <c r="G1149" s="27"/>
    </row>
    <row r="1150" hidden="1">
      <c r="A1150" s="21"/>
      <c r="B1150" s="21" t="s">
        <v>562</v>
      </c>
      <c r="D1150" s="25">
        <v>20.0</v>
      </c>
      <c r="E1150" s="27"/>
      <c r="F1150" s="25">
        <v>3.06</v>
      </c>
      <c r="G1150" s="27"/>
    </row>
    <row r="1151" hidden="1">
      <c r="A1151" s="21"/>
      <c r="B1151" s="21" t="s">
        <v>563</v>
      </c>
      <c r="D1151" s="25">
        <v>20.0</v>
      </c>
      <c r="E1151" s="27"/>
      <c r="F1151" s="25">
        <v>4.27</v>
      </c>
      <c r="G1151" s="27"/>
    </row>
    <row r="1152" hidden="1">
      <c r="A1152" s="21"/>
      <c r="B1152" s="21" t="s">
        <v>564</v>
      </c>
      <c r="D1152" s="25">
        <v>20.0</v>
      </c>
      <c r="E1152" s="27"/>
      <c r="F1152" s="25">
        <v>0.74</v>
      </c>
      <c r="G1152" s="27"/>
    </row>
    <row r="1153" hidden="1">
      <c r="A1153" s="21"/>
      <c r="B1153" s="21" t="s">
        <v>565</v>
      </c>
      <c r="D1153" s="25">
        <v>20.0</v>
      </c>
      <c r="E1153" s="27"/>
      <c r="F1153" s="25">
        <v>0.0</v>
      </c>
      <c r="G1153" s="27"/>
    </row>
    <row r="1154" hidden="1">
      <c r="A1154" s="21"/>
      <c r="B1154" s="21" t="s">
        <v>566</v>
      </c>
      <c r="D1154" s="25">
        <v>20.0</v>
      </c>
      <c r="E1154" s="27"/>
      <c r="F1154" s="25">
        <v>0.0</v>
      </c>
      <c r="G1154" s="27"/>
    </row>
    <row r="1155" hidden="1">
      <c r="A1155" s="21"/>
      <c r="B1155" s="21" t="s">
        <v>567</v>
      </c>
      <c r="D1155" s="25">
        <v>20.0</v>
      </c>
      <c r="E1155" s="27"/>
      <c r="F1155" s="25">
        <v>0.0</v>
      </c>
      <c r="G1155" s="27"/>
    </row>
    <row r="1156" hidden="1">
      <c r="A1156" s="21"/>
      <c r="B1156" s="21" t="s">
        <v>568</v>
      </c>
      <c r="D1156" s="25">
        <v>20.0</v>
      </c>
      <c r="E1156" s="27"/>
      <c r="F1156" s="25">
        <v>0.0</v>
      </c>
      <c r="G1156" s="27"/>
    </row>
    <row r="1157" hidden="1">
      <c r="A1157" s="21"/>
      <c r="B1157" s="21" t="s">
        <v>569</v>
      </c>
      <c r="D1157" s="25">
        <v>20.0</v>
      </c>
      <c r="E1157" s="27"/>
      <c r="F1157" s="25">
        <v>5.59</v>
      </c>
      <c r="G1157" s="27"/>
    </row>
    <row r="1158" hidden="1">
      <c r="A1158" s="21"/>
      <c r="B1158" s="21" t="s">
        <v>2065</v>
      </c>
      <c r="D1158" s="25">
        <v>20.0</v>
      </c>
      <c r="E1158" s="27"/>
      <c r="F1158" s="25">
        <v>5.48</v>
      </c>
      <c r="G1158" s="27"/>
    </row>
    <row r="1159" hidden="1">
      <c r="A1159" s="21"/>
      <c r="B1159" s="21" t="s">
        <v>2066</v>
      </c>
      <c r="D1159" s="25">
        <v>20.0</v>
      </c>
      <c r="E1159" s="27"/>
      <c r="F1159" s="25">
        <v>3.2</v>
      </c>
      <c r="G1159" s="27"/>
    </row>
    <row r="1160" hidden="1">
      <c r="A1160" s="21"/>
      <c r="B1160" s="21" t="s">
        <v>2067</v>
      </c>
      <c r="D1160" s="25">
        <v>20.0</v>
      </c>
      <c r="E1160" s="27"/>
      <c r="F1160" s="25">
        <v>3.2</v>
      </c>
      <c r="G1160" s="27"/>
    </row>
    <row r="1161" hidden="1">
      <c r="A1161" s="21"/>
      <c r="B1161" s="21" t="s">
        <v>2068</v>
      </c>
      <c r="D1161" s="25">
        <v>10.0</v>
      </c>
      <c r="E1161" s="27"/>
      <c r="F1161" s="25">
        <v>0.0</v>
      </c>
      <c r="G1161" s="27"/>
    </row>
    <row r="1162" hidden="1">
      <c r="A1162" s="21"/>
      <c r="B1162" s="21" t="s">
        <v>2069</v>
      </c>
      <c r="D1162" s="25">
        <v>10.0</v>
      </c>
      <c r="E1162" s="27"/>
      <c r="F1162" s="25">
        <v>0.0</v>
      </c>
      <c r="G1162" s="27"/>
    </row>
    <row r="1163" hidden="1">
      <c r="A1163" s="21"/>
      <c r="B1163" s="21" t="s">
        <v>2070</v>
      </c>
      <c r="D1163" s="25">
        <v>10.0</v>
      </c>
      <c r="E1163" s="27"/>
      <c r="F1163" s="25">
        <v>0.0</v>
      </c>
      <c r="G1163" s="27"/>
    </row>
    <row r="1164" hidden="1">
      <c r="A1164" s="21"/>
      <c r="B1164" s="21" t="s">
        <v>2071</v>
      </c>
      <c r="D1164" s="25">
        <v>10.0</v>
      </c>
      <c r="E1164" s="27"/>
      <c r="F1164" s="25">
        <v>0.0</v>
      </c>
      <c r="G1164" s="27"/>
    </row>
    <row r="1165" hidden="1">
      <c r="A1165" s="21"/>
      <c r="B1165" s="21" t="s">
        <v>2072</v>
      </c>
      <c r="D1165" s="25">
        <v>10.0</v>
      </c>
      <c r="E1165" s="27"/>
      <c r="F1165" s="25">
        <v>0.0</v>
      </c>
      <c r="G1165" s="27"/>
    </row>
    <row r="1166" hidden="1">
      <c r="A1166" s="21"/>
      <c r="B1166" s="21" t="s">
        <v>2073</v>
      </c>
      <c r="D1166" s="25">
        <v>10.0</v>
      </c>
      <c r="E1166" s="27"/>
      <c r="F1166" s="25">
        <v>0.0</v>
      </c>
      <c r="G1166" s="27"/>
    </row>
    <row r="1167" hidden="1">
      <c r="A1167" s="21"/>
      <c r="B1167" s="21" t="s">
        <v>2074</v>
      </c>
      <c r="D1167" s="25">
        <v>10.0</v>
      </c>
      <c r="E1167" s="27"/>
      <c r="F1167" s="25">
        <v>0.0</v>
      </c>
      <c r="G1167" s="27"/>
    </row>
    <row r="1168" hidden="1">
      <c r="A1168" s="21"/>
      <c r="B1168" s="21" t="s">
        <v>2075</v>
      </c>
      <c r="D1168" s="25">
        <v>10.0</v>
      </c>
      <c r="E1168" s="27"/>
      <c r="F1168" s="25">
        <v>0.0</v>
      </c>
      <c r="G1168" s="27"/>
    </row>
    <row r="1169" hidden="1">
      <c r="A1169" s="21"/>
      <c r="B1169" s="21" t="s">
        <v>2076</v>
      </c>
      <c r="D1169" s="25">
        <v>10.0</v>
      </c>
      <c r="E1169" s="27"/>
      <c r="F1169" s="25">
        <v>0.0</v>
      </c>
      <c r="G1169" s="27"/>
    </row>
    <row r="1170" hidden="1">
      <c r="A1170" s="21"/>
      <c r="B1170" s="21" t="s">
        <v>2077</v>
      </c>
      <c r="D1170" s="25">
        <v>10.0</v>
      </c>
      <c r="E1170" s="27"/>
      <c r="F1170" s="25">
        <v>0.0</v>
      </c>
      <c r="G1170" s="27"/>
    </row>
    <row r="1171" hidden="1">
      <c r="A1171" s="21"/>
      <c r="B1171" s="21" t="s">
        <v>2078</v>
      </c>
      <c r="D1171" s="25">
        <v>10.0</v>
      </c>
      <c r="E1171" s="27"/>
      <c r="F1171" s="25">
        <v>0.0</v>
      </c>
      <c r="G1171" s="27"/>
    </row>
    <row r="1172" hidden="1">
      <c r="A1172" s="21"/>
      <c r="B1172" s="21" t="s">
        <v>2079</v>
      </c>
      <c r="D1172" s="25">
        <v>10.0</v>
      </c>
      <c r="E1172" s="27"/>
      <c r="F1172" s="25">
        <v>0.0</v>
      </c>
      <c r="G1172" s="27"/>
    </row>
    <row r="1173" hidden="1">
      <c r="A1173" s="21"/>
      <c r="B1173" s="21" t="s">
        <v>2080</v>
      </c>
      <c r="D1173" s="25">
        <v>10.0</v>
      </c>
      <c r="E1173" s="27"/>
      <c r="F1173" s="25">
        <v>0.0</v>
      </c>
      <c r="G1173" s="27"/>
    </row>
    <row r="1174" hidden="1">
      <c r="A1174" s="21"/>
      <c r="B1174" s="21" t="s">
        <v>2081</v>
      </c>
      <c r="D1174" s="25">
        <v>10.0</v>
      </c>
      <c r="E1174" s="27"/>
      <c r="F1174" s="25">
        <v>0.0</v>
      </c>
      <c r="G1174" s="27"/>
    </row>
    <row r="1175" hidden="1">
      <c r="A1175" s="21"/>
      <c r="B1175" s="21" t="s">
        <v>2082</v>
      </c>
      <c r="D1175" s="25">
        <v>10.0</v>
      </c>
      <c r="E1175" s="27"/>
      <c r="F1175" s="25">
        <v>0.0</v>
      </c>
      <c r="G1175" s="27"/>
    </row>
    <row r="1176" hidden="1">
      <c r="A1176" s="21"/>
      <c r="B1176" s="21" t="s">
        <v>2083</v>
      </c>
      <c r="D1176" s="25">
        <v>10.0</v>
      </c>
      <c r="E1176" s="27"/>
      <c r="F1176" s="25">
        <v>0.0</v>
      </c>
      <c r="G1176" s="27"/>
    </row>
    <row r="1177" hidden="1">
      <c r="A1177" s="21"/>
      <c r="B1177" s="21" t="s">
        <v>2084</v>
      </c>
      <c r="D1177" s="25">
        <v>10.0</v>
      </c>
      <c r="E1177" s="27"/>
      <c r="F1177" s="25">
        <v>0.0</v>
      </c>
      <c r="G1177" s="27"/>
    </row>
    <row r="1178" hidden="1">
      <c r="A1178" s="21"/>
      <c r="B1178" s="21" t="s">
        <v>2085</v>
      </c>
      <c r="D1178" s="25">
        <v>10.0</v>
      </c>
      <c r="E1178" s="27"/>
      <c r="F1178" s="25">
        <v>0.0</v>
      </c>
      <c r="G1178" s="27"/>
    </row>
    <row r="1179" hidden="1">
      <c r="A1179" s="21"/>
      <c r="B1179" s="21" t="s">
        <v>2086</v>
      </c>
      <c r="D1179" s="25">
        <v>10.0</v>
      </c>
      <c r="E1179" s="27"/>
      <c r="F1179" s="25">
        <v>0.0</v>
      </c>
      <c r="G1179" s="27"/>
    </row>
    <row r="1180" hidden="1">
      <c r="A1180" s="21"/>
      <c r="B1180" s="21" t="s">
        <v>2087</v>
      </c>
      <c r="D1180" s="25">
        <v>10.0</v>
      </c>
      <c r="E1180" s="27"/>
      <c r="F1180" s="25">
        <v>0.0</v>
      </c>
      <c r="G1180" s="27"/>
    </row>
    <row r="1181" hidden="1">
      <c r="A1181" s="21"/>
      <c r="B1181" s="21" t="s">
        <v>2088</v>
      </c>
      <c r="D1181" s="25">
        <v>10.0</v>
      </c>
      <c r="E1181" s="27"/>
      <c r="F1181" s="25">
        <v>0.0</v>
      </c>
      <c r="G1181" s="27"/>
    </row>
    <row r="1182" hidden="1">
      <c r="A1182" s="21"/>
      <c r="B1182" s="21" t="s">
        <v>2089</v>
      </c>
      <c r="D1182" s="25">
        <v>10.0</v>
      </c>
      <c r="E1182" s="27"/>
      <c r="F1182" s="25">
        <v>0.0</v>
      </c>
      <c r="G1182" s="27"/>
    </row>
    <row r="1183" hidden="1">
      <c r="A1183" s="21"/>
      <c r="B1183" s="21" t="s">
        <v>2090</v>
      </c>
      <c r="D1183" s="25">
        <v>10.0</v>
      </c>
      <c r="E1183" s="27"/>
      <c r="F1183" s="25">
        <v>6.87</v>
      </c>
      <c r="G1183" s="27"/>
    </row>
    <row r="1184" hidden="1">
      <c r="A1184" s="21"/>
      <c r="B1184" s="21" t="s">
        <v>2091</v>
      </c>
      <c r="D1184" s="25">
        <v>10.0</v>
      </c>
      <c r="E1184" s="27"/>
      <c r="F1184" s="25">
        <v>0.0</v>
      </c>
      <c r="G1184" s="27"/>
    </row>
    <row r="1185" hidden="1">
      <c r="A1185" s="21"/>
      <c r="B1185" s="21" t="s">
        <v>2092</v>
      </c>
      <c r="D1185" s="25">
        <v>10.0</v>
      </c>
      <c r="E1185" s="27"/>
      <c r="F1185" s="25">
        <v>0.0</v>
      </c>
      <c r="G1185" s="27"/>
    </row>
    <row r="1186" hidden="1">
      <c r="A1186" s="21"/>
      <c r="B1186" s="21" t="s">
        <v>2093</v>
      </c>
      <c r="D1186" s="25">
        <v>10.0</v>
      </c>
      <c r="E1186" s="27"/>
      <c r="F1186" s="25">
        <v>0.0</v>
      </c>
      <c r="G1186" s="27"/>
    </row>
    <row r="1187" hidden="1">
      <c r="A1187" s="21"/>
      <c r="B1187" s="21" t="s">
        <v>2094</v>
      </c>
      <c r="D1187" s="25">
        <v>10.0</v>
      </c>
      <c r="E1187" s="27"/>
      <c r="F1187" s="25">
        <v>0.0</v>
      </c>
      <c r="G1187" s="27"/>
    </row>
    <row r="1188" hidden="1">
      <c r="A1188" s="21"/>
      <c r="B1188" s="21" t="s">
        <v>2095</v>
      </c>
      <c r="D1188" s="25">
        <v>10.0</v>
      </c>
      <c r="E1188" s="27"/>
      <c r="F1188" s="25">
        <v>0.0</v>
      </c>
      <c r="G1188" s="27"/>
    </row>
    <row r="1189" hidden="1">
      <c r="A1189" s="21"/>
      <c r="B1189" s="21" t="s">
        <v>2096</v>
      </c>
      <c r="D1189" s="25">
        <v>10.0</v>
      </c>
      <c r="E1189" s="27"/>
      <c r="F1189" s="25">
        <v>0.0</v>
      </c>
      <c r="G1189" s="27"/>
    </row>
    <row r="1190" hidden="1">
      <c r="A1190" s="21"/>
      <c r="B1190" s="21" t="s">
        <v>2097</v>
      </c>
      <c r="D1190" s="25">
        <v>10.0</v>
      </c>
      <c r="E1190" s="27"/>
      <c r="F1190" s="25">
        <v>0.0</v>
      </c>
      <c r="G1190" s="27"/>
    </row>
    <row r="1191" hidden="1">
      <c r="A1191" s="21"/>
      <c r="B1191" s="21" t="s">
        <v>2098</v>
      </c>
      <c r="D1191" s="25">
        <v>10.0</v>
      </c>
      <c r="E1191" s="27"/>
      <c r="F1191" s="25">
        <v>3.26</v>
      </c>
      <c r="G1191" s="27"/>
    </row>
    <row r="1192" hidden="1">
      <c r="A1192" s="21"/>
      <c r="B1192" s="21" t="s">
        <v>2099</v>
      </c>
      <c r="D1192" s="25">
        <v>10.0</v>
      </c>
      <c r="E1192" s="27"/>
      <c r="F1192" s="25">
        <v>0.0</v>
      </c>
      <c r="G1192" s="27"/>
    </row>
    <row r="1193" hidden="1">
      <c r="A1193" s="21"/>
      <c r="B1193" s="21" t="s">
        <v>2100</v>
      </c>
      <c r="D1193" s="25">
        <v>10.0</v>
      </c>
      <c r="E1193" s="27"/>
      <c r="F1193" s="25">
        <v>1.61</v>
      </c>
      <c r="G1193" s="27"/>
    </row>
    <row r="1194" hidden="1">
      <c r="A1194" s="21"/>
      <c r="B1194" s="21" t="s">
        <v>2101</v>
      </c>
      <c r="D1194" s="25">
        <v>10.0</v>
      </c>
      <c r="E1194" s="27"/>
      <c r="F1194" s="25">
        <v>0.0</v>
      </c>
      <c r="G1194" s="27"/>
    </row>
    <row r="1195" hidden="1">
      <c r="A1195" s="21"/>
      <c r="B1195" s="21" t="s">
        <v>2102</v>
      </c>
      <c r="D1195" s="25">
        <v>10.0</v>
      </c>
      <c r="E1195" s="27"/>
      <c r="F1195" s="25">
        <v>0.0</v>
      </c>
      <c r="G1195" s="27"/>
    </row>
    <row r="1196" hidden="1">
      <c r="A1196" s="21"/>
      <c r="B1196" s="21" t="s">
        <v>2103</v>
      </c>
      <c r="D1196" s="25">
        <v>10.0</v>
      </c>
      <c r="E1196" s="27"/>
      <c r="F1196" s="25">
        <v>0.0</v>
      </c>
      <c r="G1196" s="27"/>
    </row>
    <row r="1197" hidden="1">
      <c r="A1197" s="21"/>
      <c r="B1197" s="21" t="s">
        <v>2104</v>
      </c>
      <c r="D1197" s="25">
        <v>10.0</v>
      </c>
      <c r="E1197" s="27"/>
      <c r="F1197" s="25">
        <v>0.0</v>
      </c>
      <c r="G1197" s="27"/>
    </row>
    <row r="1198" hidden="1">
      <c r="A1198" s="21"/>
      <c r="B1198" s="21" t="s">
        <v>2105</v>
      </c>
      <c r="D1198" s="25">
        <v>10.0</v>
      </c>
      <c r="E1198" s="27"/>
      <c r="F1198" s="25">
        <v>0.0</v>
      </c>
      <c r="G1198" s="27"/>
    </row>
    <row r="1199" hidden="1">
      <c r="A1199" s="21"/>
      <c r="B1199" s="21" t="s">
        <v>2106</v>
      </c>
      <c r="D1199" s="25">
        <v>10.0</v>
      </c>
      <c r="E1199" s="27"/>
      <c r="F1199" s="25">
        <v>0.0</v>
      </c>
      <c r="G1199" s="27"/>
    </row>
    <row r="1200" hidden="1">
      <c r="A1200" s="21"/>
      <c r="B1200" s="21" t="s">
        <v>2107</v>
      </c>
      <c r="D1200" s="25">
        <v>10.0</v>
      </c>
      <c r="E1200" s="27"/>
      <c r="F1200" s="25">
        <v>0.0</v>
      </c>
      <c r="G1200" s="27"/>
    </row>
    <row r="1201" hidden="1">
      <c r="A1201" s="21"/>
      <c r="B1201" s="21" t="s">
        <v>2108</v>
      </c>
      <c r="D1201" s="25">
        <v>10.0</v>
      </c>
      <c r="E1201" s="27"/>
      <c r="F1201" s="25">
        <v>3.9</v>
      </c>
      <c r="G1201" s="27"/>
    </row>
    <row r="1202" hidden="1">
      <c r="A1202" s="21"/>
      <c r="B1202" s="21" t="s">
        <v>2109</v>
      </c>
      <c r="D1202" s="25">
        <v>10.0</v>
      </c>
      <c r="E1202" s="27"/>
      <c r="F1202" s="25">
        <v>0.0</v>
      </c>
      <c r="G1202" s="27"/>
    </row>
    <row r="1203" hidden="1">
      <c r="A1203" s="21"/>
      <c r="B1203" s="21" t="s">
        <v>2110</v>
      </c>
      <c r="D1203" s="25">
        <v>10.0</v>
      </c>
      <c r="E1203" s="27"/>
      <c r="F1203" s="25">
        <v>0.0</v>
      </c>
      <c r="G1203" s="27"/>
    </row>
    <row r="1204" hidden="1">
      <c r="A1204" s="21"/>
      <c r="B1204" s="21" t="s">
        <v>2111</v>
      </c>
      <c r="D1204" s="25">
        <v>10.0</v>
      </c>
      <c r="E1204" s="27"/>
      <c r="F1204" s="25">
        <v>0.0</v>
      </c>
      <c r="G1204" s="27"/>
    </row>
    <row r="1205" hidden="1">
      <c r="A1205" s="21"/>
      <c r="B1205" s="21" t="s">
        <v>2112</v>
      </c>
      <c r="D1205" s="25">
        <v>10.0</v>
      </c>
      <c r="E1205" s="27"/>
      <c r="F1205" s="25">
        <v>0.0</v>
      </c>
      <c r="G1205" s="27"/>
    </row>
    <row r="1206" hidden="1">
      <c r="A1206" s="21"/>
      <c r="B1206" s="21" t="s">
        <v>2113</v>
      </c>
      <c r="D1206" s="25">
        <v>10.0</v>
      </c>
      <c r="E1206" s="27"/>
      <c r="F1206" s="25">
        <v>0.0</v>
      </c>
      <c r="G1206" s="27"/>
    </row>
    <row r="1207" hidden="1">
      <c r="A1207" s="21"/>
      <c r="B1207" s="21" t="s">
        <v>2114</v>
      </c>
      <c r="D1207" s="25">
        <v>10.0</v>
      </c>
      <c r="E1207" s="27"/>
      <c r="F1207" s="25">
        <v>0.0</v>
      </c>
      <c r="G1207" s="27"/>
    </row>
    <row r="1208" hidden="1">
      <c r="A1208" s="21"/>
      <c r="B1208" s="21" t="s">
        <v>2115</v>
      </c>
      <c r="D1208" s="25">
        <v>10.0</v>
      </c>
      <c r="E1208" s="27"/>
      <c r="F1208" s="25">
        <v>0.0</v>
      </c>
      <c r="G1208" s="27"/>
    </row>
    <row r="1209" hidden="1">
      <c r="A1209" s="21"/>
      <c r="B1209" s="21" t="s">
        <v>2116</v>
      </c>
      <c r="D1209" s="25">
        <v>10.0</v>
      </c>
      <c r="E1209" s="27"/>
      <c r="F1209" s="25">
        <v>0.0</v>
      </c>
      <c r="G1209" s="27"/>
    </row>
    <row r="1210" hidden="1">
      <c r="A1210" s="21"/>
      <c r="B1210" s="21" t="s">
        <v>2117</v>
      </c>
      <c r="D1210" s="25">
        <v>10.0</v>
      </c>
      <c r="E1210" s="27"/>
      <c r="F1210" s="25">
        <v>0.0</v>
      </c>
      <c r="G1210" s="27"/>
    </row>
    <row r="1211" hidden="1">
      <c r="A1211" s="21"/>
      <c r="B1211" s="21" t="s">
        <v>2118</v>
      </c>
      <c r="D1211" s="25">
        <v>10.0</v>
      </c>
      <c r="E1211" s="27"/>
      <c r="F1211" s="25">
        <v>0.0</v>
      </c>
      <c r="G1211" s="27"/>
    </row>
    <row r="1212" hidden="1">
      <c r="A1212" s="21"/>
      <c r="B1212" s="21" t="s">
        <v>2119</v>
      </c>
      <c r="D1212" s="25">
        <v>10.0</v>
      </c>
      <c r="E1212" s="27"/>
      <c r="F1212" s="25">
        <v>0.0</v>
      </c>
      <c r="G1212" s="27"/>
    </row>
    <row r="1213" hidden="1">
      <c r="A1213" s="21"/>
      <c r="B1213" s="21" t="s">
        <v>2120</v>
      </c>
      <c r="D1213" s="25">
        <v>10.0</v>
      </c>
      <c r="E1213" s="27"/>
      <c r="F1213" s="25">
        <v>0.0</v>
      </c>
      <c r="G1213" s="27"/>
    </row>
    <row r="1214" hidden="1">
      <c r="A1214" s="21"/>
      <c r="B1214" s="21" t="s">
        <v>2121</v>
      </c>
      <c r="D1214" s="25">
        <v>10.0</v>
      </c>
      <c r="E1214" s="27"/>
      <c r="F1214" s="25">
        <v>0.0</v>
      </c>
      <c r="G1214" s="27"/>
    </row>
    <row r="1215" hidden="1">
      <c r="A1215" s="21"/>
      <c r="B1215" s="21" t="s">
        <v>2122</v>
      </c>
      <c r="D1215" s="25">
        <v>10.0</v>
      </c>
      <c r="E1215" s="27"/>
      <c r="F1215" s="25">
        <v>0.0</v>
      </c>
      <c r="G1215" s="27"/>
    </row>
    <row r="1216" hidden="1">
      <c r="A1216" s="21"/>
      <c r="B1216" s="21" t="s">
        <v>2123</v>
      </c>
      <c r="D1216" s="25">
        <v>10.0</v>
      </c>
      <c r="E1216" s="27"/>
      <c r="F1216" s="25">
        <v>0.0</v>
      </c>
      <c r="G1216" s="27"/>
    </row>
    <row r="1217" hidden="1">
      <c r="A1217" s="21"/>
      <c r="B1217" s="21" t="s">
        <v>2124</v>
      </c>
      <c r="D1217" s="25">
        <v>10.0</v>
      </c>
      <c r="E1217" s="27"/>
      <c r="F1217" s="25">
        <v>9.95</v>
      </c>
      <c r="G1217" s="27"/>
    </row>
    <row r="1218" hidden="1">
      <c r="A1218" s="21"/>
      <c r="B1218" s="21" t="s">
        <v>2125</v>
      </c>
      <c r="D1218" s="25">
        <v>10.0</v>
      </c>
      <c r="E1218" s="27"/>
      <c r="F1218" s="25">
        <v>10.53</v>
      </c>
      <c r="G1218" s="27"/>
    </row>
    <row r="1219" hidden="1">
      <c r="A1219" s="21"/>
      <c r="B1219" s="21" t="s">
        <v>2126</v>
      </c>
      <c r="D1219" s="25">
        <v>10.0</v>
      </c>
      <c r="E1219" s="27"/>
      <c r="F1219" s="25">
        <v>0.0</v>
      </c>
      <c r="G1219" s="27"/>
    </row>
    <row r="1220" hidden="1">
      <c r="A1220" s="21"/>
      <c r="B1220" s="21" t="s">
        <v>2127</v>
      </c>
      <c r="D1220" s="25">
        <v>10.0</v>
      </c>
      <c r="E1220" s="27"/>
      <c r="F1220" s="25">
        <v>0.0</v>
      </c>
      <c r="G1220" s="27"/>
    </row>
    <row r="1221" hidden="1">
      <c r="A1221" s="21"/>
      <c r="B1221" s="21" t="s">
        <v>2128</v>
      </c>
      <c r="D1221" s="25">
        <v>10.0</v>
      </c>
      <c r="E1221" s="27"/>
      <c r="F1221" s="25">
        <v>0.0</v>
      </c>
      <c r="G1221" s="27"/>
    </row>
    <row r="1222" hidden="1">
      <c r="A1222" s="21"/>
      <c r="B1222" s="21" t="s">
        <v>2129</v>
      </c>
      <c r="D1222" s="25">
        <v>10.0</v>
      </c>
      <c r="E1222" s="27"/>
      <c r="F1222" s="25">
        <v>0.0</v>
      </c>
      <c r="G1222" s="27"/>
    </row>
    <row r="1223" hidden="1">
      <c r="A1223" s="21"/>
      <c r="B1223" s="21" t="s">
        <v>2130</v>
      </c>
      <c r="D1223" s="25">
        <v>10.0</v>
      </c>
      <c r="E1223" s="27"/>
      <c r="F1223" s="25">
        <v>0.0</v>
      </c>
      <c r="G1223" s="27"/>
    </row>
    <row r="1224" hidden="1">
      <c r="A1224" s="21"/>
      <c r="B1224" s="21" t="s">
        <v>2131</v>
      </c>
      <c r="D1224" s="25">
        <v>10.0</v>
      </c>
      <c r="E1224" s="27"/>
      <c r="F1224" s="25">
        <v>0.0</v>
      </c>
      <c r="G1224" s="27"/>
    </row>
    <row r="1225" hidden="1">
      <c r="A1225" s="21"/>
      <c r="B1225" s="21" t="s">
        <v>2132</v>
      </c>
      <c r="D1225" s="25">
        <v>10.0</v>
      </c>
      <c r="E1225" s="27"/>
      <c r="F1225" s="25">
        <v>0.0</v>
      </c>
      <c r="G1225" s="27"/>
    </row>
    <row r="1226" hidden="1">
      <c r="A1226" s="21"/>
      <c r="B1226" s="21" t="s">
        <v>2133</v>
      </c>
      <c r="D1226" s="25">
        <v>10.0</v>
      </c>
      <c r="E1226" s="27"/>
      <c r="F1226" s="25">
        <v>0.0</v>
      </c>
      <c r="G1226" s="27"/>
    </row>
    <row r="1227" hidden="1">
      <c r="A1227" s="21"/>
      <c r="B1227" s="21" t="s">
        <v>2134</v>
      </c>
      <c r="D1227" s="25">
        <v>10.0</v>
      </c>
      <c r="E1227" s="27"/>
      <c r="F1227" s="25">
        <v>5.37</v>
      </c>
      <c r="G1227" s="27"/>
    </row>
    <row r="1228" hidden="1">
      <c r="A1228" s="21"/>
      <c r="B1228" s="21" t="s">
        <v>2135</v>
      </c>
      <c r="D1228" s="25">
        <v>10.0</v>
      </c>
      <c r="E1228" s="27"/>
      <c r="F1228" s="25">
        <v>0.0</v>
      </c>
      <c r="G1228" s="27"/>
    </row>
    <row r="1229" hidden="1">
      <c r="A1229" s="21"/>
      <c r="B1229" s="21" t="s">
        <v>2136</v>
      </c>
      <c r="D1229" s="25">
        <v>10.0</v>
      </c>
      <c r="E1229" s="27"/>
      <c r="F1229" s="25">
        <v>0.0</v>
      </c>
      <c r="G1229" s="27"/>
    </row>
    <row r="1230" hidden="1">
      <c r="A1230" s="21"/>
      <c r="B1230" s="21" t="s">
        <v>2137</v>
      </c>
      <c r="D1230" s="25">
        <v>10.0</v>
      </c>
      <c r="E1230" s="27"/>
      <c r="F1230" s="25">
        <v>0.0</v>
      </c>
      <c r="G1230" s="27"/>
    </row>
    <row r="1231" hidden="1">
      <c r="A1231" s="21"/>
      <c r="B1231" s="21" t="s">
        <v>2138</v>
      </c>
      <c r="D1231" s="25">
        <v>10.0</v>
      </c>
      <c r="E1231" s="27"/>
      <c r="F1231" s="25">
        <v>0.0</v>
      </c>
      <c r="G1231" s="27"/>
    </row>
    <row r="1232" hidden="1">
      <c r="A1232" s="21"/>
      <c r="B1232" s="21" t="s">
        <v>2139</v>
      </c>
      <c r="D1232" s="25">
        <v>10.0</v>
      </c>
      <c r="E1232" s="27"/>
      <c r="F1232" s="25">
        <v>0.0</v>
      </c>
      <c r="G1232" s="27"/>
    </row>
    <row r="1233" hidden="1">
      <c r="A1233" s="21"/>
      <c r="B1233" s="21" t="s">
        <v>2140</v>
      </c>
      <c r="D1233" s="25">
        <v>10.0</v>
      </c>
      <c r="E1233" s="27"/>
      <c r="F1233" s="25">
        <v>0.0</v>
      </c>
      <c r="G1233" s="27"/>
    </row>
    <row r="1234" hidden="1">
      <c r="A1234" s="21"/>
      <c r="B1234" s="21" t="s">
        <v>2141</v>
      </c>
      <c r="D1234" s="25">
        <v>10.0</v>
      </c>
      <c r="E1234" s="27"/>
      <c r="F1234" s="25">
        <v>0.0</v>
      </c>
      <c r="G1234" s="27"/>
    </row>
    <row r="1235" hidden="1">
      <c r="A1235" s="21"/>
      <c r="B1235" s="21" t="s">
        <v>2142</v>
      </c>
      <c r="D1235" s="25">
        <v>10.0</v>
      </c>
      <c r="E1235" s="27"/>
      <c r="F1235" s="25">
        <v>0.0</v>
      </c>
      <c r="G1235" s="27"/>
    </row>
    <row r="1236" hidden="1">
      <c r="A1236" s="21"/>
      <c r="B1236" s="21" t="s">
        <v>2143</v>
      </c>
      <c r="D1236" s="25">
        <v>10.0</v>
      </c>
      <c r="E1236" s="27"/>
      <c r="F1236" s="25">
        <v>0.0</v>
      </c>
      <c r="G1236" s="27"/>
    </row>
    <row r="1237" hidden="1">
      <c r="A1237" s="21"/>
      <c r="B1237" s="21" t="s">
        <v>2144</v>
      </c>
      <c r="D1237" s="25">
        <v>10.0</v>
      </c>
      <c r="E1237" s="27"/>
      <c r="F1237" s="25">
        <v>0.0</v>
      </c>
      <c r="G1237" s="27"/>
    </row>
    <row r="1238" hidden="1">
      <c r="A1238" s="21"/>
      <c r="B1238" s="21" t="s">
        <v>2145</v>
      </c>
      <c r="D1238" s="25">
        <v>10.0</v>
      </c>
      <c r="E1238" s="27"/>
      <c r="F1238" s="25">
        <v>0.0</v>
      </c>
      <c r="G1238" s="27"/>
    </row>
    <row r="1239" hidden="1">
      <c r="A1239" s="21"/>
      <c r="B1239" s="21" t="s">
        <v>2146</v>
      </c>
      <c r="D1239" s="25">
        <v>10.0</v>
      </c>
      <c r="E1239" s="27"/>
      <c r="F1239" s="25">
        <v>0.0</v>
      </c>
      <c r="G1239" s="27"/>
    </row>
    <row r="1240" hidden="1">
      <c r="A1240" s="21"/>
      <c r="B1240" s="21" t="s">
        <v>2147</v>
      </c>
      <c r="D1240" s="25">
        <v>10.0</v>
      </c>
      <c r="E1240" s="27"/>
      <c r="F1240" s="25">
        <v>0.0</v>
      </c>
      <c r="G1240" s="27"/>
    </row>
    <row r="1241" hidden="1">
      <c r="A1241" s="21"/>
      <c r="B1241" s="21" t="s">
        <v>2148</v>
      </c>
      <c r="D1241" s="25">
        <v>10.0</v>
      </c>
      <c r="E1241" s="27"/>
      <c r="F1241" s="25">
        <v>0.0</v>
      </c>
      <c r="G1241" s="27"/>
    </row>
    <row r="1242" hidden="1">
      <c r="A1242" s="21"/>
      <c r="B1242" s="21" t="s">
        <v>2149</v>
      </c>
      <c r="D1242" s="25">
        <v>10.0</v>
      </c>
      <c r="E1242" s="27"/>
      <c r="F1242" s="25">
        <v>0.0</v>
      </c>
      <c r="G1242" s="27"/>
    </row>
    <row r="1243" hidden="1">
      <c r="A1243" s="21"/>
      <c r="B1243" s="21" t="s">
        <v>2150</v>
      </c>
      <c r="D1243" s="25">
        <v>10.0</v>
      </c>
      <c r="E1243" s="27"/>
      <c r="F1243" s="25">
        <v>0.0</v>
      </c>
      <c r="G1243" s="27"/>
    </row>
    <row r="1244" hidden="1">
      <c r="A1244" s="21"/>
      <c r="B1244" s="21" t="s">
        <v>2151</v>
      </c>
      <c r="D1244" s="25">
        <v>10.0</v>
      </c>
      <c r="E1244" s="27"/>
      <c r="F1244" s="25">
        <v>0.0</v>
      </c>
      <c r="G1244" s="27"/>
    </row>
    <row r="1245" hidden="1">
      <c r="A1245" s="21"/>
      <c r="B1245" s="21" t="s">
        <v>2152</v>
      </c>
      <c r="D1245" s="25">
        <v>10.0</v>
      </c>
      <c r="E1245" s="27"/>
      <c r="F1245" s="25">
        <v>2.55</v>
      </c>
      <c r="G1245" s="27"/>
    </row>
    <row r="1246" hidden="1">
      <c r="A1246" s="21"/>
      <c r="B1246" s="21" t="s">
        <v>2153</v>
      </c>
      <c r="D1246" s="25">
        <v>10.0</v>
      </c>
      <c r="E1246" s="27"/>
      <c r="F1246" s="25">
        <v>0.0</v>
      </c>
      <c r="G1246" s="27"/>
    </row>
    <row r="1247" hidden="1">
      <c r="A1247" s="21"/>
      <c r="B1247" s="21" t="s">
        <v>2154</v>
      </c>
      <c r="D1247" s="25">
        <v>10.0</v>
      </c>
      <c r="E1247" s="27"/>
      <c r="F1247" s="25">
        <v>0.0</v>
      </c>
      <c r="G1247" s="27"/>
    </row>
    <row r="1248" hidden="1">
      <c r="A1248" s="21"/>
      <c r="B1248" s="21" t="s">
        <v>2155</v>
      </c>
      <c r="D1248" s="25">
        <v>10.0</v>
      </c>
      <c r="E1248" s="27"/>
      <c r="F1248" s="25">
        <v>0.0</v>
      </c>
      <c r="G1248" s="27"/>
    </row>
    <row r="1249" hidden="1">
      <c r="A1249" s="21"/>
      <c r="B1249" s="21" t="s">
        <v>2156</v>
      </c>
      <c r="D1249" s="25">
        <v>10.0</v>
      </c>
      <c r="E1249" s="27"/>
      <c r="F1249" s="25">
        <v>0.0</v>
      </c>
      <c r="G1249" s="27"/>
    </row>
    <row r="1250" hidden="1">
      <c r="A1250" s="21"/>
      <c r="B1250" s="21" t="s">
        <v>2157</v>
      </c>
      <c r="D1250" s="25">
        <v>10.0</v>
      </c>
      <c r="E1250" s="27"/>
      <c r="F1250" s="25">
        <v>4.28</v>
      </c>
      <c r="G1250" s="27"/>
    </row>
    <row r="1251" hidden="1">
      <c r="A1251" s="21"/>
      <c r="B1251" s="21" t="s">
        <v>2158</v>
      </c>
      <c r="D1251" s="25">
        <v>10.0</v>
      </c>
      <c r="E1251" s="27"/>
      <c r="F1251" s="25">
        <v>0.0</v>
      </c>
      <c r="G1251" s="27"/>
    </row>
    <row r="1252" hidden="1">
      <c r="A1252" s="21"/>
      <c r="B1252" s="21" t="s">
        <v>2159</v>
      </c>
      <c r="D1252" s="25">
        <v>10.0</v>
      </c>
      <c r="E1252" s="27"/>
      <c r="F1252" s="25">
        <v>0.0</v>
      </c>
      <c r="G1252" s="27"/>
    </row>
    <row r="1253" hidden="1">
      <c r="A1253" s="21"/>
      <c r="B1253" s="21" t="s">
        <v>2160</v>
      </c>
      <c r="D1253" s="25">
        <v>10.0</v>
      </c>
      <c r="E1253" s="27"/>
      <c r="F1253" s="25">
        <v>0.0</v>
      </c>
      <c r="G1253" s="27"/>
    </row>
    <row r="1254" hidden="1">
      <c r="A1254" s="21"/>
      <c r="B1254" s="21" t="s">
        <v>2161</v>
      </c>
      <c r="D1254" s="25">
        <v>10.0</v>
      </c>
      <c r="E1254" s="27"/>
      <c r="F1254" s="25">
        <v>0.0</v>
      </c>
      <c r="G1254" s="27"/>
    </row>
    <row r="1255" hidden="1">
      <c r="A1255" s="21"/>
      <c r="B1255" s="21" t="s">
        <v>2162</v>
      </c>
      <c r="D1255" s="25">
        <v>10.0</v>
      </c>
      <c r="E1255" s="27"/>
      <c r="F1255" s="25">
        <v>0.0</v>
      </c>
      <c r="G1255" s="27"/>
    </row>
    <row r="1256" hidden="1">
      <c r="A1256" s="21"/>
      <c r="B1256" s="21" t="s">
        <v>2163</v>
      </c>
      <c r="D1256" s="25">
        <v>10.0</v>
      </c>
      <c r="E1256" s="27"/>
      <c r="F1256" s="25">
        <v>0.0</v>
      </c>
      <c r="G1256" s="27"/>
    </row>
    <row r="1257" hidden="1">
      <c r="A1257" s="21"/>
      <c r="B1257" s="21" t="s">
        <v>2164</v>
      </c>
      <c r="D1257" s="25">
        <v>10.0</v>
      </c>
      <c r="E1257" s="27"/>
      <c r="F1257" s="25">
        <v>0.0</v>
      </c>
      <c r="G1257" s="27"/>
    </row>
    <row r="1258" hidden="1">
      <c r="A1258" s="21"/>
      <c r="B1258" s="21" t="s">
        <v>2165</v>
      </c>
      <c r="D1258" s="25">
        <v>10.0</v>
      </c>
      <c r="E1258" s="27"/>
      <c r="F1258" s="25">
        <v>0.0</v>
      </c>
      <c r="G1258" s="27"/>
    </row>
    <row r="1259" hidden="1">
      <c r="A1259" s="21"/>
      <c r="B1259" s="21" t="s">
        <v>2166</v>
      </c>
      <c r="D1259" s="25">
        <v>10.0</v>
      </c>
      <c r="E1259" s="27"/>
      <c r="F1259" s="25">
        <v>0.0</v>
      </c>
      <c r="G1259" s="27"/>
    </row>
    <row r="1260" hidden="1">
      <c r="A1260" s="21"/>
      <c r="B1260" s="21" t="s">
        <v>2167</v>
      </c>
      <c r="D1260" s="25">
        <v>10.0</v>
      </c>
      <c r="E1260" s="27"/>
      <c r="F1260" s="25">
        <v>0.0</v>
      </c>
      <c r="G1260" s="27"/>
    </row>
    <row r="1261" hidden="1">
      <c r="A1261" s="21"/>
      <c r="B1261" s="21" t="s">
        <v>2168</v>
      </c>
      <c r="D1261" s="25">
        <v>10.0</v>
      </c>
      <c r="E1261" s="27"/>
      <c r="F1261" s="25">
        <v>0.0</v>
      </c>
      <c r="G1261" s="27"/>
    </row>
    <row r="1262" hidden="1">
      <c r="A1262" s="21"/>
      <c r="B1262" s="21" t="s">
        <v>2169</v>
      </c>
      <c r="D1262" s="25">
        <v>10.0</v>
      </c>
      <c r="E1262" s="27"/>
      <c r="F1262" s="25">
        <v>6.82</v>
      </c>
      <c r="G1262" s="27"/>
    </row>
    <row r="1263" hidden="1">
      <c r="A1263" s="21"/>
      <c r="B1263" s="21" t="s">
        <v>2170</v>
      </c>
      <c r="D1263" s="25">
        <v>10.0</v>
      </c>
      <c r="E1263" s="27"/>
      <c r="F1263" s="25">
        <v>0.0</v>
      </c>
      <c r="G1263" s="27"/>
    </row>
    <row r="1264" hidden="1">
      <c r="A1264" s="21"/>
      <c r="B1264" s="21" t="s">
        <v>2171</v>
      </c>
      <c r="D1264" s="25">
        <v>10.0</v>
      </c>
      <c r="E1264" s="27"/>
      <c r="F1264" s="25">
        <v>0.0</v>
      </c>
      <c r="G1264" s="27"/>
    </row>
    <row r="1265" hidden="1">
      <c r="A1265" s="21"/>
      <c r="B1265" s="21" t="s">
        <v>2172</v>
      </c>
      <c r="D1265" s="25">
        <v>10.0</v>
      </c>
      <c r="E1265" s="27"/>
      <c r="F1265" s="25">
        <v>0.0</v>
      </c>
      <c r="G1265" s="27"/>
    </row>
    <row r="1266" hidden="1">
      <c r="A1266" s="21"/>
      <c r="B1266" s="21" t="s">
        <v>2173</v>
      </c>
      <c r="D1266" s="25">
        <v>10.0</v>
      </c>
      <c r="E1266" s="27"/>
      <c r="F1266" s="25">
        <v>0.0</v>
      </c>
      <c r="G1266" s="27"/>
    </row>
    <row r="1267" hidden="1">
      <c r="A1267" s="21"/>
      <c r="B1267" s="21" t="s">
        <v>2174</v>
      </c>
      <c r="D1267" s="25">
        <v>10.0</v>
      </c>
      <c r="E1267" s="27"/>
      <c r="F1267" s="25">
        <v>0.0</v>
      </c>
      <c r="G1267" s="27"/>
    </row>
    <row r="1268" hidden="1">
      <c r="A1268" s="21"/>
      <c r="B1268" s="21" t="s">
        <v>2175</v>
      </c>
      <c r="D1268" s="25">
        <v>10.0</v>
      </c>
      <c r="E1268" s="27"/>
      <c r="F1268" s="25">
        <v>0.0</v>
      </c>
      <c r="G1268" s="27"/>
    </row>
    <row r="1269" hidden="1">
      <c r="A1269" s="21"/>
      <c r="B1269" s="21" t="s">
        <v>2176</v>
      </c>
      <c r="D1269" s="25">
        <v>10.0</v>
      </c>
      <c r="E1269" s="27"/>
      <c r="F1269" s="25">
        <v>0.0</v>
      </c>
      <c r="G1269" s="27"/>
    </row>
    <row r="1270" hidden="1">
      <c r="A1270" s="21"/>
      <c r="B1270" s="21" t="s">
        <v>2177</v>
      </c>
      <c r="D1270" s="25">
        <v>10.0</v>
      </c>
      <c r="E1270" s="27"/>
      <c r="F1270" s="25">
        <v>0.0</v>
      </c>
      <c r="G1270" s="27"/>
    </row>
    <row r="1271" hidden="1">
      <c r="A1271" s="21"/>
      <c r="B1271" s="21" t="s">
        <v>2178</v>
      </c>
      <c r="D1271" s="25">
        <v>10.0</v>
      </c>
      <c r="E1271" s="27"/>
      <c r="F1271" s="25">
        <v>0.0</v>
      </c>
      <c r="G1271" s="27"/>
    </row>
    <row r="1272" hidden="1">
      <c r="A1272" s="21"/>
      <c r="B1272" s="21" t="s">
        <v>2179</v>
      </c>
      <c r="D1272" s="25">
        <v>10.0</v>
      </c>
      <c r="E1272" s="27"/>
      <c r="F1272" s="25">
        <v>0.0</v>
      </c>
      <c r="G1272" s="27"/>
    </row>
    <row r="1273" hidden="1">
      <c r="A1273" s="21"/>
      <c r="B1273" s="21" t="s">
        <v>2180</v>
      </c>
      <c r="D1273" s="25">
        <v>10.0</v>
      </c>
      <c r="E1273" s="27"/>
      <c r="F1273" s="25">
        <v>6.47</v>
      </c>
      <c r="G1273" s="27"/>
    </row>
    <row r="1274" hidden="1">
      <c r="A1274" s="21"/>
      <c r="B1274" s="21" t="s">
        <v>2181</v>
      </c>
      <c r="D1274" s="25">
        <v>10.0</v>
      </c>
      <c r="E1274" s="27"/>
      <c r="F1274" s="25">
        <v>0.0</v>
      </c>
      <c r="G1274" s="27"/>
    </row>
    <row r="1275" hidden="1">
      <c r="A1275" s="21"/>
      <c r="B1275" s="21" t="s">
        <v>2182</v>
      </c>
      <c r="D1275" s="25">
        <v>10.0</v>
      </c>
      <c r="E1275" s="27"/>
      <c r="F1275" s="25">
        <v>0.0</v>
      </c>
      <c r="G1275" s="27"/>
    </row>
    <row r="1276" hidden="1">
      <c r="A1276" s="21"/>
      <c r="B1276" s="21" t="s">
        <v>2183</v>
      </c>
      <c r="D1276" s="25">
        <v>10.0</v>
      </c>
      <c r="E1276" s="27"/>
      <c r="F1276" s="25">
        <v>0.0</v>
      </c>
      <c r="G1276" s="27"/>
    </row>
    <row r="1277" hidden="1">
      <c r="A1277" s="21"/>
      <c r="B1277" s="21" t="s">
        <v>2184</v>
      </c>
      <c r="D1277" s="25">
        <v>10.0</v>
      </c>
      <c r="E1277" s="27"/>
      <c r="F1277" s="25">
        <v>0.0</v>
      </c>
      <c r="G1277" s="27"/>
    </row>
    <row r="1278" hidden="1">
      <c r="A1278" s="21"/>
      <c r="B1278" s="21" t="s">
        <v>2185</v>
      </c>
      <c r="D1278" s="25">
        <v>10.0</v>
      </c>
      <c r="E1278" s="27"/>
      <c r="F1278" s="25">
        <v>0.0</v>
      </c>
      <c r="G1278" s="27"/>
    </row>
    <row r="1279" hidden="1">
      <c r="A1279" s="21"/>
      <c r="B1279" s="21" t="s">
        <v>2186</v>
      </c>
      <c r="D1279" s="25">
        <v>10.0</v>
      </c>
      <c r="E1279" s="27"/>
      <c r="F1279" s="25">
        <v>0.0</v>
      </c>
      <c r="G1279" s="27"/>
    </row>
    <row r="1280" hidden="1">
      <c r="A1280" s="21"/>
      <c r="B1280" s="21" t="s">
        <v>2187</v>
      </c>
      <c r="D1280" s="25">
        <v>10.0</v>
      </c>
      <c r="E1280" s="27"/>
      <c r="F1280" s="25">
        <v>0.0</v>
      </c>
      <c r="G1280" s="27"/>
    </row>
    <row r="1281" hidden="1">
      <c r="A1281" s="21"/>
      <c r="B1281" s="21" t="s">
        <v>2188</v>
      </c>
      <c r="D1281" s="25">
        <v>10.0</v>
      </c>
      <c r="E1281" s="27"/>
      <c r="F1281" s="25">
        <v>0.0</v>
      </c>
      <c r="G1281" s="27"/>
    </row>
    <row r="1282" hidden="1">
      <c r="A1282" s="21"/>
      <c r="B1282" s="21" t="s">
        <v>2189</v>
      </c>
      <c r="D1282" s="25">
        <v>10.0</v>
      </c>
      <c r="E1282" s="27"/>
      <c r="F1282" s="25">
        <v>0.0</v>
      </c>
      <c r="G1282" s="27"/>
    </row>
    <row r="1283" hidden="1">
      <c r="A1283" s="21"/>
      <c r="B1283" s="21" t="s">
        <v>2190</v>
      </c>
      <c r="D1283" s="25">
        <v>10.0</v>
      </c>
      <c r="E1283" s="27"/>
      <c r="F1283" s="25">
        <v>0.0</v>
      </c>
      <c r="G1283" s="27"/>
    </row>
    <row r="1284" hidden="1">
      <c r="A1284" s="21"/>
      <c r="B1284" s="21" t="s">
        <v>2191</v>
      </c>
      <c r="D1284" s="25">
        <v>10.0</v>
      </c>
      <c r="E1284" s="27"/>
      <c r="F1284" s="25">
        <v>2.84</v>
      </c>
      <c r="G1284" s="27"/>
    </row>
    <row r="1285" hidden="1">
      <c r="A1285" s="21"/>
      <c r="B1285" s="21" t="s">
        <v>2192</v>
      </c>
      <c r="D1285" s="25">
        <v>10.0</v>
      </c>
      <c r="E1285" s="27"/>
      <c r="F1285" s="25">
        <v>0.0</v>
      </c>
      <c r="G1285" s="27"/>
    </row>
    <row r="1286" hidden="1">
      <c r="A1286" s="21"/>
      <c r="B1286" s="21" t="s">
        <v>2193</v>
      </c>
      <c r="D1286" s="25">
        <v>10.0</v>
      </c>
      <c r="E1286" s="27"/>
      <c r="F1286" s="25">
        <v>0.0</v>
      </c>
      <c r="G1286" s="27"/>
    </row>
    <row r="1287" hidden="1">
      <c r="A1287" s="21"/>
      <c r="B1287" s="21" t="s">
        <v>2194</v>
      </c>
      <c r="D1287" s="25">
        <v>10.0</v>
      </c>
      <c r="E1287" s="27"/>
      <c r="F1287" s="25">
        <v>0.0</v>
      </c>
      <c r="G1287" s="27"/>
    </row>
    <row r="1288" hidden="1">
      <c r="A1288" s="21"/>
      <c r="B1288" s="21" t="s">
        <v>2195</v>
      </c>
      <c r="D1288" s="25">
        <v>10.0</v>
      </c>
      <c r="E1288" s="27"/>
      <c r="F1288" s="25">
        <v>0.0</v>
      </c>
      <c r="G1288" s="27"/>
    </row>
    <row r="1289" hidden="1">
      <c r="A1289" s="21"/>
      <c r="B1289" s="21" t="s">
        <v>2196</v>
      </c>
      <c r="D1289" s="25">
        <v>10.0</v>
      </c>
      <c r="E1289" s="27"/>
      <c r="F1289" s="25">
        <v>0.0</v>
      </c>
      <c r="G1289" s="27"/>
    </row>
    <row r="1290" hidden="1">
      <c r="A1290" s="21"/>
      <c r="B1290" s="21" t="s">
        <v>2197</v>
      </c>
      <c r="D1290" s="25">
        <v>10.0</v>
      </c>
      <c r="E1290" s="27"/>
      <c r="F1290" s="25">
        <v>0.0</v>
      </c>
      <c r="G1290" s="27"/>
    </row>
    <row r="1291" hidden="1">
      <c r="A1291" s="21"/>
      <c r="B1291" s="21" t="s">
        <v>2198</v>
      </c>
      <c r="D1291" s="25">
        <v>10.0</v>
      </c>
      <c r="E1291" s="27"/>
      <c r="F1291" s="25">
        <v>0.0</v>
      </c>
      <c r="G1291" s="27"/>
    </row>
    <row r="1292" hidden="1">
      <c r="A1292" s="21"/>
      <c r="B1292" s="21" t="s">
        <v>2199</v>
      </c>
      <c r="D1292" s="25">
        <v>10.0</v>
      </c>
      <c r="E1292" s="27"/>
      <c r="F1292" s="25">
        <v>0.0</v>
      </c>
      <c r="G1292" s="27"/>
    </row>
    <row r="1293" hidden="1">
      <c r="A1293" s="21"/>
      <c r="B1293" s="21" t="s">
        <v>2200</v>
      </c>
      <c r="D1293" s="25">
        <v>10.0</v>
      </c>
      <c r="E1293" s="27"/>
      <c r="F1293" s="25">
        <v>0.0</v>
      </c>
      <c r="G1293" s="27"/>
    </row>
    <row r="1294" hidden="1">
      <c r="A1294" s="21"/>
      <c r="B1294" s="21" t="s">
        <v>2201</v>
      </c>
      <c r="D1294" s="25">
        <v>10.0</v>
      </c>
      <c r="E1294" s="27"/>
      <c r="F1294" s="25">
        <v>0.0</v>
      </c>
      <c r="G1294" s="27"/>
    </row>
    <row r="1295" hidden="1">
      <c r="A1295" s="21"/>
      <c r="B1295" s="21" t="s">
        <v>2202</v>
      </c>
      <c r="D1295" s="25">
        <v>10.0</v>
      </c>
      <c r="E1295" s="27"/>
      <c r="F1295" s="25">
        <v>0.0</v>
      </c>
      <c r="G1295" s="27"/>
    </row>
    <row r="1296" hidden="1">
      <c r="A1296" s="21"/>
      <c r="B1296" s="21" t="s">
        <v>2203</v>
      </c>
      <c r="D1296" s="25">
        <v>10.0</v>
      </c>
      <c r="E1296" s="27"/>
      <c r="F1296" s="25">
        <v>0.0</v>
      </c>
      <c r="G1296" s="27"/>
    </row>
    <row r="1297" hidden="1">
      <c r="A1297" s="21"/>
      <c r="B1297" s="21" t="s">
        <v>2204</v>
      </c>
      <c r="D1297" s="25">
        <v>10.0</v>
      </c>
      <c r="E1297" s="27"/>
      <c r="F1297" s="25">
        <v>0.0</v>
      </c>
      <c r="G1297" s="27"/>
    </row>
    <row r="1298" hidden="1">
      <c r="A1298" s="21"/>
      <c r="B1298" s="21" t="s">
        <v>2205</v>
      </c>
      <c r="D1298" s="25">
        <v>10.0</v>
      </c>
      <c r="E1298" s="27"/>
      <c r="F1298" s="25">
        <v>0.0</v>
      </c>
      <c r="G1298" s="27"/>
    </row>
    <row r="1299" hidden="1">
      <c r="A1299" s="21"/>
      <c r="B1299" s="21" t="s">
        <v>2206</v>
      </c>
      <c r="D1299" s="25">
        <v>10.0</v>
      </c>
      <c r="E1299" s="27"/>
      <c r="F1299" s="25">
        <v>0.0</v>
      </c>
      <c r="G1299" s="27"/>
    </row>
    <row r="1300" hidden="1">
      <c r="A1300" s="21"/>
      <c r="B1300" s="21" t="s">
        <v>2207</v>
      </c>
      <c r="D1300" s="25">
        <v>10.0</v>
      </c>
      <c r="E1300" s="27"/>
      <c r="F1300" s="25">
        <v>0.0</v>
      </c>
      <c r="G1300" s="27"/>
    </row>
    <row r="1301" hidden="1">
      <c r="A1301" s="21"/>
      <c r="B1301" s="21" t="s">
        <v>2208</v>
      </c>
      <c r="D1301" s="25">
        <v>10.0</v>
      </c>
      <c r="E1301" s="27"/>
      <c r="F1301" s="25">
        <v>0.0</v>
      </c>
      <c r="G1301" s="27"/>
    </row>
    <row r="1302" hidden="1">
      <c r="A1302" s="21"/>
      <c r="B1302" s="21" t="s">
        <v>2209</v>
      </c>
      <c r="D1302" s="25">
        <v>10.0</v>
      </c>
      <c r="E1302" s="27"/>
      <c r="F1302" s="25">
        <v>8.09</v>
      </c>
      <c r="G1302" s="27"/>
    </row>
    <row r="1303" hidden="1">
      <c r="A1303" s="21"/>
      <c r="B1303" s="21" t="s">
        <v>2210</v>
      </c>
      <c r="D1303" s="25">
        <v>10.0</v>
      </c>
      <c r="E1303" s="27"/>
      <c r="F1303" s="25">
        <v>0.0</v>
      </c>
      <c r="G1303" s="27"/>
    </row>
    <row r="1304" hidden="1">
      <c r="A1304" s="21"/>
      <c r="B1304" s="21" t="s">
        <v>2211</v>
      </c>
      <c r="D1304" s="25">
        <v>10.0</v>
      </c>
      <c r="E1304" s="27"/>
      <c r="F1304" s="25">
        <v>0.0</v>
      </c>
      <c r="G1304" s="27"/>
    </row>
    <row r="1305" hidden="1">
      <c r="A1305" s="21"/>
      <c r="B1305" s="21" t="s">
        <v>2212</v>
      </c>
      <c r="D1305" s="25">
        <v>10.0</v>
      </c>
      <c r="E1305" s="27"/>
      <c r="F1305" s="25">
        <v>0.0</v>
      </c>
      <c r="G1305" s="27"/>
    </row>
    <row r="1306" hidden="1">
      <c r="A1306" s="21"/>
      <c r="B1306" s="21" t="s">
        <v>2213</v>
      </c>
      <c r="D1306" s="25">
        <v>10.0</v>
      </c>
      <c r="E1306" s="27"/>
      <c r="F1306" s="25">
        <v>0.0</v>
      </c>
      <c r="G1306" s="27"/>
    </row>
    <row r="1307" hidden="1">
      <c r="A1307" s="21"/>
      <c r="B1307" s="21" t="s">
        <v>2214</v>
      </c>
      <c r="D1307" s="25">
        <v>10.0</v>
      </c>
      <c r="E1307" s="27"/>
      <c r="F1307" s="25">
        <v>0.0</v>
      </c>
      <c r="G1307" s="27"/>
    </row>
    <row r="1308" hidden="1">
      <c r="A1308" s="21"/>
      <c r="B1308" s="21" t="s">
        <v>2215</v>
      </c>
      <c r="D1308" s="25">
        <v>10.0</v>
      </c>
      <c r="E1308" s="27"/>
      <c r="F1308" s="25">
        <v>0.0</v>
      </c>
      <c r="G1308" s="27"/>
    </row>
    <row r="1309" hidden="1">
      <c r="A1309" s="21"/>
      <c r="B1309" s="21" t="s">
        <v>2216</v>
      </c>
      <c r="D1309" s="25">
        <v>10.0</v>
      </c>
      <c r="E1309" s="27"/>
      <c r="F1309" s="25">
        <v>0.0</v>
      </c>
      <c r="G1309" s="27"/>
    </row>
    <row r="1310" hidden="1">
      <c r="A1310" s="21"/>
      <c r="B1310" s="21" t="s">
        <v>2217</v>
      </c>
      <c r="D1310" s="25">
        <v>10.0</v>
      </c>
      <c r="E1310" s="27"/>
      <c r="F1310" s="25">
        <v>0.0</v>
      </c>
      <c r="G1310" s="27"/>
    </row>
    <row r="1311" hidden="1">
      <c r="A1311" s="21"/>
      <c r="B1311" s="21" t="s">
        <v>2218</v>
      </c>
      <c r="D1311" s="25">
        <v>10.0</v>
      </c>
      <c r="E1311" s="27"/>
      <c r="F1311" s="25">
        <v>0.0</v>
      </c>
      <c r="G1311" s="27"/>
    </row>
    <row r="1312" hidden="1">
      <c r="A1312" s="21"/>
      <c r="B1312" s="21" t="s">
        <v>2219</v>
      </c>
      <c r="D1312" s="25">
        <v>10.0</v>
      </c>
      <c r="E1312" s="27"/>
      <c r="F1312" s="25">
        <v>0.0</v>
      </c>
      <c r="G1312" s="27"/>
    </row>
    <row r="1313" hidden="1">
      <c r="A1313" s="21"/>
      <c r="B1313" s="21" t="s">
        <v>2220</v>
      </c>
      <c r="D1313" s="25">
        <v>10.0</v>
      </c>
      <c r="E1313" s="27"/>
      <c r="F1313" s="25">
        <v>0.0</v>
      </c>
      <c r="G1313" s="27"/>
    </row>
    <row r="1314" hidden="1">
      <c r="A1314" s="21"/>
      <c r="B1314" s="21" t="s">
        <v>2221</v>
      </c>
      <c r="D1314" s="25">
        <v>10.0</v>
      </c>
      <c r="E1314" s="27"/>
      <c r="F1314" s="25">
        <v>0.0</v>
      </c>
      <c r="G1314" s="27"/>
    </row>
    <row r="1315" hidden="1">
      <c r="A1315" s="21"/>
      <c r="B1315" s="21" t="s">
        <v>2222</v>
      </c>
      <c r="D1315" s="25">
        <v>10.0</v>
      </c>
      <c r="E1315" s="27"/>
      <c r="F1315" s="25">
        <v>0.0</v>
      </c>
      <c r="G1315" s="27"/>
    </row>
    <row r="1316" hidden="1">
      <c r="A1316" s="21"/>
      <c r="B1316" s="21" t="s">
        <v>2223</v>
      </c>
      <c r="D1316" s="25">
        <v>10.0</v>
      </c>
      <c r="E1316" s="27"/>
      <c r="F1316" s="25">
        <v>0.0</v>
      </c>
      <c r="G1316" s="27"/>
    </row>
    <row r="1317" hidden="1">
      <c r="A1317" s="21"/>
      <c r="B1317" s="21" t="s">
        <v>2224</v>
      </c>
      <c r="D1317" s="25">
        <v>10.0</v>
      </c>
      <c r="E1317" s="27"/>
      <c r="F1317" s="25">
        <v>0.0</v>
      </c>
      <c r="G1317" s="27"/>
    </row>
    <row r="1318" hidden="1">
      <c r="A1318" s="21"/>
      <c r="B1318" s="21" t="s">
        <v>2225</v>
      </c>
      <c r="D1318" s="25">
        <v>10.0</v>
      </c>
      <c r="E1318" s="27"/>
      <c r="F1318" s="25">
        <v>0.0</v>
      </c>
      <c r="G1318" s="27"/>
    </row>
    <row r="1319" hidden="1">
      <c r="A1319" s="21"/>
      <c r="B1319" s="21" t="s">
        <v>2226</v>
      </c>
      <c r="D1319" s="25">
        <v>10.0</v>
      </c>
      <c r="E1319" s="27"/>
      <c r="F1319" s="25">
        <v>4.17</v>
      </c>
      <c r="G1319" s="27"/>
    </row>
    <row r="1320" hidden="1">
      <c r="A1320" s="21"/>
      <c r="B1320" s="21" t="s">
        <v>2227</v>
      </c>
      <c r="D1320" s="25">
        <v>10.0</v>
      </c>
      <c r="E1320" s="27"/>
      <c r="F1320" s="25">
        <v>8.92</v>
      </c>
      <c r="G1320" s="27"/>
    </row>
    <row r="1321" hidden="1">
      <c r="A1321" s="21"/>
      <c r="B1321" s="21" t="s">
        <v>2228</v>
      </c>
      <c r="D1321" s="25">
        <v>10.0</v>
      </c>
      <c r="E1321" s="27"/>
      <c r="F1321" s="25">
        <v>6.81</v>
      </c>
      <c r="G1321" s="27"/>
    </row>
    <row r="1322" hidden="1">
      <c r="A1322" s="21"/>
      <c r="B1322" s="21" t="s">
        <v>2229</v>
      </c>
      <c r="D1322" s="25">
        <v>10.0</v>
      </c>
      <c r="E1322" s="27"/>
      <c r="F1322" s="25">
        <v>0.0</v>
      </c>
      <c r="G1322" s="27"/>
    </row>
    <row r="1323" hidden="1">
      <c r="A1323" s="21"/>
      <c r="B1323" s="21" t="s">
        <v>2230</v>
      </c>
      <c r="D1323" s="25">
        <v>10.0</v>
      </c>
      <c r="E1323" s="27"/>
      <c r="F1323" s="25">
        <v>0.0</v>
      </c>
      <c r="G1323" s="27"/>
    </row>
    <row r="1324" hidden="1">
      <c r="A1324" s="21"/>
      <c r="B1324" s="21" t="s">
        <v>2231</v>
      </c>
      <c r="D1324" s="25">
        <v>10.0</v>
      </c>
      <c r="E1324" s="27"/>
      <c r="F1324" s="25">
        <v>0.0</v>
      </c>
      <c r="G1324" s="27"/>
    </row>
    <row r="1325" hidden="1">
      <c r="A1325" s="21"/>
      <c r="B1325" s="21" t="s">
        <v>2232</v>
      </c>
      <c r="D1325" s="25">
        <v>10.0</v>
      </c>
      <c r="E1325" s="27"/>
      <c r="F1325" s="25">
        <v>0.0</v>
      </c>
      <c r="G1325" s="27"/>
    </row>
    <row r="1326" hidden="1">
      <c r="A1326" s="21"/>
      <c r="B1326" s="21" t="s">
        <v>2233</v>
      </c>
      <c r="D1326" s="25">
        <v>10.0</v>
      </c>
      <c r="E1326" s="27"/>
      <c r="F1326" s="25">
        <v>0.0</v>
      </c>
      <c r="G1326" s="27"/>
    </row>
    <row r="1327" hidden="1">
      <c r="A1327" s="21"/>
      <c r="B1327" s="21" t="s">
        <v>2234</v>
      </c>
      <c r="D1327" s="25">
        <v>10.0</v>
      </c>
      <c r="E1327" s="27"/>
      <c r="F1327" s="25">
        <v>10.31</v>
      </c>
      <c r="G1327" s="27"/>
    </row>
    <row r="1328" hidden="1">
      <c r="A1328" s="21"/>
      <c r="B1328" s="21" t="s">
        <v>2235</v>
      </c>
      <c r="D1328" s="25">
        <v>10.0</v>
      </c>
      <c r="E1328" s="27"/>
      <c r="F1328" s="25">
        <v>0.0</v>
      </c>
      <c r="G1328" s="27"/>
    </row>
    <row r="1329" hidden="1">
      <c r="A1329" s="21"/>
      <c r="B1329" s="21" t="s">
        <v>2236</v>
      </c>
      <c r="D1329" s="25">
        <v>10.0</v>
      </c>
      <c r="E1329" s="27"/>
      <c r="F1329" s="25">
        <v>0.0</v>
      </c>
      <c r="G1329" s="27"/>
    </row>
    <row r="1330" hidden="1">
      <c r="A1330" s="21"/>
      <c r="B1330" s="21" t="s">
        <v>2237</v>
      </c>
      <c r="D1330" s="25">
        <v>10.0</v>
      </c>
      <c r="E1330" s="27"/>
      <c r="F1330" s="25">
        <v>0.0</v>
      </c>
      <c r="G1330" s="27"/>
    </row>
    <row r="1331" hidden="1">
      <c r="A1331" s="21"/>
      <c r="B1331" s="21" t="s">
        <v>2238</v>
      </c>
      <c r="D1331" s="25">
        <v>10.0</v>
      </c>
      <c r="E1331" s="27"/>
      <c r="F1331" s="25">
        <v>0.0</v>
      </c>
      <c r="G1331" s="27"/>
    </row>
    <row r="1332" hidden="1">
      <c r="A1332" s="21"/>
      <c r="B1332" s="21" t="s">
        <v>2239</v>
      </c>
      <c r="D1332" s="25">
        <v>10.0</v>
      </c>
      <c r="E1332" s="27"/>
      <c r="F1332" s="25">
        <v>0.0</v>
      </c>
      <c r="G1332" s="27"/>
    </row>
    <row r="1333" hidden="1">
      <c r="A1333" s="21"/>
      <c r="B1333" s="21" t="s">
        <v>2240</v>
      </c>
      <c r="D1333" s="25">
        <v>10.0</v>
      </c>
      <c r="E1333" s="27"/>
      <c r="F1333" s="25">
        <v>0.0</v>
      </c>
      <c r="G1333" s="27"/>
    </row>
    <row r="1334" hidden="1">
      <c r="A1334" s="21"/>
      <c r="B1334" s="21" t="s">
        <v>2241</v>
      </c>
      <c r="D1334" s="25">
        <v>10.0</v>
      </c>
      <c r="E1334" s="27"/>
      <c r="F1334" s="25">
        <v>0.0</v>
      </c>
      <c r="G1334" s="27"/>
    </row>
    <row r="1335" hidden="1">
      <c r="A1335" s="21"/>
      <c r="B1335" s="21" t="s">
        <v>2242</v>
      </c>
      <c r="D1335" s="25">
        <v>10.0</v>
      </c>
      <c r="E1335" s="27"/>
      <c r="F1335" s="25">
        <v>0.0</v>
      </c>
      <c r="G1335" s="27"/>
    </row>
    <row r="1336" hidden="1">
      <c r="A1336" s="21"/>
      <c r="B1336" s="21" t="s">
        <v>2243</v>
      </c>
      <c r="D1336" s="25">
        <v>10.0</v>
      </c>
      <c r="E1336" s="27"/>
      <c r="F1336" s="25">
        <v>0.0</v>
      </c>
      <c r="G1336" s="27"/>
    </row>
    <row r="1337" hidden="1">
      <c r="A1337" s="21"/>
      <c r="B1337" s="21" t="s">
        <v>2244</v>
      </c>
      <c r="D1337" s="25">
        <v>10.0</v>
      </c>
      <c r="E1337" s="27"/>
      <c r="F1337" s="25">
        <v>0.0</v>
      </c>
      <c r="G1337" s="27"/>
    </row>
    <row r="1338" hidden="1">
      <c r="A1338" s="21"/>
      <c r="B1338" s="21" t="s">
        <v>2245</v>
      </c>
      <c r="D1338" s="25">
        <v>10.0</v>
      </c>
      <c r="E1338" s="27"/>
      <c r="F1338" s="25">
        <v>0.0</v>
      </c>
      <c r="G1338" s="27"/>
    </row>
    <row r="1339" hidden="1">
      <c r="A1339" s="21"/>
      <c r="B1339" s="21" t="s">
        <v>2246</v>
      </c>
      <c r="D1339" s="25">
        <v>10.0</v>
      </c>
      <c r="E1339" s="27"/>
      <c r="F1339" s="25">
        <v>0.0</v>
      </c>
      <c r="G1339" s="27"/>
    </row>
    <row r="1340" hidden="1">
      <c r="A1340" s="21"/>
      <c r="B1340" s="21" t="s">
        <v>2247</v>
      </c>
      <c r="D1340" s="25">
        <v>10.0</v>
      </c>
      <c r="E1340" s="27"/>
      <c r="F1340" s="25">
        <v>0.0</v>
      </c>
      <c r="G1340" s="27"/>
    </row>
    <row r="1341" hidden="1">
      <c r="A1341" s="21"/>
      <c r="B1341" s="21" t="s">
        <v>2248</v>
      </c>
      <c r="D1341" s="25">
        <v>10.0</v>
      </c>
      <c r="E1341" s="27"/>
      <c r="F1341" s="25">
        <v>0.0</v>
      </c>
      <c r="G1341" s="27"/>
    </row>
    <row r="1342" hidden="1">
      <c r="A1342" s="21"/>
      <c r="B1342" s="21" t="s">
        <v>2249</v>
      </c>
      <c r="D1342" s="25">
        <v>10.0</v>
      </c>
      <c r="E1342" s="27"/>
      <c r="F1342" s="25">
        <v>0.0</v>
      </c>
      <c r="G1342" s="27"/>
    </row>
    <row r="1343" hidden="1">
      <c r="A1343" s="21"/>
      <c r="B1343" s="21" t="s">
        <v>2250</v>
      </c>
      <c r="D1343" s="25">
        <v>10.0</v>
      </c>
      <c r="E1343" s="27"/>
      <c r="F1343" s="25">
        <v>0.0</v>
      </c>
      <c r="G1343" s="27"/>
    </row>
    <row r="1344" hidden="1">
      <c r="A1344" s="21"/>
      <c r="B1344" s="21" t="s">
        <v>2251</v>
      </c>
      <c r="D1344" s="25">
        <v>10.0</v>
      </c>
      <c r="E1344" s="27"/>
      <c r="F1344" s="25">
        <v>0.0</v>
      </c>
      <c r="G1344" s="27"/>
    </row>
    <row r="1345" hidden="1">
      <c r="A1345" s="21"/>
      <c r="B1345" s="21" t="s">
        <v>2252</v>
      </c>
      <c r="D1345" s="25">
        <v>10.0</v>
      </c>
      <c r="E1345" s="27"/>
      <c r="F1345" s="25">
        <v>0.0</v>
      </c>
      <c r="G1345" s="27"/>
    </row>
    <row r="1346" hidden="1">
      <c r="A1346" s="21"/>
      <c r="B1346" s="21" t="s">
        <v>2253</v>
      </c>
      <c r="D1346" s="25">
        <v>10.0</v>
      </c>
      <c r="E1346" s="27"/>
      <c r="F1346" s="25">
        <v>0.0</v>
      </c>
      <c r="G1346" s="27"/>
    </row>
    <row r="1347" hidden="1">
      <c r="A1347" s="21"/>
      <c r="B1347" s="21" t="s">
        <v>2254</v>
      </c>
      <c r="D1347" s="25">
        <v>10.0</v>
      </c>
      <c r="E1347" s="27"/>
      <c r="F1347" s="25">
        <v>0.0</v>
      </c>
      <c r="G1347" s="27"/>
    </row>
    <row r="1348" hidden="1">
      <c r="A1348" s="21"/>
      <c r="B1348" s="21" t="s">
        <v>2255</v>
      </c>
      <c r="D1348" s="25">
        <v>10.0</v>
      </c>
      <c r="E1348" s="27"/>
      <c r="F1348" s="25">
        <v>0.0</v>
      </c>
      <c r="G1348" s="27"/>
    </row>
    <row r="1349" hidden="1">
      <c r="A1349" s="21"/>
      <c r="B1349" s="21" t="s">
        <v>2256</v>
      </c>
      <c r="D1349" s="25">
        <v>10.0</v>
      </c>
      <c r="E1349" s="27"/>
      <c r="F1349" s="25">
        <v>0.0</v>
      </c>
      <c r="G1349" s="27"/>
    </row>
    <row r="1350" hidden="1">
      <c r="A1350" s="21"/>
      <c r="B1350" s="21" t="s">
        <v>2257</v>
      </c>
      <c r="D1350" s="25">
        <v>10.0</v>
      </c>
      <c r="E1350" s="27"/>
      <c r="F1350" s="25">
        <v>0.0</v>
      </c>
      <c r="G1350" s="27"/>
    </row>
    <row r="1351" hidden="1">
      <c r="A1351" s="21"/>
      <c r="B1351" s="21" t="s">
        <v>2258</v>
      </c>
      <c r="D1351" s="25">
        <v>10.0</v>
      </c>
      <c r="E1351" s="27"/>
      <c r="F1351" s="25">
        <v>0.0</v>
      </c>
      <c r="G1351" s="27"/>
    </row>
    <row r="1352" hidden="1">
      <c r="A1352" s="21"/>
      <c r="B1352" s="21" t="s">
        <v>2259</v>
      </c>
      <c r="D1352" s="25">
        <v>10.0</v>
      </c>
      <c r="E1352" s="27"/>
      <c r="F1352" s="25">
        <v>3.0</v>
      </c>
      <c r="G1352" s="27"/>
    </row>
    <row r="1353" hidden="1">
      <c r="A1353" s="21"/>
      <c r="B1353" s="21" t="s">
        <v>2260</v>
      </c>
      <c r="D1353" s="25">
        <v>10.0</v>
      </c>
      <c r="E1353" s="27"/>
      <c r="F1353" s="25">
        <v>0.0</v>
      </c>
      <c r="G1353" s="27"/>
    </row>
    <row r="1354" hidden="1">
      <c r="A1354" s="21"/>
      <c r="B1354" s="21" t="s">
        <v>2261</v>
      </c>
      <c r="D1354" s="25">
        <v>10.0</v>
      </c>
      <c r="E1354" s="27"/>
      <c r="F1354" s="25">
        <v>0.0</v>
      </c>
      <c r="G1354" s="27"/>
    </row>
    <row r="1355" hidden="1">
      <c r="A1355" s="21"/>
      <c r="B1355" s="21" t="s">
        <v>2262</v>
      </c>
      <c r="D1355" s="25">
        <v>10.0</v>
      </c>
      <c r="E1355" s="27"/>
      <c r="F1355" s="25">
        <v>0.0</v>
      </c>
      <c r="G1355" s="27"/>
    </row>
    <row r="1356" hidden="1">
      <c r="A1356" s="21"/>
      <c r="B1356" s="21" t="s">
        <v>2263</v>
      </c>
      <c r="D1356" s="25">
        <v>10.0</v>
      </c>
      <c r="E1356" s="27"/>
      <c r="F1356" s="25">
        <v>0.0</v>
      </c>
      <c r="G1356" s="27"/>
    </row>
    <row r="1357" hidden="1">
      <c r="A1357" s="21"/>
      <c r="B1357" s="21" t="s">
        <v>2264</v>
      </c>
      <c r="D1357" s="25">
        <v>10.0</v>
      </c>
      <c r="E1357" s="27"/>
      <c r="F1357" s="25">
        <v>0.0</v>
      </c>
      <c r="G1357" s="27"/>
    </row>
    <row r="1358" hidden="1">
      <c r="A1358" s="21"/>
      <c r="B1358" s="21" t="s">
        <v>2265</v>
      </c>
      <c r="D1358" s="25">
        <v>10.0</v>
      </c>
      <c r="E1358" s="27"/>
      <c r="F1358" s="25">
        <v>0.0</v>
      </c>
      <c r="G1358" s="27"/>
    </row>
    <row r="1359" hidden="1">
      <c r="A1359" s="21"/>
      <c r="B1359" s="21" t="s">
        <v>2266</v>
      </c>
      <c r="D1359" s="25">
        <v>10.0</v>
      </c>
      <c r="E1359" s="27"/>
      <c r="F1359" s="25">
        <v>0.0</v>
      </c>
      <c r="G1359" s="27"/>
    </row>
    <row r="1360" hidden="1">
      <c r="A1360" s="21"/>
      <c r="B1360" s="21" t="s">
        <v>2267</v>
      </c>
      <c r="D1360" s="25">
        <v>10.0</v>
      </c>
      <c r="E1360" s="27"/>
      <c r="F1360" s="25">
        <v>0.0</v>
      </c>
      <c r="G1360" s="27"/>
    </row>
    <row r="1361" hidden="1">
      <c r="A1361" s="21"/>
      <c r="B1361" s="21" t="s">
        <v>2268</v>
      </c>
      <c r="D1361" s="25">
        <v>10.0</v>
      </c>
      <c r="E1361" s="27"/>
      <c r="F1361" s="25">
        <v>0.0</v>
      </c>
      <c r="G1361" s="27"/>
    </row>
    <row r="1362" hidden="1">
      <c r="A1362" s="21"/>
      <c r="B1362" s="21" t="s">
        <v>2269</v>
      </c>
      <c r="D1362" s="25">
        <v>10.0</v>
      </c>
      <c r="E1362" s="27"/>
      <c r="F1362" s="25">
        <v>0.0</v>
      </c>
      <c r="G1362" s="27"/>
    </row>
    <row r="1363" hidden="1">
      <c r="A1363" s="21"/>
      <c r="B1363" s="21" t="s">
        <v>2270</v>
      </c>
      <c r="D1363" s="25">
        <v>10.0</v>
      </c>
      <c r="E1363" s="27"/>
      <c r="F1363" s="25">
        <v>0.0</v>
      </c>
      <c r="G1363" s="27"/>
    </row>
    <row r="1364" hidden="1">
      <c r="A1364" s="21"/>
      <c r="B1364" s="21" t="s">
        <v>2271</v>
      </c>
      <c r="D1364" s="25">
        <v>10.0</v>
      </c>
      <c r="E1364" s="27"/>
      <c r="F1364" s="25">
        <v>0.0</v>
      </c>
      <c r="G1364" s="27"/>
    </row>
    <row r="1365" hidden="1">
      <c r="A1365" s="21"/>
      <c r="B1365" s="21" t="s">
        <v>2272</v>
      </c>
      <c r="D1365" s="25">
        <v>10.0</v>
      </c>
      <c r="E1365" s="27"/>
      <c r="F1365" s="25">
        <v>0.0</v>
      </c>
      <c r="G1365" s="27"/>
    </row>
    <row r="1366" hidden="1">
      <c r="A1366" s="21"/>
      <c r="B1366" s="21" t="s">
        <v>2273</v>
      </c>
      <c r="D1366" s="25">
        <v>10.0</v>
      </c>
      <c r="E1366" s="27"/>
      <c r="F1366" s="25">
        <v>0.0</v>
      </c>
      <c r="G1366" s="27"/>
    </row>
    <row r="1367" hidden="1">
      <c r="A1367" s="21"/>
      <c r="B1367" s="21" t="s">
        <v>2274</v>
      </c>
      <c r="D1367" s="25">
        <v>10.0</v>
      </c>
      <c r="E1367" s="27"/>
      <c r="F1367" s="25">
        <v>0.0</v>
      </c>
      <c r="G1367" s="27"/>
    </row>
    <row r="1368" hidden="1">
      <c r="A1368" s="21"/>
      <c r="B1368" s="21" t="s">
        <v>2275</v>
      </c>
      <c r="D1368" s="25">
        <v>10.0</v>
      </c>
      <c r="E1368" s="27"/>
      <c r="F1368" s="25">
        <v>0.0</v>
      </c>
      <c r="G1368" s="27"/>
    </row>
    <row r="1369" hidden="1">
      <c r="A1369" s="21"/>
      <c r="B1369" s="21" t="s">
        <v>2276</v>
      </c>
      <c r="D1369" s="25">
        <v>10.0</v>
      </c>
      <c r="E1369" s="27"/>
      <c r="F1369" s="25">
        <v>0.0</v>
      </c>
      <c r="G1369" s="27"/>
    </row>
    <row r="1370" hidden="1">
      <c r="A1370" s="21"/>
      <c r="B1370" s="21" t="s">
        <v>2277</v>
      </c>
      <c r="D1370" s="25">
        <v>10.0</v>
      </c>
      <c r="E1370" s="27"/>
      <c r="F1370" s="25">
        <v>0.0</v>
      </c>
      <c r="G1370" s="27"/>
    </row>
    <row r="1371" hidden="1">
      <c r="A1371" s="21"/>
      <c r="B1371" s="21" t="s">
        <v>2278</v>
      </c>
      <c r="D1371" s="25">
        <v>10.0</v>
      </c>
      <c r="E1371" s="27"/>
      <c r="F1371" s="25">
        <v>0.0</v>
      </c>
      <c r="G1371" s="27"/>
    </row>
    <row r="1372" hidden="1">
      <c r="A1372" s="21"/>
      <c r="B1372" s="21" t="s">
        <v>2279</v>
      </c>
      <c r="D1372" s="25">
        <v>10.0</v>
      </c>
      <c r="E1372" s="27"/>
      <c r="F1372" s="25">
        <v>0.0</v>
      </c>
      <c r="G1372" s="27"/>
    </row>
    <row r="1373" hidden="1">
      <c r="A1373" s="21"/>
      <c r="B1373" s="21" t="s">
        <v>2280</v>
      </c>
      <c r="D1373" s="25">
        <v>10.0</v>
      </c>
      <c r="E1373" s="27"/>
      <c r="F1373" s="25">
        <v>0.0</v>
      </c>
      <c r="G1373" s="27"/>
    </row>
    <row r="1374" hidden="1">
      <c r="A1374" s="21"/>
      <c r="B1374" s="21" t="s">
        <v>2281</v>
      </c>
      <c r="D1374" s="25">
        <v>10.0</v>
      </c>
      <c r="E1374" s="27"/>
      <c r="F1374" s="25">
        <v>0.0</v>
      </c>
      <c r="G1374" s="27"/>
    </row>
    <row r="1375" hidden="1">
      <c r="A1375" s="21"/>
      <c r="B1375" s="21" t="s">
        <v>2282</v>
      </c>
      <c r="D1375" s="25">
        <v>10.0</v>
      </c>
      <c r="E1375" s="27"/>
      <c r="F1375" s="25">
        <v>0.0</v>
      </c>
      <c r="G1375" s="27"/>
    </row>
    <row r="1376" hidden="1">
      <c r="A1376" s="21"/>
      <c r="B1376" s="21" t="s">
        <v>2283</v>
      </c>
      <c r="D1376" s="25">
        <v>10.0</v>
      </c>
      <c r="E1376" s="27"/>
      <c r="F1376" s="25">
        <v>4.17</v>
      </c>
      <c r="G1376" s="27"/>
    </row>
    <row r="1377" hidden="1">
      <c r="A1377" s="21"/>
      <c r="B1377" s="21" t="s">
        <v>2284</v>
      </c>
      <c r="D1377" s="25">
        <v>10.0</v>
      </c>
      <c r="E1377" s="27"/>
      <c r="F1377" s="25">
        <v>0.0</v>
      </c>
      <c r="G1377" s="27"/>
    </row>
    <row r="1378" hidden="1">
      <c r="A1378" s="21"/>
      <c r="B1378" s="21" t="s">
        <v>2285</v>
      </c>
      <c r="D1378" s="25">
        <v>10.0</v>
      </c>
      <c r="E1378" s="27"/>
      <c r="F1378" s="25">
        <v>0.0</v>
      </c>
      <c r="G1378" s="27"/>
    </row>
    <row r="1379" hidden="1">
      <c r="A1379" s="21"/>
      <c r="B1379" s="21" t="s">
        <v>2286</v>
      </c>
      <c r="D1379" s="25">
        <v>10.0</v>
      </c>
      <c r="E1379" s="27"/>
      <c r="F1379" s="25">
        <v>0.0</v>
      </c>
      <c r="G1379" s="27"/>
    </row>
    <row r="1380" hidden="1">
      <c r="A1380" s="21"/>
      <c r="B1380" s="21" t="s">
        <v>2287</v>
      </c>
      <c r="D1380" s="25">
        <v>10.0</v>
      </c>
      <c r="E1380" s="27"/>
      <c r="F1380" s="25">
        <v>0.0</v>
      </c>
      <c r="G1380" s="27"/>
    </row>
    <row r="1381" hidden="1">
      <c r="A1381" s="21"/>
      <c r="B1381" s="21" t="s">
        <v>2288</v>
      </c>
      <c r="D1381" s="25">
        <v>10.0</v>
      </c>
      <c r="E1381" s="27"/>
      <c r="F1381" s="25">
        <v>0.0</v>
      </c>
      <c r="G1381" s="27"/>
    </row>
    <row r="1382" hidden="1">
      <c r="A1382" s="21"/>
      <c r="B1382" s="21" t="s">
        <v>2289</v>
      </c>
      <c r="D1382" s="25">
        <v>10.0</v>
      </c>
      <c r="E1382" s="27"/>
      <c r="F1382" s="25">
        <v>0.0</v>
      </c>
      <c r="G1382" s="27"/>
    </row>
    <row r="1383" hidden="1">
      <c r="A1383" s="21"/>
      <c r="B1383" s="21" t="s">
        <v>2290</v>
      </c>
      <c r="D1383" s="25">
        <v>10.0</v>
      </c>
      <c r="E1383" s="27"/>
      <c r="F1383" s="25">
        <v>0.0</v>
      </c>
      <c r="G1383" s="27"/>
    </row>
    <row r="1384" hidden="1">
      <c r="A1384" s="21"/>
      <c r="B1384" s="21" t="s">
        <v>2291</v>
      </c>
      <c r="D1384" s="25">
        <v>10.0</v>
      </c>
      <c r="E1384" s="27"/>
      <c r="F1384" s="25">
        <v>0.0</v>
      </c>
      <c r="G1384" s="27"/>
    </row>
    <row r="1385" hidden="1">
      <c r="A1385" s="21"/>
      <c r="B1385" s="21" t="s">
        <v>2292</v>
      </c>
      <c r="D1385" s="25">
        <v>10.0</v>
      </c>
      <c r="E1385" s="27"/>
      <c r="F1385" s="25">
        <v>0.0</v>
      </c>
      <c r="G1385" s="27"/>
    </row>
    <row r="1386" hidden="1">
      <c r="A1386" s="21"/>
      <c r="B1386" s="21" t="s">
        <v>2293</v>
      </c>
      <c r="D1386" s="25">
        <v>10.0</v>
      </c>
      <c r="E1386" s="27"/>
      <c r="F1386" s="25">
        <v>0.0</v>
      </c>
      <c r="G1386" s="27"/>
    </row>
    <row r="1387" hidden="1">
      <c r="A1387" s="21"/>
      <c r="B1387" s="21" t="s">
        <v>2294</v>
      </c>
      <c r="D1387" s="25">
        <v>10.0</v>
      </c>
      <c r="E1387" s="27"/>
      <c r="F1387" s="25">
        <v>0.0</v>
      </c>
      <c r="G1387" s="27"/>
    </row>
    <row r="1388" hidden="1">
      <c r="A1388" s="21"/>
      <c r="B1388" s="21" t="s">
        <v>2295</v>
      </c>
      <c r="D1388" s="25">
        <v>10.0</v>
      </c>
      <c r="E1388" s="27"/>
      <c r="F1388" s="25">
        <v>0.0</v>
      </c>
      <c r="G1388" s="27"/>
    </row>
    <row r="1389" hidden="1">
      <c r="A1389" s="21"/>
      <c r="B1389" s="21" t="s">
        <v>2296</v>
      </c>
      <c r="D1389" s="25">
        <v>10.0</v>
      </c>
      <c r="E1389" s="27"/>
      <c r="F1389" s="25">
        <v>0.0</v>
      </c>
      <c r="G1389" s="27"/>
    </row>
    <row r="1390" hidden="1">
      <c r="A1390" s="21"/>
      <c r="B1390" s="21" t="s">
        <v>2297</v>
      </c>
      <c r="D1390" s="25">
        <v>10.0</v>
      </c>
      <c r="E1390" s="27"/>
      <c r="F1390" s="25">
        <v>0.0</v>
      </c>
      <c r="G1390" s="27"/>
    </row>
    <row r="1391" hidden="1">
      <c r="A1391" s="21"/>
      <c r="B1391" s="21" t="s">
        <v>2298</v>
      </c>
      <c r="D1391" s="25">
        <v>10.0</v>
      </c>
      <c r="E1391" s="27"/>
      <c r="F1391" s="25">
        <v>0.0</v>
      </c>
      <c r="G1391" s="27"/>
    </row>
    <row r="1392" hidden="1">
      <c r="A1392" s="21"/>
      <c r="B1392" s="21" t="s">
        <v>2299</v>
      </c>
      <c r="D1392" s="25">
        <v>10.0</v>
      </c>
      <c r="E1392" s="27"/>
      <c r="F1392" s="25">
        <v>0.0</v>
      </c>
      <c r="G1392" s="27"/>
    </row>
    <row r="1393" hidden="1">
      <c r="A1393" s="21"/>
      <c r="B1393" s="21" t="s">
        <v>2300</v>
      </c>
      <c r="D1393" s="25">
        <v>10.0</v>
      </c>
      <c r="E1393" s="27"/>
      <c r="F1393" s="25">
        <v>0.0</v>
      </c>
      <c r="G1393" s="27"/>
    </row>
    <row r="1394" hidden="1">
      <c r="A1394" s="21"/>
      <c r="B1394" s="21" t="s">
        <v>2301</v>
      </c>
      <c r="D1394" s="25">
        <v>10.0</v>
      </c>
      <c r="E1394" s="27"/>
      <c r="F1394" s="25">
        <v>0.0</v>
      </c>
      <c r="G1394" s="27"/>
    </row>
    <row r="1395" hidden="1">
      <c r="A1395" s="21"/>
      <c r="B1395" s="21" t="s">
        <v>2302</v>
      </c>
      <c r="D1395" s="25">
        <v>10.0</v>
      </c>
      <c r="E1395" s="27"/>
      <c r="F1395" s="25">
        <v>0.0</v>
      </c>
      <c r="G1395" s="27"/>
    </row>
    <row r="1396" hidden="1">
      <c r="A1396" s="21"/>
      <c r="B1396" s="21" t="s">
        <v>2303</v>
      </c>
      <c r="D1396" s="25">
        <v>10.0</v>
      </c>
      <c r="E1396" s="27"/>
      <c r="F1396" s="25">
        <v>0.0</v>
      </c>
      <c r="G1396" s="27"/>
    </row>
    <row r="1397" hidden="1">
      <c r="A1397" s="21"/>
      <c r="B1397" s="21" t="s">
        <v>2304</v>
      </c>
      <c r="D1397" s="25">
        <v>10.0</v>
      </c>
      <c r="E1397" s="27"/>
      <c r="F1397" s="25">
        <v>0.0</v>
      </c>
      <c r="G1397" s="27"/>
    </row>
    <row r="1398" hidden="1">
      <c r="A1398" s="21"/>
      <c r="B1398" s="21" t="s">
        <v>2305</v>
      </c>
      <c r="D1398" s="25">
        <v>10.0</v>
      </c>
      <c r="E1398" s="27"/>
      <c r="F1398" s="25">
        <v>0.0</v>
      </c>
      <c r="G1398" s="27"/>
    </row>
    <row r="1399" hidden="1">
      <c r="A1399" s="21"/>
      <c r="B1399" s="21" t="s">
        <v>2306</v>
      </c>
      <c r="D1399" s="25">
        <v>10.0</v>
      </c>
      <c r="E1399" s="27"/>
      <c r="F1399" s="25">
        <v>0.0</v>
      </c>
      <c r="G1399" s="27"/>
    </row>
    <row r="1400" hidden="1">
      <c r="A1400" s="21"/>
      <c r="B1400" s="21" t="s">
        <v>2307</v>
      </c>
      <c r="D1400" s="25">
        <v>10.0</v>
      </c>
      <c r="E1400" s="27"/>
      <c r="F1400" s="25">
        <v>0.0</v>
      </c>
      <c r="G1400" s="27"/>
    </row>
    <row r="1401" hidden="1">
      <c r="A1401" s="21"/>
      <c r="B1401" s="21" t="s">
        <v>2308</v>
      </c>
      <c r="D1401" s="25">
        <v>10.0</v>
      </c>
      <c r="E1401" s="27"/>
      <c r="F1401" s="25">
        <v>0.0</v>
      </c>
      <c r="G1401" s="27"/>
    </row>
    <row r="1402" hidden="1">
      <c r="A1402" s="21"/>
      <c r="B1402" s="21" t="s">
        <v>2309</v>
      </c>
      <c r="D1402" s="25">
        <v>10.0</v>
      </c>
      <c r="E1402" s="27"/>
      <c r="F1402" s="25">
        <v>0.0</v>
      </c>
      <c r="G1402" s="27"/>
    </row>
    <row r="1403" hidden="1">
      <c r="A1403" s="21"/>
      <c r="B1403" s="21" t="s">
        <v>2310</v>
      </c>
      <c r="D1403" s="25">
        <v>10.0</v>
      </c>
      <c r="E1403" s="27"/>
      <c r="F1403" s="25">
        <v>0.0</v>
      </c>
      <c r="G1403" s="27"/>
    </row>
    <row r="1404" hidden="1">
      <c r="A1404" s="21"/>
      <c r="B1404" s="21" t="s">
        <v>2311</v>
      </c>
      <c r="D1404" s="25">
        <v>10.0</v>
      </c>
      <c r="E1404" s="27"/>
      <c r="F1404" s="25">
        <v>0.0</v>
      </c>
      <c r="G1404" s="27"/>
    </row>
    <row r="1405" hidden="1">
      <c r="A1405" s="21"/>
      <c r="B1405" s="21" t="s">
        <v>2312</v>
      </c>
      <c r="D1405" s="25">
        <v>10.0</v>
      </c>
      <c r="E1405" s="27"/>
      <c r="F1405" s="25">
        <v>0.0</v>
      </c>
      <c r="G1405" s="27"/>
    </row>
    <row r="1406" hidden="1">
      <c r="A1406" s="21"/>
      <c r="B1406" s="21" t="s">
        <v>2313</v>
      </c>
      <c r="D1406" s="25">
        <v>10.0</v>
      </c>
      <c r="E1406" s="27"/>
      <c r="F1406" s="25">
        <v>0.0</v>
      </c>
      <c r="G1406" s="27"/>
    </row>
    <row r="1407" hidden="1">
      <c r="A1407" s="21"/>
      <c r="B1407" s="21" t="s">
        <v>2314</v>
      </c>
      <c r="D1407" s="25">
        <v>10.0</v>
      </c>
      <c r="E1407" s="27"/>
      <c r="F1407" s="25">
        <v>0.0</v>
      </c>
      <c r="G1407" s="27"/>
    </row>
    <row r="1408" hidden="1">
      <c r="A1408" s="21"/>
      <c r="B1408" s="21" t="s">
        <v>2315</v>
      </c>
      <c r="D1408" s="25">
        <v>10.0</v>
      </c>
      <c r="E1408" s="27"/>
      <c r="F1408" s="25">
        <v>0.0</v>
      </c>
      <c r="G1408" s="27"/>
    </row>
    <row r="1409" hidden="1">
      <c r="A1409" s="21"/>
      <c r="B1409" s="21" t="s">
        <v>2316</v>
      </c>
      <c r="D1409" s="25">
        <v>10.0</v>
      </c>
      <c r="E1409" s="27"/>
      <c r="F1409" s="25">
        <v>0.0</v>
      </c>
      <c r="G1409" s="27"/>
    </row>
    <row r="1410" hidden="1">
      <c r="A1410" s="21"/>
      <c r="B1410" s="21" t="s">
        <v>2317</v>
      </c>
      <c r="D1410" s="25">
        <v>10.0</v>
      </c>
      <c r="E1410" s="27"/>
      <c r="F1410" s="25">
        <v>0.0</v>
      </c>
      <c r="G1410" s="27"/>
    </row>
    <row r="1411" hidden="1">
      <c r="A1411" s="21"/>
      <c r="B1411" s="21" t="s">
        <v>2318</v>
      </c>
      <c r="D1411" s="25">
        <v>10.0</v>
      </c>
      <c r="E1411" s="27"/>
      <c r="F1411" s="25">
        <v>0.0</v>
      </c>
      <c r="G1411" s="27"/>
    </row>
    <row r="1412" hidden="1">
      <c r="A1412" s="21"/>
      <c r="B1412" s="21" t="s">
        <v>2319</v>
      </c>
      <c r="D1412" s="25">
        <v>10.0</v>
      </c>
      <c r="E1412" s="27"/>
      <c r="F1412" s="25">
        <v>0.0</v>
      </c>
      <c r="G1412" s="27"/>
    </row>
    <row r="1413" hidden="1">
      <c r="A1413" s="21"/>
      <c r="B1413" s="21" t="s">
        <v>2320</v>
      </c>
      <c r="D1413" s="25">
        <v>10.0</v>
      </c>
      <c r="E1413" s="27"/>
      <c r="F1413" s="25">
        <v>0.0</v>
      </c>
      <c r="G1413" s="27"/>
    </row>
    <row r="1414" hidden="1">
      <c r="A1414" s="21"/>
      <c r="B1414" s="21" t="s">
        <v>2321</v>
      </c>
      <c r="D1414" s="25">
        <v>10.0</v>
      </c>
      <c r="E1414" s="27"/>
      <c r="F1414" s="25">
        <v>0.0</v>
      </c>
      <c r="G1414" s="27"/>
    </row>
    <row r="1415" hidden="1">
      <c r="A1415" s="21"/>
      <c r="B1415" s="21" t="s">
        <v>2322</v>
      </c>
      <c r="D1415" s="25">
        <v>10.0</v>
      </c>
      <c r="E1415" s="27"/>
      <c r="F1415" s="25">
        <v>0.0</v>
      </c>
      <c r="G1415" s="27"/>
    </row>
    <row r="1416" hidden="1">
      <c r="A1416" s="21"/>
      <c r="B1416" s="21" t="s">
        <v>2323</v>
      </c>
      <c r="D1416" s="25">
        <v>10.0</v>
      </c>
      <c r="E1416" s="27"/>
      <c r="F1416" s="25">
        <v>0.0</v>
      </c>
      <c r="G1416" s="27"/>
    </row>
    <row r="1417" hidden="1">
      <c r="A1417" s="21"/>
      <c r="B1417" s="21" t="s">
        <v>2324</v>
      </c>
      <c r="D1417" s="25">
        <v>10.0</v>
      </c>
      <c r="E1417" s="27"/>
      <c r="F1417" s="25">
        <v>0.0</v>
      </c>
      <c r="G1417" s="27"/>
    </row>
    <row r="1418" hidden="1">
      <c r="A1418" s="21"/>
      <c r="B1418" s="21" t="s">
        <v>2325</v>
      </c>
      <c r="D1418" s="25">
        <v>10.0</v>
      </c>
      <c r="E1418" s="27"/>
      <c r="F1418" s="25">
        <v>0.0</v>
      </c>
      <c r="G1418" s="27"/>
    </row>
    <row r="1419" hidden="1">
      <c r="A1419" s="21"/>
      <c r="B1419" s="21" t="s">
        <v>2326</v>
      </c>
      <c r="D1419" s="25">
        <v>10.0</v>
      </c>
      <c r="E1419" s="27"/>
      <c r="F1419" s="25">
        <v>0.0</v>
      </c>
      <c r="G1419" s="27"/>
    </row>
    <row r="1420" hidden="1">
      <c r="A1420" s="21"/>
      <c r="B1420" s="21" t="s">
        <v>2327</v>
      </c>
      <c r="D1420" s="25">
        <v>10.0</v>
      </c>
      <c r="E1420" s="27"/>
      <c r="F1420" s="25">
        <v>0.0</v>
      </c>
      <c r="G1420" s="27"/>
    </row>
    <row r="1421" hidden="1">
      <c r="A1421" s="21"/>
      <c r="B1421" s="21" t="s">
        <v>2328</v>
      </c>
      <c r="D1421" s="25">
        <v>10.0</v>
      </c>
      <c r="E1421" s="27"/>
      <c r="F1421" s="25">
        <v>0.0</v>
      </c>
      <c r="G1421" s="27"/>
    </row>
    <row r="1422" hidden="1">
      <c r="A1422" s="21"/>
      <c r="B1422" s="21" t="s">
        <v>2329</v>
      </c>
      <c r="D1422" s="25">
        <v>10.0</v>
      </c>
      <c r="E1422" s="27"/>
      <c r="F1422" s="25">
        <v>0.0</v>
      </c>
      <c r="G1422" s="27"/>
    </row>
    <row r="1423" hidden="1">
      <c r="A1423" s="21"/>
      <c r="B1423" s="21" t="s">
        <v>2330</v>
      </c>
      <c r="D1423" s="25">
        <v>10.0</v>
      </c>
      <c r="E1423" s="27"/>
      <c r="F1423" s="25">
        <v>0.0</v>
      </c>
      <c r="G1423" s="27"/>
    </row>
    <row r="1424" hidden="1">
      <c r="A1424" s="21"/>
      <c r="B1424" s="21" t="s">
        <v>2331</v>
      </c>
      <c r="D1424" s="25">
        <v>10.0</v>
      </c>
      <c r="E1424" s="27"/>
      <c r="F1424" s="25">
        <v>0.0</v>
      </c>
      <c r="G1424" s="27"/>
    </row>
    <row r="1425" hidden="1">
      <c r="A1425" s="21"/>
      <c r="B1425" s="21" t="s">
        <v>2332</v>
      </c>
      <c r="D1425" s="25">
        <v>10.0</v>
      </c>
      <c r="E1425" s="27"/>
      <c r="F1425" s="25">
        <v>0.0</v>
      </c>
      <c r="G1425" s="27"/>
    </row>
    <row r="1426" hidden="1">
      <c r="A1426" s="21"/>
      <c r="B1426" s="21" t="s">
        <v>2333</v>
      </c>
      <c r="D1426" s="25">
        <v>10.0</v>
      </c>
      <c r="E1426" s="27"/>
      <c r="F1426" s="25">
        <v>0.0</v>
      </c>
      <c r="G1426" s="27"/>
    </row>
    <row r="1427" hidden="1">
      <c r="A1427" s="21"/>
      <c r="B1427" s="21" t="s">
        <v>2334</v>
      </c>
      <c r="D1427" s="25">
        <v>10.0</v>
      </c>
      <c r="E1427" s="27"/>
      <c r="F1427" s="25">
        <v>0.0</v>
      </c>
      <c r="G1427" s="27"/>
    </row>
    <row r="1428" hidden="1">
      <c r="A1428" s="21"/>
      <c r="B1428" s="21" t="s">
        <v>2335</v>
      </c>
      <c r="D1428" s="25">
        <v>10.0</v>
      </c>
      <c r="E1428" s="27"/>
      <c r="F1428" s="25">
        <v>0.0</v>
      </c>
      <c r="G1428" s="27"/>
    </row>
    <row r="1429" hidden="1">
      <c r="A1429" s="21"/>
      <c r="B1429" s="21" t="s">
        <v>2336</v>
      </c>
      <c r="D1429" s="25">
        <v>10.0</v>
      </c>
      <c r="E1429" s="27"/>
      <c r="F1429" s="25">
        <v>5.1</v>
      </c>
      <c r="G1429" s="27"/>
    </row>
    <row r="1430" hidden="1">
      <c r="A1430" s="21"/>
      <c r="B1430" s="21" t="s">
        <v>2337</v>
      </c>
      <c r="D1430" s="25">
        <v>10.0</v>
      </c>
      <c r="E1430" s="27"/>
      <c r="F1430" s="25">
        <v>0.0</v>
      </c>
      <c r="G1430" s="27"/>
    </row>
    <row r="1431" hidden="1">
      <c r="A1431" s="21"/>
      <c r="B1431" s="21" t="s">
        <v>2338</v>
      </c>
      <c r="D1431" s="25">
        <v>10.0</v>
      </c>
      <c r="E1431" s="27"/>
      <c r="F1431" s="25">
        <v>0.0</v>
      </c>
      <c r="G1431" s="27"/>
    </row>
    <row r="1432" hidden="1">
      <c r="A1432" s="21"/>
      <c r="B1432" s="21" t="s">
        <v>2339</v>
      </c>
      <c r="D1432" s="25">
        <v>10.0</v>
      </c>
      <c r="E1432" s="27"/>
      <c r="F1432" s="25">
        <v>0.0</v>
      </c>
      <c r="G1432" s="27"/>
    </row>
    <row r="1433" hidden="1">
      <c r="A1433" s="21"/>
      <c r="B1433" s="21" t="s">
        <v>2340</v>
      </c>
      <c r="D1433" s="25">
        <v>10.0</v>
      </c>
      <c r="E1433" s="27"/>
      <c r="F1433" s="25">
        <v>0.0</v>
      </c>
      <c r="G1433" s="27"/>
    </row>
    <row r="1434" hidden="1">
      <c r="A1434" s="21"/>
      <c r="B1434" s="21" t="s">
        <v>2341</v>
      </c>
      <c r="D1434" s="25">
        <v>10.0</v>
      </c>
      <c r="E1434" s="27"/>
      <c r="F1434" s="25">
        <v>0.0</v>
      </c>
      <c r="G1434" s="27"/>
    </row>
    <row r="1435" hidden="1">
      <c r="A1435" s="21"/>
      <c r="B1435" s="21" t="s">
        <v>2342</v>
      </c>
      <c r="D1435" s="25">
        <v>10.0</v>
      </c>
      <c r="E1435" s="27"/>
      <c r="F1435" s="25">
        <v>0.0</v>
      </c>
      <c r="G1435" s="27"/>
    </row>
    <row r="1436" hidden="1">
      <c r="A1436" s="21"/>
      <c r="B1436" s="21" t="s">
        <v>2343</v>
      </c>
      <c r="D1436" s="25">
        <v>10.0</v>
      </c>
      <c r="E1436" s="27"/>
      <c r="F1436" s="25">
        <v>0.0</v>
      </c>
      <c r="G1436" s="27"/>
    </row>
    <row r="1437" hidden="1">
      <c r="A1437" s="21"/>
      <c r="B1437" s="21" t="s">
        <v>2344</v>
      </c>
      <c r="D1437" s="25">
        <v>10.0</v>
      </c>
      <c r="E1437" s="27"/>
      <c r="F1437" s="25">
        <v>0.0</v>
      </c>
      <c r="G1437" s="27"/>
    </row>
    <row r="1438" hidden="1">
      <c r="A1438" s="21"/>
      <c r="B1438" s="21" t="s">
        <v>2345</v>
      </c>
      <c r="D1438" s="25">
        <v>10.0</v>
      </c>
      <c r="E1438" s="27"/>
      <c r="F1438" s="25">
        <v>0.0</v>
      </c>
      <c r="G1438" s="27"/>
    </row>
    <row r="1439" hidden="1">
      <c r="A1439" s="21"/>
      <c r="B1439" s="21" t="s">
        <v>2346</v>
      </c>
      <c r="D1439" s="25">
        <v>10.0</v>
      </c>
      <c r="E1439" s="27"/>
      <c r="F1439" s="25">
        <v>0.54</v>
      </c>
      <c r="G1439" s="27"/>
    </row>
    <row r="1440" hidden="1">
      <c r="A1440" s="21"/>
      <c r="B1440" s="21" t="s">
        <v>2347</v>
      </c>
      <c r="D1440" s="25">
        <v>10.0</v>
      </c>
      <c r="E1440" s="27"/>
      <c r="F1440" s="25">
        <v>0.0</v>
      </c>
      <c r="G1440" s="27"/>
    </row>
    <row r="1441" hidden="1">
      <c r="A1441" s="21"/>
      <c r="B1441" s="21" t="s">
        <v>2348</v>
      </c>
      <c r="D1441" s="25">
        <v>10.0</v>
      </c>
      <c r="E1441" s="27"/>
      <c r="F1441" s="25">
        <v>0.0</v>
      </c>
      <c r="G1441" s="27"/>
    </row>
    <row r="1442" hidden="1">
      <c r="A1442" s="21"/>
      <c r="B1442" s="21" t="s">
        <v>2349</v>
      </c>
      <c r="D1442" s="25">
        <v>10.0</v>
      </c>
      <c r="E1442" s="27"/>
      <c r="F1442" s="25">
        <v>0.0</v>
      </c>
      <c r="G1442" s="27"/>
    </row>
    <row r="1443" hidden="1">
      <c r="A1443" s="21"/>
      <c r="B1443" s="21" t="s">
        <v>2350</v>
      </c>
      <c r="D1443" s="25">
        <v>10.0</v>
      </c>
      <c r="E1443" s="27"/>
      <c r="F1443" s="25">
        <v>5.38</v>
      </c>
      <c r="G1443" s="27"/>
    </row>
    <row r="1444" hidden="1">
      <c r="A1444" s="21"/>
      <c r="B1444" s="21" t="s">
        <v>2351</v>
      </c>
      <c r="D1444" s="25">
        <v>10.0</v>
      </c>
      <c r="E1444" s="27"/>
      <c r="F1444" s="25">
        <v>0.0</v>
      </c>
      <c r="G1444" s="27"/>
    </row>
    <row r="1445" hidden="1">
      <c r="A1445" s="21"/>
      <c r="B1445" s="21" t="s">
        <v>2352</v>
      </c>
      <c r="D1445" s="25">
        <v>10.0</v>
      </c>
      <c r="E1445" s="27"/>
      <c r="F1445" s="25">
        <v>0.0</v>
      </c>
      <c r="G1445" s="27"/>
    </row>
    <row r="1446" hidden="1">
      <c r="A1446" s="21"/>
      <c r="B1446" s="21" t="s">
        <v>2353</v>
      </c>
      <c r="D1446" s="25">
        <v>10.0</v>
      </c>
      <c r="E1446" s="27"/>
      <c r="F1446" s="25">
        <v>0.0</v>
      </c>
      <c r="G1446" s="27"/>
    </row>
    <row r="1447" hidden="1">
      <c r="A1447" s="21"/>
      <c r="B1447" s="21" t="s">
        <v>2354</v>
      </c>
      <c r="D1447" s="25">
        <v>10.0</v>
      </c>
      <c r="E1447" s="27"/>
      <c r="F1447" s="25">
        <v>0.0</v>
      </c>
      <c r="G1447" s="27"/>
    </row>
    <row r="1448" hidden="1">
      <c r="A1448" s="21"/>
      <c r="B1448" s="21" t="s">
        <v>2355</v>
      </c>
      <c r="D1448" s="25">
        <v>10.0</v>
      </c>
      <c r="E1448" s="27"/>
      <c r="F1448" s="25">
        <v>8.7</v>
      </c>
      <c r="G1448" s="27"/>
    </row>
    <row r="1449" hidden="1">
      <c r="A1449" s="21"/>
      <c r="B1449" s="21" t="s">
        <v>2356</v>
      </c>
      <c r="D1449" s="25">
        <v>10.0</v>
      </c>
      <c r="E1449" s="27"/>
      <c r="F1449" s="25">
        <v>0.0</v>
      </c>
      <c r="G1449" s="27"/>
    </row>
    <row r="1450" hidden="1">
      <c r="A1450" s="21"/>
      <c r="B1450" s="21" t="s">
        <v>2357</v>
      </c>
      <c r="D1450" s="25">
        <v>10.0</v>
      </c>
      <c r="E1450" s="27"/>
      <c r="F1450" s="25">
        <v>0.0</v>
      </c>
      <c r="G1450" s="27"/>
    </row>
    <row r="1451" hidden="1">
      <c r="A1451" s="21"/>
      <c r="B1451" s="21" t="s">
        <v>2358</v>
      </c>
      <c r="D1451" s="25">
        <v>10.0</v>
      </c>
      <c r="E1451" s="27"/>
      <c r="F1451" s="25">
        <v>0.0</v>
      </c>
      <c r="G1451" s="27"/>
    </row>
    <row r="1452" hidden="1">
      <c r="A1452" s="21"/>
      <c r="B1452" s="21" t="s">
        <v>2359</v>
      </c>
      <c r="D1452" s="25">
        <v>10.0</v>
      </c>
      <c r="E1452" s="27"/>
      <c r="F1452" s="25">
        <v>0.0</v>
      </c>
      <c r="G1452" s="27"/>
    </row>
    <row r="1453" hidden="1">
      <c r="A1453" s="21"/>
      <c r="B1453" s="21" t="s">
        <v>2360</v>
      </c>
      <c r="D1453" s="25">
        <v>10.0</v>
      </c>
      <c r="E1453" s="27"/>
      <c r="F1453" s="25">
        <v>19.22</v>
      </c>
      <c r="G1453" s="27"/>
    </row>
    <row r="1454" hidden="1">
      <c r="A1454" s="21"/>
      <c r="B1454" s="21" t="s">
        <v>2361</v>
      </c>
      <c r="D1454" s="25">
        <v>10.0</v>
      </c>
      <c r="E1454" s="27"/>
      <c r="F1454" s="25">
        <v>0.0</v>
      </c>
      <c r="G1454" s="27"/>
    </row>
    <row r="1455" hidden="1">
      <c r="A1455" s="21"/>
      <c r="B1455" s="21" t="s">
        <v>2362</v>
      </c>
      <c r="D1455" s="25">
        <v>10.0</v>
      </c>
      <c r="E1455" s="27"/>
      <c r="F1455" s="25">
        <v>0.0</v>
      </c>
      <c r="G1455" s="27"/>
    </row>
    <row r="1456" hidden="1">
      <c r="A1456" s="21"/>
      <c r="B1456" s="21" t="s">
        <v>2363</v>
      </c>
      <c r="D1456" s="25">
        <v>10.0</v>
      </c>
      <c r="E1456" s="27"/>
      <c r="F1456" s="25">
        <v>0.0</v>
      </c>
      <c r="G1456" s="27"/>
    </row>
    <row r="1457" hidden="1">
      <c r="A1457" s="21"/>
      <c r="B1457" s="21" t="s">
        <v>2364</v>
      </c>
      <c r="D1457" s="25">
        <v>10.0</v>
      </c>
      <c r="E1457" s="27"/>
      <c r="F1457" s="25">
        <v>0.0</v>
      </c>
      <c r="G1457" s="27"/>
    </row>
    <row r="1458" hidden="1">
      <c r="A1458" s="21"/>
      <c r="B1458" s="21" t="s">
        <v>2365</v>
      </c>
      <c r="D1458" s="25">
        <v>10.0</v>
      </c>
      <c r="E1458" s="27"/>
      <c r="F1458" s="25">
        <v>0.0</v>
      </c>
      <c r="G1458" s="27"/>
    </row>
    <row r="1459" hidden="1">
      <c r="A1459" s="21"/>
      <c r="B1459" s="21" t="s">
        <v>2366</v>
      </c>
      <c r="D1459" s="25">
        <v>10.0</v>
      </c>
      <c r="E1459" s="27"/>
      <c r="F1459" s="25">
        <v>8.96</v>
      </c>
      <c r="G1459" s="27"/>
    </row>
    <row r="1460" hidden="1">
      <c r="A1460" s="21"/>
      <c r="B1460" s="21" t="s">
        <v>2367</v>
      </c>
      <c r="D1460" s="25">
        <v>10.0</v>
      </c>
      <c r="E1460" s="27"/>
      <c r="F1460" s="25">
        <v>0.0</v>
      </c>
      <c r="G1460" s="27"/>
    </row>
    <row r="1461" hidden="1">
      <c r="A1461" s="21"/>
      <c r="B1461" s="21" t="s">
        <v>2368</v>
      </c>
      <c r="D1461" s="25">
        <v>10.0</v>
      </c>
      <c r="E1461" s="27"/>
      <c r="F1461" s="25">
        <v>0.0</v>
      </c>
      <c r="G1461" s="27"/>
    </row>
    <row r="1462" hidden="1">
      <c r="A1462" s="21"/>
      <c r="B1462" s="21" t="s">
        <v>2369</v>
      </c>
      <c r="D1462" s="25">
        <v>10.0</v>
      </c>
      <c r="E1462" s="27"/>
      <c r="F1462" s="25">
        <v>0.0</v>
      </c>
      <c r="G1462" s="27"/>
    </row>
    <row r="1463" hidden="1">
      <c r="A1463" s="21"/>
      <c r="B1463" s="21" t="s">
        <v>2370</v>
      </c>
      <c r="D1463" s="25">
        <v>10.0</v>
      </c>
      <c r="E1463" s="27"/>
      <c r="F1463" s="25">
        <v>0.0</v>
      </c>
      <c r="G1463" s="27"/>
    </row>
    <row r="1464" hidden="1">
      <c r="A1464" s="21"/>
      <c r="B1464" s="21" t="s">
        <v>2371</v>
      </c>
      <c r="D1464" s="25">
        <v>10.0</v>
      </c>
      <c r="E1464" s="27"/>
      <c r="F1464" s="25">
        <v>0.0</v>
      </c>
      <c r="G1464" s="27"/>
    </row>
    <row r="1465" hidden="1">
      <c r="A1465" s="21"/>
      <c r="B1465" s="21" t="s">
        <v>2372</v>
      </c>
      <c r="D1465" s="25">
        <v>10.0</v>
      </c>
      <c r="E1465" s="27"/>
      <c r="F1465" s="25">
        <v>0.0</v>
      </c>
      <c r="G1465" s="27"/>
    </row>
    <row r="1466" hidden="1">
      <c r="A1466" s="21"/>
      <c r="B1466" s="21" t="s">
        <v>2373</v>
      </c>
      <c r="D1466" s="25">
        <v>10.0</v>
      </c>
      <c r="E1466" s="27"/>
      <c r="F1466" s="25">
        <v>0.0</v>
      </c>
      <c r="G1466" s="27"/>
    </row>
    <row r="1467" hidden="1">
      <c r="A1467" s="21"/>
      <c r="B1467" s="21" t="s">
        <v>2374</v>
      </c>
      <c r="D1467" s="25">
        <v>10.0</v>
      </c>
      <c r="E1467" s="27"/>
      <c r="F1467" s="25">
        <v>3.82</v>
      </c>
      <c r="G1467" s="27"/>
    </row>
    <row r="1468" hidden="1">
      <c r="A1468" s="21"/>
      <c r="B1468" s="21" t="s">
        <v>2375</v>
      </c>
      <c r="D1468" s="25">
        <v>10.0</v>
      </c>
      <c r="E1468" s="27"/>
      <c r="F1468" s="25">
        <v>0.0</v>
      </c>
      <c r="G1468" s="27"/>
    </row>
    <row r="1469" hidden="1">
      <c r="A1469" s="21"/>
      <c r="B1469" s="21" t="s">
        <v>2376</v>
      </c>
      <c r="D1469" s="25">
        <v>10.0</v>
      </c>
      <c r="E1469" s="27"/>
      <c r="F1469" s="25">
        <v>0.0</v>
      </c>
      <c r="G1469" s="27"/>
    </row>
    <row r="1470" hidden="1">
      <c r="A1470" s="21"/>
      <c r="B1470" s="21" t="s">
        <v>2377</v>
      </c>
      <c r="D1470" s="25">
        <v>10.0</v>
      </c>
      <c r="E1470" s="27"/>
      <c r="F1470" s="25">
        <v>0.0</v>
      </c>
      <c r="G1470" s="27"/>
    </row>
    <row r="1471" hidden="1">
      <c r="A1471" s="21"/>
      <c r="B1471" s="21" t="s">
        <v>2378</v>
      </c>
      <c r="D1471" s="25">
        <v>10.0</v>
      </c>
      <c r="E1471" s="27"/>
      <c r="F1471" s="25">
        <v>0.0</v>
      </c>
      <c r="G1471" s="27"/>
    </row>
    <row r="1472" hidden="1">
      <c r="A1472" s="21"/>
      <c r="B1472" s="21" t="s">
        <v>2379</v>
      </c>
      <c r="D1472" s="25">
        <v>10.0</v>
      </c>
      <c r="E1472" s="27"/>
      <c r="F1472" s="25">
        <v>0.0</v>
      </c>
      <c r="G1472" s="27"/>
    </row>
    <row r="1473" hidden="1">
      <c r="A1473" s="21"/>
      <c r="B1473" s="21" t="s">
        <v>2380</v>
      </c>
      <c r="D1473" s="25">
        <v>10.0</v>
      </c>
      <c r="E1473" s="27"/>
      <c r="F1473" s="25">
        <v>0.0</v>
      </c>
      <c r="G1473" s="27"/>
    </row>
    <row r="1474" hidden="1">
      <c r="A1474" s="21"/>
      <c r="B1474" s="21" t="s">
        <v>2381</v>
      </c>
      <c r="D1474" s="25">
        <v>10.0</v>
      </c>
      <c r="E1474" s="27"/>
      <c r="F1474" s="25">
        <v>0.0</v>
      </c>
      <c r="G1474" s="27"/>
    </row>
    <row r="1475" hidden="1">
      <c r="A1475" s="21"/>
      <c r="B1475" s="21" t="s">
        <v>2382</v>
      </c>
      <c r="D1475" s="25">
        <v>10.0</v>
      </c>
      <c r="E1475" s="27"/>
      <c r="F1475" s="25">
        <v>0.0</v>
      </c>
      <c r="G1475" s="27"/>
    </row>
    <row r="1476" hidden="1">
      <c r="A1476" s="21"/>
      <c r="B1476" s="21" t="s">
        <v>2383</v>
      </c>
      <c r="D1476" s="25">
        <v>10.0</v>
      </c>
      <c r="E1476" s="27"/>
      <c r="F1476" s="25">
        <v>0.0</v>
      </c>
      <c r="G1476" s="27"/>
    </row>
    <row r="1477" hidden="1">
      <c r="A1477" s="21"/>
      <c r="B1477" s="21" t="s">
        <v>2384</v>
      </c>
      <c r="D1477" s="25">
        <v>10.0</v>
      </c>
      <c r="E1477" s="27"/>
      <c r="F1477" s="25">
        <v>0.0</v>
      </c>
      <c r="G1477" s="27"/>
    </row>
    <row r="1478" hidden="1">
      <c r="A1478" s="21"/>
      <c r="B1478" s="21" t="s">
        <v>2385</v>
      </c>
      <c r="D1478" s="25">
        <v>10.0</v>
      </c>
      <c r="E1478" s="27"/>
      <c r="F1478" s="25">
        <v>0.0</v>
      </c>
      <c r="G1478" s="27"/>
    </row>
    <row r="1479" hidden="1">
      <c r="A1479" s="21"/>
      <c r="B1479" s="21" t="s">
        <v>2386</v>
      </c>
      <c r="D1479" s="25">
        <v>10.0</v>
      </c>
      <c r="E1479" s="27"/>
      <c r="F1479" s="25">
        <v>0.0</v>
      </c>
      <c r="G1479" s="27"/>
    </row>
    <row r="1480" hidden="1">
      <c r="A1480" s="21"/>
      <c r="B1480" s="21" t="s">
        <v>2387</v>
      </c>
      <c r="D1480" s="25">
        <v>10.0</v>
      </c>
      <c r="E1480" s="27"/>
      <c r="F1480" s="25">
        <v>0.0</v>
      </c>
      <c r="G1480" s="27"/>
    </row>
    <row r="1481" hidden="1">
      <c r="A1481" s="21"/>
      <c r="B1481" s="21" t="s">
        <v>2388</v>
      </c>
      <c r="D1481" s="25">
        <v>10.0</v>
      </c>
      <c r="E1481" s="27"/>
      <c r="F1481" s="25">
        <v>0.0</v>
      </c>
      <c r="G1481" s="27"/>
    </row>
    <row r="1482" hidden="1">
      <c r="A1482" s="21"/>
      <c r="B1482" s="21" t="s">
        <v>2389</v>
      </c>
      <c r="D1482" s="25">
        <v>10.0</v>
      </c>
      <c r="E1482" s="27"/>
      <c r="F1482" s="25">
        <v>0.0</v>
      </c>
      <c r="G1482" s="27"/>
    </row>
    <row r="1483" hidden="1">
      <c r="A1483" s="21"/>
      <c r="B1483" s="21" t="s">
        <v>2390</v>
      </c>
      <c r="D1483" s="25">
        <v>10.0</v>
      </c>
      <c r="E1483" s="27"/>
      <c r="F1483" s="25">
        <v>0.0</v>
      </c>
      <c r="G1483" s="27"/>
    </row>
    <row r="1484" hidden="1">
      <c r="A1484" s="21"/>
      <c r="B1484" s="21" t="s">
        <v>2391</v>
      </c>
      <c r="D1484" s="25">
        <v>10.0</v>
      </c>
      <c r="E1484" s="27"/>
      <c r="F1484" s="25">
        <v>0.0</v>
      </c>
      <c r="G1484" s="27"/>
    </row>
    <row r="1485" hidden="1">
      <c r="A1485" s="21"/>
      <c r="B1485" s="21" t="s">
        <v>2392</v>
      </c>
      <c r="D1485" s="25">
        <v>10.0</v>
      </c>
      <c r="E1485" s="27"/>
      <c r="F1485" s="25">
        <v>0.0</v>
      </c>
      <c r="G1485" s="27"/>
    </row>
    <row r="1486" hidden="1">
      <c r="A1486" s="21"/>
      <c r="B1486" s="21" t="s">
        <v>2393</v>
      </c>
      <c r="D1486" s="25">
        <v>10.0</v>
      </c>
      <c r="E1486" s="27"/>
      <c r="F1486" s="25">
        <v>0.0</v>
      </c>
      <c r="G1486" s="27"/>
    </row>
    <row r="1487" hidden="1">
      <c r="A1487" s="21"/>
      <c r="B1487" s="21" t="s">
        <v>2394</v>
      </c>
      <c r="D1487" s="25">
        <v>10.0</v>
      </c>
      <c r="E1487" s="27"/>
      <c r="F1487" s="25">
        <v>0.0</v>
      </c>
      <c r="G1487" s="27"/>
    </row>
    <row r="1488" hidden="1">
      <c r="A1488" s="21"/>
      <c r="B1488" s="21" t="s">
        <v>2395</v>
      </c>
      <c r="D1488" s="25">
        <v>10.0</v>
      </c>
      <c r="E1488" s="27"/>
      <c r="F1488" s="25">
        <v>0.0</v>
      </c>
      <c r="G1488" s="27"/>
    </row>
    <row r="1489" hidden="1">
      <c r="A1489" s="21"/>
      <c r="B1489" s="21" t="s">
        <v>2396</v>
      </c>
      <c r="D1489" s="25">
        <v>10.0</v>
      </c>
      <c r="E1489" s="27"/>
      <c r="F1489" s="25">
        <v>0.0</v>
      </c>
      <c r="G1489" s="27"/>
    </row>
    <row r="1490" hidden="1">
      <c r="A1490" s="21"/>
      <c r="B1490" s="21" t="s">
        <v>2397</v>
      </c>
      <c r="D1490" s="25">
        <v>10.0</v>
      </c>
      <c r="E1490" s="27"/>
      <c r="F1490" s="25">
        <v>0.0</v>
      </c>
      <c r="G1490" s="27"/>
    </row>
    <row r="1491" hidden="1">
      <c r="A1491" s="21"/>
      <c r="B1491" s="21" t="s">
        <v>2398</v>
      </c>
      <c r="D1491" s="25">
        <v>10.0</v>
      </c>
      <c r="E1491" s="27"/>
      <c r="F1491" s="25">
        <v>0.0</v>
      </c>
      <c r="G1491" s="27"/>
    </row>
    <row r="1492" hidden="1">
      <c r="A1492" s="21"/>
      <c r="B1492" s="21" t="s">
        <v>2399</v>
      </c>
      <c r="D1492" s="25">
        <v>10.0</v>
      </c>
      <c r="E1492" s="27"/>
      <c r="F1492" s="25">
        <v>0.0</v>
      </c>
      <c r="G1492" s="27"/>
    </row>
    <row r="1493" hidden="1">
      <c r="A1493" s="21"/>
      <c r="B1493" s="21" t="s">
        <v>2400</v>
      </c>
      <c r="D1493" s="25">
        <v>10.0</v>
      </c>
      <c r="E1493" s="27"/>
      <c r="F1493" s="25">
        <v>0.0</v>
      </c>
      <c r="G1493" s="27"/>
    </row>
    <row r="1494" hidden="1">
      <c r="A1494" s="21"/>
      <c r="B1494" s="21" t="s">
        <v>2401</v>
      </c>
      <c r="D1494" s="25">
        <v>10.0</v>
      </c>
      <c r="E1494" s="27"/>
      <c r="F1494" s="25">
        <v>0.0</v>
      </c>
      <c r="G1494" s="27"/>
    </row>
    <row r="1495" hidden="1">
      <c r="A1495" s="21"/>
      <c r="B1495" s="21" t="s">
        <v>2402</v>
      </c>
      <c r="D1495" s="25">
        <v>10.0</v>
      </c>
      <c r="E1495" s="27"/>
      <c r="F1495" s="25">
        <v>0.0</v>
      </c>
      <c r="G1495" s="27"/>
    </row>
    <row r="1496" hidden="1">
      <c r="A1496" s="21"/>
      <c r="B1496" s="21" t="s">
        <v>2403</v>
      </c>
      <c r="D1496" s="25">
        <v>10.0</v>
      </c>
      <c r="E1496" s="27"/>
      <c r="F1496" s="25">
        <v>0.0</v>
      </c>
      <c r="G1496" s="27"/>
    </row>
    <row r="1497" hidden="1">
      <c r="A1497" s="21"/>
      <c r="B1497" s="21" t="s">
        <v>2404</v>
      </c>
      <c r="D1497" s="25">
        <v>10.0</v>
      </c>
      <c r="E1497" s="27"/>
      <c r="F1497" s="25">
        <v>0.0</v>
      </c>
      <c r="G1497" s="27"/>
    </row>
    <row r="1498" hidden="1">
      <c r="A1498" s="21"/>
      <c r="B1498" s="21" t="s">
        <v>2405</v>
      </c>
      <c r="D1498" s="25">
        <v>10.0</v>
      </c>
      <c r="E1498" s="27"/>
      <c r="F1498" s="25">
        <v>0.0</v>
      </c>
      <c r="G1498" s="27"/>
    </row>
    <row r="1499" hidden="1">
      <c r="A1499" s="21"/>
      <c r="B1499" s="21" t="s">
        <v>2406</v>
      </c>
      <c r="D1499" s="25">
        <v>10.0</v>
      </c>
      <c r="E1499" s="27"/>
      <c r="F1499" s="25">
        <v>0.0</v>
      </c>
      <c r="G1499" s="27"/>
    </row>
    <row r="1500" hidden="1">
      <c r="A1500" s="21"/>
      <c r="B1500" s="21" t="s">
        <v>2407</v>
      </c>
      <c r="D1500" s="25">
        <v>10.0</v>
      </c>
      <c r="E1500" s="27"/>
      <c r="F1500" s="25">
        <v>5.41</v>
      </c>
      <c r="G1500" s="27"/>
    </row>
    <row r="1501" hidden="1">
      <c r="A1501" s="21"/>
      <c r="B1501" s="21" t="s">
        <v>2408</v>
      </c>
      <c r="D1501" s="25">
        <v>10.0</v>
      </c>
      <c r="E1501" s="27"/>
      <c r="F1501" s="25">
        <v>0.0</v>
      </c>
      <c r="G1501" s="27"/>
    </row>
    <row r="1502" hidden="1">
      <c r="A1502" s="21"/>
      <c r="B1502" s="21" t="s">
        <v>2409</v>
      </c>
      <c r="D1502" s="25">
        <v>10.0</v>
      </c>
      <c r="E1502" s="27"/>
      <c r="F1502" s="25">
        <v>0.0</v>
      </c>
      <c r="G1502" s="27"/>
    </row>
    <row r="1503" hidden="1">
      <c r="A1503" s="21"/>
      <c r="B1503" s="21" t="s">
        <v>2410</v>
      </c>
      <c r="D1503" s="25">
        <v>10.0</v>
      </c>
      <c r="E1503" s="27"/>
      <c r="F1503" s="25">
        <v>0.0</v>
      </c>
      <c r="G1503" s="27"/>
    </row>
    <row r="1504" hidden="1">
      <c r="A1504" s="21"/>
      <c r="B1504" s="21" t="s">
        <v>2411</v>
      </c>
      <c r="D1504" s="25">
        <v>10.0</v>
      </c>
      <c r="E1504" s="27"/>
      <c r="F1504" s="25">
        <v>0.0</v>
      </c>
      <c r="G1504" s="27"/>
    </row>
    <row r="1505" hidden="1">
      <c r="A1505" s="21"/>
      <c r="B1505" s="21" t="s">
        <v>2412</v>
      </c>
      <c r="D1505" s="25">
        <v>10.0</v>
      </c>
      <c r="E1505" s="27"/>
      <c r="F1505" s="25">
        <v>0.0</v>
      </c>
      <c r="G1505" s="27"/>
    </row>
    <row r="1506" hidden="1">
      <c r="A1506" s="21"/>
      <c r="B1506" s="21" t="s">
        <v>2413</v>
      </c>
      <c r="D1506" s="25">
        <v>10.0</v>
      </c>
      <c r="E1506" s="27"/>
      <c r="F1506" s="25">
        <v>0.0</v>
      </c>
      <c r="G1506" s="27"/>
    </row>
    <row r="1507" hidden="1">
      <c r="A1507" s="21"/>
      <c r="B1507" s="21" t="s">
        <v>2414</v>
      </c>
      <c r="D1507" s="25">
        <v>10.0</v>
      </c>
      <c r="E1507" s="27"/>
      <c r="F1507" s="25">
        <v>0.0</v>
      </c>
      <c r="G1507" s="27"/>
    </row>
    <row r="1508" hidden="1">
      <c r="A1508" s="21"/>
      <c r="B1508" s="21" t="s">
        <v>2415</v>
      </c>
      <c r="D1508" s="25">
        <v>10.0</v>
      </c>
      <c r="E1508" s="27"/>
      <c r="F1508" s="25">
        <v>0.0</v>
      </c>
      <c r="G1508" s="27"/>
    </row>
    <row r="1509" hidden="1">
      <c r="A1509" s="21"/>
      <c r="B1509" s="21" t="s">
        <v>2416</v>
      </c>
      <c r="D1509" s="25">
        <v>10.0</v>
      </c>
      <c r="E1509" s="27"/>
      <c r="F1509" s="25">
        <v>0.0</v>
      </c>
      <c r="G1509" s="27"/>
    </row>
    <row r="1510" hidden="1">
      <c r="A1510" s="21"/>
      <c r="B1510" s="21" t="s">
        <v>2417</v>
      </c>
      <c r="D1510" s="25">
        <v>10.0</v>
      </c>
      <c r="E1510" s="27"/>
      <c r="F1510" s="25">
        <v>0.0</v>
      </c>
      <c r="G1510" s="27"/>
    </row>
    <row r="1511" hidden="1">
      <c r="A1511" s="21"/>
      <c r="B1511" s="21" t="s">
        <v>2418</v>
      </c>
      <c r="D1511" s="25">
        <v>10.0</v>
      </c>
      <c r="E1511" s="27"/>
      <c r="F1511" s="25">
        <v>0.0</v>
      </c>
      <c r="G1511" s="27"/>
    </row>
    <row r="1512" hidden="1">
      <c r="A1512" s="21"/>
      <c r="B1512" s="21" t="s">
        <v>2419</v>
      </c>
      <c r="D1512" s="25">
        <v>10.0</v>
      </c>
      <c r="E1512" s="27"/>
      <c r="F1512" s="25">
        <v>0.0</v>
      </c>
      <c r="G1512" s="27"/>
    </row>
    <row r="1513" hidden="1">
      <c r="A1513" s="21"/>
      <c r="B1513" s="21" t="s">
        <v>2420</v>
      </c>
      <c r="D1513" s="25">
        <v>10.0</v>
      </c>
      <c r="E1513" s="27"/>
      <c r="F1513" s="25">
        <v>0.0</v>
      </c>
      <c r="G1513" s="27"/>
    </row>
    <row r="1514" hidden="1">
      <c r="A1514" s="21"/>
      <c r="B1514" s="21" t="s">
        <v>2421</v>
      </c>
      <c r="D1514" s="25">
        <v>10.0</v>
      </c>
      <c r="E1514" s="27"/>
      <c r="F1514" s="25">
        <v>0.0</v>
      </c>
      <c r="G1514" s="27"/>
    </row>
    <row r="1515" hidden="1">
      <c r="A1515" s="21"/>
      <c r="B1515" s="21" t="s">
        <v>2422</v>
      </c>
      <c r="D1515" s="25">
        <v>10.0</v>
      </c>
      <c r="E1515" s="27"/>
      <c r="F1515" s="25">
        <v>0.0</v>
      </c>
      <c r="G1515" s="27"/>
    </row>
    <row r="1516" hidden="1">
      <c r="A1516" s="21"/>
      <c r="B1516" s="21" t="s">
        <v>2423</v>
      </c>
      <c r="D1516" s="25">
        <v>10.0</v>
      </c>
      <c r="E1516" s="27"/>
      <c r="F1516" s="25">
        <v>0.0</v>
      </c>
      <c r="G1516" s="27"/>
    </row>
    <row r="1517" hidden="1">
      <c r="A1517" s="21"/>
      <c r="B1517" s="21" t="s">
        <v>2424</v>
      </c>
      <c r="D1517" s="25">
        <v>10.0</v>
      </c>
      <c r="E1517" s="27"/>
      <c r="F1517" s="25">
        <v>0.0</v>
      </c>
      <c r="G1517" s="27"/>
    </row>
    <row r="1518" hidden="1">
      <c r="A1518" s="21"/>
      <c r="B1518" s="21" t="s">
        <v>2425</v>
      </c>
      <c r="D1518" s="25">
        <v>10.0</v>
      </c>
      <c r="E1518" s="27"/>
      <c r="F1518" s="25">
        <v>0.0</v>
      </c>
      <c r="G1518" s="27"/>
    </row>
    <row r="1519" hidden="1">
      <c r="A1519" s="21"/>
      <c r="B1519" s="21" t="s">
        <v>2426</v>
      </c>
      <c r="D1519" s="25">
        <v>10.0</v>
      </c>
      <c r="E1519" s="27"/>
      <c r="F1519" s="25">
        <v>5.59</v>
      </c>
      <c r="G1519" s="27"/>
    </row>
    <row r="1520" hidden="1">
      <c r="A1520" s="21"/>
      <c r="B1520" s="21" t="s">
        <v>2427</v>
      </c>
      <c r="D1520" s="25">
        <v>10.0</v>
      </c>
      <c r="E1520" s="27"/>
      <c r="F1520" s="25">
        <v>0.0</v>
      </c>
      <c r="G1520" s="27"/>
    </row>
    <row r="1521" hidden="1">
      <c r="A1521" s="21"/>
      <c r="B1521" s="21" t="s">
        <v>2428</v>
      </c>
      <c r="D1521" s="25">
        <v>10.0</v>
      </c>
      <c r="E1521" s="27"/>
      <c r="F1521" s="25">
        <v>0.0</v>
      </c>
      <c r="G1521" s="27"/>
    </row>
    <row r="1522" hidden="1">
      <c r="A1522" s="21"/>
      <c r="B1522" s="21" t="s">
        <v>2429</v>
      </c>
      <c r="D1522" s="25">
        <v>10.0</v>
      </c>
      <c r="E1522" s="27"/>
      <c r="F1522" s="25">
        <v>0.43</v>
      </c>
      <c r="G1522" s="27"/>
    </row>
    <row r="1523" hidden="1">
      <c r="A1523" s="21"/>
      <c r="B1523" s="21" t="s">
        <v>2430</v>
      </c>
      <c r="D1523" s="25">
        <v>10.0</v>
      </c>
      <c r="E1523" s="27"/>
      <c r="F1523" s="25">
        <v>0.0</v>
      </c>
      <c r="G1523" s="27"/>
    </row>
    <row r="1524" hidden="1">
      <c r="A1524" s="21"/>
      <c r="B1524" s="21" t="s">
        <v>2431</v>
      </c>
      <c r="D1524" s="25">
        <v>10.0</v>
      </c>
      <c r="E1524" s="27"/>
      <c r="F1524" s="25">
        <v>0.0</v>
      </c>
      <c r="G1524" s="27"/>
    </row>
    <row r="1525" hidden="1">
      <c r="A1525" s="21"/>
      <c r="B1525" s="21" t="s">
        <v>2432</v>
      </c>
      <c r="D1525" s="25">
        <v>10.0</v>
      </c>
      <c r="E1525" s="27"/>
      <c r="F1525" s="25">
        <v>0.0</v>
      </c>
      <c r="G1525" s="27"/>
    </row>
    <row r="1526" hidden="1">
      <c r="A1526" s="21"/>
      <c r="B1526" s="21" t="s">
        <v>2433</v>
      </c>
      <c r="D1526" s="25">
        <v>10.0</v>
      </c>
      <c r="E1526" s="27"/>
      <c r="F1526" s="25">
        <v>0.0</v>
      </c>
      <c r="G1526" s="27"/>
    </row>
    <row r="1527" hidden="1">
      <c r="A1527" s="21"/>
      <c r="B1527" s="21" t="s">
        <v>2434</v>
      </c>
      <c r="D1527" s="25">
        <v>10.0</v>
      </c>
      <c r="E1527" s="27"/>
      <c r="F1527" s="25">
        <v>0.0</v>
      </c>
      <c r="G1527" s="27"/>
    </row>
    <row r="1528" hidden="1">
      <c r="A1528" s="21"/>
      <c r="B1528" s="21" t="s">
        <v>2435</v>
      </c>
      <c r="D1528" s="25">
        <v>10.0</v>
      </c>
      <c r="E1528" s="27"/>
      <c r="F1528" s="25">
        <v>0.85</v>
      </c>
      <c r="G1528" s="27"/>
    </row>
    <row r="1529" hidden="1">
      <c r="A1529" s="21"/>
      <c r="B1529" s="21" t="s">
        <v>2436</v>
      </c>
      <c r="D1529" s="25">
        <v>10.0</v>
      </c>
      <c r="E1529" s="27"/>
      <c r="F1529" s="25">
        <v>0.0</v>
      </c>
      <c r="G1529" s="27"/>
    </row>
    <row r="1530" hidden="1">
      <c r="A1530" s="21"/>
      <c r="B1530" s="21" t="s">
        <v>2437</v>
      </c>
      <c r="D1530" s="25">
        <v>10.0</v>
      </c>
      <c r="E1530" s="27"/>
      <c r="F1530" s="25">
        <v>0.0</v>
      </c>
      <c r="G1530" s="27"/>
    </row>
    <row r="1531" hidden="1">
      <c r="A1531" s="21"/>
      <c r="B1531" s="21" t="s">
        <v>2438</v>
      </c>
      <c r="D1531" s="25">
        <v>10.0</v>
      </c>
      <c r="E1531" s="27"/>
      <c r="F1531" s="25">
        <v>0.0</v>
      </c>
      <c r="G1531" s="27"/>
    </row>
    <row r="1532" hidden="1">
      <c r="A1532" s="21"/>
      <c r="B1532" s="21" t="s">
        <v>2439</v>
      </c>
      <c r="D1532" s="25">
        <v>10.0</v>
      </c>
      <c r="E1532" s="27"/>
      <c r="F1532" s="25">
        <v>0.0</v>
      </c>
      <c r="G1532" s="27"/>
    </row>
    <row r="1533" hidden="1">
      <c r="A1533" s="21"/>
      <c r="B1533" s="21" t="s">
        <v>2440</v>
      </c>
      <c r="D1533" s="25">
        <v>10.0</v>
      </c>
      <c r="E1533" s="27"/>
      <c r="F1533" s="25">
        <v>0.0</v>
      </c>
      <c r="G1533" s="27"/>
    </row>
    <row r="1534" hidden="1">
      <c r="A1534" s="21"/>
      <c r="B1534" s="21" t="s">
        <v>570</v>
      </c>
      <c r="D1534" s="25">
        <v>10.0</v>
      </c>
      <c r="E1534" s="27"/>
      <c r="F1534" s="25">
        <v>3.43</v>
      </c>
      <c r="G1534" s="27"/>
    </row>
    <row r="1535" hidden="1">
      <c r="A1535" s="21"/>
      <c r="B1535" s="21" t="s">
        <v>571</v>
      </c>
      <c r="D1535" s="25">
        <v>10.0</v>
      </c>
      <c r="E1535" s="27"/>
      <c r="F1535" s="25">
        <v>0.0</v>
      </c>
      <c r="G1535" s="27"/>
    </row>
    <row r="1536" hidden="1">
      <c r="A1536" s="21"/>
      <c r="B1536" s="21" t="s">
        <v>572</v>
      </c>
      <c r="D1536" s="25">
        <v>10.0</v>
      </c>
      <c r="E1536" s="27"/>
      <c r="F1536" s="25">
        <v>0.0</v>
      </c>
      <c r="G1536" s="27"/>
    </row>
    <row r="1537" hidden="1">
      <c r="A1537" s="21"/>
      <c r="B1537" s="21" t="s">
        <v>2441</v>
      </c>
      <c r="D1537" s="25">
        <v>10.0</v>
      </c>
      <c r="E1537" s="27"/>
      <c r="F1537" s="25">
        <v>0.0</v>
      </c>
      <c r="G1537" s="27"/>
    </row>
    <row r="1538" hidden="1">
      <c r="A1538" s="21"/>
      <c r="B1538" s="21" t="s">
        <v>2442</v>
      </c>
      <c r="D1538" s="25">
        <v>10.0</v>
      </c>
      <c r="E1538" s="27"/>
      <c r="F1538" s="25">
        <v>11.01</v>
      </c>
      <c r="G1538" s="27"/>
    </row>
    <row r="1539" hidden="1">
      <c r="A1539" s="21"/>
      <c r="B1539" s="21" t="s">
        <v>2443</v>
      </c>
      <c r="D1539" s="25">
        <v>10.0</v>
      </c>
      <c r="E1539" s="27"/>
      <c r="F1539" s="25">
        <v>0.0</v>
      </c>
      <c r="G1539" s="27"/>
    </row>
    <row r="1540" hidden="1">
      <c r="A1540" s="21"/>
      <c r="B1540" s="21" t="s">
        <v>2444</v>
      </c>
      <c r="D1540" s="25">
        <v>10.0</v>
      </c>
      <c r="E1540" s="27"/>
      <c r="F1540" s="25">
        <v>0.0</v>
      </c>
      <c r="G1540" s="27"/>
    </row>
    <row r="1541" hidden="1">
      <c r="A1541" s="21"/>
      <c r="B1541" s="21" t="s">
        <v>2445</v>
      </c>
      <c r="D1541" s="25">
        <v>10.0</v>
      </c>
      <c r="E1541" s="27"/>
      <c r="F1541" s="25">
        <v>0.0</v>
      </c>
      <c r="G1541" s="27"/>
    </row>
    <row r="1542" hidden="1">
      <c r="A1542" s="21"/>
      <c r="B1542" s="21" t="s">
        <v>2446</v>
      </c>
      <c r="D1542" s="25">
        <v>10.0</v>
      </c>
      <c r="E1542" s="27"/>
      <c r="F1542" s="25">
        <v>0.0</v>
      </c>
      <c r="G1542" s="27"/>
    </row>
    <row r="1543" hidden="1">
      <c r="A1543" s="21"/>
      <c r="B1543" s="21" t="s">
        <v>2447</v>
      </c>
      <c r="D1543" s="25">
        <v>10.0</v>
      </c>
      <c r="E1543" s="27"/>
      <c r="F1543" s="25">
        <v>0.0</v>
      </c>
      <c r="G1543" s="27"/>
    </row>
    <row r="1544" hidden="1">
      <c r="A1544" s="21"/>
      <c r="B1544" s="21" t="s">
        <v>2448</v>
      </c>
      <c r="D1544" s="25">
        <v>10.0</v>
      </c>
      <c r="E1544" s="27"/>
      <c r="F1544" s="25">
        <v>0.0</v>
      </c>
      <c r="G1544" s="27"/>
    </row>
    <row r="1545" hidden="1">
      <c r="A1545" s="21"/>
      <c r="B1545" s="21" t="s">
        <v>2449</v>
      </c>
      <c r="D1545" s="25">
        <v>10.0</v>
      </c>
      <c r="E1545" s="27"/>
      <c r="F1545" s="25">
        <v>0.0</v>
      </c>
      <c r="G1545" s="27"/>
    </row>
    <row r="1546" hidden="1">
      <c r="A1546" s="21"/>
      <c r="B1546" s="21" t="s">
        <v>2450</v>
      </c>
      <c r="D1546" s="25">
        <v>10.0</v>
      </c>
      <c r="E1546" s="27"/>
      <c r="F1546" s="25">
        <v>0.0</v>
      </c>
      <c r="G1546" s="27"/>
    </row>
    <row r="1547" hidden="1">
      <c r="A1547" s="21"/>
      <c r="B1547" s="21" t="s">
        <v>2451</v>
      </c>
      <c r="D1547" s="25">
        <v>10.0</v>
      </c>
      <c r="E1547" s="27"/>
      <c r="F1547" s="25">
        <v>0.0</v>
      </c>
      <c r="G1547" s="27"/>
    </row>
    <row r="1548" hidden="1">
      <c r="A1548" s="21"/>
      <c r="B1548" s="21" t="s">
        <v>2452</v>
      </c>
      <c r="D1548" s="25">
        <v>10.0</v>
      </c>
      <c r="E1548" s="27"/>
      <c r="F1548" s="25">
        <v>0.0</v>
      </c>
      <c r="G1548" s="27"/>
    </row>
    <row r="1549" hidden="1">
      <c r="A1549" s="21"/>
      <c r="B1549" s="21" t="s">
        <v>2453</v>
      </c>
      <c r="D1549" s="25">
        <v>10.0</v>
      </c>
      <c r="E1549" s="27"/>
      <c r="F1549" s="25">
        <v>0.0</v>
      </c>
      <c r="G1549" s="27"/>
    </row>
    <row r="1550" hidden="1">
      <c r="A1550" s="21"/>
      <c r="B1550" s="21" t="s">
        <v>2454</v>
      </c>
      <c r="D1550" s="25">
        <v>10.0</v>
      </c>
      <c r="E1550" s="27"/>
      <c r="F1550" s="25">
        <v>0.0</v>
      </c>
      <c r="G1550" s="27"/>
    </row>
    <row r="1551" hidden="1">
      <c r="A1551" s="21"/>
      <c r="B1551" s="21" t="s">
        <v>2455</v>
      </c>
      <c r="D1551" s="25">
        <v>10.0</v>
      </c>
      <c r="E1551" s="27"/>
      <c r="F1551" s="25">
        <v>0.0</v>
      </c>
      <c r="G1551" s="27"/>
    </row>
    <row r="1552" hidden="1">
      <c r="A1552" s="21"/>
      <c r="B1552" s="21" t="s">
        <v>2456</v>
      </c>
      <c r="D1552" s="25">
        <v>10.0</v>
      </c>
      <c r="E1552" s="27"/>
      <c r="F1552" s="25">
        <v>0.0</v>
      </c>
      <c r="G1552" s="27"/>
    </row>
    <row r="1553" hidden="1">
      <c r="A1553" s="21"/>
      <c r="B1553" s="21" t="s">
        <v>2457</v>
      </c>
      <c r="D1553" s="25">
        <v>10.0</v>
      </c>
      <c r="E1553" s="27"/>
      <c r="F1553" s="25">
        <v>0.0</v>
      </c>
      <c r="G1553" s="27"/>
    </row>
    <row r="1554" hidden="1">
      <c r="A1554" s="21"/>
      <c r="B1554" s="21" t="s">
        <v>2458</v>
      </c>
      <c r="D1554" s="25">
        <v>10.0</v>
      </c>
      <c r="E1554" s="27"/>
      <c r="F1554" s="25">
        <v>0.0</v>
      </c>
      <c r="G1554" s="27"/>
    </row>
    <row r="1555" hidden="1">
      <c r="A1555" s="21"/>
      <c r="B1555" s="21" t="s">
        <v>2459</v>
      </c>
      <c r="D1555" s="25">
        <v>10.0</v>
      </c>
      <c r="E1555" s="27"/>
      <c r="F1555" s="25">
        <v>0.0</v>
      </c>
      <c r="G1555" s="27"/>
    </row>
    <row r="1556" hidden="1">
      <c r="A1556" s="21"/>
      <c r="B1556" s="21" t="s">
        <v>2460</v>
      </c>
      <c r="D1556" s="25">
        <v>10.0</v>
      </c>
      <c r="E1556" s="27"/>
      <c r="F1556" s="25">
        <v>0.0</v>
      </c>
      <c r="G1556" s="27"/>
    </row>
    <row r="1557" hidden="1">
      <c r="A1557" s="21"/>
      <c r="B1557" s="21" t="s">
        <v>2461</v>
      </c>
      <c r="D1557" s="25">
        <v>10.0</v>
      </c>
      <c r="E1557" s="27"/>
      <c r="F1557" s="25">
        <v>0.0</v>
      </c>
      <c r="G1557" s="27"/>
    </row>
    <row r="1558" hidden="1">
      <c r="A1558" s="21"/>
      <c r="B1558" s="21" t="s">
        <v>2462</v>
      </c>
      <c r="D1558" s="25">
        <v>10.0</v>
      </c>
      <c r="E1558" s="27"/>
      <c r="F1558" s="25">
        <v>0.0</v>
      </c>
      <c r="G1558" s="27"/>
    </row>
    <row r="1559" hidden="1">
      <c r="A1559" s="21"/>
      <c r="B1559" s="21" t="s">
        <v>2463</v>
      </c>
      <c r="D1559" s="25">
        <v>10.0</v>
      </c>
      <c r="E1559" s="27"/>
      <c r="F1559" s="25">
        <v>0.0</v>
      </c>
      <c r="G1559" s="27"/>
    </row>
    <row r="1560" hidden="1">
      <c r="A1560" s="21"/>
      <c r="B1560" s="21" t="s">
        <v>2464</v>
      </c>
      <c r="D1560" s="25">
        <v>10.0</v>
      </c>
      <c r="E1560" s="27"/>
      <c r="F1560" s="25">
        <v>0.0</v>
      </c>
      <c r="G1560" s="27"/>
    </row>
    <row r="1561" hidden="1">
      <c r="A1561" s="21"/>
      <c r="B1561" s="21" t="s">
        <v>2465</v>
      </c>
      <c r="D1561" s="25">
        <v>10.0</v>
      </c>
      <c r="E1561" s="27"/>
      <c r="F1561" s="25">
        <v>0.0</v>
      </c>
      <c r="G1561" s="27"/>
    </row>
    <row r="1562" hidden="1">
      <c r="A1562" s="21"/>
      <c r="B1562" s="21" t="s">
        <v>2466</v>
      </c>
      <c r="D1562" s="25">
        <v>10.0</v>
      </c>
      <c r="E1562" s="27"/>
      <c r="F1562" s="25">
        <v>0.0</v>
      </c>
      <c r="G1562" s="27"/>
    </row>
    <row r="1563" hidden="1">
      <c r="A1563" s="21"/>
      <c r="B1563" s="21" t="s">
        <v>2467</v>
      </c>
      <c r="D1563" s="25">
        <v>10.0</v>
      </c>
      <c r="E1563" s="27"/>
      <c r="F1563" s="25">
        <v>0.0</v>
      </c>
      <c r="G1563" s="27"/>
    </row>
    <row r="1564" hidden="1">
      <c r="A1564" s="21"/>
      <c r="B1564" s="21" t="s">
        <v>2468</v>
      </c>
      <c r="D1564" s="25">
        <v>10.0</v>
      </c>
      <c r="E1564" s="27"/>
      <c r="F1564" s="25">
        <v>0.0</v>
      </c>
      <c r="G1564" s="27"/>
    </row>
    <row r="1565" hidden="1">
      <c r="A1565" s="21"/>
      <c r="B1565" s="21" t="s">
        <v>2469</v>
      </c>
      <c r="D1565" s="25">
        <v>10.0</v>
      </c>
      <c r="E1565" s="27"/>
      <c r="F1565" s="25">
        <v>0.0</v>
      </c>
      <c r="G1565" s="27"/>
    </row>
    <row r="1566" hidden="1">
      <c r="A1566" s="21"/>
      <c r="B1566" s="21" t="s">
        <v>2470</v>
      </c>
      <c r="D1566" s="25">
        <v>10.0</v>
      </c>
      <c r="E1566" s="27"/>
      <c r="F1566" s="25">
        <v>0.0</v>
      </c>
      <c r="G1566" s="27"/>
    </row>
    <row r="1567" hidden="1">
      <c r="A1567" s="21"/>
      <c r="B1567" s="21" t="s">
        <v>2471</v>
      </c>
      <c r="D1567" s="25">
        <v>10.0</v>
      </c>
      <c r="E1567" s="27"/>
      <c r="F1567" s="25">
        <v>0.0</v>
      </c>
      <c r="G1567" s="27"/>
    </row>
    <row r="1568" hidden="1">
      <c r="A1568" s="21"/>
      <c r="B1568" s="21" t="s">
        <v>2472</v>
      </c>
      <c r="D1568" s="25">
        <v>10.0</v>
      </c>
      <c r="E1568" s="27"/>
      <c r="F1568" s="25">
        <v>0.0</v>
      </c>
      <c r="G1568" s="27"/>
    </row>
    <row r="1569" hidden="1">
      <c r="A1569" s="21"/>
      <c r="B1569" s="21" t="s">
        <v>2473</v>
      </c>
      <c r="D1569" s="25">
        <v>10.0</v>
      </c>
      <c r="E1569" s="27"/>
      <c r="F1569" s="25">
        <v>0.0</v>
      </c>
      <c r="G1569" s="27"/>
    </row>
    <row r="1570" hidden="1">
      <c r="A1570" s="21"/>
      <c r="B1570" s="21" t="s">
        <v>2474</v>
      </c>
      <c r="D1570" s="25">
        <v>10.0</v>
      </c>
      <c r="E1570" s="27"/>
      <c r="F1570" s="25">
        <v>0.0</v>
      </c>
      <c r="G1570" s="27"/>
    </row>
    <row r="1571" hidden="1">
      <c r="A1571" s="21"/>
      <c r="B1571" s="21" t="s">
        <v>2475</v>
      </c>
      <c r="D1571" s="25">
        <v>10.0</v>
      </c>
      <c r="E1571" s="27"/>
      <c r="F1571" s="25">
        <v>0.0</v>
      </c>
      <c r="G1571" s="27"/>
    </row>
    <row r="1572" hidden="1">
      <c r="A1572" s="21"/>
      <c r="B1572" s="21" t="s">
        <v>2476</v>
      </c>
      <c r="D1572" s="25">
        <v>10.0</v>
      </c>
      <c r="E1572" s="27"/>
      <c r="F1572" s="25">
        <v>0.0</v>
      </c>
      <c r="G1572" s="27"/>
    </row>
    <row r="1573" hidden="1">
      <c r="A1573" s="21"/>
      <c r="B1573" s="21" t="s">
        <v>2477</v>
      </c>
      <c r="D1573" s="25">
        <v>10.0</v>
      </c>
      <c r="E1573" s="27"/>
      <c r="F1573" s="25">
        <v>0.0</v>
      </c>
      <c r="G1573" s="27"/>
    </row>
    <row r="1574" hidden="1">
      <c r="A1574" s="21"/>
      <c r="B1574" s="21" t="s">
        <v>2478</v>
      </c>
      <c r="D1574" s="25">
        <v>10.0</v>
      </c>
      <c r="E1574" s="27"/>
      <c r="F1574" s="25">
        <v>0.0</v>
      </c>
      <c r="G1574" s="27"/>
    </row>
    <row r="1575" hidden="1">
      <c r="A1575" s="21"/>
      <c r="B1575" s="21" t="s">
        <v>2479</v>
      </c>
      <c r="D1575" s="25">
        <v>10.0</v>
      </c>
      <c r="E1575" s="27"/>
      <c r="F1575" s="25">
        <v>0.0</v>
      </c>
      <c r="G1575" s="27"/>
    </row>
    <row r="1576" hidden="1">
      <c r="A1576" s="21"/>
      <c r="B1576" s="21" t="s">
        <v>2480</v>
      </c>
      <c r="D1576" s="25">
        <v>10.0</v>
      </c>
      <c r="E1576" s="27"/>
      <c r="F1576" s="25">
        <v>0.0</v>
      </c>
      <c r="G1576" s="27"/>
    </row>
    <row r="1577" hidden="1">
      <c r="A1577" s="21"/>
      <c r="B1577" s="21" t="s">
        <v>2481</v>
      </c>
      <c r="D1577" s="25">
        <v>10.0</v>
      </c>
      <c r="E1577" s="27"/>
      <c r="F1577" s="25">
        <v>0.0</v>
      </c>
      <c r="G1577" s="27"/>
    </row>
    <row r="1578" hidden="1">
      <c r="A1578" s="21"/>
      <c r="B1578" s="21" t="s">
        <v>2482</v>
      </c>
      <c r="D1578" s="25">
        <v>10.0</v>
      </c>
      <c r="E1578" s="27"/>
      <c r="F1578" s="25">
        <v>0.0</v>
      </c>
      <c r="G1578" s="27"/>
    </row>
    <row r="1579" hidden="1">
      <c r="A1579" s="21"/>
      <c r="B1579" s="21" t="s">
        <v>2483</v>
      </c>
      <c r="D1579" s="25">
        <v>10.0</v>
      </c>
      <c r="E1579" s="27"/>
      <c r="F1579" s="25">
        <v>0.0</v>
      </c>
      <c r="G1579" s="27"/>
    </row>
    <row r="1580" hidden="1">
      <c r="A1580" s="21"/>
      <c r="B1580" s="21" t="s">
        <v>2484</v>
      </c>
      <c r="D1580" s="25">
        <v>10.0</v>
      </c>
      <c r="E1580" s="27"/>
      <c r="F1580" s="25">
        <v>0.0</v>
      </c>
      <c r="G1580" s="27"/>
    </row>
    <row r="1581" hidden="1">
      <c r="A1581" s="21"/>
      <c r="B1581" s="21" t="s">
        <v>2485</v>
      </c>
      <c r="D1581" s="25">
        <v>10.0</v>
      </c>
      <c r="E1581" s="27"/>
      <c r="F1581" s="25">
        <v>0.0</v>
      </c>
      <c r="G1581" s="27"/>
    </row>
    <row r="1582" hidden="1">
      <c r="A1582" s="21"/>
      <c r="B1582" s="21" t="s">
        <v>2486</v>
      </c>
      <c r="D1582" s="25">
        <v>10.0</v>
      </c>
      <c r="E1582" s="27"/>
      <c r="F1582" s="25">
        <v>0.0</v>
      </c>
      <c r="G1582" s="27"/>
    </row>
    <row r="1583" hidden="1">
      <c r="A1583" s="21"/>
      <c r="B1583" s="21" t="s">
        <v>2487</v>
      </c>
      <c r="D1583" s="25">
        <v>10.0</v>
      </c>
      <c r="E1583" s="27"/>
      <c r="F1583" s="25">
        <v>0.0</v>
      </c>
      <c r="G1583" s="27"/>
    </row>
    <row r="1584" hidden="1">
      <c r="A1584" s="21"/>
      <c r="B1584" s="21" t="s">
        <v>2488</v>
      </c>
      <c r="D1584" s="25">
        <v>10.0</v>
      </c>
      <c r="E1584" s="27"/>
      <c r="F1584" s="25">
        <v>0.0</v>
      </c>
      <c r="G1584" s="27"/>
    </row>
    <row r="1585" hidden="1">
      <c r="A1585" s="21"/>
      <c r="B1585" s="21" t="s">
        <v>2489</v>
      </c>
      <c r="D1585" s="25">
        <v>10.0</v>
      </c>
      <c r="E1585" s="27"/>
      <c r="F1585" s="25">
        <v>0.0</v>
      </c>
      <c r="G1585" s="27"/>
    </row>
    <row r="1586" hidden="1">
      <c r="A1586" s="21"/>
      <c r="B1586" s="21" t="s">
        <v>2490</v>
      </c>
      <c r="D1586" s="25">
        <v>10.0</v>
      </c>
      <c r="E1586" s="27"/>
      <c r="F1586" s="25">
        <v>0.0</v>
      </c>
      <c r="G1586" s="27"/>
    </row>
    <row r="1587" hidden="1">
      <c r="A1587" s="21"/>
      <c r="B1587" s="21" t="s">
        <v>2491</v>
      </c>
      <c r="D1587" s="25">
        <v>10.0</v>
      </c>
      <c r="E1587" s="27"/>
      <c r="F1587" s="25">
        <v>0.0</v>
      </c>
      <c r="G1587" s="27"/>
    </row>
    <row r="1588" hidden="1">
      <c r="A1588" s="21"/>
      <c r="B1588" s="21" t="s">
        <v>2492</v>
      </c>
      <c r="D1588" s="25">
        <v>10.0</v>
      </c>
      <c r="E1588" s="27"/>
      <c r="F1588" s="25">
        <v>0.0</v>
      </c>
      <c r="G1588" s="27"/>
    </row>
    <row r="1589" hidden="1">
      <c r="A1589" s="21"/>
      <c r="B1589" s="21" t="s">
        <v>2493</v>
      </c>
      <c r="D1589" s="25">
        <v>10.0</v>
      </c>
      <c r="E1589" s="27"/>
      <c r="F1589" s="25">
        <v>0.0</v>
      </c>
      <c r="G1589" s="27"/>
    </row>
    <row r="1590" hidden="1">
      <c r="A1590" s="21"/>
      <c r="B1590" s="21" t="s">
        <v>2494</v>
      </c>
      <c r="D1590" s="25">
        <v>10.0</v>
      </c>
      <c r="E1590" s="27"/>
      <c r="F1590" s="25">
        <v>0.0</v>
      </c>
      <c r="G1590" s="27"/>
    </row>
    <row r="1591" hidden="1">
      <c r="A1591" s="21"/>
      <c r="B1591" s="21" t="s">
        <v>2495</v>
      </c>
      <c r="D1591" s="25">
        <v>10.0</v>
      </c>
      <c r="E1591" s="27"/>
      <c r="F1591" s="25">
        <v>0.0</v>
      </c>
      <c r="G1591" s="27"/>
    </row>
    <row r="1592" hidden="1">
      <c r="A1592" s="21"/>
      <c r="B1592" s="21" t="s">
        <v>2496</v>
      </c>
      <c r="D1592" s="25">
        <v>10.0</v>
      </c>
      <c r="E1592" s="27"/>
      <c r="F1592" s="25">
        <v>0.0</v>
      </c>
      <c r="G1592" s="27"/>
    </row>
    <row r="1593" hidden="1">
      <c r="A1593" s="21"/>
      <c r="B1593" s="21" t="s">
        <v>2497</v>
      </c>
      <c r="D1593" s="25">
        <v>10.0</v>
      </c>
      <c r="E1593" s="27"/>
      <c r="F1593" s="25">
        <v>0.0</v>
      </c>
      <c r="G1593" s="27"/>
    </row>
    <row r="1594" hidden="1">
      <c r="A1594" s="21"/>
      <c r="B1594" s="21" t="s">
        <v>2498</v>
      </c>
      <c r="D1594" s="25">
        <v>10.0</v>
      </c>
      <c r="E1594" s="27"/>
      <c r="F1594" s="25">
        <v>0.0</v>
      </c>
      <c r="G1594" s="27"/>
    </row>
    <row r="1595" hidden="1">
      <c r="A1595" s="21"/>
      <c r="B1595" s="21" t="s">
        <v>2499</v>
      </c>
      <c r="D1595" s="25">
        <v>10.0</v>
      </c>
      <c r="E1595" s="27"/>
      <c r="F1595" s="25">
        <v>0.0</v>
      </c>
      <c r="G1595" s="27"/>
    </row>
    <row r="1596" hidden="1">
      <c r="A1596" s="21"/>
      <c r="B1596" s="21" t="s">
        <v>2500</v>
      </c>
      <c r="D1596" s="25">
        <v>10.0</v>
      </c>
      <c r="E1596" s="27"/>
      <c r="F1596" s="25">
        <v>0.0</v>
      </c>
      <c r="G1596" s="27"/>
    </row>
    <row r="1597" hidden="1">
      <c r="A1597" s="21"/>
      <c r="B1597" s="21" t="s">
        <v>2501</v>
      </c>
      <c r="D1597" s="25">
        <v>10.0</v>
      </c>
      <c r="E1597" s="27"/>
      <c r="F1597" s="25">
        <v>5.4</v>
      </c>
      <c r="G1597" s="27"/>
    </row>
    <row r="1598" hidden="1">
      <c r="A1598" s="21"/>
      <c r="B1598" s="21" t="s">
        <v>2502</v>
      </c>
      <c r="D1598" s="25">
        <v>10.0</v>
      </c>
      <c r="E1598" s="27"/>
      <c r="F1598" s="25">
        <v>0.0</v>
      </c>
      <c r="G1598" s="27"/>
    </row>
    <row r="1599" hidden="1">
      <c r="A1599" s="21"/>
      <c r="B1599" s="21" t="s">
        <v>2503</v>
      </c>
      <c r="D1599" s="25">
        <v>10.0</v>
      </c>
      <c r="E1599" s="27"/>
      <c r="F1599" s="25">
        <v>0.0</v>
      </c>
      <c r="G1599" s="27"/>
    </row>
    <row r="1600" hidden="1">
      <c r="A1600" s="21"/>
      <c r="B1600" s="21" t="s">
        <v>2504</v>
      </c>
      <c r="D1600" s="25">
        <v>10.0</v>
      </c>
      <c r="E1600" s="27"/>
      <c r="F1600" s="25">
        <v>0.0</v>
      </c>
      <c r="G1600" s="27"/>
    </row>
    <row r="1601" hidden="1">
      <c r="A1601" s="21"/>
      <c r="B1601" s="21" t="s">
        <v>2505</v>
      </c>
      <c r="D1601" s="25">
        <v>10.0</v>
      </c>
      <c r="E1601" s="27"/>
      <c r="F1601" s="25">
        <v>0.0</v>
      </c>
      <c r="G1601" s="27"/>
    </row>
    <row r="1602" hidden="1">
      <c r="A1602" s="21"/>
      <c r="B1602" s="21" t="s">
        <v>2506</v>
      </c>
      <c r="D1602" s="25">
        <v>10.0</v>
      </c>
      <c r="E1602" s="27"/>
      <c r="F1602" s="25">
        <v>0.0</v>
      </c>
      <c r="G1602" s="27"/>
    </row>
    <row r="1603" hidden="1">
      <c r="A1603" s="21"/>
      <c r="B1603" s="21" t="s">
        <v>2507</v>
      </c>
      <c r="D1603" s="25">
        <v>10.0</v>
      </c>
      <c r="E1603" s="27"/>
      <c r="F1603" s="25">
        <v>0.0</v>
      </c>
      <c r="G1603" s="27"/>
    </row>
    <row r="1604" hidden="1">
      <c r="A1604" s="21"/>
      <c r="B1604" s="21" t="s">
        <v>2508</v>
      </c>
      <c r="D1604" s="25">
        <v>10.0</v>
      </c>
      <c r="E1604" s="27"/>
      <c r="F1604" s="25">
        <v>0.0</v>
      </c>
      <c r="G1604" s="27"/>
    </row>
    <row r="1605" hidden="1">
      <c r="A1605" s="21"/>
      <c r="B1605" s="21" t="s">
        <v>2509</v>
      </c>
      <c r="D1605" s="25">
        <v>10.0</v>
      </c>
      <c r="E1605" s="27"/>
      <c r="F1605" s="25">
        <v>0.0</v>
      </c>
      <c r="G1605" s="27"/>
    </row>
    <row r="1606" hidden="1">
      <c r="A1606" s="21"/>
      <c r="B1606" s="21" t="s">
        <v>2510</v>
      </c>
      <c r="D1606" s="25">
        <v>10.0</v>
      </c>
      <c r="E1606" s="27"/>
      <c r="F1606" s="25">
        <v>0.0</v>
      </c>
      <c r="G1606" s="27"/>
    </row>
    <row r="1607" hidden="1">
      <c r="A1607" s="21"/>
      <c r="B1607" s="21" t="s">
        <v>2511</v>
      </c>
      <c r="D1607" s="25">
        <v>10.0</v>
      </c>
      <c r="E1607" s="27"/>
      <c r="F1607" s="25">
        <v>0.0</v>
      </c>
      <c r="G1607" s="27"/>
    </row>
    <row r="1608" hidden="1">
      <c r="A1608" s="21"/>
      <c r="B1608" s="21" t="s">
        <v>2512</v>
      </c>
      <c r="D1608" s="25">
        <v>10.0</v>
      </c>
      <c r="E1608" s="27"/>
      <c r="F1608" s="25">
        <v>0.0</v>
      </c>
      <c r="G1608" s="27"/>
    </row>
    <row r="1609" hidden="1">
      <c r="A1609" s="21"/>
      <c r="B1609" s="21" t="s">
        <v>2513</v>
      </c>
      <c r="D1609" s="25">
        <v>10.0</v>
      </c>
      <c r="E1609" s="27"/>
      <c r="F1609" s="25">
        <v>0.0</v>
      </c>
      <c r="G1609" s="27"/>
    </row>
    <row r="1610" hidden="1">
      <c r="A1610" s="21"/>
      <c r="B1610" s="21" t="s">
        <v>2514</v>
      </c>
      <c r="D1610" s="25">
        <v>10.0</v>
      </c>
      <c r="E1610" s="27"/>
      <c r="F1610" s="25">
        <v>0.0</v>
      </c>
      <c r="G1610" s="27"/>
    </row>
    <row r="1611" hidden="1">
      <c r="A1611" s="21"/>
      <c r="B1611" s="21" t="s">
        <v>2515</v>
      </c>
      <c r="D1611" s="25">
        <v>10.0</v>
      </c>
      <c r="E1611" s="27"/>
      <c r="F1611" s="25">
        <v>0.0</v>
      </c>
      <c r="G1611" s="27"/>
    </row>
    <row r="1612" hidden="1">
      <c r="A1612" s="21"/>
      <c r="B1612" s="21" t="s">
        <v>2516</v>
      </c>
      <c r="D1612" s="25">
        <v>10.0</v>
      </c>
      <c r="E1612" s="27"/>
      <c r="F1612" s="25">
        <v>0.0</v>
      </c>
      <c r="G1612" s="27"/>
    </row>
    <row r="1613" hidden="1">
      <c r="A1613" s="21"/>
      <c r="B1613" s="21" t="s">
        <v>2517</v>
      </c>
      <c r="D1613" s="25">
        <v>10.0</v>
      </c>
      <c r="E1613" s="27"/>
      <c r="F1613" s="25">
        <v>0.0</v>
      </c>
      <c r="G1613" s="27"/>
    </row>
    <row r="1614" hidden="1">
      <c r="A1614" s="21"/>
      <c r="B1614" s="21" t="s">
        <v>2518</v>
      </c>
      <c r="D1614" s="25">
        <v>10.0</v>
      </c>
      <c r="E1614" s="27"/>
      <c r="F1614" s="25">
        <v>0.0</v>
      </c>
      <c r="G1614" s="27"/>
    </row>
    <row r="1615" hidden="1">
      <c r="A1615" s="21"/>
      <c r="B1615" s="21" t="s">
        <v>2519</v>
      </c>
      <c r="D1615" s="25">
        <v>10.0</v>
      </c>
      <c r="E1615" s="27"/>
      <c r="F1615" s="25">
        <v>0.0</v>
      </c>
      <c r="G1615" s="27"/>
    </row>
    <row r="1616" hidden="1">
      <c r="A1616" s="21"/>
      <c r="B1616" s="21" t="s">
        <v>2520</v>
      </c>
      <c r="D1616" s="25">
        <v>10.0</v>
      </c>
      <c r="E1616" s="27"/>
      <c r="F1616" s="25">
        <v>0.0</v>
      </c>
      <c r="G1616" s="27"/>
    </row>
    <row r="1617" hidden="1">
      <c r="A1617" s="21"/>
      <c r="B1617" s="21" t="s">
        <v>2521</v>
      </c>
      <c r="D1617" s="25">
        <v>10.0</v>
      </c>
      <c r="E1617" s="27"/>
      <c r="F1617" s="25">
        <v>0.0</v>
      </c>
      <c r="G1617" s="27"/>
    </row>
    <row r="1618" hidden="1">
      <c r="A1618" s="21"/>
      <c r="B1618" s="21" t="s">
        <v>2522</v>
      </c>
      <c r="D1618" s="25">
        <v>10.0</v>
      </c>
      <c r="E1618" s="27"/>
      <c r="F1618" s="25">
        <v>0.0</v>
      </c>
      <c r="G1618" s="27"/>
    </row>
    <row r="1619" hidden="1">
      <c r="A1619" s="21"/>
      <c r="B1619" s="21" t="s">
        <v>2523</v>
      </c>
      <c r="D1619" s="25">
        <v>10.0</v>
      </c>
      <c r="E1619" s="27"/>
      <c r="F1619" s="25">
        <v>0.0</v>
      </c>
      <c r="G1619" s="27"/>
    </row>
    <row r="1620" hidden="1">
      <c r="A1620" s="21"/>
      <c r="B1620" s="21" t="s">
        <v>2524</v>
      </c>
      <c r="D1620" s="25">
        <v>10.0</v>
      </c>
      <c r="E1620" s="27"/>
      <c r="F1620" s="25">
        <v>0.0</v>
      </c>
      <c r="G1620" s="27"/>
    </row>
    <row r="1621" hidden="1">
      <c r="A1621" s="21"/>
      <c r="B1621" s="21" t="s">
        <v>2525</v>
      </c>
      <c r="D1621" s="25">
        <v>10.0</v>
      </c>
      <c r="E1621" s="27"/>
      <c r="F1621" s="25">
        <v>0.0</v>
      </c>
      <c r="G1621" s="27"/>
    </row>
    <row r="1622" hidden="1">
      <c r="A1622" s="21"/>
      <c r="B1622" s="21" t="s">
        <v>2526</v>
      </c>
      <c r="D1622" s="25">
        <v>10.0</v>
      </c>
      <c r="E1622" s="27"/>
      <c r="F1622" s="25">
        <v>0.0</v>
      </c>
      <c r="G1622" s="27"/>
    </row>
    <row r="1623" hidden="1">
      <c r="A1623" s="21"/>
      <c r="B1623" s="21" t="s">
        <v>2527</v>
      </c>
      <c r="D1623" s="25">
        <v>10.0</v>
      </c>
      <c r="E1623" s="27"/>
      <c r="F1623" s="25">
        <v>0.0</v>
      </c>
      <c r="G1623" s="27"/>
    </row>
    <row r="1624" hidden="1">
      <c r="A1624" s="21"/>
      <c r="B1624" s="21" t="s">
        <v>2528</v>
      </c>
      <c r="D1624" s="25">
        <v>10.0</v>
      </c>
      <c r="E1624" s="27"/>
      <c r="F1624" s="25">
        <v>0.0</v>
      </c>
      <c r="G1624" s="27"/>
    </row>
    <row r="1625" hidden="1">
      <c r="A1625" s="21"/>
      <c r="B1625" s="21" t="s">
        <v>2529</v>
      </c>
      <c r="D1625" s="25">
        <v>10.0</v>
      </c>
      <c r="E1625" s="27"/>
      <c r="F1625" s="25">
        <v>0.0</v>
      </c>
      <c r="G1625" s="27"/>
    </row>
    <row r="1626" hidden="1">
      <c r="A1626" s="21"/>
      <c r="B1626" s="21" t="s">
        <v>2530</v>
      </c>
      <c r="D1626" s="25">
        <v>10.0</v>
      </c>
      <c r="E1626" s="27"/>
      <c r="F1626" s="25">
        <v>0.0</v>
      </c>
      <c r="G1626" s="27"/>
    </row>
    <row r="1627" hidden="1">
      <c r="A1627" s="21"/>
      <c r="B1627" s="21" t="s">
        <v>2531</v>
      </c>
      <c r="D1627" s="25">
        <v>10.0</v>
      </c>
      <c r="E1627" s="27"/>
      <c r="F1627" s="25">
        <v>0.0</v>
      </c>
      <c r="G1627" s="27"/>
    </row>
    <row r="1628" hidden="1">
      <c r="A1628" s="21"/>
      <c r="B1628" s="21" t="s">
        <v>2532</v>
      </c>
      <c r="D1628" s="25">
        <v>10.0</v>
      </c>
      <c r="E1628" s="27"/>
      <c r="F1628" s="25">
        <v>0.0</v>
      </c>
      <c r="G1628" s="27"/>
    </row>
    <row r="1629" hidden="1">
      <c r="A1629" s="21"/>
      <c r="B1629" s="21" t="s">
        <v>2533</v>
      </c>
      <c r="D1629" s="25">
        <v>10.0</v>
      </c>
      <c r="E1629" s="27"/>
      <c r="F1629" s="25">
        <v>0.0</v>
      </c>
      <c r="G1629" s="27"/>
    </row>
    <row r="1630" hidden="1">
      <c r="A1630" s="21"/>
      <c r="B1630" s="21" t="s">
        <v>2534</v>
      </c>
      <c r="D1630" s="25">
        <v>10.0</v>
      </c>
      <c r="E1630" s="27"/>
      <c r="F1630" s="25">
        <v>0.0</v>
      </c>
      <c r="G1630" s="27"/>
    </row>
    <row r="1631" hidden="1">
      <c r="A1631" s="21"/>
      <c r="B1631" s="21" t="s">
        <v>2535</v>
      </c>
      <c r="D1631" s="25">
        <v>10.0</v>
      </c>
      <c r="E1631" s="27"/>
      <c r="F1631" s="25">
        <v>0.0</v>
      </c>
      <c r="G1631" s="27"/>
    </row>
    <row r="1632" hidden="1">
      <c r="A1632" s="21"/>
      <c r="B1632" s="21" t="s">
        <v>2536</v>
      </c>
      <c r="D1632" s="25">
        <v>10.0</v>
      </c>
      <c r="E1632" s="27"/>
      <c r="F1632" s="25">
        <v>0.0</v>
      </c>
      <c r="G1632" s="27"/>
    </row>
    <row r="1633" hidden="1">
      <c r="A1633" s="21"/>
      <c r="B1633" s="21" t="s">
        <v>2537</v>
      </c>
      <c r="D1633" s="25">
        <v>10.0</v>
      </c>
      <c r="E1633" s="27"/>
      <c r="F1633" s="25">
        <v>0.0</v>
      </c>
      <c r="G1633" s="27"/>
    </row>
    <row r="1634" hidden="1">
      <c r="A1634" s="21"/>
      <c r="B1634" s="21" t="s">
        <v>2538</v>
      </c>
      <c r="D1634" s="25">
        <v>10.0</v>
      </c>
      <c r="E1634" s="27"/>
      <c r="F1634" s="25">
        <v>0.0</v>
      </c>
      <c r="G1634" s="27"/>
    </row>
    <row r="1635" hidden="1">
      <c r="A1635" s="21"/>
      <c r="B1635" s="21" t="s">
        <v>2539</v>
      </c>
      <c r="D1635" s="25">
        <v>10.0</v>
      </c>
      <c r="E1635" s="27"/>
      <c r="F1635" s="25">
        <v>0.0</v>
      </c>
      <c r="G1635" s="27"/>
    </row>
    <row r="1636" hidden="1">
      <c r="A1636" s="21"/>
      <c r="B1636" s="21" t="s">
        <v>2540</v>
      </c>
      <c r="D1636" s="25">
        <v>10.0</v>
      </c>
      <c r="E1636" s="27"/>
      <c r="F1636" s="25">
        <v>0.0</v>
      </c>
      <c r="G1636" s="27"/>
    </row>
    <row r="1637" hidden="1">
      <c r="A1637" s="21"/>
      <c r="B1637" s="21" t="s">
        <v>2541</v>
      </c>
      <c r="D1637" s="25">
        <v>10.0</v>
      </c>
      <c r="E1637" s="27"/>
      <c r="F1637" s="25">
        <v>0.0</v>
      </c>
      <c r="G1637" s="27"/>
    </row>
    <row r="1638" hidden="1">
      <c r="A1638" s="21"/>
      <c r="B1638" s="21" t="s">
        <v>2542</v>
      </c>
      <c r="D1638" s="25">
        <v>10.0</v>
      </c>
      <c r="E1638" s="27"/>
      <c r="F1638" s="25">
        <v>0.0</v>
      </c>
      <c r="G1638" s="27"/>
    </row>
    <row r="1639" hidden="1">
      <c r="A1639" s="21"/>
      <c r="B1639" s="21" t="s">
        <v>2543</v>
      </c>
      <c r="D1639" s="25">
        <v>10.0</v>
      </c>
      <c r="E1639" s="27"/>
      <c r="F1639" s="25">
        <v>0.0</v>
      </c>
      <c r="G1639" s="27"/>
    </row>
    <row r="1640" hidden="1">
      <c r="A1640" s="21"/>
      <c r="B1640" s="21" t="s">
        <v>2544</v>
      </c>
      <c r="D1640" s="25">
        <v>10.0</v>
      </c>
      <c r="E1640" s="27"/>
      <c r="F1640" s="25">
        <v>0.0</v>
      </c>
      <c r="G1640" s="27"/>
    </row>
    <row r="1641" hidden="1">
      <c r="A1641" s="21"/>
      <c r="B1641" s="21" t="s">
        <v>2545</v>
      </c>
      <c r="D1641" s="25">
        <v>10.0</v>
      </c>
      <c r="E1641" s="27"/>
      <c r="F1641" s="25">
        <v>0.0</v>
      </c>
      <c r="G1641" s="27"/>
    </row>
    <row r="1642" hidden="1">
      <c r="A1642" s="21"/>
      <c r="B1642" s="21" t="s">
        <v>2546</v>
      </c>
      <c r="D1642" s="25">
        <v>10.0</v>
      </c>
      <c r="E1642" s="27"/>
      <c r="F1642" s="25">
        <v>0.0</v>
      </c>
      <c r="G1642" s="27"/>
    </row>
    <row r="1643" hidden="1">
      <c r="A1643" s="21"/>
      <c r="B1643" s="21" t="s">
        <v>2547</v>
      </c>
      <c r="D1643" s="25">
        <v>10.0</v>
      </c>
      <c r="E1643" s="27"/>
      <c r="F1643" s="25">
        <v>0.0</v>
      </c>
      <c r="G1643" s="27"/>
    </row>
    <row r="1644" hidden="1">
      <c r="A1644" s="21"/>
      <c r="B1644" s="21" t="s">
        <v>2548</v>
      </c>
      <c r="D1644" s="25">
        <v>10.0</v>
      </c>
      <c r="E1644" s="27"/>
      <c r="F1644" s="25">
        <v>0.0</v>
      </c>
      <c r="G1644" s="27"/>
    </row>
    <row r="1645" hidden="1">
      <c r="A1645" s="21"/>
      <c r="B1645" s="21" t="s">
        <v>2549</v>
      </c>
      <c r="D1645" s="25">
        <v>10.0</v>
      </c>
      <c r="E1645" s="27"/>
      <c r="F1645" s="25">
        <v>0.0</v>
      </c>
      <c r="G1645" s="27"/>
    </row>
    <row r="1646" hidden="1">
      <c r="A1646" s="21"/>
      <c r="B1646" s="21" t="s">
        <v>2550</v>
      </c>
      <c r="D1646" s="25">
        <v>10.0</v>
      </c>
      <c r="E1646" s="27"/>
      <c r="F1646" s="25">
        <v>0.0</v>
      </c>
      <c r="G1646" s="27"/>
    </row>
    <row r="1647" hidden="1">
      <c r="A1647" s="21"/>
      <c r="B1647" s="21" t="s">
        <v>2551</v>
      </c>
      <c r="D1647" s="25">
        <v>10.0</v>
      </c>
      <c r="E1647" s="27"/>
      <c r="F1647" s="25">
        <v>0.0</v>
      </c>
      <c r="G1647" s="27"/>
    </row>
    <row r="1648" hidden="1">
      <c r="A1648" s="21"/>
      <c r="B1648" s="21" t="s">
        <v>2552</v>
      </c>
      <c r="D1648" s="25">
        <v>10.0</v>
      </c>
      <c r="E1648" s="27"/>
      <c r="F1648" s="25">
        <v>0.0</v>
      </c>
      <c r="G1648" s="27"/>
    </row>
    <row r="1649" hidden="1">
      <c r="A1649" s="21"/>
      <c r="B1649" s="21" t="s">
        <v>2553</v>
      </c>
      <c r="D1649" s="25">
        <v>10.0</v>
      </c>
      <c r="E1649" s="27"/>
      <c r="F1649" s="25">
        <v>0.0</v>
      </c>
      <c r="G1649" s="27"/>
    </row>
    <row r="1650" hidden="1">
      <c r="A1650" s="21"/>
      <c r="B1650" s="21" t="s">
        <v>2554</v>
      </c>
      <c r="D1650" s="25">
        <v>10.0</v>
      </c>
      <c r="E1650" s="27"/>
      <c r="F1650" s="25">
        <v>0.0</v>
      </c>
      <c r="G1650" s="27"/>
    </row>
    <row r="1651" hidden="1">
      <c r="A1651" s="21"/>
      <c r="B1651" s="21" t="s">
        <v>2555</v>
      </c>
      <c r="D1651" s="25">
        <v>10.0</v>
      </c>
      <c r="E1651" s="27"/>
      <c r="F1651" s="25">
        <v>0.0</v>
      </c>
      <c r="G1651" s="27"/>
    </row>
    <row r="1652" hidden="1">
      <c r="A1652" s="21"/>
      <c r="B1652" s="21" t="s">
        <v>2556</v>
      </c>
      <c r="D1652" s="25">
        <v>10.0</v>
      </c>
      <c r="E1652" s="27"/>
      <c r="F1652" s="25">
        <v>0.0</v>
      </c>
      <c r="G1652" s="27"/>
    </row>
    <row r="1653" hidden="1">
      <c r="A1653" s="21"/>
      <c r="B1653" s="21" t="s">
        <v>2557</v>
      </c>
      <c r="D1653" s="25">
        <v>10.0</v>
      </c>
      <c r="E1653" s="27"/>
      <c r="F1653" s="25">
        <v>0.0</v>
      </c>
      <c r="G1653" s="27"/>
    </row>
    <row r="1654" hidden="1">
      <c r="A1654" s="21"/>
      <c r="B1654" s="21" t="s">
        <v>2558</v>
      </c>
      <c r="D1654" s="25">
        <v>10.0</v>
      </c>
      <c r="E1654" s="27"/>
      <c r="F1654" s="25">
        <v>0.0</v>
      </c>
      <c r="G1654" s="27"/>
    </row>
    <row r="1655" hidden="1">
      <c r="A1655" s="21"/>
      <c r="B1655" s="21" t="s">
        <v>2559</v>
      </c>
      <c r="D1655" s="25">
        <v>10.0</v>
      </c>
      <c r="E1655" s="27"/>
      <c r="F1655" s="25">
        <v>0.0</v>
      </c>
      <c r="G1655" s="27"/>
    </row>
    <row r="1656" hidden="1">
      <c r="A1656" s="21"/>
      <c r="B1656" s="21" t="s">
        <v>2560</v>
      </c>
      <c r="D1656" s="25">
        <v>10.0</v>
      </c>
      <c r="E1656" s="27"/>
      <c r="F1656" s="25">
        <v>0.0</v>
      </c>
      <c r="G1656" s="27"/>
    </row>
    <row r="1657" hidden="1">
      <c r="A1657" s="21"/>
      <c r="B1657" s="21" t="s">
        <v>2561</v>
      </c>
      <c r="D1657" s="25">
        <v>10.0</v>
      </c>
      <c r="E1657" s="27"/>
      <c r="F1657" s="25">
        <v>0.0</v>
      </c>
      <c r="G1657" s="27"/>
    </row>
    <row r="1658" hidden="1">
      <c r="A1658" s="21"/>
      <c r="B1658" s="21" t="s">
        <v>2562</v>
      </c>
      <c r="D1658" s="25">
        <v>10.0</v>
      </c>
      <c r="E1658" s="27"/>
      <c r="F1658" s="25">
        <v>0.0</v>
      </c>
      <c r="G1658" s="27"/>
    </row>
    <row r="1659" hidden="1">
      <c r="A1659" s="21"/>
      <c r="B1659" s="21" t="s">
        <v>2563</v>
      </c>
      <c r="D1659" s="25">
        <v>10.0</v>
      </c>
      <c r="E1659" s="27"/>
      <c r="F1659" s="25">
        <v>0.0</v>
      </c>
      <c r="G1659" s="27"/>
    </row>
    <row r="1660" hidden="1">
      <c r="A1660" s="21"/>
      <c r="B1660" s="21" t="s">
        <v>2564</v>
      </c>
      <c r="D1660" s="25">
        <v>10.0</v>
      </c>
      <c r="E1660" s="27"/>
      <c r="F1660" s="25">
        <v>0.0</v>
      </c>
      <c r="G1660" s="27"/>
    </row>
    <row r="1661" hidden="1">
      <c r="A1661" s="21"/>
      <c r="B1661" s="21" t="s">
        <v>2565</v>
      </c>
      <c r="D1661" s="25">
        <v>10.0</v>
      </c>
      <c r="E1661" s="27"/>
      <c r="F1661" s="25">
        <v>0.0</v>
      </c>
      <c r="G1661" s="27"/>
    </row>
    <row r="1662" hidden="1">
      <c r="A1662" s="21"/>
      <c r="B1662" s="21" t="s">
        <v>2566</v>
      </c>
      <c r="D1662" s="25">
        <v>10.0</v>
      </c>
      <c r="E1662" s="27"/>
      <c r="F1662" s="25">
        <v>0.74</v>
      </c>
      <c r="G1662" s="27"/>
    </row>
    <row r="1663" hidden="1">
      <c r="A1663" s="21"/>
      <c r="B1663" s="21" t="s">
        <v>2567</v>
      </c>
      <c r="D1663" s="25">
        <v>10.0</v>
      </c>
      <c r="E1663" s="27"/>
      <c r="F1663" s="25">
        <v>0.0</v>
      </c>
      <c r="G1663" s="27"/>
    </row>
    <row r="1664" hidden="1">
      <c r="A1664" s="21"/>
      <c r="B1664" s="21" t="s">
        <v>2568</v>
      </c>
      <c r="D1664" s="25">
        <v>10.0</v>
      </c>
      <c r="E1664" s="27"/>
      <c r="F1664" s="25">
        <v>0.0</v>
      </c>
      <c r="G1664" s="27"/>
    </row>
    <row r="1665" hidden="1">
      <c r="A1665" s="21"/>
      <c r="B1665" s="21" t="s">
        <v>2569</v>
      </c>
      <c r="D1665" s="25">
        <v>10.0</v>
      </c>
      <c r="E1665" s="27"/>
      <c r="F1665" s="25">
        <v>0.0</v>
      </c>
      <c r="G1665" s="27"/>
    </row>
    <row r="1666" hidden="1">
      <c r="A1666" s="21"/>
      <c r="B1666" s="21" t="s">
        <v>2570</v>
      </c>
      <c r="D1666" s="25">
        <v>10.0</v>
      </c>
      <c r="E1666" s="27"/>
      <c r="F1666" s="25">
        <v>0.0</v>
      </c>
      <c r="G1666" s="27"/>
    </row>
    <row r="1667" hidden="1">
      <c r="A1667" s="21"/>
      <c r="B1667" s="21" t="s">
        <v>2571</v>
      </c>
      <c r="D1667" s="25">
        <v>10.0</v>
      </c>
      <c r="E1667" s="27"/>
      <c r="F1667" s="25">
        <v>0.0</v>
      </c>
      <c r="G1667" s="27"/>
    </row>
    <row r="1668" hidden="1">
      <c r="A1668" s="21"/>
      <c r="B1668" s="21" t="s">
        <v>2572</v>
      </c>
      <c r="D1668" s="25">
        <v>10.0</v>
      </c>
      <c r="E1668" s="27"/>
      <c r="F1668" s="25">
        <v>0.0</v>
      </c>
      <c r="G1668" s="27"/>
    </row>
    <row r="1669" hidden="1">
      <c r="A1669" s="21"/>
      <c r="B1669" s="21" t="s">
        <v>2573</v>
      </c>
      <c r="D1669" s="25">
        <v>10.0</v>
      </c>
      <c r="E1669" s="27"/>
      <c r="F1669" s="25">
        <v>0.0</v>
      </c>
      <c r="G1669" s="27"/>
    </row>
    <row r="1670" hidden="1">
      <c r="A1670" s="21"/>
      <c r="B1670" s="21" t="s">
        <v>2574</v>
      </c>
      <c r="D1670" s="25">
        <v>10.0</v>
      </c>
      <c r="E1670" s="27"/>
      <c r="F1670" s="25">
        <v>0.0</v>
      </c>
      <c r="G1670" s="27"/>
    </row>
    <row r="1671" hidden="1">
      <c r="A1671" s="21"/>
      <c r="B1671" s="21" t="s">
        <v>2575</v>
      </c>
      <c r="D1671" s="25">
        <v>10.0</v>
      </c>
      <c r="E1671" s="27"/>
      <c r="F1671" s="25">
        <v>1.72</v>
      </c>
      <c r="G1671" s="27"/>
    </row>
    <row r="1672" hidden="1">
      <c r="A1672" s="21"/>
      <c r="B1672" s="21" t="s">
        <v>2576</v>
      </c>
      <c r="D1672" s="25">
        <v>10.0</v>
      </c>
      <c r="E1672" s="27"/>
      <c r="F1672" s="25">
        <v>0.0</v>
      </c>
      <c r="G1672" s="27"/>
    </row>
    <row r="1673" hidden="1">
      <c r="A1673" s="21"/>
      <c r="B1673" s="21" t="s">
        <v>2577</v>
      </c>
      <c r="D1673" s="25">
        <v>10.0</v>
      </c>
      <c r="E1673" s="27"/>
      <c r="F1673" s="25">
        <v>2.9</v>
      </c>
      <c r="G1673" s="27"/>
    </row>
    <row r="1674" hidden="1">
      <c r="A1674" s="21"/>
      <c r="B1674" s="21" t="s">
        <v>2578</v>
      </c>
      <c r="D1674" s="25">
        <v>10.0</v>
      </c>
      <c r="E1674" s="27"/>
      <c r="F1674" s="25">
        <v>0.0</v>
      </c>
      <c r="G1674" s="27"/>
    </row>
    <row r="1675" hidden="1">
      <c r="A1675" s="21"/>
      <c r="B1675" s="21" t="s">
        <v>2579</v>
      </c>
      <c r="D1675" s="25">
        <v>10.0</v>
      </c>
      <c r="E1675" s="27"/>
      <c r="F1675" s="25">
        <v>0.0</v>
      </c>
      <c r="G1675" s="27"/>
    </row>
    <row r="1676" hidden="1">
      <c r="A1676" s="21"/>
      <c r="B1676" s="21" t="s">
        <v>2580</v>
      </c>
      <c r="D1676" s="25">
        <v>10.0</v>
      </c>
      <c r="E1676" s="27"/>
      <c r="F1676" s="25">
        <v>0.0</v>
      </c>
      <c r="G1676" s="27"/>
    </row>
    <row r="1677" hidden="1">
      <c r="A1677" s="21"/>
      <c r="B1677" s="21" t="s">
        <v>2581</v>
      </c>
      <c r="D1677" s="25">
        <v>10.0</v>
      </c>
      <c r="E1677" s="27"/>
      <c r="F1677" s="25">
        <v>0.0</v>
      </c>
      <c r="G1677" s="27"/>
    </row>
    <row r="1678" hidden="1">
      <c r="A1678" s="21"/>
      <c r="B1678" s="21" t="s">
        <v>2582</v>
      </c>
      <c r="D1678" s="25">
        <v>10.0</v>
      </c>
      <c r="E1678" s="27"/>
      <c r="F1678" s="25">
        <v>0.0</v>
      </c>
      <c r="G1678" s="27"/>
    </row>
    <row r="1679" hidden="1">
      <c r="A1679" s="21"/>
      <c r="B1679" s="21" t="s">
        <v>2583</v>
      </c>
      <c r="D1679" s="25">
        <v>10.0</v>
      </c>
      <c r="E1679" s="27"/>
      <c r="F1679" s="25">
        <v>0.0</v>
      </c>
      <c r="G1679" s="27"/>
    </row>
    <row r="1680" hidden="1">
      <c r="A1680" s="21"/>
      <c r="B1680" s="21" t="s">
        <v>2584</v>
      </c>
      <c r="D1680" s="25">
        <v>10.0</v>
      </c>
      <c r="E1680" s="27"/>
      <c r="F1680" s="25">
        <v>0.0</v>
      </c>
      <c r="G1680" s="27"/>
    </row>
    <row r="1681" hidden="1">
      <c r="A1681" s="21"/>
      <c r="B1681" s="21" t="s">
        <v>2585</v>
      </c>
      <c r="D1681" s="25">
        <v>10.0</v>
      </c>
      <c r="E1681" s="27"/>
      <c r="F1681" s="25">
        <v>0.0</v>
      </c>
      <c r="G1681" s="27"/>
    </row>
    <row r="1682" hidden="1">
      <c r="A1682" s="21"/>
      <c r="B1682" s="21" t="s">
        <v>2586</v>
      </c>
      <c r="D1682" s="25">
        <v>10.0</v>
      </c>
      <c r="E1682" s="27"/>
      <c r="F1682" s="25">
        <v>0.0</v>
      </c>
      <c r="G1682" s="27"/>
    </row>
    <row r="1683" hidden="1">
      <c r="A1683" s="21"/>
      <c r="B1683" s="21" t="s">
        <v>2587</v>
      </c>
      <c r="D1683" s="25">
        <v>10.0</v>
      </c>
      <c r="E1683" s="27"/>
      <c r="F1683" s="25">
        <v>0.0</v>
      </c>
      <c r="G1683" s="27"/>
    </row>
    <row r="1684" hidden="1">
      <c r="A1684" s="21"/>
      <c r="B1684" s="21" t="s">
        <v>2588</v>
      </c>
      <c r="D1684" s="25">
        <v>10.0</v>
      </c>
      <c r="E1684" s="27"/>
      <c r="F1684" s="25">
        <v>0.0</v>
      </c>
      <c r="G1684" s="27"/>
    </row>
    <row r="1685" hidden="1">
      <c r="A1685" s="21"/>
      <c r="B1685" s="21" t="s">
        <v>2589</v>
      </c>
      <c r="D1685" s="25">
        <v>10.0</v>
      </c>
      <c r="E1685" s="27"/>
      <c r="F1685" s="25">
        <v>0.0</v>
      </c>
      <c r="G1685" s="27"/>
    </row>
    <row r="1686" hidden="1">
      <c r="A1686" s="21"/>
      <c r="B1686" s="21" t="s">
        <v>2590</v>
      </c>
      <c r="D1686" s="25">
        <v>10.0</v>
      </c>
      <c r="E1686" s="27"/>
      <c r="F1686" s="25">
        <v>0.0</v>
      </c>
      <c r="G1686" s="27"/>
    </row>
    <row r="1687" hidden="1">
      <c r="A1687" s="21"/>
      <c r="B1687" s="21" t="s">
        <v>2591</v>
      </c>
      <c r="D1687" s="25">
        <v>10.0</v>
      </c>
      <c r="E1687" s="27"/>
      <c r="F1687" s="25">
        <v>0.0</v>
      </c>
      <c r="G1687" s="27"/>
    </row>
    <row r="1688" hidden="1">
      <c r="A1688" s="21"/>
      <c r="B1688" s="21" t="s">
        <v>2592</v>
      </c>
      <c r="D1688" s="25">
        <v>10.0</v>
      </c>
      <c r="E1688" s="27"/>
      <c r="F1688" s="25">
        <v>0.0</v>
      </c>
      <c r="G1688" s="27"/>
    </row>
    <row r="1689" hidden="1">
      <c r="A1689" s="21"/>
      <c r="B1689" s="21" t="s">
        <v>2593</v>
      </c>
      <c r="D1689" s="25">
        <v>10.0</v>
      </c>
      <c r="E1689" s="27"/>
      <c r="F1689" s="25">
        <v>0.0</v>
      </c>
      <c r="G1689" s="27"/>
    </row>
    <row r="1690" hidden="1">
      <c r="A1690" s="21"/>
      <c r="B1690" s="21" t="s">
        <v>2594</v>
      </c>
      <c r="D1690" s="25">
        <v>10.0</v>
      </c>
      <c r="E1690" s="27"/>
      <c r="F1690" s="25">
        <v>0.0</v>
      </c>
      <c r="G1690" s="27"/>
    </row>
    <row r="1691" hidden="1">
      <c r="A1691" s="21"/>
      <c r="B1691" s="21" t="s">
        <v>2595</v>
      </c>
      <c r="D1691" s="25">
        <v>10.0</v>
      </c>
      <c r="E1691" s="27"/>
      <c r="F1691" s="25">
        <v>0.0</v>
      </c>
      <c r="G1691" s="27"/>
    </row>
    <row r="1692" hidden="1">
      <c r="A1692" s="21"/>
      <c r="B1692" s="21" t="s">
        <v>2596</v>
      </c>
      <c r="D1692" s="25">
        <v>10.0</v>
      </c>
      <c r="E1692" s="27"/>
      <c r="F1692" s="25">
        <v>0.0</v>
      </c>
      <c r="G1692" s="27"/>
    </row>
    <row r="1693" hidden="1">
      <c r="A1693" s="21"/>
      <c r="B1693" s="21" t="s">
        <v>573</v>
      </c>
      <c r="D1693" s="25">
        <v>10.0</v>
      </c>
      <c r="E1693" s="27"/>
      <c r="F1693" s="25">
        <v>0.0</v>
      </c>
      <c r="G1693" s="27"/>
    </row>
    <row r="1694" hidden="1">
      <c r="A1694" s="21"/>
      <c r="B1694" s="21" t="s">
        <v>574</v>
      </c>
      <c r="D1694" s="25">
        <v>10.0</v>
      </c>
      <c r="E1694" s="27"/>
      <c r="F1694" s="25">
        <v>3.58</v>
      </c>
      <c r="G1694" s="27"/>
    </row>
    <row r="1695" hidden="1">
      <c r="A1695" s="21"/>
      <c r="B1695" s="21" t="s">
        <v>575</v>
      </c>
      <c r="D1695" s="25">
        <v>10.0</v>
      </c>
      <c r="E1695" s="27"/>
      <c r="F1695" s="25">
        <v>0.0</v>
      </c>
      <c r="G1695" s="27"/>
    </row>
    <row r="1696" hidden="1">
      <c r="A1696" s="21"/>
      <c r="B1696" s="21" t="s">
        <v>576</v>
      </c>
      <c r="D1696" s="25">
        <v>10.0</v>
      </c>
      <c r="E1696" s="27"/>
      <c r="F1696" s="25">
        <v>0.0</v>
      </c>
      <c r="G1696" s="27"/>
    </row>
    <row r="1697" hidden="1">
      <c r="A1697" s="21"/>
      <c r="B1697" s="21" t="s">
        <v>577</v>
      </c>
      <c r="D1697" s="25">
        <v>10.0</v>
      </c>
      <c r="E1697" s="27"/>
      <c r="F1697" s="25">
        <v>0.0</v>
      </c>
      <c r="G1697" s="27"/>
    </row>
    <row r="1698" hidden="1">
      <c r="A1698" s="21"/>
      <c r="B1698" s="21" t="s">
        <v>578</v>
      </c>
      <c r="D1698" s="25">
        <v>10.0</v>
      </c>
      <c r="E1698" s="27"/>
      <c r="F1698" s="25">
        <v>0.59</v>
      </c>
      <c r="G1698" s="27"/>
    </row>
    <row r="1699" hidden="1">
      <c r="A1699" s="21"/>
      <c r="B1699" s="21" t="s">
        <v>579</v>
      </c>
      <c r="D1699" s="25">
        <v>10.0</v>
      </c>
      <c r="E1699" s="27"/>
      <c r="F1699" s="25">
        <v>0.94</v>
      </c>
      <c r="G1699" s="27"/>
    </row>
    <row r="1700" hidden="1">
      <c r="A1700" s="21"/>
      <c r="B1700" s="21" t="s">
        <v>580</v>
      </c>
      <c r="D1700" s="25">
        <v>10.0</v>
      </c>
      <c r="E1700" s="27"/>
      <c r="F1700" s="25">
        <v>0.0</v>
      </c>
      <c r="G1700" s="27"/>
    </row>
    <row r="1701" hidden="1">
      <c r="A1701" s="21"/>
      <c r="B1701" s="21" t="s">
        <v>581</v>
      </c>
      <c r="D1701" s="25">
        <v>10.0</v>
      </c>
      <c r="E1701" s="27"/>
      <c r="F1701" s="25">
        <v>0.0</v>
      </c>
      <c r="G1701" s="27"/>
    </row>
    <row r="1702" hidden="1">
      <c r="A1702" s="21"/>
      <c r="B1702" s="21" t="s">
        <v>582</v>
      </c>
      <c r="D1702" s="25">
        <v>10.0</v>
      </c>
      <c r="E1702" s="27"/>
      <c r="F1702" s="25">
        <v>0.89</v>
      </c>
      <c r="G1702" s="27"/>
    </row>
    <row r="1703" hidden="1">
      <c r="A1703" s="21"/>
      <c r="B1703" s="21" t="s">
        <v>583</v>
      </c>
      <c r="D1703" s="25">
        <v>10.0</v>
      </c>
      <c r="E1703" s="27"/>
      <c r="F1703" s="25">
        <v>1.21</v>
      </c>
      <c r="G1703" s="27"/>
    </row>
    <row r="1704" hidden="1">
      <c r="A1704" s="21"/>
      <c r="B1704" s="21" t="s">
        <v>584</v>
      </c>
      <c r="D1704" s="25">
        <v>10.0</v>
      </c>
      <c r="E1704" s="27"/>
      <c r="F1704" s="25">
        <v>1.21</v>
      </c>
      <c r="G1704" s="27"/>
    </row>
    <row r="1705" hidden="1">
      <c r="A1705" s="21"/>
      <c r="B1705" s="21" t="s">
        <v>2597</v>
      </c>
      <c r="D1705" s="25">
        <v>10.0</v>
      </c>
      <c r="E1705" s="27"/>
      <c r="F1705" s="25">
        <v>6.51</v>
      </c>
      <c r="G1705" s="27"/>
    </row>
    <row r="1706" hidden="1">
      <c r="A1706" s="21"/>
      <c r="B1706" s="21" t="s">
        <v>2598</v>
      </c>
      <c r="D1706" s="25">
        <v>10.0</v>
      </c>
      <c r="E1706" s="27"/>
      <c r="F1706" s="25">
        <v>0.0</v>
      </c>
      <c r="G1706" s="27"/>
    </row>
    <row r="1707" hidden="1">
      <c r="A1707" s="21"/>
      <c r="B1707" s="21" t="s">
        <v>2599</v>
      </c>
      <c r="D1707" s="25">
        <v>10.0</v>
      </c>
      <c r="E1707" s="27"/>
      <c r="F1707" s="25">
        <v>0.0</v>
      </c>
      <c r="G1707" s="27"/>
    </row>
    <row r="1708" hidden="1">
      <c r="A1708" s="21"/>
      <c r="B1708" s="21" t="s">
        <v>2600</v>
      </c>
      <c r="D1708" s="25">
        <v>10.0</v>
      </c>
      <c r="E1708" s="27"/>
      <c r="F1708" s="25">
        <v>0.0</v>
      </c>
      <c r="G1708" s="27"/>
    </row>
    <row r="1709" hidden="1">
      <c r="A1709" s="21"/>
      <c r="B1709" s="21" t="s">
        <v>2601</v>
      </c>
      <c r="D1709" s="25">
        <v>10.0</v>
      </c>
      <c r="E1709" s="27"/>
      <c r="F1709" s="25">
        <v>5.22</v>
      </c>
      <c r="G1709" s="27"/>
    </row>
    <row r="1710" hidden="1">
      <c r="A1710" s="21"/>
      <c r="B1710" s="21" t="s">
        <v>2602</v>
      </c>
      <c r="D1710" s="25">
        <v>10.0</v>
      </c>
      <c r="E1710" s="27"/>
      <c r="F1710" s="25">
        <v>0.0</v>
      </c>
      <c r="G1710" s="27"/>
    </row>
    <row r="1711" hidden="1">
      <c r="A1711" s="21"/>
      <c r="B1711" s="21" t="s">
        <v>134</v>
      </c>
      <c r="D1711" s="25">
        <v>10.0</v>
      </c>
      <c r="E1711" s="27"/>
      <c r="F1711" s="25">
        <v>7.94</v>
      </c>
      <c r="G1711" s="27"/>
    </row>
    <row r="1712" hidden="1">
      <c r="A1712" s="21"/>
      <c r="B1712" s="21" t="s">
        <v>2603</v>
      </c>
      <c r="D1712" s="25">
        <v>10.0</v>
      </c>
      <c r="E1712" s="27"/>
      <c r="F1712" s="25">
        <v>0.54</v>
      </c>
      <c r="G1712" s="27"/>
    </row>
    <row r="1713" hidden="1">
      <c r="A1713" s="21"/>
      <c r="B1713" s="21" t="s">
        <v>2604</v>
      </c>
      <c r="D1713" s="25">
        <v>10.0</v>
      </c>
      <c r="E1713" s="27"/>
      <c r="F1713" s="25">
        <v>0.0</v>
      </c>
      <c r="G1713" s="27"/>
    </row>
    <row r="1714" hidden="1">
      <c r="A1714" s="21"/>
      <c r="B1714" s="21" t="s">
        <v>2605</v>
      </c>
      <c r="D1714" s="25">
        <v>10.0</v>
      </c>
      <c r="E1714" s="27"/>
      <c r="F1714" s="25">
        <v>0.0</v>
      </c>
      <c r="G1714" s="27"/>
    </row>
    <row r="1715" hidden="1">
      <c r="A1715" s="21"/>
      <c r="B1715" s="21" t="s">
        <v>2606</v>
      </c>
      <c r="D1715" s="25">
        <v>10.0</v>
      </c>
      <c r="E1715" s="27"/>
      <c r="F1715" s="25">
        <v>8.92</v>
      </c>
      <c r="G1715" s="27"/>
    </row>
    <row r="1716" hidden="1">
      <c r="A1716" s="21"/>
      <c r="B1716" s="21" t="s">
        <v>2607</v>
      </c>
      <c r="D1716" s="25">
        <v>10.0</v>
      </c>
      <c r="E1716" s="27"/>
      <c r="F1716" s="25">
        <v>0.0</v>
      </c>
      <c r="G1716" s="27"/>
    </row>
    <row r="1717" hidden="1">
      <c r="A1717" s="21"/>
      <c r="B1717" s="21" t="s">
        <v>2608</v>
      </c>
      <c r="D1717" s="25">
        <v>10.0</v>
      </c>
      <c r="E1717" s="27"/>
      <c r="F1717" s="25">
        <v>0.0</v>
      </c>
      <c r="G1717" s="27"/>
    </row>
    <row r="1718" hidden="1">
      <c r="A1718" s="21"/>
      <c r="B1718" s="21" t="s">
        <v>2609</v>
      </c>
      <c r="D1718" s="25">
        <v>10.0</v>
      </c>
      <c r="E1718" s="27"/>
      <c r="F1718" s="25">
        <v>0.0</v>
      </c>
      <c r="G1718" s="27"/>
    </row>
    <row r="1719" hidden="1">
      <c r="A1719" s="21"/>
      <c r="B1719" s="21" t="s">
        <v>2610</v>
      </c>
      <c r="D1719" s="25">
        <v>10.0</v>
      </c>
      <c r="E1719" s="27"/>
      <c r="F1719" s="25">
        <v>0.0</v>
      </c>
      <c r="G1719" s="27"/>
    </row>
    <row r="1720" hidden="1">
      <c r="A1720" s="21"/>
      <c r="B1720" s="21" t="s">
        <v>2611</v>
      </c>
      <c r="D1720" s="25">
        <v>10.0</v>
      </c>
      <c r="E1720" s="27"/>
      <c r="F1720" s="25">
        <v>0.0</v>
      </c>
      <c r="G1720" s="27"/>
    </row>
    <row r="1721" hidden="1">
      <c r="A1721" s="21"/>
      <c r="B1721" s="21" t="s">
        <v>2612</v>
      </c>
      <c r="D1721" s="25">
        <v>10.0</v>
      </c>
      <c r="E1721" s="27"/>
      <c r="F1721" s="25">
        <v>0.0</v>
      </c>
      <c r="G1721" s="27"/>
    </row>
    <row r="1722" hidden="1">
      <c r="A1722" s="21"/>
      <c r="B1722" s="21" t="s">
        <v>2613</v>
      </c>
      <c r="D1722" s="25">
        <v>10.0</v>
      </c>
      <c r="E1722" s="27"/>
      <c r="F1722" s="25">
        <v>0.0</v>
      </c>
      <c r="G1722" s="27"/>
    </row>
    <row r="1723" hidden="1">
      <c r="A1723" s="21"/>
      <c r="B1723" s="21" t="s">
        <v>2614</v>
      </c>
      <c r="D1723" s="25">
        <v>10.0</v>
      </c>
      <c r="E1723" s="27"/>
      <c r="F1723" s="25">
        <v>3.87</v>
      </c>
      <c r="G1723" s="27"/>
    </row>
    <row r="1724" hidden="1">
      <c r="A1724" s="21"/>
      <c r="B1724" s="21" t="s">
        <v>2615</v>
      </c>
      <c r="D1724" s="25">
        <v>10.0</v>
      </c>
      <c r="E1724" s="27"/>
      <c r="F1724" s="25">
        <v>0.0</v>
      </c>
      <c r="G1724" s="27"/>
    </row>
    <row r="1725" hidden="1">
      <c r="A1725" s="21"/>
      <c r="B1725" s="21" t="s">
        <v>2616</v>
      </c>
      <c r="D1725" s="25">
        <v>10.0</v>
      </c>
      <c r="E1725" s="27"/>
      <c r="F1725" s="25">
        <v>0.0</v>
      </c>
      <c r="G1725" s="27"/>
    </row>
    <row r="1726" hidden="1">
      <c r="A1726" s="21"/>
      <c r="B1726" s="21" t="s">
        <v>2617</v>
      </c>
      <c r="D1726" s="25">
        <v>10.0</v>
      </c>
      <c r="E1726" s="27"/>
      <c r="F1726" s="25">
        <v>0.0</v>
      </c>
      <c r="G1726" s="27"/>
    </row>
    <row r="1727" hidden="1">
      <c r="A1727" s="21"/>
      <c r="B1727" s="21" t="s">
        <v>2618</v>
      </c>
      <c r="D1727" s="25">
        <v>10.0</v>
      </c>
      <c r="E1727" s="27"/>
      <c r="F1727" s="25">
        <v>0.0</v>
      </c>
      <c r="G1727" s="27"/>
    </row>
    <row r="1728" hidden="1">
      <c r="A1728" s="21"/>
      <c r="B1728" s="21" t="s">
        <v>2619</v>
      </c>
      <c r="D1728" s="25">
        <v>10.0</v>
      </c>
      <c r="E1728" s="27"/>
      <c r="F1728" s="25">
        <v>0.0</v>
      </c>
      <c r="G1728" s="27"/>
    </row>
    <row r="1729" hidden="1">
      <c r="A1729" s="21"/>
      <c r="B1729" s="21" t="s">
        <v>2620</v>
      </c>
      <c r="D1729" s="25">
        <v>10.0</v>
      </c>
      <c r="E1729" s="27"/>
      <c r="F1729" s="25">
        <v>0.0</v>
      </c>
      <c r="G1729" s="27"/>
    </row>
    <row r="1730" hidden="1">
      <c r="A1730" s="21"/>
      <c r="B1730" s="21" t="s">
        <v>2621</v>
      </c>
      <c r="D1730" s="25">
        <v>10.0</v>
      </c>
      <c r="E1730" s="27"/>
      <c r="F1730" s="25">
        <v>0.0</v>
      </c>
      <c r="G1730" s="27"/>
    </row>
    <row r="1731" hidden="1">
      <c r="A1731" s="21"/>
      <c r="B1731" s="21" t="s">
        <v>2622</v>
      </c>
      <c r="D1731" s="25">
        <v>10.0</v>
      </c>
      <c r="E1731" s="27"/>
      <c r="F1731" s="25">
        <v>0.0</v>
      </c>
      <c r="G1731" s="27"/>
    </row>
    <row r="1732" hidden="1">
      <c r="A1732" s="21"/>
      <c r="B1732" s="21" t="s">
        <v>2623</v>
      </c>
      <c r="D1732" s="25">
        <v>10.0</v>
      </c>
      <c r="E1732" s="27"/>
      <c r="F1732" s="25">
        <v>0.0</v>
      </c>
      <c r="G1732" s="27"/>
    </row>
    <row r="1733" hidden="1">
      <c r="A1733" s="21"/>
      <c r="B1733" s="21" t="s">
        <v>2624</v>
      </c>
      <c r="D1733" s="25">
        <v>10.0</v>
      </c>
      <c r="E1733" s="27"/>
      <c r="F1733" s="25">
        <v>0.0</v>
      </c>
      <c r="G1733" s="27"/>
    </row>
    <row r="1734" hidden="1">
      <c r="A1734" s="21"/>
      <c r="B1734" s="21" t="s">
        <v>2625</v>
      </c>
      <c r="D1734" s="25">
        <v>10.0</v>
      </c>
      <c r="E1734" s="27"/>
      <c r="F1734" s="25">
        <v>8.52</v>
      </c>
      <c r="G1734" s="27"/>
    </row>
    <row r="1735" hidden="1">
      <c r="A1735" s="21"/>
      <c r="B1735" s="21" t="s">
        <v>2626</v>
      </c>
      <c r="D1735" s="25">
        <v>10.0</v>
      </c>
      <c r="E1735" s="27"/>
      <c r="F1735" s="25">
        <v>0.0</v>
      </c>
      <c r="G1735" s="27"/>
    </row>
    <row r="1736" hidden="1">
      <c r="A1736" s="21"/>
      <c r="B1736" s="21" t="s">
        <v>2627</v>
      </c>
      <c r="D1736" s="25">
        <v>10.0</v>
      </c>
      <c r="E1736" s="27"/>
      <c r="F1736" s="25">
        <v>1.32</v>
      </c>
      <c r="G1736" s="27"/>
    </row>
    <row r="1737" hidden="1">
      <c r="A1737" s="21"/>
      <c r="B1737" s="21" t="s">
        <v>2628</v>
      </c>
      <c r="D1737" s="25">
        <v>10.0</v>
      </c>
      <c r="E1737" s="27"/>
      <c r="F1737" s="25">
        <v>0.0</v>
      </c>
      <c r="G1737" s="27"/>
    </row>
    <row r="1738" hidden="1">
      <c r="A1738" s="21"/>
      <c r="B1738" s="21" t="s">
        <v>2629</v>
      </c>
      <c r="D1738" s="25">
        <v>10.0</v>
      </c>
      <c r="E1738" s="27"/>
      <c r="F1738" s="25">
        <v>0.0</v>
      </c>
      <c r="G1738" s="27"/>
    </row>
    <row r="1739" hidden="1">
      <c r="A1739" s="21"/>
      <c r="B1739" s="21" t="s">
        <v>2630</v>
      </c>
      <c r="D1739" s="25">
        <v>10.0</v>
      </c>
      <c r="E1739" s="27"/>
      <c r="F1739" s="25">
        <v>3.26</v>
      </c>
      <c r="G1739" s="27"/>
    </row>
    <row r="1740" hidden="1">
      <c r="A1740" s="21"/>
      <c r="B1740" s="21" t="s">
        <v>2631</v>
      </c>
      <c r="D1740" s="25">
        <v>10.0</v>
      </c>
      <c r="E1740" s="27"/>
      <c r="F1740" s="25">
        <v>0.0</v>
      </c>
      <c r="G1740" s="27"/>
    </row>
    <row r="1741" hidden="1">
      <c r="A1741" s="21"/>
      <c r="B1741" s="21" t="s">
        <v>2632</v>
      </c>
      <c r="D1741" s="25">
        <v>10.0</v>
      </c>
      <c r="E1741" s="27"/>
      <c r="F1741" s="25">
        <v>3.93</v>
      </c>
      <c r="G1741" s="27"/>
    </row>
    <row r="1742" hidden="1">
      <c r="A1742" s="21"/>
      <c r="B1742" s="21" t="s">
        <v>2633</v>
      </c>
      <c r="D1742" s="25">
        <v>10.0</v>
      </c>
      <c r="E1742" s="27"/>
      <c r="F1742" s="25">
        <v>0.0</v>
      </c>
      <c r="G1742" s="27"/>
    </row>
    <row r="1743" hidden="1">
      <c r="A1743" s="21"/>
      <c r="B1743" s="21" t="s">
        <v>2634</v>
      </c>
      <c r="D1743" s="25">
        <v>10.0</v>
      </c>
      <c r="E1743" s="27"/>
      <c r="F1743" s="25">
        <v>0.0</v>
      </c>
      <c r="G1743" s="27"/>
    </row>
    <row r="1744" hidden="1">
      <c r="A1744" s="21"/>
      <c r="B1744" s="21" t="s">
        <v>2635</v>
      </c>
      <c r="D1744" s="25">
        <v>10.0</v>
      </c>
      <c r="E1744" s="27"/>
      <c r="F1744" s="25">
        <v>0.0</v>
      </c>
      <c r="G1744" s="27"/>
    </row>
    <row r="1745" hidden="1">
      <c r="A1745" s="21"/>
      <c r="B1745" s="21" t="s">
        <v>2636</v>
      </c>
      <c r="D1745" s="25">
        <v>10.0</v>
      </c>
      <c r="E1745" s="27"/>
      <c r="F1745" s="25">
        <v>0.0</v>
      </c>
      <c r="G1745" s="27"/>
    </row>
    <row r="1746" hidden="1">
      <c r="A1746" s="21"/>
      <c r="B1746" s="21" t="s">
        <v>2637</v>
      </c>
      <c r="D1746" s="25">
        <v>10.0</v>
      </c>
      <c r="E1746" s="27"/>
      <c r="F1746" s="25">
        <v>0.0</v>
      </c>
      <c r="G1746" s="27"/>
    </row>
    <row r="1747" hidden="1">
      <c r="A1747" s="21"/>
      <c r="B1747" s="21" t="s">
        <v>2638</v>
      </c>
      <c r="D1747" s="25">
        <v>10.0</v>
      </c>
      <c r="E1747" s="27"/>
      <c r="F1747" s="25">
        <v>0.0</v>
      </c>
      <c r="G1747" s="27"/>
    </row>
    <row r="1748" hidden="1">
      <c r="A1748" s="21"/>
      <c r="B1748" s="21" t="s">
        <v>2639</v>
      </c>
      <c r="D1748" s="25">
        <v>10.0</v>
      </c>
      <c r="E1748" s="27"/>
      <c r="F1748" s="25">
        <v>0.0</v>
      </c>
      <c r="G1748" s="27"/>
    </row>
    <row r="1749" hidden="1">
      <c r="A1749" s="21"/>
      <c r="B1749" s="21" t="s">
        <v>2640</v>
      </c>
      <c r="D1749" s="25">
        <v>10.0</v>
      </c>
      <c r="E1749" s="27"/>
      <c r="F1749" s="25">
        <v>3.71</v>
      </c>
      <c r="G1749" s="27"/>
    </row>
    <row r="1750" hidden="1">
      <c r="A1750" s="21"/>
      <c r="B1750" s="21" t="s">
        <v>2641</v>
      </c>
      <c r="D1750" s="25">
        <v>10.0</v>
      </c>
      <c r="E1750" s="27"/>
      <c r="F1750" s="25">
        <v>0.0</v>
      </c>
      <c r="G1750" s="27"/>
    </row>
    <row r="1751" hidden="1">
      <c r="A1751" s="21"/>
      <c r="B1751" s="21" t="s">
        <v>2642</v>
      </c>
      <c r="D1751" s="25">
        <v>10.0</v>
      </c>
      <c r="E1751" s="27"/>
      <c r="F1751" s="25">
        <v>0.0</v>
      </c>
      <c r="G1751" s="27"/>
    </row>
    <row r="1752" hidden="1">
      <c r="A1752" s="21"/>
      <c r="B1752" s="21" t="s">
        <v>2643</v>
      </c>
      <c r="D1752" s="25">
        <v>10.0</v>
      </c>
      <c r="E1752" s="27"/>
      <c r="F1752" s="25">
        <v>0.0</v>
      </c>
      <c r="G1752" s="27"/>
    </row>
    <row r="1753" hidden="1">
      <c r="A1753" s="21"/>
      <c r="B1753" s="21" t="s">
        <v>2644</v>
      </c>
      <c r="D1753" s="25">
        <v>10.0</v>
      </c>
      <c r="E1753" s="27"/>
      <c r="F1753" s="25">
        <v>0.0</v>
      </c>
      <c r="G1753" s="27"/>
    </row>
    <row r="1754" hidden="1">
      <c r="A1754" s="21"/>
      <c r="B1754" s="21" t="s">
        <v>2645</v>
      </c>
      <c r="D1754" s="25">
        <v>10.0</v>
      </c>
      <c r="E1754" s="27"/>
      <c r="F1754" s="25">
        <v>0.0</v>
      </c>
      <c r="G1754" s="27"/>
    </row>
    <row r="1755" hidden="1">
      <c r="A1755" s="21"/>
      <c r="B1755" s="21" t="s">
        <v>2646</v>
      </c>
      <c r="D1755" s="25">
        <v>10.0</v>
      </c>
      <c r="E1755" s="27"/>
      <c r="F1755" s="25">
        <v>1.32</v>
      </c>
      <c r="G1755" s="27"/>
    </row>
    <row r="1756" hidden="1">
      <c r="A1756" s="21"/>
      <c r="B1756" s="21" t="s">
        <v>2647</v>
      </c>
      <c r="D1756" s="25">
        <v>10.0</v>
      </c>
      <c r="E1756" s="27"/>
      <c r="F1756" s="25">
        <v>0.0</v>
      </c>
      <c r="G1756" s="27"/>
    </row>
    <row r="1757" hidden="1">
      <c r="A1757" s="21"/>
      <c r="B1757" s="21" t="s">
        <v>2648</v>
      </c>
      <c r="D1757" s="25">
        <v>10.0</v>
      </c>
      <c r="E1757" s="27"/>
      <c r="F1757" s="25">
        <v>3.37</v>
      </c>
      <c r="G1757" s="27"/>
    </row>
    <row r="1758" hidden="1">
      <c r="A1758" s="21"/>
      <c r="B1758" s="21" t="s">
        <v>2649</v>
      </c>
      <c r="D1758" s="25">
        <v>10.0</v>
      </c>
      <c r="E1758" s="27"/>
      <c r="F1758" s="25">
        <v>4.69</v>
      </c>
      <c r="G1758" s="27"/>
    </row>
    <row r="1759" hidden="1">
      <c r="A1759" s="21"/>
      <c r="B1759" s="21" t="s">
        <v>2650</v>
      </c>
      <c r="D1759" s="25">
        <v>10.0</v>
      </c>
      <c r="E1759" s="27"/>
      <c r="F1759" s="25">
        <v>0.0</v>
      </c>
      <c r="G1759" s="27"/>
    </row>
    <row r="1760" hidden="1">
      <c r="A1760" s="21"/>
      <c r="B1760" s="21" t="s">
        <v>2651</v>
      </c>
      <c r="D1760" s="25">
        <v>10.0</v>
      </c>
      <c r="E1760" s="27"/>
      <c r="F1760" s="25">
        <v>5.59</v>
      </c>
      <c r="G1760" s="27"/>
    </row>
    <row r="1761" hidden="1">
      <c r="A1761" s="21"/>
      <c r="B1761" s="21" t="s">
        <v>2652</v>
      </c>
      <c r="D1761" s="25">
        <v>10.0</v>
      </c>
      <c r="E1761" s="27"/>
      <c r="F1761" s="25">
        <v>0.0</v>
      </c>
      <c r="G1761" s="27"/>
    </row>
    <row r="1762" hidden="1">
      <c r="A1762" s="21"/>
      <c r="B1762" s="21" t="s">
        <v>2653</v>
      </c>
      <c r="D1762" s="25">
        <v>10.0</v>
      </c>
      <c r="E1762" s="27"/>
      <c r="F1762" s="25">
        <v>3.31</v>
      </c>
      <c r="G1762" s="27"/>
    </row>
    <row r="1763" hidden="1">
      <c r="A1763" s="21"/>
      <c r="B1763" s="21" t="s">
        <v>2654</v>
      </c>
      <c r="D1763" s="25">
        <v>10.0</v>
      </c>
      <c r="E1763" s="27"/>
      <c r="F1763" s="25">
        <v>3.8</v>
      </c>
      <c r="G1763" s="27"/>
    </row>
    <row r="1764" hidden="1">
      <c r="A1764" s="21"/>
      <c r="B1764" s="21" t="s">
        <v>2655</v>
      </c>
      <c r="D1764" s="25">
        <v>10.0</v>
      </c>
      <c r="E1764" s="27"/>
      <c r="F1764" s="25">
        <v>3.9</v>
      </c>
      <c r="G1764" s="27"/>
    </row>
    <row r="1765" hidden="1">
      <c r="A1765" s="21"/>
      <c r="B1765" s="21" t="s">
        <v>2656</v>
      </c>
      <c r="D1765" s="25">
        <v>10.0</v>
      </c>
      <c r="E1765" s="27"/>
      <c r="F1765" s="25">
        <v>1.07</v>
      </c>
      <c r="G1765" s="27"/>
    </row>
    <row r="1766" hidden="1">
      <c r="A1766" s="21"/>
      <c r="B1766" s="21" t="s">
        <v>2657</v>
      </c>
      <c r="D1766" s="25">
        <v>10.0</v>
      </c>
      <c r="E1766" s="27"/>
      <c r="F1766" s="25">
        <v>3.95</v>
      </c>
      <c r="G1766" s="27"/>
    </row>
    <row r="1767" hidden="1">
      <c r="A1767" s="21"/>
      <c r="B1767" s="21" t="s">
        <v>2658</v>
      </c>
      <c r="D1767" s="25">
        <v>10.0</v>
      </c>
      <c r="E1767" s="27"/>
      <c r="F1767" s="25">
        <v>2.72</v>
      </c>
      <c r="G1767" s="27"/>
    </row>
    <row r="1768" hidden="1">
      <c r="A1768" s="21"/>
      <c r="B1768" s="21" t="s">
        <v>2659</v>
      </c>
      <c r="D1768" s="25">
        <v>10.0</v>
      </c>
      <c r="E1768" s="27"/>
      <c r="F1768" s="25">
        <v>3.71</v>
      </c>
      <c r="G1768" s="27"/>
    </row>
    <row r="1769" hidden="1">
      <c r="A1769" s="21"/>
      <c r="B1769" s="21" t="s">
        <v>2660</v>
      </c>
      <c r="D1769" s="25">
        <v>10.0</v>
      </c>
      <c r="E1769" s="27"/>
      <c r="F1769" s="25">
        <v>1.07</v>
      </c>
      <c r="G1769" s="27"/>
    </row>
    <row r="1770" hidden="1">
      <c r="A1770" s="21"/>
      <c r="B1770" s="21" t="s">
        <v>2661</v>
      </c>
      <c r="D1770" s="25">
        <v>10.0</v>
      </c>
      <c r="E1770" s="27"/>
      <c r="F1770" s="25">
        <v>3.26</v>
      </c>
      <c r="G1770" s="27"/>
    </row>
    <row r="1771" hidden="1">
      <c r="A1771" s="21"/>
      <c r="B1771" s="21" t="s">
        <v>2662</v>
      </c>
      <c r="D1771" s="25">
        <v>10.0</v>
      </c>
      <c r="E1771" s="27"/>
      <c r="F1771" s="25">
        <v>3.35</v>
      </c>
      <c r="G1771" s="27"/>
    </row>
    <row r="1772" hidden="1">
      <c r="A1772" s="21"/>
      <c r="B1772" s="21" t="s">
        <v>2663</v>
      </c>
      <c r="D1772" s="25">
        <v>10.0</v>
      </c>
      <c r="E1772" s="27"/>
      <c r="F1772" s="25">
        <v>5.59</v>
      </c>
      <c r="G1772" s="27"/>
    </row>
    <row r="1773" hidden="1">
      <c r="A1773" s="21"/>
      <c r="B1773" s="21" t="s">
        <v>2664</v>
      </c>
      <c r="D1773" s="25">
        <v>10.0</v>
      </c>
      <c r="E1773" s="27"/>
      <c r="F1773" s="25">
        <v>0.0</v>
      </c>
      <c r="G1773" s="27"/>
    </row>
    <row r="1774" hidden="1">
      <c r="A1774" s="21"/>
      <c r="B1774" s="21" t="s">
        <v>2665</v>
      </c>
      <c r="D1774" s="25">
        <v>10.0</v>
      </c>
      <c r="E1774" s="27"/>
      <c r="F1774" s="25">
        <v>0.0</v>
      </c>
      <c r="G1774" s="27"/>
    </row>
    <row r="1775" hidden="1">
      <c r="A1775" s="21"/>
      <c r="B1775" s="21" t="s">
        <v>2666</v>
      </c>
      <c r="D1775" s="25">
        <v>10.0</v>
      </c>
      <c r="E1775" s="27"/>
      <c r="F1775" s="25">
        <v>0.0</v>
      </c>
      <c r="G1775" s="27"/>
    </row>
    <row r="1776" hidden="1">
      <c r="A1776" s="21"/>
      <c r="B1776" s="21" t="s">
        <v>2667</v>
      </c>
      <c r="D1776" s="25">
        <v>10.0</v>
      </c>
      <c r="E1776" s="27"/>
      <c r="F1776" s="25">
        <v>0.0</v>
      </c>
      <c r="G1776" s="27"/>
    </row>
    <row r="1777" hidden="1">
      <c r="A1777" s="21"/>
      <c r="B1777" s="21" t="s">
        <v>2668</v>
      </c>
      <c r="D1777" s="25">
        <v>10.0</v>
      </c>
      <c r="E1777" s="27"/>
      <c r="F1777" s="25">
        <v>0.0</v>
      </c>
      <c r="G1777" s="27"/>
    </row>
    <row r="1778" hidden="1">
      <c r="A1778" s="21"/>
      <c r="B1778" s="21" t="s">
        <v>2669</v>
      </c>
      <c r="D1778" s="25">
        <v>10.0</v>
      </c>
      <c r="E1778" s="27"/>
      <c r="F1778" s="25">
        <v>0.0</v>
      </c>
      <c r="G1778" s="27"/>
    </row>
    <row r="1779" hidden="1">
      <c r="A1779" s="21"/>
      <c r="B1779" s="21" t="s">
        <v>2670</v>
      </c>
      <c r="D1779" s="25">
        <v>10.0</v>
      </c>
      <c r="E1779" s="27"/>
      <c r="F1779" s="25">
        <v>0.0</v>
      </c>
      <c r="G1779" s="27"/>
    </row>
    <row r="1780" hidden="1">
      <c r="A1780" s="21"/>
      <c r="B1780" s="21" t="s">
        <v>2671</v>
      </c>
      <c r="D1780" s="25">
        <v>10.0</v>
      </c>
      <c r="E1780" s="27"/>
      <c r="F1780" s="25">
        <v>0.0</v>
      </c>
      <c r="G1780" s="27"/>
    </row>
    <row r="1781" hidden="1">
      <c r="A1781" s="21"/>
      <c r="B1781" s="21" t="s">
        <v>2672</v>
      </c>
      <c r="D1781" s="25">
        <v>10.0</v>
      </c>
      <c r="E1781" s="27"/>
      <c r="F1781" s="25">
        <v>0.0</v>
      </c>
      <c r="G1781" s="27"/>
    </row>
    <row r="1782" hidden="1">
      <c r="A1782" s="21"/>
      <c r="B1782" s="21" t="s">
        <v>2673</v>
      </c>
      <c r="D1782" s="25">
        <v>10.0</v>
      </c>
      <c r="E1782" s="27"/>
      <c r="F1782" s="25">
        <v>0.45</v>
      </c>
      <c r="G1782" s="27"/>
    </row>
    <row r="1783" hidden="1">
      <c r="A1783" s="21"/>
      <c r="B1783" s="21" t="s">
        <v>2674</v>
      </c>
      <c r="D1783" s="25">
        <v>10.0</v>
      </c>
      <c r="E1783" s="27"/>
      <c r="F1783" s="25">
        <v>0.0</v>
      </c>
      <c r="G1783" s="27"/>
    </row>
    <row r="1784" hidden="1">
      <c r="A1784" s="21"/>
      <c r="B1784" s="21" t="s">
        <v>2675</v>
      </c>
      <c r="D1784" s="25">
        <v>10.0</v>
      </c>
      <c r="E1784" s="27"/>
      <c r="F1784" s="25">
        <v>0.0</v>
      </c>
      <c r="G1784" s="27"/>
    </row>
    <row r="1785" hidden="1">
      <c r="A1785" s="21"/>
      <c r="B1785" s="21" t="s">
        <v>2676</v>
      </c>
      <c r="D1785" s="25">
        <v>10.0</v>
      </c>
      <c r="E1785" s="27"/>
      <c r="F1785" s="25">
        <v>8.69</v>
      </c>
      <c r="G1785" s="27"/>
    </row>
    <row r="1786" hidden="1">
      <c r="A1786" s="21"/>
      <c r="B1786" s="21" t="s">
        <v>2677</v>
      </c>
      <c r="D1786" s="25">
        <v>10.0</v>
      </c>
      <c r="E1786" s="27"/>
      <c r="F1786" s="25">
        <v>1.61</v>
      </c>
      <c r="G1786" s="27"/>
    </row>
    <row r="1787" hidden="1">
      <c r="A1787" s="21"/>
      <c r="B1787" s="21" t="s">
        <v>2678</v>
      </c>
      <c r="D1787" s="25">
        <v>10.0</v>
      </c>
      <c r="E1787" s="27"/>
      <c r="F1787" s="25">
        <v>1.61</v>
      </c>
      <c r="G1787" s="27"/>
    </row>
    <row r="1788" hidden="1">
      <c r="A1788" s="21"/>
      <c r="B1788" s="21" t="s">
        <v>2679</v>
      </c>
      <c r="D1788" s="25">
        <v>10.0</v>
      </c>
      <c r="E1788" s="27"/>
      <c r="F1788" s="25">
        <v>6.79</v>
      </c>
      <c r="G1788" s="27"/>
    </row>
    <row r="1789" hidden="1">
      <c r="A1789" s="21"/>
      <c r="B1789" s="21" t="s">
        <v>2680</v>
      </c>
      <c r="D1789" s="25">
        <v>10.0</v>
      </c>
      <c r="E1789" s="27"/>
      <c r="F1789" s="25">
        <v>0.0</v>
      </c>
      <c r="G1789" s="27"/>
    </row>
    <row r="1790" hidden="1">
      <c r="A1790" s="21"/>
      <c r="B1790" s="21" t="s">
        <v>2681</v>
      </c>
      <c r="D1790" s="25">
        <v>10.0</v>
      </c>
      <c r="E1790" s="27"/>
      <c r="F1790" s="25">
        <v>4.51</v>
      </c>
      <c r="G1790" s="27"/>
    </row>
    <row r="1791" hidden="1">
      <c r="A1791" s="21"/>
      <c r="B1791" s="21" t="s">
        <v>2682</v>
      </c>
      <c r="D1791" s="25">
        <v>10.0</v>
      </c>
      <c r="E1791" s="27"/>
      <c r="F1791" s="25">
        <v>0.0</v>
      </c>
      <c r="G1791" s="27"/>
    </row>
    <row r="1792" hidden="1">
      <c r="A1792" s="21"/>
      <c r="B1792" s="21" t="s">
        <v>2683</v>
      </c>
      <c r="D1792" s="25">
        <v>10.0</v>
      </c>
      <c r="E1792" s="27"/>
      <c r="F1792" s="25">
        <v>0.0</v>
      </c>
      <c r="G1792" s="27"/>
    </row>
    <row r="1793" hidden="1">
      <c r="A1793" s="21"/>
      <c r="B1793" s="21" t="s">
        <v>2684</v>
      </c>
      <c r="D1793" s="25">
        <v>10.0</v>
      </c>
      <c r="E1793" s="27"/>
      <c r="F1793" s="25">
        <v>0.0</v>
      </c>
      <c r="G1793" s="27"/>
    </row>
    <row r="1794" hidden="1">
      <c r="A1794" s="21"/>
      <c r="B1794" s="21" t="s">
        <v>2685</v>
      </c>
      <c r="D1794" s="25">
        <v>10.0</v>
      </c>
      <c r="E1794" s="27"/>
      <c r="F1794" s="25">
        <v>6.83</v>
      </c>
      <c r="G1794" s="27"/>
    </row>
    <row r="1795" hidden="1">
      <c r="A1795" s="21"/>
      <c r="B1795" s="21" t="s">
        <v>2686</v>
      </c>
      <c r="D1795" s="25">
        <v>10.0</v>
      </c>
      <c r="E1795" s="27"/>
      <c r="F1795" s="25">
        <v>0.0</v>
      </c>
      <c r="G1795" s="27"/>
    </row>
    <row r="1796" hidden="1">
      <c r="A1796" s="21"/>
      <c r="B1796" s="21" t="s">
        <v>2687</v>
      </c>
      <c r="D1796" s="25">
        <v>10.0</v>
      </c>
      <c r="E1796" s="27"/>
      <c r="F1796" s="25">
        <v>0.0</v>
      </c>
      <c r="G1796" s="27"/>
    </row>
    <row r="1797" hidden="1">
      <c r="A1797" s="21"/>
      <c r="B1797" s="21" t="s">
        <v>2688</v>
      </c>
      <c r="D1797" s="25">
        <v>10.0</v>
      </c>
      <c r="E1797" s="27"/>
      <c r="F1797" s="25">
        <v>0.0</v>
      </c>
      <c r="G1797" s="27"/>
    </row>
    <row r="1798" hidden="1">
      <c r="A1798" s="21"/>
      <c r="B1798" s="21" t="s">
        <v>2689</v>
      </c>
      <c r="D1798" s="25">
        <v>10.0</v>
      </c>
      <c r="E1798" s="27"/>
      <c r="F1798" s="25">
        <v>0.0</v>
      </c>
      <c r="G1798" s="27"/>
    </row>
    <row r="1799" hidden="1">
      <c r="A1799" s="21"/>
      <c r="B1799" s="21" t="s">
        <v>2690</v>
      </c>
      <c r="D1799" s="25">
        <v>10.0</v>
      </c>
      <c r="E1799" s="27"/>
      <c r="F1799" s="25">
        <v>0.0</v>
      </c>
      <c r="G1799" s="27"/>
    </row>
    <row r="1800" hidden="1">
      <c r="A1800" s="21"/>
      <c r="B1800" s="21" t="s">
        <v>585</v>
      </c>
      <c r="D1800" s="25">
        <v>10.0</v>
      </c>
      <c r="E1800" s="27"/>
      <c r="F1800" s="25">
        <v>0.0</v>
      </c>
      <c r="G1800" s="27"/>
    </row>
    <row r="1801" hidden="1">
      <c r="A1801" s="21"/>
      <c r="B1801" s="21" t="s">
        <v>586</v>
      </c>
      <c r="D1801" s="25">
        <v>10.0</v>
      </c>
      <c r="E1801" s="27"/>
      <c r="F1801" s="25">
        <v>0.26</v>
      </c>
      <c r="G1801" s="27"/>
    </row>
    <row r="1802" hidden="1">
      <c r="A1802" s="21"/>
      <c r="B1802" s="21" t="s">
        <v>587</v>
      </c>
      <c r="D1802" s="25">
        <v>10.0</v>
      </c>
      <c r="E1802" s="27"/>
      <c r="F1802" s="25">
        <v>0.0</v>
      </c>
      <c r="G1802" s="27"/>
    </row>
    <row r="1803" hidden="1">
      <c r="A1803" s="21"/>
      <c r="B1803" s="21" t="s">
        <v>588</v>
      </c>
      <c r="D1803" s="25">
        <v>10.0</v>
      </c>
      <c r="E1803" s="27"/>
      <c r="F1803" s="25">
        <v>7.4</v>
      </c>
      <c r="G1803" s="27"/>
    </row>
    <row r="1804" hidden="1">
      <c r="A1804" s="21"/>
      <c r="B1804" s="21" t="s">
        <v>2691</v>
      </c>
      <c r="D1804" s="25">
        <v>10.0</v>
      </c>
      <c r="E1804" s="27"/>
      <c r="F1804" s="25">
        <v>0.0</v>
      </c>
      <c r="G1804" s="27"/>
    </row>
    <row r="1805" hidden="1">
      <c r="A1805" s="31"/>
      <c r="B1805" s="31" t="e">
        <v>#NAME?</v>
      </c>
      <c r="C1805" s="27"/>
      <c r="D1805" s="25">
        <v>0.0</v>
      </c>
      <c r="E1805" s="27"/>
      <c r="F1805" s="25">
        <v>0.0</v>
      </c>
      <c r="G1805" s="27"/>
    </row>
    <row r="1806" hidden="1">
      <c r="A1806" s="31"/>
      <c r="B1806" s="31" t="e">
        <v>#NAME?</v>
      </c>
      <c r="C1806" s="27"/>
      <c r="D1806" s="25">
        <v>0.0</v>
      </c>
      <c r="E1806" s="27"/>
      <c r="F1806" s="25">
        <v>0.0</v>
      </c>
      <c r="G1806" s="27"/>
    </row>
    <row r="1807" hidden="1">
      <c r="A1807" s="31"/>
      <c r="B1807" s="31" t="e">
        <v>#NAME?</v>
      </c>
      <c r="C1807" s="27"/>
      <c r="D1807" s="25">
        <v>0.0</v>
      </c>
      <c r="E1807" s="27"/>
      <c r="F1807" s="25">
        <v>0.0</v>
      </c>
      <c r="G1807" s="27"/>
    </row>
    <row r="1808" hidden="1">
      <c r="A1808" s="31"/>
      <c r="B1808" s="31" t="e">
        <v>#NAME?</v>
      </c>
      <c r="C1808" s="27"/>
      <c r="D1808" s="25">
        <v>0.0</v>
      </c>
      <c r="E1808" s="27"/>
      <c r="F1808" s="25">
        <v>0.0</v>
      </c>
      <c r="G1808" s="27"/>
    </row>
    <row r="1809" hidden="1">
      <c r="A1809" s="31"/>
      <c r="B1809" s="31" t="e">
        <v>#NAME?</v>
      </c>
      <c r="C1809" s="27"/>
      <c r="D1809" s="25">
        <v>0.0</v>
      </c>
      <c r="E1809" s="27"/>
      <c r="F1809" s="25">
        <v>0.0</v>
      </c>
      <c r="G1809" s="27"/>
    </row>
    <row r="1810" hidden="1">
      <c r="A1810" s="31"/>
      <c r="B1810" s="31" t="e">
        <v>#NAME?</v>
      </c>
      <c r="C1810" s="27"/>
      <c r="D1810" s="25">
        <v>0.0</v>
      </c>
      <c r="E1810" s="27"/>
      <c r="F1810" s="25">
        <v>0.0</v>
      </c>
      <c r="G1810" s="27"/>
    </row>
    <row r="1811" hidden="1">
      <c r="A1811" s="21"/>
      <c r="B1811" s="21" t="s">
        <v>2692</v>
      </c>
      <c r="D1811" s="25">
        <v>0.0</v>
      </c>
      <c r="E1811" s="27"/>
      <c r="F1811" s="25">
        <v>0.0</v>
      </c>
      <c r="G1811" s="27"/>
    </row>
    <row r="1812" hidden="1">
      <c r="A1812" s="21"/>
      <c r="B1812" s="21" t="s">
        <v>2693</v>
      </c>
      <c r="D1812" s="25">
        <v>0.0</v>
      </c>
      <c r="E1812" s="27"/>
      <c r="F1812" s="25">
        <v>0.0</v>
      </c>
      <c r="G1812" s="27"/>
    </row>
    <row r="1813" hidden="1">
      <c r="A1813" s="21"/>
      <c r="B1813" s="21" t="s">
        <v>2694</v>
      </c>
      <c r="D1813" s="25">
        <v>0.0</v>
      </c>
      <c r="E1813" s="27"/>
      <c r="F1813" s="25">
        <v>0.0</v>
      </c>
      <c r="G1813" s="27"/>
    </row>
    <row r="1814" hidden="1">
      <c r="A1814" s="21"/>
      <c r="B1814" s="21" t="s">
        <v>2695</v>
      </c>
      <c r="D1814" s="25">
        <v>0.0</v>
      </c>
      <c r="E1814" s="27"/>
      <c r="F1814" s="25">
        <v>0.0</v>
      </c>
      <c r="G1814" s="27"/>
    </row>
    <row r="1815" hidden="1">
      <c r="A1815" s="21"/>
      <c r="B1815" s="21" t="s">
        <v>2696</v>
      </c>
      <c r="D1815" s="25">
        <v>0.0</v>
      </c>
      <c r="E1815" s="27"/>
      <c r="F1815" s="25">
        <v>0.0</v>
      </c>
      <c r="G1815" s="27"/>
    </row>
    <row r="1816" hidden="1">
      <c r="A1816" s="21"/>
      <c r="B1816" s="21" t="s">
        <v>2697</v>
      </c>
      <c r="D1816" s="25">
        <v>0.0</v>
      </c>
      <c r="E1816" s="27"/>
      <c r="F1816" s="25">
        <v>0.0</v>
      </c>
      <c r="G1816" s="27"/>
    </row>
    <row r="1817" hidden="1">
      <c r="A1817" s="21"/>
      <c r="B1817" s="21" t="s">
        <v>2698</v>
      </c>
      <c r="D1817" s="25">
        <v>0.0</v>
      </c>
      <c r="E1817" s="27"/>
      <c r="F1817" s="25">
        <v>0.0</v>
      </c>
      <c r="G1817" s="27"/>
    </row>
    <row r="1818" hidden="1">
      <c r="A1818" s="21"/>
      <c r="B1818" s="21" t="s">
        <v>2699</v>
      </c>
      <c r="D1818" s="25">
        <v>0.0</v>
      </c>
      <c r="E1818" s="27"/>
      <c r="F1818" s="25">
        <v>0.0</v>
      </c>
      <c r="G1818" s="27"/>
    </row>
    <row r="1819" hidden="1">
      <c r="A1819" s="21"/>
      <c r="B1819" s="21" t="s">
        <v>2700</v>
      </c>
      <c r="D1819" s="25">
        <v>0.0</v>
      </c>
      <c r="E1819" s="27"/>
      <c r="F1819" s="25">
        <v>0.0</v>
      </c>
      <c r="G1819" s="27"/>
    </row>
    <row r="1820" hidden="1">
      <c r="A1820" s="21"/>
      <c r="B1820" s="21" t="s">
        <v>2701</v>
      </c>
      <c r="D1820" s="25">
        <v>0.0</v>
      </c>
      <c r="E1820" s="27"/>
      <c r="F1820" s="25">
        <v>0.0</v>
      </c>
      <c r="G1820" s="27"/>
    </row>
    <row r="1821" hidden="1">
      <c r="A1821" s="21"/>
      <c r="B1821" s="21" t="s">
        <v>2702</v>
      </c>
      <c r="D1821" s="25">
        <v>0.0</v>
      </c>
      <c r="E1821" s="27"/>
      <c r="F1821" s="25">
        <v>0.0</v>
      </c>
      <c r="G1821" s="27"/>
    </row>
    <row r="1822" hidden="1">
      <c r="A1822" s="21"/>
      <c r="B1822" s="21" t="s">
        <v>2703</v>
      </c>
      <c r="D1822" s="25">
        <v>0.0</v>
      </c>
      <c r="E1822" s="27"/>
      <c r="F1822" s="25">
        <v>0.0</v>
      </c>
      <c r="G1822" s="27"/>
    </row>
    <row r="1823" hidden="1">
      <c r="A1823" s="21"/>
      <c r="B1823" s="21" t="s">
        <v>2704</v>
      </c>
      <c r="D1823" s="25">
        <v>0.0</v>
      </c>
      <c r="E1823" s="27"/>
      <c r="F1823" s="25">
        <v>0.0</v>
      </c>
      <c r="G1823" s="27"/>
    </row>
    <row r="1824" hidden="1">
      <c r="A1824" s="21"/>
      <c r="B1824" s="21" t="s">
        <v>589</v>
      </c>
      <c r="D1824" s="25">
        <v>0.0</v>
      </c>
      <c r="E1824" s="27"/>
      <c r="F1824" s="25">
        <v>0.0</v>
      </c>
      <c r="G1824" s="27"/>
    </row>
    <row r="1825" hidden="1">
      <c r="A1825" s="21"/>
      <c r="B1825" s="21" t="s">
        <v>590</v>
      </c>
      <c r="D1825" s="25">
        <v>0.0</v>
      </c>
      <c r="E1825" s="27"/>
      <c r="F1825" s="25">
        <v>0.0</v>
      </c>
      <c r="G1825" s="27"/>
    </row>
    <row r="1826" hidden="1">
      <c r="A1826" s="21"/>
      <c r="B1826" s="21" t="s">
        <v>591</v>
      </c>
      <c r="D1826" s="25">
        <v>0.0</v>
      </c>
      <c r="E1826" s="27"/>
      <c r="F1826" s="25">
        <v>0.0</v>
      </c>
      <c r="G1826" s="27"/>
    </row>
    <row r="1827" hidden="1">
      <c r="A1827" s="21"/>
      <c r="B1827" s="21" t="s">
        <v>592</v>
      </c>
      <c r="D1827" s="25">
        <v>0.0</v>
      </c>
      <c r="E1827" s="27"/>
      <c r="F1827" s="25">
        <v>0.0</v>
      </c>
      <c r="G1827" s="27"/>
    </row>
    <row r="1828" hidden="1">
      <c r="A1828" s="21"/>
      <c r="B1828" s="21" t="s">
        <v>593</v>
      </c>
      <c r="D1828" s="25">
        <v>0.0</v>
      </c>
      <c r="E1828" s="27"/>
      <c r="F1828" s="25">
        <v>0.0</v>
      </c>
      <c r="G1828" s="27"/>
    </row>
    <row r="1829" hidden="1">
      <c r="A1829" s="21"/>
      <c r="B1829" s="21" t="s">
        <v>594</v>
      </c>
      <c r="D1829" s="25">
        <v>0.0</v>
      </c>
      <c r="E1829" s="27"/>
      <c r="F1829" s="25">
        <v>0.0</v>
      </c>
      <c r="G1829" s="27"/>
    </row>
    <row r="1830" hidden="1">
      <c r="A1830" s="21"/>
      <c r="B1830" s="21" t="s">
        <v>595</v>
      </c>
      <c r="D1830" s="25">
        <v>0.0</v>
      </c>
      <c r="E1830" s="27"/>
      <c r="F1830" s="25">
        <v>0.0</v>
      </c>
      <c r="G1830" s="27"/>
    </row>
    <row r="1831" hidden="1">
      <c r="A1831" s="21"/>
      <c r="B1831" s="21" t="s">
        <v>596</v>
      </c>
      <c r="D1831" s="25">
        <v>0.0</v>
      </c>
      <c r="E1831" s="27"/>
      <c r="F1831" s="25">
        <v>0.0</v>
      </c>
      <c r="G1831" s="27"/>
    </row>
    <row r="1832" hidden="1">
      <c r="A1832" s="21"/>
      <c r="B1832" s="21" t="s">
        <v>597</v>
      </c>
      <c r="D1832" s="25">
        <v>0.0</v>
      </c>
      <c r="E1832" s="27"/>
      <c r="F1832" s="25">
        <v>0.0</v>
      </c>
      <c r="G1832" s="27"/>
    </row>
    <row r="1833" hidden="1">
      <c r="A1833" s="21"/>
      <c r="B1833" s="21" t="s">
        <v>598</v>
      </c>
      <c r="D1833" s="25">
        <v>0.0</v>
      </c>
      <c r="E1833" s="27"/>
      <c r="F1833" s="25">
        <v>0.0</v>
      </c>
      <c r="G1833" s="27"/>
    </row>
    <row r="1834" hidden="1">
      <c r="A1834" s="21"/>
      <c r="B1834" s="21" t="s">
        <v>599</v>
      </c>
      <c r="D1834" s="25">
        <v>0.0</v>
      </c>
      <c r="E1834" s="27"/>
      <c r="F1834" s="25">
        <v>0.0</v>
      </c>
      <c r="G1834" s="27"/>
    </row>
    <row r="1835" hidden="1">
      <c r="A1835" s="21"/>
      <c r="B1835" s="21" t="s">
        <v>600</v>
      </c>
      <c r="D1835" s="25">
        <v>0.0</v>
      </c>
      <c r="E1835" s="27"/>
      <c r="F1835" s="25">
        <v>0.0</v>
      </c>
      <c r="G1835" s="27"/>
    </row>
    <row r="1836" hidden="1">
      <c r="A1836" s="21"/>
      <c r="B1836" s="21" t="s">
        <v>601</v>
      </c>
      <c r="D1836" s="25">
        <v>0.0</v>
      </c>
      <c r="E1836" s="27"/>
      <c r="F1836" s="25">
        <v>0.0</v>
      </c>
      <c r="G1836" s="27"/>
    </row>
    <row r="1837" hidden="1">
      <c r="A1837" s="21"/>
      <c r="B1837" s="21" t="s">
        <v>602</v>
      </c>
      <c r="D1837" s="25">
        <v>0.0</v>
      </c>
      <c r="E1837" s="27"/>
      <c r="F1837" s="25">
        <v>0.0</v>
      </c>
      <c r="G1837" s="27"/>
    </row>
    <row r="1838" hidden="1">
      <c r="A1838" s="21"/>
      <c r="B1838" s="21" t="s">
        <v>603</v>
      </c>
      <c r="D1838" s="25">
        <v>0.0</v>
      </c>
      <c r="E1838" s="27"/>
      <c r="F1838" s="25">
        <v>0.0</v>
      </c>
      <c r="G1838" s="27"/>
    </row>
    <row r="1839" hidden="1">
      <c r="A1839" s="21"/>
      <c r="B1839" s="21" t="s">
        <v>604</v>
      </c>
      <c r="D1839" s="25">
        <v>0.0</v>
      </c>
      <c r="E1839" s="27"/>
      <c r="F1839" s="25">
        <v>7.36</v>
      </c>
      <c r="G1839" s="27"/>
    </row>
    <row r="1840" hidden="1">
      <c r="A1840" s="21"/>
      <c r="B1840" s="21" t="s">
        <v>605</v>
      </c>
      <c r="D1840" s="25">
        <v>0.0</v>
      </c>
      <c r="E1840" s="27"/>
      <c r="F1840" s="25">
        <v>0.0</v>
      </c>
      <c r="G1840" s="27"/>
    </row>
    <row r="1841" hidden="1">
      <c r="A1841" s="21"/>
      <c r="B1841" s="21" t="s">
        <v>606</v>
      </c>
      <c r="D1841" s="25">
        <v>0.0</v>
      </c>
      <c r="E1841" s="27"/>
      <c r="F1841" s="25">
        <v>0.0</v>
      </c>
      <c r="G1841" s="27"/>
    </row>
    <row r="1842" hidden="1">
      <c r="A1842" s="21"/>
      <c r="B1842" s="21" t="s">
        <v>607</v>
      </c>
      <c r="D1842" s="25">
        <v>0.0</v>
      </c>
      <c r="E1842" s="27"/>
      <c r="F1842" s="25">
        <v>0.0</v>
      </c>
      <c r="G1842" s="27"/>
    </row>
    <row r="1843" hidden="1">
      <c r="A1843" s="21"/>
      <c r="B1843" s="21" t="s">
        <v>608</v>
      </c>
      <c r="D1843" s="25">
        <v>0.0</v>
      </c>
      <c r="E1843" s="27"/>
      <c r="F1843" s="25">
        <v>0.0</v>
      </c>
      <c r="G1843" s="27"/>
    </row>
    <row r="1844" hidden="1">
      <c r="A1844" s="21"/>
      <c r="B1844" s="21" t="s">
        <v>609</v>
      </c>
      <c r="D1844" s="25">
        <v>0.0</v>
      </c>
      <c r="E1844" s="27"/>
      <c r="F1844" s="25">
        <v>0.0</v>
      </c>
      <c r="G1844" s="27"/>
    </row>
    <row r="1845" hidden="1">
      <c r="A1845" s="21"/>
      <c r="B1845" s="21" t="s">
        <v>2705</v>
      </c>
      <c r="D1845" s="25">
        <v>0.0</v>
      </c>
      <c r="E1845" s="27"/>
      <c r="F1845" s="25">
        <v>6.36</v>
      </c>
      <c r="G1845" s="27"/>
    </row>
    <row r="1846" hidden="1">
      <c r="A1846" s="21"/>
      <c r="B1846" s="21" t="s">
        <v>2706</v>
      </c>
      <c r="D1846" s="25">
        <v>0.0</v>
      </c>
      <c r="E1846" s="27"/>
      <c r="F1846" s="25">
        <v>0.0</v>
      </c>
      <c r="G1846" s="27"/>
    </row>
    <row r="1847" hidden="1">
      <c r="A1847" s="21"/>
      <c r="B1847" s="21" t="s">
        <v>2707</v>
      </c>
      <c r="D1847" s="25">
        <v>0.0</v>
      </c>
      <c r="E1847" s="27"/>
      <c r="F1847" s="25">
        <v>0.0</v>
      </c>
      <c r="G1847" s="27"/>
    </row>
    <row r="1848" hidden="1">
      <c r="A1848" s="21"/>
      <c r="B1848" s="21" t="s">
        <v>2708</v>
      </c>
      <c r="D1848" s="25">
        <v>0.0</v>
      </c>
      <c r="E1848" s="27"/>
      <c r="F1848" s="25">
        <v>0.0</v>
      </c>
      <c r="G1848" s="27"/>
    </row>
    <row r="1849" hidden="1">
      <c r="A1849" s="21"/>
      <c r="B1849" s="21" t="s">
        <v>2709</v>
      </c>
      <c r="D1849" s="25">
        <v>0.0</v>
      </c>
      <c r="E1849" s="27"/>
      <c r="F1849" s="25">
        <v>0.0</v>
      </c>
      <c r="G1849" s="27"/>
    </row>
    <row r="1850" hidden="1">
      <c r="A1850" s="21"/>
      <c r="B1850" s="21" t="s">
        <v>2710</v>
      </c>
      <c r="D1850" s="25">
        <v>0.0</v>
      </c>
      <c r="E1850" s="27"/>
      <c r="F1850" s="25">
        <v>0.0</v>
      </c>
      <c r="G1850" s="27"/>
    </row>
    <row r="1851" hidden="1">
      <c r="A1851" s="21"/>
      <c r="B1851" s="21" t="s">
        <v>2711</v>
      </c>
      <c r="D1851" s="25">
        <v>0.0</v>
      </c>
      <c r="E1851" s="27"/>
      <c r="F1851" s="25">
        <v>0.0</v>
      </c>
      <c r="G1851" s="27"/>
    </row>
    <row r="1852" hidden="1">
      <c r="A1852" s="21"/>
      <c r="B1852" s="21" t="s">
        <v>2712</v>
      </c>
      <c r="D1852" s="25">
        <v>0.0</v>
      </c>
      <c r="E1852" s="27"/>
      <c r="F1852" s="25">
        <v>0.0</v>
      </c>
      <c r="G1852" s="27"/>
    </row>
    <row r="1853" hidden="1">
      <c r="A1853" s="21"/>
      <c r="B1853" s="21" t="s">
        <v>2713</v>
      </c>
      <c r="D1853" s="25">
        <v>0.0</v>
      </c>
      <c r="E1853" s="27"/>
      <c r="F1853" s="25">
        <v>0.0</v>
      </c>
      <c r="G1853" s="27"/>
    </row>
    <row r="1854" hidden="1">
      <c r="A1854" s="21"/>
      <c r="B1854" s="21" t="s">
        <v>2714</v>
      </c>
      <c r="D1854" s="25">
        <v>0.0</v>
      </c>
      <c r="E1854" s="27"/>
      <c r="F1854" s="25">
        <v>0.0</v>
      </c>
      <c r="G1854" s="27"/>
    </row>
    <row r="1855" hidden="1">
      <c r="A1855" s="21"/>
      <c r="B1855" s="21" t="s">
        <v>2715</v>
      </c>
      <c r="D1855" s="25">
        <v>0.0</v>
      </c>
      <c r="E1855" s="27"/>
      <c r="F1855" s="25">
        <v>0.0</v>
      </c>
      <c r="G1855" s="27"/>
    </row>
    <row r="1856" hidden="1">
      <c r="A1856" s="21"/>
      <c r="B1856" s="21" t="s">
        <v>2716</v>
      </c>
      <c r="D1856" s="25">
        <v>0.0</v>
      </c>
      <c r="E1856" s="27"/>
      <c r="F1856" s="25">
        <v>0.0</v>
      </c>
      <c r="G1856" s="27"/>
    </row>
    <row r="1857" hidden="1">
      <c r="A1857" s="21"/>
      <c r="B1857" s="21" t="s">
        <v>2717</v>
      </c>
      <c r="D1857" s="25">
        <v>0.0</v>
      </c>
      <c r="E1857" s="27"/>
      <c r="F1857" s="25">
        <v>0.0</v>
      </c>
      <c r="G1857" s="27"/>
    </row>
    <row r="1858" hidden="1">
      <c r="A1858" s="21"/>
      <c r="B1858" s="21" t="s">
        <v>2718</v>
      </c>
      <c r="D1858" s="25">
        <v>0.0</v>
      </c>
      <c r="E1858" s="27"/>
      <c r="F1858" s="25">
        <v>0.0</v>
      </c>
      <c r="G1858" s="27"/>
    </row>
    <row r="1859" hidden="1">
      <c r="A1859" s="21"/>
      <c r="B1859" s="21" t="s">
        <v>2719</v>
      </c>
      <c r="D1859" s="25">
        <v>0.0</v>
      </c>
      <c r="E1859" s="27"/>
      <c r="F1859" s="25">
        <v>0.0</v>
      </c>
      <c r="G1859" s="27"/>
    </row>
    <row r="1860" hidden="1">
      <c r="A1860" s="21"/>
      <c r="B1860" s="21" t="s">
        <v>2720</v>
      </c>
      <c r="D1860" s="25">
        <v>0.0</v>
      </c>
      <c r="E1860" s="27"/>
      <c r="F1860" s="25">
        <v>0.0</v>
      </c>
      <c r="G1860" s="27"/>
    </row>
    <row r="1861" hidden="1">
      <c r="A1861" s="21"/>
      <c r="B1861" s="21" t="s">
        <v>2721</v>
      </c>
      <c r="D1861" s="25">
        <v>0.0</v>
      </c>
      <c r="E1861" s="27"/>
      <c r="F1861" s="25">
        <v>0.0</v>
      </c>
      <c r="G1861" s="27"/>
    </row>
    <row r="1862" hidden="1">
      <c r="A1862" s="21"/>
      <c r="B1862" s="21" t="s">
        <v>2722</v>
      </c>
      <c r="D1862" s="25">
        <v>0.0</v>
      </c>
      <c r="E1862" s="27"/>
      <c r="F1862" s="25">
        <v>0.0</v>
      </c>
      <c r="G1862" s="27"/>
    </row>
    <row r="1863" hidden="1">
      <c r="A1863" s="21"/>
      <c r="B1863" s="21" t="s">
        <v>2723</v>
      </c>
      <c r="D1863" s="25">
        <v>0.0</v>
      </c>
      <c r="E1863" s="27"/>
      <c r="F1863" s="25">
        <v>0.0</v>
      </c>
      <c r="G1863" s="27"/>
    </row>
    <row r="1864" hidden="1">
      <c r="A1864" s="21"/>
      <c r="B1864" s="21" t="s">
        <v>2724</v>
      </c>
      <c r="D1864" s="25">
        <v>0.0</v>
      </c>
      <c r="E1864" s="27"/>
      <c r="F1864" s="25">
        <v>0.0</v>
      </c>
      <c r="G1864" s="27"/>
    </row>
    <row r="1865" hidden="1">
      <c r="A1865" s="21"/>
      <c r="B1865" s="21" t="s">
        <v>2725</v>
      </c>
      <c r="D1865" s="25">
        <v>0.0</v>
      </c>
      <c r="E1865" s="27"/>
      <c r="F1865" s="25">
        <v>0.0</v>
      </c>
      <c r="G1865" s="27"/>
    </row>
    <row r="1866" hidden="1">
      <c r="A1866" s="21"/>
      <c r="B1866" s="21" t="s">
        <v>2726</v>
      </c>
      <c r="D1866" s="25">
        <v>0.0</v>
      </c>
      <c r="E1866" s="27"/>
      <c r="F1866" s="25">
        <v>0.0</v>
      </c>
      <c r="G1866" s="27"/>
    </row>
    <row r="1867" hidden="1">
      <c r="A1867" s="21"/>
      <c r="B1867" s="21" t="s">
        <v>2727</v>
      </c>
      <c r="D1867" s="25">
        <v>0.0</v>
      </c>
      <c r="E1867" s="27"/>
      <c r="F1867" s="25">
        <v>0.0</v>
      </c>
      <c r="G1867" s="27"/>
    </row>
    <row r="1868" hidden="1">
      <c r="A1868" s="21"/>
      <c r="B1868" s="21" t="s">
        <v>2728</v>
      </c>
      <c r="D1868" s="25">
        <v>0.0</v>
      </c>
      <c r="E1868" s="27"/>
      <c r="F1868" s="25">
        <v>0.0</v>
      </c>
      <c r="G1868" s="27"/>
    </row>
    <row r="1869" hidden="1">
      <c r="A1869" s="21"/>
      <c r="B1869" s="21" t="s">
        <v>2729</v>
      </c>
      <c r="D1869" s="25">
        <v>0.0</v>
      </c>
      <c r="E1869" s="27"/>
      <c r="F1869" s="25">
        <v>4.56</v>
      </c>
      <c r="G1869" s="27"/>
    </row>
    <row r="1870" hidden="1">
      <c r="A1870" s="21"/>
      <c r="B1870" s="21" t="s">
        <v>2730</v>
      </c>
      <c r="D1870" s="25">
        <v>0.0</v>
      </c>
      <c r="E1870" s="27"/>
      <c r="F1870" s="25">
        <v>0.0</v>
      </c>
      <c r="G1870" s="27"/>
    </row>
    <row r="1871" hidden="1">
      <c r="A1871" s="21"/>
      <c r="B1871" s="21" t="s">
        <v>2731</v>
      </c>
      <c r="D1871" s="25">
        <v>0.0</v>
      </c>
      <c r="E1871" s="27"/>
      <c r="F1871" s="25">
        <v>0.0</v>
      </c>
      <c r="G1871" s="27"/>
    </row>
    <row r="1872" hidden="1">
      <c r="A1872" s="21"/>
      <c r="B1872" s="21" t="s">
        <v>2732</v>
      </c>
      <c r="D1872" s="25">
        <v>0.0</v>
      </c>
      <c r="E1872" s="27"/>
      <c r="F1872" s="25">
        <v>0.0</v>
      </c>
      <c r="G1872" s="27"/>
    </row>
    <row r="1873" hidden="1">
      <c r="A1873" s="21"/>
      <c r="B1873" s="21" t="s">
        <v>2733</v>
      </c>
      <c r="D1873" s="25">
        <v>0.0</v>
      </c>
      <c r="E1873" s="27"/>
      <c r="F1873" s="25">
        <v>0.0</v>
      </c>
      <c r="G1873" s="27"/>
    </row>
    <row r="1874" hidden="1">
      <c r="A1874" s="21"/>
      <c r="B1874" s="21" t="s">
        <v>2734</v>
      </c>
      <c r="D1874" s="25">
        <v>0.0</v>
      </c>
      <c r="E1874" s="27"/>
      <c r="F1874" s="25">
        <v>0.0</v>
      </c>
      <c r="G1874" s="27"/>
    </row>
    <row r="1875" hidden="1">
      <c r="A1875" s="21"/>
      <c r="B1875" s="21" t="s">
        <v>2735</v>
      </c>
      <c r="D1875" s="25">
        <v>0.0</v>
      </c>
      <c r="E1875" s="27"/>
      <c r="F1875" s="25">
        <v>0.0</v>
      </c>
      <c r="G1875" s="27"/>
    </row>
    <row r="1876" hidden="1">
      <c r="A1876" s="21"/>
      <c r="B1876" s="21" t="s">
        <v>2736</v>
      </c>
      <c r="D1876" s="25">
        <v>0.0</v>
      </c>
      <c r="E1876" s="27"/>
      <c r="F1876" s="25">
        <v>0.0</v>
      </c>
      <c r="G1876" s="27"/>
    </row>
    <row r="1877" hidden="1">
      <c r="A1877" s="21"/>
      <c r="B1877" s="21" t="s">
        <v>2737</v>
      </c>
      <c r="D1877" s="25">
        <v>0.0</v>
      </c>
      <c r="E1877" s="27"/>
      <c r="F1877" s="25">
        <v>0.0</v>
      </c>
      <c r="G1877" s="27"/>
    </row>
    <row r="1878" hidden="1">
      <c r="A1878" s="21"/>
      <c r="B1878" s="21" t="s">
        <v>2738</v>
      </c>
      <c r="D1878" s="25">
        <v>0.0</v>
      </c>
      <c r="E1878" s="27"/>
      <c r="F1878" s="25">
        <v>0.0</v>
      </c>
      <c r="G1878" s="27"/>
    </row>
    <row r="1879" hidden="1">
      <c r="A1879" s="21"/>
      <c r="B1879" s="21" t="s">
        <v>2739</v>
      </c>
      <c r="D1879" s="25">
        <v>0.0</v>
      </c>
      <c r="E1879" s="27"/>
      <c r="F1879" s="25">
        <v>0.0</v>
      </c>
      <c r="G1879" s="27"/>
    </row>
    <row r="1880" hidden="1">
      <c r="A1880" s="21"/>
      <c r="B1880" s="21" t="s">
        <v>2740</v>
      </c>
      <c r="D1880" s="25">
        <v>0.0</v>
      </c>
      <c r="E1880" s="27"/>
      <c r="F1880" s="25">
        <v>0.0</v>
      </c>
      <c r="G1880" s="27"/>
    </row>
    <row r="1881" hidden="1">
      <c r="A1881" s="21"/>
      <c r="B1881" s="21" t="s">
        <v>2741</v>
      </c>
      <c r="D1881" s="25">
        <v>0.0</v>
      </c>
      <c r="E1881" s="27"/>
      <c r="F1881" s="25">
        <v>0.0</v>
      </c>
      <c r="G1881" s="27"/>
    </row>
    <row r="1882" hidden="1">
      <c r="A1882" s="21"/>
      <c r="B1882" s="21" t="s">
        <v>2742</v>
      </c>
      <c r="D1882" s="25">
        <v>0.0</v>
      </c>
      <c r="E1882" s="27"/>
      <c r="F1882" s="25">
        <v>0.0</v>
      </c>
      <c r="G1882" s="27"/>
    </row>
    <row r="1883" hidden="1">
      <c r="A1883" s="21"/>
      <c r="B1883" s="21" t="s">
        <v>2743</v>
      </c>
      <c r="D1883" s="25">
        <v>0.0</v>
      </c>
      <c r="E1883" s="27"/>
      <c r="F1883" s="25">
        <v>0.0</v>
      </c>
      <c r="G1883" s="27"/>
    </row>
    <row r="1884" hidden="1">
      <c r="A1884" s="21"/>
      <c r="B1884" s="21" t="s">
        <v>2744</v>
      </c>
      <c r="D1884" s="25">
        <v>0.0</v>
      </c>
      <c r="E1884" s="27"/>
      <c r="F1884" s="25">
        <v>0.0</v>
      </c>
      <c r="G1884" s="27"/>
    </row>
    <row r="1885" hidden="1">
      <c r="A1885" s="21"/>
      <c r="B1885" s="21" t="s">
        <v>2745</v>
      </c>
      <c r="D1885" s="25">
        <v>0.0</v>
      </c>
      <c r="E1885" s="27"/>
      <c r="F1885" s="25">
        <v>0.0</v>
      </c>
      <c r="G1885" s="27"/>
    </row>
    <row r="1886" hidden="1">
      <c r="A1886" s="21"/>
      <c r="B1886" s="21" t="s">
        <v>2746</v>
      </c>
      <c r="D1886" s="25">
        <v>0.0</v>
      </c>
      <c r="E1886" s="27"/>
      <c r="F1886" s="25">
        <v>0.0</v>
      </c>
      <c r="G1886" s="27"/>
    </row>
    <row r="1887" hidden="1">
      <c r="A1887" s="21"/>
      <c r="B1887" s="21" t="s">
        <v>2747</v>
      </c>
      <c r="D1887" s="25">
        <v>0.0</v>
      </c>
      <c r="E1887" s="27"/>
      <c r="F1887" s="25">
        <v>0.0</v>
      </c>
      <c r="G1887" s="27"/>
    </row>
    <row r="1888" hidden="1">
      <c r="A1888" s="21"/>
      <c r="B1888" s="21" t="s">
        <v>2748</v>
      </c>
      <c r="D1888" s="25">
        <v>0.0</v>
      </c>
      <c r="E1888" s="27"/>
      <c r="F1888" s="25">
        <v>0.0</v>
      </c>
      <c r="G1888" s="27"/>
    </row>
    <row r="1889" hidden="1">
      <c r="A1889" s="21"/>
      <c r="B1889" s="21" t="s">
        <v>2749</v>
      </c>
      <c r="D1889" s="25">
        <v>0.0</v>
      </c>
      <c r="E1889" s="27"/>
      <c r="F1889" s="25">
        <v>0.0</v>
      </c>
      <c r="G1889" s="27"/>
    </row>
    <row r="1890" hidden="1">
      <c r="A1890" s="21"/>
      <c r="B1890" s="21" t="s">
        <v>2750</v>
      </c>
      <c r="D1890" s="25">
        <v>0.0</v>
      </c>
      <c r="E1890" s="27"/>
      <c r="F1890" s="25">
        <v>0.0</v>
      </c>
      <c r="G1890" s="27"/>
    </row>
    <row r="1891" hidden="1">
      <c r="A1891" s="21"/>
      <c r="B1891" s="21" t="s">
        <v>2751</v>
      </c>
      <c r="D1891" s="25">
        <v>0.0</v>
      </c>
      <c r="E1891" s="27"/>
      <c r="F1891" s="25">
        <v>0.0</v>
      </c>
      <c r="G1891" s="27"/>
    </row>
    <row r="1892" hidden="1">
      <c r="A1892" s="21"/>
      <c r="B1892" s="21" t="s">
        <v>2752</v>
      </c>
      <c r="D1892" s="25">
        <v>0.0</v>
      </c>
      <c r="E1892" s="27"/>
      <c r="F1892" s="25">
        <v>0.0</v>
      </c>
      <c r="G1892" s="27"/>
    </row>
    <row r="1893" hidden="1">
      <c r="A1893" s="21"/>
      <c r="B1893" s="21" t="s">
        <v>2753</v>
      </c>
      <c r="D1893" s="25">
        <v>0.0</v>
      </c>
      <c r="E1893" s="27"/>
      <c r="F1893" s="25">
        <v>0.0</v>
      </c>
      <c r="G1893" s="27"/>
    </row>
    <row r="1894" hidden="1">
      <c r="A1894" s="21"/>
      <c r="B1894" s="21" t="s">
        <v>2754</v>
      </c>
      <c r="D1894" s="25">
        <v>0.0</v>
      </c>
      <c r="E1894" s="27"/>
      <c r="F1894" s="25">
        <v>0.0</v>
      </c>
      <c r="G1894" s="27"/>
    </row>
    <row r="1895" hidden="1">
      <c r="A1895" s="21"/>
      <c r="B1895" s="21" t="s">
        <v>2755</v>
      </c>
      <c r="D1895" s="25">
        <v>0.0</v>
      </c>
      <c r="E1895" s="27"/>
      <c r="F1895" s="25">
        <v>0.0</v>
      </c>
      <c r="G1895" s="27"/>
    </row>
    <row r="1896" hidden="1">
      <c r="A1896" s="21"/>
      <c r="B1896" s="21" t="s">
        <v>2756</v>
      </c>
      <c r="D1896" s="25">
        <v>0.0</v>
      </c>
      <c r="E1896" s="27"/>
      <c r="F1896" s="25">
        <v>0.0</v>
      </c>
      <c r="G1896" s="27"/>
    </row>
    <row r="1897" hidden="1">
      <c r="A1897" s="21"/>
      <c r="B1897" s="21" t="s">
        <v>2757</v>
      </c>
      <c r="D1897" s="25">
        <v>0.0</v>
      </c>
      <c r="E1897" s="27"/>
      <c r="F1897" s="25">
        <v>0.0</v>
      </c>
      <c r="G1897" s="27"/>
    </row>
    <row r="1898" hidden="1">
      <c r="A1898" s="21"/>
      <c r="B1898" s="21" t="s">
        <v>2758</v>
      </c>
      <c r="D1898" s="25">
        <v>0.0</v>
      </c>
      <c r="E1898" s="27"/>
      <c r="F1898" s="25">
        <v>0.0</v>
      </c>
      <c r="G1898" s="27"/>
    </row>
    <row r="1899" hidden="1">
      <c r="A1899" s="21"/>
      <c r="B1899" s="21" t="s">
        <v>2759</v>
      </c>
      <c r="D1899" s="25">
        <v>0.0</v>
      </c>
      <c r="E1899" s="27"/>
      <c r="F1899" s="25">
        <v>0.0</v>
      </c>
      <c r="G1899" s="27"/>
    </row>
    <row r="1900" hidden="1">
      <c r="A1900" s="21"/>
      <c r="B1900" s="21" t="s">
        <v>2760</v>
      </c>
      <c r="D1900" s="25">
        <v>0.0</v>
      </c>
      <c r="E1900" s="27"/>
      <c r="F1900" s="25">
        <v>0.0</v>
      </c>
      <c r="G1900" s="27"/>
    </row>
    <row r="1901" hidden="1">
      <c r="A1901" s="21"/>
      <c r="B1901" s="21" t="s">
        <v>2761</v>
      </c>
      <c r="D1901" s="25">
        <v>0.0</v>
      </c>
      <c r="E1901" s="27"/>
      <c r="F1901" s="25">
        <v>0.0</v>
      </c>
      <c r="G1901" s="27"/>
    </row>
    <row r="1902" hidden="1">
      <c r="A1902" s="21"/>
      <c r="B1902" s="21" t="s">
        <v>2762</v>
      </c>
      <c r="D1902" s="25">
        <v>0.0</v>
      </c>
      <c r="E1902" s="27"/>
      <c r="F1902" s="25">
        <v>0.0</v>
      </c>
      <c r="G1902" s="27"/>
    </row>
    <row r="1903" hidden="1">
      <c r="A1903" s="21"/>
      <c r="B1903" s="21" t="s">
        <v>2763</v>
      </c>
      <c r="D1903" s="25">
        <v>0.0</v>
      </c>
      <c r="E1903" s="27"/>
      <c r="F1903" s="25">
        <v>0.0</v>
      </c>
      <c r="G1903" s="27"/>
    </row>
    <row r="1904" hidden="1">
      <c r="A1904" s="21"/>
      <c r="B1904" s="21" t="s">
        <v>2764</v>
      </c>
      <c r="D1904" s="25">
        <v>0.0</v>
      </c>
      <c r="E1904" s="27"/>
      <c r="F1904" s="25">
        <v>0.0</v>
      </c>
      <c r="G1904" s="27"/>
    </row>
    <row r="1905" hidden="1">
      <c r="A1905" s="21"/>
      <c r="B1905" s="21" t="s">
        <v>2765</v>
      </c>
      <c r="D1905" s="25">
        <v>0.0</v>
      </c>
      <c r="E1905" s="27"/>
      <c r="F1905" s="25">
        <v>0.0</v>
      </c>
      <c r="G1905" s="27"/>
    </row>
    <row r="1906" hidden="1">
      <c r="A1906" s="21"/>
      <c r="B1906" s="21" t="s">
        <v>2766</v>
      </c>
      <c r="D1906" s="25">
        <v>0.0</v>
      </c>
      <c r="E1906" s="27"/>
      <c r="F1906" s="25">
        <v>0.0</v>
      </c>
      <c r="G1906" s="27"/>
    </row>
    <row r="1907" hidden="1">
      <c r="A1907" s="21"/>
      <c r="B1907" s="21" t="s">
        <v>2767</v>
      </c>
      <c r="D1907" s="25">
        <v>0.0</v>
      </c>
      <c r="E1907" s="27"/>
      <c r="F1907" s="25">
        <v>0.0</v>
      </c>
      <c r="G1907" s="27"/>
    </row>
    <row r="1908" hidden="1">
      <c r="A1908" s="21"/>
      <c r="B1908" s="21" t="s">
        <v>2768</v>
      </c>
      <c r="D1908" s="25">
        <v>0.0</v>
      </c>
      <c r="E1908" s="27"/>
      <c r="F1908" s="25">
        <v>0.0</v>
      </c>
      <c r="G1908" s="27"/>
    </row>
    <row r="1909" hidden="1">
      <c r="A1909" s="21"/>
      <c r="B1909" s="21" t="s">
        <v>2769</v>
      </c>
      <c r="D1909" s="25">
        <v>0.0</v>
      </c>
      <c r="E1909" s="27"/>
      <c r="F1909" s="25">
        <v>0.0</v>
      </c>
      <c r="G1909" s="27"/>
    </row>
    <row r="1910" hidden="1">
      <c r="A1910" s="21"/>
      <c r="B1910" s="21" t="s">
        <v>2770</v>
      </c>
      <c r="D1910" s="25">
        <v>0.0</v>
      </c>
      <c r="E1910" s="27"/>
      <c r="F1910" s="25">
        <v>0.0</v>
      </c>
      <c r="G1910" s="27"/>
    </row>
    <row r="1911" hidden="1">
      <c r="A1911" s="21"/>
      <c r="B1911" s="21" t="s">
        <v>2771</v>
      </c>
      <c r="D1911" s="25">
        <v>0.0</v>
      </c>
      <c r="E1911" s="27"/>
      <c r="F1911" s="25">
        <v>0.0</v>
      </c>
      <c r="G1911" s="27"/>
    </row>
    <row r="1912" hidden="1">
      <c r="A1912" s="21"/>
      <c r="B1912" s="21" t="s">
        <v>2772</v>
      </c>
      <c r="D1912" s="25">
        <v>0.0</v>
      </c>
      <c r="E1912" s="27"/>
      <c r="F1912" s="25">
        <v>0.0</v>
      </c>
      <c r="G1912" s="27"/>
    </row>
    <row r="1913" hidden="1">
      <c r="A1913" s="21"/>
      <c r="B1913" s="21" t="s">
        <v>2773</v>
      </c>
      <c r="D1913" s="25">
        <v>0.0</v>
      </c>
      <c r="E1913" s="27"/>
      <c r="F1913" s="25">
        <v>0.0</v>
      </c>
      <c r="G1913" s="27"/>
    </row>
    <row r="1914" hidden="1">
      <c r="A1914" s="21"/>
      <c r="B1914" s="21" t="s">
        <v>2774</v>
      </c>
      <c r="D1914" s="25">
        <v>0.0</v>
      </c>
      <c r="E1914" s="27"/>
      <c r="F1914" s="25">
        <v>0.0</v>
      </c>
      <c r="G1914" s="27"/>
    </row>
    <row r="1915" hidden="1">
      <c r="A1915" s="21"/>
      <c r="B1915" s="21" t="s">
        <v>2775</v>
      </c>
      <c r="D1915" s="25">
        <v>0.0</v>
      </c>
      <c r="E1915" s="27"/>
      <c r="F1915" s="25">
        <v>0.0</v>
      </c>
      <c r="G1915" s="27"/>
    </row>
    <row r="1916" hidden="1">
      <c r="A1916" s="21"/>
      <c r="B1916" s="21" t="s">
        <v>2776</v>
      </c>
      <c r="D1916" s="25">
        <v>0.0</v>
      </c>
      <c r="E1916" s="27"/>
      <c r="F1916" s="25">
        <v>0.0</v>
      </c>
      <c r="G1916" s="27"/>
    </row>
    <row r="1917" hidden="1">
      <c r="A1917" s="21"/>
      <c r="B1917" s="21" t="s">
        <v>2777</v>
      </c>
      <c r="D1917" s="25">
        <v>0.0</v>
      </c>
      <c r="E1917" s="27"/>
      <c r="F1917" s="25">
        <v>0.0</v>
      </c>
      <c r="G1917" s="27"/>
    </row>
    <row r="1918" hidden="1">
      <c r="A1918" s="21"/>
      <c r="B1918" s="21" t="s">
        <v>2778</v>
      </c>
      <c r="D1918" s="25">
        <v>0.0</v>
      </c>
      <c r="E1918" s="27"/>
      <c r="F1918" s="25">
        <v>0.0</v>
      </c>
      <c r="G1918" s="27"/>
    </row>
    <row r="1919" hidden="1">
      <c r="A1919" s="21"/>
      <c r="B1919" s="21" t="s">
        <v>2779</v>
      </c>
      <c r="D1919" s="25">
        <v>0.0</v>
      </c>
      <c r="E1919" s="27"/>
      <c r="F1919" s="25">
        <v>0.0</v>
      </c>
      <c r="G1919" s="27"/>
    </row>
    <row r="1920" hidden="1">
      <c r="A1920" s="21"/>
      <c r="B1920" s="21" t="s">
        <v>2780</v>
      </c>
      <c r="D1920" s="25">
        <v>0.0</v>
      </c>
      <c r="E1920" s="27"/>
      <c r="F1920" s="25">
        <v>0.0</v>
      </c>
      <c r="G1920" s="27"/>
    </row>
    <row r="1921" hidden="1">
      <c r="A1921" s="21"/>
      <c r="B1921" s="21" t="s">
        <v>2781</v>
      </c>
      <c r="D1921" s="25">
        <v>0.0</v>
      </c>
      <c r="E1921" s="27"/>
      <c r="F1921" s="25">
        <v>0.0</v>
      </c>
      <c r="G1921" s="27"/>
    </row>
    <row r="1922" hidden="1">
      <c r="A1922" s="21"/>
      <c r="B1922" s="21" t="s">
        <v>2782</v>
      </c>
      <c r="D1922" s="25">
        <v>0.0</v>
      </c>
      <c r="E1922" s="27"/>
      <c r="F1922" s="25">
        <v>0.0</v>
      </c>
      <c r="G1922" s="27"/>
    </row>
    <row r="1923" hidden="1">
      <c r="A1923" s="21"/>
      <c r="B1923" s="21" t="s">
        <v>2783</v>
      </c>
      <c r="D1923" s="25">
        <v>0.0</v>
      </c>
      <c r="E1923" s="27"/>
      <c r="F1923" s="25">
        <v>0.0</v>
      </c>
      <c r="G1923" s="27"/>
    </row>
    <row r="1924" hidden="1">
      <c r="A1924" s="21"/>
      <c r="B1924" s="21" t="s">
        <v>2784</v>
      </c>
      <c r="D1924" s="25">
        <v>0.0</v>
      </c>
      <c r="E1924" s="27"/>
      <c r="F1924" s="25">
        <v>0.0</v>
      </c>
      <c r="G1924" s="27"/>
    </row>
    <row r="1925" hidden="1">
      <c r="A1925" s="21"/>
      <c r="B1925" s="21" t="s">
        <v>2785</v>
      </c>
      <c r="D1925" s="25">
        <v>0.0</v>
      </c>
      <c r="E1925" s="27"/>
      <c r="F1925" s="25">
        <v>0.0</v>
      </c>
      <c r="G1925" s="27"/>
    </row>
    <row r="1926" hidden="1">
      <c r="A1926" s="21"/>
      <c r="B1926" s="21" t="s">
        <v>2786</v>
      </c>
      <c r="D1926" s="25">
        <v>0.0</v>
      </c>
      <c r="E1926" s="27"/>
      <c r="F1926" s="25">
        <v>0.0</v>
      </c>
      <c r="G1926" s="27"/>
    </row>
    <row r="1927" hidden="1">
      <c r="A1927" s="21"/>
      <c r="B1927" s="21" t="s">
        <v>2787</v>
      </c>
      <c r="D1927" s="25">
        <v>0.0</v>
      </c>
      <c r="E1927" s="27"/>
      <c r="F1927" s="25">
        <v>0.0</v>
      </c>
      <c r="G1927" s="27"/>
    </row>
    <row r="1928" hidden="1">
      <c r="A1928" s="21"/>
      <c r="B1928" s="21" t="s">
        <v>2788</v>
      </c>
      <c r="D1928" s="25">
        <v>0.0</v>
      </c>
      <c r="E1928" s="27"/>
      <c r="F1928" s="25">
        <v>0.0</v>
      </c>
      <c r="G1928" s="27"/>
    </row>
    <row r="1929" hidden="1">
      <c r="A1929" s="21"/>
      <c r="B1929" s="21" t="s">
        <v>2789</v>
      </c>
      <c r="D1929" s="25">
        <v>0.0</v>
      </c>
      <c r="E1929" s="27"/>
      <c r="F1929" s="25">
        <v>0.0</v>
      </c>
      <c r="G1929" s="27"/>
    </row>
    <row r="1930" hidden="1">
      <c r="A1930" s="21"/>
      <c r="B1930" s="21" t="s">
        <v>2790</v>
      </c>
      <c r="D1930" s="25">
        <v>0.0</v>
      </c>
      <c r="E1930" s="27"/>
      <c r="F1930" s="25">
        <v>0.0</v>
      </c>
      <c r="G1930" s="27"/>
    </row>
    <row r="1931" hidden="1">
      <c r="A1931" s="21"/>
      <c r="B1931" s="21" t="s">
        <v>2791</v>
      </c>
      <c r="D1931" s="25">
        <v>0.0</v>
      </c>
      <c r="E1931" s="27"/>
      <c r="F1931" s="25">
        <v>0.0</v>
      </c>
      <c r="G1931" s="27"/>
    </row>
    <row r="1932" hidden="1">
      <c r="A1932" s="21"/>
      <c r="B1932" s="21" t="s">
        <v>2792</v>
      </c>
      <c r="D1932" s="25">
        <v>0.0</v>
      </c>
      <c r="E1932" s="27"/>
      <c r="F1932" s="25">
        <v>0.0</v>
      </c>
      <c r="G1932" s="27"/>
    </row>
    <row r="1933" hidden="1">
      <c r="A1933" s="21"/>
      <c r="B1933" s="21" t="s">
        <v>2793</v>
      </c>
      <c r="D1933" s="25">
        <v>0.0</v>
      </c>
      <c r="E1933" s="27"/>
      <c r="F1933" s="25">
        <v>0.0</v>
      </c>
      <c r="G1933" s="27"/>
    </row>
    <row r="1934" hidden="1">
      <c r="A1934" s="21"/>
      <c r="B1934" s="21" t="s">
        <v>2794</v>
      </c>
      <c r="D1934" s="25">
        <v>0.0</v>
      </c>
      <c r="E1934" s="27"/>
      <c r="F1934" s="25">
        <v>0.0</v>
      </c>
      <c r="G1934" s="27"/>
    </row>
    <row r="1935" hidden="1">
      <c r="A1935" s="21"/>
      <c r="B1935" s="21" t="s">
        <v>2795</v>
      </c>
      <c r="D1935" s="25">
        <v>0.0</v>
      </c>
      <c r="E1935" s="27"/>
      <c r="F1935" s="25">
        <v>0.0</v>
      </c>
      <c r="G1935" s="27"/>
    </row>
    <row r="1936" hidden="1">
      <c r="A1936" s="21"/>
      <c r="B1936" s="21" t="s">
        <v>2796</v>
      </c>
      <c r="D1936" s="25">
        <v>0.0</v>
      </c>
      <c r="E1936" s="27"/>
      <c r="F1936" s="25">
        <v>0.0</v>
      </c>
      <c r="G1936" s="27"/>
    </row>
    <row r="1937" hidden="1">
      <c r="A1937" s="21"/>
      <c r="B1937" s="21" t="s">
        <v>2797</v>
      </c>
      <c r="D1937" s="25">
        <v>0.0</v>
      </c>
      <c r="E1937" s="27"/>
      <c r="F1937" s="25">
        <v>0.0</v>
      </c>
      <c r="G1937" s="27"/>
    </row>
    <row r="1938" hidden="1">
      <c r="A1938" s="21"/>
      <c r="B1938" s="21" t="s">
        <v>2798</v>
      </c>
      <c r="D1938" s="25">
        <v>0.0</v>
      </c>
      <c r="E1938" s="27"/>
      <c r="F1938" s="25">
        <v>0.0</v>
      </c>
      <c r="G1938" s="27"/>
    </row>
    <row r="1939" hidden="1">
      <c r="A1939" s="21"/>
      <c r="B1939" s="21" t="s">
        <v>2799</v>
      </c>
      <c r="D1939" s="25">
        <v>0.0</v>
      </c>
      <c r="E1939" s="27"/>
      <c r="F1939" s="25">
        <v>0.0</v>
      </c>
      <c r="G1939" s="27"/>
    </row>
    <row r="1940" hidden="1">
      <c r="A1940" s="21"/>
      <c r="B1940" s="21" t="s">
        <v>2800</v>
      </c>
      <c r="D1940" s="25">
        <v>0.0</v>
      </c>
      <c r="E1940" s="27"/>
      <c r="F1940" s="25">
        <v>0.0</v>
      </c>
      <c r="G1940" s="27"/>
    </row>
    <row r="1941" hidden="1">
      <c r="A1941" s="21"/>
      <c r="B1941" s="21" t="s">
        <v>2801</v>
      </c>
      <c r="D1941" s="25">
        <v>0.0</v>
      </c>
      <c r="E1941" s="27"/>
      <c r="F1941" s="25">
        <v>0.0</v>
      </c>
      <c r="G1941" s="27"/>
    </row>
    <row r="1942" hidden="1">
      <c r="A1942" s="21"/>
      <c r="B1942" s="21" t="s">
        <v>2802</v>
      </c>
      <c r="D1942" s="25">
        <v>0.0</v>
      </c>
      <c r="E1942" s="27"/>
      <c r="F1942" s="25">
        <v>0.0</v>
      </c>
      <c r="G1942" s="27"/>
    </row>
    <row r="1943" hidden="1">
      <c r="A1943" s="21"/>
      <c r="B1943" s="21" t="s">
        <v>2803</v>
      </c>
      <c r="D1943" s="25">
        <v>0.0</v>
      </c>
      <c r="E1943" s="27"/>
      <c r="F1943" s="25">
        <v>0.0</v>
      </c>
      <c r="G1943" s="27"/>
    </row>
    <row r="1944" hidden="1">
      <c r="A1944" s="21"/>
      <c r="B1944" s="21" t="s">
        <v>2804</v>
      </c>
      <c r="D1944" s="25">
        <v>0.0</v>
      </c>
      <c r="E1944" s="27"/>
      <c r="F1944" s="25">
        <v>0.0</v>
      </c>
      <c r="G1944" s="27"/>
    </row>
    <row r="1945" hidden="1">
      <c r="A1945" s="21"/>
      <c r="B1945" s="21" t="s">
        <v>2805</v>
      </c>
      <c r="D1945" s="25">
        <v>0.0</v>
      </c>
      <c r="E1945" s="27"/>
      <c r="F1945" s="25">
        <v>0.0</v>
      </c>
      <c r="G1945" s="27"/>
    </row>
    <row r="1946" hidden="1">
      <c r="A1946" s="21"/>
      <c r="B1946" s="21" t="s">
        <v>2806</v>
      </c>
      <c r="D1946" s="25">
        <v>0.0</v>
      </c>
      <c r="E1946" s="27"/>
      <c r="F1946" s="25">
        <v>0.0</v>
      </c>
      <c r="G1946" s="27"/>
    </row>
    <row r="1947" hidden="1">
      <c r="A1947" s="21"/>
      <c r="B1947" s="21" t="s">
        <v>2807</v>
      </c>
      <c r="D1947" s="25">
        <v>0.0</v>
      </c>
      <c r="E1947" s="27"/>
      <c r="F1947" s="25">
        <v>0.0</v>
      </c>
      <c r="G1947" s="27"/>
    </row>
    <row r="1948" hidden="1">
      <c r="A1948" s="21"/>
      <c r="B1948" s="21" t="s">
        <v>2808</v>
      </c>
      <c r="D1948" s="25">
        <v>0.0</v>
      </c>
      <c r="E1948" s="27"/>
      <c r="F1948" s="25">
        <v>0.0</v>
      </c>
      <c r="G1948" s="27"/>
    </row>
    <row r="1949" hidden="1">
      <c r="A1949" s="21"/>
      <c r="B1949" s="21" t="s">
        <v>2809</v>
      </c>
      <c r="D1949" s="25">
        <v>0.0</v>
      </c>
      <c r="E1949" s="27"/>
      <c r="F1949" s="25">
        <v>0.0</v>
      </c>
      <c r="G1949" s="27"/>
    </row>
    <row r="1950" hidden="1">
      <c r="A1950" s="21"/>
      <c r="B1950" s="21" t="s">
        <v>2810</v>
      </c>
      <c r="D1950" s="25">
        <v>0.0</v>
      </c>
      <c r="E1950" s="27"/>
      <c r="F1950" s="25">
        <v>0.0</v>
      </c>
      <c r="G1950" s="27"/>
    </row>
    <row r="1951" hidden="1">
      <c r="A1951" s="21"/>
      <c r="B1951" s="21" t="s">
        <v>2811</v>
      </c>
      <c r="D1951" s="25">
        <v>0.0</v>
      </c>
      <c r="E1951" s="27"/>
      <c r="F1951" s="25">
        <v>0.0</v>
      </c>
      <c r="G1951" s="27"/>
    </row>
    <row r="1952" hidden="1">
      <c r="A1952" s="21"/>
      <c r="B1952" s="21" t="s">
        <v>2812</v>
      </c>
      <c r="D1952" s="25">
        <v>0.0</v>
      </c>
      <c r="E1952" s="27"/>
      <c r="F1952" s="25">
        <v>0.0</v>
      </c>
      <c r="G1952" s="27"/>
    </row>
    <row r="1953" hidden="1">
      <c r="A1953" s="21"/>
      <c r="B1953" s="21" t="s">
        <v>2813</v>
      </c>
      <c r="D1953" s="25">
        <v>0.0</v>
      </c>
      <c r="E1953" s="27"/>
      <c r="F1953" s="25">
        <v>0.0</v>
      </c>
      <c r="G1953" s="27"/>
    </row>
    <row r="1954" hidden="1">
      <c r="A1954" s="21"/>
      <c r="B1954" s="21" t="s">
        <v>2814</v>
      </c>
      <c r="D1954" s="25">
        <v>0.0</v>
      </c>
      <c r="E1954" s="27"/>
      <c r="F1954" s="25">
        <v>0.0</v>
      </c>
      <c r="G1954" s="27"/>
    </row>
    <row r="1955" hidden="1">
      <c r="A1955" s="21"/>
      <c r="B1955" s="21" t="s">
        <v>2815</v>
      </c>
      <c r="D1955" s="25">
        <v>0.0</v>
      </c>
      <c r="E1955" s="27"/>
      <c r="F1955" s="25">
        <v>0.0</v>
      </c>
      <c r="G1955" s="27"/>
    </row>
    <row r="1956" hidden="1">
      <c r="A1956" s="21"/>
      <c r="B1956" s="21" t="s">
        <v>2816</v>
      </c>
      <c r="D1956" s="25">
        <v>0.0</v>
      </c>
      <c r="E1956" s="27"/>
      <c r="F1956" s="25">
        <v>0.0</v>
      </c>
      <c r="G1956" s="27"/>
    </row>
    <row r="1957" hidden="1">
      <c r="A1957" s="21"/>
      <c r="B1957" s="21" t="s">
        <v>2817</v>
      </c>
      <c r="D1957" s="25">
        <v>0.0</v>
      </c>
      <c r="E1957" s="27"/>
      <c r="F1957" s="25">
        <v>0.0</v>
      </c>
      <c r="G1957" s="27"/>
    </row>
    <row r="1958" hidden="1">
      <c r="A1958" s="21"/>
      <c r="B1958" s="21" t="s">
        <v>2818</v>
      </c>
      <c r="D1958" s="25">
        <v>0.0</v>
      </c>
      <c r="E1958" s="27"/>
      <c r="F1958" s="25">
        <v>0.0</v>
      </c>
      <c r="G1958" s="27"/>
    </row>
    <row r="1959" hidden="1">
      <c r="A1959" s="21"/>
      <c r="B1959" s="21" t="s">
        <v>2819</v>
      </c>
      <c r="D1959" s="25">
        <v>0.0</v>
      </c>
      <c r="E1959" s="27"/>
      <c r="F1959" s="25">
        <v>0.0</v>
      </c>
      <c r="G1959" s="27"/>
    </row>
    <row r="1960" hidden="1">
      <c r="A1960" s="21"/>
      <c r="B1960" s="21" t="s">
        <v>2820</v>
      </c>
      <c r="D1960" s="25">
        <v>0.0</v>
      </c>
      <c r="E1960" s="27"/>
      <c r="F1960" s="25">
        <v>0.0</v>
      </c>
      <c r="G1960" s="27"/>
    </row>
    <row r="1961" hidden="1">
      <c r="A1961" s="21"/>
      <c r="B1961" s="21" t="s">
        <v>2821</v>
      </c>
      <c r="D1961" s="25">
        <v>0.0</v>
      </c>
      <c r="E1961" s="27"/>
      <c r="F1961" s="25">
        <v>0.0</v>
      </c>
      <c r="G1961" s="27"/>
    </row>
    <row r="1962" hidden="1">
      <c r="A1962" s="21"/>
      <c r="B1962" s="21" t="s">
        <v>2822</v>
      </c>
      <c r="D1962" s="25">
        <v>0.0</v>
      </c>
      <c r="E1962" s="27"/>
      <c r="F1962" s="25">
        <v>0.0</v>
      </c>
      <c r="G1962" s="27"/>
    </row>
    <row r="1963" hidden="1">
      <c r="A1963" s="21"/>
      <c r="B1963" s="21" t="s">
        <v>2823</v>
      </c>
      <c r="D1963" s="25">
        <v>0.0</v>
      </c>
      <c r="E1963" s="27"/>
      <c r="F1963" s="25">
        <v>0.0</v>
      </c>
      <c r="G1963" s="27"/>
    </row>
    <row r="1964" hidden="1">
      <c r="A1964" s="21"/>
      <c r="B1964" s="21" t="s">
        <v>2824</v>
      </c>
      <c r="D1964" s="25">
        <v>0.0</v>
      </c>
      <c r="E1964" s="27"/>
      <c r="F1964" s="25">
        <v>0.0</v>
      </c>
      <c r="G1964" s="27"/>
    </row>
    <row r="1965" hidden="1">
      <c r="A1965" s="21"/>
      <c r="B1965" s="21" t="s">
        <v>2825</v>
      </c>
      <c r="D1965" s="25">
        <v>0.0</v>
      </c>
      <c r="E1965" s="27"/>
      <c r="F1965" s="25">
        <v>0.0</v>
      </c>
      <c r="G1965" s="27"/>
    </row>
    <row r="1966" hidden="1">
      <c r="A1966" s="21"/>
      <c r="B1966" s="21" t="s">
        <v>2826</v>
      </c>
      <c r="D1966" s="25">
        <v>0.0</v>
      </c>
      <c r="E1966" s="27"/>
      <c r="F1966" s="25">
        <v>0.0</v>
      </c>
      <c r="G1966" s="27"/>
    </row>
    <row r="1967" hidden="1">
      <c r="A1967" s="21"/>
      <c r="B1967" s="21" t="s">
        <v>2827</v>
      </c>
      <c r="D1967" s="25">
        <v>0.0</v>
      </c>
      <c r="E1967" s="27"/>
      <c r="F1967" s="25">
        <v>0.0</v>
      </c>
      <c r="G1967" s="27"/>
    </row>
    <row r="1968" hidden="1">
      <c r="A1968" s="21"/>
      <c r="B1968" s="21" t="s">
        <v>2828</v>
      </c>
      <c r="D1968" s="25">
        <v>0.0</v>
      </c>
      <c r="E1968" s="27"/>
      <c r="F1968" s="25">
        <v>0.0</v>
      </c>
      <c r="G1968" s="27"/>
    </row>
    <row r="1969" hidden="1">
      <c r="A1969" s="21"/>
      <c r="B1969" s="21" t="s">
        <v>2829</v>
      </c>
      <c r="D1969" s="25">
        <v>0.0</v>
      </c>
      <c r="E1969" s="27"/>
      <c r="F1969" s="25">
        <v>0.0</v>
      </c>
      <c r="G1969" s="27"/>
    </row>
    <row r="1970" hidden="1">
      <c r="A1970" s="21"/>
      <c r="B1970" s="21" t="s">
        <v>2830</v>
      </c>
      <c r="D1970" s="25">
        <v>0.0</v>
      </c>
      <c r="E1970" s="27"/>
      <c r="F1970" s="25">
        <v>0.0</v>
      </c>
      <c r="G1970" s="27"/>
    </row>
    <row r="1971" hidden="1">
      <c r="A1971" s="21"/>
      <c r="B1971" s="21" t="s">
        <v>2831</v>
      </c>
      <c r="D1971" s="25">
        <v>0.0</v>
      </c>
      <c r="E1971" s="27"/>
      <c r="F1971" s="25">
        <v>0.0</v>
      </c>
      <c r="G1971" s="27"/>
    </row>
    <row r="1972" hidden="1">
      <c r="A1972" s="21"/>
      <c r="B1972" s="21" t="s">
        <v>2832</v>
      </c>
      <c r="D1972" s="25">
        <v>0.0</v>
      </c>
      <c r="E1972" s="27"/>
      <c r="F1972" s="25">
        <v>0.0</v>
      </c>
      <c r="G1972" s="27"/>
    </row>
    <row r="1973" hidden="1">
      <c r="A1973" s="21"/>
      <c r="B1973" s="21" t="s">
        <v>2833</v>
      </c>
      <c r="D1973" s="25">
        <v>0.0</v>
      </c>
      <c r="E1973" s="27"/>
      <c r="F1973" s="25">
        <v>0.0</v>
      </c>
      <c r="G1973" s="27"/>
    </row>
    <row r="1974" hidden="1">
      <c r="A1974" s="21"/>
      <c r="B1974" s="21" t="s">
        <v>2834</v>
      </c>
      <c r="D1974" s="25">
        <v>0.0</v>
      </c>
      <c r="E1974" s="27"/>
      <c r="F1974" s="25">
        <v>0.0</v>
      </c>
      <c r="G1974" s="27"/>
    </row>
    <row r="1975" hidden="1">
      <c r="A1975" s="21"/>
      <c r="B1975" s="21" t="s">
        <v>2835</v>
      </c>
      <c r="D1975" s="25">
        <v>0.0</v>
      </c>
      <c r="E1975" s="27"/>
      <c r="F1975" s="25">
        <v>0.0</v>
      </c>
      <c r="G1975" s="27"/>
    </row>
    <row r="1976" hidden="1">
      <c r="A1976" s="21"/>
      <c r="B1976" s="21" t="s">
        <v>2836</v>
      </c>
      <c r="D1976" s="25">
        <v>0.0</v>
      </c>
      <c r="E1976" s="27"/>
      <c r="F1976" s="25">
        <v>0.0</v>
      </c>
      <c r="G1976" s="27"/>
    </row>
    <row r="1977" hidden="1">
      <c r="A1977" s="21"/>
      <c r="B1977" s="21" t="s">
        <v>2837</v>
      </c>
      <c r="D1977" s="25">
        <v>0.0</v>
      </c>
      <c r="E1977" s="27"/>
      <c r="F1977" s="25">
        <v>0.0</v>
      </c>
      <c r="G1977" s="27"/>
    </row>
    <row r="1978" hidden="1">
      <c r="A1978" s="21"/>
      <c r="B1978" s="21" t="s">
        <v>2838</v>
      </c>
      <c r="D1978" s="25">
        <v>0.0</v>
      </c>
      <c r="E1978" s="27"/>
      <c r="F1978" s="25">
        <v>0.0</v>
      </c>
      <c r="G1978" s="27"/>
    </row>
    <row r="1979" hidden="1">
      <c r="A1979" s="21"/>
      <c r="B1979" s="21" t="s">
        <v>2839</v>
      </c>
      <c r="D1979" s="25">
        <v>0.0</v>
      </c>
      <c r="E1979" s="27"/>
      <c r="F1979" s="25">
        <v>0.0</v>
      </c>
      <c r="G1979" s="27"/>
    </row>
    <row r="1980" hidden="1">
      <c r="A1980" s="21"/>
      <c r="B1980" s="21" t="s">
        <v>2840</v>
      </c>
      <c r="D1980" s="25">
        <v>0.0</v>
      </c>
      <c r="E1980" s="27"/>
      <c r="F1980" s="25">
        <v>0.0</v>
      </c>
      <c r="G1980" s="27"/>
    </row>
    <row r="1981" hidden="1">
      <c r="A1981" s="21"/>
      <c r="B1981" s="21" t="s">
        <v>2841</v>
      </c>
      <c r="D1981" s="25">
        <v>0.0</v>
      </c>
      <c r="E1981" s="27"/>
      <c r="F1981" s="25">
        <v>0.0</v>
      </c>
      <c r="G1981" s="27"/>
    </row>
    <row r="1982" hidden="1">
      <c r="A1982" s="21"/>
      <c r="B1982" s="21" t="s">
        <v>2842</v>
      </c>
      <c r="D1982" s="25">
        <v>0.0</v>
      </c>
      <c r="E1982" s="27"/>
      <c r="F1982" s="25">
        <v>0.0</v>
      </c>
      <c r="G1982" s="27"/>
    </row>
    <row r="1983" hidden="1">
      <c r="A1983" s="21"/>
      <c r="B1983" s="21" t="s">
        <v>2843</v>
      </c>
      <c r="D1983" s="25">
        <v>0.0</v>
      </c>
      <c r="E1983" s="27"/>
      <c r="F1983" s="25">
        <v>0.0</v>
      </c>
      <c r="G1983" s="27"/>
    </row>
    <row r="1984" hidden="1">
      <c r="A1984" s="21"/>
      <c r="B1984" s="21" t="s">
        <v>2844</v>
      </c>
      <c r="D1984" s="25">
        <v>0.0</v>
      </c>
      <c r="E1984" s="27"/>
      <c r="F1984" s="25">
        <v>0.0</v>
      </c>
      <c r="G1984" s="27"/>
    </row>
    <row r="1985" hidden="1">
      <c r="A1985" s="21"/>
      <c r="B1985" s="21" t="s">
        <v>2845</v>
      </c>
      <c r="D1985" s="25">
        <v>0.0</v>
      </c>
      <c r="E1985" s="27"/>
      <c r="F1985" s="25">
        <v>0.0</v>
      </c>
      <c r="G1985" s="27"/>
    </row>
    <row r="1986" hidden="1">
      <c r="A1986" s="21"/>
      <c r="B1986" s="21" t="s">
        <v>2846</v>
      </c>
      <c r="D1986" s="25">
        <v>0.0</v>
      </c>
      <c r="E1986" s="27"/>
      <c r="F1986" s="25">
        <v>0.0</v>
      </c>
      <c r="G1986" s="27"/>
    </row>
    <row r="1987" hidden="1">
      <c r="A1987" s="21"/>
      <c r="B1987" s="21" t="s">
        <v>2847</v>
      </c>
      <c r="D1987" s="25">
        <v>0.0</v>
      </c>
      <c r="E1987" s="27"/>
      <c r="F1987" s="25">
        <v>0.0</v>
      </c>
      <c r="G1987" s="27"/>
    </row>
    <row r="1988" hidden="1">
      <c r="A1988" s="21"/>
      <c r="B1988" s="21" t="s">
        <v>2848</v>
      </c>
      <c r="D1988" s="25">
        <v>0.0</v>
      </c>
      <c r="E1988" s="27"/>
      <c r="F1988" s="25">
        <v>0.0</v>
      </c>
      <c r="G1988" s="27"/>
    </row>
    <row r="1989" hidden="1">
      <c r="A1989" s="21"/>
      <c r="B1989" s="21" t="s">
        <v>2849</v>
      </c>
      <c r="D1989" s="25">
        <v>0.0</v>
      </c>
      <c r="E1989" s="27"/>
      <c r="F1989" s="25">
        <v>0.0</v>
      </c>
      <c r="G1989" s="27"/>
    </row>
    <row r="1990" hidden="1">
      <c r="A1990" s="21"/>
      <c r="B1990" s="21" t="s">
        <v>2850</v>
      </c>
      <c r="D1990" s="25">
        <v>0.0</v>
      </c>
      <c r="E1990" s="27"/>
      <c r="F1990" s="25">
        <v>0.0</v>
      </c>
      <c r="G1990" s="27"/>
    </row>
    <row r="1991" hidden="1">
      <c r="A1991" s="21"/>
      <c r="B1991" s="21" t="s">
        <v>2851</v>
      </c>
      <c r="D1991" s="25">
        <v>0.0</v>
      </c>
      <c r="E1991" s="27"/>
      <c r="F1991" s="25">
        <v>0.0</v>
      </c>
      <c r="G1991" s="27"/>
    </row>
    <row r="1992" hidden="1">
      <c r="A1992" s="21"/>
      <c r="B1992" s="21" t="s">
        <v>2852</v>
      </c>
      <c r="D1992" s="25">
        <v>0.0</v>
      </c>
      <c r="E1992" s="27"/>
      <c r="F1992" s="25">
        <v>0.0</v>
      </c>
      <c r="G1992" s="27"/>
    </row>
    <row r="1993" hidden="1">
      <c r="A1993" s="21"/>
      <c r="B1993" s="21" t="s">
        <v>2853</v>
      </c>
      <c r="D1993" s="25">
        <v>0.0</v>
      </c>
      <c r="E1993" s="27"/>
      <c r="F1993" s="25">
        <v>0.0</v>
      </c>
      <c r="G1993" s="27"/>
    </row>
    <row r="1994" hidden="1">
      <c r="A1994" s="21"/>
      <c r="B1994" s="21" t="s">
        <v>2854</v>
      </c>
      <c r="D1994" s="25">
        <v>0.0</v>
      </c>
      <c r="E1994" s="27"/>
      <c r="F1994" s="25">
        <v>0.0</v>
      </c>
      <c r="G1994" s="27"/>
    </row>
    <row r="1995" hidden="1">
      <c r="A1995" s="21"/>
      <c r="B1995" s="21" t="s">
        <v>2855</v>
      </c>
      <c r="D1995" s="25">
        <v>0.0</v>
      </c>
      <c r="E1995" s="27"/>
      <c r="F1995" s="25">
        <v>0.0</v>
      </c>
      <c r="G1995" s="27"/>
    </row>
    <row r="1996" hidden="1">
      <c r="A1996" s="21"/>
      <c r="B1996" s="21" t="s">
        <v>2856</v>
      </c>
      <c r="D1996" s="25">
        <v>0.0</v>
      </c>
      <c r="E1996" s="27"/>
      <c r="F1996" s="25">
        <v>0.0</v>
      </c>
      <c r="G1996" s="27"/>
    </row>
    <row r="1997" hidden="1">
      <c r="A1997" s="21"/>
      <c r="B1997" s="21" t="s">
        <v>2857</v>
      </c>
      <c r="D1997" s="25">
        <v>0.0</v>
      </c>
      <c r="E1997" s="27"/>
      <c r="F1997" s="25">
        <v>0.0</v>
      </c>
      <c r="G1997" s="27"/>
    </row>
    <row r="1998" hidden="1">
      <c r="A1998" s="21"/>
      <c r="B1998" s="21" t="s">
        <v>2858</v>
      </c>
      <c r="D1998" s="25">
        <v>0.0</v>
      </c>
      <c r="E1998" s="27"/>
      <c r="F1998" s="25">
        <v>0.0</v>
      </c>
      <c r="G1998" s="27"/>
    </row>
    <row r="1999" hidden="1">
      <c r="A1999" s="21"/>
      <c r="B1999" s="21" t="s">
        <v>2859</v>
      </c>
      <c r="D1999" s="25">
        <v>0.0</v>
      </c>
      <c r="E1999" s="27"/>
      <c r="F1999" s="25">
        <v>0.0</v>
      </c>
      <c r="G1999" s="27"/>
    </row>
    <row r="2000" hidden="1">
      <c r="A2000" s="21"/>
      <c r="B2000" s="21" t="s">
        <v>2860</v>
      </c>
      <c r="D2000" s="25">
        <v>0.0</v>
      </c>
      <c r="E2000" s="27"/>
      <c r="F2000" s="25">
        <v>0.0</v>
      </c>
      <c r="G2000" s="27"/>
    </row>
    <row r="2001" hidden="1">
      <c r="A2001" s="21"/>
      <c r="B2001" s="21" t="s">
        <v>2861</v>
      </c>
      <c r="D2001" s="25">
        <v>0.0</v>
      </c>
      <c r="E2001" s="27"/>
      <c r="F2001" s="25">
        <v>0.0</v>
      </c>
      <c r="G2001" s="27"/>
    </row>
    <row r="2002" hidden="1">
      <c r="A2002" s="21"/>
      <c r="B2002" s="21" t="s">
        <v>2862</v>
      </c>
      <c r="D2002" s="25">
        <v>0.0</v>
      </c>
      <c r="E2002" s="27"/>
      <c r="F2002" s="25">
        <v>0.0</v>
      </c>
      <c r="G2002" s="27"/>
    </row>
    <row r="2003" hidden="1">
      <c r="A2003" s="21"/>
      <c r="B2003" s="21" t="s">
        <v>2863</v>
      </c>
      <c r="D2003" s="25">
        <v>0.0</v>
      </c>
      <c r="E2003" s="27"/>
      <c r="F2003" s="25">
        <v>0.0</v>
      </c>
      <c r="G2003" s="27"/>
    </row>
    <row r="2004" hidden="1">
      <c r="A2004" s="21"/>
      <c r="B2004" s="21" t="s">
        <v>610</v>
      </c>
      <c r="D2004" s="25">
        <v>0.0</v>
      </c>
      <c r="E2004" s="27"/>
      <c r="F2004" s="25">
        <v>0.0</v>
      </c>
      <c r="G2004" s="27"/>
    </row>
    <row r="2005" hidden="1">
      <c r="A2005" s="21"/>
      <c r="B2005" s="21" t="s">
        <v>611</v>
      </c>
      <c r="D2005" s="25">
        <v>0.0</v>
      </c>
      <c r="E2005" s="27"/>
      <c r="F2005" s="25">
        <v>0.0</v>
      </c>
      <c r="G2005" s="27"/>
    </row>
    <row r="2006" hidden="1">
      <c r="A2006" s="21"/>
      <c r="B2006" s="21" t="s">
        <v>612</v>
      </c>
      <c r="D2006" s="25">
        <v>0.0</v>
      </c>
      <c r="E2006" s="27"/>
      <c r="F2006" s="25">
        <v>0.0</v>
      </c>
      <c r="G2006" s="27"/>
    </row>
    <row r="2007" hidden="1">
      <c r="A2007" s="21"/>
      <c r="B2007" s="21" t="s">
        <v>2864</v>
      </c>
      <c r="D2007" s="25">
        <v>0.0</v>
      </c>
      <c r="E2007" s="27"/>
      <c r="F2007" s="25">
        <v>0.0</v>
      </c>
      <c r="G2007" s="27"/>
    </row>
    <row r="2008" hidden="1">
      <c r="A2008" s="21"/>
      <c r="B2008" s="21" t="s">
        <v>2865</v>
      </c>
      <c r="D2008" s="25">
        <v>0.0</v>
      </c>
      <c r="E2008" s="27"/>
      <c r="F2008" s="25">
        <v>0.0</v>
      </c>
      <c r="G2008" s="27"/>
    </row>
    <row r="2009" hidden="1">
      <c r="A2009" s="21"/>
      <c r="B2009" s="21" t="s">
        <v>2866</v>
      </c>
      <c r="D2009" s="25">
        <v>0.0</v>
      </c>
      <c r="E2009" s="27"/>
      <c r="F2009" s="25">
        <v>0.0</v>
      </c>
      <c r="G2009" s="27"/>
    </row>
    <row r="2010" hidden="1">
      <c r="A2010" s="21"/>
      <c r="B2010" s="21" t="s">
        <v>2867</v>
      </c>
      <c r="D2010" s="25">
        <v>0.0</v>
      </c>
      <c r="E2010" s="27"/>
      <c r="F2010" s="25">
        <v>0.0</v>
      </c>
      <c r="G2010" s="27"/>
    </row>
    <row r="2011" hidden="1">
      <c r="A2011" s="21"/>
      <c r="B2011" s="21" t="s">
        <v>2868</v>
      </c>
      <c r="D2011" s="25">
        <v>0.0</v>
      </c>
      <c r="E2011" s="27"/>
      <c r="F2011" s="25">
        <v>0.0</v>
      </c>
      <c r="G2011" s="27"/>
    </row>
    <row r="2012" hidden="1">
      <c r="A2012" s="21"/>
      <c r="B2012" s="21" t="s">
        <v>2869</v>
      </c>
      <c r="D2012" s="25">
        <v>0.0</v>
      </c>
      <c r="E2012" s="27"/>
      <c r="F2012" s="25">
        <v>0.0</v>
      </c>
      <c r="G2012" s="27"/>
    </row>
    <row r="2013" hidden="1">
      <c r="A2013" s="21"/>
      <c r="B2013" s="21" t="s">
        <v>2870</v>
      </c>
      <c r="D2013" s="25">
        <v>0.0</v>
      </c>
      <c r="E2013" s="27"/>
      <c r="F2013" s="25">
        <v>1.9</v>
      </c>
      <c r="G2013" s="27"/>
    </row>
    <row r="2014" hidden="1">
      <c r="A2014" s="21"/>
      <c r="B2014" s="21" t="s">
        <v>2871</v>
      </c>
      <c r="D2014" s="25">
        <v>0.0</v>
      </c>
      <c r="E2014" s="27"/>
      <c r="F2014" s="25">
        <v>0.0</v>
      </c>
      <c r="G2014" s="27"/>
    </row>
    <row r="2015" hidden="1">
      <c r="A2015" s="21"/>
      <c r="B2015" s="21" t="s">
        <v>2872</v>
      </c>
      <c r="D2015" s="25">
        <v>0.0</v>
      </c>
      <c r="E2015" s="27"/>
      <c r="F2015" s="25">
        <v>0.0</v>
      </c>
      <c r="G2015" s="27"/>
    </row>
    <row r="2016" hidden="1">
      <c r="A2016" s="21"/>
      <c r="B2016" s="21" t="s">
        <v>2873</v>
      </c>
      <c r="D2016" s="25">
        <v>0.0</v>
      </c>
      <c r="E2016" s="27"/>
      <c r="F2016" s="25">
        <v>0.0</v>
      </c>
      <c r="G2016" s="27"/>
    </row>
    <row r="2017" hidden="1">
      <c r="A2017" s="21"/>
      <c r="B2017" s="21" t="s">
        <v>2874</v>
      </c>
      <c r="D2017" s="25">
        <v>0.0</v>
      </c>
      <c r="E2017" s="27"/>
      <c r="F2017" s="25">
        <v>0.0</v>
      </c>
      <c r="G2017" s="27"/>
    </row>
    <row r="2018" hidden="1">
      <c r="A2018" s="21"/>
      <c r="B2018" s="21" t="s">
        <v>2875</v>
      </c>
      <c r="D2018" s="25">
        <v>0.0</v>
      </c>
      <c r="E2018" s="27"/>
      <c r="F2018" s="25">
        <v>0.0</v>
      </c>
      <c r="G2018" s="27"/>
    </row>
    <row r="2019" hidden="1">
      <c r="A2019" s="21"/>
      <c r="B2019" s="21" t="s">
        <v>2876</v>
      </c>
      <c r="D2019" s="25">
        <v>0.0</v>
      </c>
      <c r="E2019" s="27"/>
      <c r="F2019" s="25">
        <v>0.0</v>
      </c>
      <c r="G2019" s="27"/>
    </row>
    <row r="2020" hidden="1">
      <c r="A2020" s="21"/>
      <c r="B2020" s="21" t="s">
        <v>2877</v>
      </c>
      <c r="D2020" s="25">
        <v>0.0</v>
      </c>
      <c r="E2020" s="27"/>
      <c r="F2020" s="25">
        <v>0.0</v>
      </c>
      <c r="G2020" s="27"/>
    </row>
    <row r="2021" hidden="1">
      <c r="A2021" s="21"/>
      <c r="B2021" s="21" t="s">
        <v>2878</v>
      </c>
      <c r="D2021" s="25">
        <v>0.0</v>
      </c>
      <c r="E2021" s="27"/>
      <c r="F2021" s="25">
        <v>0.0</v>
      </c>
      <c r="G2021" s="27"/>
    </row>
    <row r="2022" hidden="1">
      <c r="A2022" s="21"/>
      <c r="B2022" s="21" t="s">
        <v>2879</v>
      </c>
      <c r="D2022" s="25">
        <v>0.0</v>
      </c>
      <c r="E2022" s="27"/>
      <c r="F2022" s="25">
        <v>0.0</v>
      </c>
      <c r="G2022" s="27"/>
    </row>
    <row r="2023" hidden="1">
      <c r="A2023" s="21"/>
      <c r="B2023" s="21" t="s">
        <v>2880</v>
      </c>
      <c r="D2023" s="25">
        <v>0.0</v>
      </c>
      <c r="E2023" s="27"/>
      <c r="F2023" s="25">
        <v>0.0</v>
      </c>
      <c r="G2023" s="27"/>
    </row>
    <row r="2024" hidden="1">
      <c r="A2024" s="21"/>
      <c r="B2024" s="21" t="s">
        <v>2881</v>
      </c>
      <c r="D2024" s="25">
        <v>0.0</v>
      </c>
      <c r="E2024" s="27"/>
      <c r="F2024" s="25">
        <v>0.0</v>
      </c>
      <c r="G2024" s="27"/>
    </row>
    <row r="2025" hidden="1">
      <c r="A2025" s="21"/>
      <c r="B2025" s="21" t="s">
        <v>2882</v>
      </c>
      <c r="D2025" s="25">
        <v>0.0</v>
      </c>
      <c r="E2025" s="27"/>
      <c r="F2025" s="25">
        <v>0.0</v>
      </c>
      <c r="G2025" s="27"/>
    </row>
    <row r="2026" hidden="1">
      <c r="A2026" s="21"/>
      <c r="B2026" s="21" t="s">
        <v>2883</v>
      </c>
      <c r="D2026" s="25">
        <v>0.0</v>
      </c>
      <c r="E2026" s="27"/>
      <c r="F2026" s="25">
        <v>0.0</v>
      </c>
      <c r="G2026" s="27"/>
    </row>
    <row r="2027" hidden="1">
      <c r="A2027" s="21"/>
      <c r="B2027" s="21" t="s">
        <v>2884</v>
      </c>
      <c r="D2027" s="25">
        <v>0.0</v>
      </c>
      <c r="E2027" s="27"/>
      <c r="F2027" s="25">
        <v>0.0</v>
      </c>
      <c r="G2027" s="27"/>
    </row>
    <row r="2028" hidden="1">
      <c r="A2028" s="21"/>
      <c r="B2028" s="21" t="s">
        <v>2885</v>
      </c>
      <c r="D2028" s="25">
        <v>0.0</v>
      </c>
      <c r="E2028" s="27"/>
      <c r="F2028" s="25">
        <v>8.09</v>
      </c>
      <c r="G2028" s="27"/>
    </row>
    <row r="2029" hidden="1">
      <c r="A2029" s="21"/>
      <c r="B2029" s="21" t="s">
        <v>2886</v>
      </c>
      <c r="D2029" s="25">
        <v>0.0</v>
      </c>
      <c r="E2029" s="27"/>
      <c r="F2029" s="25">
        <v>0.0</v>
      </c>
      <c r="G2029" s="27"/>
    </row>
    <row r="2030" hidden="1">
      <c r="A2030" s="21"/>
      <c r="B2030" s="21" t="s">
        <v>2887</v>
      </c>
      <c r="D2030" s="25">
        <v>0.0</v>
      </c>
      <c r="E2030" s="27"/>
      <c r="F2030" s="25">
        <v>0.0</v>
      </c>
      <c r="G2030" s="27"/>
    </row>
    <row r="2031" hidden="1">
      <c r="A2031" s="21"/>
      <c r="B2031" s="21" t="s">
        <v>2888</v>
      </c>
      <c r="D2031" s="25">
        <v>0.0</v>
      </c>
      <c r="E2031" s="27"/>
      <c r="F2031" s="25">
        <v>0.0</v>
      </c>
      <c r="G2031" s="27"/>
    </row>
    <row r="2032" hidden="1">
      <c r="A2032" s="21"/>
      <c r="B2032" s="21" t="s">
        <v>2889</v>
      </c>
      <c r="D2032" s="25">
        <v>0.0</v>
      </c>
      <c r="E2032" s="27"/>
      <c r="F2032" s="25">
        <v>0.0</v>
      </c>
      <c r="G2032" s="27"/>
    </row>
    <row r="2033" hidden="1">
      <c r="A2033" s="21"/>
      <c r="B2033" s="21" t="s">
        <v>2890</v>
      </c>
      <c r="D2033" s="25">
        <v>0.0</v>
      </c>
      <c r="E2033" s="27"/>
      <c r="F2033" s="25">
        <v>0.0</v>
      </c>
      <c r="G2033" s="27"/>
    </row>
    <row r="2034" hidden="1">
      <c r="A2034" s="21"/>
      <c r="B2034" s="21" t="s">
        <v>2891</v>
      </c>
      <c r="D2034" s="25">
        <v>0.0</v>
      </c>
      <c r="E2034" s="27"/>
      <c r="F2034" s="25">
        <v>3.07</v>
      </c>
      <c r="G2034" s="27"/>
    </row>
    <row r="2035" hidden="1">
      <c r="A2035" s="21"/>
      <c r="B2035" s="21" t="s">
        <v>2892</v>
      </c>
      <c r="D2035" s="25">
        <v>0.0</v>
      </c>
      <c r="E2035" s="27"/>
      <c r="F2035" s="25">
        <v>0.0</v>
      </c>
      <c r="G2035" s="27"/>
    </row>
    <row r="2036" hidden="1">
      <c r="A2036" s="21"/>
      <c r="B2036" s="21" t="s">
        <v>2893</v>
      </c>
      <c r="D2036" s="25">
        <v>0.0</v>
      </c>
      <c r="E2036" s="27"/>
      <c r="F2036" s="25">
        <v>0.0</v>
      </c>
      <c r="G2036" s="27"/>
    </row>
    <row r="2037" hidden="1">
      <c r="A2037" s="21"/>
      <c r="B2037" s="21" t="s">
        <v>2894</v>
      </c>
      <c r="D2037" s="25">
        <v>0.0</v>
      </c>
      <c r="E2037" s="27"/>
      <c r="F2037" s="25">
        <v>0.0</v>
      </c>
      <c r="G2037" s="27"/>
    </row>
    <row r="2038" hidden="1">
      <c r="A2038" s="21"/>
      <c r="B2038" s="21" t="s">
        <v>2895</v>
      </c>
      <c r="D2038" s="25">
        <v>0.0</v>
      </c>
      <c r="E2038" s="27"/>
      <c r="F2038" s="25">
        <v>0.0</v>
      </c>
      <c r="G2038" s="27"/>
    </row>
    <row r="2039" hidden="1">
      <c r="A2039" s="21"/>
      <c r="B2039" s="21" t="s">
        <v>2896</v>
      </c>
      <c r="D2039" s="25">
        <v>0.0</v>
      </c>
      <c r="E2039" s="27"/>
      <c r="F2039" s="25">
        <v>0.0</v>
      </c>
      <c r="G2039" s="27"/>
    </row>
    <row r="2040" hidden="1">
      <c r="A2040" s="21"/>
      <c r="B2040" s="21" t="s">
        <v>2897</v>
      </c>
      <c r="D2040" s="25">
        <v>0.0</v>
      </c>
      <c r="E2040" s="27"/>
      <c r="F2040" s="25">
        <v>10.91</v>
      </c>
      <c r="G2040" s="27"/>
    </row>
    <row r="2041" hidden="1">
      <c r="A2041" s="21"/>
      <c r="B2041" s="21" t="s">
        <v>2898</v>
      </c>
      <c r="D2041" s="25">
        <v>0.0</v>
      </c>
      <c r="E2041" s="27"/>
      <c r="F2041" s="25">
        <v>0.42</v>
      </c>
      <c r="G2041" s="27"/>
    </row>
    <row r="2042" hidden="1">
      <c r="A2042" s="21"/>
      <c r="B2042" s="21" t="s">
        <v>2899</v>
      </c>
      <c r="D2042" s="25">
        <v>0.0</v>
      </c>
      <c r="E2042" s="27"/>
      <c r="F2042" s="25">
        <v>0.0</v>
      </c>
      <c r="G2042" s="27"/>
    </row>
    <row r="2043" hidden="1">
      <c r="A2043" s="21"/>
      <c r="B2043" s="21" t="s">
        <v>2900</v>
      </c>
      <c r="D2043" s="25">
        <v>0.0</v>
      </c>
      <c r="E2043" s="27"/>
      <c r="F2043" s="25">
        <v>0.0</v>
      </c>
      <c r="G2043" s="27"/>
    </row>
    <row r="2044" hidden="1">
      <c r="A2044" s="21"/>
      <c r="B2044" s="21" t="s">
        <v>2901</v>
      </c>
      <c r="D2044" s="25">
        <v>0.0</v>
      </c>
      <c r="E2044" s="27"/>
      <c r="F2044" s="25">
        <v>0.0</v>
      </c>
      <c r="G2044" s="27"/>
    </row>
    <row r="2045" hidden="1">
      <c r="A2045" s="21"/>
      <c r="B2045" s="21" t="s">
        <v>2902</v>
      </c>
      <c r="D2045" s="25">
        <v>0.0</v>
      </c>
      <c r="E2045" s="27"/>
      <c r="F2045" s="25">
        <v>0.0</v>
      </c>
      <c r="G2045" s="27"/>
    </row>
    <row r="2046" hidden="1">
      <c r="A2046" s="21"/>
      <c r="B2046" s="21" t="s">
        <v>2903</v>
      </c>
      <c r="D2046" s="25">
        <v>0.0</v>
      </c>
      <c r="E2046" s="27"/>
      <c r="F2046" s="25">
        <v>0.0</v>
      </c>
      <c r="G2046" s="27"/>
    </row>
    <row r="2047" hidden="1">
      <c r="A2047" s="21"/>
      <c r="B2047" s="21" t="s">
        <v>2904</v>
      </c>
      <c r="D2047" s="25">
        <v>0.0</v>
      </c>
      <c r="E2047" s="27"/>
      <c r="F2047" s="25">
        <v>0.0</v>
      </c>
      <c r="G2047" s="27"/>
    </row>
    <row r="2048" hidden="1">
      <c r="A2048" s="21"/>
      <c r="B2048" s="21" t="s">
        <v>2905</v>
      </c>
      <c r="D2048" s="25">
        <v>0.0</v>
      </c>
      <c r="E2048" s="27"/>
      <c r="F2048" s="25">
        <v>0.0</v>
      </c>
      <c r="G2048" s="27"/>
    </row>
    <row r="2049" hidden="1">
      <c r="A2049" s="21"/>
      <c r="B2049" s="21" t="s">
        <v>2906</v>
      </c>
      <c r="D2049" s="25">
        <v>0.0</v>
      </c>
      <c r="E2049" s="27"/>
      <c r="F2049" s="25">
        <v>0.0</v>
      </c>
      <c r="G2049" s="27"/>
    </row>
    <row r="2050" hidden="1">
      <c r="A2050" s="21"/>
      <c r="B2050" s="21" t="s">
        <v>2907</v>
      </c>
      <c r="D2050" s="25">
        <v>0.0</v>
      </c>
      <c r="E2050" s="27"/>
      <c r="F2050" s="25">
        <v>0.0</v>
      </c>
      <c r="G2050" s="27"/>
    </row>
    <row r="2051" hidden="1">
      <c r="A2051" s="21"/>
      <c r="B2051" s="21" t="s">
        <v>2908</v>
      </c>
      <c r="D2051" s="25">
        <v>0.0</v>
      </c>
      <c r="E2051" s="27"/>
      <c r="F2051" s="25">
        <v>0.0</v>
      </c>
      <c r="G2051" s="27"/>
    </row>
    <row r="2052" hidden="1">
      <c r="A2052" s="21"/>
      <c r="B2052" s="21" t="s">
        <v>2909</v>
      </c>
      <c r="D2052" s="25">
        <v>0.0</v>
      </c>
      <c r="E2052" s="27"/>
      <c r="F2052" s="25">
        <v>0.0</v>
      </c>
      <c r="G2052" s="27"/>
    </row>
    <row r="2053" hidden="1">
      <c r="A2053" s="21"/>
      <c r="B2053" s="21" t="s">
        <v>2910</v>
      </c>
      <c r="D2053" s="25">
        <v>0.0</v>
      </c>
      <c r="E2053" s="27"/>
      <c r="F2053" s="25">
        <v>0.0</v>
      </c>
      <c r="G2053" s="27"/>
    </row>
    <row r="2054" hidden="1">
      <c r="A2054" s="21"/>
      <c r="B2054" s="21" t="s">
        <v>332</v>
      </c>
      <c r="D2054" s="25">
        <v>0.0</v>
      </c>
      <c r="E2054" s="27"/>
      <c r="F2054" s="25">
        <v>0.0</v>
      </c>
      <c r="G2054" s="27"/>
    </row>
    <row r="2055" hidden="1">
      <c r="A2055" s="21"/>
      <c r="B2055" s="21" t="s">
        <v>2911</v>
      </c>
      <c r="D2055" s="25">
        <v>0.0</v>
      </c>
      <c r="E2055" s="27"/>
      <c r="F2055" s="25">
        <v>0.0</v>
      </c>
      <c r="G2055" s="27"/>
    </row>
    <row r="2056" hidden="1">
      <c r="A2056" s="21"/>
      <c r="B2056" s="21" t="s">
        <v>2912</v>
      </c>
      <c r="D2056" s="25">
        <v>0.0</v>
      </c>
      <c r="E2056" s="27"/>
      <c r="F2056" s="25">
        <v>0.0</v>
      </c>
      <c r="G2056" s="27"/>
    </row>
    <row r="2057" hidden="1">
      <c r="A2057" s="21"/>
      <c r="B2057" s="21" t="s">
        <v>2913</v>
      </c>
      <c r="D2057" s="25">
        <v>0.0</v>
      </c>
      <c r="E2057" s="27"/>
      <c r="F2057" s="25">
        <v>0.0</v>
      </c>
      <c r="G2057" s="27"/>
    </row>
    <row r="2058" hidden="1">
      <c r="A2058" s="21"/>
      <c r="B2058" s="21" t="s">
        <v>2914</v>
      </c>
      <c r="D2058" s="25">
        <v>0.0</v>
      </c>
      <c r="E2058" s="27"/>
      <c r="F2058" s="25">
        <v>0.0</v>
      </c>
      <c r="G2058" s="27"/>
    </row>
    <row r="2059" hidden="1">
      <c r="A2059" s="21"/>
      <c r="B2059" s="21" t="s">
        <v>2915</v>
      </c>
      <c r="D2059" s="25">
        <v>0.0</v>
      </c>
      <c r="E2059" s="27"/>
      <c r="F2059" s="25">
        <v>0.0</v>
      </c>
      <c r="G2059" s="27"/>
    </row>
    <row r="2060" hidden="1">
      <c r="A2060" s="21"/>
      <c r="B2060" s="21" t="s">
        <v>2916</v>
      </c>
      <c r="D2060" s="25">
        <v>0.0</v>
      </c>
      <c r="E2060" s="27"/>
      <c r="F2060" s="25">
        <v>0.0</v>
      </c>
      <c r="G2060" s="27"/>
    </row>
    <row r="2061" hidden="1">
      <c r="A2061" s="21"/>
      <c r="B2061" s="21" t="s">
        <v>2917</v>
      </c>
      <c r="D2061" s="25">
        <v>0.0</v>
      </c>
      <c r="E2061" s="27"/>
      <c r="F2061" s="25">
        <v>0.0</v>
      </c>
      <c r="G2061" s="27"/>
    </row>
    <row r="2062" hidden="1">
      <c r="A2062" s="21"/>
      <c r="B2062" s="21" t="s">
        <v>2918</v>
      </c>
      <c r="D2062" s="25">
        <v>0.0</v>
      </c>
      <c r="E2062" s="27"/>
      <c r="F2062" s="25">
        <v>0.0</v>
      </c>
      <c r="G2062" s="27"/>
    </row>
    <row r="2063" hidden="1">
      <c r="A2063" s="21"/>
      <c r="B2063" s="21" t="s">
        <v>2919</v>
      </c>
      <c r="D2063" s="25">
        <v>0.0</v>
      </c>
      <c r="E2063" s="27"/>
      <c r="F2063" s="25">
        <v>0.0</v>
      </c>
      <c r="G2063" s="27"/>
    </row>
    <row r="2064" hidden="1">
      <c r="A2064" s="21"/>
      <c r="B2064" s="21" t="s">
        <v>2920</v>
      </c>
      <c r="D2064" s="25">
        <v>0.0</v>
      </c>
      <c r="E2064" s="27"/>
      <c r="F2064" s="25">
        <v>0.0</v>
      </c>
      <c r="G2064" s="27"/>
    </row>
    <row r="2065" hidden="1">
      <c r="A2065" s="21"/>
      <c r="B2065" s="21" t="s">
        <v>2921</v>
      </c>
      <c r="D2065" s="25">
        <v>0.0</v>
      </c>
      <c r="E2065" s="27"/>
      <c r="F2065" s="25">
        <v>0.0</v>
      </c>
      <c r="G2065" s="27"/>
    </row>
    <row r="2066" hidden="1">
      <c r="A2066" s="21"/>
      <c r="B2066" s="21" t="s">
        <v>2922</v>
      </c>
      <c r="D2066" s="25">
        <v>0.0</v>
      </c>
      <c r="E2066" s="27"/>
      <c r="F2066" s="25">
        <v>0.0</v>
      </c>
      <c r="G2066" s="27"/>
    </row>
    <row r="2067" hidden="1">
      <c r="A2067" s="21"/>
      <c r="B2067" s="21" t="s">
        <v>2923</v>
      </c>
      <c r="D2067" s="25">
        <v>0.0</v>
      </c>
      <c r="E2067" s="27"/>
      <c r="F2067" s="25">
        <v>0.0</v>
      </c>
      <c r="G2067" s="27"/>
    </row>
    <row r="2068" hidden="1">
      <c r="A2068" s="21"/>
      <c r="B2068" s="21" t="s">
        <v>2924</v>
      </c>
      <c r="D2068" s="25">
        <v>0.0</v>
      </c>
      <c r="E2068" s="27"/>
      <c r="F2068" s="25">
        <v>0.0</v>
      </c>
      <c r="G2068" s="27"/>
    </row>
    <row r="2069" hidden="1">
      <c r="A2069" s="21"/>
      <c r="B2069" s="21" t="s">
        <v>2925</v>
      </c>
      <c r="D2069" s="25">
        <v>0.0</v>
      </c>
      <c r="E2069" s="27"/>
      <c r="F2069" s="25">
        <v>0.0</v>
      </c>
      <c r="G2069" s="27"/>
    </row>
    <row r="2070" hidden="1">
      <c r="A2070" s="21"/>
      <c r="B2070" s="21" t="s">
        <v>2926</v>
      </c>
      <c r="D2070" s="25">
        <v>0.0</v>
      </c>
      <c r="E2070" s="27"/>
      <c r="F2070" s="25">
        <v>0.0</v>
      </c>
      <c r="G2070" s="27"/>
    </row>
    <row r="2071" hidden="1">
      <c r="A2071" s="21"/>
      <c r="B2071" s="21" t="s">
        <v>2927</v>
      </c>
      <c r="D2071" s="25">
        <v>0.0</v>
      </c>
      <c r="E2071" s="27"/>
      <c r="F2071" s="25">
        <v>0.0</v>
      </c>
      <c r="G2071" s="27"/>
    </row>
    <row r="2072" hidden="1">
      <c r="A2072" s="21"/>
      <c r="B2072" s="21" t="s">
        <v>2928</v>
      </c>
      <c r="D2072" s="25">
        <v>0.0</v>
      </c>
      <c r="E2072" s="27"/>
      <c r="F2072" s="25">
        <v>0.0</v>
      </c>
      <c r="G2072" s="27"/>
    </row>
    <row r="2073" hidden="1">
      <c r="A2073" s="21"/>
      <c r="B2073" s="21" t="s">
        <v>2929</v>
      </c>
      <c r="D2073" s="25">
        <v>0.0</v>
      </c>
      <c r="E2073" s="27"/>
      <c r="F2073" s="25">
        <v>0.0</v>
      </c>
      <c r="G2073" s="27"/>
    </row>
    <row r="2074" hidden="1">
      <c r="A2074" s="21"/>
      <c r="B2074" s="21" t="s">
        <v>2930</v>
      </c>
      <c r="D2074" s="25">
        <v>0.0</v>
      </c>
      <c r="E2074" s="27"/>
      <c r="F2074" s="25">
        <v>0.0</v>
      </c>
      <c r="G2074" s="27"/>
    </row>
    <row r="2075" hidden="1">
      <c r="A2075" s="21"/>
      <c r="B2075" s="21" t="s">
        <v>2931</v>
      </c>
      <c r="D2075" s="25">
        <v>0.0</v>
      </c>
      <c r="E2075" s="27"/>
      <c r="F2075" s="25">
        <v>0.0</v>
      </c>
      <c r="G2075" s="27"/>
    </row>
    <row r="2076" hidden="1">
      <c r="A2076" s="21"/>
      <c r="B2076" s="21" t="s">
        <v>2932</v>
      </c>
      <c r="D2076" s="25">
        <v>0.0</v>
      </c>
      <c r="E2076" s="27"/>
      <c r="F2076" s="25">
        <v>0.0</v>
      </c>
      <c r="G2076" s="27"/>
    </row>
    <row r="2077" hidden="1">
      <c r="A2077" s="21"/>
      <c r="B2077" s="21" t="s">
        <v>2933</v>
      </c>
      <c r="D2077" s="25">
        <v>0.0</v>
      </c>
      <c r="E2077" s="27"/>
      <c r="F2077" s="25">
        <v>0.0</v>
      </c>
      <c r="G2077" s="27"/>
    </row>
    <row r="2078" hidden="1">
      <c r="A2078" s="21"/>
      <c r="B2078" s="21" t="s">
        <v>2934</v>
      </c>
      <c r="D2078" s="25">
        <v>0.0</v>
      </c>
      <c r="E2078" s="27"/>
      <c r="F2078" s="25">
        <v>0.0</v>
      </c>
      <c r="G2078" s="27"/>
    </row>
    <row r="2079" hidden="1">
      <c r="A2079" s="21"/>
      <c r="B2079" s="21" t="s">
        <v>2935</v>
      </c>
      <c r="D2079" s="25">
        <v>0.0</v>
      </c>
      <c r="E2079" s="27"/>
      <c r="F2079" s="25">
        <v>0.0</v>
      </c>
      <c r="G2079" s="27"/>
    </row>
    <row r="2080" hidden="1">
      <c r="A2080" s="21"/>
      <c r="B2080" s="21" t="s">
        <v>2936</v>
      </c>
      <c r="D2080" s="25">
        <v>0.0</v>
      </c>
      <c r="E2080" s="27"/>
      <c r="F2080" s="25">
        <v>0.0</v>
      </c>
      <c r="G2080" s="27"/>
    </row>
    <row r="2081" hidden="1">
      <c r="A2081" s="21"/>
      <c r="B2081" s="21" t="s">
        <v>2937</v>
      </c>
      <c r="D2081" s="25">
        <v>0.0</v>
      </c>
      <c r="E2081" s="27"/>
      <c r="F2081" s="25">
        <v>0.0</v>
      </c>
      <c r="G2081" s="27"/>
    </row>
    <row r="2082" hidden="1">
      <c r="A2082" s="21"/>
      <c r="B2082" s="21" t="s">
        <v>2938</v>
      </c>
      <c r="D2082" s="25">
        <v>0.0</v>
      </c>
      <c r="E2082" s="27"/>
      <c r="F2082" s="25">
        <v>0.0</v>
      </c>
      <c r="G2082" s="27"/>
    </row>
    <row r="2083" hidden="1">
      <c r="A2083" s="21"/>
      <c r="B2083" s="21" t="s">
        <v>2939</v>
      </c>
      <c r="D2083" s="25">
        <v>0.0</v>
      </c>
      <c r="E2083" s="27"/>
      <c r="F2083" s="25">
        <v>0.0</v>
      </c>
      <c r="G2083" s="27"/>
    </row>
    <row r="2084" hidden="1">
      <c r="A2084" s="21"/>
      <c r="B2084" s="21" t="s">
        <v>2940</v>
      </c>
      <c r="D2084" s="25">
        <v>0.0</v>
      </c>
      <c r="E2084" s="27"/>
      <c r="F2084" s="25">
        <v>0.0</v>
      </c>
      <c r="G2084" s="27"/>
    </row>
    <row r="2085" hidden="1">
      <c r="A2085" s="21"/>
      <c r="B2085" s="21" t="s">
        <v>2941</v>
      </c>
      <c r="D2085" s="25">
        <v>0.0</v>
      </c>
      <c r="E2085" s="27"/>
      <c r="F2085" s="25">
        <v>0.0</v>
      </c>
      <c r="G2085" s="27"/>
    </row>
    <row r="2086" hidden="1">
      <c r="A2086" s="21"/>
      <c r="B2086" s="21" t="s">
        <v>2942</v>
      </c>
      <c r="D2086" s="25">
        <v>0.0</v>
      </c>
      <c r="E2086" s="27"/>
      <c r="F2086" s="25">
        <v>0.0</v>
      </c>
      <c r="G2086" s="27"/>
    </row>
    <row r="2087" hidden="1">
      <c r="A2087" s="21"/>
      <c r="B2087" s="21" t="s">
        <v>2943</v>
      </c>
      <c r="D2087" s="25">
        <v>0.0</v>
      </c>
      <c r="E2087" s="27"/>
      <c r="F2087" s="25">
        <v>0.0</v>
      </c>
      <c r="G2087" s="27"/>
    </row>
    <row r="2088" hidden="1">
      <c r="A2088" s="21"/>
      <c r="B2088" s="21" t="s">
        <v>2944</v>
      </c>
      <c r="D2088" s="25">
        <v>0.0</v>
      </c>
      <c r="E2088" s="27"/>
      <c r="F2088" s="25">
        <v>0.0</v>
      </c>
      <c r="G2088" s="27"/>
    </row>
    <row r="2089" hidden="1">
      <c r="A2089" s="21"/>
      <c r="B2089" s="21" t="s">
        <v>2945</v>
      </c>
      <c r="D2089" s="25">
        <v>0.0</v>
      </c>
      <c r="E2089" s="27"/>
      <c r="F2089" s="25">
        <v>0.0</v>
      </c>
      <c r="G2089" s="27"/>
    </row>
    <row r="2090" hidden="1">
      <c r="A2090" s="21"/>
      <c r="B2090" s="21" t="s">
        <v>2946</v>
      </c>
      <c r="D2090" s="25">
        <v>0.0</v>
      </c>
      <c r="E2090" s="27"/>
      <c r="F2090" s="25">
        <v>0.0</v>
      </c>
      <c r="G2090" s="27"/>
    </row>
    <row r="2091" hidden="1">
      <c r="A2091" s="21"/>
      <c r="B2091" s="21" t="s">
        <v>2947</v>
      </c>
      <c r="D2091" s="25">
        <v>0.0</v>
      </c>
      <c r="E2091" s="27"/>
      <c r="F2091" s="25">
        <v>4.66</v>
      </c>
      <c r="G2091" s="27"/>
    </row>
    <row r="2092" hidden="1">
      <c r="A2092" s="21"/>
      <c r="B2092" s="21" t="s">
        <v>2948</v>
      </c>
      <c r="D2092" s="25">
        <v>0.0</v>
      </c>
      <c r="E2092" s="27"/>
      <c r="F2092" s="25">
        <v>0.0</v>
      </c>
      <c r="G2092" s="27"/>
    </row>
    <row r="2093" hidden="1">
      <c r="A2093" s="21"/>
      <c r="B2093" s="21" t="s">
        <v>2949</v>
      </c>
      <c r="D2093" s="25">
        <v>0.0</v>
      </c>
      <c r="E2093" s="27"/>
      <c r="F2093" s="25">
        <v>0.42</v>
      </c>
      <c r="G2093" s="27"/>
    </row>
    <row r="2094" hidden="1">
      <c r="A2094" s="21"/>
      <c r="B2094" s="21" t="s">
        <v>2950</v>
      </c>
      <c r="D2094" s="25">
        <v>0.0</v>
      </c>
      <c r="E2094" s="27"/>
      <c r="F2094" s="25">
        <v>0.0</v>
      </c>
      <c r="G2094" s="27"/>
    </row>
    <row r="2095" hidden="1">
      <c r="A2095" s="21"/>
      <c r="B2095" s="21" t="s">
        <v>2951</v>
      </c>
      <c r="D2095" s="25">
        <v>0.0</v>
      </c>
      <c r="E2095" s="27"/>
      <c r="F2095" s="25">
        <v>0.0</v>
      </c>
      <c r="G2095" s="27"/>
    </row>
    <row r="2096" hidden="1">
      <c r="A2096" s="21"/>
      <c r="B2096" s="21" t="s">
        <v>2952</v>
      </c>
      <c r="D2096" s="25">
        <v>0.0</v>
      </c>
      <c r="E2096" s="27"/>
      <c r="F2096" s="25">
        <v>0.0</v>
      </c>
      <c r="G2096" s="27"/>
    </row>
    <row r="2097" hidden="1">
      <c r="A2097" s="21"/>
      <c r="B2097" s="21" t="s">
        <v>2953</v>
      </c>
      <c r="D2097" s="25">
        <v>0.0</v>
      </c>
      <c r="E2097" s="27"/>
      <c r="F2097" s="25">
        <v>0.0</v>
      </c>
      <c r="G2097" s="27"/>
    </row>
    <row r="2098" hidden="1">
      <c r="A2098" s="21"/>
      <c r="B2098" s="21" t="s">
        <v>2954</v>
      </c>
      <c r="D2098" s="25">
        <v>0.0</v>
      </c>
      <c r="E2098" s="27"/>
      <c r="F2098" s="25">
        <v>0.0</v>
      </c>
      <c r="G2098" s="27"/>
    </row>
    <row r="2099" hidden="1">
      <c r="A2099" s="21"/>
      <c r="B2099" s="21" t="s">
        <v>2955</v>
      </c>
      <c r="D2099" s="25">
        <v>0.0</v>
      </c>
      <c r="E2099" s="27"/>
      <c r="F2099" s="25">
        <v>0.0</v>
      </c>
      <c r="G2099" s="27"/>
    </row>
    <row r="2100" hidden="1">
      <c r="A2100" s="21"/>
      <c r="B2100" s="21" t="s">
        <v>2956</v>
      </c>
      <c r="D2100" s="25">
        <v>0.0</v>
      </c>
      <c r="E2100" s="27"/>
      <c r="F2100" s="25">
        <v>0.0</v>
      </c>
      <c r="G2100" s="27"/>
    </row>
    <row r="2101" hidden="1">
      <c r="A2101" s="21"/>
      <c r="B2101" s="21" t="s">
        <v>2957</v>
      </c>
      <c r="D2101" s="25">
        <v>0.0</v>
      </c>
      <c r="E2101" s="27"/>
      <c r="F2101" s="25">
        <v>0.0</v>
      </c>
      <c r="G2101" s="27"/>
    </row>
    <row r="2102" hidden="1">
      <c r="A2102" s="21"/>
      <c r="B2102" s="21" t="s">
        <v>2958</v>
      </c>
      <c r="D2102" s="25">
        <v>0.0</v>
      </c>
      <c r="E2102" s="27"/>
      <c r="F2102" s="25">
        <v>0.0</v>
      </c>
      <c r="G2102" s="27"/>
    </row>
    <row r="2103" hidden="1">
      <c r="A2103" s="21"/>
      <c r="B2103" s="21" t="s">
        <v>2959</v>
      </c>
      <c r="D2103" s="25">
        <v>0.0</v>
      </c>
      <c r="E2103" s="27"/>
      <c r="F2103" s="25">
        <v>0.0</v>
      </c>
      <c r="G2103" s="27"/>
    </row>
    <row r="2104" hidden="1">
      <c r="A2104" s="21"/>
      <c r="B2104" s="21" t="s">
        <v>2960</v>
      </c>
      <c r="D2104" s="25">
        <v>0.0</v>
      </c>
      <c r="E2104" s="27"/>
      <c r="F2104" s="25">
        <v>0.0</v>
      </c>
      <c r="G2104" s="27"/>
    </row>
    <row r="2105" hidden="1">
      <c r="A2105" s="21"/>
      <c r="B2105" s="21" t="s">
        <v>2961</v>
      </c>
      <c r="D2105" s="25">
        <v>0.0</v>
      </c>
      <c r="E2105" s="27"/>
      <c r="F2105" s="25">
        <v>0.0</v>
      </c>
      <c r="G2105" s="27"/>
    </row>
    <row r="2106" hidden="1">
      <c r="A2106" s="21"/>
      <c r="B2106" s="21" t="s">
        <v>2962</v>
      </c>
      <c r="D2106" s="25">
        <v>0.0</v>
      </c>
      <c r="E2106" s="27"/>
      <c r="F2106" s="25">
        <v>9.24</v>
      </c>
      <c r="G2106" s="27"/>
    </row>
    <row r="2107" hidden="1">
      <c r="A2107" s="21"/>
      <c r="B2107" s="21" t="s">
        <v>2963</v>
      </c>
      <c r="D2107" s="25">
        <v>0.0</v>
      </c>
      <c r="E2107" s="27"/>
      <c r="F2107" s="25">
        <v>0.0</v>
      </c>
      <c r="G2107" s="27"/>
    </row>
    <row r="2108" hidden="1">
      <c r="A2108" s="21"/>
      <c r="B2108" s="21" t="s">
        <v>2964</v>
      </c>
      <c r="D2108" s="25">
        <v>0.0</v>
      </c>
      <c r="E2108" s="27"/>
      <c r="F2108" s="25">
        <v>0.0</v>
      </c>
      <c r="G2108" s="27"/>
    </row>
    <row r="2109" hidden="1">
      <c r="A2109" s="21"/>
      <c r="B2109" s="21" t="s">
        <v>2965</v>
      </c>
      <c r="D2109" s="25">
        <v>0.0</v>
      </c>
      <c r="E2109" s="27"/>
      <c r="F2109" s="25">
        <v>0.0</v>
      </c>
      <c r="G2109" s="27"/>
    </row>
    <row r="2110" hidden="1">
      <c r="A2110" s="21"/>
      <c r="B2110" s="21" t="s">
        <v>2966</v>
      </c>
      <c r="D2110" s="25">
        <v>0.0</v>
      </c>
      <c r="E2110" s="27"/>
      <c r="F2110" s="25">
        <v>0.0</v>
      </c>
      <c r="G2110" s="27"/>
    </row>
    <row r="2111" hidden="1">
      <c r="A2111" s="21"/>
      <c r="B2111" s="21" t="s">
        <v>2967</v>
      </c>
      <c r="D2111" s="25">
        <v>0.0</v>
      </c>
      <c r="E2111" s="27"/>
      <c r="F2111" s="25">
        <v>0.0</v>
      </c>
      <c r="G2111" s="27"/>
    </row>
    <row r="2112" hidden="1">
      <c r="A2112" s="21"/>
      <c r="B2112" s="21" t="s">
        <v>2968</v>
      </c>
      <c r="D2112" s="25">
        <v>0.0</v>
      </c>
      <c r="E2112" s="27"/>
      <c r="F2112" s="25">
        <v>0.0</v>
      </c>
      <c r="G2112" s="27"/>
    </row>
    <row r="2113" hidden="1">
      <c r="A2113" s="21"/>
      <c r="B2113" s="21" t="s">
        <v>2969</v>
      </c>
      <c r="D2113" s="25">
        <v>0.0</v>
      </c>
      <c r="E2113" s="27"/>
      <c r="F2113" s="25">
        <v>0.0</v>
      </c>
      <c r="G2113" s="27"/>
    </row>
    <row r="2114" hidden="1">
      <c r="A2114" s="21"/>
      <c r="B2114" s="21" t="s">
        <v>2970</v>
      </c>
      <c r="D2114" s="25">
        <v>0.0</v>
      </c>
      <c r="E2114" s="27"/>
      <c r="F2114" s="25">
        <v>0.0</v>
      </c>
      <c r="G2114" s="27"/>
    </row>
    <row r="2115" hidden="1">
      <c r="A2115" s="21"/>
      <c r="B2115" s="21" t="s">
        <v>2971</v>
      </c>
      <c r="D2115" s="25">
        <v>0.0</v>
      </c>
      <c r="E2115" s="27"/>
      <c r="F2115" s="25">
        <v>0.0</v>
      </c>
      <c r="G2115" s="27"/>
    </row>
    <row r="2116" hidden="1">
      <c r="A2116" s="21"/>
      <c r="B2116" s="21" t="s">
        <v>2972</v>
      </c>
      <c r="D2116" s="25">
        <v>0.0</v>
      </c>
      <c r="E2116" s="27"/>
      <c r="F2116" s="25">
        <v>0.0</v>
      </c>
      <c r="G2116" s="27"/>
    </row>
    <row r="2117" hidden="1">
      <c r="A2117" s="21"/>
      <c r="B2117" s="21" t="s">
        <v>2973</v>
      </c>
      <c r="D2117" s="25">
        <v>0.0</v>
      </c>
      <c r="E2117" s="27"/>
      <c r="F2117" s="25">
        <v>0.0</v>
      </c>
      <c r="G2117" s="27"/>
    </row>
    <row r="2118" hidden="1">
      <c r="A2118" s="21"/>
      <c r="B2118" s="21" t="s">
        <v>2974</v>
      </c>
      <c r="D2118" s="25">
        <v>0.0</v>
      </c>
      <c r="E2118" s="27"/>
      <c r="F2118" s="25">
        <v>0.0</v>
      </c>
      <c r="G2118" s="27"/>
    </row>
    <row r="2119" hidden="1">
      <c r="A2119" s="21"/>
      <c r="B2119" s="21" t="s">
        <v>2975</v>
      </c>
      <c r="D2119" s="25">
        <v>0.0</v>
      </c>
      <c r="E2119" s="27"/>
      <c r="F2119" s="25">
        <v>0.0</v>
      </c>
      <c r="G2119" s="27"/>
    </row>
    <row r="2120" hidden="1">
      <c r="A2120" s="21"/>
      <c r="B2120" s="21" t="s">
        <v>2976</v>
      </c>
      <c r="D2120" s="25">
        <v>0.0</v>
      </c>
      <c r="E2120" s="27"/>
      <c r="F2120" s="25">
        <v>0.0</v>
      </c>
      <c r="G2120" s="27"/>
    </row>
    <row r="2121" hidden="1">
      <c r="A2121" s="21"/>
      <c r="B2121" s="21" t="s">
        <v>2977</v>
      </c>
      <c r="D2121" s="25">
        <v>0.0</v>
      </c>
      <c r="E2121" s="27"/>
      <c r="F2121" s="25">
        <v>0.0</v>
      </c>
      <c r="G2121" s="27"/>
    </row>
    <row r="2122" hidden="1">
      <c r="A2122" s="21"/>
      <c r="B2122" s="21" t="s">
        <v>2978</v>
      </c>
      <c r="D2122" s="25">
        <v>0.0</v>
      </c>
      <c r="E2122" s="27"/>
      <c r="F2122" s="25">
        <v>0.0</v>
      </c>
      <c r="G2122" s="27"/>
    </row>
    <row r="2123" hidden="1">
      <c r="A2123" s="21"/>
      <c r="B2123" s="21" t="s">
        <v>2979</v>
      </c>
      <c r="D2123" s="25">
        <v>0.0</v>
      </c>
      <c r="E2123" s="27"/>
      <c r="F2123" s="25">
        <v>0.0</v>
      </c>
      <c r="G2123" s="27"/>
    </row>
    <row r="2124" hidden="1">
      <c r="A2124" s="21"/>
      <c r="B2124" s="21" t="s">
        <v>2980</v>
      </c>
      <c r="D2124" s="25">
        <v>0.0</v>
      </c>
      <c r="E2124" s="27"/>
      <c r="F2124" s="25">
        <v>0.0</v>
      </c>
      <c r="G2124" s="27"/>
    </row>
    <row r="2125" hidden="1">
      <c r="A2125" s="21"/>
      <c r="B2125" s="21" t="s">
        <v>2981</v>
      </c>
      <c r="D2125" s="25">
        <v>0.0</v>
      </c>
      <c r="E2125" s="27"/>
      <c r="F2125" s="25">
        <v>0.0</v>
      </c>
      <c r="G2125" s="27"/>
    </row>
    <row r="2126" hidden="1">
      <c r="A2126" s="21"/>
      <c r="B2126" s="21" t="s">
        <v>2982</v>
      </c>
      <c r="D2126" s="25">
        <v>0.0</v>
      </c>
      <c r="E2126" s="27"/>
      <c r="F2126" s="25">
        <v>0.0</v>
      </c>
      <c r="G2126" s="27"/>
    </row>
    <row r="2127" hidden="1">
      <c r="A2127" s="21"/>
      <c r="B2127" s="21" t="s">
        <v>2983</v>
      </c>
      <c r="D2127" s="25">
        <v>0.0</v>
      </c>
      <c r="E2127" s="27"/>
      <c r="F2127" s="25">
        <v>0.0</v>
      </c>
      <c r="G2127" s="27"/>
    </row>
    <row r="2128" hidden="1">
      <c r="A2128" s="21"/>
      <c r="B2128" s="21" t="s">
        <v>2984</v>
      </c>
      <c r="D2128" s="25">
        <v>0.0</v>
      </c>
      <c r="E2128" s="27"/>
      <c r="F2128" s="25">
        <v>0.0</v>
      </c>
      <c r="G2128" s="27"/>
    </row>
    <row r="2129" hidden="1">
      <c r="A2129" s="21"/>
      <c r="B2129" s="21" t="s">
        <v>2985</v>
      </c>
      <c r="D2129" s="25">
        <v>0.0</v>
      </c>
      <c r="E2129" s="27"/>
      <c r="F2129" s="25">
        <v>0.0</v>
      </c>
      <c r="G2129" s="27"/>
    </row>
    <row r="2130" hidden="1">
      <c r="A2130" s="21"/>
      <c r="B2130" s="21" t="s">
        <v>2986</v>
      </c>
      <c r="D2130" s="25">
        <v>0.0</v>
      </c>
      <c r="E2130" s="27"/>
      <c r="F2130" s="25">
        <v>0.0</v>
      </c>
      <c r="G2130" s="27"/>
    </row>
    <row r="2131" hidden="1">
      <c r="A2131" s="21"/>
      <c r="B2131" s="21" t="s">
        <v>2987</v>
      </c>
      <c r="D2131" s="25">
        <v>0.0</v>
      </c>
      <c r="E2131" s="27"/>
      <c r="F2131" s="25">
        <v>0.0</v>
      </c>
      <c r="G2131" s="27"/>
    </row>
    <row r="2132" hidden="1">
      <c r="A2132" s="21"/>
      <c r="B2132" s="21" t="s">
        <v>2988</v>
      </c>
      <c r="D2132" s="25">
        <v>0.0</v>
      </c>
      <c r="E2132" s="27"/>
      <c r="F2132" s="25">
        <v>0.0</v>
      </c>
      <c r="G2132" s="27"/>
    </row>
    <row r="2133" hidden="1">
      <c r="A2133" s="21"/>
      <c r="B2133" s="21" t="s">
        <v>2989</v>
      </c>
      <c r="D2133" s="25">
        <v>0.0</v>
      </c>
      <c r="E2133" s="27"/>
      <c r="F2133" s="25">
        <v>0.0</v>
      </c>
      <c r="G2133" s="27"/>
    </row>
    <row r="2134" hidden="1">
      <c r="A2134" s="21"/>
      <c r="B2134" s="21" t="s">
        <v>2990</v>
      </c>
      <c r="D2134" s="25">
        <v>0.0</v>
      </c>
      <c r="E2134" s="27"/>
      <c r="F2134" s="25">
        <v>0.0</v>
      </c>
      <c r="G2134" s="27"/>
    </row>
    <row r="2135" hidden="1">
      <c r="A2135" s="21"/>
      <c r="B2135" s="21" t="s">
        <v>2991</v>
      </c>
      <c r="D2135" s="25">
        <v>0.0</v>
      </c>
      <c r="E2135" s="27"/>
      <c r="F2135" s="25">
        <v>0.0</v>
      </c>
      <c r="G2135" s="27"/>
    </row>
    <row r="2136" hidden="1">
      <c r="A2136" s="21"/>
      <c r="B2136" s="21" t="s">
        <v>2992</v>
      </c>
      <c r="D2136" s="25">
        <v>0.0</v>
      </c>
      <c r="E2136" s="27"/>
      <c r="F2136" s="25">
        <v>0.0</v>
      </c>
      <c r="G2136" s="27"/>
    </row>
    <row r="2137" hidden="1">
      <c r="A2137" s="21"/>
      <c r="B2137" s="21" t="s">
        <v>2993</v>
      </c>
      <c r="D2137" s="25">
        <v>0.0</v>
      </c>
      <c r="E2137" s="27"/>
      <c r="F2137" s="25">
        <v>0.0</v>
      </c>
      <c r="G2137" s="27"/>
    </row>
    <row r="2138" hidden="1">
      <c r="A2138" s="21"/>
      <c r="B2138" s="21" t="s">
        <v>2994</v>
      </c>
      <c r="D2138" s="25">
        <v>0.0</v>
      </c>
      <c r="E2138" s="27"/>
      <c r="F2138" s="25">
        <v>0.0</v>
      </c>
      <c r="G2138" s="27"/>
    </row>
    <row r="2139" hidden="1">
      <c r="A2139" s="21"/>
      <c r="B2139" s="21" t="s">
        <v>2995</v>
      </c>
      <c r="D2139" s="25">
        <v>0.0</v>
      </c>
      <c r="E2139" s="27"/>
      <c r="F2139" s="25">
        <v>0.0</v>
      </c>
      <c r="G2139" s="27"/>
    </row>
    <row r="2140" hidden="1">
      <c r="A2140" s="21"/>
      <c r="B2140" s="21" t="s">
        <v>2996</v>
      </c>
      <c r="D2140" s="25">
        <v>0.0</v>
      </c>
      <c r="E2140" s="27"/>
      <c r="F2140" s="25">
        <v>0.0</v>
      </c>
      <c r="G2140" s="27"/>
    </row>
    <row r="2141" hidden="1">
      <c r="A2141" s="21"/>
      <c r="B2141" s="21" t="s">
        <v>2997</v>
      </c>
      <c r="D2141" s="25">
        <v>0.0</v>
      </c>
      <c r="E2141" s="27"/>
      <c r="F2141" s="25">
        <v>0.0</v>
      </c>
      <c r="G2141" s="27"/>
    </row>
    <row r="2142" hidden="1">
      <c r="A2142" s="21"/>
      <c r="B2142" s="21" t="s">
        <v>2998</v>
      </c>
      <c r="D2142" s="25">
        <v>0.0</v>
      </c>
      <c r="E2142" s="27"/>
      <c r="F2142" s="25">
        <v>0.0</v>
      </c>
      <c r="G2142" s="27"/>
    </row>
    <row r="2143" hidden="1">
      <c r="A2143" s="21"/>
      <c r="B2143" s="21" t="s">
        <v>2999</v>
      </c>
      <c r="D2143" s="25">
        <v>0.0</v>
      </c>
      <c r="E2143" s="27"/>
      <c r="F2143" s="25">
        <v>0.0</v>
      </c>
      <c r="G2143" s="27"/>
    </row>
    <row r="2144" hidden="1">
      <c r="A2144" s="21"/>
      <c r="B2144" s="21" t="s">
        <v>3000</v>
      </c>
      <c r="D2144" s="25">
        <v>0.0</v>
      </c>
      <c r="E2144" s="27"/>
      <c r="F2144" s="25">
        <v>0.0</v>
      </c>
      <c r="G2144" s="27"/>
    </row>
    <row r="2145" hidden="1">
      <c r="A2145" s="21"/>
      <c r="B2145" s="21" t="s">
        <v>3001</v>
      </c>
      <c r="D2145" s="25">
        <v>0.0</v>
      </c>
      <c r="E2145" s="27"/>
      <c r="F2145" s="25">
        <v>0.0</v>
      </c>
      <c r="G2145" s="27"/>
    </row>
    <row r="2146" hidden="1">
      <c r="A2146" s="21"/>
      <c r="B2146" s="21" t="s">
        <v>3002</v>
      </c>
      <c r="D2146" s="25">
        <v>0.0</v>
      </c>
      <c r="E2146" s="27"/>
      <c r="F2146" s="25">
        <v>0.0</v>
      </c>
      <c r="G2146" s="27"/>
    </row>
    <row r="2147" hidden="1">
      <c r="A2147" s="21"/>
      <c r="B2147" s="21" t="s">
        <v>3003</v>
      </c>
      <c r="D2147" s="25">
        <v>0.0</v>
      </c>
      <c r="E2147" s="27"/>
      <c r="F2147" s="25">
        <v>0.0</v>
      </c>
      <c r="G2147" s="27"/>
    </row>
    <row r="2148" hidden="1">
      <c r="A2148" s="21"/>
      <c r="B2148" s="21" t="s">
        <v>3004</v>
      </c>
      <c r="D2148" s="25">
        <v>0.0</v>
      </c>
      <c r="E2148" s="27"/>
      <c r="F2148" s="25">
        <v>0.0</v>
      </c>
      <c r="G2148" s="27"/>
    </row>
    <row r="2149" hidden="1">
      <c r="A2149" s="21"/>
      <c r="B2149" s="21" t="s">
        <v>3005</v>
      </c>
      <c r="D2149" s="25">
        <v>0.0</v>
      </c>
      <c r="E2149" s="27"/>
      <c r="F2149" s="25">
        <v>0.0</v>
      </c>
      <c r="G2149" s="27"/>
    </row>
    <row r="2150" hidden="1">
      <c r="A2150" s="21"/>
      <c r="B2150" s="21" t="s">
        <v>3006</v>
      </c>
      <c r="D2150" s="25">
        <v>0.0</v>
      </c>
      <c r="E2150" s="27"/>
      <c r="F2150" s="25">
        <v>0.0</v>
      </c>
      <c r="G2150" s="27"/>
    </row>
    <row r="2151" hidden="1">
      <c r="A2151" s="21"/>
      <c r="B2151" s="21" t="s">
        <v>3007</v>
      </c>
      <c r="D2151" s="25">
        <v>0.0</v>
      </c>
      <c r="E2151" s="27"/>
      <c r="F2151" s="25">
        <v>0.0</v>
      </c>
      <c r="G2151" s="27"/>
    </row>
    <row r="2152" hidden="1">
      <c r="A2152" s="21"/>
      <c r="B2152" s="21" t="s">
        <v>3008</v>
      </c>
      <c r="D2152" s="25">
        <v>0.0</v>
      </c>
      <c r="E2152" s="27"/>
      <c r="F2152" s="25">
        <v>0.0</v>
      </c>
      <c r="G2152" s="27"/>
    </row>
    <row r="2153" hidden="1">
      <c r="A2153" s="21"/>
      <c r="B2153" s="21" t="s">
        <v>3009</v>
      </c>
      <c r="D2153" s="25">
        <v>0.0</v>
      </c>
      <c r="E2153" s="27"/>
      <c r="F2153" s="25">
        <v>0.0</v>
      </c>
      <c r="G2153" s="27"/>
    </row>
    <row r="2154" hidden="1">
      <c r="A2154" s="21"/>
      <c r="B2154" s="21" t="s">
        <v>3010</v>
      </c>
      <c r="D2154" s="25">
        <v>0.0</v>
      </c>
      <c r="E2154" s="27"/>
      <c r="F2154" s="25">
        <v>0.0</v>
      </c>
      <c r="G2154" s="27"/>
    </row>
    <row r="2155" hidden="1">
      <c r="A2155" s="21"/>
      <c r="B2155" s="21" t="s">
        <v>3011</v>
      </c>
      <c r="D2155" s="25">
        <v>0.0</v>
      </c>
      <c r="E2155" s="27"/>
      <c r="F2155" s="25">
        <v>0.0</v>
      </c>
      <c r="G2155" s="27"/>
    </row>
    <row r="2156" hidden="1">
      <c r="A2156" s="21"/>
      <c r="B2156" s="21" t="s">
        <v>3012</v>
      </c>
      <c r="D2156" s="25">
        <v>0.0</v>
      </c>
      <c r="E2156" s="27"/>
      <c r="F2156" s="25">
        <v>0.0</v>
      </c>
      <c r="G2156" s="27"/>
    </row>
    <row r="2157" hidden="1">
      <c r="A2157" s="21"/>
      <c r="B2157" s="21" t="s">
        <v>3013</v>
      </c>
      <c r="D2157" s="25">
        <v>0.0</v>
      </c>
      <c r="E2157" s="27"/>
      <c r="F2157" s="25">
        <v>0.0</v>
      </c>
      <c r="G2157" s="27"/>
    </row>
    <row r="2158" hidden="1">
      <c r="A2158" s="21"/>
      <c r="B2158" s="21" t="s">
        <v>3014</v>
      </c>
      <c r="D2158" s="25">
        <v>0.0</v>
      </c>
      <c r="E2158" s="27"/>
      <c r="F2158" s="25">
        <v>0.0</v>
      </c>
      <c r="G2158" s="27"/>
    </row>
    <row r="2159" hidden="1">
      <c r="A2159" s="21"/>
      <c r="B2159" s="21" t="s">
        <v>3015</v>
      </c>
      <c r="D2159" s="25">
        <v>0.0</v>
      </c>
      <c r="E2159" s="27"/>
      <c r="F2159" s="25">
        <v>0.0</v>
      </c>
      <c r="G2159" s="27"/>
    </row>
    <row r="2160" hidden="1">
      <c r="A2160" s="21"/>
      <c r="B2160" s="21" t="s">
        <v>3016</v>
      </c>
      <c r="D2160" s="25">
        <v>0.0</v>
      </c>
      <c r="E2160" s="27"/>
      <c r="F2160" s="25">
        <v>0.0</v>
      </c>
      <c r="G2160" s="27"/>
    </row>
    <row r="2161" hidden="1">
      <c r="A2161" s="21"/>
      <c r="B2161" s="21" t="s">
        <v>3017</v>
      </c>
      <c r="D2161" s="25">
        <v>0.0</v>
      </c>
      <c r="E2161" s="27"/>
      <c r="F2161" s="25">
        <v>0.0</v>
      </c>
      <c r="G2161" s="27"/>
    </row>
    <row r="2162" hidden="1">
      <c r="A2162" s="21"/>
      <c r="B2162" s="21" t="s">
        <v>3018</v>
      </c>
      <c r="D2162" s="25">
        <v>0.0</v>
      </c>
      <c r="E2162" s="27"/>
      <c r="F2162" s="25">
        <v>0.0</v>
      </c>
      <c r="G2162" s="27"/>
    </row>
    <row r="2163" hidden="1">
      <c r="A2163" s="21"/>
      <c r="B2163" s="21" t="s">
        <v>3019</v>
      </c>
      <c r="D2163" s="25">
        <v>0.0</v>
      </c>
      <c r="E2163" s="27"/>
      <c r="F2163" s="25">
        <v>0.0</v>
      </c>
      <c r="G2163" s="27"/>
    </row>
    <row r="2164" hidden="1">
      <c r="A2164" s="21"/>
      <c r="B2164" s="21" t="s">
        <v>3020</v>
      </c>
      <c r="D2164" s="25">
        <v>0.0</v>
      </c>
      <c r="E2164" s="27"/>
      <c r="F2164" s="25">
        <v>0.0</v>
      </c>
      <c r="G2164" s="27"/>
    </row>
    <row r="2165" hidden="1">
      <c r="A2165" s="21"/>
      <c r="B2165" s="21" t="s">
        <v>3021</v>
      </c>
      <c r="D2165" s="25">
        <v>0.0</v>
      </c>
      <c r="E2165" s="27"/>
      <c r="F2165" s="25">
        <v>0.0</v>
      </c>
      <c r="G2165" s="27"/>
    </row>
    <row r="2166" hidden="1">
      <c r="A2166" s="21"/>
      <c r="B2166" s="21" t="s">
        <v>3022</v>
      </c>
      <c r="D2166" s="25">
        <v>0.0</v>
      </c>
      <c r="E2166" s="27"/>
      <c r="F2166" s="25">
        <v>0.0</v>
      </c>
      <c r="G2166" s="27"/>
    </row>
    <row r="2167" hidden="1">
      <c r="A2167" s="21"/>
      <c r="B2167" s="21" t="s">
        <v>3023</v>
      </c>
      <c r="D2167" s="25">
        <v>0.0</v>
      </c>
      <c r="E2167" s="27"/>
      <c r="F2167" s="25">
        <v>0.0</v>
      </c>
      <c r="G2167" s="27"/>
    </row>
    <row r="2168" hidden="1">
      <c r="A2168" s="21"/>
      <c r="B2168" s="21" t="s">
        <v>3024</v>
      </c>
      <c r="D2168" s="25">
        <v>0.0</v>
      </c>
      <c r="E2168" s="27"/>
      <c r="F2168" s="25">
        <v>0.0</v>
      </c>
      <c r="G2168" s="27"/>
    </row>
    <row r="2169" hidden="1">
      <c r="A2169" s="21"/>
      <c r="B2169" s="21" t="s">
        <v>3025</v>
      </c>
      <c r="D2169" s="25">
        <v>0.0</v>
      </c>
      <c r="E2169" s="27"/>
      <c r="F2169" s="25">
        <v>0.0</v>
      </c>
      <c r="G2169" s="27"/>
    </row>
    <row r="2170" hidden="1">
      <c r="A2170" s="21"/>
      <c r="B2170" s="21" t="s">
        <v>3026</v>
      </c>
      <c r="D2170" s="25">
        <v>0.0</v>
      </c>
      <c r="E2170" s="27"/>
      <c r="F2170" s="25">
        <v>0.0</v>
      </c>
      <c r="G2170" s="27"/>
    </row>
    <row r="2171" hidden="1">
      <c r="A2171" s="21"/>
      <c r="B2171" s="21" t="s">
        <v>3027</v>
      </c>
      <c r="D2171" s="25">
        <v>0.0</v>
      </c>
      <c r="E2171" s="27"/>
      <c r="F2171" s="25">
        <v>0.0</v>
      </c>
      <c r="G2171" s="27"/>
    </row>
    <row r="2172" hidden="1">
      <c r="A2172" s="21"/>
      <c r="B2172" s="21" t="s">
        <v>3028</v>
      </c>
      <c r="D2172" s="25">
        <v>0.0</v>
      </c>
      <c r="E2172" s="27"/>
      <c r="F2172" s="25">
        <v>0.0</v>
      </c>
      <c r="G2172" s="27"/>
    </row>
    <row r="2173" hidden="1">
      <c r="A2173" s="21"/>
      <c r="B2173" s="21" t="s">
        <v>3029</v>
      </c>
      <c r="D2173" s="25">
        <v>0.0</v>
      </c>
      <c r="E2173" s="27"/>
      <c r="F2173" s="25">
        <v>0.0</v>
      </c>
      <c r="G2173" s="27"/>
    </row>
    <row r="2174" hidden="1">
      <c r="A2174" s="21"/>
      <c r="B2174" s="21" t="s">
        <v>3030</v>
      </c>
      <c r="D2174" s="25">
        <v>0.0</v>
      </c>
      <c r="E2174" s="27"/>
      <c r="F2174" s="25">
        <v>0.0</v>
      </c>
      <c r="G2174" s="27"/>
    </row>
    <row r="2175" hidden="1">
      <c r="A2175" s="21"/>
      <c r="B2175" s="21" t="s">
        <v>3031</v>
      </c>
      <c r="D2175" s="25">
        <v>0.0</v>
      </c>
      <c r="E2175" s="27"/>
      <c r="F2175" s="25">
        <v>0.0</v>
      </c>
      <c r="G2175" s="27"/>
    </row>
    <row r="2176" hidden="1">
      <c r="A2176" s="21"/>
      <c r="B2176" s="21" t="s">
        <v>3032</v>
      </c>
      <c r="D2176" s="25">
        <v>0.0</v>
      </c>
      <c r="E2176" s="27"/>
      <c r="F2176" s="25">
        <v>0.0</v>
      </c>
      <c r="G2176" s="27"/>
    </row>
    <row r="2177" hidden="1">
      <c r="A2177" s="21"/>
      <c r="B2177" s="21" t="s">
        <v>3033</v>
      </c>
      <c r="D2177" s="25">
        <v>0.0</v>
      </c>
      <c r="E2177" s="27"/>
      <c r="F2177" s="25">
        <v>0.0</v>
      </c>
      <c r="G2177" s="27"/>
    </row>
    <row r="2178" hidden="1">
      <c r="A2178" s="21"/>
      <c r="B2178" s="21" t="s">
        <v>3034</v>
      </c>
      <c r="D2178" s="25">
        <v>0.0</v>
      </c>
      <c r="E2178" s="27"/>
      <c r="F2178" s="25">
        <v>0.0</v>
      </c>
      <c r="G2178" s="27"/>
    </row>
    <row r="2179" hidden="1">
      <c r="A2179" s="21"/>
      <c r="B2179" s="21" t="s">
        <v>3035</v>
      </c>
      <c r="D2179" s="25">
        <v>0.0</v>
      </c>
      <c r="E2179" s="27"/>
      <c r="F2179" s="25">
        <v>0.0</v>
      </c>
      <c r="G2179" s="27"/>
    </row>
    <row r="2180" hidden="1">
      <c r="A2180" s="21"/>
      <c r="B2180" s="21" t="s">
        <v>3036</v>
      </c>
      <c r="D2180" s="25">
        <v>0.0</v>
      </c>
      <c r="E2180" s="27"/>
      <c r="F2180" s="25">
        <v>0.0</v>
      </c>
      <c r="G2180" s="27"/>
    </row>
    <row r="2181" hidden="1">
      <c r="A2181" s="21"/>
      <c r="B2181" s="21" t="s">
        <v>3037</v>
      </c>
      <c r="D2181" s="25">
        <v>0.0</v>
      </c>
      <c r="E2181" s="27"/>
      <c r="F2181" s="25">
        <v>0.0</v>
      </c>
      <c r="G2181" s="27"/>
    </row>
    <row r="2182" hidden="1">
      <c r="A2182" s="21"/>
      <c r="B2182" s="21" t="s">
        <v>3038</v>
      </c>
      <c r="D2182" s="25">
        <v>0.0</v>
      </c>
      <c r="E2182" s="27"/>
      <c r="F2182" s="25">
        <v>0.0</v>
      </c>
      <c r="G2182" s="27"/>
    </row>
    <row r="2183" hidden="1">
      <c r="A2183" s="21"/>
      <c r="B2183" s="21" t="s">
        <v>3039</v>
      </c>
      <c r="D2183" s="25">
        <v>0.0</v>
      </c>
      <c r="E2183" s="27"/>
      <c r="F2183" s="25">
        <v>0.0</v>
      </c>
      <c r="G2183" s="27"/>
    </row>
    <row r="2184" hidden="1">
      <c r="A2184" s="21"/>
      <c r="B2184" s="21" t="s">
        <v>3040</v>
      </c>
      <c r="D2184" s="25">
        <v>0.0</v>
      </c>
      <c r="E2184" s="27"/>
      <c r="F2184" s="25">
        <v>0.0</v>
      </c>
      <c r="G2184" s="27"/>
    </row>
    <row r="2185" hidden="1">
      <c r="A2185" s="21"/>
      <c r="B2185" s="21" t="s">
        <v>3041</v>
      </c>
      <c r="D2185" s="25">
        <v>0.0</v>
      </c>
      <c r="E2185" s="27"/>
      <c r="F2185" s="25">
        <v>0.0</v>
      </c>
      <c r="G2185" s="27"/>
    </row>
    <row r="2186" hidden="1">
      <c r="A2186" s="21"/>
      <c r="B2186" s="21" t="s">
        <v>3042</v>
      </c>
      <c r="D2186" s="25">
        <v>0.0</v>
      </c>
      <c r="E2186" s="27"/>
      <c r="F2186" s="25">
        <v>0.0</v>
      </c>
      <c r="G2186" s="27"/>
    </row>
    <row r="2187" hidden="1">
      <c r="A2187" s="21"/>
      <c r="B2187" s="21" t="s">
        <v>3043</v>
      </c>
      <c r="D2187" s="25">
        <v>0.0</v>
      </c>
      <c r="E2187" s="27"/>
      <c r="F2187" s="25">
        <v>0.0</v>
      </c>
      <c r="G2187" s="27"/>
    </row>
    <row r="2188" hidden="1">
      <c r="A2188" s="21"/>
      <c r="B2188" s="21" t="s">
        <v>3044</v>
      </c>
      <c r="D2188" s="25">
        <v>0.0</v>
      </c>
      <c r="E2188" s="27"/>
      <c r="F2188" s="25">
        <v>0.0</v>
      </c>
      <c r="G2188" s="27"/>
    </row>
    <row r="2189" hidden="1">
      <c r="A2189" s="21"/>
      <c r="B2189" s="21" t="s">
        <v>3045</v>
      </c>
      <c r="D2189" s="25">
        <v>0.0</v>
      </c>
      <c r="E2189" s="27"/>
      <c r="F2189" s="25">
        <v>0.0</v>
      </c>
      <c r="G2189" s="27"/>
    </row>
    <row r="2190" hidden="1">
      <c r="A2190" s="21"/>
      <c r="B2190" s="21" t="s">
        <v>3046</v>
      </c>
      <c r="D2190" s="25">
        <v>0.0</v>
      </c>
      <c r="E2190" s="27"/>
      <c r="F2190" s="25">
        <v>0.0</v>
      </c>
      <c r="G2190" s="27"/>
    </row>
    <row r="2191" hidden="1">
      <c r="A2191" s="21"/>
      <c r="B2191" s="21" t="s">
        <v>3047</v>
      </c>
      <c r="D2191" s="25">
        <v>0.0</v>
      </c>
      <c r="E2191" s="27"/>
      <c r="F2191" s="25">
        <v>0.0</v>
      </c>
      <c r="G2191" s="27"/>
    </row>
    <row r="2192" hidden="1">
      <c r="A2192" s="21"/>
      <c r="B2192" s="21" t="s">
        <v>3048</v>
      </c>
      <c r="D2192" s="25">
        <v>0.0</v>
      </c>
      <c r="E2192" s="27"/>
      <c r="F2192" s="25">
        <v>0.0</v>
      </c>
      <c r="G2192" s="27"/>
    </row>
    <row r="2193" hidden="1">
      <c r="A2193" s="21"/>
      <c r="B2193" s="21" t="s">
        <v>3049</v>
      </c>
      <c r="D2193" s="25">
        <v>0.0</v>
      </c>
      <c r="E2193" s="27"/>
      <c r="F2193" s="25">
        <v>0.0</v>
      </c>
      <c r="G2193" s="27"/>
    </row>
    <row r="2194" hidden="1">
      <c r="A2194" s="21"/>
      <c r="B2194" s="21" t="s">
        <v>3050</v>
      </c>
      <c r="D2194" s="25">
        <v>0.0</v>
      </c>
      <c r="E2194" s="27"/>
      <c r="F2194" s="25">
        <v>0.0</v>
      </c>
      <c r="G2194" s="27"/>
    </row>
    <row r="2195" hidden="1">
      <c r="A2195" s="21"/>
      <c r="B2195" s="21" t="s">
        <v>3051</v>
      </c>
      <c r="D2195" s="25">
        <v>0.0</v>
      </c>
      <c r="E2195" s="27"/>
      <c r="F2195" s="25">
        <v>0.0</v>
      </c>
      <c r="G2195" s="27"/>
    </row>
    <row r="2196" hidden="1">
      <c r="A2196" s="21"/>
      <c r="B2196" s="21" t="s">
        <v>3052</v>
      </c>
      <c r="D2196" s="25">
        <v>0.0</v>
      </c>
      <c r="E2196" s="27"/>
      <c r="F2196" s="25">
        <v>0.0</v>
      </c>
      <c r="G2196" s="27"/>
    </row>
    <row r="2197" hidden="1">
      <c r="A2197" s="21"/>
      <c r="B2197" s="21" t="s">
        <v>3053</v>
      </c>
      <c r="D2197" s="25">
        <v>0.0</v>
      </c>
      <c r="E2197" s="27"/>
      <c r="F2197" s="25">
        <v>0.0</v>
      </c>
      <c r="G2197" s="27"/>
    </row>
    <row r="2198" hidden="1">
      <c r="A2198" s="21"/>
      <c r="B2198" s="21" t="s">
        <v>3054</v>
      </c>
      <c r="D2198" s="25">
        <v>0.0</v>
      </c>
      <c r="E2198" s="27"/>
      <c r="F2198" s="25">
        <v>0.0</v>
      </c>
      <c r="G2198" s="27"/>
    </row>
    <row r="2199" hidden="1">
      <c r="A2199" s="21"/>
      <c r="B2199" s="21" t="s">
        <v>3055</v>
      </c>
      <c r="D2199" s="25">
        <v>0.0</v>
      </c>
      <c r="E2199" s="27"/>
      <c r="F2199" s="25">
        <v>0.0</v>
      </c>
      <c r="G2199" s="27"/>
    </row>
    <row r="2200" hidden="1">
      <c r="A2200" s="21"/>
      <c r="B2200" s="21" t="s">
        <v>3056</v>
      </c>
      <c r="D2200" s="25">
        <v>0.0</v>
      </c>
      <c r="E2200" s="27"/>
      <c r="F2200" s="25">
        <v>0.0</v>
      </c>
      <c r="G2200" s="27"/>
    </row>
    <row r="2201" hidden="1">
      <c r="A2201" s="21"/>
      <c r="B2201" s="21" t="s">
        <v>3057</v>
      </c>
      <c r="D2201" s="25">
        <v>0.0</v>
      </c>
      <c r="E2201" s="27"/>
      <c r="F2201" s="25">
        <v>0.0</v>
      </c>
      <c r="G2201" s="27"/>
    </row>
    <row r="2202" hidden="1">
      <c r="A2202" s="21"/>
      <c r="B2202" s="21" t="s">
        <v>3058</v>
      </c>
      <c r="D2202" s="25">
        <v>0.0</v>
      </c>
      <c r="E2202" s="27"/>
      <c r="F2202" s="25">
        <v>0.0</v>
      </c>
      <c r="G2202" s="27"/>
    </row>
    <row r="2203" hidden="1">
      <c r="A2203" s="21"/>
      <c r="B2203" s="21" t="s">
        <v>3059</v>
      </c>
      <c r="D2203" s="25">
        <v>0.0</v>
      </c>
      <c r="E2203" s="27"/>
      <c r="F2203" s="25">
        <v>0.0</v>
      </c>
      <c r="G2203" s="27"/>
    </row>
    <row r="2204" hidden="1">
      <c r="A2204" s="21"/>
      <c r="B2204" s="21" t="s">
        <v>3060</v>
      </c>
      <c r="D2204" s="25">
        <v>0.0</v>
      </c>
      <c r="E2204" s="27"/>
      <c r="F2204" s="25">
        <v>0.0</v>
      </c>
      <c r="G2204" s="27"/>
    </row>
    <row r="2205" hidden="1">
      <c r="A2205" s="21"/>
      <c r="B2205" s="21" t="s">
        <v>3061</v>
      </c>
      <c r="D2205" s="25">
        <v>0.0</v>
      </c>
      <c r="E2205" s="27"/>
      <c r="F2205" s="25">
        <v>0.0</v>
      </c>
      <c r="G2205" s="27"/>
    </row>
    <row r="2206" hidden="1">
      <c r="A2206" s="21"/>
      <c r="B2206" s="21" t="s">
        <v>3062</v>
      </c>
      <c r="D2206" s="25">
        <v>0.0</v>
      </c>
      <c r="E2206" s="27"/>
      <c r="F2206" s="25">
        <v>0.0</v>
      </c>
      <c r="G2206" s="27"/>
    </row>
    <row r="2207" hidden="1">
      <c r="A2207" s="21"/>
      <c r="B2207" s="21" t="s">
        <v>3063</v>
      </c>
      <c r="D2207" s="25">
        <v>0.0</v>
      </c>
      <c r="E2207" s="27"/>
      <c r="F2207" s="25">
        <v>0.0</v>
      </c>
      <c r="G2207" s="27"/>
    </row>
    <row r="2208" hidden="1">
      <c r="A2208" s="21"/>
      <c r="B2208" s="21" t="s">
        <v>3064</v>
      </c>
      <c r="D2208" s="25">
        <v>0.0</v>
      </c>
      <c r="E2208" s="27"/>
      <c r="F2208" s="25">
        <v>0.0</v>
      </c>
      <c r="G2208" s="27"/>
    </row>
    <row r="2209" hidden="1">
      <c r="A2209" s="21"/>
      <c r="B2209" s="21" t="s">
        <v>3065</v>
      </c>
      <c r="D2209" s="25">
        <v>0.0</v>
      </c>
      <c r="E2209" s="27"/>
      <c r="F2209" s="25">
        <v>0.0</v>
      </c>
      <c r="G2209" s="27"/>
    </row>
    <row r="2210" hidden="1">
      <c r="A2210" s="21"/>
      <c r="B2210" s="21" t="s">
        <v>3066</v>
      </c>
      <c r="D2210" s="25">
        <v>0.0</v>
      </c>
      <c r="E2210" s="27"/>
      <c r="F2210" s="25">
        <v>0.0</v>
      </c>
      <c r="G2210" s="27"/>
    </row>
    <row r="2211" hidden="1">
      <c r="A2211" s="21"/>
      <c r="B2211" s="21" t="s">
        <v>3067</v>
      </c>
      <c r="D2211" s="25">
        <v>0.0</v>
      </c>
      <c r="E2211" s="27"/>
      <c r="F2211" s="25">
        <v>0.0</v>
      </c>
      <c r="G2211" s="27"/>
    </row>
    <row r="2212" hidden="1">
      <c r="A2212" s="21"/>
      <c r="B2212" s="21" t="s">
        <v>3068</v>
      </c>
      <c r="D2212" s="25">
        <v>0.0</v>
      </c>
      <c r="E2212" s="27"/>
      <c r="F2212" s="25">
        <v>0.0</v>
      </c>
      <c r="G2212" s="27"/>
    </row>
    <row r="2213" hidden="1">
      <c r="A2213" s="21"/>
      <c r="B2213" s="21" t="s">
        <v>3069</v>
      </c>
      <c r="D2213" s="25">
        <v>0.0</v>
      </c>
      <c r="E2213" s="27"/>
      <c r="F2213" s="25">
        <v>0.0</v>
      </c>
      <c r="G2213" s="27"/>
    </row>
    <row r="2214" hidden="1">
      <c r="A2214" s="21"/>
      <c r="B2214" s="21" t="s">
        <v>3070</v>
      </c>
      <c r="D2214" s="25">
        <v>0.0</v>
      </c>
      <c r="E2214" s="27"/>
      <c r="F2214" s="25">
        <v>0.0</v>
      </c>
      <c r="G2214" s="27"/>
    </row>
    <row r="2215" hidden="1">
      <c r="A2215" s="21"/>
      <c r="B2215" s="21" t="s">
        <v>3071</v>
      </c>
      <c r="D2215" s="25">
        <v>0.0</v>
      </c>
      <c r="E2215" s="27"/>
      <c r="F2215" s="25">
        <v>0.0</v>
      </c>
      <c r="G2215" s="27"/>
    </row>
    <row r="2216" hidden="1">
      <c r="A2216" s="21"/>
      <c r="B2216" s="21" t="s">
        <v>3072</v>
      </c>
      <c r="D2216" s="25">
        <v>0.0</v>
      </c>
      <c r="E2216" s="27"/>
      <c r="F2216" s="25">
        <v>0.0</v>
      </c>
      <c r="G2216" s="27"/>
    </row>
    <row r="2217" hidden="1">
      <c r="A2217" s="21"/>
      <c r="B2217" s="21" t="s">
        <v>3073</v>
      </c>
      <c r="D2217" s="25">
        <v>0.0</v>
      </c>
      <c r="E2217" s="27"/>
      <c r="F2217" s="25">
        <v>0.0</v>
      </c>
      <c r="G2217" s="27"/>
    </row>
    <row r="2218" hidden="1">
      <c r="A2218" s="21"/>
      <c r="B2218" s="21" t="s">
        <v>3074</v>
      </c>
      <c r="D2218" s="25">
        <v>0.0</v>
      </c>
      <c r="E2218" s="27"/>
      <c r="F2218" s="25">
        <v>0.0</v>
      </c>
      <c r="G2218" s="27"/>
    </row>
    <row r="2219" hidden="1">
      <c r="A2219" s="21"/>
      <c r="B2219" s="21" t="s">
        <v>3075</v>
      </c>
      <c r="D2219" s="25">
        <v>0.0</v>
      </c>
      <c r="E2219" s="27"/>
      <c r="F2219" s="25">
        <v>0.0</v>
      </c>
      <c r="G2219" s="27"/>
    </row>
    <row r="2220" hidden="1">
      <c r="A2220" s="21"/>
      <c r="B2220" s="21" t="s">
        <v>3076</v>
      </c>
      <c r="D2220" s="25">
        <v>0.0</v>
      </c>
      <c r="E2220" s="27"/>
      <c r="F2220" s="25">
        <v>0.0</v>
      </c>
      <c r="G2220" s="27"/>
    </row>
    <row r="2221" hidden="1">
      <c r="A2221" s="21"/>
      <c r="B2221" s="21" t="s">
        <v>3077</v>
      </c>
      <c r="D2221" s="25">
        <v>0.0</v>
      </c>
      <c r="E2221" s="27"/>
      <c r="F2221" s="25">
        <v>0.0</v>
      </c>
      <c r="G2221" s="27"/>
    </row>
    <row r="2222" hidden="1">
      <c r="A2222" s="21"/>
      <c r="B2222" s="21" t="s">
        <v>3078</v>
      </c>
      <c r="D2222" s="25">
        <v>0.0</v>
      </c>
      <c r="E2222" s="27"/>
      <c r="F2222" s="25">
        <v>0.0</v>
      </c>
      <c r="G2222" s="27"/>
    </row>
    <row r="2223" hidden="1">
      <c r="A2223" s="21"/>
      <c r="B2223" s="21" t="s">
        <v>3079</v>
      </c>
      <c r="D2223" s="25">
        <v>0.0</v>
      </c>
      <c r="E2223" s="27"/>
      <c r="F2223" s="25">
        <v>0.0</v>
      </c>
      <c r="G2223" s="27"/>
    </row>
    <row r="2224" hidden="1">
      <c r="A2224" s="21"/>
      <c r="B2224" s="21" t="s">
        <v>3080</v>
      </c>
      <c r="D2224" s="25">
        <v>0.0</v>
      </c>
      <c r="E2224" s="27"/>
      <c r="F2224" s="25">
        <v>0.0</v>
      </c>
      <c r="G2224" s="27"/>
    </row>
    <row r="2225" hidden="1">
      <c r="A2225" s="21"/>
      <c r="B2225" s="21" t="s">
        <v>3081</v>
      </c>
      <c r="D2225" s="25">
        <v>0.0</v>
      </c>
      <c r="E2225" s="27"/>
      <c r="F2225" s="25">
        <v>0.0</v>
      </c>
      <c r="G2225" s="27"/>
    </row>
    <row r="2226" hidden="1">
      <c r="A2226" s="21"/>
      <c r="B2226" s="21" t="s">
        <v>3082</v>
      </c>
      <c r="D2226" s="25">
        <v>0.0</v>
      </c>
      <c r="E2226" s="27"/>
      <c r="F2226" s="25">
        <v>0.0</v>
      </c>
      <c r="G2226" s="27"/>
    </row>
    <row r="2227" hidden="1">
      <c r="A2227" s="21"/>
      <c r="B2227" s="21" t="s">
        <v>3083</v>
      </c>
      <c r="D2227" s="25">
        <v>0.0</v>
      </c>
      <c r="E2227" s="27"/>
      <c r="F2227" s="25">
        <v>0.0</v>
      </c>
      <c r="G2227" s="27"/>
    </row>
    <row r="2228" hidden="1">
      <c r="A2228" s="21"/>
      <c r="B2228" s="21" t="s">
        <v>3084</v>
      </c>
      <c r="D2228" s="25">
        <v>0.0</v>
      </c>
      <c r="E2228" s="27"/>
      <c r="F2228" s="25">
        <v>0.0</v>
      </c>
      <c r="G2228" s="27"/>
    </row>
    <row r="2229" hidden="1">
      <c r="A2229" s="21"/>
      <c r="B2229" s="21" t="s">
        <v>3085</v>
      </c>
      <c r="D2229" s="25">
        <v>0.0</v>
      </c>
      <c r="E2229" s="27"/>
      <c r="F2229" s="25">
        <v>0.0</v>
      </c>
      <c r="G2229" s="27"/>
    </row>
    <row r="2230" hidden="1">
      <c r="A2230" s="21"/>
      <c r="B2230" s="21" t="s">
        <v>3086</v>
      </c>
      <c r="D2230" s="25">
        <v>0.0</v>
      </c>
      <c r="E2230" s="27"/>
      <c r="F2230" s="25">
        <v>0.0</v>
      </c>
      <c r="G2230" s="27"/>
    </row>
    <row r="2231" hidden="1">
      <c r="A2231" s="21"/>
      <c r="B2231" s="21" t="s">
        <v>3087</v>
      </c>
      <c r="D2231" s="25">
        <v>0.0</v>
      </c>
      <c r="E2231" s="27"/>
      <c r="F2231" s="25">
        <v>0.0</v>
      </c>
      <c r="G2231" s="27"/>
    </row>
    <row r="2232" hidden="1">
      <c r="A2232" s="21"/>
      <c r="B2232" s="21" t="s">
        <v>3088</v>
      </c>
      <c r="D2232" s="25">
        <v>0.0</v>
      </c>
      <c r="E2232" s="27"/>
      <c r="F2232" s="25">
        <v>0.0</v>
      </c>
      <c r="G2232" s="27"/>
    </row>
    <row r="2233" hidden="1">
      <c r="A2233" s="21"/>
      <c r="B2233" s="21" t="s">
        <v>3089</v>
      </c>
      <c r="D2233" s="25">
        <v>0.0</v>
      </c>
      <c r="E2233" s="27"/>
      <c r="F2233" s="25">
        <v>0.0</v>
      </c>
      <c r="G2233" s="27"/>
    </row>
    <row r="2234" hidden="1">
      <c r="A2234" s="21"/>
      <c r="B2234" s="21" t="s">
        <v>3090</v>
      </c>
      <c r="D2234" s="25">
        <v>0.0</v>
      </c>
      <c r="E2234" s="27"/>
      <c r="F2234" s="25">
        <v>0.0</v>
      </c>
      <c r="G2234" s="27"/>
    </row>
    <row r="2235" hidden="1">
      <c r="A2235" s="21"/>
      <c r="B2235" s="21" t="s">
        <v>3091</v>
      </c>
      <c r="D2235" s="25">
        <v>0.0</v>
      </c>
      <c r="E2235" s="27"/>
      <c r="F2235" s="25">
        <v>0.0</v>
      </c>
      <c r="G2235" s="27"/>
    </row>
    <row r="2236" hidden="1">
      <c r="A2236" s="21"/>
      <c r="B2236" s="21" t="s">
        <v>3092</v>
      </c>
      <c r="D2236" s="25">
        <v>0.0</v>
      </c>
      <c r="E2236" s="27"/>
      <c r="F2236" s="25">
        <v>0.0</v>
      </c>
      <c r="G2236" s="27"/>
    </row>
    <row r="2237" hidden="1">
      <c r="A2237" s="21"/>
      <c r="B2237" s="21" t="s">
        <v>3093</v>
      </c>
      <c r="D2237" s="25">
        <v>0.0</v>
      </c>
      <c r="E2237" s="27"/>
      <c r="F2237" s="25">
        <v>0.0</v>
      </c>
      <c r="G2237" s="27"/>
    </row>
    <row r="2238" hidden="1">
      <c r="A2238" s="21"/>
      <c r="B2238" s="21" t="s">
        <v>3094</v>
      </c>
      <c r="D2238" s="25">
        <v>0.0</v>
      </c>
      <c r="E2238" s="27"/>
      <c r="F2238" s="25">
        <v>0.0</v>
      </c>
      <c r="G2238" s="27"/>
    </row>
    <row r="2239" hidden="1">
      <c r="A2239" s="21"/>
      <c r="B2239" s="21" t="s">
        <v>3095</v>
      </c>
      <c r="D2239" s="25">
        <v>0.0</v>
      </c>
      <c r="E2239" s="27"/>
      <c r="F2239" s="25">
        <v>0.0</v>
      </c>
      <c r="G2239" s="27"/>
    </row>
    <row r="2240" hidden="1">
      <c r="A2240" s="21"/>
      <c r="B2240" s="21" t="s">
        <v>3096</v>
      </c>
      <c r="D2240" s="25">
        <v>0.0</v>
      </c>
      <c r="E2240" s="27"/>
      <c r="F2240" s="25">
        <v>0.0</v>
      </c>
      <c r="G2240" s="27"/>
    </row>
    <row r="2241" hidden="1">
      <c r="A2241" s="21"/>
      <c r="B2241" s="21" t="s">
        <v>3097</v>
      </c>
      <c r="D2241" s="25">
        <v>0.0</v>
      </c>
      <c r="E2241" s="27"/>
      <c r="F2241" s="25">
        <v>0.0</v>
      </c>
      <c r="G2241" s="27"/>
    </row>
    <row r="2242" hidden="1">
      <c r="A2242" s="21"/>
      <c r="B2242" s="21" t="s">
        <v>3098</v>
      </c>
      <c r="D2242" s="25">
        <v>0.0</v>
      </c>
      <c r="E2242" s="27"/>
      <c r="F2242" s="25">
        <v>0.0</v>
      </c>
      <c r="G2242" s="27"/>
    </row>
    <row r="2243" hidden="1">
      <c r="A2243" s="21"/>
      <c r="B2243" s="21" t="s">
        <v>3099</v>
      </c>
      <c r="D2243" s="25">
        <v>0.0</v>
      </c>
      <c r="E2243" s="27"/>
      <c r="F2243" s="25">
        <v>0.0</v>
      </c>
      <c r="G2243" s="27"/>
    </row>
    <row r="2244" hidden="1">
      <c r="A2244" s="21"/>
      <c r="B2244" s="21" t="s">
        <v>3100</v>
      </c>
      <c r="D2244" s="25">
        <v>0.0</v>
      </c>
      <c r="E2244" s="27"/>
      <c r="F2244" s="25">
        <v>0.0</v>
      </c>
      <c r="G2244" s="27"/>
    </row>
    <row r="2245" hidden="1">
      <c r="A2245" s="21"/>
      <c r="B2245" s="21" t="s">
        <v>3101</v>
      </c>
      <c r="D2245" s="25">
        <v>0.0</v>
      </c>
      <c r="E2245" s="27"/>
      <c r="F2245" s="25">
        <v>0.0</v>
      </c>
      <c r="G2245" s="27"/>
    </row>
    <row r="2246" hidden="1">
      <c r="A2246" s="21"/>
      <c r="B2246" s="21" t="s">
        <v>3102</v>
      </c>
      <c r="D2246" s="25">
        <v>0.0</v>
      </c>
      <c r="E2246" s="27"/>
      <c r="F2246" s="25">
        <v>0.0</v>
      </c>
      <c r="G2246" s="27"/>
    </row>
    <row r="2247" hidden="1">
      <c r="A2247" s="21"/>
      <c r="B2247" s="21" t="s">
        <v>3103</v>
      </c>
      <c r="D2247" s="25">
        <v>0.0</v>
      </c>
      <c r="E2247" s="27"/>
      <c r="F2247" s="25">
        <v>0.0</v>
      </c>
      <c r="G2247" s="27"/>
    </row>
    <row r="2248" hidden="1">
      <c r="A2248" s="21"/>
      <c r="B2248" s="21" t="s">
        <v>3104</v>
      </c>
      <c r="D2248" s="25">
        <v>0.0</v>
      </c>
      <c r="E2248" s="27"/>
      <c r="F2248" s="25">
        <v>0.0</v>
      </c>
      <c r="G2248" s="27"/>
    </row>
    <row r="2249" hidden="1">
      <c r="A2249" s="21"/>
      <c r="B2249" s="21" t="s">
        <v>3105</v>
      </c>
      <c r="D2249" s="25">
        <v>0.0</v>
      </c>
      <c r="E2249" s="27"/>
      <c r="F2249" s="25">
        <v>0.0</v>
      </c>
      <c r="G2249" s="27"/>
    </row>
    <row r="2250" hidden="1">
      <c r="A2250" s="21"/>
      <c r="B2250" s="21" t="s">
        <v>3106</v>
      </c>
      <c r="D2250" s="25">
        <v>0.0</v>
      </c>
      <c r="E2250" s="27"/>
      <c r="F2250" s="25">
        <v>0.0</v>
      </c>
      <c r="G2250" s="27"/>
    </row>
    <row r="2251" hidden="1">
      <c r="A2251" s="21"/>
      <c r="B2251" s="21" t="s">
        <v>3107</v>
      </c>
      <c r="D2251" s="25">
        <v>0.0</v>
      </c>
      <c r="E2251" s="27"/>
      <c r="F2251" s="25">
        <v>0.0</v>
      </c>
      <c r="G2251" s="27"/>
    </row>
    <row r="2252" hidden="1">
      <c r="A2252" s="21"/>
      <c r="B2252" s="21" t="s">
        <v>3108</v>
      </c>
      <c r="D2252" s="25">
        <v>0.0</v>
      </c>
      <c r="E2252" s="27"/>
      <c r="F2252" s="25">
        <v>0.0</v>
      </c>
      <c r="G2252" s="27"/>
    </row>
    <row r="2253" hidden="1">
      <c r="A2253" s="21"/>
      <c r="B2253" s="21" t="s">
        <v>3109</v>
      </c>
      <c r="D2253" s="25">
        <v>0.0</v>
      </c>
      <c r="E2253" s="27"/>
      <c r="F2253" s="25">
        <v>0.0</v>
      </c>
      <c r="G2253" s="27"/>
    </row>
    <row r="2254" hidden="1">
      <c r="A2254" s="21"/>
      <c r="B2254" s="21" t="s">
        <v>3110</v>
      </c>
      <c r="D2254" s="25">
        <v>0.0</v>
      </c>
      <c r="E2254" s="27"/>
      <c r="F2254" s="25">
        <v>0.0</v>
      </c>
      <c r="G2254" s="27"/>
    </row>
    <row r="2255" hidden="1">
      <c r="A2255" s="21"/>
      <c r="B2255" s="21" t="s">
        <v>3111</v>
      </c>
      <c r="D2255" s="25">
        <v>0.0</v>
      </c>
      <c r="E2255" s="27"/>
      <c r="F2255" s="25">
        <v>0.0</v>
      </c>
      <c r="G2255" s="27"/>
    </row>
    <row r="2256" hidden="1">
      <c r="A2256" s="21"/>
      <c r="B2256" s="21" t="s">
        <v>3112</v>
      </c>
      <c r="D2256" s="25">
        <v>0.0</v>
      </c>
      <c r="E2256" s="27"/>
      <c r="F2256" s="25">
        <v>0.0</v>
      </c>
      <c r="G2256" s="27"/>
    </row>
    <row r="2257" hidden="1">
      <c r="A2257" s="21"/>
      <c r="B2257" s="21" t="s">
        <v>3113</v>
      </c>
      <c r="D2257" s="25">
        <v>0.0</v>
      </c>
      <c r="E2257" s="27"/>
      <c r="F2257" s="25">
        <v>0.0</v>
      </c>
      <c r="G2257" s="27"/>
    </row>
    <row r="2258" hidden="1">
      <c r="A2258" s="21"/>
      <c r="B2258" s="21" t="s">
        <v>3114</v>
      </c>
      <c r="D2258" s="25">
        <v>0.0</v>
      </c>
      <c r="E2258" s="27"/>
      <c r="F2258" s="25">
        <v>0.0</v>
      </c>
      <c r="G2258" s="27"/>
    </row>
    <row r="2259" hidden="1">
      <c r="A2259" s="21"/>
      <c r="B2259" s="21" t="s">
        <v>3115</v>
      </c>
      <c r="D2259" s="25">
        <v>0.0</v>
      </c>
      <c r="E2259" s="27"/>
      <c r="F2259" s="25">
        <v>0.0</v>
      </c>
      <c r="G2259" s="27"/>
    </row>
    <row r="2260" hidden="1">
      <c r="A2260" s="21"/>
      <c r="B2260" s="21" t="s">
        <v>3116</v>
      </c>
      <c r="D2260" s="25">
        <v>0.0</v>
      </c>
      <c r="E2260" s="27"/>
      <c r="F2260" s="25">
        <v>0.0</v>
      </c>
      <c r="G2260" s="27"/>
    </row>
    <row r="2261" hidden="1">
      <c r="A2261" s="21"/>
      <c r="B2261" s="21" t="s">
        <v>3117</v>
      </c>
      <c r="D2261" s="25">
        <v>0.0</v>
      </c>
      <c r="E2261" s="27"/>
      <c r="F2261" s="25">
        <v>0.0</v>
      </c>
      <c r="G2261" s="27"/>
    </row>
    <row r="2262" hidden="1">
      <c r="A2262" s="21"/>
      <c r="B2262" s="21" t="s">
        <v>3118</v>
      </c>
      <c r="D2262" s="25">
        <v>0.0</v>
      </c>
      <c r="E2262" s="27"/>
      <c r="F2262" s="25">
        <v>0.0</v>
      </c>
      <c r="G2262" s="27"/>
    </row>
    <row r="2263" hidden="1">
      <c r="A2263" s="21"/>
      <c r="B2263" s="21" t="s">
        <v>3119</v>
      </c>
      <c r="D2263" s="25">
        <v>0.0</v>
      </c>
      <c r="E2263" s="27"/>
      <c r="F2263" s="25">
        <v>0.0</v>
      </c>
      <c r="G2263" s="27"/>
    </row>
    <row r="2264" hidden="1">
      <c r="A2264" s="21"/>
      <c r="B2264" s="21" t="s">
        <v>3120</v>
      </c>
      <c r="D2264" s="25">
        <v>0.0</v>
      </c>
      <c r="E2264" s="27"/>
      <c r="F2264" s="25">
        <v>0.0</v>
      </c>
      <c r="G2264" s="27"/>
    </row>
    <row r="2265" hidden="1">
      <c r="A2265" s="21"/>
      <c r="B2265" s="21" t="s">
        <v>3121</v>
      </c>
      <c r="D2265" s="25">
        <v>0.0</v>
      </c>
      <c r="E2265" s="27"/>
      <c r="F2265" s="25">
        <v>0.0</v>
      </c>
      <c r="G2265" s="27"/>
    </row>
    <row r="2266" hidden="1">
      <c r="A2266" s="21"/>
      <c r="B2266" s="21" t="s">
        <v>3122</v>
      </c>
      <c r="D2266" s="25">
        <v>0.0</v>
      </c>
      <c r="E2266" s="27"/>
      <c r="F2266" s="25">
        <v>0.0</v>
      </c>
      <c r="G2266" s="27"/>
    </row>
    <row r="2267" hidden="1">
      <c r="A2267" s="21"/>
      <c r="B2267" s="21" t="s">
        <v>3123</v>
      </c>
      <c r="D2267" s="25">
        <v>0.0</v>
      </c>
      <c r="E2267" s="27"/>
      <c r="F2267" s="25">
        <v>0.0</v>
      </c>
      <c r="G2267" s="27"/>
    </row>
    <row r="2268" hidden="1">
      <c r="A2268" s="21"/>
      <c r="B2268" s="21" t="s">
        <v>3124</v>
      </c>
      <c r="D2268" s="25">
        <v>0.0</v>
      </c>
      <c r="E2268" s="27"/>
      <c r="F2268" s="25">
        <v>0.0</v>
      </c>
      <c r="G2268" s="27"/>
    </row>
    <row r="2269" hidden="1">
      <c r="A2269" s="21"/>
      <c r="B2269" s="21" t="s">
        <v>3125</v>
      </c>
      <c r="D2269" s="25">
        <v>0.0</v>
      </c>
      <c r="E2269" s="27"/>
      <c r="F2269" s="25">
        <v>0.0</v>
      </c>
      <c r="G2269" s="27"/>
    </row>
    <row r="2270" hidden="1">
      <c r="A2270" s="21"/>
      <c r="B2270" s="21" t="s">
        <v>3126</v>
      </c>
      <c r="D2270" s="25">
        <v>0.0</v>
      </c>
      <c r="E2270" s="27"/>
      <c r="F2270" s="25">
        <v>0.0</v>
      </c>
      <c r="G2270" s="27"/>
    </row>
    <row r="2271" hidden="1">
      <c r="A2271" s="21"/>
      <c r="B2271" s="21" t="s">
        <v>3127</v>
      </c>
      <c r="D2271" s="25">
        <v>0.0</v>
      </c>
      <c r="E2271" s="27"/>
      <c r="F2271" s="25">
        <v>9.95</v>
      </c>
      <c r="G2271" s="27"/>
    </row>
    <row r="2272" hidden="1">
      <c r="A2272" s="21"/>
      <c r="B2272" s="21" t="s">
        <v>3128</v>
      </c>
      <c r="D2272" s="25">
        <v>0.0</v>
      </c>
      <c r="E2272" s="27"/>
      <c r="F2272" s="25">
        <v>0.0</v>
      </c>
      <c r="G2272" s="27"/>
    </row>
    <row r="2273" hidden="1">
      <c r="A2273" s="21"/>
      <c r="B2273" s="21" t="s">
        <v>3129</v>
      </c>
      <c r="D2273" s="25">
        <v>0.0</v>
      </c>
      <c r="E2273" s="27"/>
      <c r="F2273" s="25">
        <v>0.0</v>
      </c>
      <c r="G2273" s="27"/>
    </row>
    <row r="2274" hidden="1">
      <c r="A2274" s="21"/>
      <c r="B2274" s="21" t="s">
        <v>3130</v>
      </c>
      <c r="D2274" s="25">
        <v>0.0</v>
      </c>
      <c r="E2274" s="27"/>
      <c r="F2274" s="25">
        <v>0.0</v>
      </c>
      <c r="G2274" s="27"/>
    </row>
    <row r="2275" hidden="1">
      <c r="A2275" s="21"/>
      <c r="B2275" s="21" t="s">
        <v>3131</v>
      </c>
      <c r="D2275" s="25">
        <v>0.0</v>
      </c>
      <c r="E2275" s="27"/>
      <c r="F2275" s="25">
        <v>0.0</v>
      </c>
      <c r="G2275" s="27"/>
    </row>
    <row r="2276" hidden="1">
      <c r="A2276" s="21"/>
      <c r="B2276" s="21" t="s">
        <v>3132</v>
      </c>
      <c r="D2276" s="25">
        <v>0.0</v>
      </c>
      <c r="E2276" s="27"/>
      <c r="F2276" s="25">
        <v>0.0</v>
      </c>
      <c r="G2276" s="27"/>
    </row>
    <row r="2277" hidden="1">
      <c r="A2277" s="21"/>
      <c r="B2277" s="21" t="s">
        <v>3133</v>
      </c>
      <c r="D2277" s="25">
        <v>0.0</v>
      </c>
      <c r="E2277" s="27"/>
      <c r="F2277" s="25">
        <v>0.0</v>
      </c>
      <c r="G2277" s="27"/>
    </row>
    <row r="2278" hidden="1">
      <c r="A2278" s="21"/>
      <c r="B2278" s="21" t="s">
        <v>3134</v>
      </c>
      <c r="D2278" s="25">
        <v>0.0</v>
      </c>
      <c r="E2278" s="27"/>
      <c r="F2278" s="25">
        <v>0.0</v>
      </c>
      <c r="G2278" s="27"/>
    </row>
    <row r="2279" hidden="1">
      <c r="A2279" s="21"/>
      <c r="B2279" s="21" t="s">
        <v>3135</v>
      </c>
      <c r="D2279" s="25">
        <v>0.0</v>
      </c>
      <c r="E2279" s="27"/>
      <c r="F2279" s="25">
        <v>5.92</v>
      </c>
      <c r="G2279" s="27"/>
    </row>
    <row r="2280" hidden="1">
      <c r="A2280" s="21"/>
      <c r="B2280" s="21" t="s">
        <v>3136</v>
      </c>
      <c r="D2280" s="25">
        <v>0.0</v>
      </c>
      <c r="E2280" s="27"/>
      <c r="F2280" s="25">
        <v>0.0</v>
      </c>
      <c r="G2280" s="27"/>
    </row>
    <row r="2281" hidden="1">
      <c r="A2281" s="21"/>
      <c r="B2281" s="21" t="s">
        <v>3137</v>
      </c>
      <c r="D2281" s="25">
        <v>0.0</v>
      </c>
      <c r="E2281" s="27"/>
      <c r="F2281" s="25">
        <v>0.0</v>
      </c>
      <c r="G2281" s="27"/>
    </row>
    <row r="2282" hidden="1">
      <c r="A2282" s="21"/>
      <c r="B2282" s="21" t="s">
        <v>3138</v>
      </c>
      <c r="D2282" s="25">
        <v>0.0</v>
      </c>
      <c r="E2282" s="27"/>
      <c r="F2282" s="25">
        <v>0.0</v>
      </c>
      <c r="G2282" s="27"/>
    </row>
    <row r="2283" hidden="1">
      <c r="A2283" s="21"/>
      <c r="B2283" s="21" t="s">
        <v>3139</v>
      </c>
      <c r="D2283" s="25">
        <v>0.0</v>
      </c>
      <c r="E2283" s="27"/>
      <c r="F2283" s="25">
        <v>0.0</v>
      </c>
      <c r="G2283" s="27"/>
    </row>
    <row r="2284" hidden="1">
      <c r="A2284" s="21"/>
      <c r="B2284" s="21" t="s">
        <v>3140</v>
      </c>
      <c r="D2284" s="25">
        <v>0.0</v>
      </c>
      <c r="E2284" s="27"/>
      <c r="F2284" s="25">
        <v>0.0</v>
      </c>
      <c r="G2284" s="27"/>
    </row>
    <row r="2285" hidden="1">
      <c r="A2285" s="21"/>
      <c r="B2285" s="21" t="s">
        <v>3141</v>
      </c>
      <c r="D2285" s="25">
        <v>0.0</v>
      </c>
      <c r="E2285" s="27"/>
      <c r="F2285" s="25">
        <v>0.0</v>
      </c>
      <c r="G2285" s="27"/>
    </row>
    <row r="2286" hidden="1">
      <c r="A2286" s="21"/>
      <c r="B2286" s="21" t="s">
        <v>3142</v>
      </c>
      <c r="D2286" s="25">
        <v>0.0</v>
      </c>
      <c r="E2286" s="27"/>
      <c r="F2286" s="25">
        <v>0.0</v>
      </c>
      <c r="G2286" s="27"/>
    </row>
    <row r="2287" hidden="1">
      <c r="A2287" s="21"/>
      <c r="B2287" s="21" t="s">
        <v>3143</v>
      </c>
      <c r="D2287" s="25">
        <v>0.0</v>
      </c>
      <c r="E2287" s="27"/>
      <c r="F2287" s="25">
        <v>0.0</v>
      </c>
      <c r="G2287" s="27"/>
    </row>
    <row r="2288" hidden="1">
      <c r="A2288" s="21"/>
      <c r="B2288" s="21" t="s">
        <v>3144</v>
      </c>
      <c r="D2288" s="25">
        <v>0.0</v>
      </c>
      <c r="E2288" s="27"/>
      <c r="F2288" s="25">
        <v>0.0</v>
      </c>
      <c r="G2288" s="27"/>
    </row>
    <row r="2289" hidden="1">
      <c r="A2289" s="21"/>
      <c r="B2289" s="21" t="s">
        <v>3145</v>
      </c>
      <c r="D2289" s="25">
        <v>0.0</v>
      </c>
      <c r="E2289" s="27"/>
      <c r="F2289" s="25">
        <v>0.0</v>
      </c>
      <c r="G2289" s="27"/>
    </row>
    <row r="2290" hidden="1">
      <c r="A2290" s="21"/>
      <c r="B2290" s="21" t="s">
        <v>3146</v>
      </c>
      <c r="D2290" s="25">
        <v>0.0</v>
      </c>
      <c r="E2290" s="27"/>
      <c r="F2290" s="25">
        <v>0.0</v>
      </c>
      <c r="G2290" s="27"/>
    </row>
    <row r="2291" hidden="1">
      <c r="A2291" s="21"/>
      <c r="B2291" s="21" t="s">
        <v>3147</v>
      </c>
      <c r="D2291" s="25">
        <v>0.0</v>
      </c>
      <c r="E2291" s="27"/>
      <c r="F2291" s="25">
        <v>0.0</v>
      </c>
      <c r="G2291" s="27"/>
    </row>
    <row r="2292" hidden="1">
      <c r="A2292" s="21"/>
      <c r="B2292" s="21" t="s">
        <v>3148</v>
      </c>
      <c r="D2292" s="25">
        <v>0.0</v>
      </c>
      <c r="E2292" s="27"/>
      <c r="F2292" s="25">
        <v>0.0</v>
      </c>
      <c r="G2292" s="27"/>
    </row>
    <row r="2293" hidden="1">
      <c r="A2293" s="21"/>
      <c r="B2293" s="21" t="s">
        <v>3149</v>
      </c>
      <c r="D2293" s="25">
        <v>0.0</v>
      </c>
      <c r="E2293" s="27"/>
      <c r="F2293" s="25">
        <v>0.0</v>
      </c>
      <c r="G2293" s="27"/>
    </row>
    <row r="2294" hidden="1">
      <c r="A2294" s="21"/>
      <c r="B2294" s="21" t="s">
        <v>3150</v>
      </c>
      <c r="D2294" s="25">
        <v>0.0</v>
      </c>
      <c r="E2294" s="27"/>
      <c r="F2294" s="25">
        <v>7.95</v>
      </c>
      <c r="G2294" s="27"/>
    </row>
    <row r="2295" hidden="1">
      <c r="A2295" s="21"/>
      <c r="B2295" s="21" t="s">
        <v>3151</v>
      </c>
      <c r="D2295" s="25">
        <v>0.0</v>
      </c>
      <c r="E2295" s="27"/>
      <c r="F2295" s="25">
        <v>0.0</v>
      </c>
      <c r="G2295" s="27"/>
    </row>
    <row r="2296" hidden="1">
      <c r="A2296" s="21"/>
      <c r="B2296" s="21" t="s">
        <v>3152</v>
      </c>
      <c r="D2296" s="25">
        <v>0.0</v>
      </c>
      <c r="E2296" s="27"/>
      <c r="F2296" s="25">
        <v>0.0</v>
      </c>
      <c r="G2296" s="27"/>
    </row>
    <row r="2297" hidden="1">
      <c r="A2297" s="21"/>
      <c r="B2297" s="21" t="s">
        <v>3153</v>
      </c>
      <c r="D2297" s="25">
        <v>0.0</v>
      </c>
      <c r="E2297" s="27"/>
      <c r="F2297" s="25">
        <v>0.0</v>
      </c>
      <c r="G2297" s="27"/>
    </row>
    <row r="2298" hidden="1">
      <c r="A2298" s="21"/>
      <c r="B2298" s="21" t="s">
        <v>3154</v>
      </c>
      <c r="D2298" s="25">
        <v>0.0</v>
      </c>
      <c r="E2298" s="27"/>
      <c r="F2298" s="25">
        <v>0.0</v>
      </c>
      <c r="G2298" s="27"/>
    </row>
    <row r="2299" hidden="1">
      <c r="A2299" s="21"/>
      <c r="B2299" s="21" t="s">
        <v>3155</v>
      </c>
      <c r="D2299" s="25">
        <v>0.0</v>
      </c>
      <c r="E2299" s="27"/>
      <c r="F2299" s="25">
        <v>0.0</v>
      </c>
      <c r="G2299" s="27"/>
    </row>
    <row r="2300" hidden="1">
      <c r="A2300" s="21"/>
      <c r="B2300" s="21" t="s">
        <v>3156</v>
      </c>
      <c r="D2300" s="25">
        <v>0.0</v>
      </c>
      <c r="E2300" s="27"/>
      <c r="F2300" s="25">
        <v>0.0</v>
      </c>
      <c r="G2300" s="27"/>
    </row>
    <row r="2301" hidden="1">
      <c r="A2301" s="21"/>
      <c r="B2301" s="21" t="s">
        <v>3157</v>
      </c>
      <c r="D2301" s="25">
        <v>0.0</v>
      </c>
      <c r="E2301" s="27"/>
      <c r="F2301" s="25">
        <v>0.0</v>
      </c>
      <c r="G2301" s="27"/>
    </row>
    <row r="2302" hidden="1">
      <c r="A2302" s="21"/>
      <c r="B2302" s="21" t="s">
        <v>3158</v>
      </c>
      <c r="D2302" s="25">
        <v>0.0</v>
      </c>
      <c r="E2302" s="27"/>
      <c r="F2302" s="25">
        <v>0.0</v>
      </c>
      <c r="G2302" s="27"/>
    </row>
    <row r="2303" hidden="1">
      <c r="A2303" s="21"/>
      <c r="B2303" s="21" t="s">
        <v>3159</v>
      </c>
      <c r="D2303" s="25">
        <v>0.0</v>
      </c>
      <c r="E2303" s="27"/>
      <c r="F2303" s="25">
        <v>0.0</v>
      </c>
      <c r="G2303" s="27"/>
    </row>
    <row r="2304" hidden="1">
      <c r="A2304" s="21"/>
      <c r="B2304" s="21" t="s">
        <v>3160</v>
      </c>
      <c r="D2304" s="25">
        <v>0.0</v>
      </c>
      <c r="E2304" s="27"/>
      <c r="F2304" s="25">
        <v>0.0</v>
      </c>
      <c r="G2304" s="27"/>
    </row>
    <row r="2305" hidden="1">
      <c r="A2305" s="21"/>
      <c r="B2305" s="21" t="s">
        <v>3161</v>
      </c>
      <c r="D2305" s="25">
        <v>0.0</v>
      </c>
      <c r="E2305" s="27"/>
      <c r="F2305" s="25">
        <v>0.0</v>
      </c>
      <c r="G2305" s="27"/>
    </row>
    <row r="2306" hidden="1">
      <c r="A2306" s="21"/>
      <c r="B2306" s="21" t="s">
        <v>3162</v>
      </c>
      <c r="D2306" s="25">
        <v>0.0</v>
      </c>
      <c r="E2306" s="27"/>
      <c r="F2306" s="25">
        <v>0.0</v>
      </c>
      <c r="G2306" s="27"/>
    </row>
    <row r="2307" hidden="1">
      <c r="A2307" s="21"/>
      <c r="B2307" s="21" t="s">
        <v>3163</v>
      </c>
      <c r="D2307" s="25">
        <v>0.0</v>
      </c>
      <c r="E2307" s="27"/>
      <c r="F2307" s="25">
        <v>8.09</v>
      </c>
      <c r="G2307" s="27"/>
    </row>
    <row r="2308" hidden="1">
      <c r="A2308" s="21"/>
      <c r="B2308" s="21" t="s">
        <v>3164</v>
      </c>
      <c r="D2308" s="25">
        <v>0.0</v>
      </c>
      <c r="E2308" s="27"/>
      <c r="F2308" s="25">
        <v>0.0</v>
      </c>
      <c r="G2308" s="27"/>
    </row>
    <row r="2309" hidden="1">
      <c r="A2309" s="21"/>
      <c r="B2309" s="21" t="s">
        <v>3165</v>
      </c>
      <c r="D2309" s="25">
        <v>0.0</v>
      </c>
      <c r="E2309" s="27"/>
      <c r="F2309" s="25">
        <v>0.0</v>
      </c>
      <c r="G2309" s="27"/>
    </row>
    <row r="2310" hidden="1">
      <c r="A2310" s="21"/>
      <c r="B2310" s="21" t="s">
        <v>3166</v>
      </c>
      <c r="D2310" s="25">
        <v>0.0</v>
      </c>
      <c r="E2310" s="27"/>
      <c r="F2310" s="25">
        <v>0.0</v>
      </c>
      <c r="G2310" s="27"/>
    </row>
    <row r="2311" hidden="1">
      <c r="A2311" s="21"/>
      <c r="B2311" s="21" t="s">
        <v>3167</v>
      </c>
      <c r="D2311" s="25">
        <v>0.0</v>
      </c>
      <c r="E2311" s="27"/>
      <c r="F2311" s="25">
        <v>0.0</v>
      </c>
      <c r="G2311" s="27"/>
    </row>
    <row r="2312" hidden="1">
      <c r="A2312" s="21"/>
      <c r="B2312" s="21" t="s">
        <v>3168</v>
      </c>
      <c r="D2312" s="25">
        <v>0.0</v>
      </c>
      <c r="E2312" s="27"/>
      <c r="F2312" s="25">
        <v>0.0</v>
      </c>
      <c r="G2312" s="27"/>
    </row>
    <row r="2313" hidden="1">
      <c r="A2313" s="21"/>
      <c r="B2313" s="21" t="s">
        <v>3169</v>
      </c>
      <c r="D2313" s="25">
        <v>0.0</v>
      </c>
      <c r="E2313" s="27"/>
      <c r="F2313" s="25">
        <v>0.0</v>
      </c>
      <c r="G2313" s="27"/>
    </row>
    <row r="2314" hidden="1">
      <c r="A2314" s="21"/>
      <c r="B2314" s="21" t="s">
        <v>3170</v>
      </c>
      <c r="D2314" s="25">
        <v>0.0</v>
      </c>
      <c r="E2314" s="27"/>
      <c r="F2314" s="25">
        <v>0.0</v>
      </c>
      <c r="G2314" s="27"/>
    </row>
    <row r="2315" hidden="1">
      <c r="A2315" s="21"/>
      <c r="B2315" s="21" t="s">
        <v>3171</v>
      </c>
      <c r="D2315" s="25">
        <v>0.0</v>
      </c>
      <c r="E2315" s="27"/>
      <c r="F2315" s="25">
        <v>0.0</v>
      </c>
      <c r="G2315" s="27"/>
    </row>
    <row r="2316" hidden="1">
      <c r="A2316" s="21"/>
      <c r="B2316" s="21" t="s">
        <v>3172</v>
      </c>
      <c r="D2316" s="25">
        <v>0.0</v>
      </c>
      <c r="E2316" s="27"/>
      <c r="F2316" s="25">
        <v>0.0</v>
      </c>
      <c r="G2316" s="27"/>
    </row>
    <row r="2317" hidden="1">
      <c r="A2317" s="21"/>
      <c r="B2317" s="21" t="s">
        <v>3173</v>
      </c>
      <c r="D2317" s="25">
        <v>0.0</v>
      </c>
      <c r="E2317" s="27"/>
      <c r="F2317" s="25">
        <v>0.0</v>
      </c>
      <c r="G2317" s="27"/>
    </row>
    <row r="2318" hidden="1">
      <c r="A2318" s="21"/>
      <c r="B2318" s="21" t="s">
        <v>3174</v>
      </c>
      <c r="D2318" s="25">
        <v>0.0</v>
      </c>
      <c r="E2318" s="27"/>
      <c r="F2318" s="25">
        <v>0.0</v>
      </c>
      <c r="G2318" s="27"/>
    </row>
    <row r="2319" hidden="1">
      <c r="A2319" s="21"/>
      <c r="B2319" s="21" t="s">
        <v>3175</v>
      </c>
      <c r="D2319" s="25">
        <v>0.0</v>
      </c>
      <c r="E2319" s="27"/>
      <c r="F2319" s="25">
        <v>0.0</v>
      </c>
      <c r="G2319" s="27"/>
    </row>
    <row r="2320" hidden="1">
      <c r="A2320" s="21"/>
      <c r="B2320" s="21" t="s">
        <v>3176</v>
      </c>
      <c r="D2320" s="25">
        <v>0.0</v>
      </c>
      <c r="E2320" s="27"/>
      <c r="F2320" s="25">
        <v>0.0</v>
      </c>
      <c r="G2320" s="27"/>
    </row>
    <row r="2321" hidden="1">
      <c r="A2321" s="21"/>
      <c r="B2321" s="21" t="s">
        <v>3177</v>
      </c>
      <c r="D2321" s="25">
        <v>0.0</v>
      </c>
      <c r="E2321" s="27"/>
      <c r="F2321" s="25">
        <v>0.0</v>
      </c>
      <c r="G2321" s="27"/>
    </row>
    <row r="2322" hidden="1">
      <c r="A2322" s="21"/>
      <c r="B2322" s="21" t="s">
        <v>3178</v>
      </c>
      <c r="D2322" s="25">
        <v>0.0</v>
      </c>
      <c r="E2322" s="27"/>
      <c r="F2322" s="25">
        <v>0.0</v>
      </c>
      <c r="G2322" s="27"/>
    </row>
    <row r="2323" hidden="1">
      <c r="A2323" s="21"/>
      <c r="B2323" s="21" t="s">
        <v>3179</v>
      </c>
      <c r="D2323" s="25">
        <v>0.0</v>
      </c>
      <c r="E2323" s="27"/>
      <c r="F2323" s="25">
        <v>0.0</v>
      </c>
      <c r="G2323" s="27"/>
    </row>
    <row r="2324" hidden="1">
      <c r="A2324" s="21"/>
      <c r="B2324" s="21" t="s">
        <v>3180</v>
      </c>
      <c r="D2324" s="25">
        <v>0.0</v>
      </c>
      <c r="E2324" s="27"/>
      <c r="F2324" s="25">
        <v>0.0</v>
      </c>
      <c r="G2324" s="27"/>
    </row>
    <row r="2325" hidden="1">
      <c r="A2325" s="21"/>
      <c r="B2325" s="21" t="s">
        <v>3181</v>
      </c>
      <c r="D2325" s="25">
        <v>0.0</v>
      </c>
      <c r="E2325" s="27"/>
      <c r="F2325" s="25">
        <v>0.0</v>
      </c>
      <c r="G2325" s="27"/>
    </row>
    <row r="2326" hidden="1">
      <c r="A2326" s="21"/>
      <c r="B2326" s="21" t="s">
        <v>3182</v>
      </c>
      <c r="D2326" s="25">
        <v>0.0</v>
      </c>
      <c r="E2326" s="27"/>
      <c r="F2326" s="25">
        <v>0.0</v>
      </c>
      <c r="G2326" s="27"/>
    </row>
    <row r="2327" hidden="1">
      <c r="A2327" s="21"/>
      <c r="B2327" s="21" t="s">
        <v>3183</v>
      </c>
      <c r="D2327" s="25">
        <v>0.0</v>
      </c>
      <c r="E2327" s="27"/>
      <c r="F2327" s="25">
        <v>0.0</v>
      </c>
      <c r="G2327" s="27"/>
    </row>
    <row r="2328" hidden="1">
      <c r="A2328" s="21"/>
      <c r="B2328" s="21" t="s">
        <v>3184</v>
      </c>
      <c r="D2328" s="25">
        <v>0.0</v>
      </c>
      <c r="E2328" s="27"/>
      <c r="F2328" s="25">
        <v>0.0</v>
      </c>
      <c r="G2328" s="27"/>
    </row>
    <row r="2329" hidden="1">
      <c r="A2329" s="21"/>
      <c r="B2329" s="21" t="s">
        <v>3185</v>
      </c>
      <c r="D2329" s="25">
        <v>0.0</v>
      </c>
      <c r="E2329" s="27"/>
      <c r="F2329" s="25">
        <v>0.0</v>
      </c>
      <c r="G2329" s="27"/>
    </row>
    <row r="2330" hidden="1">
      <c r="A2330" s="21"/>
      <c r="B2330" s="21" t="s">
        <v>3186</v>
      </c>
      <c r="D2330" s="25">
        <v>0.0</v>
      </c>
      <c r="E2330" s="27"/>
      <c r="F2330" s="25">
        <v>0.0</v>
      </c>
      <c r="G2330" s="27"/>
    </row>
    <row r="2331" hidden="1">
      <c r="A2331" s="21"/>
      <c r="B2331" s="21" t="s">
        <v>3187</v>
      </c>
      <c r="D2331" s="25">
        <v>0.0</v>
      </c>
      <c r="E2331" s="27"/>
      <c r="F2331" s="25">
        <v>0.0</v>
      </c>
      <c r="G2331" s="27"/>
    </row>
    <row r="2332" hidden="1">
      <c r="A2332" s="21"/>
      <c r="B2332" s="21" t="s">
        <v>3188</v>
      </c>
      <c r="D2332" s="25">
        <v>0.0</v>
      </c>
      <c r="E2332" s="27"/>
      <c r="F2332" s="25">
        <v>0.0</v>
      </c>
      <c r="G2332" s="27"/>
    </row>
    <row r="2333" hidden="1">
      <c r="A2333" s="21"/>
      <c r="B2333" s="21" t="s">
        <v>3189</v>
      </c>
      <c r="D2333" s="25">
        <v>0.0</v>
      </c>
      <c r="E2333" s="27"/>
      <c r="F2333" s="25">
        <v>0.0</v>
      </c>
      <c r="G2333" s="27"/>
    </row>
    <row r="2334" hidden="1">
      <c r="A2334" s="21"/>
      <c r="B2334" s="21" t="s">
        <v>3190</v>
      </c>
      <c r="D2334" s="25">
        <v>0.0</v>
      </c>
      <c r="E2334" s="27"/>
      <c r="F2334" s="25">
        <v>0.0</v>
      </c>
      <c r="G2334" s="27"/>
    </row>
    <row r="2335" hidden="1">
      <c r="A2335" s="21"/>
      <c r="B2335" s="21" t="s">
        <v>3191</v>
      </c>
      <c r="D2335" s="25">
        <v>0.0</v>
      </c>
      <c r="E2335" s="27"/>
      <c r="F2335" s="25">
        <v>0.0</v>
      </c>
      <c r="G2335" s="27"/>
    </row>
    <row r="2336" hidden="1">
      <c r="A2336" s="21"/>
      <c r="B2336" s="21" t="s">
        <v>3192</v>
      </c>
      <c r="D2336" s="25">
        <v>0.0</v>
      </c>
      <c r="E2336" s="27"/>
      <c r="F2336" s="25">
        <v>0.0</v>
      </c>
      <c r="G2336" s="27"/>
    </row>
    <row r="2337" hidden="1">
      <c r="A2337" s="21"/>
      <c r="B2337" s="21" t="s">
        <v>3193</v>
      </c>
      <c r="D2337" s="25">
        <v>0.0</v>
      </c>
      <c r="E2337" s="27"/>
      <c r="F2337" s="25">
        <v>0.0</v>
      </c>
      <c r="G2337" s="27"/>
    </row>
    <row r="2338" hidden="1">
      <c r="A2338" s="21"/>
      <c r="B2338" s="21" t="s">
        <v>3194</v>
      </c>
      <c r="D2338" s="25">
        <v>0.0</v>
      </c>
      <c r="E2338" s="27"/>
      <c r="F2338" s="25">
        <v>0.0</v>
      </c>
      <c r="G2338" s="27"/>
    </row>
    <row r="2339" hidden="1">
      <c r="A2339" s="21"/>
      <c r="B2339" s="21" t="s">
        <v>3195</v>
      </c>
      <c r="D2339" s="25">
        <v>0.0</v>
      </c>
      <c r="E2339" s="27"/>
      <c r="F2339" s="25">
        <v>0.0</v>
      </c>
      <c r="G2339" s="27"/>
    </row>
    <row r="2340" hidden="1">
      <c r="A2340" s="21"/>
      <c r="B2340" s="21" t="s">
        <v>3196</v>
      </c>
      <c r="D2340" s="25">
        <v>0.0</v>
      </c>
      <c r="E2340" s="27"/>
      <c r="F2340" s="25">
        <v>0.0</v>
      </c>
      <c r="G2340" s="27"/>
    </row>
    <row r="2341" hidden="1">
      <c r="A2341" s="21"/>
      <c r="B2341" s="21" t="s">
        <v>3197</v>
      </c>
      <c r="D2341" s="25">
        <v>0.0</v>
      </c>
      <c r="E2341" s="27"/>
      <c r="F2341" s="25">
        <v>0.0</v>
      </c>
      <c r="G2341" s="27"/>
    </row>
    <row r="2342" hidden="1">
      <c r="A2342" s="21"/>
      <c r="B2342" s="21" t="s">
        <v>3198</v>
      </c>
      <c r="D2342" s="25">
        <v>0.0</v>
      </c>
      <c r="E2342" s="27"/>
      <c r="F2342" s="25">
        <v>0.0</v>
      </c>
      <c r="G2342" s="27"/>
    </row>
    <row r="2343" hidden="1">
      <c r="A2343" s="21"/>
      <c r="B2343" s="21" t="s">
        <v>3199</v>
      </c>
      <c r="D2343" s="25">
        <v>0.0</v>
      </c>
      <c r="E2343" s="27"/>
      <c r="F2343" s="25">
        <v>0.0</v>
      </c>
      <c r="G2343" s="27"/>
    </row>
    <row r="2344" hidden="1">
      <c r="A2344" s="21"/>
      <c r="B2344" s="21" t="s">
        <v>3200</v>
      </c>
      <c r="D2344" s="25">
        <v>0.0</v>
      </c>
      <c r="E2344" s="27"/>
      <c r="F2344" s="25">
        <v>0.0</v>
      </c>
      <c r="G2344" s="27"/>
    </row>
    <row r="2345" hidden="1">
      <c r="A2345" s="21"/>
      <c r="B2345" s="21" t="s">
        <v>3201</v>
      </c>
      <c r="D2345" s="25">
        <v>0.0</v>
      </c>
      <c r="E2345" s="27"/>
      <c r="F2345" s="25">
        <v>0.0</v>
      </c>
      <c r="G2345" s="27"/>
    </row>
    <row r="2346" hidden="1">
      <c r="A2346" s="21"/>
      <c r="B2346" s="21" t="s">
        <v>3202</v>
      </c>
      <c r="D2346" s="25">
        <v>0.0</v>
      </c>
      <c r="E2346" s="27"/>
      <c r="F2346" s="25">
        <v>0.0</v>
      </c>
      <c r="G2346" s="27"/>
    </row>
    <row r="2347" hidden="1">
      <c r="A2347" s="21"/>
      <c r="B2347" s="21" t="s">
        <v>3203</v>
      </c>
      <c r="D2347" s="25">
        <v>0.0</v>
      </c>
      <c r="E2347" s="27"/>
      <c r="F2347" s="25">
        <v>0.0</v>
      </c>
      <c r="G2347" s="27"/>
    </row>
    <row r="2348" hidden="1">
      <c r="A2348" s="21"/>
      <c r="B2348" s="21" t="s">
        <v>3204</v>
      </c>
      <c r="D2348" s="25">
        <v>0.0</v>
      </c>
      <c r="E2348" s="27"/>
      <c r="F2348" s="25">
        <v>0.0</v>
      </c>
      <c r="G2348" s="27"/>
    </row>
    <row r="2349" hidden="1">
      <c r="A2349" s="21"/>
      <c r="B2349" s="21" t="s">
        <v>3205</v>
      </c>
      <c r="D2349" s="25">
        <v>0.0</v>
      </c>
      <c r="E2349" s="27"/>
      <c r="F2349" s="25">
        <v>0.0</v>
      </c>
      <c r="G2349" s="27"/>
    </row>
    <row r="2350" hidden="1">
      <c r="A2350" s="21"/>
      <c r="B2350" s="21" t="s">
        <v>3206</v>
      </c>
      <c r="D2350" s="25">
        <v>0.0</v>
      </c>
      <c r="E2350" s="27"/>
      <c r="F2350" s="25">
        <v>0.0</v>
      </c>
      <c r="G2350" s="27"/>
    </row>
    <row r="2351" hidden="1">
      <c r="A2351" s="21"/>
      <c r="B2351" s="21" t="s">
        <v>3207</v>
      </c>
      <c r="D2351" s="25">
        <v>0.0</v>
      </c>
      <c r="E2351" s="27"/>
      <c r="F2351" s="25">
        <v>0.0</v>
      </c>
      <c r="G2351" s="27"/>
    </row>
    <row r="2352" hidden="1">
      <c r="A2352" s="21"/>
      <c r="B2352" s="21" t="s">
        <v>3208</v>
      </c>
      <c r="D2352" s="25">
        <v>0.0</v>
      </c>
      <c r="E2352" s="27"/>
      <c r="F2352" s="25">
        <v>0.0</v>
      </c>
      <c r="G2352" s="27"/>
    </row>
    <row r="2353" hidden="1">
      <c r="A2353" s="21"/>
      <c r="B2353" s="21" t="s">
        <v>3209</v>
      </c>
      <c r="D2353" s="25">
        <v>0.0</v>
      </c>
      <c r="E2353" s="27"/>
      <c r="F2353" s="25">
        <v>0.0</v>
      </c>
      <c r="G2353" s="27"/>
    </row>
    <row r="2354" hidden="1">
      <c r="A2354" s="21"/>
      <c r="B2354" s="21" t="s">
        <v>3210</v>
      </c>
      <c r="D2354" s="25">
        <v>0.0</v>
      </c>
      <c r="E2354" s="27"/>
      <c r="F2354" s="25">
        <v>0.0</v>
      </c>
      <c r="G2354" s="27"/>
    </row>
    <row r="2355" hidden="1">
      <c r="A2355" s="21"/>
      <c r="B2355" s="21" t="s">
        <v>3211</v>
      </c>
      <c r="D2355" s="25">
        <v>0.0</v>
      </c>
      <c r="E2355" s="27"/>
      <c r="F2355" s="25">
        <v>0.0</v>
      </c>
      <c r="G2355" s="27"/>
    </row>
    <row r="2356" hidden="1">
      <c r="A2356" s="21"/>
      <c r="B2356" s="21" t="s">
        <v>3212</v>
      </c>
      <c r="D2356" s="25">
        <v>0.0</v>
      </c>
      <c r="E2356" s="27"/>
      <c r="F2356" s="25">
        <v>0.0</v>
      </c>
      <c r="G2356" s="27"/>
    </row>
    <row r="2357" hidden="1">
      <c r="A2357" s="21"/>
      <c r="B2357" s="21" t="s">
        <v>3213</v>
      </c>
      <c r="D2357" s="25">
        <v>0.0</v>
      </c>
      <c r="E2357" s="27"/>
      <c r="F2357" s="25">
        <v>0.0</v>
      </c>
      <c r="G2357" s="27"/>
    </row>
    <row r="2358" hidden="1">
      <c r="A2358" s="21"/>
      <c r="B2358" s="21" t="s">
        <v>3214</v>
      </c>
      <c r="D2358" s="25">
        <v>0.0</v>
      </c>
      <c r="E2358" s="27"/>
      <c r="F2358" s="25">
        <v>0.0</v>
      </c>
      <c r="G2358" s="27"/>
    </row>
    <row r="2359" hidden="1">
      <c r="A2359" s="21"/>
      <c r="B2359" s="21" t="s">
        <v>3215</v>
      </c>
      <c r="D2359" s="25">
        <v>0.0</v>
      </c>
      <c r="E2359" s="27"/>
      <c r="F2359" s="25">
        <v>0.0</v>
      </c>
      <c r="G2359" s="27"/>
    </row>
    <row r="2360" hidden="1">
      <c r="A2360" s="21"/>
      <c r="B2360" s="21" t="s">
        <v>3216</v>
      </c>
      <c r="D2360" s="25">
        <v>0.0</v>
      </c>
      <c r="E2360" s="27"/>
      <c r="F2360" s="25">
        <v>0.0</v>
      </c>
      <c r="G2360" s="27"/>
    </row>
    <row r="2361" hidden="1">
      <c r="A2361" s="21"/>
      <c r="B2361" s="21" t="s">
        <v>3217</v>
      </c>
      <c r="D2361" s="25">
        <v>0.0</v>
      </c>
      <c r="E2361" s="27"/>
      <c r="F2361" s="25">
        <v>0.0</v>
      </c>
      <c r="G2361" s="27"/>
    </row>
    <row r="2362" hidden="1">
      <c r="A2362" s="21"/>
      <c r="B2362" s="21" t="s">
        <v>3218</v>
      </c>
      <c r="D2362" s="25">
        <v>0.0</v>
      </c>
      <c r="E2362" s="27"/>
      <c r="F2362" s="25">
        <v>0.0</v>
      </c>
      <c r="G2362" s="27"/>
    </row>
    <row r="2363" hidden="1">
      <c r="A2363" s="21"/>
      <c r="B2363" s="21" t="s">
        <v>3219</v>
      </c>
      <c r="D2363" s="25">
        <v>0.0</v>
      </c>
      <c r="E2363" s="27"/>
      <c r="F2363" s="25">
        <v>0.0</v>
      </c>
      <c r="G2363" s="27"/>
    </row>
    <row r="2364" hidden="1">
      <c r="A2364" s="21"/>
      <c r="B2364" s="21" t="s">
        <v>3220</v>
      </c>
      <c r="D2364" s="25">
        <v>0.0</v>
      </c>
      <c r="E2364" s="27"/>
      <c r="F2364" s="25">
        <v>0.0</v>
      </c>
      <c r="G2364" s="27"/>
    </row>
    <row r="2365" hidden="1">
      <c r="A2365" s="21"/>
      <c r="B2365" s="21" t="s">
        <v>3221</v>
      </c>
      <c r="D2365" s="25">
        <v>0.0</v>
      </c>
      <c r="E2365" s="27"/>
      <c r="F2365" s="25">
        <v>0.0</v>
      </c>
      <c r="G2365" s="27"/>
    </row>
    <row r="2366" hidden="1">
      <c r="A2366" s="21"/>
      <c r="B2366" s="21" t="s">
        <v>3222</v>
      </c>
      <c r="D2366" s="25">
        <v>0.0</v>
      </c>
      <c r="E2366" s="27"/>
      <c r="F2366" s="25">
        <v>0.0</v>
      </c>
      <c r="G2366" s="27"/>
    </row>
    <row r="2367" hidden="1">
      <c r="A2367" s="21"/>
      <c r="B2367" s="21" t="s">
        <v>3223</v>
      </c>
      <c r="D2367" s="25">
        <v>0.0</v>
      </c>
      <c r="E2367" s="27"/>
      <c r="F2367" s="25">
        <v>0.0</v>
      </c>
      <c r="G2367" s="27"/>
    </row>
    <row r="2368" hidden="1">
      <c r="A2368" s="21"/>
      <c r="B2368" s="21" t="s">
        <v>3224</v>
      </c>
      <c r="D2368" s="25">
        <v>0.0</v>
      </c>
      <c r="E2368" s="27"/>
      <c r="F2368" s="25">
        <v>0.0</v>
      </c>
      <c r="G2368" s="27"/>
    </row>
    <row r="2369" hidden="1">
      <c r="A2369" s="21"/>
      <c r="B2369" s="21" t="s">
        <v>3225</v>
      </c>
      <c r="D2369" s="25">
        <v>0.0</v>
      </c>
      <c r="E2369" s="27"/>
      <c r="F2369" s="25">
        <v>0.0</v>
      </c>
      <c r="G2369" s="27"/>
    </row>
    <row r="2370" hidden="1">
      <c r="A2370" s="21"/>
      <c r="B2370" s="21" t="s">
        <v>3226</v>
      </c>
      <c r="D2370" s="25">
        <v>0.0</v>
      </c>
      <c r="E2370" s="27"/>
      <c r="F2370" s="25">
        <v>0.0</v>
      </c>
      <c r="G2370" s="27"/>
    </row>
    <row r="2371" hidden="1">
      <c r="A2371" s="21"/>
      <c r="B2371" s="21" t="s">
        <v>3227</v>
      </c>
      <c r="D2371" s="25">
        <v>0.0</v>
      </c>
      <c r="E2371" s="27"/>
      <c r="F2371" s="25">
        <v>0.0</v>
      </c>
      <c r="G2371" s="27"/>
    </row>
    <row r="2372" hidden="1">
      <c r="A2372" s="21"/>
      <c r="B2372" s="21" t="s">
        <v>3228</v>
      </c>
      <c r="D2372" s="25">
        <v>0.0</v>
      </c>
      <c r="E2372" s="27"/>
      <c r="F2372" s="25">
        <v>0.0</v>
      </c>
      <c r="G2372" s="27"/>
    </row>
    <row r="2373" hidden="1">
      <c r="A2373" s="21"/>
      <c r="B2373" s="21" t="s">
        <v>3229</v>
      </c>
      <c r="D2373" s="25">
        <v>0.0</v>
      </c>
      <c r="E2373" s="27"/>
      <c r="F2373" s="25">
        <v>0.0</v>
      </c>
      <c r="G2373" s="27"/>
    </row>
    <row r="2374" hidden="1">
      <c r="A2374" s="21"/>
      <c r="B2374" s="21" t="s">
        <v>3230</v>
      </c>
      <c r="D2374" s="25">
        <v>0.0</v>
      </c>
      <c r="E2374" s="27"/>
      <c r="F2374" s="25">
        <v>0.0</v>
      </c>
      <c r="G2374" s="27"/>
    </row>
    <row r="2375" hidden="1">
      <c r="A2375" s="21"/>
      <c r="B2375" s="21" t="s">
        <v>3231</v>
      </c>
      <c r="D2375" s="25">
        <v>0.0</v>
      </c>
      <c r="E2375" s="27"/>
      <c r="F2375" s="25">
        <v>0.0</v>
      </c>
      <c r="G2375" s="27"/>
    </row>
    <row r="2376" hidden="1">
      <c r="A2376" s="21"/>
      <c r="B2376" s="21" t="s">
        <v>3232</v>
      </c>
      <c r="D2376" s="25">
        <v>0.0</v>
      </c>
      <c r="E2376" s="27"/>
      <c r="F2376" s="25">
        <v>0.0</v>
      </c>
      <c r="G2376" s="27"/>
    </row>
    <row r="2377" hidden="1">
      <c r="A2377" s="21"/>
      <c r="B2377" s="21" t="s">
        <v>3233</v>
      </c>
      <c r="D2377" s="25">
        <v>0.0</v>
      </c>
      <c r="E2377" s="27"/>
      <c r="F2377" s="25">
        <v>0.0</v>
      </c>
      <c r="G2377" s="27"/>
    </row>
    <row r="2378" hidden="1">
      <c r="A2378" s="21"/>
      <c r="B2378" s="21" t="s">
        <v>3234</v>
      </c>
      <c r="D2378" s="25">
        <v>0.0</v>
      </c>
      <c r="E2378" s="27"/>
      <c r="F2378" s="25">
        <v>0.0</v>
      </c>
      <c r="G2378" s="27"/>
    </row>
    <row r="2379" hidden="1">
      <c r="A2379" s="21"/>
      <c r="B2379" s="21" t="s">
        <v>3235</v>
      </c>
      <c r="D2379" s="25">
        <v>0.0</v>
      </c>
      <c r="E2379" s="27"/>
      <c r="F2379" s="25">
        <v>0.0</v>
      </c>
      <c r="G2379" s="27"/>
    </row>
    <row r="2380" hidden="1">
      <c r="A2380" s="21"/>
      <c r="B2380" s="21" t="s">
        <v>3236</v>
      </c>
      <c r="D2380" s="25">
        <v>0.0</v>
      </c>
      <c r="E2380" s="27"/>
      <c r="F2380" s="25">
        <v>10.31</v>
      </c>
      <c r="G2380" s="27"/>
    </row>
    <row r="2381" hidden="1">
      <c r="A2381" s="21"/>
      <c r="B2381" s="21" t="s">
        <v>3237</v>
      </c>
      <c r="D2381" s="25">
        <v>0.0</v>
      </c>
      <c r="E2381" s="27"/>
      <c r="F2381" s="25">
        <v>0.0</v>
      </c>
      <c r="G2381" s="27"/>
    </row>
    <row r="2382" hidden="1">
      <c r="A2382" s="21"/>
      <c r="B2382" s="21" t="s">
        <v>3238</v>
      </c>
      <c r="D2382" s="25">
        <v>0.0</v>
      </c>
      <c r="E2382" s="27"/>
      <c r="F2382" s="25">
        <v>0.0</v>
      </c>
      <c r="G2382" s="27"/>
    </row>
    <row r="2383" hidden="1">
      <c r="A2383" s="21"/>
      <c r="B2383" s="21" t="s">
        <v>3239</v>
      </c>
      <c r="D2383" s="25">
        <v>0.0</v>
      </c>
      <c r="E2383" s="27"/>
      <c r="F2383" s="25">
        <v>0.0</v>
      </c>
      <c r="G2383" s="27"/>
    </row>
    <row r="2384" hidden="1">
      <c r="A2384" s="21"/>
      <c r="B2384" s="21" t="s">
        <v>3240</v>
      </c>
      <c r="D2384" s="25">
        <v>0.0</v>
      </c>
      <c r="E2384" s="27"/>
      <c r="F2384" s="25">
        <v>0.0</v>
      </c>
      <c r="G2384" s="27"/>
    </row>
    <row r="2385" hidden="1">
      <c r="A2385" s="21"/>
      <c r="B2385" s="21" t="s">
        <v>3241</v>
      </c>
      <c r="D2385" s="25">
        <v>0.0</v>
      </c>
      <c r="E2385" s="27"/>
      <c r="F2385" s="25">
        <v>0.0</v>
      </c>
      <c r="G2385" s="27"/>
    </row>
    <row r="2386" hidden="1">
      <c r="A2386" s="21"/>
      <c r="B2386" s="21" t="s">
        <v>3242</v>
      </c>
      <c r="D2386" s="25">
        <v>0.0</v>
      </c>
      <c r="E2386" s="27"/>
      <c r="F2386" s="25">
        <v>0.0</v>
      </c>
      <c r="G2386" s="27"/>
    </row>
    <row r="2387" hidden="1">
      <c r="A2387" s="21"/>
      <c r="B2387" s="21" t="s">
        <v>3243</v>
      </c>
      <c r="D2387" s="25">
        <v>0.0</v>
      </c>
      <c r="E2387" s="27"/>
      <c r="F2387" s="25">
        <v>0.0</v>
      </c>
      <c r="G2387" s="27"/>
    </row>
    <row r="2388" hidden="1">
      <c r="A2388" s="21"/>
      <c r="B2388" s="21" t="s">
        <v>3244</v>
      </c>
      <c r="D2388" s="25">
        <v>0.0</v>
      </c>
      <c r="E2388" s="27"/>
      <c r="F2388" s="25">
        <v>0.0</v>
      </c>
      <c r="G2388" s="27"/>
    </row>
    <row r="2389" hidden="1">
      <c r="A2389" s="21"/>
      <c r="B2389" s="21" t="s">
        <v>3245</v>
      </c>
      <c r="D2389" s="25">
        <v>0.0</v>
      </c>
      <c r="E2389" s="27"/>
      <c r="F2389" s="25">
        <v>0.0</v>
      </c>
      <c r="G2389" s="27"/>
    </row>
    <row r="2390" hidden="1">
      <c r="A2390" s="21"/>
      <c r="B2390" s="21" t="s">
        <v>3246</v>
      </c>
      <c r="D2390" s="25">
        <v>0.0</v>
      </c>
      <c r="E2390" s="27"/>
      <c r="F2390" s="25">
        <v>0.0</v>
      </c>
      <c r="G2390" s="27"/>
    </row>
    <row r="2391" hidden="1">
      <c r="A2391" s="21"/>
      <c r="B2391" s="21" t="s">
        <v>3247</v>
      </c>
      <c r="D2391" s="25">
        <v>0.0</v>
      </c>
      <c r="E2391" s="27"/>
      <c r="F2391" s="25">
        <v>0.0</v>
      </c>
      <c r="G2391" s="27"/>
    </row>
    <row r="2392" hidden="1">
      <c r="A2392" s="21"/>
      <c r="B2392" s="21" t="s">
        <v>3248</v>
      </c>
      <c r="D2392" s="25">
        <v>0.0</v>
      </c>
      <c r="E2392" s="27"/>
      <c r="F2392" s="25">
        <v>0.0</v>
      </c>
      <c r="G2392" s="27"/>
    </row>
    <row r="2393" hidden="1">
      <c r="A2393" s="21"/>
      <c r="B2393" s="21" t="s">
        <v>3249</v>
      </c>
      <c r="D2393" s="25">
        <v>0.0</v>
      </c>
      <c r="E2393" s="27"/>
      <c r="F2393" s="25">
        <v>0.0</v>
      </c>
      <c r="G2393" s="27"/>
    </row>
    <row r="2394" hidden="1">
      <c r="A2394" s="21"/>
      <c r="B2394" s="21" t="s">
        <v>3250</v>
      </c>
      <c r="D2394" s="25">
        <v>0.0</v>
      </c>
      <c r="E2394" s="27"/>
      <c r="F2394" s="25">
        <v>0.0</v>
      </c>
      <c r="G2394" s="27"/>
    </row>
    <row r="2395" hidden="1">
      <c r="A2395" s="21"/>
      <c r="B2395" s="21" t="s">
        <v>3251</v>
      </c>
      <c r="D2395" s="25">
        <v>0.0</v>
      </c>
      <c r="E2395" s="27"/>
      <c r="F2395" s="25">
        <v>0.0</v>
      </c>
      <c r="G2395" s="27"/>
    </row>
    <row r="2396" hidden="1">
      <c r="A2396" s="21"/>
      <c r="B2396" s="21" t="s">
        <v>3252</v>
      </c>
      <c r="D2396" s="25">
        <v>0.0</v>
      </c>
      <c r="E2396" s="27"/>
      <c r="F2396" s="25">
        <v>0.0</v>
      </c>
      <c r="G2396" s="27"/>
    </row>
    <row r="2397" hidden="1">
      <c r="A2397" s="21"/>
      <c r="B2397" s="21" t="s">
        <v>3253</v>
      </c>
      <c r="D2397" s="25">
        <v>0.0</v>
      </c>
      <c r="E2397" s="27"/>
      <c r="F2397" s="25">
        <v>0.0</v>
      </c>
      <c r="G2397" s="27"/>
    </row>
    <row r="2398" hidden="1">
      <c r="A2398" s="21"/>
      <c r="B2398" s="21" t="s">
        <v>3254</v>
      </c>
      <c r="D2398" s="25">
        <v>0.0</v>
      </c>
      <c r="E2398" s="27"/>
      <c r="F2398" s="25">
        <v>0.0</v>
      </c>
      <c r="G2398" s="27"/>
    </row>
    <row r="2399" hidden="1">
      <c r="A2399" s="21"/>
      <c r="B2399" s="21" t="s">
        <v>3255</v>
      </c>
      <c r="D2399" s="25">
        <v>0.0</v>
      </c>
      <c r="E2399" s="27"/>
      <c r="F2399" s="25">
        <v>0.0</v>
      </c>
      <c r="G2399" s="27"/>
    </row>
    <row r="2400" hidden="1">
      <c r="A2400" s="21"/>
      <c r="B2400" s="21" t="s">
        <v>3256</v>
      </c>
      <c r="D2400" s="25">
        <v>0.0</v>
      </c>
      <c r="E2400" s="27"/>
      <c r="F2400" s="25">
        <v>0.0</v>
      </c>
      <c r="G2400" s="27"/>
    </row>
    <row r="2401" hidden="1">
      <c r="A2401" s="21"/>
      <c r="B2401" s="21" t="s">
        <v>3257</v>
      </c>
      <c r="D2401" s="25">
        <v>0.0</v>
      </c>
      <c r="E2401" s="27"/>
      <c r="F2401" s="25">
        <v>0.0</v>
      </c>
      <c r="G2401" s="27"/>
    </row>
    <row r="2402" hidden="1">
      <c r="A2402" s="21"/>
      <c r="B2402" s="21" t="s">
        <v>3258</v>
      </c>
      <c r="D2402" s="25">
        <v>0.0</v>
      </c>
      <c r="E2402" s="27"/>
      <c r="F2402" s="25">
        <v>0.0</v>
      </c>
      <c r="G2402" s="27"/>
    </row>
    <row r="2403" hidden="1">
      <c r="A2403" s="21"/>
      <c r="B2403" s="21" t="s">
        <v>3259</v>
      </c>
      <c r="D2403" s="25">
        <v>0.0</v>
      </c>
      <c r="E2403" s="27"/>
      <c r="F2403" s="25">
        <v>0.0</v>
      </c>
      <c r="G2403" s="27"/>
    </row>
    <row r="2404" hidden="1">
      <c r="A2404" s="21"/>
      <c r="B2404" s="21" t="s">
        <v>3260</v>
      </c>
      <c r="D2404" s="25">
        <v>0.0</v>
      </c>
      <c r="E2404" s="27"/>
      <c r="F2404" s="25">
        <v>0.0</v>
      </c>
      <c r="G2404" s="27"/>
    </row>
    <row r="2405" hidden="1">
      <c r="A2405" s="21"/>
      <c r="B2405" s="21" t="s">
        <v>3261</v>
      </c>
      <c r="D2405" s="25">
        <v>0.0</v>
      </c>
      <c r="E2405" s="27"/>
      <c r="F2405" s="25">
        <v>6.1</v>
      </c>
      <c r="G2405" s="27"/>
    </row>
    <row r="2406" hidden="1">
      <c r="A2406" s="21"/>
      <c r="B2406" s="21" t="s">
        <v>3262</v>
      </c>
      <c r="D2406" s="25">
        <v>0.0</v>
      </c>
      <c r="E2406" s="27"/>
      <c r="F2406" s="25">
        <v>0.0</v>
      </c>
      <c r="G2406" s="27"/>
    </row>
    <row r="2407" hidden="1">
      <c r="A2407" s="21"/>
      <c r="B2407" s="21" t="s">
        <v>3263</v>
      </c>
      <c r="D2407" s="25">
        <v>0.0</v>
      </c>
      <c r="E2407" s="27"/>
      <c r="F2407" s="25">
        <v>0.0</v>
      </c>
      <c r="G2407" s="27"/>
    </row>
    <row r="2408" hidden="1">
      <c r="A2408" s="21"/>
      <c r="B2408" s="21" t="s">
        <v>3264</v>
      </c>
      <c r="D2408" s="25">
        <v>0.0</v>
      </c>
      <c r="E2408" s="27"/>
      <c r="F2408" s="25">
        <v>0.0</v>
      </c>
      <c r="G2408" s="27"/>
    </row>
    <row r="2409" hidden="1">
      <c r="A2409" s="21"/>
      <c r="B2409" s="21" t="s">
        <v>3265</v>
      </c>
      <c r="D2409" s="25">
        <v>0.0</v>
      </c>
      <c r="E2409" s="27"/>
      <c r="F2409" s="25">
        <v>0.0</v>
      </c>
      <c r="G2409" s="27"/>
    </row>
    <row r="2410" hidden="1">
      <c r="A2410" s="21"/>
      <c r="B2410" s="21" t="s">
        <v>3266</v>
      </c>
      <c r="D2410" s="25">
        <v>0.0</v>
      </c>
      <c r="E2410" s="27"/>
      <c r="F2410" s="25">
        <v>0.0</v>
      </c>
      <c r="G2410" s="27"/>
    </row>
    <row r="2411" hidden="1">
      <c r="A2411" s="21"/>
      <c r="B2411" s="21" t="s">
        <v>3267</v>
      </c>
      <c r="D2411" s="25">
        <v>0.0</v>
      </c>
      <c r="E2411" s="27"/>
      <c r="F2411" s="25">
        <v>0.0</v>
      </c>
      <c r="G2411" s="27"/>
    </row>
    <row r="2412" hidden="1">
      <c r="A2412" s="21"/>
      <c r="B2412" s="21" t="s">
        <v>3268</v>
      </c>
      <c r="D2412" s="25">
        <v>0.0</v>
      </c>
      <c r="E2412" s="27"/>
      <c r="F2412" s="25">
        <v>0.0</v>
      </c>
      <c r="G2412" s="27"/>
    </row>
    <row r="2413" hidden="1">
      <c r="A2413" s="21"/>
      <c r="B2413" s="21" t="s">
        <v>3269</v>
      </c>
      <c r="D2413" s="25">
        <v>0.0</v>
      </c>
      <c r="E2413" s="27"/>
      <c r="F2413" s="25">
        <v>0.0</v>
      </c>
      <c r="G2413" s="27"/>
    </row>
    <row r="2414" hidden="1">
      <c r="A2414" s="21"/>
      <c r="B2414" s="21" t="s">
        <v>3270</v>
      </c>
      <c r="D2414" s="25">
        <v>0.0</v>
      </c>
      <c r="E2414" s="27"/>
      <c r="F2414" s="25">
        <v>0.0</v>
      </c>
      <c r="G2414" s="27"/>
    </row>
    <row r="2415" hidden="1">
      <c r="A2415" s="21"/>
      <c r="B2415" s="21" t="s">
        <v>3271</v>
      </c>
      <c r="D2415" s="25">
        <v>0.0</v>
      </c>
      <c r="E2415" s="27"/>
      <c r="F2415" s="25">
        <v>0.0</v>
      </c>
      <c r="G2415" s="27"/>
    </row>
    <row r="2416" hidden="1">
      <c r="A2416" s="21"/>
      <c r="B2416" s="21" t="s">
        <v>3272</v>
      </c>
      <c r="D2416" s="25">
        <v>0.0</v>
      </c>
      <c r="E2416" s="27"/>
      <c r="F2416" s="25">
        <v>0.0</v>
      </c>
      <c r="G2416" s="27"/>
    </row>
    <row r="2417" hidden="1">
      <c r="A2417" s="21"/>
      <c r="B2417" s="21" t="s">
        <v>3273</v>
      </c>
      <c r="D2417" s="25">
        <v>0.0</v>
      </c>
      <c r="E2417" s="27"/>
      <c r="F2417" s="25">
        <v>0.0</v>
      </c>
      <c r="G2417" s="27"/>
    </row>
    <row r="2418" hidden="1">
      <c r="A2418" s="21"/>
      <c r="B2418" s="21" t="s">
        <v>3274</v>
      </c>
      <c r="D2418" s="25">
        <v>0.0</v>
      </c>
      <c r="E2418" s="27"/>
      <c r="F2418" s="25">
        <v>0.0</v>
      </c>
      <c r="G2418" s="27"/>
    </row>
    <row r="2419" hidden="1">
      <c r="A2419" s="21"/>
      <c r="B2419" s="21" t="s">
        <v>3275</v>
      </c>
      <c r="D2419" s="25">
        <v>0.0</v>
      </c>
      <c r="E2419" s="27"/>
      <c r="F2419" s="25">
        <v>0.0</v>
      </c>
      <c r="G2419" s="27"/>
    </row>
    <row r="2420" hidden="1">
      <c r="A2420" s="21"/>
      <c r="B2420" s="21" t="s">
        <v>3276</v>
      </c>
      <c r="D2420" s="25">
        <v>0.0</v>
      </c>
      <c r="E2420" s="27"/>
      <c r="F2420" s="25">
        <v>0.0</v>
      </c>
      <c r="G2420" s="27"/>
    </row>
    <row r="2421" hidden="1">
      <c r="A2421" s="21"/>
      <c r="B2421" s="21" t="s">
        <v>3277</v>
      </c>
      <c r="D2421" s="25">
        <v>0.0</v>
      </c>
      <c r="E2421" s="27"/>
      <c r="F2421" s="25">
        <v>0.0</v>
      </c>
      <c r="G2421" s="27"/>
    </row>
    <row r="2422" hidden="1">
      <c r="A2422" s="21"/>
      <c r="B2422" s="21" t="s">
        <v>3278</v>
      </c>
      <c r="D2422" s="25">
        <v>0.0</v>
      </c>
      <c r="E2422" s="27"/>
      <c r="F2422" s="25">
        <v>0.0</v>
      </c>
      <c r="G2422" s="27"/>
    </row>
    <row r="2423" hidden="1">
      <c r="A2423" s="21"/>
      <c r="B2423" s="21" t="s">
        <v>3279</v>
      </c>
      <c r="D2423" s="25">
        <v>0.0</v>
      </c>
      <c r="E2423" s="27"/>
      <c r="F2423" s="25">
        <v>0.0</v>
      </c>
      <c r="G2423" s="27"/>
    </row>
    <row r="2424" hidden="1">
      <c r="A2424" s="21"/>
      <c r="B2424" s="21" t="s">
        <v>3280</v>
      </c>
      <c r="D2424" s="25">
        <v>0.0</v>
      </c>
      <c r="E2424" s="27"/>
      <c r="F2424" s="25">
        <v>0.0</v>
      </c>
      <c r="G2424" s="27"/>
    </row>
    <row r="2425" hidden="1">
      <c r="A2425" s="21"/>
      <c r="B2425" s="21" t="s">
        <v>3281</v>
      </c>
      <c r="D2425" s="25">
        <v>0.0</v>
      </c>
      <c r="E2425" s="27"/>
      <c r="F2425" s="25">
        <v>0.0</v>
      </c>
      <c r="G2425" s="27"/>
    </row>
    <row r="2426" hidden="1">
      <c r="A2426" s="21"/>
      <c r="B2426" s="21" t="s">
        <v>3282</v>
      </c>
      <c r="D2426" s="25">
        <v>0.0</v>
      </c>
      <c r="E2426" s="27"/>
      <c r="F2426" s="25">
        <v>0.0</v>
      </c>
      <c r="G2426" s="27"/>
    </row>
    <row r="2427" hidden="1">
      <c r="A2427" s="21"/>
      <c r="B2427" s="21" t="s">
        <v>3283</v>
      </c>
      <c r="D2427" s="25">
        <v>0.0</v>
      </c>
      <c r="E2427" s="27"/>
      <c r="F2427" s="25">
        <v>0.0</v>
      </c>
      <c r="G2427" s="27"/>
    </row>
    <row r="2428" hidden="1">
      <c r="A2428" s="21"/>
      <c r="B2428" s="21" t="s">
        <v>3284</v>
      </c>
      <c r="D2428" s="25">
        <v>0.0</v>
      </c>
      <c r="E2428" s="27"/>
      <c r="F2428" s="25">
        <v>0.0</v>
      </c>
      <c r="G2428" s="27"/>
    </row>
    <row r="2429" hidden="1">
      <c r="A2429" s="21"/>
      <c r="B2429" s="21" t="s">
        <v>3285</v>
      </c>
      <c r="D2429" s="25">
        <v>0.0</v>
      </c>
      <c r="E2429" s="27"/>
      <c r="F2429" s="25">
        <v>0.0</v>
      </c>
      <c r="G2429" s="27"/>
    </row>
    <row r="2430" hidden="1">
      <c r="A2430" s="21"/>
      <c r="B2430" s="21" t="s">
        <v>3286</v>
      </c>
      <c r="D2430" s="25">
        <v>0.0</v>
      </c>
      <c r="E2430" s="27"/>
      <c r="F2430" s="25">
        <v>0.0</v>
      </c>
      <c r="G2430" s="27"/>
    </row>
    <row r="2431" hidden="1">
      <c r="A2431" s="21"/>
      <c r="B2431" s="21" t="s">
        <v>3287</v>
      </c>
      <c r="D2431" s="25">
        <v>0.0</v>
      </c>
      <c r="E2431" s="27"/>
      <c r="F2431" s="25">
        <v>0.0</v>
      </c>
      <c r="G2431" s="27"/>
    </row>
    <row r="2432" hidden="1">
      <c r="A2432" s="21"/>
      <c r="B2432" s="21" t="s">
        <v>3288</v>
      </c>
      <c r="D2432" s="25">
        <v>0.0</v>
      </c>
      <c r="E2432" s="27"/>
      <c r="F2432" s="25">
        <v>0.0</v>
      </c>
      <c r="G2432" s="27"/>
    </row>
    <row r="2433" hidden="1">
      <c r="A2433" s="21"/>
      <c r="B2433" s="21" t="s">
        <v>3289</v>
      </c>
      <c r="D2433" s="25">
        <v>0.0</v>
      </c>
      <c r="E2433" s="27"/>
      <c r="F2433" s="25">
        <v>0.0</v>
      </c>
      <c r="G2433" s="27"/>
    </row>
    <row r="2434" hidden="1">
      <c r="A2434" s="21"/>
      <c r="B2434" s="21" t="s">
        <v>3290</v>
      </c>
      <c r="D2434" s="25">
        <v>0.0</v>
      </c>
      <c r="E2434" s="27"/>
      <c r="F2434" s="25">
        <v>0.0</v>
      </c>
      <c r="G2434" s="27"/>
    </row>
    <row r="2435" hidden="1">
      <c r="A2435" s="21"/>
      <c r="B2435" s="21" t="s">
        <v>3291</v>
      </c>
      <c r="D2435" s="25">
        <v>0.0</v>
      </c>
      <c r="E2435" s="27"/>
      <c r="F2435" s="25">
        <v>0.0</v>
      </c>
      <c r="G2435" s="27"/>
    </row>
    <row r="2436" hidden="1">
      <c r="A2436" s="21"/>
      <c r="B2436" s="21" t="s">
        <v>3292</v>
      </c>
      <c r="D2436" s="25">
        <v>0.0</v>
      </c>
      <c r="E2436" s="27"/>
      <c r="F2436" s="25">
        <v>0.0</v>
      </c>
      <c r="G2436" s="27"/>
    </row>
    <row r="2437" hidden="1">
      <c r="A2437" s="21"/>
      <c r="B2437" s="21" t="s">
        <v>3293</v>
      </c>
      <c r="D2437" s="25">
        <v>0.0</v>
      </c>
      <c r="E2437" s="27"/>
      <c r="F2437" s="25">
        <v>0.0</v>
      </c>
      <c r="G2437" s="27"/>
    </row>
    <row r="2438" hidden="1">
      <c r="A2438" s="21"/>
      <c r="B2438" s="21" t="s">
        <v>3294</v>
      </c>
      <c r="D2438" s="25">
        <v>0.0</v>
      </c>
      <c r="E2438" s="27"/>
      <c r="F2438" s="25">
        <v>0.0</v>
      </c>
      <c r="G2438" s="27"/>
    </row>
    <row r="2439" hidden="1">
      <c r="A2439" s="21"/>
      <c r="B2439" s="21" t="s">
        <v>3295</v>
      </c>
      <c r="D2439" s="25">
        <v>0.0</v>
      </c>
      <c r="E2439" s="27"/>
      <c r="F2439" s="25">
        <v>0.0</v>
      </c>
      <c r="G2439" s="27"/>
    </row>
    <row r="2440" hidden="1">
      <c r="A2440" s="21"/>
      <c r="B2440" s="21" t="s">
        <v>3296</v>
      </c>
      <c r="D2440" s="25">
        <v>0.0</v>
      </c>
      <c r="E2440" s="27"/>
      <c r="F2440" s="25">
        <v>0.0</v>
      </c>
      <c r="G2440" s="27"/>
    </row>
    <row r="2441" hidden="1">
      <c r="A2441" s="21"/>
      <c r="B2441" s="21" t="s">
        <v>3297</v>
      </c>
      <c r="D2441" s="25">
        <v>0.0</v>
      </c>
      <c r="E2441" s="27"/>
      <c r="F2441" s="25">
        <v>0.0</v>
      </c>
      <c r="G2441" s="27"/>
    </row>
    <row r="2442" hidden="1">
      <c r="A2442" s="21"/>
      <c r="B2442" s="21" t="s">
        <v>3298</v>
      </c>
      <c r="D2442" s="25">
        <v>0.0</v>
      </c>
      <c r="E2442" s="27"/>
      <c r="F2442" s="25">
        <v>0.0</v>
      </c>
      <c r="G2442" s="27"/>
    </row>
    <row r="2443" hidden="1">
      <c r="A2443" s="21"/>
      <c r="B2443" s="21" t="s">
        <v>3299</v>
      </c>
      <c r="D2443" s="25">
        <v>0.0</v>
      </c>
      <c r="E2443" s="27"/>
      <c r="F2443" s="25">
        <v>0.0</v>
      </c>
      <c r="G2443" s="27"/>
    </row>
    <row r="2444" hidden="1">
      <c r="A2444" s="21"/>
      <c r="B2444" s="21" t="s">
        <v>3300</v>
      </c>
      <c r="D2444" s="25">
        <v>0.0</v>
      </c>
      <c r="E2444" s="27"/>
      <c r="F2444" s="25">
        <v>0.0</v>
      </c>
      <c r="G2444" s="27"/>
    </row>
    <row r="2445" hidden="1">
      <c r="A2445" s="21"/>
      <c r="B2445" s="21" t="s">
        <v>3301</v>
      </c>
      <c r="D2445" s="25">
        <v>0.0</v>
      </c>
      <c r="E2445" s="27"/>
      <c r="F2445" s="25">
        <v>0.0</v>
      </c>
      <c r="G2445" s="27"/>
    </row>
    <row r="2446" hidden="1">
      <c r="A2446" s="21"/>
      <c r="B2446" s="21" t="s">
        <v>3302</v>
      </c>
      <c r="D2446" s="25">
        <v>0.0</v>
      </c>
      <c r="E2446" s="27"/>
      <c r="F2446" s="25">
        <v>0.0</v>
      </c>
      <c r="G2446" s="27"/>
    </row>
    <row r="2447" hidden="1">
      <c r="A2447" s="21"/>
      <c r="B2447" s="21" t="s">
        <v>3303</v>
      </c>
      <c r="D2447" s="25">
        <v>0.0</v>
      </c>
      <c r="E2447" s="27"/>
      <c r="F2447" s="25">
        <v>0.0</v>
      </c>
      <c r="G2447" s="27"/>
    </row>
    <row r="2448" hidden="1">
      <c r="A2448" s="21"/>
      <c r="B2448" s="21" t="s">
        <v>3304</v>
      </c>
      <c r="D2448" s="25">
        <v>0.0</v>
      </c>
      <c r="E2448" s="27"/>
      <c r="F2448" s="25">
        <v>0.0</v>
      </c>
      <c r="G2448" s="27"/>
    </row>
    <row r="2449" hidden="1">
      <c r="A2449" s="21"/>
      <c r="B2449" s="21" t="s">
        <v>3305</v>
      </c>
      <c r="D2449" s="25">
        <v>0.0</v>
      </c>
      <c r="E2449" s="27"/>
      <c r="F2449" s="25">
        <v>0.0</v>
      </c>
      <c r="G2449" s="27"/>
    </row>
    <row r="2450" hidden="1">
      <c r="A2450" s="21"/>
      <c r="B2450" s="21" t="s">
        <v>3306</v>
      </c>
      <c r="D2450" s="25">
        <v>0.0</v>
      </c>
      <c r="E2450" s="27"/>
      <c r="F2450" s="25">
        <v>0.0</v>
      </c>
      <c r="G2450" s="27"/>
    </row>
    <row r="2451" hidden="1">
      <c r="A2451" s="21"/>
      <c r="B2451" s="21" t="s">
        <v>3307</v>
      </c>
      <c r="D2451" s="25">
        <v>0.0</v>
      </c>
      <c r="E2451" s="27"/>
      <c r="F2451" s="25">
        <v>0.0</v>
      </c>
      <c r="G2451" s="27"/>
    </row>
    <row r="2452" hidden="1">
      <c r="A2452" s="21"/>
      <c r="B2452" s="21" t="s">
        <v>3308</v>
      </c>
      <c r="D2452" s="25">
        <v>0.0</v>
      </c>
      <c r="E2452" s="27"/>
      <c r="F2452" s="25">
        <v>0.0</v>
      </c>
      <c r="G2452" s="27"/>
    </row>
    <row r="2453" hidden="1">
      <c r="A2453" s="21"/>
      <c r="B2453" s="21" t="s">
        <v>3309</v>
      </c>
      <c r="D2453" s="25">
        <v>0.0</v>
      </c>
      <c r="E2453" s="27"/>
      <c r="F2453" s="25">
        <v>0.0</v>
      </c>
      <c r="G2453" s="27"/>
    </row>
    <row r="2454" hidden="1">
      <c r="A2454" s="21"/>
      <c r="B2454" s="21" t="s">
        <v>3310</v>
      </c>
      <c r="D2454" s="25">
        <v>0.0</v>
      </c>
      <c r="E2454" s="27"/>
      <c r="F2454" s="25">
        <v>0.0</v>
      </c>
      <c r="G2454" s="27"/>
    </row>
    <row r="2455" hidden="1">
      <c r="A2455" s="21"/>
      <c r="B2455" s="21" t="s">
        <v>3311</v>
      </c>
      <c r="D2455" s="25">
        <v>0.0</v>
      </c>
      <c r="E2455" s="27"/>
      <c r="F2455" s="25">
        <v>0.0</v>
      </c>
      <c r="G2455" s="27"/>
    </row>
    <row r="2456" hidden="1">
      <c r="A2456" s="21"/>
      <c r="B2456" s="21" t="s">
        <v>3312</v>
      </c>
      <c r="D2456" s="25">
        <v>0.0</v>
      </c>
      <c r="E2456" s="27"/>
      <c r="F2456" s="25">
        <v>0.0</v>
      </c>
      <c r="G2456" s="27"/>
    </row>
    <row r="2457" hidden="1">
      <c r="A2457" s="21"/>
      <c r="B2457" s="21" t="s">
        <v>3313</v>
      </c>
      <c r="D2457" s="25">
        <v>0.0</v>
      </c>
      <c r="E2457" s="27"/>
      <c r="F2457" s="25">
        <v>0.0</v>
      </c>
      <c r="G2457" s="27"/>
    </row>
    <row r="2458" hidden="1">
      <c r="A2458" s="21"/>
      <c r="B2458" s="21" t="s">
        <v>3314</v>
      </c>
      <c r="D2458" s="25">
        <v>0.0</v>
      </c>
      <c r="E2458" s="27"/>
      <c r="F2458" s="25">
        <v>2.07</v>
      </c>
      <c r="G2458" s="27"/>
    </row>
    <row r="2459" hidden="1">
      <c r="A2459" s="21"/>
      <c r="B2459" s="21" t="s">
        <v>3315</v>
      </c>
      <c r="D2459" s="25">
        <v>0.0</v>
      </c>
      <c r="E2459" s="27"/>
      <c r="F2459" s="25">
        <v>0.0</v>
      </c>
      <c r="G2459" s="27"/>
    </row>
    <row r="2460" hidden="1">
      <c r="A2460" s="21"/>
      <c r="B2460" s="21" t="s">
        <v>3316</v>
      </c>
      <c r="D2460" s="25">
        <v>0.0</v>
      </c>
      <c r="E2460" s="27"/>
      <c r="F2460" s="25">
        <v>0.0</v>
      </c>
      <c r="G2460" s="27"/>
    </row>
    <row r="2461" hidden="1">
      <c r="A2461" s="21"/>
      <c r="B2461" s="21" t="s">
        <v>3317</v>
      </c>
      <c r="D2461" s="25">
        <v>0.0</v>
      </c>
      <c r="E2461" s="27"/>
      <c r="F2461" s="25">
        <v>0.0</v>
      </c>
      <c r="G2461" s="27"/>
    </row>
    <row r="2462" hidden="1">
      <c r="A2462" s="21"/>
      <c r="B2462" s="21" t="s">
        <v>3318</v>
      </c>
      <c r="D2462" s="25">
        <v>0.0</v>
      </c>
      <c r="E2462" s="27"/>
      <c r="F2462" s="25">
        <v>0.0</v>
      </c>
      <c r="G2462" s="27"/>
    </row>
    <row r="2463" hidden="1">
      <c r="A2463" s="21"/>
      <c r="B2463" s="21" t="s">
        <v>3319</v>
      </c>
      <c r="D2463" s="25">
        <v>0.0</v>
      </c>
      <c r="E2463" s="27"/>
      <c r="F2463" s="25">
        <v>0.0</v>
      </c>
      <c r="G2463" s="27"/>
    </row>
    <row r="2464" hidden="1">
      <c r="A2464" s="21"/>
      <c r="B2464" s="21" t="s">
        <v>3320</v>
      </c>
      <c r="D2464" s="25">
        <v>0.0</v>
      </c>
      <c r="E2464" s="27"/>
      <c r="F2464" s="25">
        <v>0.0</v>
      </c>
      <c r="G2464" s="27"/>
    </row>
    <row r="2465" hidden="1">
      <c r="A2465" s="21"/>
      <c r="B2465" s="21" t="s">
        <v>3321</v>
      </c>
      <c r="D2465" s="25">
        <v>0.0</v>
      </c>
      <c r="E2465" s="27"/>
      <c r="F2465" s="25">
        <v>0.0</v>
      </c>
      <c r="G2465" s="27"/>
    </row>
    <row r="2466" hidden="1">
      <c r="A2466" s="21"/>
      <c r="B2466" s="21" t="s">
        <v>3322</v>
      </c>
      <c r="D2466" s="25">
        <v>0.0</v>
      </c>
      <c r="E2466" s="27"/>
      <c r="F2466" s="25">
        <v>0.0</v>
      </c>
      <c r="G2466" s="27"/>
    </row>
    <row r="2467" hidden="1">
      <c r="A2467" s="21"/>
      <c r="B2467" s="21" t="s">
        <v>3323</v>
      </c>
      <c r="D2467" s="25">
        <v>0.0</v>
      </c>
      <c r="E2467" s="27"/>
      <c r="F2467" s="25">
        <v>0.0</v>
      </c>
      <c r="G2467" s="27"/>
    </row>
    <row r="2468" hidden="1">
      <c r="A2468" s="21"/>
      <c r="B2468" s="21" t="s">
        <v>3324</v>
      </c>
      <c r="D2468" s="25">
        <v>0.0</v>
      </c>
      <c r="E2468" s="27"/>
      <c r="F2468" s="25">
        <v>0.0</v>
      </c>
      <c r="G2468" s="27"/>
    </row>
    <row r="2469" hidden="1">
      <c r="A2469" s="21"/>
      <c r="B2469" s="21" t="s">
        <v>3325</v>
      </c>
      <c r="D2469" s="25">
        <v>0.0</v>
      </c>
      <c r="E2469" s="27"/>
      <c r="F2469" s="25">
        <v>0.0</v>
      </c>
      <c r="G2469" s="27"/>
    </row>
    <row r="2470" hidden="1">
      <c r="A2470" s="21"/>
      <c r="B2470" s="21" t="s">
        <v>3326</v>
      </c>
      <c r="D2470" s="25">
        <v>0.0</v>
      </c>
      <c r="E2470" s="27"/>
      <c r="F2470" s="25">
        <v>0.0</v>
      </c>
      <c r="G2470" s="27"/>
    </row>
    <row r="2471" hidden="1">
      <c r="A2471" s="21"/>
      <c r="B2471" s="21" t="s">
        <v>3327</v>
      </c>
      <c r="D2471" s="25">
        <v>0.0</v>
      </c>
      <c r="E2471" s="27"/>
      <c r="F2471" s="25">
        <v>0.0</v>
      </c>
      <c r="G2471" s="27"/>
    </row>
    <row r="2472" hidden="1">
      <c r="A2472" s="21"/>
      <c r="B2472" s="21" t="s">
        <v>3328</v>
      </c>
      <c r="D2472" s="25">
        <v>0.0</v>
      </c>
      <c r="E2472" s="27"/>
      <c r="F2472" s="25">
        <v>0.0</v>
      </c>
      <c r="G2472" s="27"/>
    </row>
    <row r="2473" hidden="1">
      <c r="A2473" s="21"/>
      <c r="B2473" s="21" t="s">
        <v>3329</v>
      </c>
      <c r="D2473" s="25">
        <v>0.0</v>
      </c>
      <c r="E2473" s="27"/>
      <c r="F2473" s="25">
        <v>0.0</v>
      </c>
      <c r="G2473" s="27"/>
    </row>
    <row r="2474" hidden="1">
      <c r="A2474" s="21"/>
      <c r="B2474" s="21" t="s">
        <v>3330</v>
      </c>
      <c r="D2474" s="25">
        <v>0.0</v>
      </c>
      <c r="E2474" s="27"/>
      <c r="F2474" s="25">
        <v>0.0</v>
      </c>
      <c r="G2474" s="27"/>
    </row>
    <row r="2475" hidden="1">
      <c r="A2475" s="21"/>
      <c r="B2475" s="21" t="s">
        <v>3331</v>
      </c>
      <c r="D2475" s="25">
        <v>0.0</v>
      </c>
      <c r="E2475" s="27"/>
      <c r="F2475" s="25">
        <v>0.0</v>
      </c>
      <c r="G2475" s="27"/>
    </row>
    <row r="2476" hidden="1">
      <c r="A2476" s="21"/>
      <c r="B2476" s="21" t="s">
        <v>3332</v>
      </c>
      <c r="D2476" s="25">
        <v>0.0</v>
      </c>
      <c r="E2476" s="27"/>
      <c r="F2476" s="25">
        <v>0.0</v>
      </c>
      <c r="G2476" s="27"/>
    </row>
    <row r="2477" hidden="1">
      <c r="A2477" s="21"/>
      <c r="B2477" s="21" t="s">
        <v>3333</v>
      </c>
      <c r="D2477" s="25">
        <v>0.0</v>
      </c>
      <c r="E2477" s="27"/>
      <c r="F2477" s="25">
        <v>0.0</v>
      </c>
      <c r="G2477" s="27"/>
    </row>
    <row r="2478" hidden="1">
      <c r="A2478" s="21"/>
      <c r="B2478" s="21" t="s">
        <v>3334</v>
      </c>
      <c r="D2478" s="25">
        <v>0.0</v>
      </c>
      <c r="E2478" s="27"/>
      <c r="F2478" s="25">
        <v>0.0</v>
      </c>
      <c r="G2478" s="27"/>
    </row>
    <row r="2479" hidden="1">
      <c r="A2479" s="21"/>
      <c r="B2479" s="21" t="s">
        <v>3335</v>
      </c>
      <c r="D2479" s="25">
        <v>0.0</v>
      </c>
      <c r="E2479" s="27"/>
      <c r="F2479" s="25">
        <v>0.0</v>
      </c>
      <c r="G2479" s="27"/>
    </row>
    <row r="2480" hidden="1">
      <c r="A2480" s="21"/>
      <c r="B2480" s="21" t="s">
        <v>3336</v>
      </c>
      <c r="D2480" s="25">
        <v>0.0</v>
      </c>
      <c r="E2480" s="27"/>
      <c r="F2480" s="25">
        <v>0.0</v>
      </c>
      <c r="G2480" s="27"/>
    </row>
    <row r="2481" hidden="1">
      <c r="A2481" s="21"/>
      <c r="B2481" s="21" t="s">
        <v>3337</v>
      </c>
      <c r="D2481" s="25">
        <v>0.0</v>
      </c>
      <c r="E2481" s="27"/>
      <c r="F2481" s="25">
        <v>0.0</v>
      </c>
      <c r="G2481" s="27"/>
    </row>
    <row r="2482" hidden="1">
      <c r="A2482" s="21"/>
      <c r="B2482" s="21" t="s">
        <v>3338</v>
      </c>
      <c r="D2482" s="25">
        <v>0.0</v>
      </c>
      <c r="E2482" s="27"/>
      <c r="F2482" s="25">
        <v>0.0</v>
      </c>
      <c r="G2482" s="27"/>
    </row>
    <row r="2483" hidden="1">
      <c r="A2483" s="21"/>
      <c r="B2483" s="21" t="s">
        <v>3339</v>
      </c>
      <c r="D2483" s="25">
        <v>0.0</v>
      </c>
      <c r="E2483" s="27"/>
      <c r="F2483" s="25">
        <v>0.0</v>
      </c>
      <c r="G2483" s="27"/>
    </row>
    <row r="2484" hidden="1">
      <c r="A2484" s="21"/>
      <c r="B2484" s="21" t="s">
        <v>3340</v>
      </c>
      <c r="D2484" s="25">
        <v>0.0</v>
      </c>
      <c r="E2484" s="27"/>
      <c r="F2484" s="25">
        <v>0.0</v>
      </c>
      <c r="G2484" s="27"/>
    </row>
    <row r="2485" hidden="1">
      <c r="A2485" s="21"/>
      <c r="B2485" s="21" t="s">
        <v>3341</v>
      </c>
      <c r="D2485" s="25">
        <v>0.0</v>
      </c>
      <c r="E2485" s="27"/>
      <c r="F2485" s="25">
        <v>0.0</v>
      </c>
      <c r="G2485" s="27"/>
    </row>
    <row r="2486" hidden="1">
      <c r="A2486" s="21"/>
      <c r="B2486" s="21" t="s">
        <v>3342</v>
      </c>
      <c r="D2486" s="25">
        <v>0.0</v>
      </c>
      <c r="E2486" s="27"/>
      <c r="F2486" s="25">
        <v>0.0</v>
      </c>
      <c r="G2486" s="27"/>
    </row>
    <row r="2487" hidden="1">
      <c r="A2487" s="21"/>
      <c r="B2487" s="21" t="s">
        <v>3343</v>
      </c>
      <c r="D2487" s="25">
        <v>0.0</v>
      </c>
      <c r="E2487" s="27"/>
      <c r="F2487" s="25">
        <v>0.0</v>
      </c>
      <c r="G2487" s="27"/>
    </row>
    <row r="2488" hidden="1">
      <c r="A2488" s="21"/>
      <c r="B2488" s="21" t="s">
        <v>3344</v>
      </c>
      <c r="D2488" s="25">
        <v>0.0</v>
      </c>
      <c r="E2488" s="27"/>
      <c r="F2488" s="25">
        <v>0.0</v>
      </c>
      <c r="G2488" s="27"/>
    </row>
    <row r="2489" hidden="1">
      <c r="A2489" s="21"/>
      <c r="B2489" s="21" t="s">
        <v>3345</v>
      </c>
      <c r="D2489" s="25">
        <v>0.0</v>
      </c>
      <c r="E2489" s="27"/>
      <c r="F2489" s="25">
        <v>0.0</v>
      </c>
      <c r="G2489" s="27"/>
    </row>
    <row r="2490" hidden="1">
      <c r="A2490" s="21"/>
      <c r="B2490" s="21" t="s">
        <v>3346</v>
      </c>
      <c r="D2490" s="25">
        <v>0.0</v>
      </c>
      <c r="E2490" s="27"/>
      <c r="F2490" s="25">
        <v>0.0</v>
      </c>
      <c r="G2490" s="27"/>
    </row>
    <row r="2491" hidden="1">
      <c r="A2491" s="21"/>
      <c r="B2491" s="21" t="s">
        <v>3347</v>
      </c>
      <c r="D2491" s="25">
        <v>0.0</v>
      </c>
      <c r="E2491" s="27"/>
      <c r="F2491" s="25">
        <v>8.09</v>
      </c>
      <c r="G2491" s="27"/>
    </row>
    <row r="2492" hidden="1">
      <c r="A2492" s="21"/>
      <c r="B2492" s="21" t="s">
        <v>3348</v>
      </c>
      <c r="D2492" s="25">
        <v>0.0</v>
      </c>
      <c r="E2492" s="27"/>
      <c r="F2492" s="25">
        <v>0.0</v>
      </c>
      <c r="G2492" s="27"/>
    </row>
    <row r="2493" hidden="1">
      <c r="A2493" s="21"/>
      <c r="B2493" s="21" t="s">
        <v>3349</v>
      </c>
      <c r="D2493" s="25">
        <v>0.0</v>
      </c>
      <c r="E2493" s="27"/>
      <c r="F2493" s="25">
        <v>0.0</v>
      </c>
      <c r="G2493" s="27"/>
    </row>
    <row r="2494" hidden="1">
      <c r="A2494" s="21"/>
      <c r="B2494" s="21" t="s">
        <v>3350</v>
      </c>
      <c r="D2494" s="25">
        <v>0.0</v>
      </c>
      <c r="E2494" s="27"/>
      <c r="F2494" s="25">
        <v>0.0</v>
      </c>
      <c r="G2494" s="27"/>
    </row>
    <row r="2495" hidden="1">
      <c r="A2495" s="21"/>
      <c r="B2495" s="21" t="s">
        <v>3351</v>
      </c>
      <c r="D2495" s="25">
        <v>0.0</v>
      </c>
      <c r="E2495" s="27"/>
      <c r="F2495" s="25">
        <v>10.91</v>
      </c>
      <c r="G2495" s="27"/>
    </row>
    <row r="2496" hidden="1">
      <c r="A2496" s="21"/>
      <c r="B2496" s="21" t="s">
        <v>3352</v>
      </c>
      <c r="D2496" s="25">
        <v>0.0</v>
      </c>
      <c r="E2496" s="27"/>
      <c r="F2496" s="25">
        <v>0.0</v>
      </c>
      <c r="G2496" s="27"/>
    </row>
    <row r="2497" hidden="1">
      <c r="A2497" s="21"/>
      <c r="B2497" s="21" t="s">
        <v>3353</v>
      </c>
      <c r="D2497" s="25">
        <v>0.0</v>
      </c>
      <c r="E2497" s="27"/>
      <c r="F2497" s="25">
        <v>0.0</v>
      </c>
      <c r="G2497" s="27"/>
    </row>
    <row r="2498" hidden="1">
      <c r="A2498" s="21"/>
      <c r="B2498" s="21" t="s">
        <v>3354</v>
      </c>
      <c r="D2498" s="25">
        <v>0.0</v>
      </c>
      <c r="E2498" s="27"/>
      <c r="F2498" s="25">
        <v>0.0</v>
      </c>
      <c r="G2498" s="27"/>
    </row>
    <row r="2499" hidden="1">
      <c r="A2499" s="21"/>
      <c r="B2499" s="21" t="s">
        <v>3355</v>
      </c>
      <c r="D2499" s="25">
        <v>0.0</v>
      </c>
      <c r="E2499" s="27"/>
      <c r="F2499" s="25">
        <v>0.0</v>
      </c>
      <c r="G2499" s="27"/>
    </row>
    <row r="2500" hidden="1">
      <c r="A2500" s="21"/>
      <c r="B2500" s="21" t="s">
        <v>3356</v>
      </c>
      <c r="D2500" s="25">
        <v>0.0</v>
      </c>
      <c r="E2500" s="27"/>
      <c r="F2500" s="25">
        <v>0.0</v>
      </c>
      <c r="G2500" s="27"/>
    </row>
    <row r="2501" hidden="1">
      <c r="A2501" s="21"/>
      <c r="B2501" s="21" t="s">
        <v>3357</v>
      </c>
      <c r="D2501" s="25">
        <v>0.0</v>
      </c>
      <c r="E2501" s="27"/>
      <c r="F2501" s="25">
        <v>0.0</v>
      </c>
      <c r="G2501" s="27"/>
    </row>
    <row r="2502" hidden="1">
      <c r="A2502" s="21"/>
      <c r="B2502" s="21" t="s">
        <v>3358</v>
      </c>
      <c r="D2502" s="25">
        <v>0.0</v>
      </c>
      <c r="E2502" s="27"/>
      <c r="F2502" s="25">
        <v>0.0</v>
      </c>
      <c r="G2502" s="27"/>
    </row>
    <row r="2503" hidden="1">
      <c r="A2503" s="21"/>
      <c r="B2503" s="21" t="s">
        <v>3359</v>
      </c>
      <c r="D2503" s="25">
        <v>0.0</v>
      </c>
      <c r="E2503" s="27"/>
      <c r="F2503" s="25">
        <v>0.0</v>
      </c>
      <c r="G2503" s="27"/>
    </row>
    <row r="2504" hidden="1">
      <c r="A2504" s="21"/>
      <c r="B2504" s="21" t="s">
        <v>3360</v>
      </c>
      <c r="D2504" s="25">
        <v>0.0</v>
      </c>
      <c r="E2504" s="27"/>
      <c r="F2504" s="25">
        <v>0.0</v>
      </c>
      <c r="G2504" s="27"/>
    </row>
    <row r="2505" hidden="1">
      <c r="A2505" s="21"/>
      <c r="B2505" s="21" t="s">
        <v>3361</v>
      </c>
      <c r="D2505" s="25">
        <v>0.0</v>
      </c>
      <c r="E2505" s="27"/>
      <c r="F2505" s="25">
        <v>0.0</v>
      </c>
      <c r="G2505" s="27"/>
    </row>
    <row r="2506" hidden="1">
      <c r="A2506" s="21"/>
      <c r="B2506" s="21" t="s">
        <v>3362</v>
      </c>
      <c r="D2506" s="25">
        <v>0.0</v>
      </c>
      <c r="E2506" s="27"/>
      <c r="F2506" s="25">
        <v>0.0</v>
      </c>
      <c r="G2506" s="27"/>
    </row>
    <row r="2507" hidden="1">
      <c r="A2507" s="21"/>
      <c r="B2507" s="21" t="s">
        <v>3363</v>
      </c>
      <c r="D2507" s="25">
        <v>0.0</v>
      </c>
      <c r="E2507" s="27"/>
      <c r="F2507" s="25">
        <v>0.0</v>
      </c>
      <c r="G2507" s="27"/>
    </row>
    <row r="2508" hidden="1">
      <c r="A2508" s="21"/>
      <c r="B2508" s="21" t="s">
        <v>3364</v>
      </c>
      <c r="D2508" s="25">
        <v>0.0</v>
      </c>
      <c r="E2508" s="27"/>
      <c r="F2508" s="25">
        <v>0.0</v>
      </c>
      <c r="G2508" s="27"/>
    </row>
    <row r="2509" hidden="1">
      <c r="A2509" s="21"/>
      <c r="B2509" s="21" t="s">
        <v>3365</v>
      </c>
      <c r="D2509" s="25">
        <v>0.0</v>
      </c>
      <c r="E2509" s="27"/>
      <c r="F2509" s="25">
        <v>0.0</v>
      </c>
      <c r="G2509" s="27"/>
    </row>
    <row r="2510" hidden="1">
      <c r="A2510" s="21"/>
      <c r="B2510" s="21" t="s">
        <v>3366</v>
      </c>
      <c r="D2510" s="25">
        <v>0.0</v>
      </c>
      <c r="E2510" s="27"/>
      <c r="F2510" s="25">
        <v>0.0</v>
      </c>
      <c r="G2510" s="27"/>
    </row>
    <row r="2511" hidden="1">
      <c r="A2511" s="21"/>
      <c r="B2511" s="21" t="s">
        <v>3367</v>
      </c>
      <c r="D2511" s="25">
        <v>0.0</v>
      </c>
      <c r="E2511" s="27"/>
      <c r="F2511" s="25">
        <v>0.0</v>
      </c>
      <c r="G2511" s="27"/>
    </row>
    <row r="2512" hidden="1">
      <c r="A2512" s="21"/>
      <c r="B2512" s="21" t="s">
        <v>3368</v>
      </c>
      <c r="D2512" s="25">
        <v>0.0</v>
      </c>
      <c r="E2512" s="27"/>
      <c r="F2512" s="25">
        <v>0.0</v>
      </c>
      <c r="G2512" s="27"/>
    </row>
    <row r="2513" hidden="1">
      <c r="A2513" s="21"/>
      <c r="B2513" s="21" t="s">
        <v>3369</v>
      </c>
      <c r="D2513" s="25">
        <v>0.0</v>
      </c>
      <c r="E2513" s="27"/>
      <c r="F2513" s="25">
        <v>0.0</v>
      </c>
      <c r="G2513" s="27"/>
    </row>
    <row r="2514" hidden="1">
      <c r="A2514" s="21"/>
      <c r="B2514" s="21" t="s">
        <v>3370</v>
      </c>
      <c r="D2514" s="25">
        <v>0.0</v>
      </c>
      <c r="E2514" s="27"/>
      <c r="F2514" s="25">
        <v>0.0</v>
      </c>
      <c r="G2514" s="27"/>
    </row>
    <row r="2515" hidden="1">
      <c r="A2515" s="21"/>
      <c r="B2515" s="21" t="s">
        <v>3371</v>
      </c>
      <c r="D2515" s="25">
        <v>0.0</v>
      </c>
      <c r="E2515" s="27"/>
      <c r="F2515" s="25">
        <v>0.0</v>
      </c>
      <c r="G2515" s="27"/>
    </row>
    <row r="2516" hidden="1">
      <c r="A2516" s="21"/>
      <c r="B2516" s="21" t="s">
        <v>3372</v>
      </c>
      <c r="D2516" s="25">
        <v>0.0</v>
      </c>
      <c r="E2516" s="27"/>
      <c r="F2516" s="25">
        <v>0.0</v>
      </c>
      <c r="G2516" s="27"/>
    </row>
    <row r="2517" hidden="1">
      <c r="A2517" s="21"/>
      <c r="B2517" s="21" t="s">
        <v>3373</v>
      </c>
      <c r="D2517" s="25">
        <v>0.0</v>
      </c>
      <c r="E2517" s="27"/>
      <c r="F2517" s="25">
        <v>0.0</v>
      </c>
      <c r="G2517" s="27"/>
    </row>
    <row r="2518" hidden="1">
      <c r="A2518" s="21"/>
      <c r="B2518" s="21" t="s">
        <v>3374</v>
      </c>
      <c r="D2518" s="25">
        <v>0.0</v>
      </c>
      <c r="E2518" s="27"/>
      <c r="F2518" s="25">
        <v>0.0</v>
      </c>
      <c r="G2518" s="27"/>
    </row>
    <row r="2519" hidden="1">
      <c r="A2519" s="21"/>
      <c r="B2519" s="21" t="s">
        <v>3375</v>
      </c>
      <c r="D2519" s="25">
        <v>0.0</v>
      </c>
      <c r="E2519" s="27"/>
      <c r="F2519" s="25">
        <v>0.0</v>
      </c>
      <c r="G2519" s="27"/>
    </row>
    <row r="2520" hidden="1">
      <c r="A2520" s="21"/>
      <c r="B2520" s="21" t="s">
        <v>3376</v>
      </c>
      <c r="D2520" s="25">
        <v>0.0</v>
      </c>
      <c r="E2520" s="27"/>
      <c r="F2520" s="25">
        <v>0.0</v>
      </c>
      <c r="G2520" s="27"/>
    </row>
    <row r="2521" hidden="1">
      <c r="A2521" s="21"/>
      <c r="B2521" s="21" t="s">
        <v>3377</v>
      </c>
      <c r="D2521" s="25">
        <v>0.0</v>
      </c>
      <c r="E2521" s="27"/>
      <c r="F2521" s="25">
        <v>0.0</v>
      </c>
      <c r="G2521" s="27"/>
    </row>
    <row r="2522" hidden="1">
      <c r="A2522" s="21"/>
      <c r="B2522" s="21" t="s">
        <v>3378</v>
      </c>
      <c r="D2522" s="25">
        <v>0.0</v>
      </c>
      <c r="E2522" s="27"/>
      <c r="F2522" s="25">
        <v>0.0</v>
      </c>
      <c r="G2522" s="27"/>
    </row>
    <row r="2523" hidden="1">
      <c r="A2523" s="21"/>
      <c r="B2523" s="21" t="s">
        <v>3379</v>
      </c>
      <c r="D2523" s="25">
        <v>0.0</v>
      </c>
      <c r="E2523" s="27"/>
      <c r="F2523" s="25">
        <v>0.0</v>
      </c>
      <c r="G2523" s="27"/>
    </row>
    <row r="2524" hidden="1">
      <c r="A2524" s="21"/>
      <c r="B2524" s="21" t="s">
        <v>3380</v>
      </c>
      <c r="D2524" s="25">
        <v>0.0</v>
      </c>
      <c r="E2524" s="27"/>
      <c r="F2524" s="25">
        <v>0.0</v>
      </c>
      <c r="G2524" s="27"/>
    </row>
    <row r="2525" hidden="1">
      <c r="A2525" s="21"/>
      <c r="B2525" s="21" t="s">
        <v>3381</v>
      </c>
      <c r="D2525" s="25">
        <v>0.0</v>
      </c>
      <c r="E2525" s="27"/>
      <c r="F2525" s="25">
        <v>0.0</v>
      </c>
      <c r="G2525" s="27"/>
    </row>
    <row r="2526" hidden="1">
      <c r="A2526" s="21"/>
      <c r="B2526" s="21" t="s">
        <v>3382</v>
      </c>
      <c r="D2526" s="25">
        <v>0.0</v>
      </c>
      <c r="E2526" s="27"/>
      <c r="F2526" s="25">
        <v>0.0</v>
      </c>
      <c r="G2526" s="27"/>
    </row>
    <row r="2527" hidden="1">
      <c r="A2527" s="21"/>
      <c r="B2527" s="21" t="s">
        <v>3383</v>
      </c>
      <c r="D2527" s="25">
        <v>0.0</v>
      </c>
      <c r="E2527" s="27"/>
      <c r="F2527" s="25">
        <v>0.0</v>
      </c>
      <c r="G2527" s="27"/>
    </row>
    <row r="2528" hidden="1">
      <c r="A2528" s="21"/>
      <c r="B2528" s="21" t="s">
        <v>3384</v>
      </c>
      <c r="D2528" s="25">
        <v>0.0</v>
      </c>
      <c r="E2528" s="27"/>
      <c r="F2528" s="25">
        <v>0.0</v>
      </c>
      <c r="G2528" s="27"/>
    </row>
    <row r="2529" hidden="1">
      <c r="A2529" s="21"/>
      <c r="B2529" s="21" t="s">
        <v>3385</v>
      </c>
      <c r="D2529" s="25">
        <v>0.0</v>
      </c>
      <c r="E2529" s="27"/>
      <c r="F2529" s="25">
        <v>0.0</v>
      </c>
      <c r="G2529" s="27"/>
    </row>
    <row r="2530" hidden="1">
      <c r="A2530" s="21"/>
      <c r="B2530" s="21" t="s">
        <v>3386</v>
      </c>
      <c r="D2530" s="25">
        <v>0.0</v>
      </c>
      <c r="E2530" s="27"/>
      <c r="F2530" s="25">
        <v>0.0</v>
      </c>
      <c r="G2530" s="27"/>
    </row>
    <row r="2531" hidden="1">
      <c r="A2531" s="21"/>
      <c r="B2531" s="21" t="s">
        <v>3387</v>
      </c>
      <c r="D2531" s="25">
        <v>0.0</v>
      </c>
      <c r="E2531" s="27"/>
      <c r="F2531" s="25">
        <v>0.0</v>
      </c>
      <c r="G2531" s="27"/>
    </row>
    <row r="2532" hidden="1">
      <c r="A2532" s="21"/>
      <c r="B2532" s="21" t="s">
        <v>3388</v>
      </c>
      <c r="D2532" s="25">
        <v>0.0</v>
      </c>
      <c r="E2532" s="27"/>
      <c r="F2532" s="25">
        <v>0.0</v>
      </c>
      <c r="G2532" s="27"/>
    </row>
    <row r="2533" hidden="1">
      <c r="A2533" s="21"/>
      <c r="B2533" s="21" t="s">
        <v>3389</v>
      </c>
      <c r="D2533" s="25">
        <v>0.0</v>
      </c>
      <c r="E2533" s="27"/>
      <c r="F2533" s="25">
        <v>0.0</v>
      </c>
      <c r="G2533" s="27"/>
    </row>
    <row r="2534" hidden="1">
      <c r="A2534" s="21"/>
      <c r="B2534" s="21" t="s">
        <v>3390</v>
      </c>
      <c r="D2534" s="25">
        <v>0.0</v>
      </c>
      <c r="E2534" s="27"/>
      <c r="F2534" s="25">
        <v>0.0</v>
      </c>
      <c r="G2534" s="27"/>
    </row>
    <row r="2535" hidden="1">
      <c r="A2535" s="21"/>
      <c r="B2535" s="21" t="s">
        <v>3391</v>
      </c>
      <c r="D2535" s="25">
        <v>0.0</v>
      </c>
      <c r="E2535" s="27"/>
      <c r="F2535" s="25">
        <v>0.0</v>
      </c>
      <c r="G2535" s="27"/>
    </row>
    <row r="2536" hidden="1">
      <c r="A2536" s="21"/>
      <c r="B2536" s="21" t="s">
        <v>3392</v>
      </c>
      <c r="D2536" s="25">
        <v>0.0</v>
      </c>
      <c r="E2536" s="27"/>
      <c r="F2536" s="25">
        <v>0.0</v>
      </c>
      <c r="G2536" s="27"/>
    </row>
    <row r="2537" hidden="1">
      <c r="A2537" s="21"/>
      <c r="B2537" s="21" t="s">
        <v>3393</v>
      </c>
      <c r="D2537" s="25">
        <v>0.0</v>
      </c>
      <c r="E2537" s="27"/>
      <c r="F2537" s="25">
        <v>0.0</v>
      </c>
      <c r="G2537" s="27"/>
    </row>
    <row r="2538" hidden="1">
      <c r="A2538" s="21"/>
      <c r="B2538" s="21" t="s">
        <v>3394</v>
      </c>
      <c r="D2538" s="25">
        <v>0.0</v>
      </c>
      <c r="E2538" s="27"/>
      <c r="F2538" s="25">
        <v>0.0</v>
      </c>
      <c r="G2538" s="27"/>
    </row>
    <row r="2539" hidden="1">
      <c r="A2539" s="21"/>
      <c r="B2539" s="21" t="s">
        <v>3395</v>
      </c>
      <c r="D2539" s="25">
        <v>0.0</v>
      </c>
      <c r="E2539" s="27"/>
      <c r="F2539" s="25">
        <v>0.0</v>
      </c>
      <c r="G2539" s="27"/>
    </row>
    <row r="2540" hidden="1">
      <c r="A2540" s="21"/>
      <c r="B2540" s="21" t="s">
        <v>3396</v>
      </c>
      <c r="D2540" s="25">
        <v>0.0</v>
      </c>
      <c r="E2540" s="27"/>
      <c r="F2540" s="25">
        <v>0.0</v>
      </c>
      <c r="G2540" s="27"/>
    </row>
    <row r="2541" hidden="1">
      <c r="A2541" s="21"/>
      <c r="B2541" s="21" t="s">
        <v>3397</v>
      </c>
      <c r="D2541" s="25">
        <v>0.0</v>
      </c>
      <c r="E2541" s="27"/>
      <c r="F2541" s="25">
        <v>0.0</v>
      </c>
      <c r="G2541" s="27"/>
    </row>
    <row r="2542" hidden="1">
      <c r="A2542" s="21"/>
      <c r="B2542" s="21" t="s">
        <v>3398</v>
      </c>
      <c r="D2542" s="25">
        <v>0.0</v>
      </c>
      <c r="E2542" s="27"/>
      <c r="F2542" s="25">
        <v>0.0</v>
      </c>
      <c r="G2542" s="27"/>
    </row>
    <row r="2543" hidden="1">
      <c r="A2543" s="21"/>
      <c r="B2543" s="21" t="s">
        <v>3399</v>
      </c>
      <c r="D2543" s="25">
        <v>0.0</v>
      </c>
      <c r="E2543" s="27"/>
      <c r="F2543" s="25">
        <v>0.0</v>
      </c>
      <c r="G2543" s="27"/>
    </row>
    <row r="2544" hidden="1">
      <c r="A2544" s="21"/>
      <c r="B2544" s="21" t="s">
        <v>3400</v>
      </c>
      <c r="D2544" s="25">
        <v>0.0</v>
      </c>
      <c r="E2544" s="27"/>
      <c r="F2544" s="25">
        <v>0.0</v>
      </c>
      <c r="G2544" s="27"/>
    </row>
    <row r="2545" hidden="1">
      <c r="A2545" s="21"/>
      <c r="B2545" s="21" t="s">
        <v>3401</v>
      </c>
      <c r="D2545" s="25">
        <v>0.0</v>
      </c>
      <c r="E2545" s="27"/>
      <c r="F2545" s="25">
        <v>0.0</v>
      </c>
      <c r="G2545" s="27"/>
    </row>
    <row r="2546" hidden="1">
      <c r="A2546" s="21"/>
      <c r="B2546" s="21" t="s">
        <v>3402</v>
      </c>
      <c r="D2546" s="25">
        <v>0.0</v>
      </c>
      <c r="E2546" s="27"/>
      <c r="F2546" s="25">
        <v>0.0</v>
      </c>
      <c r="G2546" s="27"/>
    </row>
    <row r="2547" hidden="1">
      <c r="A2547" s="21"/>
      <c r="B2547" s="21" t="s">
        <v>3403</v>
      </c>
      <c r="D2547" s="25">
        <v>0.0</v>
      </c>
      <c r="E2547" s="27"/>
      <c r="F2547" s="25">
        <v>0.0</v>
      </c>
      <c r="G2547" s="27"/>
    </row>
    <row r="2548" hidden="1">
      <c r="A2548" s="21"/>
      <c r="B2548" s="21" t="s">
        <v>3404</v>
      </c>
      <c r="D2548" s="25">
        <v>0.0</v>
      </c>
      <c r="E2548" s="27"/>
      <c r="F2548" s="25">
        <v>0.0</v>
      </c>
      <c r="G2548" s="27"/>
    </row>
    <row r="2549" hidden="1">
      <c r="A2549" s="21"/>
      <c r="B2549" s="21" t="s">
        <v>3405</v>
      </c>
      <c r="D2549" s="25">
        <v>0.0</v>
      </c>
      <c r="E2549" s="27"/>
      <c r="F2549" s="25">
        <v>0.0</v>
      </c>
      <c r="G2549" s="27"/>
    </row>
    <row r="2550" hidden="1">
      <c r="A2550" s="21"/>
      <c r="B2550" s="21" t="s">
        <v>3406</v>
      </c>
      <c r="D2550" s="25">
        <v>0.0</v>
      </c>
      <c r="E2550" s="27"/>
      <c r="F2550" s="25">
        <v>0.0</v>
      </c>
      <c r="G2550" s="27"/>
    </row>
    <row r="2551" hidden="1">
      <c r="A2551" s="21"/>
      <c r="B2551" s="21" t="s">
        <v>3407</v>
      </c>
      <c r="D2551" s="25">
        <v>0.0</v>
      </c>
      <c r="E2551" s="27"/>
      <c r="F2551" s="25">
        <v>5.37</v>
      </c>
      <c r="G2551" s="27"/>
    </row>
    <row r="2552" hidden="1">
      <c r="A2552" s="21"/>
      <c r="B2552" s="21" t="s">
        <v>3408</v>
      </c>
      <c r="D2552" s="25">
        <v>0.0</v>
      </c>
      <c r="E2552" s="27"/>
      <c r="F2552" s="25">
        <v>0.0</v>
      </c>
      <c r="G2552" s="27"/>
    </row>
    <row r="2553" hidden="1">
      <c r="A2553" s="21"/>
      <c r="B2553" s="21" t="s">
        <v>3409</v>
      </c>
      <c r="D2553" s="25">
        <v>0.0</v>
      </c>
      <c r="E2553" s="27"/>
      <c r="F2553" s="25">
        <v>0.0</v>
      </c>
      <c r="G2553" s="27"/>
    </row>
    <row r="2554" hidden="1">
      <c r="A2554" s="21"/>
      <c r="B2554" s="21" t="s">
        <v>3410</v>
      </c>
      <c r="D2554" s="25">
        <v>0.0</v>
      </c>
      <c r="E2554" s="27"/>
      <c r="F2554" s="25">
        <v>0.0</v>
      </c>
      <c r="G2554" s="27"/>
    </row>
    <row r="2555" hidden="1">
      <c r="A2555" s="21"/>
      <c r="B2555" s="21" t="s">
        <v>3411</v>
      </c>
      <c r="D2555" s="25">
        <v>0.0</v>
      </c>
      <c r="E2555" s="27"/>
      <c r="F2555" s="25">
        <v>0.0</v>
      </c>
      <c r="G2555" s="27"/>
    </row>
    <row r="2556" hidden="1">
      <c r="A2556" s="21"/>
      <c r="B2556" s="21" t="s">
        <v>3412</v>
      </c>
      <c r="D2556" s="25">
        <v>0.0</v>
      </c>
      <c r="E2556" s="27"/>
      <c r="F2556" s="25">
        <v>0.0</v>
      </c>
      <c r="G2556" s="27"/>
    </row>
    <row r="2557" hidden="1">
      <c r="A2557" s="21"/>
      <c r="B2557" s="21" t="s">
        <v>3413</v>
      </c>
      <c r="D2557" s="25">
        <v>0.0</v>
      </c>
      <c r="E2557" s="27"/>
      <c r="F2557" s="25">
        <v>0.0</v>
      </c>
      <c r="G2557" s="27"/>
    </row>
    <row r="2558" hidden="1">
      <c r="A2558" s="21"/>
      <c r="B2558" s="21" t="s">
        <v>3414</v>
      </c>
      <c r="D2558" s="25">
        <v>0.0</v>
      </c>
      <c r="E2558" s="27"/>
      <c r="F2558" s="25">
        <v>0.0</v>
      </c>
      <c r="G2558" s="27"/>
    </row>
    <row r="2559" hidden="1">
      <c r="A2559" s="21"/>
      <c r="B2559" s="21" t="s">
        <v>3415</v>
      </c>
      <c r="D2559" s="25">
        <v>0.0</v>
      </c>
      <c r="E2559" s="27"/>
      <c r="F2559" s="25">
        <v>0.0</v>
      </c>
      <c r="G2559" s="27"/>
    </row>
    <row r="2560" hidden="1">
      <c r="A2560" s="21"/>
      <c r="B2560" s="21" t="s">
        <v>3416</v>
      </c>
      <c r="D2560" s="25">
        <v>0.0</v>
      </c>
      <c r="E2560" s="27"/>
      <c r="F2560" s="25">
        <v>0.0</v>
      </c>
      <c r="G2560" s="27"/>
    </row>
    <row r="2561" hidden="1">
      <c r="A2561" s="21"/>
      <c r="B2561" s="21" t="s">
        <v>3417</v>
      </c>
      <c r="D2561" s="25">
        <v>0.0</v>
      </c>
      <c r="E2561" s="27"/>
      <c r="F2561" s="25">
        <v>0.0</v>
      </c>
      <c r="G2561" s="27"/>
    </row>
    <row r="2562" hidden="1">
      <c r="A2562" s="21"/>
      <c r="B2562" s="21" t="s">
        <v>3418</v>
      </c>
      <c r="D2562" s="25">
        <v>0.0</v>
      </c>
      <c r="E2562" s="27"/>
      <c r="F2562" s="25">
        <v>5.37</v>
      </c>
      <c r="G2562" s="27"/>
    </row>
    <row r="2563" hidden="1">
      <c r="A2563" s="21"/>
      <c r="B2563" s="21" t="s">
        <v>3419</v>
      </c>
      <c r="D2563" s="25">
        <v>0.0</v>
      </c>
      <c r="E2563" s="27"/>
      <c r="F2563" s="25">
        <v>0.0</v>
      </c>
      <c r="G2563" s="27"/>
    </row>
    <row r="2564" hidden="1">
      <c r="A2564" s="21"/>
      <c r="B2564" s="21" t="s">
        <v>3420</v>
      </c>
      <c r="D2564" s="25">
        <v>0.0</v>
      </c>
      <c r="E2564" s="27"/>
      <c r="F2564" s="25">
        <v>0.0</v>
      </c>
      <c r="G2564" s="27"/>
    </row>
    <row r="2565" hidden="1">
      <c r="A2565" s="21"/>
      <c r="B2565" s="21" t="s">
        <v>3421</v>
      </c>
      <c r="D2565" s="25">
        <v>0.0</v>
      </c>
      <c r="E2565" s="27"/>
      <c r="F2565" s="25">
        <v>0.0</v>
      </c>
      <c r="G2565" s="27"/>
    </row>
    <row r="2566" hidden="1">
      <c r="A2566" s="21"/>
      <c r="B2566" s="21" t="s">
        <v>3422</v>
      </c>
      <c r="D2566" s="25">
        <v>0.0</v>
      </c>
      <c r="E2566" s="27"/>
      <c r="F2566" s="25">
        <v>3.57</v>
      </c>
      <c r="G2566" s="27"/>
    </row>
    <row r="2567" hidden="1">
      <c r="A2567" s="21"/>
      <c r="B2567" s="21" t="s">
        <v>3423</v>
      </c>
      <c r="D2567" s="25">
        <v>0.0</v>
      </c>
      <c r="E2567" s="27"/>
      <c r="F2567" s="25">
        <v>0.0</v>
      </c>
      <c r="G2567" s="27"/>
    </row>
    <row r="2568" hidden="1">
      <c r="A2568" s="21"/>
      <c r="B2568" s="21" t="s">
        <v>3424</v>
      </c>
      <c r="D2568" s="25">
        <v>0.0</v>
      </c>
      <c r="E2568" s="27"/>
      <c r="F2568" s="25">
        <v>0.0</v>
      </c>
      <c r="G2568" s="27"/>
    </row>
    <row r="2569" hidden="1">
      <c r="A2569" s="21"/>
      <c r="B2569" s="21" t="s">
        <v>3425</v>
      </c>
      <c r="D2569" s="25">
        <v>0.0</v>
      </c>
      <c r="E2569" s="27"/>
      <c r="F2569" s="25">
        <v>0.0</v>
      </c>
      <c r="G2569" s="27"/>
    </row>
    <row r="2570" hidden="1">
      <c r="A2570" s="21"/>
      <c r="B2570" s="21" t="s">
        <v>3426</v>
      </c>
      <c r="D2570" s="25">
        <v>0.0</v>
      </c>
      <c r="E2570" s="27"/>
      <c r="F2570" s="25">
        <v>0.0</v>
      </c>
      <c r="G2570" s="27"/>
    </row>
    <row r="2571" hidden="1">
      <c r="A2571" s="21"/>
      <c r="B2571" s="21" t="s">
        <v>3427</v>
      </c>
      <c r="D2571" s="25">
        <v>0.0</v>
      </c>
      <c r="E2571" s="27"/>
      <c r="F2571" s="25">
        <v>0.0</v>
      </c>
      <c r="G2571" s="27"/>
    </row>
    <row r="2572" hidden="1">
      <c r="A2572" s="21"/>
      <c r="B2572" s="21" t="s">
        <v>3428</v>
      </c>
      <c r="D2572" s="25">
        <v>0.0</v>
      </c>
      <c r="E2572" s="27"/>
      <c r="F2572" s="25">
        <v>0.0</v>
      </c>
      <c r="G2572" s="27"/>
    </row>
    <row r="2573" hidden="1">
      <c r="A2573" s="21"/>
      <c r="B2573" s="21" t="s">
        <v>3429</v>
      </c>
      <c r="D2573" s="25">
        <v>0.0</v>
      </c>
      <c r="E2573" s="27"/>
      <c r="F2573" s="25">
        <v>0.0</v>
      </c>
      <c r="G2573" s="27"/>
    </row>
    <row r="2574" hidden="1">
      <c r="A2574" s="21"/>
      <c r="B2574" s="21" t="s">
        <v>3430</v>
      </c>
      <c r="D2574" s="25">
        <v>0.0</v>
      </c>
      <c r="E2574" s="27"/>
      <c r="F2574" s="25">
        <v>0.0</v>
      </c>
      <c r="G2574" s="27"/>
    </row>
    <row r="2575" hidden="1">
      <c r="A2575" s="21"/>
      <c r="B2575" s="21" t="s">
        <v>3431</v>
      </c>
      <c r="D2575" s="25">
        <v>0.0</v>
      </c>
      <c r="E2575" s="27"/>
      <c r="F2575" s="25">
        <v>0.0</v>
      </c>
      <c r="G2575" s="27"/>
    </row>
    <row r="2576" hidden="1">
      <c r="A2576" s="21"/>
      <c r="B2576" s="21" t="s">
        <v>3432</v>
      </c>
      <c r="D2576" s="25">
        <v>0.0</v>
      </c>
      <c r="E2576" s="27"/>
      <c r="F2576" s="25">
        <v>0.0</v>
      </c>
      <c r="G2576" s="27"/>
    </row>
    <row r="2577" hidden="1">
      <c r="A2577" s="21"/>
      <c r="B2577" s="21" t="s">
        <v>3433</v>
      </c>
      <c r="D2577" s="25">
        <v>0.0</v>
      </c>
      <c r="E2577" s="27"/>
      <c r="F2577" s="25">
        <v>0.0</v>
      </c>
      <c r="G2577" s="27"/>
    </row>
    <row r="2578" hidden="1">
      <c r="A2578" s="21"/>
      <c r="B2578" s="21" t="s">
        <v>3434</v>
      </c>
      <c r="D2578" s="25">
        <v>0.0</v>
      </c>
      <c r="E2578" s="27"/>
      <c r="F2578" s="25">
        <v>0.0</v>
      </c>
      <c r="G2578" s="27"/>
    </row>
    <row r="2579" hidden="1">
      <c r="A2579" s="21"/>
      <c r="B2579" s="21" t="s">
        <v>3435</v>
      </c>
      <c r="D2579" s="25">
        <v>0.0</v>
      </c>
      <c r="E2579" s="27"/>
      <c r="F2579" s="25">
        <v>0.0</v>
      </c>
      <c r="G2579" s="27"/>
    </row>
    <row r="2580" hidden="1">
      <c r="A2580" s="21"/>
      <c r="B2580" s="21" t="s">
        <v>3436</v>
      </c>
      <c r="D2580" s="25">
        <v>0.0</v>
      </c>
      <c r="E2580" s="27"/>
      <c r="F2580" s="25">
        <v>0.0</v>
      </c>
      <c r="G2580" s="27"/>
    </row>
    <row r="2581" hidden="1">
      <c r="A2581" s="21"/>
      <c r="B2581" s="21" t="s">
        <v>3437</v>
      </c>
      <c r="D2581" s="25">
        <v>0.0</v>
      </c>
      <c r="E2581" s="27"/>
      <c r="F2581" s="25">
        <v>0.0</v>
      </c>
      <c r="G2581" s="27"/>
    </row>
    <row r="2582" hidden="1">
      <c r="A2582" s="21"/>
      <c r="B2582" s="21" t="s">
        <v>3438</v>
      </c>
      <c r="D2582" s="25">
        <v>0.0</v>
      </c>
      <c r="E2582" s="27"/>
      <c r="F2582" s="25">
        <v>0.0</v>
      </c>
      <c r="G2582" s="27"/>
    </row>
    <row r="2583" hidden="1">
      <c r="A2583" s="21"/>
      <c r="B2583" s="21" t="s">
        <v>3439</v>
      </c>
      <c r="D2583" s="25">
        <v>0.0</v>
      </c>
      <c r="E2583" s="27"/>
      <c r="F2583" s="25">
        <v>0.0</v>
      </c>
      <c r="G2583" s="27"/>
    </row>
    <row r="2584" hidden="1">
      <c r="A2584" s="21"/>
      <c r="B2584" s="21" t="s">
        <v>3440</v>
      </c>
      <c r="D2584" s="25">
        <v>0.0</v>
      </c>
      <c r="E2584" s="27"/>
      <c r="F2584" s="25">
        <v>0.0</v>
      </c>
      <c r="G2584" s="27"/>
    </row>
    <row r="2585" hidden="1">
      <c r="A2585" s="21"/>
      <c r="B2585" s="21" t="s">
        <v>3441</v>
      </c>
      <c r="D2585" s="25">
        <v>0.0</v>
      </c>
      <c r="E2585" s="27"/>
      <c r="F2585" s="25">
        <v>0.0</v>
      </c>
      <c r="G2585" s="27"/>
    </row>
    <row r="2586" hidden="1">
      <c r="A2586" s="21"/>
      <c r="B2586" s="21" t="s">
        <v>3442</v>
      </c>
      <c r="D2586" s="25">
        <v>0.0</v>
      </c>
      <c r="E2586" s="27"/>
      <c r="F2586" s="25">
        <v>0.0</v>
      </c>
      <c r="G2586" s="27"/>
    </row>
    <row r="2587" hidden="1">
      <c r="A2587" s="21"/>
      <c r="B2587" s="21" t="s">
        <v>3443</v>
      </c>
      <c r="D2587" s="25">
        <v>0.0</v>
      </c>
      <c r="E2587" s="27"/>
      <c r="F2587" s="25">
        <v>0.0</v>
      </c>
      <c r="G2587" s="27"/>
    </row>
    <row r="2588" hidden="1">
      <c r="A2588" s="21"/>
      <c r="B2588" s="21" t="s">
        <v>3444</v>
      </c>
      <c r="D2588" s="25">
        <v>0.0</v>
      </c>
      <c r="E2588" s="27"/>
      <c r="F2588" s="25">
        <v>0.0</v>
      </c>
      <c r="G2588" s="27"/>
    </row>
    <row r="2589" hidden="1">
      <c r="A2589" s="21"/>
      <c r="B2589" s="21" t="s">
        <v>3445</v>
      </c>
      <c r="D2589" s="25">
        <v>0.0</v>
      </c>
      <c r="E2589" s="27"/>
      <c r="F2589" s="25">
        <v>0.0</v>
      </c>
      <c r="G2589" s="27"/>
    </row>
    <row r="2590" hidden="1">
      <c r="A2590" s="21"/>
      <c r="B2590" s="21" t="s">
        <v>3446</v>
      </c>
      <c r="D2590" s="25">
        <v>0.0</v>
      </c>
      <c r="E2590" s="27"/>
      <c r="F2590" s="25">
        <v>0.0</v>
      </c>
      <c r="G2590" s="27"/>
    </row>
    <row r="2591" hidden="1">
      <c r="A2591" s="21"/>
      <c r="B2591" s="21" t="s">
        <v>3447</v>
      </c>
      <c r="D2591" s="25">
        <v>0.0</v>
      </c>
      <c r="E2591" s="27"/>
      <c r="F2591" s="25">
        <v>0.0</v>
      </c>
      <c r="G2591" s="27"/>
    </row>
    <row r="2592" hidden="1">
      <c r="A2592" s="21"/>
      <c r="B2592" s="21" t="s">
        <v>3448</v>
      </c>
      <c r="D2592" s="25">
        <v>0.0</v>
      </c>
      <c r="E2592" s="27"/>
      <c r="F2592" s="25">
        <v>0.0</v>
      </c>
      <c r="G2592" s="27"/>
    </row>
    <row r="2593" hidden="1">
      <c r="A2593" s="21"/>
      <c r="B2593" s="21" t="s">
        <v>3449</v>
      </c>
      <c r="D2593" s="25">
        <v>0.0</v>
      </c>
      <c r="E2593" s="27"/>
      <c r="F2593" s="25">
        <v>0.0</v>
      </c>
      <c r="G2593" s="27"/>
    </row>
    <row r="2594" hidden="1">
      <c r="A2594" s="21"/>
      <c r="B2594" s="21" t="s">
        <v>3450</v>
      </c>
      <c r="D2594" s="25">
        <v>0.0</v>
      </c>
      <c r="E2594" s="27"/>
      <c r="F2594" s="25">
        <v>0.0</v>
      </c>
      <c r="G2594" s="27"/>
    </row>
    <row r="2595" hidden="1">
      <c r="A2595" s="21"/>
      <c r="B2595" s="21" t="s">
        <v>3451</v>
      </c>
      <c r="D2595" s="25">
        <v>0.0</v>
      </c>
      <c r="E2595" s="27"/>
      <c r="F2595" s="25">
        <v>0.0</v>
      </c>
      <c r="G2595" s="27"/>
    </row>
    <row r="2596" hidden="1">
      <c r="A2596" s="21"/>
      <c r="B2596" s="21" t="s">
        <v>3452</v>
      </c>
      <c r="D2596" s="25">
        <v>0.0</v>
      </c>
      <c r="E2596" s="27"/>
      <c r="F2596" s="25">
        <v>0.0</v>
      </c>
      <c r="G2596" s="27"/>
    </row>
    <row r="2597" hidden="1">
      <c r="A2597" s="21"/>
      <c r="B2597" s="21" t="s">
        <v>3453</v>
      </c>
      <c r="D2597" s="25">
        <v>0.0</v>
      </c>
      <c r="E2597" s="27"/>
      <c r="F2597" s="25">
        <v>0.0</v>
      </c>
      <c r="G2597" s="27"/>
    </row>
    <row r="2598" hidden="1">
      <c r="A2598" s="21"/>
      <c r="B2598" s="21" t="s">
        <v>3454</v>
      </c>
      <c r="D2598" s="25">
        <v>0.0</v>
      </c>
      <c r="E2598" s="27"/>
      <c r="F2598" s="25">
        <v>0.0</v>
      </c>
      <c r="G2598" s="27"/>
    </row>
    <row r="2599" hidden="1">
      <c r="A2599" s="21"/>
      <c r="B2599" s="21" t="s">
        <v>3455</v>
      </c>
      <c r="D2599" s="25">
        <v>0.0</v>
      </c>
      <c r="E2599" s="27"/>
      <c r="F2599" s="25">
        <v>0.0</v>
      </c>
      <c r="G2599" s="27"/>
    </row>
    <row r="2600" hidden="1">
      <c r="A2600" s="21"/>
      <c r="B2600" s="21" t="s">
        <v>3456</v>
      </c>
      <c r="D2600" s="25">
        <v>0.0</v>
      </c>
      <c r="E2600" s="27"/>
      <c r="F2600" s="25">
        <v>0.0</v>
      </c>
      <c r="G2600" s="27"/>
    </row>
    <row r="2601" hidden="1">
      <c r="A2601" s="21"/>
      <c r="B2601" s="21" t="s">
        <v>3457</v>
      </c>
      <c r="D2601" s="25">
        <v>0.0</v>
      </c>
      <c r="E2601" s="27"/>
      <c r="F2601" s="25">
        <v>0.0</v>
      </c>
      <c r="G2601" s="27"/>
    </row>
    <row r="2602" hidden="1">
      <c r="A2602" s="21"/>
      <c r="B2602" s="21" t="s">
        <v>3458</v>
      </c>
      <c r="D2602" s="25">
        <v>0.0</v>
      </c>
      <c r="E2602" s="27"/>
      <c r="F2602" s="25">
        <v>0.0</v>
      </c>
      <c r="G2602" s="27"/>
    </row>
    <row r="2603" hidden="1">
      <c r="A2603" s="21"/>
      <c r="B2603" s="21" t="s">
        <v>3459</v>
      </c>
      <c r="D2603" s="25">
        <v>0.0</v>
      </c>
      <c r="E2603" s="27"/>
      <c r="F2603" s="25">
        <v>0.0</v>
      </c>
      <c r="G2603" s="27"/>
    </row>
    <row r="2604" hidden="1">
      <c r="A2604" s="21"/>
      <c r="B2604" s="21" t="s">
        <v>3460</v>
      </c>
      <c r="D2604" s="25">
        <v>0.0</v>
      </c>
      <c r="E2604" s="27"/>
      <c r="F2604" s="25">
        <v>0.0</v>
      </c>
      <c r="G2604" s="27"/>
    </row>
    <row r="2605" hidden="1">
      <c r="A2605" s="21"/>
      <c r="B2605" s="21" t="s">
        <v>3461</v>
      </c>
      <c r="D2605" s="25">
        <v>0.0</v>
      </c>
      <c r="E2605" s="27"/>
      <c r="F2605" s="25">
        <v>0.0</v>
      </c>
      <c r="G2605" s="27"/>
    </row>
    <row r="2606" hidden="1">
      <c r="A2606" s="21"/>
      <c r="B2606" s="21" t="s">
        <v>3462</v>
      </c>
      <c r="D2606" s="25">
        <v>0.0</v>
      </c>
      <c r="E2606" s="27"/>
      <c r="F2606" s="25">
        <v>0.0</v>
      </c>
      <c r="G2606" s="27"/>
    </row>
    <row r="2607" hidden="1">
      <c r="A2607" s="21"/>
      <c r="B2607" s="21" t="s">
        <v>3463</v>
      </c>
      <c r="D2607" s="25">
        <v>0.0</v>
      </c>
      <c r="E2607" s="27"/>
      <c r="F2607" s="25">
        <v>0.0</v>
      </c>
      <c r="G2607" s="27"/>
    </row>
    <row r="2608" hidden="1">
      <c r="A2608" s="21"/>
      <c r="B2608" s="21" t="s">
        <v>3464</v>
      </c>
      <c r="D2608" s="25">
        <v>0.0</v>
      </c>
      <c r="E2608" s="27"/>
      <c r="F2608" s="25">
        <v>0.0</v>
      </c>
      <c r="G2608" s="27"/>
    </row>
    <row r="2609" hidden="1">
      <c r="A2609" s="21"/>
      <c r="B2609" s="21" t="s">
        <v>3465</v>
      </c>
      <c r="D2609" s="25">
        <v>0.0</v>
      </c>
      <c r="E2609" s="27"/>
      <c r="F2609" s="25">
        <v>0.0</v>
      </c>
      <c r="G2609" s="27"/>
    </row>
    <row r="2610" hidden="1">
      <c r="A2610" s="21"/>
      <c r="B2610" s="21" t="s">
        <v>3466</v>
      </c>
      <c r="D2610" s="25">
        <v>0.0</v>
      </c>
      <c r="E2610" s="27"/>
      <c r="F2610" s="25">
        <v>0.0</v>
      </c>
      <c r="G2610" s="27"/>
    </row>
    <row r="2611" hidden="1">
      <c r="A2611" s="21"/>
      <c r="B2611" s="21" t="s">
        <v>3467</v>
      </c>
      <c r="D2611" s="25">
        <v>0.0</v>
      </c>
      <c r="E2611" s="27"/>
      <c r="F2611" s="25">
        <v>0.0</v>
      </c>
      <c r="G2611" s="27"/>
    </row>
    <row r="2612" hidden="1">
      <c r="A2612" s="21"/>
      <c r="B2612" s="21" t="s">
        <v>3468</v>
      </c>
      <c r="D2612" s="25">
        <v>0.0</v>
      </c>
      <c r="E2612" s="27"/>
      <c r="F2612" s="25">
        <v>0.0</v>
      </c>
      <c r="G2612" s="27"/>
    </row>
    <row r="2613" hidden="1">
      <c r="A2613" s="21"/>
      <c r="B2613" s="21" t="s">
        <v>3469</v>
      </c>
      <c r="D2613" s="25">
        <v>0.0</v>
      </c>
      <c r="E2613" s="27"/>
      <c r="F2613" s="25">
        <v>0.0</v>
      </c>
      <c r="G2613" s="27"/>
    </row>
    <row r="2614" hidden="1">
      <c r="A2614" s="21"/>
      <c r="B2614" s="21" t="s">
        <v>3470</v>
      </c>
      <c r="D2614" s="25">
        <v>0.0</v>
      </c>
      <c r="E2614" s="27"/>
      <c r="F2614" s="25">
        <v>0.0</v>
      </c>
      <c r="G2614" s="27"/>
    </row>
    <row r="2615" hidden="1">
      <c r="A2615" s="21"/>
      <c r="B2615" s="21" t="s">
        <v>3471</v>
      </c>
      <c r="D2615" s="25">
        <v>0.0</v>
      </c>
      <c r="E2615" s="27"/>
      <c r="F2615" s="25">
        <v>0.0</v>
      </c>
      <c r="G2615" s="27"/>
    </row>
    <row r="2616" hidden="1">
      <c r="A2616" s="21"/>
      <c r="B2616" s="21" t="s">
        <v>3472</v>
      </c>
      <c r="D2616" s="25">
        <v>0.0</v>
      </c>
      <c r="E2616" s="27"/>
      <c r="F2616" s="25">
        <v>0.0</v>
      </c>
      <c r="G2616" s="27"/>
    </row>
    <row r="2617" hidden="1">
      <c r="A2617" s="21"/>
      <c r="B2617" s="21" t="s">
        <v>3473</v>
      </c>
      <c r="D2617" s="25">
        <v>0.0</v>
      </c>
      <c r="E2617" s="27"/>
      <c r="F2617" s="25">
        <v>0.0</v>
      </c>
      <c r="G2617" s="27"/>
    </row>
    <row r="2618" hidden="1">
      <c r="A2618" s="21"/>
      <c r="B2618" s="21" t="s">
        <v>3474</v>
      </c>
      <c r="D2618" s="25">
        <v>0.0</v>
      </c>
      <c r="E2618" s="27"/>
      <c r="F2618" s="25">
        <v>0.0</v>
      </c>
      <c r="G2618" s="27"/>
    </row>
    <row r="2619" hidden="1">
      <c r="A2619" s="21"/>
      <c r="B2619" s="21" t="s">
        <v>3475</v>
      </c>
      <c r="D2619" s="25">
        <v>0.0</v>
      </c>
      <c r="E2619" s="27"/>
      <c r="F2619" s="25">
        <v>0.0</v>
      </c>
      <c r="G2619" s="27"/>
    </row>
    <row r="2620" hidden="1">
      <c r="A2620" s="21"/>
      <c r="B2620" s="21" t="s">
        <v>3476</v>
      </c>
      <c r="D2620" s="25">
        <v>0.0</v>
      </c>
      <c r="E2620" s="27"/>
      <c r="F2620" s="25">
        <v>0.0</v>
      </c>
      <c r="G2620" s="27"/>
    </row>
    <row r="2621" hidden="1">
      <c r="A2621" s="21"/>
      <c r="B2621" s="21" t="s">
        <v>3477</v>
      </c>
      <c r="D2621" s="25">
        <v>0.0</v>
      </c>
      <c r="E2621" s="27"/>
      <c r="F2621" s="25">
        <v>0.0</v>
      </c>
      <c r="G2621" s="27"/>
    </row>
    <row r="2622" hidden="1">
      <c r="A2622" s="21"/>
      <c r="B2622" s="21" t="s">
        <v>3478</v>
      </c>
      <c r="D2622" s="25">
        <v>0.0</v>
      </c>
      <c r="E2622" s="27"/>
      <c r="F2622" s="25">
        <v>0.0</v>
      </c>
      <c r="G2622" s="27"/>
    </row>
    <row r="2623" hidden="1">
      <c r="A2623" s="21"/>
      <c r="B2623" s="21" t="s">
        <v>3479</v>
      </c>
      <c r="D2623" s="25">
        <v>0.0</v>
      </c>
      <c r="E2623" s="27"/>
      <c r="F2623" s="25">
        <v>0.0</v>
      </c>
      <c r="G2623" s="27"/>
    </row>
    <row r="2624" hidden="1">
      <c r="A2624" s="21"/>
      <c r="B2624" s="21" t="s">
        <v>3480</v>
      </c>
      <c r="D2624" s="25">
        <v>0.0</v>
      </c>
      <c r="E2624" s="27"/>
      <c r="F2624" s="25">
        <v>0.0</v>
      </c>
      <c r="G2624" s="27"/>
    </row>
    <row r="2625" hidden="1">
      <c r="A2625" s="21"/>
      <c r="B2625" s="21" t="s">
        <v>3481</v>
      </c>
      <c r="D2625" s="25">
        <v>0.0</v>
      </c>
      <c r="E2625" s="27"/>
      <c r="F2625" s="25">
        <v>0.0</v>
      </c>
      <c r="G2625" s="27"/>
    </row>
    <row r="2626" hidden="1">
      <c r="A2626" s="21"/>
      <c r="B2626" s="21" t="s">
        <v>3482</v>
      </c>
      <c r="D2626" s="25">
        <v>0.0</v>
      </c>
      <c r="E2626" s="27"/>
      <c r="F2626" s="25">
        <v>0.0</v>
      </c>
      <c r="G2626" s="27"/>
    </row>
    <row r="2627" hidden="1">
      <c r="A2627" s="21"/>
      <c r="B2627" s="21" t="s">
        <v>3483</v>
      </c>
      <c r="D2627" s="25">
        <v>0.0</v>
      </c>
      <c r="E2627" s="27"/>
      <c r="F2627" s="25">
        <v>0.0</v>
      </c>
      <c r="G2627" s="27"/>
    </row>
    <row r="2628" hidden="1">
      <c r="A2628" s="21"/>
      <c r="B2628" s="21" t="s">
        <v>3484</v>
      </c>
      <c r="D2628" s="25">
        <v>0.0</v>
      </c>
      <c r="E2628" s="27"/>
      <c r="F2628" s="25">
        <v>4.51</v>
      </c>
      <c r="G2628" s="27"/>
    </row>
    <row r="2629" hidden="1">
      <c r="A2629" s="21"/>
      <c r="B2629" s="21" t="s">
        <v>3485</v>
      </c>
      <c r="D2629" s="25">
        <v>0.0</v>
      </c>
      <c r="E2629" s="27"/>
      <c r="F2629" s="25">
        <v>0.0</v>
      </c>
      <c r="G2629" s="27"/>
    </row>
    <row r="2630" hidden="1">
      <c r="A2630" s="21"/>
      <c r="B2630" s="21" t="s">
        <v>3486</v>
      </c>
      <c r="D2630" s="25">
        <v>0.0</v>
      </c>
      <c r="E2630" s="27"/>
      <c r="F2630" s="25">
        <v>0.0</v>
      </c>
      <c r="G2630" s="27"/>
    </row>
    <row r="2631" hidden="1">
      <c r="A2631" s="21"/>
      <c r="B2631" s="21" t="s">
        <v>3487</v>
      </c>
      <c r="D2631" s="25">
        <v>0.0</v>
      </c>
      <c r="E2631" s="27"/>
      <c r="F2631" s="25">
        <v>0.0</v>
      </c>
      <c r="G2631" s="27"/>
    </row>
    <row r="2632" hidden="1">
      <c r="A2632" s="21"/>
      <c r="B2632" s="21" t="s">
        <v>3488</v>
      </c>
      <c r="D2632" s="25">
        <v>0.0</v>
      </c>
      <c r="E2632" s="27"/>
      <c r="F2632" s="25">
        <v>0.0</v>
      </c>
      <c r="G2632" s="27"/>
    </row>
    <row r="2633" hidden="1">
      <c r="A2633" s="21"/>
      <c r="B2633" s="21" t="s">
        <v>3489</v>
      </c>
      <c r="D2633" s="25">
        <v>0.0</v>
      </c>
      <c r="E2633" s="27"/>
      <c r="F2633" s="25">
        <v>0.0</v>
      </c>
      <c r="G2633" s="27"/>
    </row>
    <row r="2634" hidden="1">
      <c r="A2634" s="21"/>
      <c r="B2634" s="21" t="s">
        <v>3490</v>
      </c>
      <c r="D2634" s="25">
        <v>0.0</v>
      </c>
      <c r="E2634" s="27"/>
      <c r="F2634" s="25">
        <v>0.0</v>
      </c>
      <c r="G2634" s="27"/>
    </row>
    <row r="2635" hidden="1">
      <c r="A2635" s="21"/>
      <c r="B2635" s="21" t="s">
        <v>3491</v>
      </c>
      <c r="D2635" s="25">
        <v>0.0</v>
      </c>
      <c r="E2635" s="27"/>
      <c r="F2635" s="25">
        <v>0.0</v>
      </c>
      <c r="G2635" s="27"/>
    </row>
    <row r="2636" hidden="1">
      <c r="A2636" s="21"/>
      <c r="B2636" s="21" t="s">
        <v>3492</v>
      </c>
      <c r="D2636" s="25">
        <v>0.0</v>
      </c>
      <c r="E2636" s="27"/>
      <c r="F2636" s="25">
        <v>0.0</v>
      </c>
      <c r="G2636" s="27"/>
    </row>
    <row r="2637" hidden="1">
      <c r="A2637" s="21"/>
      <c r="B2637" s="21" t="s">
        <v>3493</v>
      </c>
      <c r="D2637" s="25">
        <v>0.0</v>
      </c>
      <c r="E2637" s="27"/>
      <c r="F2637" s="25">
        <v>0.0</v>
      </c>
      <c r="G2637" s="27"/>
    </row>
    <row r="2638" hidden="1">
      <c r="A2638" s="21"/>
      <c r="B2638" s="21" t="s">
        <v>3494</v>
      </c>
      <c r="D2638" s="25">
        <v>0.0</v>
      </c>
      <c r="E2638" s="27"/>
      <c r="F2638" s="25">
        <v>7.89</v>
      </c>
      <c r="G2638" s="27"/>
    </row>
    <row r="2639" hidden="1">
      <c r="A2639" s="21"/>
      <c r="B2639" s="21" t="s">
        <v>3495</v>
      </c>
      <c r="D2639" s="25">
        <v>0.0</v>
      </c>
      <c r="E2639" s="27"/>
      <c r="F2639" s="25">
        <v>0.0</v>
      </c>
      <c r="G2639" s="27"/>
    </row>
    <row r="2640" hidden="1">
      <c r="A2640" s="21"/>
      <c r="B2640" s="21" t="s">
        <v>3496</v>
      </c>
      <c r="D2640" s="25">
        <v>0.0</v>
      </c>
      <c r="E2640" s="27"/>
      <c r="F2640" s="25">
        <v>0.0</v>
      </c>
      <c r="G2640" s="27"/>
    </row>
    <row r="2641" hidden="1">
      <c r="A2641" s="21"/>
      <c r="B2641" s="21" t="s">
        <v>3497</v>
      </c>
      <c r="D2641" s="25">
        <v>0.0</v>
      </c>
      <c r="E2641" s="27"/>
      <c r="F2641" s="25">
        <v>0.0</v>
      </c>
      <c r="G2641" s="27"/>
    </row>
    <row r="2642" hidden="1">
      <c r="A2642" s="21"/>
      <c r="B2642" s="21" t="s">
        <v>3498</v>
      </c>
      <c r="D2642" s="25">
        <v>0.0</v>
      </c>
      <c r="E2642" s="27"/>
      <c r="F2642" s="25">
        <v>0.0</v>
      </c>
      <c r="G2642" s="27"/>
    </row>
    <row r="2643" hidden="1">
      <c r="A2643" s="21"/>
      <c r="B2643" s="21" t="s">
        <v>3499</v>
      </c>
      <c r="D2643" s="25">
        <v>0.0</v>
      </c>
      <c r="E2643" s="27"/>
      <c r="F2643" s="25">
        <v>0.0</v>
      </c>
      <c r="G2643" s="27"/>
    </row>
    <row r="2644" hidden="1">
      <c r="A2644" s="21"/>
      <c r="B2644" s="21" t="s">
        <v>3500</v>
      </c>
      <c r="D2644" s="25">
        <v>0.0</v>
      </c>
      <c r="E2644" s="27"/>
      <c r="F2644" s="25">
        <v>0.0</v>
      </c>
      <c r="G2644" s="27"/>
    </row>
    <row r="2645" hidden="1">
      <c r="A2645" s="21"/>
      <c r="B2645" s="21" t="s">
        <v>3501</v>
      </c>
      <c r="D2645" s="25">
        <v>0.0</v>
      </c>
      <c r="E2645" s="27"/>
      <c r="F2645" s="25">
        <v>0.0</v>
      </c>
      <c r="G2645" s="27"/>
    </row>
    <row r="2646" hidden="1">
      <c r="A2646" s="21"/>
      <c r="B2646" s="21" t="s">
        <v>3502</v>
      </c>
      <c r="D2646" s="25">
        <v>0.0</v>
      </c>
      <c r="E2646" s="27"/>
      <c r="F2646" s="25">
        <v>0.0</v>
      </c>
      <c r="G2646" s="27"/>
    </row>
    <row r="2647" hidden="1">
      <c r="A2647" s="21"/>
      <c r="B2647" s="21" t="s">
        <v>3503</v>
      </c>
      <c r="D2647" s="25">
        <v>0.0</v>
      </c>
      <c r="E2647" s="27"/>
      <c r="F2647" s="25">
        <v>0.0</v>
      </c>
      <c r="G2647" s="27"/>
    </row>
    <row r="2648" hidden="1">
      <c r="A2648" s="21"/>
      <c r="B2648" s="21" t="s">
        <v>3504</v>
      </c>
      <c r="D2648" s="25">
        <v>0.0</v>
      </c>
      <c r="E2648" s="27"/>
      <c r="F2648" s="25">
        <v>0.0</v>
      </c>
      <c r="G2648" s="27"/>
    </row>
    <row r="2649" hidden="1">
      <c r="A2649" s="21"/>
      <c r="B2649" s="21" t="s">
        <v>3505</v>
      </c>
      <c r="D2649" s="25">
        <v>0.0</v>
      </c>
      <c r="E2649" s="27"/>
      <c r="F2649" s="25">
        <v>0.0</v>
      </c>
      <c r="G2649" s="27"/>
    </row>
    <row r="2650" hidden="1">
      <c r="A2650" s="21"/>
      <c r="B2650" s="21" t="s">
        <v>3506</v>
      </c>
      <c r="D2650" s="25">
        <v>0.0</v>
      </c>
      <c r="E2650" s="27"/>
      <c r="F2650" s="25">
        <v>0.0</v>
      </c>
      <c r="G2650" s="27"/>
    </row>
    <row r="2651" hidden="1">
      <c r="A2651" s="21"/>
      <c r="B2651" s="21" t="s">
        <v>3507</v>
      </c>
      <c r="D2651" s="25">
        <v>0.0</v>
      </c>
      <c r="E2651" s="27"/>
      <c r="F2651" s="25">
        <v>0.0</v>
      </c>
      <c r="G2651" s="27"/>
    </row>
    <row r="2652" hidden="1">
      <c r="A2652" s="21"/>
      <c r="B2652" s="21" t="s">
        <v>3508</v>
      </c>
      <c r="D2652" s="25">
        <v>0.0</v>
      </c>
      <c r="E2652" s="27"/>
      <c r="F2652" s="25">
        <v>0.0</v>
      </c>
      <c r="G2652" s="27"/>
    </row>
    <row r="2653" hidden="1">
      <c r="A2653" s="21"/>
      <c r="B2653" s="21" t="s">
        <v>3509</v>
      </c>
      <c r="D2653" s="25">
        <v>0.0</v>
      </c>
      <c r="E2653" s="27"/>
      <c r="F2653" s="25">
        <v>0.0</v>
      </c>
      <c r="G2653" s="27"/>
    </row>
    <row r="2654" hidden="1">
      <c r="A2654" s="21"/>
      <c r="B2654" s="21" t="s">
        <v>3510</v>
      </c>
      <c r="D2654" s="25">
        <v>0.0</v>
      </c>
      <c r="E2654" s="27"/>
      <c r="F2654" s="25">
        <v>0.0</v>
      </c>
      <c r="G2654" s="27"/>
    </row>
    <row r="2655" hidden="1">
      <c r="A2655" s="21"/>
      <c r="B2655" s="21" t="s">
        <v>3511</v>
      </c>
      <c r="D2655" s="25">
        <v>0.0</v>
      </c>
      <c r="E2655" s="27"/>
      <c r="F2655" s="25">
        <v>0.0</v>
      </c>
      <c r="G2655" s="27"/>
    </row>
    <row r="2656" hidden="1">
      <c r="A2656" s="21"/>
      <c r="B2656" s="21" t="s">
        <v>3512</v>
      </c>
      <c r="D2656" s="25">
        <v>0.0</v>
      </c>
      <c r="E2656" s="27"/>
      <c r="F2656" s="25">
        <v>0.0</v>
      </c>
      <c r="G2656" s="27"/>
    </row>
    <row r="2657" hidden="1">
      <c r="A2657" s="21"/>
      <c r="B2657" s="21" t="s">
        <v>3513</v>
      </c>
      <c r="D2657" s="25">
        <v>0.0</v>
      </c>
      <c r="E2657" s="27"/>
      <c r="F2657" s="25">
        <v>0.0</v>
      </c>
      <c r="G2657" s="27"/>
    </row>
    <row r="2658" hidden="1">
      <c r="A2658" s="21"/>
      <c r="B2658" s="21" t="s">
        <v>3514</v>
      </c>
      <c r="D2658" s="25">
        <v>0.0</v>
      </c>
      <c r="E2658" s="27"/>
      <c r="F2658" s="25">
        <v>0.0</v>
      </c>
      <c r="G2658" s="27"/>
    </row>
    <row r="2659" hidden="1">
      <c r="A2659" s="21"/>
      <c r="B2659" s="21" t="s">
        <v>3515</v>
      </c>
      <c r="D2659" s="25">
        <v>0.0</v>
      </c>
      <c r="E2659" s="27"/>
      <c r="F2659" s="25">
        <v>0.0</v>
      </c>
      <c r="G2659" s="27"/>
    </row>
    <row r="2660" hidden="1">
      <c r="A2660" s="21"/>
      <c r="B2660" s="21" t="s">
        <v>3516</v>
      </c>
      <c r="D2660" s="25">
        <v>0.0</v>
      </c>
      <c r="E2660" s="27"/>
      <c r="F2660" s="25">
        <v>0.0</v>
      </c>
      <c r="G2660" s="27"/>
    </row>
    <row r="2661" hidden="1">
      <c r="A2661" s="21"/>
      <c r="B2661" s="21" t="s">
        <v>3517</v>
      </c>
      <c r="D2661" s="25">
        <v>0.0</v>
      </c>
      <c r="E2661" s="27"/>
      <c r="F2661" s="25">
        <v>0.0</v>
      </c>
      <c r="G2661" s="27"/>
    </row>
    <row r="2662" hidden="1">
      <c r="A2662" s="21"/>
      <c r="B2662" s="21" t="s">
        <v>3518</v>
      </c>
      <c r="D2662" s="25">
        <v>0.0</v>
      </c>
      <c r="E2662" s="27"/>
      <c r="F2662" s="25">
        <v>0.0</v>
      </c>
      <c r="G2662" s="27"/>
    </row>
    <row r="2663" hidden="1">
      <c r="A2663" s="21"/>
      <c r="B2663" s="21" t="s">
        <v>3519</v>
      </c>
      <c r="D2663" s="25">
        <v>0.0</v>
      </c>
      <c r="E2663" s="27"/>
      <c r="F2663" s="25">
        <v>0.0</v>
      </c>
      <c r="G2663" s="27"/>
    </row>
    <row r="2664" hidden="1">
      <c r="A2664" s="21"/>
      <c r="B2664" s="21" t="s">
        <v>3520</v>
      </c>
      <c r="D2664" s="25">
        <v>0.0</v>
      </c>
      <c r="E2664" s="27"/>
      <c r="F2664" s="25">
        <v>0.0</v>
      </c>
      <c r="G2664" s="27"/>
    </row>
    <row r="2665" hidden="1">
      <c r="A2665" s="21"/>
      <c r="B2665" s="21" t="s">
        <v>3521</v>
      </c>
      <c r="D2665" s="25">
        <v>0.0</v>
      </c>
      <c r="E2665" s="27"/>
      <c r="F2665" s="25">
        <v>0.0</v>
      </c>
      <c r="G2665" s="27"/>
    </row>
    <row r="2666" hidden="1">
      <c r="A2666" s="21"/>
      <c r="B2666" s="21" t="s">
        <v>3522</v>
      </c>
      <c r="D2666" s="25">
        <v>0.0</v>
      </c>
      <c r="E2666" s="27"/>
      <c r="F2666" s="25">
        <v>0.0</v>
      </c>
      <c r="G2666" s="27"/>
    </row>
    <row r="2667" hidden="1">
      <c r="A2667" s="21"/>
      <c r="B2667" s="21" t="s">
        <v>3523</v>
      </c>
      <c r="D2667" s="25">
        <v>0.0</v>
      </c>
      <c r="E2667" s="27"/>
      <c r="F2667" s="25">
        <v>0.0</v>
      </c>
      <c r="G2667" s="27"/>
    </row>
    <row r="2668" hidden="1">
      <c r="A2668" s="21"/>
      <c r="B2668" s="21" t="s">
        <v>3524</v>
      </c>
      <c r="D2668" s="25">
        <v>0.0</v>
      </c>
      <c r="E2668" s="27"/>
      <c r="F2668" s="25">
        <v>0.0</v>
      </c>
      <c r="G2668" s="27"/>
    </row>
    <row r="2669" hidden="1">
      <c r="A2669" s="21"/>
      <c r="B2669" s="21" t="s">
        <v>3525</v>
      </c>
      <c r="D2669" s="25">
        <v>0.0</v>
      </c>
      <c r="E2669" s="27"/>
      <c r="F2669" s="25">
        <v>0.0</v>
      </c>
      <c r="G2669" s="27"/>
    </row>
    <row r="2670" hidden="1">
      <c r="A2670" s="21"/>
      <c r="B2670" s="21" t="s">
        <v>3526</v>
      </c>
      <c r="D2670" s="25">
        <v>0.0</v>
      </c>
      <c r="E2670" s="27"/>
      <c r="F2670" s="25">
        <v>0.0</v>
      </c>
      <c r="G2670" s="27"/>
    </row>
    <row r="2671" hidden="1">
      <c r="A2671" s="21"/>
      <c r="B2671" s="21" t="s">
        <v>3527</v>
      </c>
      <c r="D2671" s="25">
        <v>0.0</v>
      </c>
      <c r="E2671" s="27"/>
      <c r="F2671" s="25">
        <v>0.0</v>
      </c>
      <c r="G2671" s="27"/>
    </row>
    <row r="2672" hidden="1">
      <c r="A2672" s="21"/>
      <c r="B2672" s="21" t="s">
        <v>3528</v>
      </c>
      <c r="D2672" s="25">
        <v>0.0</v>
      </c>
      <c r="E2672" s="27"/>
      <c r="F2672" s="25">
        <v>0.0</v>
      </c>
      <c r="G2672" s="27"/>
    </row>
    <row r="2673" hidden="1">
      <c r="A2673" s="21"/>
      <c r="B2673" s="21" t="s">
        <v>3529</v>
      </c>
      <c r="D2673" s="25">
        <v>0.0</v>
      </c>
      <c r="E2673" s="27"/>
      <c r="F2673" s="25">
        <v>0.0</v>
      </c>
      <c r="G2673" s="27"/>
    </row>
    <row r="2674" hidden="1">
      <c r="A2674" s="21"/>
      <c r="B2674" s="21" t="s">
        <v>3530</v>
      </c>
      <c r="D2674" s="25">
        <v>0.0</v>
      </c>
      <c r="E2674" s="27"/>
      <c r="F2674" s="25">
        <v>0.0</v>
      </c>
      <c r="G2674" s="27"/>
    </row>
    <row r="2675" hidden="1">
      <c r="A2675" s="21"/>
      <c r="B2675" s="21" t="s">
        <v>3531</v>
      </c>
      <c r="D2675" s="25">
        <v>0.0</v>
      </c>
      <c r="E2675" s="27"/>
      <c r="F2675" s="25">
        <v>0.0</v>
      </c>
      <c r="G2675" s="27"/>
    </row>
    <row r="2676" hidden="1">
      <c r="A2676" s="21"/>
      <c r="B2676" s="21" t="s">
        <v>3532</v>
      </c>
      <c r="D2676" s="25">
        <v>0.0</v>
      </c>
      <c r="E2676" s="27"/>
      <c r="F2676" s="25">
        <v>0.0</v>
      </c>
      <c r="G2676" s="27"/>
    </row>
    <row r="2677" hidden="1">
      <c r="A2677" s="21"/>
      <c r="B2677" s="21" t="s">
        <v>3533</v>
      </c>
      <c r="D2677" s="25">
        <v>0.0</v>
      </c>
      <c r="E2677" s="27"/>
      <c r="F2677" s="25">
        <v>0.0</v>
      </c>
      <c r="G2677" s="27"/>
    </row>
    <row r="2678" hidden="1">
      <c r="A2678" s="21"/>
      <c r="B2678" s="21" t="s">
        <v>3534</v>
      </c>
      <c r="D2678" s="25">
        <v>0.0</v>
      </c>
      <c r="E2678" s="27"/>
      <c r="F2678" s="25">
        <v>0.0</v>
      </c>
      <c r="G2678" s="27"/>
    </row>
    <row r="2679" hidden="1">
      <c r="A2679" s="21"/>
      <c r="B2679" s="21" t="s">
        <v>3535</v>
      </c>
      <c r="D2679" s="25">
        <v>0.0</v>
      </c>
      <c r="E2679" s="27"/>
      <c r="F2679" s="25">
        <v>0.0</v>
      </c>
      <c r="G2679" s="27"/>
    </row>
    <row r="2680" hidden="1">
      <c r="A2680" s="21"/>
      <c r="B2680" s="21" t="s">
        <v>3536</v>
      </c>
      <c r="D2680" s="25">
        <v>0.0</v>
      </c>
      <c r="E2680" s="27"/>
      <c r="F2680" s="25">
        <v>0.0</v>
      </c>
      <c r="G2680" s="27"/>
    </row>
    <row r="2681" hidden="1">
      <c r="A2681" s="21"/>
      <c r="B2681" s="21" t="s">
        <v>3537</v>
      </c>
      <c r="D2681" s="25">
        <v>0.0</v>
      </c>
      <c r="E2681" s="27"/>
      <c r="F2681" s="25">
        <v>0.0</v>
      </c>
      <c r="G2681" s="27"/>
    </row>
    <row r="2682" hidden="1">
      <c r="A2682" s="21"/>
      <c r="B2682" s="21" t="s">
        <v>3538</v>
      </c>
      <c r="D2682" s="25">
        <v>0.0</v>
      </c>
      <c r="E2682" s="27"/>
      <c r="F2682" s="25">
        <v>0.0</v>
      </c>
      <c r="G2682" s="27"/>
    </row>
    <row r="2683" hidden="1">
      <c r="A2683" s="21"/>
      <c r="B2683" s="21" t="s">
        <v>3539</v>
      </c>
      <c r="D2683" s="25">
        <v>0.0</v>
      </c>
      <c r="E2683" s="27"/>
      <c r="F2683" s="25">
        <v>0.0</v>
      </c>
      <c r="G2683" s="27"/>
    </row>
    <row r="2684" hidden="1">
      <c r="A2684" s="21"/>
      <c r="B2684" s="21" t="s">
        <v>3540</v>
      </c>
      <c r="D2684" s="25">
        <v>0.0</v>
      </c>
      <c r="E2684" s="27"/>
      <c r="F2684" s="25">
        <v>0.0</v>
      </c>
      <c r="G2684" s="27"/>
    </row>
    <row r="2685" hidden="1">
      <c r="A2685" s="21"/>
      <c r="B2685" s="21" t="s">
        <v>3541</v>
      </c>
      <c r="D2685" s="25">
        <v>0.0</v>
      </c>
      <c r="E2685" s="27"/>
      <c r="F2685" s="25">
        <v>0.0</v>
      </c>
      <c r="G2685" s="27"/>
    </row>
    <row r="2686" hidden="1">
      <c r="A2686" s="21"/>
      <c r="B2686" s="21" t="s">
        <v>3542</v>
      </c>
      <c r="D2686" s="25">
        <v>0.0</v>
      </c>
      <c r="E2686" s="27"/>
      <c r="F2686" s="25">
        <v>0.0</v>
      </c>
      <c r="G2686" s="27"/>
    </row>
    <row r="2687" hidden="1">
      <c r="A2687" s="21"/>
      <c r="B2687" s="21" t="s">
        <v>3543</v>
      </c>
      <c r="D2687" s="25">
        <v>0.0</v>
      </c>
      <c r="E2687" s="27"/>
      <c r="F2687" s="25">
        <v>0.0</v>
      </c>
      <c r="G2687" s="27"/>
    </row>
    <row r="2688" hidden="1">
      <c r="A2688" s="21"/>
      <c r="B2688" s="21" t="s">
        <v>3544</v>
      </c>
      <c r="D2688" s="25">
        <v>0.0</v>
      </c>
      <c r="E2688" s="27"/>
      <c r="F2688" s="25">
        <v>0.0</v>
      </c>
      <c r="G2688" s="27"/>
    </row>
    <row r="2689" hidden="1">
      <c r="A2689" s="21"/>
      <c r="B2689" s="21" t="s">
        <v>3545</v>
      </c>
      <c r="D2689" s="25">
        <v>0.0</v>
      </c>
      <c r="E2689" s="27"/>
      <c r="F2689" s="25">
        <v>0.0</v>
      </c>
      <c r="G2689" s="27"/>
    </row>
    <row r="2690" hidden="1">
      <c r="A2690" s="21"/>
      <c r="B2690" s="21" t="s">
        <v>3546</v>
      </c>
      <c r="D2690" s="25">
        <v>0.0</v>
      </c>
      <c r="E2690" s="27"/>
      <c r="F2690" s="25">
        <v>0.0</v>
      </c>
      <c r="G2690" s="27"/>
    </row>
    <row r="2691" hidden="1">
      <c r="A2691" s="21"/>
      <c r="B2691" s="21" t="s">
        <v>3547</v>
      </c>
      <c r="D2691" s="25">
        <v>0.0</v>
      </c>
      <c r="E2691" s="27"/>
      <c r="F2691" s="25">
        <v>0.0</v>
      </c>
      <c r="G2691" s="27"/>
    </row>
    <row r="2692" hidden="1">
      <c r="A2692" s="21"/>
      <c r="B2692" s="21" t="s">
        <v>3548</v>
      </c>
      <c r="D2692" s="25">
        <v>0.0</v>
      </c>
      <c r="E2692" s="27"/>
      <c r="F2692" s="25">
        <v>8.79</v>
      </c>
      <c r="G2692" s="27"/>
    </row>
    <row r="2693" hidden="1">
      <c r="A2693" s="21"/>
      <c r="B2693" s="21" t="s">
        <v>3549</v>
      </c>
      <c r="D2693" s="25">
        <v>0.0</v>
      </c>
      <c r="E2693" s="27"/>
      <c r="F2693" s="25">
        <v>0.0</v>
      </c>
      <c r="G2693" s="27"/>
    </row>
    <row r="2694" hidden="1">
      <c r="A2694" s="21"/>
      <c r="B2694" s="21" t="s">
        <v>3550</v>
      </c>
      <c r="D2694" s="25">
        <v>0.0</v>
      </c>
      <c r="E2694" s="27"/>
      <c r="F2694" s="25">
        <v>0.0</v>
      </c>
      <c r="G2694" s="27"/>
    </row>
    <row r="2695" hidden="1">
      <c r="A2695" s="21"/>
      <c r="B2695" s="21" t="s">
        <v>3551</v>
      </c>
      <c r="D2695" s="25">
        <v>0.0</v>
      </c>
      <c r="E2695" s="27"/>
      <c r="F2695" s="25">
        <v>0.0</v>
      </c>
      <c r="G2695" s="27"/>
    </row>
    <row r="2696" hidden="1">
      <c r="A2696" s="21"/>
      <c r="B2696" s="21" t="s">
        <v>3552</v>
      </c>
      <c r="D2696" s="25">
        <v>0.0</v>
      </c>
      <c r="E2696" s="27"/>
      <c r="F2696" s="25">
        <v>0.0</v>
      </c>
      <c r="G2696" s="27"/>
    </row>
    <row r="2697" hidden="1">
      <c r="A2697" s="21"/>
      <c r="B2697" s="21" t="s">
        <v>3553</v>
      </c>
      <c r="D2697" s="25">
        <v>0.0</v>
      </c>
      <c r="E2697" s="27"/>
      <c r="F2697" s="25">
        <v>0.0</v>
      </c>
      <c r="G2697" s="27"/>
    </row>
    <row r="2698" hidden="1">
      <c r="A2698" s="21"/>
      <c r="B2698" s="21" t="s">
        <v>3554</v>
      </c>
      <c r="D2698" s="25">
        <v>0.0</v>
      </c>
      <c r="E2698" s="27"/>
      <c r="F2698" s="25">
        <v>0.0</v>
      </c>
      <c r="G2698" s="27"/>
    </row>
    <row r="2699" hidden="1">
      <c r="A2699" s="21"/>
      <c r="B2699" s="21" t="s">
        <v>3555</v>
      </c>
      <c r="D2699" s="25">
        <v>0.0</v>
      </c>
      <c r="E2699" s="27"/>
      <c r="F2699" s="25">
        <v>0.0</v>
      </c>
      <c r="G2699" s="27"/>
    </row>
    <row r="2700" hidden="1">
      <c r="A2700" s="21"/>
      <c r="B2700" s="21" t="s">
        <v>3556</v>
      </c>
      <c r="D2700" s="25">
        <v>0.0</v>
      </c>
      <c r="E2700" s="27"/>
      <c r="F2700" s="25">
        <v>0.0</v>
      </c>
      <c r="G2700" s="27"/>
    </row>
    <row r="2701" hidden="1">
      <c r="A2701" s="21"/>
      <c r="B2701" s="21" t="s">
        <v>3557</v>
      </c>
      <c r="D2701" s="25">
        <v>0.0</v>
      </c>
      <c r="E2701" s="27"/>
      <c r="F2701" s="25">
        <v>0.0</v>
      </c>
      <c r="G2701" s="27"/>
    </row>
    <row r="2702" hidden="1">
      <c r="A2702" s="21"/>
      <c r="B2702" s="21" t="s">
        <v>3558</v>
      </c>
      <c r="D2702" s="25">
        <v>0.0</v>
      </c>
      <c r="E2702" s="27"/>
      <c r="F2702" s="25">
        <v>0.0</v>
      </c>
      <c r="G2702" s="27"/>
    </row>
    <row r="2703" hidden="1">
      <c r="A2703" s="21"/>
      <c r="B2703" s="21" t="s">
        <v>3559</v>
      </c>
      <c r="D2703" s="25">
        <v>0.0</v>
      </c>
      <c r="E2703" s="27"/>
      <c r="F2703" s="25">
        <v>0.0</v>
      </c>
      <c r="G2703" s="27"/>
    </row>
    <row r="2704" hidden="1">
      <c r="A2704" s="21"/>
      <c r="B2704" s="21" t="s">
        <v>3560</v>
      </c>
      <c r="D2704" s="25">
        <v>0.0</v>
      </c>
      <c r="E2704" s="27"/>
      <c r="F2704" s="25">
        <v>0.0</v>
      </c>
      <c r="G2704" s="27"/>
    </row>
    <row r="2705" hidden="1">
      <c r="A2705" s="21"/>
      <c r="B2705" s="21" t="s">
        <v>3561</v>
      </c>
      <c r="D2705" s="25">
        <v>0.0</v>
      </c>
      <c r="E2705" s="27"/>
      <c r="F2705" s="25">
        <v>4.66</v>
      </c>
      <c r="G2705" s="27"/>
    </row>
    <row r="2706" hidden="1">
      <c r="A2706" s="21"/>
      <c r="B2706" s="21" t="s">
        <v>3562</v>
      </c>
      <c r="D2706" s="25">
        <v>0.0</v>
      </c>
      <c r="E2706" s="27"/>
      <c r="F2706" s="25">
        <v>0.0</v>
      </c>
      <c r="G2706" s="27"/>
    </row>
    <row r="2707" hidden="1">
      <c r="A2707" s="21"/>
      <c r="B2707" s="21" t="s">
        <v>3563</v>
      </c>
      <c r="D2707" s="25">
        <v>0.0</v>
      </c>
      <c r="E2707" s="27"/>
      <c r="F2707" s="25">
        <v>0.0</v>
      </c>
      <c r="G2707" s="27"/>
    </row>
    <row r="2708" hidden="1">
      <c r="A2708" s="21"/>
      <c r="B2708" s="21" t="s">
        <v>3564</v>
      </c>
      <c r="D2708" s="25">
        <v>0.0</v>
      </c>
      <c r="E2708" s="27"/>
      <c r="F2708" s="25">
        <v>0.0</v>
      </c>
      <c r="G2708" s="27"/>
    </row>
    <row r="2709" hidden="1">
      <c r="A2709" s="21"/>
      <c r="B2709" s="21" t="s">
        <v>3565</v>
      </c>
      <c r="D2709" s="25">
        <v>0.0</v>
      </c>
      <c r="E2709" s="27"/>
      <c r="F2709" s="25">
        <v>0.0</v>
      </c>
      <c r="G2709" s="27"/>
    </row>
    <row r="2710" hidden="1">
      <c r="A2710" s="21"/>
      <c r="B2710" s="21" t="s">
        <v>3566</v>
      </c>
      <c r="D2710" s="25">
        <v>0.0</v>
      </c>
      <c r="E2710" s="27"/>
      <c r="F2710" s="25">
        <v>0.0</v>
      </c>
      <c r="G2710" s="27"/>
    </row>
    <row r="2711" hidden="1">
      <c r="A2711" s="21"/>
      <c r="B2711" s="21" t="s">
        <v>3567</v>
      </c>
      <c r="D2711" s="25">
        <v>0.0</v>
      </c>
      <c r="E2711" s="27"/>
      <c r="F2711" s="25">
        <v>0.0</v>
      </c>
      <c r="G2711" s="27"/>
    </row>
    <row r="2712" hidden="1">
      <c r="A2712" s="21"/>
      <c r="B2712" s="21" t="s">
        <v>3568</v>
      </c>
      <c r="D2712" s="25">
        <v>0.0</v>
      </c>
      <c r="E2712" s="27"/>
      <c r="F2712" s="25">
        <v>0.0</v>
      </c>
      <c r="G2712" s="27"/>
    </row>
    <row r="2713" hidden="1">
      <c r="A2713" s="21"/>
      <c r="B2713" s="21" t="s">
        <v>3569</v>
      </c>
      <c r="D2713" s="25">
        <v>0.0</v>
      </c>
      <c r="E2713" s="27"/>
      <c r="F2713" s="25">
        <v>0.0</v>
      </c>
      <c r="G2713" s="27"/>
    </row>
    <row r="2714" hidden="1">
      <c r="A2714" s="21"/>
      <c r="B2714" s="21" t="s">
        <v>3570</v>
      </c>
      <c r="D2714" s="25">
        <v>0.0</v>
      </c>
      <c r="E2714" s="27"/>
      <c r="F2714" s="25">
        <v>0.0</v>
      </c>
      <c r="G2714" s="27"/>
    </row>
    <row r="2715" hidden="1">
      <c r="A2715" s="21"/>
      <c r="B2715" s="21" t="s">
        <v>3571</v>
      </c>
      <c r="D2715" s="25">
        <v>0.0</v>
      </c>
      <c r="E2715" s="27"/>
      <c r="F2715" s="25">
        <v>0.0</v>
      </c>
      <c r="G2715" s="27"/>
    </row>
    <row r="2716" hidden="1">
      <c r="A2716" s="21"/>
      <c r="B2716" s="21" t="s">
        <v>3572</v>
      </c>
      <c r="D2716" s="25">
        <v>0.0</v>
      </c>
      <c r="E2716" s="27"/>
      <c r="F2716" s="25">
        <v>0.0</v>
      </c>
      <c r="G2716" s="27"/>
    </row>
    <row r="2717" hidden="1">
      <c r="A2717" s="21"/>
      <c r="B2717" s="21" t="s">
        <v>3573</v>
      </c>
      <c r="D2717" s="25">
        <v>0.0</v>
      </c>
      <c r="E2717" s="27"/>
      <c r="F2717" s="25">
        <v>0.0</v>
      </c>
      <c r="G2717" s="27"/>
    </row>
    <row r="2718" hidden="1">
      <c r="A2718" s="21"/>
      <c r="B2718" s="21" t="s">
        <v>3574</v>
      </c>
      <c r="D2718" s="25">
        <v>0.0</v>
      </c>
      <c r="E2718" s="27"/>
      <c r="F2718" s="25">
        <v>0.0</v>
      </c>
      <c r="G2718" s="27"/>
    </row>
    <row r="2719" hidden="1">
      <c r="A2719" s="21"/>
      <c r="B2719" s="21" t="s">
        <v>3575</v>
      </c>
      <c r="D2719" s="25">
        <v>0.0</v>
      </c>
      <c r="E2719" s="27"/>
      <c r="F2719" s="25">
        <v>0.0</v>
      </c>
      <c r="G2719" s="27"/>
    </row>
    <row r="2720" hidden="1">
      <c r="A2720" s="21"/>
      <c r="B2720" s="21" t="s">
        <v>3576</v>
      </c>
      <c r="D2720" s="25">
        <v>0.0</v>
      </c>
      <c r="E2720" s="27"/>
      <c r="F2720" s="25">
        <v>0.0</v>
      </c>
      <c r="G2720" s="27"/>
    </row>
    <row r="2721" hidden="1">
      <c r="A2721" s="21"/>
      <c r="B2721" s="21" t="s">
        <v>3577</v>
      </c>
      <c r="D2721" s="25">
        <v>0.0</v>
      </c>
      <c r="E2721" s="27"/>
      <c r="F2721" s="25">
        <v>0.0</v>
      </c>
      <c r="G2721" s="27"/>
    </row>
    <row r="2722" hidden="1">
      <c r="A2722" s="21"/>
      <c r="B2722" s="21" t="s">
        <v>3578</v>
      </c>
      <c r="D2722" s="25">
        <v>0.0</v>
      </c>
      <c r="E2722" s="27"/>
      <c r="F2722" s="25">
        <v>0.0</v>
      </c>
      <c r="G2722" s="27"/>
    </row>
    <row r="2723" hidden="1">
      <c r="A2723" s="21"/>
      <c r="B2723" s="21" t="s">
        <v>3579</v>
      </c>
      <c r="D2723" s="25">
        <v>0.0</v>
      </c>
      <c r="E2723" s="27"/>
      <c r="F2723" s="25">
        <v>0.0</v>
      </c>
      <c r="G2723" s="27"/>
    </row>
    <row r="2724" hidden="1">
      <c r="A2724" s="21"/>
      <c r="B2724" s="21" t="s">
        <v>3580</v>
      </c>
      <c r="D2724" s="25">
        <v>0.0</v>
      </c>
      <c r="E2724" s="27"/>
      <c r="F2724" s="25">
        <v>0.0</v>
      </c>
      <c r="G2724" s="27"/>
    </row>
    <row r="2725" hidden="1">
      <c r="A2725" s="21"/>
      <c r="B2725" s="21" t="s">
        <v>3581</v>
      </c>
      <c r="D2725" s="25">
        <v>0.0</v>
      </c>
      <c r="E2725" s="27"/>
      <c r="F2725" s="25">
        <v>0.0</v>
      </c>
      <c r="G2725" s="27"/>
    </row>
    <row r="2726" hidden="1">
      <c r="A2726" s="21"/>
      <c r="B2726" s="21" t="s">
        <v>3582</v>
      </c>
      <c r="D2726" s="25">
        <v>0.0</v>
      </c>
      <c r="E2726" s="27"/>
      <c r="F2726" s="25">
        <v>0.0</v>
      </c>
      <c r="G2726" s="27"/>
    </row>
    <row r="2727" hidden="1">
      <c r="A2727" s="21"/>
      <c r="B2727" s="21" t="s">
        <v>3583</v>
      </c>
      <c r="D2727" s="25">
        <v>0.0</v>
      </c>
      <c r="E2727" s="27"/>
      <c r="F2727" s="25">
        <v>0.0</v>
      </c>
      <c r="G2727" s="27"/>
    </row>
    <row r="2728" hidden="1">
      <c r="A2728" s="21"/>
      <c r="B2728" s="21" t="s">
        <v>3584</v>
      </c>
      <c r="D2728" s="25">
        <v>0.0</v>
      </c>
      <c r="E2728" s="27"/>
      <c r="F2728" s="25">
        <v>0.0</v>
      </c>
      <c r="G2728" s="27"/>
    </row>
    <row r="2729" hidden="1">
      <c r="A2729" s="21"/>
      <c r="B2729" s="21" t="s">
        <v>3585</v>
      </c>
      <c r="D2729" s="25">
        <v>0.0</v>
      </c>
      <c r="E2729" s="27"/>
      <c r="F2729" s="25">
        <v>0.0</v>
      </c>
      <c r="G2729" s="27"/>
    </row>
    <row r="2730" hidden="1">
      <c r="A2730" s="21"/>
      <c r="B2730" s="21" t="s">
        <v>3586</v>
      </c>
      <c r="D2730" s="25">
        <v>0.0</v>
      </c>
      <c r="E2730" s="27"/>
      <c r="F2730" s="25">
        <v>0.0</v>
      </c>
      <c r="G2730" s="27"/>
    </row>
    <row r="2731" hidden="1">
      <c r="A2731" s="21"/>
      <c r="B2731" s="21" t="s">
        <v>3587</v>
      </c>
      <c r="D2731" s="25">
        <v>0.0</v>
      </c>
      <c r="E2731" s="27"/>
      <c r="F2731" s="25">
        <v>0.0</v>
      </c>
      <c r="G2731" s="27"/>
    </row>
    <row r="2732" hidden="1">
      <c r="A2732" s="21"/>
      <c r="B2732" s="21" t="s">
        <v>3588</v>
      </c>
      <c r="D2732" s="25">
        <v>0.0</v>
      </c>
      <c r="E2732" s="27"/>
      <c r="F2732" s="25">
        <v>0.0</v>
      </c>
      <c r="G2732" s="27"/>
    </row>
    <row r="2733" hidden="1">
      <c r="A2733" s="21"/>
      <c r="B2733" s="21" t="s">
        <v>3589</v>
      </c>
      <c r="D2733" s="25">
        <v>0.0</v>
      </c>
      <c r="E2733" s="27"/>
      <c r="F2733" s="25">
        <v>0.0</v>
      </c>
      <c r="G2733" s="27"/>
    </row>
    <row r="2734" hidden="1">
      <c r="A2734" s="21"/>
      <c r="B2734" s="21" t="s">
        <v>3590</v>
      </c>
      <c r="D2734" s="25">
        <v>0.0</v>
      </c>
      <c r="E2734" s="27"/>
      <c r="F2734" s="25">
        <v>0.0</v>
      </c>
      <c r="G2734" s="27"/>
    </row>
    <row r="2735" hidden="1">
      <c r="A2735" s="21"/>
      <c r="B2735" s="21" t="s">
        <v>3591</v>
      </c>
      <c r="D2735" s="25">
        <v>0.0</v>
      </c>
      <c r="E2735" s="27"/>
      <c r="F2735" s="25">
        <v>0.0</v>
      </c>
      <c r="G2735" s="27"/>
    </row>
    <row r="2736" hidden="1">
      <c r="A2736" s="21"/>
      <c r="B2736" s="21" t="s">
        <v>3592</v>
      </c>
      <c r="D2736" s="25">
        <v>0.0</v>
      </c>
      <c r="E2736" s="27"/>
      <c r="F2736" s="25">
        <v>0.0</v>
      </c>
      <c r="G2736" s="27"/>
    </row>
    <row r="2737" hidden="1">
      <c r="A2737" s="21"/>
      <c r="B2737" s="21" t="s">
        <v>3593</v>
      </c>
      <c r="D2737" s="25">
        <v>0.0</v>
      </c>
      <c r="E2737" s="27"/>
      <c r="F2737" s="25">
        <v>0.0</v>
      </c>
      <c r="G2737" s="27"/>
    </row>
    <row r="2738" hidden="1">
      <c r="A2738" s="21"/>
      <c r="B2738" s="21" t="s">
        <v>3594</v>
      </c>
      <c r="D2738" s="25">
        <v>0.0</v>
      </c>
      <c r="E2738" s="27"/>
      <c r="F2738" s="25">
        <v>0.0</v>
      </c>
      <c r="G2738" s="27"/>
    </row>
    <row r="2739" hidden="1">
      <c r="A2739" s="21"/>
      <c r="B2739" s="21" t="s">
        <v>3595</v>
      </c>
      <c r="D2739" s="25">
        <v>0.0</v>
      </c>
      <c r="E2739" s="27"/>
      <c r="F2739" s="25">
        <v>0.0</v>
      </c>
      <c r="G2739" s="27"/>
    </row>
    <row r="2740" hidden="1">
      <c r="A2740" s="21"/>
      <c r="B2740" s="21" t="s">
        <v>3596</v>
      </c>
      <c r="D2740" s="25">
        <v>0.0</v>
      </c>
      <c r="E2740" s="27"/>
      <c r="F2740" s="25">
        <v>6.28</v>
      </c>
      <c r="G2740" s="27"/>
    </row>
    <row r="2741" hidden="1">
      <c r="A2741" s="21"/>
      <c r="B2741" s="21" t="s">
        <v>3597</v>
      </c>
      <c r="D2741" s="25">
        <v>0.0</v>
      </c>
      <c r="E2741" s="27"/>
      <c r="F2741" s="25">
        <v>0.0</v>
      </c>
      <c r="G2741" s="27"/>
    </row>
    <row r="2742" hidden="1">
      <c r="A2742" s="21"/>
      <c r="B2742" s="21" t="s">
        <v>3598</v>
      </c>
      <c r="D2742" s="25">
        <v>0.0</v>
      </c>
      <c r="E2742" s="27"/>
      <c r="F2742" s="25">
        <v>0.0</v>
      </c>
      <c r="G2742" s="27"/>
    </row>
    <row r="2743" hidden="1">
      <c r="A2743" s="21"/>
      <c r="B2743" s="21" t="s">
        <v>3599</v>
      </c>
      <c r="D2743" s="25">
        <v>0.0</v>
      </c>
      <c r="E2743" s="27"/>
      <c r="F2743" s="25">
        <v>0.0</v>
      </c>
      <c r="G2743" s="27"/>
    </row>
    <row r="2744" hidden="1">
      <c r="A2744" s="21"/>
      <c r="B2744" s="21" t="s">
        <v>3600</v>
      </c>
      <c r="D2744" s="25">
        <v>0.0</v>
      </c>
      <c r="E2744" s="27"/>
      <c r="F2744" s="25">
        <v>6.28</v>
      </c>
      <c r="G2744" s="27"/>
    </row>
    <row r="2745" hidden="1">
      <c r="A2745" s="21"/>
      <c r="B2745" s="21" t="s">
        <v>3601</v>
      </c>
      <c r="D2745" s="25">
        <v>0.0</v>
      </c>
      <c r="E2745" s="27"/>
      <c r="F2745" s="25">
        <v>0.0</v>
      </c>
      <c r="G2745" s="27"/>
    </row>
    <row r="2746" hidden="1">
      <c r="A2746" s="21"/>
      <c r="B2746" s="21" t="s">
        <v>3602</v>
      </c>
      <c r="D2746" s="25">
        <v>0.0</v>
      </c>
      <c r="E2746" s="27"/>
      <c r="F2746" s="25">
        <v>0.0</v>
      </c>
      <c r="G2746" s="27"/>
    </row>
    <row r="2747" hidden="1">
      <c r="A2747" s="21"/>
      <c r="B2747" s="21" t="s">
        <v>3603</v>
      </c>
      <c r="D2747" s="25">
        <v>0.0</v>
      </c>
      <c r="E2747" s="27"/>
      <c r="F2747" s="25">
        <v>0.0</v>
      </c>
      <c r="G2747" s="27"/>
    </row>
    <row r="2748" hidden="1">
      <c r="A2748" s="21"/>
      <c r="B2748" s="21" t="s">
        <v>3604</v>
      </c>
      <c r="D2748" s="25">
        <v>0.0</v>
      </c>
      <c r="E2748" s="27"/>
      <c r="F2748" s="25">
        <v>0.0</v>
      </c>
      <c r="G2748" s="27"/>
    </row>
    <row r="2749" hidden="1">
      <c r="A2749" s="21"/>
      <c r="B2749" s="21" t="s">
        <v>3605</v>
      </c>
      <c r="D2749" s="25">
        <v>0.0</v>
      </c>
      <c r="E2749" s="27"/>
      <c r="F2749" s="25">
        <v>0.0</v>
      </c>
      <c r="G2749" s="27"/>
    </row>
    <row r="2750" hidden="1">
      <c r="A2750" s="21"/>
      <c r="B2750" s="21" t="s">
        <v>3606</v>
      </c>
      <c r="D2750" s="25">
        <v>0.0</v>
      </c>
      <c r="E2750" s="27"/>
      <c r="F2750" s="25">
        <v>0.0</v>
      </c>
      <c r="G2750" s="27"/>
    </row>
    <row r="2751" hidden="1">
      <c r="A2751" s="21"/>
      <c r="B2751" s="21" t="s">
        <v>3607</v>
      </c>
      <c r="D2751" s="25">
        <v>0.0</v>
      </c>
      <c r="E2751" s="27"/>
      <c r="F2751" s="25">
        <v>11.78</v>
      </c>
      <c r="G2751" s="27"/>
    </row>
    <row r="2752" hidden="1">
      <c r="A2752" s="21"/>
      <c r="B2752" s="21" t="s">
        <v>3608</v>
      </c>
      <c r="D2752" s="25">
        <v>0.0</v>
      </c>
      <c r="E2752" s="27"/>
      <c r="F2752" s="25">
        <v>0.0</v>
      </c>
      <c r="G2752" s="27"/>
    </row>
    <row r="2753" hidden="1">
      <c r="A2753" s="21"/>
      <c r="B2753" s="21" t="s">
        <v>3609</v>
      </c>
      <c r="D2753" s="25">
        <v>0.0</v>
      </c>
      <c r="E2753" s="27"/>
      <c r="F2753" s="25">
        <v>0.0</v>
      </c>
      <c r="G2753" s="27"/>
    </row>
    <row r="2754" hidden="1">
      <c r="A2754" s="21"/>
      <c r="B2754" s="21" t="s">
        <v>3610</v>
      </c>
      <c r="D2754" s="25">
        <v>0.0</v>
      </c>
      <c r="E2754" s="27"/>
      <c r="F2754" s="25">
        <v>0.0</v>
      </c>
      <c r="G2754" s="27"/>
    </row>
    <row r="2755" hidden="1">
      <c r="A2755" s="21"/>
      <c r="B2755" s="21" t="s">
        <v>3611</v>
      </c>
      <c r="D2755" s="25">
        <v>0.0</v>
      </c>
      <c r="E2755" s="27"/>
      <c r="F2755" s="25">
        <v>0.0</v>
      </c>
      <c r="G2755" s="27"/>
    </row>
    <row r="2756" hidden="1">
      <c r="A2756" s="21"/>
      <c r="B2756" s="21" t="s">
        <v>3612</v>
      </c>
      <c r="D2756" s="25">
        <v>0.0</v>
      </c>
      <c r="E2756" s="27"/>
      <c r="F2756" s="25">
        <v>0.0</v>
      </c>
      <c r="G2756" s="27"/>
    </row>
    <row r="2757" hidden="1">
      <c r="A2757" s="21"/>
      <c r="B2757" s="21" t="s">
        <v>3613</v>
      </c>
      <c r="D2757" s="25">
        <v>0.0</v>
      </c>
      <c r="E2757" s="27"/>
      <c r="F2757" s="25">
        <v>0.0</v>
      </c>
      <c r="G2757" s="27"/>
    </row>
    <row r="2758" hidden="1">
      <c r="A2758" s="21"/>
      <c r="B2758" s="21" t="s">
        <v>3614</v>
      </c>
      <c r="D2758" s="25">
        <v>0.0</v>
      </c>
      <c r="E2758" s="27"/>
      <c r="F2758" s="25">
        <v>6.47</v>
      </c>
      <c r="G2758" s="27"/>
    </row>
    <row r="2759" hidden="1">
      <c r="A2759" s="21"/>
      <c r="B2759" s="21" t="s">
        <v>3615</v>
      </c>
      <c r="D2759" s="25">
        <v>0.0</v>
      </c>
      <c r="E2759" s="27"/>
      <c r="F2759" s="25">
        <v>0.0</v>
      </c>
      <c r="G2759" s="27"/>
    </row>
    <row r="2760" hidden="1">
      <c r="A2760" s="21"/>
      <c r="B2760" s="21" t="s">
        <v>3616</v>
      </c>
      <c r="D2760" s="25">
        <v>0.0</v>
      </c>
      <c r="E2760" s="27"/>
      <c r="F2760" s="25">
        <v>0.0</v>
      </c>
      <c r="G2760" s="27"/>
    </row>
    <row r="2761" hidden="1">
      <c r="A2761" s="21"/>
      <c r="B2761" s="21" t="s">
        <v>3617</v>
      </c>
      <c r="D2761" s="25">
        <v>0.0</v>
      </c>
      <c r="E2761" s="27"/>
      <c r="F2761" s="25">
        <v>0.0</v>
      </c>
      <c r="G2761" s="27"/>
    </row>
    <row r="2762" hidden="1">
      <c r="A2762" s="21"/>
      <c r="B2762" s="21" t="s">
        <v>3618</v>
      </c>
      <c r="D2762" s="25">
        <v>0.0</v>
      </c>
      <c r="E2762" s="27"/>
      <c r="F2762" s="25">
        <v>0.0</v>
      </c>
      <c r="G2762" s="27"/>
    </row>
    <row r="2763" hidden="1">
      <c r="A2763" s="21"/>
      <c r="B2763" s="21" t="s">
        <v>3619</v>
      </c>
      <c r="D2763" s="25">
        <v>0.0</v>
      </c>
      <c r="E2763" s="27"/>
      <c r="F2763" s="25">
        <v>0.0</v>
      </c>
      <c r="G2763" s="27"/>
    </row>
    <row r="2764" hidden="1">
      <c r="A2764" s="21"/>
      <c r="B2764" s="21" t="s">
        <v>3620</v>
      </c>
      <c r="D2764" s="25">
        <v>0.0</v>
      </c>
      <c r="E2764" s="27"/>
      <c r="F2764" s="25">
        <v>0.0</v>
      </c>
      <c r="G2764" s="27"/>
    </row>
    <row r="2765" hidden="1">
      <c r="A2765" s="21"/>
      <c r="B2765" s="21" t="s">
        <v>3621</v>
      </c>
      <c r="D2765" s="25">
        <v>0.0</v>
      </c>
      <c r="E2765" s="27"/>
      <c r="F2765" s="25">
        <v>0.0</v>
      </c>
      <c r="G2765" s="27"/>
    </row>
    <row r="2766" hidden="1">
      <c r="A2766" s="21"/>
      <c r="B2766" s="21" t="s">
        <v>3622</v>
      </c>
      <c r="D2766" s="25">
        <v>0.0</v>
      </c>
      <c r="E2766" s="27"/>
      <c r="F2766" s="25">
        <v>0.0</v>
      </c>
      <c r="G2766" s="27"/>
    </row>
    <row r="2767" hidden="1">
      <c r="A2767" s="21"/>
      <c r="B2767" s="21" t="s">
        <v>3623</v>
      </c>
      <c r="D2767" s="25">
        <v>0.0</v>
      </c>
      <c r="E2767" s="27"/>
      <c r="F2767" s="25">
        <v>0.0</v>
      </c>
      <c r="G2767" s="27"/>
    </row>
    <row r="2768" hidden="1">
      <c r="A2768" s="21"/>
      <c r="B2768" s="21" t="s">
        <v>3624</v>
      </c>
      <c r="D2768" s="25">
        <v>0.0</v>
      </c>
      <c r="E2768" s="27"/>
      <c r="F2768" s="25">
        <v>0.0</v>
      </c>
      <c r="G2768" s="27"/>
    </row>
    <row r="2769" hidden="1">
      <c r="A2769" s="21"/>
      <c r="B2769" s="21" t="s">
        <v>3625</v>
      </c>
      <c r="D2769" s="25">
        <v>0.0</v>
      </c>
      <c r="E2769" s="27"/>
      <c r="F2769" s="25">
        <v>0.0</v>
      </c>
      <c r="G2769" s="27"/>
    </row>
    <row r="2770" hidden="1">
      <c r="A2770" s="21"/>
      <c r="B2770" s="21" t="s">
        <v>3626</v>
      </c>
      <c r="D2770" s="25">
        <v>0.0</v>
      </c>
      <c r="E2770" s="27"/>
      <c r="F2770" s="25">
        <v>0.0</v>
      </c>
      <c r="G2770" s="27"/>
    </row>
    <row r="2771" hidden="1">
      <c r="A2771" s="21"/>
      <c r="B2771" s="21" t="s">
        <v>3627</v>
      </c>
      <c r="D2771" s="25">
        <v>0.0</v>
      </c>
      <c r="E2771" s="27"/>
      <c r="F2771" s="25">
        <v>0.0</v>
      </c>
      <c r="G2771" s="27"/>
    </row>
    <row r="2772" hidden="1">
      <c r="A2772" s="21"/>
      <c r="B2772" s="21" t="s">
        <v>3628</v>
      </c>
      <c r="D2772" s="25">
        <v>0.0</v>
      </c>
      <c r="E2772" s="27"/>
      <c r="F2772" s="25">
        <v>0.0</v>
      </c>
      <c r="G2772" s="27"/>
    </row>
    <row r="2773" hidden="1">
      <c r="A2773" s="21"/>
      <c r="B2773" s="21" t="s">
        <v>3629</v>
      </c>
      <c r="D2773" s="25">
        <v>0.0</v>
      </c>
      <c r="E2773" s="27"/>
      <c r="F2773" s="25">
        <v>0.0</v>
      </c>
      <c r="G2773" s="27"/>
    </row>
    <row r="2774" hidden="1">
      <c r="A2774" s="21"/>
      <c r="B2774" s="21" t="s">
        <v>3630</v>
      </c>
      <c r="D2774" s="25">
        <v>0.0</v>
      </c>
      <c r="E2774" s="27"/>
      <c r="F2774" s="25">
        <v>0.0</v>
      </c>
      <c r="G2774" s="27"/>
    </row>
    <row r="2775" hidden="1">
      <c r="A2775" s="21"/>
      <c r="B2775" s="21" t="s">
        <v>3631</v>
      </c>
      <c r="D2775" s="25">
        <v>0.0</v>
      </c>
      <c r="E2775" s="27"/>
      <c r="F2775" s="25">
        <v>0.0</v>
      </c>
      <c r="G2775" s="27"/>
    </row>
    <row r="2776" hidden="1">
      <c r="A2776" s="21"/>
      <c r="B2776" s="21" t="s">
        <v>3632</v>
      </c>
      <c r="D2776" s="25">
        <v>0.0</v>
      </c>
      <c r="E2776" s="27"/>
      <c r="F2776" s="25">
        <v>0.0</v>
      </c>
      <c r="G2776" s="27"/>
    </row>
    <row r="2777" hidden="1">
      <c r="A2777" s="21"/>
      <c r="B2777" s="21" t="s">
        <v>3633</v>
      </c>
      <c r="D2777" s="25">
        <v>0.0</v>
      </c>
      <c r="E2777" s="27"/>
      <c r="F2777" s="25">
        <v>0.0</v>
      </c>
      <c r="G2777" s="27"/>
    </row>
    <row r="2778" hidden="1">
      <c r="A2778" s="21"/>
      <c r="B2778" s="21" t="s">
        <v>3634</v>
      </c>
      <c r="D2778" s="25">
        <v>0.0</v>
      </c>
      <c r="E2778" s="27"/>
      <c r="F2778" s="25">
        <v>0.0</v>
      </c>
      <c r="G2778" s="27"/>
    </row>
    <row r="2779" hidden="1">
      <c r="A2779" s="21"/>
      <c r="B2779" s="21" t="s">
        <v>3635</v>
      </c>
      <c r="D2779" s="25">
        <v>0.0</v>
      </c>
      <c r="E2779" s="27"/>
      <c r="F2779" s="25">
        <v>0.0</v>
      </c>
      <c r="G2779" s="27"/>
    </row>
    <row r="2780" hidden="1">
      <c r="A2780" s="21"/>
      <c r="B2780" s="21" t="s">
        <v>3636</v>
      </c>
      <c r="D2780" s="25">
        <v>0.0</v>
      </c>
      <c r="E2780" s="27"/>
      <c r="F2780" s="25">
        <v>0.0</v>
      </c>
      <c r="G2780" s="27"/>
    </row>
    <row r="2781" hidden="1">
      <c r="A2781" s="21"/>
      <c r="B2781" s="21" t="s">
        <v>3637</v>
      </c>
      <c r="D2781" s="25">
        <v>0.0</v>
      </c>
      <c r="E2781" s="27"/>
      <c r="F2781" s="25">
        <v>0.0</v>
      </c>
      <c r="G2781" s="27"/>
    </row>
    <row r="2782" hidden="1">
      <c r="A2782" s="21"/>
      <c r="B2782" s="21" t="s">
        <v>3638</v>
      </c>
      <c r="D2782" s="25">
        <v>0.0</v>
      </c>
      <c r="E2782" s="27"/>
      <c r="F2782" s="25">
        <v>0.0</v>
      </c>
      <c r="G2782" s="27"/>
    </row>
    <row r="2783" hidden="1">
      <c r="A2783" s="21"/>
      <c r="B2783" s="21" t="s">
        <v>3639</v>
      </c>
      <c r="D2783" s="25">
        <v>0.0</v>
      </c>
      <c r="E2783" s="27"/>
      <c r="F2783" s="25">
        <v>0.0</v>
      </c>
      <c r="G2783" s="27"/>
    </row>
    <row r="2784" hidden="1">
      <c r="A2784" s="21"/>
      <c r="B2784" s="21" t="s">
        <v>3640</v>
      </c>
      <c r="D2784" s="25">
        <v>0.0</v>
      </c>
      <c r="E2784" s="27"/>
      <c r="F2784" s="25">
        <v>0.0</v>
      </c>
      <c r="G2784" s="27"/>
    </row>
    <row r="2785" hidden="1">
      <c r="A2785" s="21"/>
      <c r="B2785" s="21" t="s">
        <v>3641</v>
      </c>
      <c r="D2785" s="25">
        <v>0.0</v>
      </c>
      <c r="E2785" s="27"/>
      <c r="F2785" s="25">
        <v>0.0</v>
      </c>
      <c r="G2785" s="27"/>
    </row>
    <row r="2786" hidden="1">
      <c r="A2786" s="21"/>
      <c r="B2786" s="21" t="s">
        <v>3642</v>
      </c>
      <c r="D2786" s="25">
        <v>0.0</v>
      </c>
      <c r="E2786" s="27"/>
      <c r="F2786" s="25">
        <v>0.0</v>
      </c>
      <c r="G2786" s="27"/>
    </row>
    <row r="2787" hidden="1">
      <c r="A2787" s="21"/>
      <c r="B2787" s="21" t="s">
        <v>3643</v>
      </c>
      <c r="D2787" s="25">
        <v>0.0</v>
      </c>
      <c r="E2787" s="27"/>
      <c r="F2787" s="25">
        <v>0.0</v>
      </c>
      <c r="G2787" s="27"/>
    </row>
    <row r="2788" hidden="1">
      <c r="A2788" s="21"/>
      <c r="B2788" s="21" t="s">
        <v>3644</v>
      </c>
      <c r="D2788" s="25">
        <v>0.0</v>
      </c>
      <c r="E2788" s="27"/>
      <c r="F2788" s="25">
        <v>0.0</v>
      </c>
      <c r="G2788" s="27"/>
    </row>
    <row r="2789" hidden="1">
      <c r="A2789" s="21"/>
      <c r="B2789" s="21" t="s">
        <v>3645</v>
      </c>
      <c r="D2789" s="25">
        <v>0.0</v>
      </c>
      <c r="E2789" s="27"/>
      <c r="F2789" s="25">
        <v>0.0</v>
      </c>
      <c r="G2789" s="27"/>
    </row>
    <row r="2790" hidden="1">
      <c r="A2790" s="21"/>
      <c r="B2790" s="21" t="s">
        <v>3646</v>
      </c>
      <c r="D2790" s="25">
        <v>0.0</v>
      </c>
      <c r="E2790" s="27"/>
      <c r="F2790" s="25">
        <v>0.0</v>
      </c>
      <c r="G2790" s="27"/>
    </row>
    <row r="2791" hidden="1">
      <c r="A2791" s="21"/>
      <c r="B2791" s="21" t="s">
        <v>3647</v>
      </c>
      <c r="D2791" s="25">
        <v>0.0</v>
      </c>
      <c r="E2791" s="27"/>
      <c r="F2791" s="25">
        <v>0.0</v>
      </c>
      <c r="G2791" s="27"/>
    </row>
    <row r="2792" hidden="1">
      <c r="A2792" s="21"/>
      <c r="B2792" s="21" t="s">
        <v>3648</v>
      </c>
      <c r="D2792" s="25">
        <v>0.0</v>
      </c>
      <c r="E2792" s="27"/>
      <c r="F2792" s="25">
        <v>0.0</v>
      </c>
      <c r="G2792" s="27"/>
    </row>
    <row r="2793" hidden="1">
      <c r="A2793" s="21"/>
      <c r="B2793" s="21" t="s">
        <v>3649</v>
      </c>
      <c r="D2793" s="25">
        <v>0.0</v>
      </c>
      <c r="E2793" s="27"/>
      <c r="F2793" s="25">
        <v>0.0</v>
      </c>
      <c r="G2793" s="27"/>
    </row>
    <row r="2794" hidden="1">
      <c r="A2794" s="21"/>
      <c r="B2794" s="21" t="s">
        <v>3650</v>
      </c>
      <c r="D2794" s="25">
        <v>0.0</v>
      </c>
      <c r="E2794" s="27"/>
      <c r="F2794" s="25">
        <v>0.0</v>
      </c>
      <c r="G2794" s="27"/>
    </row>
    <row r="2795" hidden="1">
      <c r="A2795" s="21"/>
      <c r="B2795" s="21" t="s">
        <v>3651</v>
      </c>
      <c r="D2795" s="25">
        <v>0.0</v>
      </c>
      <c r="E2795" s="27"/>
      <c r="F2795" s="25">
        <v>0.0</v>
      </c>
      <c r="G2795" s="27"/>
    </row>
    <row r="2796" hidden="1">
      <c r="A2796" s="21"/>
      <c r="B2796" s="21" t="s">
        <v>3652</v>
      </c>
      <c r="D2796" s="25">
        <v>0.0</v>
      </c>
      <c r="E2796" s="27"/>
      <c r="F2796" s="25">
        <v>0.0</v>
      </c>
      <c r="G2796" s="27"/>
    </row>
    <row r="2797" hidden="1">
      <c r="A2797" s="21"/>
      <c r="B2797" s="21" t="s">
        <v>3653</v>
      </c>
      <c r="D2797" s="25">
        <v>0.0</v>
      </c>
      <c r="E2797" s="27"/>
      <c r="F2797" s="25">
        <v>0.0</v>
      </c>
      <c r="G2797" s="27"/>
    </row>
    <row r="2798" hidden="1">
      <c r="A2798" s="21"/>
      <c r="B2798" s="21" t="s">
        <v>3654</v>
      </c>
      <c r="D2798" s="25">
        <v>0.0</v>
      </c>
      <c r="E2798" s="27"/>
      <c r="F2798" s="25">
        <v>0.0</v>
      </c>
      <c r="G2798" s="27"/>
    </row>
    <row r="2799" hidden="1">
      <c r="A2799" s="21"/>
      <c r="B2799" s="21" t="s">
        <v>3655</v>
      </c>
      <c r="D2799" s="25">
        <v>0.0</v>
      </c>
      <c r="E2799" s="27"/>
      <c r="F2799" s="25">
        <v>0.0</v>
      </c>
      <c r="G2799" s="27"/>
    </row>
    <row r="2800" hidden="1">
      <c r="A2800" s="21"/>
      <c r="B2800" s="21" t="s">
        <v>3656</v>
      </c>
      <c r="D2800" s="25">
        <v>0.0</v>
      </c>
      <c r="E2800" s="27"/>
      <c r="F2800" s="25">
        <v>0.0</v>
      </c>
      <c r="G2800" s="27"/>
    </row>
    <row r="2801" hidden="1">
      <c r="A2801" s="21"/>
      <c r="B2801" s="21" t="s">
        <v>3657</v>
      </c>
      <c r="D2801" s="25">
        <v>0.0</v>
      </c>
      <c r="E2801" s="27"/>
      <c r="F2801" s="25">
        <v>0.0</v>
      </c>
      <c r="G2801" s="27"/>
    </row>
    <row r="2802" hidden="1">
      <c r="A2802" s="21"/>
      <c r="B2802" s="21" t="s">
        <v>3658</v>
      </c>
      <c r="D2802" s="25">
        <v>0.0</v>
      </c>
      <c r="E2802" s="27"/>
      <c r="F2802" s="25">
        <v>0.0</v>
      </c>
      <c r="G2802" s="27"/>
    </row>
    <row r="2803" hidden="1">
      <c r="A2803" s="21"/>
      <c r="B2803" s="21" t="s">
        <v>3659</v>
      </c>
      <c r="D2803" s="25">
        <v>0.0</v>
      </c>
      <c r="E2803" s="27"/>
      <c r="F2803" s="25">
        <v>7.08</v>
      </c>
      <c r="G2803" s="27"/>
    </row>
    <row r="2804" hidden="1">
      <c r="A2804" s="21"/>
      <c r="B2804" s="21" t="s">
        <v>3660</v>
      </c>
      <c r="D2804" s="25">
        <v>0.0</v>
      </c>
      <c r="E2804" s="27"/>
      <c r="F2804" s="25">
        <v>0.0</v>
      </c>
      <c r="G2804" s="27"/>
    </row>
    <row r="2805" hidden="1">
      <c r="A2805" s="21"/>
      <c r="B2805" s="21" t="s">
        <v>3661</v>
      </c>
      <c r="D2805" s="25">
        <v>0.0</v>
      </c>
      <c r="E2805" s="27"/>
      <c r="F2805" s="25">
        <v>0.0</v>
      </c>
      <c r="G2805" s="27"/>
    </row>
    <row r="2806" hidden="1">
      <c r="A2806" s="21"/>
      <c r="B2806" s="21" t="s">
        <v>3662</v>
      </c>
      <c r="D2806" s="25">
        <v>0.0</v>
      </c>
      <c r="E2806" s="27"/>
      <c r="F2806" s="25">
        <v>0.0</v>
      </c>
      <c r="G2806" s="27"/>
    </row>
    <row r="2807" hidden="1">
      <c r="A2807" s="21"/>
      <c r="B2807" s="21" t="s">
        <v>3663</v>
      </c>
      <c r="D2807" s="25">
        <v>0.0</v>
      </c>
      <c r="E2807" s="27"/>
      <c r="F2807" s="25">
        <v>0.0</v>
      </c>
      <c r="G2807" s="27"/>
    </row>
    <row r="2808" hidden="1">
      <c r="A2808" s="21"/>
      <c r="B2808" s="21" t="s">
        <v>3664</v>
      </c>
      <c r="D2808" s="25">
        <v>0.0</v>
      </c>
      <c r="E2808" s="27"/>
      <c r="F2808" s="25">
        <v>0.0</v>
      </c>
      <c r="G2808" s="27"/>
    </row>
    <row r="2809" hidden="1">
      <c r="A2809" s="21"/>
      <c r="B2809" s="21" t="s">
        <v>3665</v>
      </c>
      <c r="D2809" s="25">
        <v>0.0</v>
      </c>
      <c r="E2809" s="27"/>
      <c r="F2809" s="25">
        <v>0.0</v>
      </c>
      <c r="G2809" s="27"/>
    </row>
    <row r="2810" hidden="1">
      <c r="A2810" s="21"/>
      <c r="B2810" s="21" t="s">
        <v>3666</v>
      </c>
      <c r="D2810" s="25">
        <v>0.0</v>
      </c>
      <c r="E2810" s="27"/>
      <c r="F2810" s="25">
        <v>0.0</v>
      </c>
      <c r="G2810" s="27"/>
    </row>
    <row r="2811" hidden="1">
      <c r="A2811" s="21"/>
      <c r="B2811" s="21" t="s">
        <v>3667</v>
      </c>
      <c r="D2811" s="25">
        <v>0.0</v>
      </c>
      <c r="E2811" s="27"/>
      <c r="F2811" s="25">
        <v>0.0</v>
      </c>
      <c r="G2811" s="27"/>
    </row>
    <row r="2812" hidden="1">
      <c r="A2812" s="21"/>
      <c r="B2812" s="21" t="s">
        <v>3668</v>
      </c>
      <c r="D2812" s="25">
        <v>0.0</v>
      </c>
      <c r="E2812" s="27"/>
      <c r="F2812" s="25">
        <v>0.0</v>
      </c>
      <c r="G2812" s="27"/>
    </row>
    <row r="2813" hidden="1">
      <c r="A2813" s="21"/>
      <c r="B2813" s="21" t="s">
        <v>3669</v>
      </c>
      <c r="D2813" s="25">
        <v>0.0</v>
      </c>
      <c r="E2813" s="27"/>
      <c r="F2813" s="25">
        <v>0.0</v>
      </c>
      <c r="G2813" s="27"/>
    </row>
    <row r="2814" hidden="1">
      <c r="A2814" s="21"/>
      <c r="B2814" s="21" t="s">
        <v>3670</v>
      </c>
      <c r="D2814" s="25">
        <v>0.0</v>
      </c>
      <c r="E2814" s="27"/>
      <c r="F2814" s="25">
        <v>0.0</v>
      </c>
      <c r="G2814" s="27"/>
    </row>
    <row r="2815" hidden="1">
      <c r="A2815" s="21"/>
      <c r="B2815" s="21" t="s">
        <v>3671</v>
      </c>
      <c r="D2815" s="25">
        <v>0.0</v>
      </c>
      <c r="E2815" s="27"/>
      <c r="F2815" s="25">
        <v>0.0</v>
      </c>
      <c r="G2815" s="27"/>
    </row>
    <row r="2816" hidden="1">
      <c r="A2816" s="21"/>
      <c r="B2816" s="21" t="s">
        <v>3672</v>
      </c>
      <c r="D2816" s="25">
        <v>0.0</v>
      </c>
      <c r="E2816" s="27"/>
      <c r="F2816" s="25">
        <v>0.0</v>
      </c>
      <c r="G2816" s="27"/>
    </row>
    <row r="2817" hidden="1">
      <c r="A2817" s="21"/>
      <c r="B2817" s="21" t="s">
        <v>3673</v>
      </c>
      <c r="D2817" s="25">
        <v>0.0</v>
      </c>
      <c r="E2817" s="27"/>
      <c r="F2817" s="25">
        <v>0.0</v>
      </c>
      <c r="G2817" s="27"/>
    </row>
    <row r="2818" hidden="1">
      <c r="A2818" s="21"/>
      <c r="B2818" s="21" t="s">
        <v>3674</v>
      </c>
      <c r="D2818" s="25">
        <v>0.0</v>
      </c>
      <c r="E2818" s="27"/>
      <c r="F2818" s="25">
        <v>0.0</v>
      </c>
      <c r="G2818" s="27"/>
    </row>
    <row r="2819" hidden="1">
      <c r="A2819" s="21"/>
      <c r="B2819" s="21" t="s">
        <v>3675</v>
      </c>
      <c r="D2819" s="25">
        <v>0.0</v>
      </c>
      <c r="E2819" s="27"/>
      <c r="F2819" s="25">
        <v>0.0</v>
      </c>
      <c r="G2819" s="27"/>
    </row>
    <row r="2820" hidden="1">
      <c r="A2820" s="21"/>
      <c r="B2820" s="21" t="s">
        <v>3676</v>
      </c>
      <c r="D2820" s="25">
        <v>0.0</v>
      </c>
      <c r="E2820" s="27"/>
      <c r="F2820" s="25">
        <v>0.0</v>
      </c>
      <c r="G2820" s="27"/>
    </row>
    <row r="2821" hidden="1">
      <c r="A2821" s="21"/>
      <c r="B2821" s="21" t="s">
        <v>3677</v>
      </c>
      <c r="D2821" s="25">
        <v>0.0</v>
      </c>
      <c r="E2821" s="27"/>
      <c r="F2821" s="25">
        <v>0.0</v>
      </c>
      <c r="G2821" s="27"/>
    </row>
    <row r="2822" hidden="1">
      <c r="A2822" s="21"/>
      <c r="B2822" s="21" t="s">
        <v>3678</v>
      </c>
      <c r="D2822" s="25">
        <v>0.0</v>
      </c>
      <c r="E2822" s="27"/>
      <c r="F2822" s="25">
        <v>0.0</v>
      </c>
      <c r="G2822" s="27"/>
    </row>
    <row r="2823" hidden="1">
      <c r="A2823" s="21"/>
      <c r="B2823" s="21" t="s">
        <v>3679</v>
      </c>
      <c r="D2823" s="25">
        <v>0.0</v>
      </c>
      <c r="E2823" s="27"/>
      <c r="F2823" s="25">
        <v>0.0</v>
      </c>
      <c r="G2823" s="27"/>
    </row>
    <row r="2824" hidden="1">
      <c r="A2824" s="21"/>
      <c r="B2824" s="21" t="s">
        <v>3680</v>
      </c>
      <c r="D2824" s="25">
        <v>0.0</v>
      </c>
      <c r="E2824" s="27"/>
      <c r="F2824" s="25">
        <v>0.0</v>
      </c>
      <c r="G2824" s="27"/>
    </row>
    <row r="2825" hidden="1">
      <c r="A2825" s="21"/>
      <c r="B2825" s="21" t="s">
        <v>3681</v>
      </c>
      <c r="D2825" s="25">
        <v>0.0</v>
      </c>
      <c r="E2825" s="27"/>
      <c r="F2825" s="25">
        <v>0.0</v>
      </c>
      <c r="G2825" s="27"/>
    </row>
    <row r="2826" hidden="1">
      <c r="A2826" s="21"/>
      <c r="B2826" s="21" t="s">
        <v>3682</v>
      </c>
      <c r="D2826" s="25">
        <v>0.0</v>
      </c>
      <c r="E2826" s="27"/>
      <c r="F2826" s="25">
        <v>0.0</v>
      </c>
      <c r="G2826" s="27"/>
    </row>
    <row r="2827" hidden="1">
      <c r="A2827" s="21"/>
      <c r="B2827" s="21" t="s">
        <v>3683</v>
      </c>
      <c r="D2827" s="25">
        <v>0.0</v>
      </c>
      <c r="E2827" s="27"/>
      <c r="F2827" s="25">
        <v>0.0</v>
      </c>
      <c r="G2827" s="27"/>
    </row>
    <row r="2828" hidden="1">
      <c r="A2828" s="21"/>
      <c r="B2828" s="21" t="s">
        <v>3684</v>
      </c>
      <c r="D2828" s="25">
        <v>0.0</v>
      </c>
      <c r="E2828" s="27"/>
      <c r="F2828" s="25">
        <v>0.0</v>
      </c>
      <c r="G2828" s="27"/>
    </row>
    <row r="2829" hidden="1">
      <c r="A2829" s="21"/>
      <c r="B2829" s="21" t="s">
        <v>3685</v>
      </c>
      <c r="D2829" s="25">
        <v>0.0</v>
      </c>
      <c r="E2829" s="27"/>
      <c r="F2829" s="25">
        <v>0.0</v>
      </c>
      <c r="G2829" s="27"/>
    </row>
    <row r="2830" hidden="1">
      <c r="A2830" s="21"/>
      <c r="B2830" s="21" t="s">
        <v>3686</v>
      </c>
      <c r="D2830" s="25">
        <v>0.0</v>
      </c>
      <c r="E2830" s="27"/>
      <c r="F2830" s="25">
        <v>0.0</v>
      </c>
      <c r="G2830" s="27"/>
    </row>
    <row r="2831" hidden="1">
      <c r="A2831" s="21"/>
      <c r="B2831" s="21" t="s">
        <v>3687</v>
      </c>
      <c r="D2831" s="25">
        <v>0.0</v>
      </c>
      <c r="E2831" s="27"/>
      <c r="F2831" s="25">
        <v>0.0</v>
      </c>
      <c r="G2831" s="27"/>
    </row>
    <row r="2832" hidden="1">
      <c r="A2832" s="21"/>
      <c r="B2832" s="21" t="s">
        <v>3688</v>
      </c>
      <c r="D2832" s="25">
        <v>0.0</v>
      </c>
      <c r="E2832" s="27"/>
      <c r="F2832" s="25">
        <v>0.0</v>
      </c>
      <c r="G2832" s="27"/>
    </row>
    <row r="2833" hidden="1">
      <c r="A2833" s="21"/>
      <c r="B2833" s="21" t="s">
        <v>3689</v>
      </c>
      <c r="D2833" s="25">
        <v>0.0</v>
      </c>
      <c r="E2833" s="27"/>
      <c r="F2833" s="25">
        <v>0.0</v>
      </c>
      <c r="G2833" s="27"/>
    </row>
    <row r="2834" hidden="1">
      <c r="A2834" s="21"/>
      <c r="B2834" s="21" t="s">
        <v>3690</v>
      </c>
      <c r="D2834" s="25">
        <v>0.0</v>
      </c>
      <c r="E2834" s="27"/>
      <c r="F2834" s="25">
        <v>0.0</v>
      </c>
      <c r="G2834" s="27"/>
    </row>
    <row r="2835" hidden="1">
      <c r="A2835" s="21"/>
      <c r="B2835" s="21" t="s">
        <v>3691</v>
      </c>
      <c r="D2835" s="25">
        <v>0.0</v>
      </c>
      <c r="E2835" s="27"/>
      <c r="F2835" s="25">
        <v>0.0</v>
      </c>
      <c r="G2835" s="27"/>
    </row>
    <row r="2836" hidden="1">
      <c r="A2836" s="21"/>
      <c r="B2836" s="21" t="s">
        <v>3692</v>
      </c>
      <c r="D2836" s="25">
        <v>0.0</v>
      </c>
      <c r="E2836" s="27"/>
      <c r="F2836" s="25">
        <v>0.0</v>
      </c>
      <c r="G2836" s="27"/>
    </row>
    <row r="2837" hidden="1">
      <c r="A2837" s="21"/>
      <c r="B2837" s="21" t="s">
        <v>3693</v>
      </c>
      <c r="D2837" s="25">
        <v>0.0</v>
      </c>
      <c r="E2837" s="27"/>
      <c r="F2837" s="25">
        <v>0.0</v>
      </c>
      <c r="G2837" s="27"/>
    </row>
    <row r="2838" hidden="1">
      <c r="A2838" s="21"/>
      <c r="B2838" s="21" t="s">
        <v>3694</v>
      </c>
      <c r="D2838" s="25">
        <v>0.0</v>
      </c>
      <c r="E2838" s="27"/>
      <c r="F2838" s="25">
        <v>0.0</v>
      </c>
      <c r="G2838" s="27"/>
    </row>
    <row r="2839" hidden="1">
      <c r="A2839" s="21"/>
      <c r="B2839" s="21" t="s">
        <v>3695</v>
      </c>
      <c r="D2839" s="25">
        <v>0.0</v>
      </c>
      <c r="E2839" s="27"/>
      <c r="F2839" s="25">
        <v>0.0</v>
      </c>
      <c r="G2839" s="27"/>
    </row>
    <row r="2840" hidden="1">
      <c r="A2840" s="21"/>
      <c r="B2840" s="21" t="s">
        <v>3696</v>
      </c>
      <c r="D2840" s="25">
        <v>0.0</v>
      </c>
      <c r="E2840" s="27"/>
      <c r="F2840" s="25">
        <v>0.0</v>
      </c>
      <c r="G2840" s="27"/>
    </row>
    <row r="2841" hidden="1">
      <c r="A2841" s="21"/>
      <c r="B2841" s="21" t="s">
        <v>3697</v>
      </c>
      <c r="D2841" s="25">
        <v>0.0</v>
      </c>
      <c r="E2841" s="27"/>
      <c r="F2841" s="25">
        <v>0.0</v>
      </c>
      <c r="G2841" s="27"/>
    </row>
    <row r="2842" hidden="1">
      <c r="A2842" s="21"/>
      <c r="B2842" s="21" t="s">
        <v>3698</v>
      </c>
      <c r="D2842" s="25">
        <v>0.0</v>
      </c>
      <c r="E2842" s="27"/>
      <c r="F2842" s="25">
        <v>0.0</v>
      </c>
      <c r="G2842" s="27"/>
    </row>
    <row r="2843" hidden="1">
      <c r="A2843" s="21"/>
      <c r="B2843" s="21" t="s">
        <v>3699</v>
      </c>
      <c r="D2843" s="25">
        <v>0.0</v>
      </c>
      <c r="E2843" s="27"/>
      <c r="F2843" s="25">
        <v>0.0</v>
      </c>
      <c r="G2843" s="27"/>
    </row>
    <row r="2844" hidden="1">
      <c r="A2844" s="21"/>
      <c r="B2844" s="21" t="s">
        <v>3700</v>
      </c>
      <c r="D2844" s="25">
        <v>0.0</v>
      </c>
      <c r="E2844" s="27"/>
      <c r="F2844" s="25">
        <v>0.0</v>
      </c>
      <c r="G2844" s="27"/>
    </row>
    <row r="2845" hidden="1">
      <c r="A2845" s="21"/>
      <c r="B2845" s="21" t="s">
        <v>3701</v>
      </c>
      <c r="D2845" s="25">
        <v>0.0</v>
      </c>
      <c r="E2845" s="27"/>
      <c r="F2845" s="25">
        <v>0.0</v>
      </c>
      <c r="G2845" s="27"/>
    </row>
    <row r="2846" hidden="1">
      <c r="A2846" s="21"/>
      <c r="B2846" s="21" t="s">
        <v>3702</v>
      </c>
      <c r="D2846" s="25">
        <v>0.0</v>
      </c>
      <c r="E2846" s="27"/>
      <c r="F2846" s="25">
        <v>0.0</v>
      </c>
      <c r="G2846" s="27"/>
    </row>
    <row r="2847" hidden="1">
      <c r="A2847" s="21"/>
      <c r="B2847" s="21" t="s">
        <v>3703</v>
      </c>
      <c r="D2847" s="25">
        <v>0.0</v>
      </c>
      <c r="E2847" s="27"/>
      <c r="F2847" s="25">
        <v>0.0</v>
      </c>
      <c r="G2847" s="27"/>
    </row>
    <row r="2848" hidden="1">
      <c r="A2848" s="21"/>
      <c r="B2848" s="21" t="s">
        <v>3704</v>
      </c>
      <c r="D2848" s="25">
        <v>0.0</v>
      </c>
      <c r="E2848" s="27"/>
      <c r="F2848" s="25">
        <v>0.0</v>
      </c>
      <c r="G2848" s="27"/>
    </row>
    <row r="2849" hidden="1">
      <c r="A2849" s="21"/>
      <c r="B2849" s="21" t="s">
        <v>3705</v>
      </c>
      <c r="D2849" s="25">
        <v>0.0</v>
      </c>
      <c r="E2849" s="27"/>
      <c r="F2849" s="25">
        <v>0.0</v>
      </c>
      <c r="G2849" s="27"/>
    </row>
    <row r="2850" hidden="1">
      <c r="A2850" s="21"/>
      <c r="B2850" s="21" t="s">
        <v>3706</v>
      </c>
      <c r="D2850" s="25">
        <v>0.0</v>
      </c>
      <c r="E2850" s="27"/>
      <c r="F2850" s="25">
        <v>0.0</v>
      </c>
      <c r="G2850" s="27"/>
    </row>
    <row r="2851" hidden="1">
      <c r="A2851" s="21"/>
      <c r="B2851" s="21" t="s">
        <v>3707</v>
      </c>
      <c r="D2851" s="25">
        <v>0.0</v>
      </c>
      <c r="E2851" s="27"/>
      <c r="F2851" s="25">
        <v>0.0</v>
      </c>
      <c r="G2851" s="27"/>
    </row>
    <row r="2852" hidden="1">
      <c r="A2852" s="21"/>
      <c r="B2852" s="21" t="s">
        <v>3708</v>
      </c>
      <c r="D2852" s="25">
        <v>0.0</v>
      </c>
      <c r="E2852" s="27"/>
      <c r="F2852" s="25">
        <v>0.0</v>
      </c>
      <c r="G2852" s="27"/>
    </row>
    <row r="2853" hidden="1">
      <c r="A2853" s="21"/>
      <c r="B2853" s="21" t="s">
        <v>3709</v>
      </c>
      <c r="D2853" s="25">
        <v>0.0</v>
      </c>
      <c r="E2853" s="27"/>
      <c r="F2853" s="25">
        <v>0.0</v>
      </c>
      <c r="G2853" s="27"/>
    </row>
    <row r="2854" hidden="1">
      <c r="A2854" s="21"/>
      <c r="B2854" s="21" t="s">
        <v>3710</v>
      </c>
      <c r="D2854" s="25">
        <v>0.0</v>
      </c>
      <c r="E2854" s="27"/>
      <c r="F2854" s="25">
        <v>0.0</v>
      </c>
      <c r="G2854" s="27"/>
    </row>
    <row r="2855" hidden="1">
      <c r="A2855" s="21"/>
      <c r="B2855" s="21" t="s">
        <v>3711</v>
      </c>
      <c r="D2855" s="25">
        <v>0.0</v>
      </c>
      <c r="E2855" s="27"/>
      <c r="F2855" s="25">
        <v>0.0</v>
      </c>
      <c r="G2855" s="27"/>
    </row>
    <row r="2856" hidden="1">
      <c r="A2856" s="21"/>
      <c r="B2856" s="21" t="s">
        <v>3712</v>
      </c>
      <c r="D2856" s="25">
        <v>0.0</v>
      </c>
      <c r="E2856" s="27"/>
      <c r="F2856" s="25">
        <v>0.0</v>
      </c>
      <c r="G2856" s="27"/>
    </row>
    <row r="2857" hidden="1">
      <c r="A2857" s="21"/>
      <c r="B2857" s="21" t="s">
        <v>3713</v>
      </c>
      <c r="D2857" s="25">
        <v>0.0</v>
      </c>
      <c r="E2857" s="27"/>
      <c r="F2857" s="25">
        <v>0.0</v>
      </c>
      <c r="G2857" s="27"/>
    </row>
    <row r="2858" hidden="1">
      <c r="A2858" s="21"/>
      <c r="B2858" s="21" t="s">
        <v>3714</v>
      </c>
      <c r="D2858" s="25">
        <v>0.0</v>
      </c>
      <c r="E2858" s="27"/>
      <c r="F2858" s="25">
        <v>0.0</v>
      </c>
      <c r="G2858" s="27"/>
    </row>
    <row r="2859" hidden="1">
      <c r="A2859" s="21"/>
      <c r="B2859" s="21" t="s">
        <v>3715</v>
      </c>
      <c r="D2859" s="25">
        <v>0.0</v>
      </c>
      <c r="E2859" s="27"/>
      <c r="F2859" s="25">
        <v>0.0</v>
      </c>
      <c r="G2859" s="27"/>
    </row>
    <row r="2860" hidden="1">
      <c r="A2860" s="21"/>
      <c r="B2860" s="21" t="s">
        <v>3716</v>
      </c>
      <c r="D2860" s="25">
        <v>0.0</v>
      </c>
      <c r="E2860" s="27"/>
      <c r="F2860" s="25">
        <v>0.0</v>
      </c>
      <c r="G2860" s="27"/>
    </row>
    <row r="2861" hidden="1">
      <c r="A2861" s="21"/>
      <c r="B2861" s="21" t="s">
        <v>3717</v>
      </c>
      <c r="D2861" s="25">
        <v>0.0</v>
      </c>
      <c r="E2861" s="27"/>
      <c r="F2861" s="25">
        <v>0.0</v>
      </c>
      <c r="G2861" s="27"/>
    </row>
    <row r="2862" hidden="1">
      <c r="A2862" s="21"/>
      <c r="B2862" s="21" t="s">
        <v>3718</v>
      </c>
      <c r="D2862" s="25">
        <v>0.0</v>
      </c>
      <c r="E2862" s="27"/>
      <c r="F2862" s="25">
        <v>0.0</v>
      </c>
      <c r="G2862" s="27"/>
    </row>
    <row r="2863" hidden="1">
      <c r="A2863" s="21"/>
      <c r="B2863" s="21" t="s">
        <v>3719</v>
      </c>
      <c r="D2863" s="25">
        <v>0.0</v>
      </c>
      <c r="E2863" s="27"/>
      <c r="F2863" s="25">
        <v>0.0</v>
      </c>
      <c r="G2863" s="27"/>
    </row>
    <row r="2864" hidden="1">
      <c r="A2864" s="21"/>
      <c r="B2864" s="21" t="s">
        <v>3720</v>
      </c>
      <c r="D2864" s="25">
        <v>0.0</v>
      </c>
      <c r="E2864" s="27"/>
      <c r="F2864" s="25">
        <v>0.0</v>
      </c>
      <c r="G2864" s="27"/>
    </row>
    <row r="2865" hidden="1">
      <c r="A2865" s="21"/>
      <c r="B2865" s="21" t="s">
        <v>3721</v>
      </c>
      <c r="D2865" s="25">
        <v>0.0</v>
      </c>
      <c r="E2865" s="27"/>
      <c r="F2865" s="25">
        <v>0.0</v>
      </c>
      <c r="G2865" s="27"/>
    </row>
    <row r="2866" hidden="1">
      <c r="A2866" s="21"/>
      <c r="B2866" s="21" t="s">
        <v>3722</v>
      </c>
      <c r="D2866" s="25">
        <v>0.0</v>
      </c>
      <c r="E2866" s="27"/>
      <c r="F2866" s="25">
        <v>0.0</v>
      </c>
      <c r="G2866" s="27"/>
    </row>
    <row r="2867" hidden="1">
      <c r="A2867" s="21"/>
      <c r="B2867" s="21" t="s">
        <v>3723</v>
      </c>
      <c r="D2867" s="25">
        <v>0.0</v>
      </c>
      <c r="E2867" s="27"/>
      <c r="F2867" s="25">
        <v>0.0</v>
      </c>
      <c r="G2867" s="27"/>
    </row>
    <row r="2868" hidden="1">
      <c r="A2868" s="21"/>
      <c r="B2868" s="21" t="s">
        <v>3724</v>
      </c>
      <c r="D2868" s="25">
        <v>0.0</v>
      </c>
      <c r="E2868" s="27"/>
      <c r="F2868" s="25">
        <v>0.0</v>
      </c>
      <c r="G2868" s="27"/>
    </row>
    <row r="2869" hidden="1">
      <c r="A2869" s="21"/>
      <c r="B2869" s="21" t="s">
        <v>3725</v>
      </c>
      <c r="D2869" s="25">
        <v>0.0</v>
      </c>
      <c r="E2869" s="27"/>
      <c r="F2869" s="25">
        <v>0.0</v>
      </c>
      <c r="G2869" s="27"/>
    </row>
    <row r="2870" hidden="1">
      <c r="A2870" s="21"/>
      <c r="B2870" s="21" t="s">
        <v>3726</v>
      </c>
      <c r="D2870" s="25">
        <v>0.0</v>
      </c>
      <c r="E2870" s="27"/>
      <c r="F2870" s="25">
        <v>0.0</v>
      </c>
      <c r="G2870" s="27"/>
    </row>
    <row r="2871" hidden="1">
      <c r="A2871" s="21"/>
      <c r="B2871" s="21" t="s">
        <v>3727</v>
      </c>
      <c r="D2871" s="25">
        <v>0.0</v>
      </c>
      <c r="E2871" s="27"/>
      <c r="F2871" s="25">
        <v>0.0</v>
      </c>
      <c r="G2871" s="27"/>
    </row>
    <row r="2872" hidden="1">
      <c r="A2872" s="21"/>
      <c r="B2872" s="21" t="s">
        <v>3728</v>
      </c>
      <c r="D2872" s="25">
        <v>0.0</v>
      </c>
      <c r="E2872" s="27"/>
      <c r="F2872" s="25">
        <v>0.0</v>
      </c>
      <c r="G2872" s="27"/>
    </row>
    <row r="2873" hidden="1">
      <c r="A2873" s="21"/>
      <c r="B2873" s="21" t="s">
        <v>3729</v>
      </c>
      <c r="D2873" s="25">
        <v>0.0</v>
      </c>
      <c r="E2873" s="27"/>
      <c r="F2873" s="25">
        <v>0.0</v>
      </c>
      <c r="G2873" s="27"/>
    </row>
    <row r="2874" hidden="1">
      <c r="A2874" s="21"/>
      <c r="B2874" s="21" t="s">
        <v>3730</v>
      </c>
      <c r="D2874" s="25">
        <v>0.0</v>
      </c>
      <c r="E2874" s="27"/>
      <c r="F2874" s="25">
        <v>0.0</v>
      </c>
      <c r="G2874" s="27"/>
    </row>
    <row r="2875" hidden="1">
      <c r="A2875" s="21"/>
      <c r="B2875" s="21" t="s">
        <v>3731</v>
      </c>
      <c r="D2875" s="25">
        <v>0.0</v>
      </c>
      <c r="E2875" s="27"/>
      <c r="F2875" s="25">
        <v>0.0</v>
      </c>
      <c r="G2875" s="27"/>
    </row>
    <row r="2876" hidden="1">
      <c r="A2876" s="21"/>
      <c r="B2876" s="21" t="s">
        <v>3732</v>
      </c>
      <c r="D2876" s="25">
        <v>0.0</v>
      </c>
      <c r="E2876" s="27"/>
      <c r="F2876" s="25">
        <v>0.0</v>
      </c>
      <c r="G2876" s="27"/>
    </row>
    <row r="2877" hidden="1">
      <c r="A2877" s="21"/>
      <c r="B2877" s="21" t="s">
        <v>3733</v>
      </c>
      <c r="D2877" s="25">
        <v>0.0</v>
      </c>
      <c r="E2877" s="27"/>
      <c r="F2877" s="25">
        <v>0.0</v>
      </c>
      <c r="G2877" s="27"/>
    </row>
    <row r="2878" hidden="1">
      <c r="A2878" s="21"/>
      <c r="B2878" s="21" t="s">
        <v>3734</v>
      </c>
      <c r="D2878" s="25">
        <v>0.0</v>
      </c>
      <c r="E2878" s="27"/>
      <c r="F2878" s="25">
        <v>0.0</v>
      </c>
      <c r="G2878" s="27"/>
    </row>
    <row r="2879" hidden="1">
      <c r="A2879" s="21"/>
      <c r="B2879" s="21" t="s">
        <v>3735</v>
      </c>
      <c r="D2879" s="25">
        <v>0.0</v>
      </c>
      <c r="E2879" s="27"/>
      <c r="F2879" s="25">
        <v>0.0</v>
      </c>
      <c r="G2879" s="27"/>
    </row>
    <row r="2880" hidden="1">
      <c r="A2880" s="21"/>
      <c r="B2880" s="21" t="s">
        <v>3736</v>
      </c>
      <c r="D2880" s="25">
        <v>0.0</v>
      </c>
      <c r="E2880" s="27"/>
      <c r="F2880" s="25">
        <v>0.0</v>
      </c>
      <c r="G2880" s="27"/>
    </row>
    <row r="2881" hidden="1">
      <c r="A2881" s="21"/>
      <c r="B2881" s="21" t="s">
        <v>3737</v>
      </c>
      <c r="D2881" s="25">
        <v>0.0</v>
      </c>
      <c r="E2881" s="27"/>
      <c r="F2881" s="25">
        <v>0.0</v>
      </c>
      <c r="G2881" s="27"/>
    </row>
    <row r="2882" hidden="1">
      <c r="A2882" s="21"/>
      <c r="B2882" s="21" t="s">
        <v>3738</v>
      </c>
      <c r="D2882" s="25">
        <v>0.0</v>
      </c>
      <c r="E2882" s="27"/>
      <c r="F2882" s="25">
        <v>0.0</v>
      </c>
      <c r="G2882" s="27"/>
    </row>
    <row r="2883" hidden="1">
      <c r="A2883" s="21"/>
      <c r="B2883" s="21" t="s">
        <v>3739</v>
      </c>
      <c r="D2883" s="25">
        <v>0.0</v>
      </c>
      <c r="E2883" s="27"/>
      <c r="F2883" s="25">
        <v>0.0</v>
      </c>
      <c r="G2883" s="27"/>
    </row>
    <row r="2884" hidden="1">
      <c r="A2884" s="21"/>
      <c r="B2884" s="21" t="s">
        <v>3740</v>
      </c>
      <c r="D2884" s="25">
        <v>0.0</v>
      </c>
      <c r="E2884" s="27"/>
      <c r="F2884" s="25">
        <v>0.0</v>
      </c>
      <c r="G2884" s="27"/>
    </row>
    <row r="2885" hidden="1">
      <c r="A2885" s="21"/>
      <c r="B2885" s="21" t="s">
        <v>3741</v>
      </c>
      <c r="D2885" s="25">
        <v>0.0</v>
      </c>
      <c r="E2885" s="27"/>
      <c r="F2885" s="25">
        <v>0.0</v>
      </c>
      <c r="G2885" s="27"/>
    </row>
    <row r="2886" hidden="1">
      <c r="A2886" s="21"/>
      <c r="B2886" s="21" t="s">
        <v>3742</v>
      </c>
      <c r="D2886" s="25">
        <v>0.0</v>
      </c>
      <c r="E2886" s="27"/>
      <c r="F2886" s="25">
        <v>0.0</v>
      </c>
      <c r="G2886" s="27"/>
    </row>
    <row r="2887" hidden="1">
      <c r="A2887" s="21"/>
      <c r="B2887" s="21" t="s">
        <v>3743</v>
      </c>
      <c r="D2887" s="25">
        <v>0.0</v>
      </c>
      <c r="E2887" s="27"/>
      <c r="F2887" s="25">
        <v>0.0</v>
      </c>
      <c r="G2887" s="27"/>
    </row>
    <row r="2888" hidden="1">
      <c r="A2888" s="21"/>
      <c r="B2888" s="21" t="s">
        <v>3744</v>
      </c>
      <c r="D2888" s="25">
        <v>0.0</v>
      </c>
      <c r="E2888" s="27"/>
      <c r="F2888" s="25">
        <v>0.0</v>
      </c>
      <c r="G2888" s="27"/>
    </row>
    <row r="2889" hidden="1">
      <c r="A2889" s="21"/>
      <c r="B2889" s="21" t="s">
        <v>3745</v>
      </c>
      <c r="D2889" s="25">
        <v>0.0</v>
      </c>
      <c r="E2889" s="27"/>
      <c r="F2889" s="25">
        <v>0.0</v>
      </c>
      <c r="G2889" s="27"/>
    </row>
    <row r="2890" hidden="1">
      <c r="A2890" s="21"/>
      <c r="B2890" s="21" t="s">
        <v>3746</v>
      </c>
      <c r="D2890" s="25">
        <v>0.0</v>
      </c>
      <c r="E2890" s="27"/>
      <c r="F2890" s="25">
        <v>0.0</v>
      </c>
      <c r="G2890" s="27"/>
    </row>
    <row r="2891" hidden="1">
      <c r="A2891" s="21"/>
      <c r="B2891" s="21" t="s">
        <v>3747</v>
      </c>
      <c r="D2891" s="25">
        <v>0.0</v>
      </c>
      <c r="E2891" s="27"/>
      <c r="F2891" s="25">
        <v>0.0</v>
      </c>
      <c r="G2891" s="27"/>
    </row>
    <row r="2892" hidden="1">
      <c r="A2892" s="21"/>
      <c r="B2892" s="21" t="s">
        <v>3748</v>
      </c>
      <c r="D2892" s="25">
        <v>0.0</v>
      </c>
      <c r="E2892" s="27"/>
      <c r="F2892" s="25">
        <v>0.0</v>
      </c>
      <c r="G2892" s="27"/>
    </row>
    <row r="2893" hidden="1">
      <c r="A2893" s="21"/>
      <c r="B2893" s="21" t="s">
        <v>3749</v>
      </c>
      <c r="D2893" s="25">
        <v>0.0</v>
      </c>
      <c r="E2893" s="27"/>
      <c r="F2893" s="25">
        <v>0.0</v>
      </c>
      <c r="G2893" s="27"/>
    </row>
    <row r="2894" hidden="1">
      <c r="A2894" s="21"/>
      <c r="B2894" s="21" t="s">
        <v>3750</v>
      </c>
      <c r="D2894" s="25">
        <v>0.0</v>
      </c>
      <c r="E2894" s="27"/>
      <c r="F2894" s="25">
        <v>0.0</v>
      </c>
      <c r="G2894" s="27"/>
    </row>
    <row r="2895" hidden="1">
      <c r="A2895" s="21"/>
      <c r="B2895" s="21" t="s">
        <v>3751</v>
      </c>
      <c r="D2895" s="25">
        <v>0.0</v>
      </c>
      <c r="E2895" s="27"/>
      <c r="F2895" s="25">
        <v>0.0</v>
      </c>
      <c r="G2895" s="27"/>
    </row>
    <row r="2896" hidden="1">
      <c r="A2896" s="21"/>
      <c r="B2896" s="21" t="s">
        <v>3752</v>
      </c>
      <c r="D2896" s="25">
        <v>0.0</v>
      </c>
      <c r="E2896" s="27"/>
      <c r="F2896" s="25">
        <v>0.0</v>
      </c>
      <c r="G2896" s="27"/>
    </row>
    <row r="2897" hidden="1">
      <c r="A2897" s="21"/>
      <c r="B2897" s="21" t="s">
        <v>3753</v>
      </c>
      <c r="D2897" s="25">
        <v>0.0</v>
      </c>
      <c r="E2897" s="27"/>
      <c r="F2897" s="25">
        <v>0.0</v>
      </c>
      <c r="G2897" s="27"/>
    </row>
    <row r="2898" hidden="1">
      <c r="A2898" s="21"/>
      <c r="B2898" s="21" t="s">
        <v>3754</v>
      </c>
      <c r="D2898" s="25">
        <v>0.0</v>
      </c>
      <c r="E2898" s="27"/>
      <c r="F2898" s="25">
        <v>0.0</v>
      </c>
      <c r="G2898" s="27"/>
    </row>
    <row r="2899" hidden="1">
      <c r="A2899" s="21"/>
      <c r="B2899" s="21" t="s">
        <v>3755</v>
      </c>
      <c r="D2899" s="25">
        <v>0.0</v>
      </c>
      <c r="E2899" s="27"/>
      <c r="F2899" s="25">
        <v>0.0</v>
      </c>
      <c r="G2899" s="27"/>
    </row>
    <row r="2900" hidden="1">
      <c r="A2900" s="21"/>
      <c r="B2900" s="21" t="s">
        <v>3756</v>
      </c>
      <c r="D2900" s="25">
        <v>0.0</v>
      </c>
      <c r="E2900" s="27"/>
      <c r="F2900" s="25">
        <v>0.0</v>
      </c>
      <c r="G2900" s="27"/>
    </row>
    <row r="2901" hidden="1">
      <c r="A2901" s="21"/>
      <c r="B2901" s="21" t="s">
        <v>3757</v>
      </c>
      <c r="D2901" s="25">
        <v>0.0</v>
      </c>
      <c r="E2901" s="27"/>
      <c r="F2901" s="25">
        <v>0.0</v>
      </c>
      <c r="G2901" s="27"/>
    </row>
    <row r="2902" hidden="1">
      <c r="A2902" s="21"/>
      <c r="B2902" s="21" t="s">
        <v>3758</v>
      </c>
      <c r="D2902" s="25">
        <v>0.0</v>
      </c>
      <c r="E2902" s="27"/>
      <c r="F2902" s="25">
        <v>0.0</v>
      </c>
      <c r="G2902" s="27"/>
    </row>
    <row r="2903" hidden="1">
      <c r="A2903" s="21"/>
      <c r="B2903" s="21" t="s">
        <v>3759</v>
      </c>
      <c r="D2903" s="25">
        <v>0.0</v>
      </c>
      <c r="E2903" s="27"/>
      <c r="F2903" s="25">
        <v>0.0</v>
      </c>
      <c r="G2903" s="27"/>
    </row>
    <row r="2904" hidden="1">
      <c r="A2904" s="21"/>
      <c r="B2904" s="21" t="s">
        <v>3760</v>
      </c>
      <c r="D2904" s="25">
        <v>0.0</v>
      </c>
      <c r="E2904" s="27"/>
      <c r="F2904" s="25">
        <v>0.0</v>
      </c>
      <c r="G2904" s="27"/>
    </row>
    <row r="2905" hidden="1">
      <c r="A2905" s="21"/>
      <c r="B2905" s="21" t="s">
        <v>3761</v>
      </c>
      <c r="D2905" s="25">
        <v>0.0</v>
      </c>
      <c r="E2905" s="27"/>
      <c r="F2905" s="25">
        <v>0.0</v>
      </c>
      <c r="G2905" s="27"/>
    </row>
    <row r="2906" hidden="1">
      <c r="A2906" s="21"/>
      <c r="B2906" s="21" t="s">
        <v>3762</v>
      </c>
      <c r="D2906" s="25">
        <v>0.0</v>
      </c>
      <c r="E2906" s="27"/>
      <c r="F2906" s="25">
        <v>0.0</v>
      </c>
      <c r="G2906" s="27"/>
    </row>
    <row r="2907" hidden="1">
      <c r="A2907" s="21"/>
      <c r="B2907" s="21" t="s">
        <v>3763</v>
      </c>
      <c r="D2907" s="25">
        <v>0.0</v>
      </c>
      <c r="E2907" s="27"/>
      <c r="F2907" s="25">
        <v>0.0</v>
      </c>
      <c r="G2907" s="27"/>
    </row>
    <row r="2908" hidden="1">
      <c r="A2908" s="21"/>
      <c r="B2908" s="21" t="s">
        <v>3764</v>
      </c>
      <c r="D2908" s="25">
        <v>0.0</v>
      </c>
      <c r="E2908" s="27"/>
      <c r="F2908" s="25">
        <v>0.0</v>
      </c>
      <c r="G2908" s="27"/>
    </row>
    <row r="2909" hidden="1">
      <c r="A2909" s="21"/>
      <c r="B2909" s="21" t="s">
        <v>3765</v>
      </c>
      <c r="D2909" s="25">
        <v>0.0</v>
      </c>
      <c r="E2909" s="27"/>
      <c r="F2909" s="25">
        <v>0.0</v>
      </c>
      <c r="G2909" s="27"/>
    </row>
    <row r="2910" hidden="1">
      <c r="A2910" s="21"/>
      <c r="B2910" s="21" t="s">
        <v>3766</v>
      </c>
      <c r="D2910" s="25">
        <v>0.0</v>
      </c>
      <c r="E2910" s="27"/>
      <c r="F2910" s="25">
        <v>0.0</v>
      </c>
      <c r="G2910" s="27"/>
    </row>
    <row r="2911" hidden="1">
      <c r="A2911" s="21"/>
      <c r="B2911" s="21" t="s">
        <v>3767</v>
      </c>
      <c r="D2911" s="25">
        <v>0.0</v>
      </c>
      <c r="E2911" s="27"/>
      <c r="F2911" s="25">
        <v>0.0</v>
      </c>
      <c r="G2911" s="27"/>
    </row>
    <row r="2912" hidden="1">
      <c r="A2912" s="21"/>
      <c r="B2912" s="21" t="s">
        <v>3768</v>
      </c>
      <c r="D2912" s="25">
        <v>0.0</v>
      </c>
      <c r="E2912" s="27"/>
      <c r="F2912" s="25">
        <v>0.0</v>
      </c>
      <c r="G2912" s="27"/>
    </row>
    <row r="2913" hidden="1">
      <c r="A2913" s="21"/>
      <c r="B2913" s="21" t="s">
        <v>3769</v>
      </c>
      <c r="D2913" s="25">
        <v>0.0</v>
      </c>
      <c r="E2913" s="27"/>
      <c r="F2913" s="25">
        <v>0.0</v>
      </c>
      <c r="G2913" s="27"/>
    </row>
    <row r="2914" hidden="1">
      <c r="A2914" s="21"/>
      <c r="B2914" s="21" t="s">
        <v>3770</v>
      </c>
      <c r="D2914" s="25">
        <v>0.0</v>
      </c>
      <c r="E2914" s="27"/>
      <c r="F2914" s="25">
        <v>0.0</v>
      </c>
      <c r="G2914" s="27"/>
    </row>
    <row r="2915" hidden="1">
      <c r="A2915" s="21"/>
      <c r="B2915" s="21" t="s">
        <v>3771</v>
      </c>
      <c r="D2915" s="25">
        <v>0.0</v>
      </c>
      <c r="E2915" s="27"/>
      <c r="F2915" s="25">
        <v>0.0</v>
      </c>
      <c r="G2915" s="27"/>
    </row>
    <row r="2916" hidden="1">
      <c r="A2916" s="21"/>
      <c r="B2916" s="21" t="s">
        <v>3772</v>
      </c>
      <c r="D2916" s="25">
        <v>0.0</v>
      </c>
      <c r="E2916" s="27"/>
      <c r="F2916" s="25">
        <v>0.0</v>
      </c>
      <c r="G2916" s="27"/>
    </row>
    <row r="2917" hidden="1">
      <c r="A2917" s="21"/>
      <c r="B2917" s="21" t="s">
        <v>3773</v>
      </c>
      <c r="D2917" s="25">
        <v>0.0</v>
      </c>
      <c r="E2917" s="27"/>
      <c r="F2917" s="25">
        <v>0.0</v>
      </c>
      <c r="G2917" s="27"/>
    </row>
    <row r="2918" hidden="1">
      <c r="A2918" s="21"/>
      <c r="B2918" s="21" t="s">
        <v>3774</v>
      </c>
      <c r="D2918" s="25">
        <v>0.0</v>
      </c>
      <c r="E2918" s="27"/>
      <c r="F2918" s="25">
        <v>0.0</v>
      </c>
      <c r="G2918" s="27"/>
    </row>
    <row r="2919" hidden="1">
      <c r="A2919" s="21"/>
      <c r="B2919" s="21" t="s">
        <v>3775</v>
      </c>
      <c r="D2919" s="25">
        <v>0.0</v>
      </c>
      <c r="E2919" s="27"/>
      <c r="F2919" s="25">
        <v>0.0</v>
      </c>
      <c r="G2919" s="27"/>
    </row>
    <row r="2920" hidden="1">
      <c r="A2920" s="21"/>
      <c r="B2920" s="21" t="s">
        <v>3776</v>
      </c>
      <c r="D2920" s="25">
        <v>0.0</v>
      </c>
      <c r="E2920" s="27"/>
      <c r="F2920" s="25">
        <v>0.0</v>
      </c>
      <c r="G2920" s="27"/>
    </row>
    <row r="2921" hidden="1">
      <c r="A2921" s="21"/>
      <c r="B2921" s="21" t="s">
        <v>3777</v>
      </c>
      <c r="D2921" s="25">
        <v>0.0</v>
      </c>
      <c r="E2921" s="27"/>
      <c r="F2921" s="25">
        <v>0.0</v>
      </c>
      <c r="G2921" s="27"/>
    </row>
    <row r="2922" hidden="1">
      <c r="A2922" s="21"/>
      <c r="B2922" s="21" t="s">
        <v>3778</v>
      </c>
      <c r="D2922" s="25">
        <v>0.0</v>
      </c>
      <c r="E2922" s="27"/>
      <c r="F2922" s="25">
        <v>0.0</v>
      </c>
      <c r="G2922" s="27"/>
    </row>
    <row r="2923" hidden="1">
      <c r="A2923" s="21"/>
      <c r="B2923" s="21" t="s">
        <v>3779</v>
      </c>
      <c r="D2923" s="25">
        <v>0.0</v>
      </c>
      <c r="E2923" s="27"/>
      <c r="F2923" s="25">
        <v>0.0</v>
      </c>
      <c r="G2923" s="27"/>
    </row>
    <row r="2924" hidden="1">
      <c r="A2924" s="21"/>
      <c r="B2924" s="21" t="s">
        <v>3780</v>
      </c>
      <c r="D2924" s="25">
        <v>0.0</v>
      </c>
      <c r="E2924" s="27"/>
      <c r="F2924" s="25">
        <v>0.0</v>
      </c>
      <c r="G2924" s="27"/>
    </row>
    <row r="2925" hidden="1">
      <c r="A2925" s="21"/>
      <c r="B2925" s="21" t="s">
        <v>3781</v>
      </c>
      <c r="D2925" s="25">
        <v>0.0</v>
      </c>
      <c r="E2925" s="27"/>
      <c r="F2925" s="25">
        <v>0.0</v>
      </c>
      <c r="G2925" s="27"/>
    </row>
    <row r="2926" hidden="1">
      <c r="A2926" s="21"/>
      <c r="B2926" s="21" t="s">
        <v>3782</v>
      </c>
      <c r="D2926" s="25">
        <v>0.0</v>
      </c>
      <c r="E2926" s="27"/>
      <c r="F2926" s="25">
        <v>0.0</v>
      </c>
      <c r="G2926" s="27"/>
    </row>
    <row r="2927" hidden="1">
      <c r="A2927" s="21"/>
      <c r="B2927" s="21" t="s">
        <v>3783</v>
      </c>
      <c r="D2927" s="25">
        <v>0.0</v>
      </c>
      <c r="E2927" s="27"/>
      <c r="F2927" s="25">
        <v>0.0</v>
      </c>
      <c r="G2927" s="27"/>
    </row>
    <row r="2928" hidden="1">
      <c r="A2928" s="21"/>
      <c r="B2928" s="21" t="s">
        <v>3784</v>
      </c>
      <c r="D2928" s="25">
        <v>0.0</v>
      </c>
      <c r="E2928" s="27"/>
      <c r="F2928" s="25">
        <v>0.0</v>
      </c>
      <c r="G2928" s="27"/>
    </row>
    <row r="2929" hidden="1">
      <c r="A2929" s="21"/>
      <c r="B2929" s="21" t="s">
        <v>3785</v>
      </c>
      <c r="D2929" s="25">
        <v>0.0</v>
      </c>
      <c r="E2929" s="27"/>
      <c r="F2929" s="25">
        <v>0.0</v>
      </c>
      <c r="G2929" s="27"/>
    </row>
    <row r="2930" hidden="1">
      <c r="A2930" s="21"/>
      <c r="B2930" s="21" t="s">
        <v>3786</v>
      </c>
      <c r="D2930" s="25">
        <v>0.0</v>
      </c>
      <c r="E2930" s="27"/>
      <c r="F2930" s="25">
        <v>0.0</v>
      </c>
      <c r="G2930" s="27"/>
    </row>
    <row r="2931" hidden="1">
      <c r="A2931" s="21"/>
      <c r="B2931" s="21" t="s">
        <v>3787</v>
      </c>
      <c r="D2931" s="25">
        <v>0.0</v>
      </c>
      <c r="E2931" s="27"/>
      <c r="F2931" s="25">
        <v>0.0</v>
      </c>
      <c r="G2931" s="27"/>
    </row>
    <row r="2932" hidden="1">
      <c r="A2932" s="21"/>
      <c r="B2932" s="21" t="s">
        <v>3788</v>
      </c>
      <c r="D2932" s="25">
        <v>0.0</v>
      </c>
      <c r="E2932" s="27"/>
      <c r="F2932" s="25">
        <v>0.0</v>
      </c>
      <c r="G2932" s="27"/>
    </row>
    <row r="2933" hidden="1">
      <c r="A2933" s="21"/>
      <c r="B2933" s="21" t="s">
        <v>3789</v>
      </c>
      <c r="D2933" s="25">
        <v>0.0</v>
      </c>
      <c r="E2933" s="27"/>
      <c r="F2933" s="25">
        <v>0.0</v>
      </c>
      <c r="G2933" s="27"/>
    </row>
    <row r="2934" hidden="1">
      <c r="A2934" s="21"/>
      <c r="B2934" s="21" t="s">
        <v>3790</v>
      </c>
      <c r="D2934" s="25">
        <v>0.0</v>
      </c>
      <c r="E2934" s="27"/>
      <c r="F2934" s="25">
        <v>0.0</v>
      </c>
      <c r="G2934" s="27"/>
    </row>
    <row r="2935" hidden="1">
      <c r="A2935" s="21"/>
      <c r="B2935" s="21" t="s">
        <v>3791</v>
      </c>
      <c r="D2935" s="25">
        <v>0.0</v>
      </c>
      <c r="E2935" s="27"/>
      <c r="F2935" s="25">
        <v>0.0</v>
      </c>
      <c r="G2935" s="27"/>
    </row>
    <row r="2936" hidden="1">
      <c r="A2936" s="21"/>
      <c r="B2936" s="21" t="s">
        <v>3792</v>
      </c>
      <c r="D2936" s="25">
        <v>0.0</v>
      </c>
      <c r="E2936" s="27"/>
      <c r="F2936" s="25">
        <v>0.0</v>
      </c>
      <c r="G2936" s="27"/>
    </row>
    <row r="2937" hidden="1">
      <c r="A2937" s="21"/>
      <c r="B2937" s="21" t="s">
        <v>3793</v>
      </c>
      <c r="D2937" s="25">
        <v>0.0</v>
      </c>
      <c r="E2937" s="27"/>
      <c r="F2937" s="25">
        <v>0.0</v>
      </c>
      <c r="G2937" s="27"/>
    </row>
    <row r="2938" hidden="1">
      <c r="A2938" s="21"/>
      <c r="B2938" s="21" t="s">
        <v>3794</v>
      </c>
      <c r="D2938" s="25">
        <v>0.0</v>
      </c>
      <c r="E2938" s="27"/>
      <c r="F2938" s="25">
        <v>0.0</v>
      </c>
      <c r="G2938" s="27"/>
    </row>
    <row r="2939" hidden="1">
      <c r="A2939" s="21"/>
      <c r="B2939" s="21" t="s">
        <v>3795</v>
      </c>
      <c r="D2939" s="25">
        <v>0.0</v>
      </c>
      <c r="E2939" s="27"/>
      <c r="F2939" s="25">
        <v>0.0</v>
      </c>
      <c r="G2939" s="27"/>
    </row>
    <row r="2940" hidden="1">
      <c r="A2940" s="21"/>
      <c r="B2940" s="21" t="s">
        <v>3796</v>
      </c>
      <c r="D2940" s="25">
        <v>0.0</v>
      </c>
      <c r="E2940" s="27"/>
      <c r="F2940" s="25">
        <v>10.91</v>
      </c>
      <c r="G2940" s="27"/>
    </row>
    <row r="2941" hidden="1">
      <c r="A2941" s="21"/>
      <c r="B2941" s="21" t="s">
        <v>3797</v>
      </c>
      <c r="D2941" s="25">
        <v>0.0</v>
      </c>
      <c r="E2941" s="27"/>
      <c r="F2941" s="25">
        <v>10.4</v>
      </c>
      <c r="G2941" s="27"/>
    </row>
    <row r="2942" hidden="1">
      <c r="A2942" s="21"/>
      <c r="B2942" s="21" t="s">
        <v>3798</v>
      </c>
      <c r="D2942" s="25">
        <v>0.0</v>
      </c>
      <c r="E2942" s="27"/>
      <c r="F2942" s="25">
        <v>0.0</v>
      </c>
      <c r="G2942" s="27"/>
    </row>
    <row r="2943" hidden="1">
      <c r="A2943" s="21"/>
      <c r="B2943" s="21" t="s">
        <v>3799</v>
      </c>
      <c r="D2943" s="25">
        <v>0.0</v>
      </c>
      <c r="E2943" s="27"/>
      <c r="F2943" s="25">
        <v>0.0</v>
      </c>
      <c r="G2943" s="27"/>
    </row>
    <row r="2944" hidden="1">
      <c r="A2944" s="21"/>
      <c r="B2944" s="21" t="s">
        <v>3800</v>
      </c>
      <c r="D2944" s="25">
        <v>0.0</v>
      </c>
      <c r="E2944" s="27"/>
      <c r="F2944" s="25">
        <v>0.0</v>
      </c>
      <c r="G2944" s="27"/>
    </row>
    <row r="2945" hidden="1">
      <c r="A2945" s="21"/>
      <c r="B2945" s="21" t="s">
        <v>3801</v>
      </c>
      <c r="D2945" s="25">
        <v>0.0</v>
      </c>
      <c r="E2945" s="27"/>
      <c r="F2945" s="25">
        <v>0.0</v>
      </c>
      <c r="G2945" s="27"/>
    </row>
    <row r="2946" hidden="1">
      <c r="A2946" s="21"/>
      <c r="B2946" s="21" t="s">
        <v>3802</v>
      </c>
      <c r="D2946" s="25">
        <v>0.0</v>
      </c>
      <c r="E2946" s="27"/>
      <c r="F2946" s="25">
        <v>0.0</v>
      </c>
      <c r="G2946" s="27"/>
    </row>
    <row r="2947" hidden="1">
      <c r="A2947" s="21"/>
      <c r="B2947" s="21" t="s">
        <v>3803</v>
      </c>
      <c r="D2947" s="25">
        <v>0.0</v>
      </c>
      <c r="E2947" s="27"/>
      <c r="F2947" s="25">
        <v>0.0</v>
      </c>
      <c r="G2947" s="27"/>
    </row>
    <row r="2948" hidden="1">
      <c r="A2948" s="21"/>
      <c r="B2948" s="21" t="s">
        <v>3804</v>
      </c>
      <c r="D2948" s="25">
        <v>0.0</v>
      </c>
      <c r="E2948" s="27"/>
      <c r="F2948" s="25">
        <v>6.98</v>
      </c>
      <c r="G2948" s="27"/>
    </row>
    <row r="2949" hidden="1">
      <c r="A2949" s="21"/>
      <c r="B2949" s="21" t="s">
        <v>3805</v>
      </c>
      <c r="D2949" s="25">
        <v>0.0</v>
      </c>
      <c r="E2949" s="27"/>
      <c r="F2949" s="25">
        <v>0.0</v>
      </c>
      <c r="G2949" s="27"/>
    </row>
    <row r="2950" hidden="1">
      <c r="A2950" s="21"/>
      <c r="B2950" s="21" t="s">
        <v>3806</v>
      </c>
      <c r="D2950" s="25">
        <v>0.0</v>
      </c>
      <c r="E2950" s="27"/>
      <c r="F2950" s="25">
        <v>0.0</v>
      </c>
      <c r="G2950" s="27"/>
    </row>
    <row r="2951" hidden="1">
      <c r="A2951" s="21"/>
      <c r="B2951" s="21" t="s">
        <v>3807</v>
      </c>
      <c r="D2951" s="25">
        <v>0.0</v>
      </c>
      <c r="E2951" s="27"/>
      <c r="F2951" s="25">
        <v>0.0</v>
      </c>
      <c r="G2951" s="27"/>
    </row>
    <row r="2952" hidden="1">
      <c r="A2952" s="21"/>
      <c r="B2952" s="21" t="s">
        <v>3808</v>
      </c>
      <c r="D2952" s="25">
        <v>0.0</v>
      </c>
      <c r="E2952" s="27"/>
      <c r="F2952" s="25">
        <v>6.28</v>
      </c>
      <c r="G2952" s="27"/>
    </row>
    <row r="2953" hidden="1">
      <c r="A2953" s="21"/>
      <c r="B2953" s="21" t="s">
        <v>3809</v>
      </c>
      <c r="D2953" s="25">
        <v>0.0</v>
      </c>
      <c r="E2953" s="27"/>
      <c r="F2953" s="25">
        <v>0.0</v>
      </c>
      <c r="G2953" s="27"/>
    </row>
    <row r="2954" hidden="1">
      <c r="A2954" s="21"/>
      <c r="B2954" s="21" t="s">
        <v>3810</v>
      </c>
      <c r="D2954" s="25">
        <v>0.0</v>
      </c>
      <c r="E2954" s="27"/>
      <c r="F2954" s="25">
        <v>0.0</v>
      </c>
      <c r="G2954" s="27"/>
    </row>
    <row r="2955" hidden="1">
      <c r="A2955" s="21"/>
      <c r="B2955" s="21" t="s">
        <v>3811</v>
      </c>
      <c r="D2955" s="25">
        <v>0.0</v>
      </c>
      <c r="E2955" s="27"/>
      <c r="F2955" s="25">
        <v>0.0</v>
      </c>
      <c r="G2955" s="27"/>
    </row>
    <row r="2956" hidden="1">
      <c r="A2956" s="21"/>
      <c r="B2956" s="21" t="s">
        <v>3812</v>
      </c>
      <c r="D2956" s="25">
        <v>0.0</v>
      </c>
      <c r="E2956" s="27"/>
      <c r="F2956" s="25">
        <v>0.0</v>
      </c>
      <c r="G2956" s="27"/>
    </row>
    <row r="2957" hidden="1">
      <c r="A2957" s="21"/>
      <c r="B2957" s="21" t="s">
        <v>3813</v>
      </c>
      <c r="D2957" s="25">
        <v>0.0</v>
      </c>
      <c r="E2957" s="27"/>
      <c r="F2957" s="25">
        <v>0.0</v>
      </c>
      <c r="G2957" s="27"/>
    </row>
    <row r="2958" hidden="1">
      <c r="A2958" s="21"/>
      <c r="B2958" s="21" t="s">
        <v>3814</v>
      </c>
      <c r="D2958" s="25">
        <v>0.0</v>
      </c>
      <c r="E2958" s="27"/>
      <c r="F2958" s="25">
        <v>0.0</v>
      </c>
      <c r="G2958" s="27"/>
    </row>
    <row r="2959" hidden="1">
      <c r="A2959" s="21"/>
      <c r="B2959" s="21" t="s">
        <v>3815</v>
      </c>
      <c r="D2959" s="25">
        <v>0.0</v>
      </c>
      <c r="E2959" s="27"/>
      <c r="F2959" s="25">
        <v>0.0</v>
      </c>
      <c r="G2959" s="27"/>
    </row>
    <row r="2960" hidden="1">
      <c r="A2960" s="21"/>
      <c r="B2960" s="21" t="s">
        <v>3816</v>
      </c>
      <c r="D2960" s="25">
        <v>0.0</v>
      </c>
      <c r="E2960" s="27"/>
      <c r="F2960" s="25">
        <v>0.0</v>
      </c>
      <c r="G2960" s="27"/>
    </row>
    <row r="2961" hidden="1">
      <c r="A2961" s="21"/>
      <c r="B2961" s="21" t="s">
        <v>3817</v>
      </c>
      <c r="D2961" s="25">
        <v>0.0</v>
      </c>
      <c r="E2961" s="27"/>
      <c r="F2961" s="25">
        <v>0.0</v>
      </c>
      <c r="G2961" s="27"/>
    </row>
    <row r="2962" hidden="1">
      <c r="A2962" s="21"/>
      <c r="B2962" s="21" t="s">
        <v>3818</v>
      </c>
      <c r="D2962" s="25">
        <v>0.0</v>
      </c>
      <c r="E2962" s="27"/>
      <c r="F2962" s="25">
        <v>0.0</v>
      </c>
      <c r="G2962" s="27"/>
    </row>
    <row r="2963" hidden="1">
      <c r="A2963" s="21"/>
      <c r="B2963" s="21" t="s">
        <v>3819</v>
      </c>
      <c r="D2963" s="25">
        <v>0.0</v>
      </c>
      <c r="E2963" s="27"/>
      <c r="F2963" s="25">
        <v>0.0</v>
      </c>
      <c r="G2963" s="27"/>
    </row>
    <row r="2964" hidden="1">
      <c r="A2964" s="21"/>
      <c r="B2964" s="21" t="s">
        <v>3820</v>
      </c>
      <c r="D2964" s="25">
        <v>0.0</v>
      </c>
      <c r="E2964" s="27"/>
      <c r="F2964" s="25">
        <v>0.0</v>
      </c>
      <c r="G2964" s="27"/>
    </row>
    <row r="2965" hidden="1">
      <c r="A2965" s="21"/>
      <c r="B2965" s="21" t="s">
        <v>3821</v>
      </c>
      <c r="D2965" s="25">
        <v>0.0</v>
      </c>
      <c r="E2965" s="27"/>
      <c r="F2965" s="25">
        <v>0.0</v>
      </c>
      <c r="G2965" s="27"/>
    </row>
    <row r="2966" hidden="1">
      <c r="A2966" s="21"/>
      <c r="B2966" s="21" t="s">
        <v>3822</v>
      </c>
      <c r="D2966" s="25">
        <v>0.0</v>
      </c>
      <c r="E2966" s="27"/>
      <c r="F2966" s="25">
        <v>0.0</v>
      </c>
      <c r="G2966" s="27"/>
    </row>
    <row r="2967" hidden="1">
      <c r="A2967" s="21"/>
      <c r="B2967" s="21" t="s">
        <v>3823</v>
      </c>
      <c r="D2967" s="25">
        <v>0.0</v>
      </c>
      <c r="E2967" s="27"/>
      <c r="F2967" s="25">
        <v>0.0</v>
      </c>
      <c r="G2967" s="27"/>
    </row>
    <row r="2968" hidden="1">
      <c r="A2968" s="21"/>
      <c r="B2968" s="21" t="s">
        <v>3824</v>
      </c>
      <c r="D2968" s="25">
        <v>0.0</v>
      </c>
      <c r="E2968" s="27"/>
      <c r="F2968" s="25">
        <v>0.0</v>
      </c>
      <c r="G2968" s="27"/>
    </row>
    <row r="2969" hidden="1">
      <c r="A2969" s="21"/>
      <c r="B2969" s="21" t="s">
        <v>3825</v>
      </c>
      <c r="D2969" s="25">
        <v>0.0</v>
      </c>
      <c r="E2969" s="27"/>
      <c r="F2969" s="25">
        <v>0.0</v>
      </c>
      <c r="G2969" s="27"/>
    </row>
    <row r="2970" hidden="1">
      <c r="A2970" s="21"/>
      <c r="B2970" s="21" t="s">
        <v>3826</v>
      </c>
      <c r="D2970" s="25">
        <v>0.0</v>
      </c>
      <c r="E2970" s="27"/>
      <c r="F2970" s="25">
        <v>0.0</v>
      </c>
      <c r="G2970" s="27"/>
    </row>
    <row r="2971" hidden="1">
      <c r="A2971" s="21"/>
      <c r="B2971" s="21" t="s">
        <v>3827</v>
      </c>
      <c r="D2971" s="25">
        <v>0.0</v>
      </c>
      <c r="E2971" s="27"/>
      <c r="F2971" s="25">
        <v>0.0</v>
      </c>
      <c r="G2971" s="27"/>
    </row>
    <row r="2972" hidden="1">
      <c r="A2972" s="21"/>
      <c r="B2972" s="21" t="s">
        <v>3828</v>
      </c>
      <c r="D2972" s="25">
        <v>0.0</v>
      </c>
      <c r="E2972" s="27"/>
      <c r="F2972" s="25">
        <v>0.0</v>
      </c>
      <c r="G2972" s="27"/>
    </row>
    <row r="2973" hidden="1">
      <c r="A2973" s="21"/>
      <c r="B2973" s="21" t="s">
        <v>3829</v>
      </c>
      <c r="D2973" s="25">
        <v>0.0</v>
      </c>
      <c r="E2973" s="27"/>
      <c r="F2973" s="25">
        <v>0.0</v>
      </c>
      <c r="G2973" s="27"/>
    </row>
    <row r="2974" hidden="1">
      <c r="A2974" s="21"/>
      <c r="B2974" s="21" t="s">
        <v>3830</v>
      </c>
      <c r="D2974" s="25">
        <v>0.0</v>
      </c>
      <c r="E2974" s="27"/>
      <c r="F2974" s="25">
        <v>0.0</v>
      </c>
      <c r="G2974" s="27"/>
    </row>
    <row r="2975" hidden="1">
      <c r="A2975" s="21"/>
      <c r="B2975" s="21" t="s">
        <v>3831</v>
      </c>
      <c r="D2975" s="25">
        <v>0.0</v>
      </c>
      <c r="E2975" s="27"/>
      <c r="F2975" s="25">
        <v>0.0</v>
      </c>
      <c r="G2975" s="27"/>
    </row>
    <row r="2976" hidden="1">
      <c r="A2976" s="21"/>
      <c r="B2976" s="21" t="s">
        <v>3832</v>
      </c>
      <c r="D2976" s="25">
        <v>0.0</v>
      </c>
      <c r="E2976" s="27"/>
      <c r="F2976" s="25">
        <v>0.0</v>
      </c>
      <c r="G2976" s="27"/>
    </row>
    <row r="2977" hidden="1">
      <c r="A2977" s="21"/>
      <c r="B2977" s="21" t="s">
        <v>3833</v>
      </c>
      <c r="D2977" s="25">
        <v>0.0</v>
      </c>
      <c r="E2977" s="27"/>
      <c r="F2977" s="25">
        <v>0.0</v>
      </c>
      <c r="G2977" s="27"/>
    </row>
    <row r="2978" hidden="1">
      <c r="A2978" s="21"/>
      <c r="B2978" s="21" t="s">
        <v>3834</v>
      </c>
      <c r="D2978" s="25">
        <v>0.0</v>
      </c>
      <c r="E2978" s="27"/>
      <c r="F2978" s="25">
        <v>0.0</v>
      </c>
      <c r="G2978" s="27"/>
    </row>
    <row r="2979" hidden="1">
      <c r="A2979" s="21"/>
      <c r="B2979" s="21" t="s">
        <v>3835</v>
      </c>
      <c r="D2979" s="25">
        <v>0.0</v>
      </c>
      <c r="E2979" s="27"/>
      <c r="F2979" s="25">
        <v>0.0</v>
      </c>
      <c r="G2979" s="27"/>
    </row>
    <row r="2980" hidden="1">
      <c r="A2980" s="21"/>
      <c r="B2980" s="21" t="s">
        <v>3836</v>
      </c>
      <c r="D2980" s="25">
        <v>0.0</v>
      </c>
      <c r="E2980" s="27"/>
      <c r="F2980" s="25">
        <v>0.0</v>
      </c>
      <c r="G2980" s="27"/>
    </row>
    <row r="2981" hidden="1">
      <c r="A2981" s="21"/>
      <c r="B2981" s="21" t="s">
        <v>3837</v>
      </c>
      <c r="D2981" s="25">
        <v>0.0</v>
      </c>
      <c r="E2981" s="27"/>
      <c r="F2981" s="25">
        <v>0.0</v>
      </c>
      <c r="G2981" s="27"/>
    </row>
    <row r="2982" hidden="1">
      <c r="A2982" s="21"/>
      <c r="B2982" s="21" t="s">
        <v>3838</v>
      </c>
      <c r="D2982" s="25">
        <v>0.0</v>
      </c>
      <c r="E2982" s="27"/>
      <c r="F2982" s="25">
        <v>0.0</v>
      </c>
      <c r="G2982" s="27"/>
    </row>
    <row r="2983" hidden="1">
      <c r="A2983" s="21"/>
      <c r="B2983" s="21" t="s">
        <v>3839</v>
      </c>
      <c r="D2983" s="25">
        <v>0.0</v>
      </c>
      <c r="E2983" s="27"/>
      <c r="F2983" s="25">
        <v>0.0</v>
      </c>
      <c r="G2983" s="27"/>
    </row>
    <row r="2984" hidden="1">
      <c r="A2984" s="21"/>
      <c r="B2984" s="21" t="s">
        <v>3840</v>
      </c>
      <c r="D2984" s="25">
        <v>0.0</v>
      </c>
      <c r="E2984" s="27"/>
      <c r="F2984" s="25">
        <v>7.31</v>
      </c>
      <c r="G2984" s="27"/>
    </row>
    <row r="2985" hidden="1">
      <c r="A2985" s="21"/>
      <c r="B2985" s="21" t="s">
        <v>3841</v>
      </c>
      <c r="D2985" s="25">
        <v>0.0</v>
      </c>
      <c r="E2985" s="27"/>
      <c r="F2985" s="25">
        <v>0.0</v>
      </c>
      <c r="G2985" s="27"/>
    </row>
    <row r="2986" hidden="1">
      <c r="A2986" s="21"/>
      <c r="B2986" s="21" t="s">
        <v>3842</v>
      </c>
      <c r="D2986" s="25">
        <v>0.0</v>
      </c>
      <c r="E2986" s="27"/>
      <c r="F2986" s="25">
        <v>8.92</v>
      </c>
      <c r="G2986" s="27"/>
    </row>
    <row r="2987" hidden="1">
      <c r="A2987" s="21"/>
      <c r="B2987" s="21" t="s">
        <v>3843</v>
      </c>
      <c r="D2987" s="25">
        <v>0.0</v>
      </c>
      <c r="E2987" s="27"/>
      <c r="F2987" s="25">
        <v>0.0</v>
      </c>
      <c r="G2987" s="27"/>
    </row>
    <row r="2988" hidden="1">
      <c r="A2988" s="21"/>
      <c r="B2988" s="21" t="s">
        <v>3844</v>
      </c>
      <c r="D2988" s="25">
        <v>0.0</v>
      </c>
      <c r="E2988" s="27"/>
      <c r="F2988" s="25">
        <v>0.0</v>
      </c>
      <c r="G2988" s="27"/>
    </row>
    <row r="2989" hidden="1">
      <c r="A2989" s="21"/>
      <c r="B2989" s="21" t="s">
        <v>3845</v>
      </c>
      <c r="D2989" s="25">
        <v>0.0</v>
      </c>
      <c r="E2989" s="27"/>
      <c r="F2989" s="25">
        <v>0.0</v>
      </c>
      <c r="G2989" s="27"/>
    </row>
    <row r="2990" hidden="1">
      <c r="A2990" s="21"/>
      <c r="B2990" s="21" t="s">
        <v>3846</v>
      </c>
      <c r="D2990" s="25">
        <v>0.0</v>
      </c>
      <c r="E2990" s="27"/>
      <c r="F2990" s="25">
        <v>0.0</v>
      </c>
      <c r="G2990" s="27"/>
    </row>
    <row r="2991" hidden="1">
      <c r="A2991" s="21"/>
      <c r="B2991" s="21" t="s">
        <v>3847</v>
      </c>
      <c r="D2991" s="25">
        <v>0.0</v>
      </c>
      <c r="E2991" s="27"/>
      <c r="F2991" s="25">
        <v>0.0</v>
      </c>
      <c r="G2991" s="27"/>
    </row>
    <row r="2992" hidden="1">
      <c r="A2992" s="21"/>
      <c r="B2992" s="21" t="s">
        <v>3848</v>
      </c>
      <c r="D2992" s="25">
        <v>0.0</v>
      </c>
      <c r="E2992" s="27"/>
      <c r="F2992" s="25">
        <v>0.0</v>
      </c>
      <c r="G2992" s="27"/>
    </row>
    <row r="2993" hidden="1">
      <c r="A2993" s="21"/>
      <c r="B2993" s="21" t="s">
        <v>3849</v>
      </c>
      <c r="D2993" s="25">
        <v>0.0</v>
      </c>
      <c r="E2993" s="27"/>
      <c r="F2993" s="25">
        <v>0.0</v>
      </c>
      <c r="G2993" s="27"/>
    </row>
    <row r="2994" hidden="1">
      <c r="A2994" s="21"/>
      <c r="B2994" s="21" t="s">
        <v>3850</v>
      </c>
      <c r="D2994" s="25">
        <v>0.0</v>
      </c>
      <c r="E2994" s="27"/>
      <c r="F2994" s="25">
        <v>0.0</v>
      </c>
      <c r="G2994" s="27"/>
    </row>
    <row r="2995" hidden="1">
      <c r="A2995" s="21"/>
      <c r="B2995" s="21" t="s">
        <v>3851</v>
      </c>
      <c r="D2995" s="25">
        <v>0.0</v>
      </c>
      <c r="E2995" s="27"/>
      <c r="F2995" s="25">
        <v>0.0</v>
      </c>
      <c r="G2995" s="27"/>
    </row>
    <row r="2996" hidden="1">
      <c r="A2996" s="21"/>
      <c r="B2996" s="21" t="s">
        <v>3852</v>
      </c>
      <c r="D2996" s="25">
        <v>0.0</v>
      </c>
      <c r="E2996" s="27"/>
      <c r="F2996" s="25">
        <v>3.87</v>
      </c>
      <c r="G2996" s="27"/>
    </row>
    <row r="2997" hidden="1">
      <c r="A2997" s="21"/>
      <c r="B2997" s="21" t="s">
        <v>3853</v>
      </c>
      <c r="D2997" s="25">
        <v>0.0</v>
      </c>
      <c r="E2997" s="27"/>
      <c r="F2997" s="25">
        <v>0.0</v>
      </c>
      <c r="G2997" s="27"/>
    </row>
    <row r="2998" hidden="1">
      <c r="A2998" s="21"/>
      <c r="B2998" s="21" t="s">
        <v>3854</v>
      </c>
      <c r="D2998" s="25">
        <v>0.0</v>
      </c>
      <c r="E2998" s="27"/>
      <c r="F2998" s="25">
        <v>0.0</v>
      </c>
      <c r="G2998" s="27"/>
    </row>
    <row r="2999" hidden="1">
      <c r="A2999" s="21"/>
      <c r="B2999" s="21" t="s">
        <v>3855</v>
      </c>
      <c r="D2999" s="25">
        <v>0.0</v>
      </c>
      <c r="E2999" s="27"/>
      <c r="F2999" s="25">
        <v>0.0</v>
      </c>
      <c r="G2999" s="27"/>
    </row>
    <row r="3000" hidden="1">
      <c r="A3000" s="21"/>
      <c r="B3000" s="21" t="s">
        <v>3856</v>
      </c>
      <c r="D3000" s="25">
        <v>0.0</v>
      </c>
      <c r="E3000" s="27"/>
      <c r="F3000" s="25">
        <v>0.0</v>
      </c>
      <c r="G3000" s="27"/>
    </row>
    <row r="3001" hidden="1">
      <c r="A3001" s="21"/>
      <c r="B3001" s="21" t="s">
        <v>3857</v>
      </c>
      <c r="D3001" s="25">
        <v>0.0</v>
      </c>
      <c r="E3001" s="27"/>
      <c r="F3001" s="25">
        <v>0.0</v>
      </c>
      <c r="G3001" s="27"/>
    </row>
    <row r="3002" hidden="1">
      <c r="A3002" s="21"/>
      <c r="B3002" s="21" t="s">
        <v>3858</v>
      </c>
      <c r="D3002" s="25">
        <v>0.0</v>
      </c>
      <c r="E3002" s="27"/>
      <c r="F3002" s="25">
        <v>0.0</v>
      </c>
      <c r="G3002" s="27"/>
    </row>
    <row r="3003" hidden="1">
      <c r="A3003" s="21"/>
      <c r="B3003" s="21" t="s">
        <v>3859</v>
      </c>
      <c r="D3003" s="25">
        <v>0.0</v>
      </c>
      <c r="E3003" s="27"/>
      <c r="F3003" s="25">
        <v>0.0</v>
      </c>
      <c r="G3003" s="27"/>
    </row>
    <row r="3004" hidden="1">
      <c r="A3004" s="21"/>
      <c r="B3004" s="21" t="s">
        <v>3860</v>
      </c>
      <c r="D3004" s="25">
        <v>0.0</v>
      </c>
      <c r="E3004" s="27"/>
      <c r="F3004" s="25">
        <v>0.0</v>
      </c>
      <c r="G3004" s="27"/>
    </row>
    <row r="3005" hidden="1">
      <c r="A3005" s="21"/>
      <c r="B3005" s="21" t="s">
        <v>3861</v>
      </c>
      <c r="D3005" s="25">
        <v>0.0</v>
      </c>
      <c r="E3005" s="27"/>
      <c r="F3005" s="25">
        <v>0.0</v>
      </c>
      <c r="G3005" s="27"/>
    </row>
    <row r="3006" hidden="1">
      <c r="A3006" s="21"/>
      <c r="B3006" s="21" t="s">
        <v>3862</v>
      </c>
      <c r="D3006" s="25">
        <v>0.0</v>
      </c>
      <c r="E3006" s="27"/>
      <c r="F3006" s="25">
        <v>0.0</v>
      </c>
      <c r="G3006" s="27"/>
    </row>
    <row r="3007" hidden="1">
      <c r="A3007" s="21"/>
      <c r="B3007" s="21" t="s">
        <v>3863</v>
      </c>
      <c r="D3007" s="25">
        <v>0.0</v>
      </c>
      <c r="E3007" s="27"/>
      <c r="F3007" s="25">
        <v>0.0</v>
      </c>
      <c r="G3007" s="27"/>
    </row>
    <row r="3008" hidden="1">
      <c r="A3008" s="21"/>
      <c r="B3008" s="21" t="s">
        <v>3864</v>
      </c>
      <c r="D3008" s="25">
        <v>0.0</v>
      </c>
      <c r="E3008" s="27"/>
      <c r="F3008" s="25">
        <v>0.0</v>
      </c>
      <c r="G3008" s="27"/>
    </row>
    <row r="3009" hidden="1">
      <c r="A3009" s="21"/>
      <c r="B3009" s="21" t="s">
        <v>3865</v>
      </c>
      <c r="D3009" s="25">
        <v>0.0</v>
      </c>
      <c r="E3009" s="27"/>
      <c r="F3009" s="25">
        <v>0.0</v>
      </c>
      <c r="G3009" s="27"/>
    </row>
    <row r="3010" hidden="1">
      <c r="A3010" s="21"/>
      <c r="B3010" s="21" t="s">
        <v>3866</v>
      </c>
      <c r="D3010" s="25">
        <v>0.0</v>
      </c>
      <c r="E3010" s="27"/>
      <c r="F3010" s="25">
        <v>0.0</v>
      </c>
      <c r="G3010" s="27"/>
    </row>
    <row r="3011" hidden="1">
      <c r="A3011" s="21"/>
      <c r="B3011" s="21" t="s">
        <v>3867</v>
      </c>
      <c r="D3011" s="25">
        <v>0.0</v>
      </c>
      <c r="E3011" s="27"/>
      <c r="F3011" s="25">
        <v>0.0</v>
      </c>
      <c r="G3011" s="27"/>
    </row>
    <row r="3012" hidden="1">
      <c r="A3012" s="21"/>
      <c r="B3012" s="21" t="s">
        <v>3868</v>
      </c>
      <c r="D3012" s="25">
        <v>0.0</v>
      </c>
      <c r="E3012" s="27"/>
      <c r="F3012" s="25">
        <v>0.0</v>
      </c>
      <c r="G3012" s="27"/>
    </row>
    <row r="3013" hidden="1">
      <c r="A3013" s="21"/>
      <c r="B3013" s="21" t="s">
        <v>3869</v>
      </c>
      <c r="D3013" s="25">
        <v>0.0</v>
      </c>
      <c r="E3013" s="27"/>
      <c r="F3013" s="25">
        <v>0.0</v>
      </c>
      <c r="G3013" s="27"/>
    </row>
    <row r="3014" hidden="1">
      <c r="A3014" s="21"/>
      <c r="B3014" s="21" t="s">
        <v>3870</v>
      </c>
      <c r="D3014" s="25">
        <v>0.0</v>
      </c>
      <c r="E3014" s="27"/>
      <c r="F3014" s="25">
        <v>0.0</v>
      </c>
      <c r="G3014" s="27"/>
    </row>
    <row r="3015" hidden="1">
      <c r="A3015" s="21"/>
      <c r="B3015" s="21" t="s">
        <v>3871</v>
      </c>
      <c r="D3015" s="25">
        <v>0.0</v>
      </c>
      <c r="E3015" s="27"/>
      <c r="F3015" s="25">
        <v>0.0</v>
      </c>
      <c r="G3015" s="27"/>
    </row>
    <row r="3016" hidden="1">
      <c r="A3016" s="21"/>
      <c r="B3016" s="21" t="s">
        <v>3872</v>
      </c>
      <c r="D3016" s="25">
        <v>0.0</v>
      </c>
      <c r="E3016" s="27"/>
      <c r="F3016" s="25">
        <v>0.0</v>
      </c>
      <c r="G3016" s="27"/>
    </row>
    <row r="3017" hidden="1">
      <c r="A3017" s="21"/>
      <c r="B3017" s="21" t="s">
        <v>3873</v>
      </c>
      <c r="D3017" s="25">
        <v>0.0</v>
      </c>
      <c r="E3017" s="27"/>
      <c r="F3017" s="25">
        <v>0.0</v>
      </c>
      <c r="G3017" s="27"/>
    </row>
    <row r="3018" hidden="1">
      <c r="A3018" s="21"/>
      <c r="B3018" s="21" t="s">
        <v>3874</v>
      </c>
      <c r="D3018" s="25">
        <v>0.0</v>
      </c>
      <c r="E3018" s="27"/>
      <c r="F3018" s="25">
        <v>0.0</v>
      </c>
      <c r="G3018" s="27"/>
    </row>
    <row r="3019" hidden="1">
      <c r="A3019" s="21"/>
      <c r="B3019" s="21" t="s">
        <v>3875</v>
      </c>
      <c r="D3019" s="25">
        <v>0.0</v>
      </c>
      <c r="E3019" s="27"/>
      <c r="F3019" s="25">
        <v>0.0</v>
      </c>
      <c r="G3019" s="27"/>
    </row>
    <row r="3020" hidden="1">
      <c r="A3020" s="21"/>
      <c r="B3020" s="21" t="s">
        <v>3876</v>
      </c>
      <c r="D3020" s="25">
        <v>0.0</v>
      </c>
      <c r="E3020" s="27"/>
      <c r="F3020" s="25">
        <v>0.0</v>
      </c>
      <c r="G3020" s="27"/>
    </row>
    <row r="3021" hidden="1">
      <c r="A3021" s="21"/>
      <c r="B3021" s="21" t="s">
        <v>3877</v>
      </c>
      <c r="D3021" s="25">
        <v>0.0</v>
      </c>
      <c r="E3021" s="27"/>
      <c r="F3021" s="25">
        <v>0.0</v>
      </c>
      <c r="G3021" s="27"/>
    </row>
    <row r="3022" hidden="1">
      <c r="A3022" s="21"/>
      <c r="B3022" s="21" t="s">
        <v>3878</v>
      </c>
      <c r="D3022" s="25">
        <v>0.0</v>
      </c>
      <c r="E3022" s="27"/>
      <c r="F3022" s="25">
        <v>0.0</v>
      </c>
      <c r="G3022" s="27"/>
    </row>
    <row r="3023" hidden="1">
      <c r="A3023" s="21"/>
      <c r="B3023" s="21" t="s">
        <v>3879</v>
      </c>
      <c r="D3023" s="25">
        <v>0.0</v>
      </c>
      <c r="E3023" s="27"/>
      <c r="F3023" s="25">
        <v>0.0</v>
      </c>
      <c r="G3023" s="27"/>
    </row>
    <row r="3024" hidden="1">
      <c r="A3024" s="21"/>
      <c r="B3024" s="21" t="s">
        <v>3880</v>
      </c>
      <c r="D3024" s="25">
        <v>0.0</v>
      </c>
      <c r="E3024" s="27"/>
      <c r="F3024" s="25">
        <v>0.0</v>
      </c>
      <c r="G3024" s="27"/>
    </row>
    <row r="3025" hidden="1">
      <c r="A3025" s="21"/>
      <c r="B3025" s="21" t="s">
        <v>3881</v>
      </c>
      <c r="D3025" s="25">
        <v>0.0</v>
      </c>
      <c r="E3025" s="27"/>
      <c r="F3025" s="25">
        <v>0.0</v>
      </c>
      <c r="G3025" s="27"/>
    </row>
    <row r="3026" hidden="1">
      <c r="A3026" s="21"/>
      <c r="B3026" s="21" t="s">
        <v>3882</v>
      </c>
      <c r="D3026" s="25">
        <v>0.0</v>
      </c>
      <c r="E3026" s="27"/>
      <c r="F3026" s="25">
        <v>0.0</v>
      </c>
      <c r="G3026" s="27"/>
    </row>
    <row r="3027" hidden="1">
      <c r="A3027" s="21"/>
      <c r="B3027" s="21" t="s">
        <v>3883</v>
      </c>
      <c r="D3027" s="25">
        <v>0.0</v>
      </c>
      <c r="E3027" s="27"/>
      <c r="F3027" s="25">
        <v>0.0</v>
      </c>
      <c r="G3027" s="27"/>
    </row>
    <row r="3028" hidden="1">
      <c r="A3028" s="21"/>
      <c r="B3028" s="21" t="s">
        <v>3884</v>
      </c>
      <c r="D3028" s="25">
        <v>0.0</v>
      </c>
      <c r="E3028" s="27"/>
      <c r="F3028" s="25">
        <v>0.0</v>
      </c>
      <c r="G3028" s="27"/>
    </row>
    <row r="3029" hidden="1">
      <c r="A3029" s="21"/>
      <c r="B3029" s="21" t="s">
        <v>3885</v>
      </c>
      <c r="D3029" s="25">
        <v>0.0</v>
      </c>
      <c r="E3029" s="27"/>
      <c r="F3029" s="25">
        <v>0.0</v>
      </c>
      <c r="G3029" s="27"/>
    </row>
    <row r="3030" hidden="1">
      <c r="A3030" s="21"/>
      <c r="B3030" s="21" t="s">
        <v>3886</v>
      </c>
      <c r="D3030" s="25">
        <v>0.0</v>
      </c>
      <c r="E3030" s="27"/>
      <c r="F3030" s="25">
        <v>0.0</v>
      </c>
      <c r="G3030" s="27"/>
    </row>
    <row r="3031" hidden="1">
      <c r="A3031" s="21"/>
      <c r="B3031" s="21" t="s">
        <v>3887</v>
      </c>
      <c r="D3031" s="25">
        <v>0.0</v>
      </c>
      <c r="E3031" s="27"/>
      <c r="F3031" s="25">
        <v>0.0</v>
      </c>
      <c r="G3031" s="27"/>
    </row>
    <row r="3032" hidden="1">
      <c r="A3032" s="21"/>
      <c r="B3032" s="21" t="s">
        <v>3888</v>
      </c>
      <c r="D3032" s="25">
        <v>0.0</v>
      </c>
      <c r="E3032" s="27"/>
      <c r="F3032" s="25">
        <v>0.0</v>
      </c>
      <c r="G3032" s="27"/>
    </row>
    <row r="3033" hidden="1">
      <c r="A3033" s="21"/>
      <c r="B3033" s="21" t="s">
        <v>3889</v>
      </c>
      <c r="D3033" s="25">
        <v>0.0</v>
      </c>
      <c r="E3033" s="27"/>
      <c r="F3033" s="25">
        <v>0.0</v>
      </c>
      <c r="G3033" s="27"/>
    </row>
    <row r="3034" hidden="1">
      <c r="A3034" s="21"/>
      <c r="B3034" s="21" t="s">
        <v>3890</v>
      </c>
      <c r="D3034" s="25">
        <v>0.0</v>
      </c>
      <c r="E3034" s="27"/>
      <c r="F3034" s="25">
        <v>0.0</v>
      </c>
      <c r="G3034" s="27"/>
    </row>
    <row r="3035" hidden="1">
      <c r="A3035" s="21"/>
      <c r="B3035" s="21" t="s">
        <v>3891</v>
      </c>
      <c r="D3035" s="25">
        <v>0.0</v>
      </c>
      <c r="E3035" s="27"/>
      <c r="F3035" s="25">
        <v>0.0</v>
      </c>
      <c r="G3035" s="27"/>
    </row>
    <row r="3036" hidden="1">
      <c r="A3036" s="21"/>
      <c r="B3036" s="21" t="s">
        <v>3892</v>
      </c>
      <c r="D3036" s="25">
        <v>0.0</v>
      </c>
      <c r="E3036" s="27"/>
      <c r="F3036" s="25">
        <v>0.0</v>
      </c>
      <c r="G3036" s="27"/>
    </row>
    <row r="3037" hidden="1">
      <c r="A3037" s="21"/>
      <c r="B3037" s="21" t="s">
        <v>3893</v>
      </c>
      <c r="D3037" s="25">
        <v>0.0</v>
      </c>
      <c r="E3037" s="27"/>
      <c r="F3037" s="25">
        <v>0.0</v>
      </c>
      <c r="G3037" s="27"/>
    </row>
    <row r="3038" hidden="1">
      <c r="A3038" s="21"/>
      <c r="B3038" s="21" t="s">
        <v>3894</v>
      </c>
      <c r="D3038" s="25">
        <v>0.0</v>
      </c>
      <c r="E3038" s="27"/>
      <c r="F3038" s="25">
        <v>0.0</v>
      </c>
      <c r="G3038" s="27"/>
    </row>
    <row r="3039" hidden="1">
      <c r="A3039" s="21"/>
      <c r="B3039" s="21" t="s">
        <v>3895</v>
      </c>
      <c r="D3039" s="25">
        <v>0.0</v>
      </c>
      <c r="E3039" s="27"/>
      <c r="F3039" s="25">
        <v>0.0</v>
      </c>
      <c r="G3039" s="27"/>
    </row>
    <row r="3040" hidden="1">
      <c r="A3040" s="21"/>
      <c r="B3040" s="21" t="s">
        <v>3896</v>
      </c>
      <c r="D3040" s="25">
        <v>0.0</v>
      </c>
      <c r="E3040" s="27"/>
      <c r="F3040" s="25">
        <v>0.0</v>
      </c>
      <c r="G3040" s="27"/>
    </row>
    <row r="3041" hidden="1">
      <c r="A3041" s="21"/>
      <c r="B3041" s="21" t="s">
        <v>3897</v>
      </c>
      <c r="D3041" s="25">
        <v>0.0</v>
      </c>
      <c r="E3041" s="27"/>
      <c r="F3041" s="25">
        <v>0.0</v>
      </c>
      <c r="G3041" s="27"/>
    </row>
    <row r="3042" hidden="1">
      <c r="A3042" s="21"/>
      <c r="B3042" s="21" t="s">
        <v>3898</v>
      </c>
      <c r="D3042" s="25">
        <v>0.0</v>
      </c>
      <c r="E3042" s="27"/>
      <c r="F3042" s="25">
        <v>0.0</v>
      </c>
      <c r="G3042" s="27"/>
    </row>
    <row r="3043" hidden="1">
      <c r="A3043" s="21"/>
      <c r="B3043" s="21" t="s">
        <v>3899</v>
      </c>
      <c r="D3043" s="25">
        <v>0.0</v>
      </c>
      <c r="E3043" s="27"/>
      <c r="F3043" s="25">
        <v>0.0</v>
      </c>
      <c r="G3043" s="27"/>
    </row>
    <row r="3044" hidden="1">
      <c r="A3044" s="21"/>
      <c r="B3044" s="21" t="s">
        <v>3900</v>
      </c>
      <c r="D3044" s="25">
        <v>0.0</v>
      </c>
      <c r="E3044" s="27"/>
      <c r="F3044" s="25">
        <v>0.0</v>
      </c>
      <c r="G3044" s="27"/>
    </row>
    <row r="3045" hidden="1">
      <c r="A3045" s="21"/>
      <c r="B3045" s="21" t="s">
        <v>3901</v>
      </c>
      <c r="D3045" s="25">
        <v>0.0</v>
      </c>
      <c r="E3045" s="27"/>
      <c r="F3045" s="25">
        <v>0.0</v>
      </c>
      <c r="G3045" s="27"/>
    </row>
    <row r="3046" hidden="1">
      <c r="A3046" s="21"/>
      <c r="B3046" s="21" t="s">
        <v>3902</v>
      </c>
      <c r="D3046" s="25">
        <v>0.0</v>
      </c>
      <c r="E3046" s="27"/>
      <c r="F3046" s="25">
        <v>0.0</v>
      </c>
      <c r="G3046" s="27"/>
    </row>
    <row r="3047" hidden="1">
      <c r="A3047" s="21"/>
      <c r="B3047" s="21" t="s">
        <v>3903</v>
      </c>
      <c r="D3047" s="25">
        <v>0.0</v>
      </c>
      <c r="E3047" s="27"/>
      <c r="F3047" s="25">
        <v>0.0</v>
      </c>
      <c r="G3047" s="27"/>
    </row>
    <row r="3048" hidden="1">
      <c r="A3048" s="21"/>
      <c r="B3048" s="21" t="s">
        <v>3904</v>
      </c>
      <c r="D3048" s="25">
        <v>0.0</v>
      </c>
      <c r="E3048" s="27"/>
      <c r="F3048" s="25">
        <v>0.0</v>
      </c>
      <c r="G3048" s="27"/>
    </row>
    <row r="3049" hidden="1">
      <c r="A3049" s="21"/>
      <c r="B3049" s="21" t="s">
        <v>3905</v>
      </c>
      <c r="D3049" s="25">
        <v>0.0</v>
      </c>
      <c r="E3049" s="27"/>
      <c r="F3049" s="25">
        <v>0.0</v>
      </c>
      <c r="G3049" s="27"/>
    </row>
    <row r="3050" hidden="1">
      <c r="A3050" s="21"/>
      <c r="B3050" s="21" t="s">
        <v>3906</v>
      </c>
      <c r="D3050" s="25">
        <v>0.0</v>
      </c>
      <c r="E3050" s="27"/>
      <c r="F3050" s="25">
        <v>0.0</v>
      </c>
      <c r="G3050" s="27"/>
    </row>
    <row r="3051" hidden="1">
      <c r="A3051" s="21"/>
      <c r="B3051" s="21" t="s">
        <v>3907</v>
      </c>
      <c r="D3051" s="25">
        <v>0.0</v>
      </c>
      <c r="E3051" s="27"/>
      <c r="F3051" s="25">
        <v>0.0</v>
      </c>
      <c r="G3051" s="27"/>
    </row>
    <row r="3052" hidden="1">
      <c r="A3052" s="21"/>
      <c r="B3052" s="21" t="s">
        <v>3908</v>
      </c>
      <c r="D3052" s="25">
        <v>0.0</v>
      </c>
      <c r="E3052" s="27"/>
      <c r="F3052" s="25">
        <v>0.0</v>
      </c>
      <c r="G3052" s="27"/>
    </row>
    <row r="3053" hidden="1">
      <c r="A3053" s="21"/>
      <c r="B3053" s="21" t="s">
        <v>3909</v>
      </c>
      <c r="D3053" s="25">
        <v>0.0</v>
      </c>
      <c r="E3053" s="27"/>
      <c r="F3053" s="25">
        <v>0.0</v>
      </c>
      <c r="G3053" s="27"/>
    </row>
    <row r="3054" hidden="1">
      <c r="A3054" s="21"/>
      <c r="B3054" s="21" t="s">
        <v>3910</v>
      </c>
      <c r="D3054" s="25">
        <v>0.0</v>
      </c>
      <c r="E3054" s="27"/>
      <c r="F3054" s="25">
        <v>0.0</v>
      </c>
      <c r="G3054" s="27"/>
    </row>
    <row r="3055" hidden="1">
      <c r="A3055" s="21"/>
      <c r="B3055" s="21" t="s">
        <v>3911</v>
      </c>
      <c r="D3055" s="25">
        <v>0.0</v>
      </c>
      <c r="E3055" s="27"/>
      <c r="F3055" s="25">
        <v>0.0</v>
      </c>
      <c r="G3055" s="27"/>
    </row>
    <row r="3056" hidden="1">
      <c r="A3056" s="21"/>
      <c r="B3056" s="21" t="s">
        <v>3912</v>
      </c>
      <c r="D3056" s="25">
        <v>0.0</v>
      </c>
      <c r="E3056" s="27"/>
      <c r="F3056" s="25">
        <v>0.0</v>
      </c>
      <c r="G3056" s="27"/>
    </row>
    <row r="3057" hidden="1">
      <c r="A3057" s="21"/>
      <c r="B3057" s="21" t="s">
        <v>3913</v>
      </c>
      <c r="D3057" s="25">
        <v>0.0</v>
      </c>
      <c r="E3057" s="27"/>
      <c r="F3057" s="25">
        <v>0.0</v>
      </c>
      <c r="G3057" s="27"/>
    </row>
    <row r="3058" hidden="1">
      <c r="A3058" s="21"/>
      <c r="B3058" s="21" t="s">
        <v>3914</v>
      </c>
      <c r="D3058" s="25">
        <v>0.0</v>
      </c>
      <c r="E3058" s="27"/>
      <c r="F3058" s="25">
        <v>8.2</v>
      </c>
      <c r="G3058" s="27"/>
    </row>
    <row r="3059" hidden="1">
      <c r="A3059" s="21"/>
      <c r="B3059" s="21" t="s">
        <v>3915</v>
      </c>
      <c r="D3059" s="25">
        <v>0.0</v>
      </c>
      <c r="E3059" s="27"/>
      <c r="F3059" s="25">
        <v>0.0</v>
      </c>
      <c r="G3059" s="27"/>
    </row>
    <row r="3060" hidden="1">
      <c r="A3060" s="21"/>
      <c r="B3060" s="21" t="s">
        <v>3916</v>
      </c>
      <c r="D3060" s="25">
        <v>0.0</v>
      </c>
      <c r="E3060" s="27"/>
      <c r="F3060" s="25">
        <v>0.0</v>
      </c>
      <c r="G3060" s="27"/>
    </row>
    <row r="3061" hidden="1">
      <c r="A3061" s="21"/>
      <c r="B3061" s="21" t="s">
        <v>3917</v>
      </c>
      <c r="D3061" s="25">
        <v>0.0</v>
      </c>
      <c r="E3061" s="27"/>
      <c r="F3061" s="25">
        <v>0.0</v>
      </c>
      <c r="G3061" s="27"/>
    </row>
    <row r="3062" hidden="1">
      <c r="A3062" s="21"/>
      <c r="B3062" s="21" t="s">
        <v>3918</v>
      </c>
      <c r="D3062" s="25">
        <v>0.0</v>
      </c>
      <c r="E3062" s="27"/>
      <c r="F3062" s="25">
        <v>0.0</v>
      </c>
      <c r="G3062" s="27"/>
    </row>
    <row r="3063" hidden="1">
      <c r="A3063" s="21"/>
      <c r="B3063" s="21" t="s">
        <v>3919</v>
      </c>
      <c r="D3063" s="25">
        <v>0.0</v>
      </c>
      <c r="E3063" s="27"/>
      <c r="F3063" s="25">
        <v>0.0</v>
      </c>
      <c r="G3063" s="27"/>
    </row>
    <row r="3064" hidden="1">
      <c r="A3064" s="21"/>
      <c r="B3064" s="21" t="s">
        <v>3920</v>
      </c>
      <c r="D3064" s="25">
        <v>0.0</v>
      </c>
      <c r="E3064" s="27"/>
      <c r="F3064" s="25">
        <v>0.0</v>
      </c>
      <c r="G3064" s="27"/>
    </row>
    <row r="3065" hidden="1">
      <c r="A3065" s="21"/>
      <c r="B3065" s="21" t="s">
        <v>3921</v>
      </c>
      <c r="D3065" s="25">
        <v>0.0</v>
      </c>
      <c r="E3065" s="27"/>
      <c r="F3065" s="25">
        <v>0.0</v>
      </c>
      <c r="G3065" s="27"/>
    </row>
    <row r="3066" hidden="1">
      <c r="A3066" s="21"/>
      <c r="B3066" s="21" t="s">
        <v>3922</v>
      </c>
      <c r="D3066" s="25">
        <v>0.0</v>
      </c>
      <c r="E3066" s="27"/>
      <c r="F3066" s="25">
        <v>0.0</v>
      </c>
      <c r="G3066" s="27"/>
    </row>
    <row r="3067" hidden="1">
      <c r="A3067" s="21"/>
      <c r="B3067" s="21" t="s">
        <v>3923</v>
      </c>
      <c r="D3067" s="25">
        <v>0.0</v>
      </c>
      <c r="E3067" s="27"/>
      <c r="F3067" s="25">
        <v>0.0</v>
      </c>
      <c r="G3067" s="27"/>
    </row>
    <row r="3068" hidden="1">
      <c r="A3068" s="21"/>
      <c r="B3068" s="21" t="s">
        <v>3924</v>
      </c>
      <c r="D3068" s="25">
        <v>0.0</v>
      </c>
      <c r="E3068" s="27"/>
      <c r="F3068" s="25">
        <v>0.0</v>
      </c>
      <c r="G3068" s="27"/>
    </row>
    <row r="3069" hidden="1">
      <c r="A3069" s="21"/>
      <c r="B3069" s="21" t="s">
        <v>3925</v>
      </c>
      <c r="D3069" s="25">
        <v>0.0</v>
      </c>
      <c r="E3069" s="27"/>
      <c r="F3069" s="25">
        <v>0.0</v>
      </c>
      <c r="G3069" s="27"/>
    </row>
    <row r="3070" hidden="1">
      <c r="A3070" s="21"/>
      <c r="B3070" s="21" t="s">
        <v>3926</v>
      </c>
      <c r="D3070" s="25">
        <v>0.0</v>
      </c>
      <c r="E3070" s="27"/>
      <c r="F3070" s="25">
        <v>0.0</v>
      </c>
      <c r="G3070" s="27"/>
    </row>
    <row r="3071" hidden="1">
      <c r="A3071" s="21"/>
      <c r="B3071" s="21" t="s">
        <v>3927</v>
      </c>
      <c r="D3071" s="25">
        <v>0.0</v>
      </c>
      <c r="E3071" s="27"/>
      <c r="F3071" s="25">
        <v>0.0</v>
      </c>
      <c r="G3071" s="27"/>
    </row>
    <row r="3072" hidden="1">
      <c r="A3072" s="21"/>
      <c r="B3072" s="21" t="s">
        <v>3928</v>
      </c>
      <c r="D3072" s="25">
        <v>0.0</v>
      </c>
      <c r="E3072" s="27"/>
      <c r="F3072" s="25">
        <v>0.0</v>
      </c>
      <c r="G3072" s="27"/>
    </row>
    <row r="3073" hidden="1">
      <c r="A3073" s="21"/>
      <c r="B3073" s="21" t="s">
        <v>3929</v>
      </c>
      <c r="D3073" s="25">
        <v>0.0</v>
      </c>
      <c r="E3073" s="27"/>
      <c r="F3073" s="25">
        <v>0.0</v>
      </c>
      <c r="G3073" s="27"/>
    </row>
    <row r="3074" hidden="1">
      <c r="A3074" s="21"/>
      <c r="B3074" s="21" t="s">
        <v>3930</v>
      </c>
      <c r="D3074" s="25">
        <v>0.0</v>
      </c>
      <c r="E3074" s="27"/>
      <c r="F3074" s="25">
        <v>4.31</v>
      </c>
      <c r="G3074" s="27"/>
    </row>
    <row r="3075" hidden="1">
      <c r="A3075" s="21"/>
      <c r="B3075" s="21" t="s">
        <v>3931</v>
      </c>
      <c r="D3075" s="25">
        <v>0.0</v>
      </c>
      <c r="E3075" s="27"/>
      <c r="F3075" s="25">
        <v>0.0</v>
      </c>
      <c r="G3075" s="27"/>
    </row>
    <row r="3076" hidden="1">
      <c r="A3076" s="21"/>
      <c r="B3076" s="21" t="s">
        <v>3932</v>
      </c>
      <c r="D3076" s="25">
        <v>0.0</v>
      </c>
      <c r="E3076" s="27"/>
      <c r="F3076" s="25">
        <v>0.0</v>
      </c>
      <c r="G3076" s="27"/>
    </row>
    <row r="3077" hidden="1">
      <c r="A3077" s="21"/>
      <c r="B3077" s="21" t="s">
        <v>3933</v>
      </c>
      <c r="D3077" s="25">
        <v>0.0</v>
      </c>
      <c r="E3077" s="27"/>
      <c r="F3077" s="25">
        <v>0.0</v>
      </c>
      <c r="G3077" s="27"/>
    </row>
    <row r="3078" hidden="1">
      <c r="A3078" s="21"/>
      <c r="B3078" s="21" t="s">
        <v>3934</v>
      </c>
      <c r="D3078" s="25">
        <v>0.0</v>
      </c>
      <c r="E3078" s="27"/>
      <c r="F3078" s="25">
        <v>0.0</v>
      </c>
      <c r="G3078" s="27"/>
    </row>
    <row r="3079" hidden="1">
      <c r="A3079" s="21"/>
      <c r="B3079" s="21" t="s">
        <v>3935</v>
      </c>
      <c r="D3079" s="25">
        <v>0.0</v>
      </c>
      <c r="E3079" s="27"/>
      <c r="F3079" s="25">
        <v>0.0</v>
      </c>
      <c r="G3079" s="27"/>
    </row>
    <row r="3080" hidden="1">
      <c r="A3080" s="21"/>
      <c r="B3080" s="21" t="s">
        <v>3936</v>
      </c>
      <c r="D3080" s="25">
        <v>0.0</v>
      </c>
      <c r="E3080" s="27"/>
      <c r="F3080" s="25">
        <v>0.0</v>
      </c>
      <c r="G3080" s="27"/>
    </row>
    <row r="3081" hidden="1">
      <c r="A3081" s="21"/>
      <c r="B3081" s="21" t="s">
        <v>3937</v>
      </c>
      <c r="D3081" s="25">
        <v>0.0</v>
      </c>
      <c r="E3081" s="27"/>
      <c r="F3081" s="25">
        <v>0.0</v>
      </c>
      <c r="G3081" s="27"/>
    </row>
    <row r="3082" hidden="1">
      <c r="A3082" s="21"/>
      <c r="B3082" s="21" t="s">
        <v>3938</v>
      </c>
      <c r="D3082" s="25">
        <v>0.0</v>
      </c>
      <c r="E3082" s="27"/>
      <c r="F3082" s="25">
        <v>0.0</v>
      </c>
      <c r="G3082" s="27"/>
    </row>
    <row r="3083" hidden="1">
      <c r="A3083" s="21"/>
      <c r="B3083" s="21" t="s">
        <v>3939</v>
      </c>
      <c r="D3083" s="25">
        <v>0.0</v>
      </c>
      <c r="E3083" s="27"/>
      <c r="F3083" s="25">
        <v>0.0</v>
      </c>
      <c r="G3083" s="27"/>
    </row>
    <row r="3084" hidden="1">
      <c r="A3084" s="21"/>
      <c r="B3084" s="21" t="s">
        <v>3940</v>
      </c>
      <c r="D3084" s="25">
        <v>0.0</v>
      </c>
      <c r="E3084" s="27"/>
      <c r="F3084" s="25">
        <v>0.0</v>
      </c>
      <c r="G3084" s="27"/>
    </row>
    <row r="3085" hidden="1">
      <c r="A3085" s="21"/>
      <c r="B3085" s="21" t="s">
        <v>3941</v>
      </c>
      <c r="D3085" s="25">
        <v>0.0</v>
      </c>
      <c r="E3085" s="27"/>
      <c r="F3085" s="25">
        <v>0.0</v>
      </c>
      <c r="G3085" s="27"/>
    </row>
    <row r="3086" hidden="1">
      <c r="A3086" s="21"/>
      <c r="B3086" s="21" t="s">
        <v>3942</v>
      </c>
      <c r="D3086" s="25">
        <v>0.0</v>
      </c>
      <c r="E3086" s="27"/>
      <c r="F3086" s="25">
        <v>0.0</v>
      </c>
      <c r="G3086" s="27"/>
    </row>
    <row r="3087" hidden="1">
      <c r="A3087" s="21"/>
      <c r="B3087" s="21" t="s">
        <v>3943</v>
      </c>
      <c r="D3087" s="25">
        <v>0.0</v>
      </c>
      <c r="E3087" s="27"/>
      <c r="F3087" s="25">
        <v>0.0</v>
      </c>
      <c r="G3087" s="27"/>
    </row>
    <row r="3088" hidden="1">
      <c r="A3088" s="21"/>
      <c r="B3088" s="21" t="s">
        <v>3944</v>
      </c>
      <c r="D3088" s="25">
        <v>0.0</v>
      </c>
      <c r="E3088" s="27"/>
      <c r="F3088" s="25">
        <v>0.0</v>
      </c>
      <c r="G3088" s="27"/>
    </row>
    <row r="3089" hidden="1">
      <c r="A3089" s="21"/>
      <c r="B3089" s="21" t="s">
        <v>3945</v>
      </c>
      <c r="D3089" s="25">
        <v>0.0</v>
      </c>
      <c r="E3089" s="27"/>
      <c r="F3089" s="25">
        <v>0.0</v>
      </c>
      <c r="G3089" s="27"/>
    </row>
    <row r="3090" hidden="1">
      <c r="A3090" s="21"/>
      <c r="B3090" s="21" t="s">
        <v>3946</v>
      </c>
      <c r="D3090" s="25">
        <v>0.0</v>
      </c>
      <c r="E3090" s="27"/>
      <c r="F3090" s="25">
        <v>0.0</v>
      </c>
      <c r="G3090" s="27"/>
    </row>
    <row r="3091" hidden="1">
      <c r="A3091" s="21"/>
      <c r="B3091" s="21" t="s">
        <v>3947</v>
      </c>
      <c r="D3091" s="25">
        <v>0.0</v>
      </c>
      <c r="E3091" s="27"/>
      <c r="F3091" s="25">
        <v>0.0</v>
      </c>
      <c r="G3091" s="27"/>
    </row>
    <row r="3092" hidden="1">
      <c r="A3092" s="21"/>
      <c r="B3092" s="21" t="s">
        <v>3948</v>
      </c>
      <c r="D3092" s="25">
        <v>0.0</v>
      </c>
      <c r="E3092" s="27"/>
      <c r="F3092" s="25">
        <v>0.0</v>
      </c>
      <c r="G3092" s="27"/>
    </row>
    <row r="3093" hidden="1">
      <c r="A3093" s="21"/>
      <c r="B3093" s="21" t="s">
        <v>3949</v>
      </c>
      <c r="D3093" s="25">
        <v>0.0</v>
      </c>
      <c r="E3093" s="27"/>
      <c r="F3093" s="25">
        <v>0.0</v>
      </c>
      <c r="G3093" s="27"/>
    </row>
    <row r="3094" hidden="1">
      <c r="A3094" s="21"/>
      <c r="B3094" s="21" t="s">
        <v>3950</v>
      </c>
      <c r="D3094" s="25">
        <v>0.0</v>
      </c>
      <c r="E3094" s="27"/>
      <c r="F3094" s="25">
        <v>0.0</v>
      </c>
      <c r="G3094" s="27"/>
    </row>
    <row r="3095" hidden="1">
      <c r="A3095" s="21"/>
      <c r="B3095" s="21" t="s">
        <v>3951</v>
      </c>
      <c r="D3095" s="25">
        <v>0.0</v>
      </c>
      <c r="E3095" s="27"/>
      <c r="F3095" s="25">
        <v>0.0</v>
      </c>
      <c r="G3095" s="27"/>
    </row>
    <row r="3096" hidden="1">
      <c r="A3096" s="21"/>
      <c r="B3096" s="21" t="s">
        <v>3952</v>
      </c>
      <c r="D3096" s="25">
        <v>0.0</v>
      </c>
      <c r="E3096" s="27"/>
      <c r="F3096" s="25">
        <v>0.0</v>
      </c>
      <c r="G3096" s="27"/>
    </row>
    <row r="3097" hidden="1">
      <c r="A3097" s="21"/>
      <c r="B3097" s="21" t="s">
        <v>3953</v>
      </c>
      <c r="D3097" s="25">
        <v>0.0</v>
      </c>
      <c r="E3097" s="27"/>
      <c r="F3097" s="25">
        <v>0.0</v>
      </c>
      <c r="G3097" s="27"/>
    </row>
    <row r="3098" hidden="1">
      <c r="A3098" s="21"/>
      <c r="B3098" s="21" t="s">
        <v>3954</v>
      </c>
      <c r="D3098" s="25">
        <v>0.0</v>
      </c>
      <c r="E3098" s="27"/>
      <c r="F3098" s="25">
        <v>0.0</v>
      </c>
      <c r="G3098" s="27"/>
    </row>
    <row r="3099" hidden="1">
      <c r="A3099" s="21"/>
      <c r="B3099" s="21" t="s">
        <v>3955</v>
      </c>
      <c r="D3099" s="25">
        <v>0.0</v>
      </c>
      <c r="E3099" s="27"/>
      <c r="F3099" s="25">
        <v>0.39</v>
      </c>
      <c r="G3099" s="27"/>
    </row>
    <row r="3100" hidden="1">
      <c r="A3100" s="21"/>
      <c r="B3100" s="21" t="s">
        <v>3956</v>
      </c>
      <c r="D3100" s="25">
        <v>0.0</v>
      </c>
      <c r="E3100" s="27"/>
      <c r="F3100" s="25">
        <v>0.0</v>
      </c>
      <c r="G3100" s="27"/>
    </row>
    <row r="3101" hidden="1">
      <c r="A3101" s="21"/>
      <c r="B3101" s="21" t="s">
        <v>3957</v>
      </c>
      <c r="D3101" s="25">
        <v>0.0</v>
      </c>
      <c r="E3101" s="27"/>
      <c r="F3101" s="25">
        <v>0.0</v>
      </c>
      <c r="G3101" s="27"/>
    </row>
    <row r="3102" hidden="1">
      <c r="A3102" s="21"/>
      <c r="B3102" s="21" t="s">
        <v>3958</v>
      </c>
      <c r="D3102" s="25">
        <v>0.0</v>
      </c>
      <c r="E3102" s="27"/>
      <c r="F3102" s="25">
        <v>0.0</v>
      </c>
      <c r="G3102" s="27"/>
    </row>
    <row r="3103" hidden="1">
      <c r="A3103" s="21"/>
      <c r="B3103" s="21" t="s">
        <v>3959</v>
      </c>
      <c r="D3103" s="25">
        <v>0.0</v>
      </c>
      <c r="E3103" s="27"/>
      <c r="F3103" s="25">
        <v>0.0</v>
      </c>
      <c r="G3103" s="27"/>
    </row>
    <row r="3104" hidden="1">
      <c r="A3104" s="21"/>
      <c r="B3104" s="21" t="s">
        <v>3960</v>
      </c>
      <c r="D3104" s="25">
        <v>0.0</v>
      </c>
      <c r="E3104" s="27"/>
      <c r="F3104" s="25">
        <v>0.5</v>
      </c>
      <c r="G3104" s="27"/>
    </row>
    <row r="3105" hidden="1">
      <c r="A3105" s="21"/>
      <c r="B3105" s="21" t="s">
        <v>3961</v>
      </c>
      <c r="D3105" s="25">
        <v>0.0</v>
      </c>
      <c r="E3105" s="27"/>
      <c r="F3105" s="25">
        <v>0.0</v>
      </c>
      <c r="G3105" s="27"/>
    </row>
    <row r="3106" hidden="1">
      <c r="A3106" s="21"/>
      <c r="B3106" s="21" t="s">
        <v>3962</v>
      </c>
      <c r="D3106" s="25">
        <v>0.0</v>
      </c>
      <c r="E3106" s="27"/>
      <c r="F3106" s="25">
        <v>0.0</v>
      </c>
      <c r="G3106" s="27"/>
    </row>
    <row r="3107" hidden="1">
      <c r="A3107" s="21"/>
      <c r="B3107" s="21" t="s">
        <v>3963</v>
      </c>
      <c r="D3107" s="25">
        <v>0.0</v>
      </c>
      <c r="E3107" s="27"/>
      <c r="F3107" s="25">
        <v>0.51</v>
      </c>
      <c r="G3107" s="27"/>
    </row>
    <row r="3108" hidden="1">
      <c r="A3108" s="21"/>
      <c r="B3108" s="21" t="s">
        <v>3964</v>
      </c>
      <c r="D3108" s="25">
        <v>0.0</v>
      </c>
      <c r="E3108" s="27"/>
      <c r="F3108" s="25">
        <v>0.0</v>
      </c>
      <c r="G3108" s="27"/>
    </row>
    <row r="3109" hidden="1">
      <c r="A3109" s="21"/>
      <c r="B3109" s="21" t="s">
        <v>3965</v>
      </c>
      <c r="D3109" s="25">
        <v>0.0</v>
      </c>
      <c r="E3109" s="27"/>
      <c r="F3109" s="25">
        <v>0.0</v>
      </c>
      <c r="G3109" s="27"/>
    </row>
    <row r="3110" hidden="1">
      <c r="A3110" s="21"/>
      <c r="B3110" s="21" t="s">
        <v>3966</v>
      </c>
      <c r="D3110" s="25">
        <v>0.0</v>
      </c>
      <c r="E3110" s="27"/>
      <c r="F3110" s="25">
        <v>0.0</v>
      </c>
      <c r="G3110" s="27"/>
    </row>
    <row r="3111" hidden="1">
      <c r="A3111" s="21"/>
      <c r="B3111" s="21" t="s">
        <v>3967</v>
      </c>
      <c r="D3111" s="25">
        <v>0.0</v>
      </c>
      <c r="E3111" s="27"/>
      <c r="F3111" s="25">
        <v>0.0</v>
      </c>
      <c r="G3111" s="27"/>
    </row>
    <row r="3112" hidden="1">
      <c r="A3112" s="21"/>
      <c r="B3112" s="21" t="s">
        <v>3968</v>
      </c>
      <c r="D3112" s="25">
        <v>0.0</v>
      </c>
      <c r="E3112" s="27"/>
      <c r="F3112" s="25">
        <v>0.0</v>
      </c>
      <c r="G3112" s="27"/>
    </row>
    <row r="3113" hidden="1">
      <c r="A3113" s="21"/>
      <c r="B3113" s="21" t="s">
        <v>3969</v>
      </c>
      <c r="D3113" s="25">
        <v>0.0</v>
      </c>
      <c r="E3113" s="27"/>
      <c r="F3113" s="25">
        <v>0.0</v>
      </c>
      <c r="G3113" s="27"/>
    </row>
    <row r="3114" hidden="1">
      <c r="A3114" s="21"/>
      <c r="B3114" s="21" t="s">
        <v>3970</v>
      </c>
      <c r="D3114" s="25">
        <v>0.0</v>
      </c>
      <c r="E3114" s="27"/>
      <c r="F3114" s="25">
        <v>0.0</v>
      </c>
      <c r="G3114" s="27"/>
    </row>
    <row r="3115" hidden="1">
      <c r="A3115" s="21"/>
      <c r="B3115" s="21" t="s">
        <v>3971</v>
      </c>
      <c r="D3115" s="25">
        <v>0.0</v>
      </c>
      <c r="E3115" s="27"/>
      <c r="F3115" s="25">
        <v>0.0</v>
      </c>
      <c r="G3115" s="27"/>
    </row>
    <row r="3116" hidden="1">
      <c r="A3116" s="21"/>
      <c r="B3116" s="21" t="s">
        <v>3972</v>
      </c>
      <c r="D3116" s="25">
        <v>0.0</v>
      </c>
      <c r="E3116" s="27"/>
      <c r="F3116" s="25">
        <v>0.0</v>
      </c>
      <c r="G3116" s="27"/>
    </row>
    <row r="3117" hidden="1">
      <c r="A3117" s="21"/>
      <c r="B3117" s="21" t="s">
        <v>3973</v>
      </c>
      <c r="D3117" s="25">
        <v>0.0</v>
      </c>
      <c r="E3117" s="27"/>
      <c r="F3117" s="25">
        <v>0.0</v>
      </c>
      <c r="G3117" s="27"/>
    </row>
    <row r="3118" hidden="1">
      <c r="A3118" s="21"/>
      <c r="B3118" s="21" t="s">
        <v>3974</v>
      </c>
      <c r="D3118" s="25">
        <v>0.0</v>
      </c>
      <c r="E3118" s="27"/>
      <c r="F3118" s="25">
        <v>0.0</v>
      </c>
      <c r="G3118" s="27"/>
    </row>
    <row r="3119" hidden="1">
      <c r="A3119" s="21"/>
      <c r="B3119" s="21" t="s">
        <v>3975</v>
      </c>
      <c r="D3119" s="25">
        <v>0.0</v>
      </c>
      <c r="E3119" s="27"/>
      <c r="F3119" s="25">
        <v>0.0</v>
      </c>
      <c r="G3119" s="27"/>
    </row>
    <row r="3120" hidden="1">
      <c r="A3120" s="21"/>
      <c r="B3120" s="21" t="s">
        <v>3976</v>
      </c>
      <c r="D3120" s="25">
        <v>0.0</v>
      </c>
      <c r="E3120" s="27"/>
      <c r="F3120" s="25">
        <v>0.0</v>
      </c>
      <c r="G3120" s="27"/>
    </row>
    <row r="3121" hidden="1">
      <c r="A3121" s="21"/>
      <c r="B3121" s="21" t="s">
        <v>3977</v>
      </c>
      <c r="D3121" s="25">
        <v>0.0</v>
      </c>
      <c r="E3121" s="27"/>
      <c r="F3121" s="25">
        <v>0.0</v>
      </c>
      <c r="G3121" s="27"/>
    </row>
    <row r="3122" hidden="1">
      <c r="A3122" s="21"/>
      <c r="B3122" s="21" t="s">
        <v>3978</v>
      </c>
      <c r="D3122" s="25">
        <v>0.0</v>
      </c>
      <c r="E3122" s="27"/>
      <c r="F3122" s="25">
        <v>0.0</v>
      </c>
      <c r="G3122" s="27"/>
    </row>
    <row r="3123" hidden="1">
      <c r="A3123" s="21"/>
      <c r="B3123" s="21" t="s">
        <v>3979</v>
      </c>
      <c r="D3123" s="25">
        <v>0.0</v>
      </c>
      <c r="E3123" s="27"/>
      <c r="F3123" s="25">
        <v>0.0</v>
      </c>
      <c r="G3123" s="27"/>
    </row>
    <row r="3124" hidden="1">
      <c r="A3124" s="21"/>
      <c r="B3124" s="21" t="s">
        <v>3980</v>
      </c>
      <c r="D3124" s="25">
        <v>0.0</v>
      </c>
      <c r="E3124" s="27"/>
      <c r="F3124" s="25">
        <v>0.0</v>
      </c>
      <c r="G3124" s="27"/>
    </row>
    <row r="3125" hidden="1">
      <c r="A3125" s="21"/>
      <c r="B3125" s="21" t="s">
        <v>3981</v>
      </c>
      <c r="D3125" s="25">
        <v>0.0</v>
      </c>
      <c r="E3125" s="27"/>
      <c r="F3125" s="25">
        <v>0.0</v>
      </c>
      <c r="G3125" s="27"/>
    </row>
    <row r="3126" hidden="1">
      <c r="A3126" s="21"/>
      <c r="B3126" s="21" t="s">
        <v>3982</v>
      </c>
      <c r="D3126" s="25">
        <v>0.0</v>
      </c>
      <c r="E3126" s="27"/>
      <c r="F3126" s="25">
        <v>0.0</v>
      </c>
      <c r="G3126" s="27"/>
    </row>
    <row r="3127" hidden="1">
      <c r="A3127" s="21"/>
      <c r="B3127" s="21" t="s">
        <v>3983</v>
      </c>
      <c r="D3127" s="25">
        <v>0.0</v>
      </c>
      <c r="E3127" s="27"/>
      <c r="F3127" s="25">
        <v>0.0</v>
      </c>
      <c r="G3127" s="27"/>
    </row>
    <row r="3128" hidden="1">
      <c r="A3128" s="21"/>
      <c r="B3128" s="21" t="s">
        <v>3984</v>
      </c>
      <c r="D3128" s="25">
        <v>0.0</v>
      </c>
      <c r="E3128" s="27"/>
      <c r="F3128" s="25">
        <v>0.0</v>
      </c>
      <c r="G3128" s="27"/>
    </row>
    <row r="3129" hidden="1">
      <c r="A3129" s="21"/>
      <c r="B3129" s="21" t="s">
        <v>3985</v>
      </c>
      <c r="D3129" s="25">
        <v>0.0</v>
      </c>
      <c r="E3129" s="27"/>
      <c r="F3129" s="25">
        <v>0.0</v>
      </c>
      <c r="G3129" s="27"/>
    </row>
    <row r="3130" hidden="1">
      <c r="A3130" s="21"/>
      <c r="B3130" s="21" t="s">
        <v>3986</v>
      </c>
      <c r="D3130" s="25">
        <v>0.0</v>
      </c>
      <c r="E3130" s="27"/>
      <c r="F3130" s="25">
        <v>0.0</v>
      </c>
      <c r="G3130" s="27"/>
    </row>
    <row r="3131" hidden="1">
      <c r="A3131" s="21"/>
      <c r="B3131" s="21" t="s">
        <v>3987</v>
      </c>
      <c r="D3131" s="25">
        <v>0.0</v>
      </c>
      <c r="E3131" s="27"/>
      <c r="F3131" s="25">
        <v>0.0</v>
      </c>
      <c r="G3131" s="27"/>
    </row>
    <row r="3132" hidden="1">
      <c r="A3132" s="21"/>
      <c r="B3132" s="21" t="s">
        <v>3988</v>
      </c>
      <c r="D3132" s="25">
        <v>0.0</v>
      </c>
      <c r="E3132" s="27"/>
      <c r="F3132" s="25">
        <v>0.0</v>
      </c>
      <c r="G3132" s="27"/>
    </row>
    <row r="3133" hidden="1">
      <c r="A3133" s="21"/>
      <c r="B3133" s="21" t="s">
        <v>3989</v>
      </c>
      <c r="D3133" s="25">
        <v>0.0</v>
      </c>
      <c r="E3133" s="27"/>
      <c r="F3133" s="25">
        <v>0.0</v>
      </c>
      <c r="G3133" s="27"/>
    </row>
    <row r="3134" hidden="1">
      <c r="A3134" s="21"/>
      <c r="B3134" s="21" t="s">
        <v>3990</v>
      </c>
      <c r="D3134" s="25">
        <v>0.0</v>
      </c>
      <c r="E3134" s="27"/>
      <c r="F3134" s="25">
        <v>0.0</v>
      </c>
      <c r="G3134" s="27"/>
    </row>
    <row r="3135" hidden="1">
      <c r="A3135" s="21"/>
      <c r="B3135" s="21" t="s">
        <v>3991</v>
      </c>
      <c r="D3135" s="25">
        <v>0.0</v>
      </c>
      <c r="E3135" s="27"/>
      <c r="F3135" s="25">
        <v>0.0</v>
      </c>
      <c r="G3135" s="27"/>
    </row>
    <row r="3136" hidden="1">
      <c r="A3136" s="21"/>
      <c r="B3136" s="21" t="s">
        <v>3992</v>
      </c>
      <c r="D3136" s="25">
        <v>0.0</v>
      </c>
      <c r="E3136" s="27"/>
      <c r="F3136" s="25">
        <v>0.0</v>
      </c>
      <c r="G3136" s="27"/>
    </row>
    <row r="3137" hidden="1">
      <c r="A3137" s="21"/>
      <c r="B3137" s="21" t="s">
        <v>3993</v>
      </c>
      <c r="D3137" s="25">
        <v>0.0</v>
      </c>
      <c r="E3137" s="27"/>
      <c r="F3137" s="25">
        <v>0.0</v>
      </c>
      <c r="G3137" s="27"/>
    </row>
    <row r="3138" hidden="1">
      <c r="A3138" s="21"/>
      <c r="B3138" s="21" t="s">
        <v>3994</v>
      </c>
      <c r="D3138" s="25">
        <v>0.0</v>
      </c>
      <c r="E3138" s="27"/>
      <c r="F3138" s="25">
        <v>0.0</v>
      </c>
      <c r="G3138" s="27"/>
    </row>
    <row r="3139" hidden="1">
      <c r="A3139" s="21"/>
      <c r="B3139" s="21" t="s">
        <v>3995</v>
      </c>
      <c r="D3139" s="25">
        <v>0.0</v>
      </c>
      <c r="E3139" s="27"/>
      <c r="F3139" s="25">
        <v>0.0</v>
      </c>
      <c r="G3139" s="27"/>
    </row>
    <row r="3140" hidden="1">
      <c r="A3140" s="21"/>
      <c r="B3140" s="21" t="s">
        <v>3996</v>
      </c>
      <c r="D3140" s="25">
        <v>0.0</v>
      </c>
      <c r="E3140" s="27"/>
      <c r="F3140" s="25">
        <v>0.0</v>
      </c>
      <c r="G3140" s="27"/>
    </row>
    <row r="3141" hidden="1">
      <c r="A3141" s="21"/>
      <c r="B3141" s="21" t="s">
        <v>3997</v>
      </c>
      <c r="D3141" s="25">
        <v>0.0</v>
      </c>
      <c r="E3141" s="27"/>
      <c r="F3141" s="25">
        <v>0.0</v>
      </c>
      <c r="G3141" s="27"/>
    </row>
    <row r="3142" hidden="1">
      <c r="A3142" s="21"/>
      <c r="B3142" s="21" t="s">
        <v>3998</v>
      </c>
      <c r="D3142" s="25">
        <v>0.0</v>
      </c>
      <c r="E3142" s="27"/>
      <c r="F3142" s="25">
        <v>0.0</v>
      </c>
      <c r="G3142" s="27"/>
    </row>
    <row r="3143" hidden="1">
      <c r="A3143" s="21"/>
      <c r="B3143" s="21" t="s">
        <v>3999</v>
      </c>
      <c r="D3143" s="25">
        <v>0.0</v>
      </c>
      <c r="E3143" s="27"/>
      <c r="F3143" s="25">
        <v>0.0</v>
      </c>
      <c r="G3143" s="27"/>
    </row>
    <row r="3144" hidden="1">
      <c r="A3144" s="21"/>
      <c r="B3144" s="21" t="s">
        <v>4000</v>
      </c>
      <c r="D3144" s="25">
        <v>0.0</v>
      </c>
      <c r="E3144" s="27"/>
      <c r="F3144" s="25">
        <v>0.0</v>
      </c>
      <c r="G3144" s="27"/>
    </row>
    <row r="3145" hidden="1">
      <c r="A3145" s="21"/>
      <c r="B3145" s="21" t="s">
        <v>4001</v>
      </c>
      <c r="D3145" s="25">
        <v>0.0</v>
      </c>
      <c r="E3145" s="27"/>
      <c r="F3145" s="25">
        <v>0.0</v>
      </c>
      <c r="G3145" s="27"/>
    </row>
    <row r="3146" hidden="1">
      <c r="A3146" s="21"/>
      <c r="B3146" s="21" t="s">
        <v>4002</v>
      </c>
      <c r="D3146" s="25">
        <v>0.0</v>
      </c>
      <c r="E3146" s="27"/>
      <c r="F3146" s="25">
        <v>0.0</v>
      </c>
      <c r="G3146" s="27"/>
    </row>
    <row r="3147" hidden="1">
      <c r="A3147" s="21"/>
      <c r="B3147" s="21" t="s">
        <v>4003</v>
      </c>
      <c r="D3147" s="25">
        <v>0.0</v>
      </c>
      <c r="E3147" s="27"/>
      <c r="F3147" s="25">
        <v>0.0</v>
      </c>
      <c r="G3147" s="27"/>
    </row>
    <row r="3148" hidden="1">
      <c r="A3148" s="21"/>
      <c r="B3148" s="21" t="s">
        <v>4004</v>
      </c>
      <c r="D3148" s="25">
        <v>0.0</v>
      </c>
      <c r="E3148" s="27"/>
      <c r="F3148" s="25">
        <v>0.0</v>
      </c>
      <c r="G3148" s="27"/>
    </row>
    <row r="3149" hidden="1">
      <c r="A3149" s="21"/>
      <c r="B3149" s="21" t="s">
        <v>4005</v>
      </c>
      <c r="D3149" s="25">
        <v>0.0</v>
      </c>
      <c r="E3149" s="27"/>
      <c r="F3149" s="25">
        <v>0.0</v>
      </c>
      <c r="G3149" s="27"/>
    </row>
    <row r="3150" hidden="1">
      <c r="A3150" s="21"/>
      <c r="B3150" s="21" t="s">
        <v>4006</v>
      </c>
      <c r="D3150" s="25">
        <v>0.0</v>
      </c>
      <c r="E3150" s="27"/>
      <c r="F3150" s="25">
        <v>0.0</v>
      </c>
      <c r="G3150" s="27"/>
    </row>
    <row r="3151" hidden="1">
      <c r="A3151" s="21"/>
      <c r="B3151" s="21" t="s">
        <v>4007</v>
      </c>
      <c r="D3151" s="25">
        <v>0.0</v>
      </c>
      <c r="E3151" s="27"/>
      <c r="F3151" s="25">
        <v>0.0</v>
      </c>
      <c r="G3151" s="27"/>
    </row>
    <row r="3152" hidden="1">
      <c r="A3152" s="21"/>
      <c r="B3152" s="21" t="s">
        <v>4008</v>
      </c>
      <c r="D3152" s="25">
        <v>0.0</v>
      </c>
      <c r="E3152" s="27"/>
      <c r="F3152" s="25">
        <v>0.0</v>
      </c>
      <c r="G3152" s="27"/>
    </row>
    <row r="3153" hidden="1">
      <c r="A3153" s="21"/>
      <c r="B3153" s="21" t="s">
        <v>4009</v>
      </c>
      <c r="D3153" s="25">
        <v>0.0</v>
      </c>
      <c r="E3153" s="27"/>
      <c r="F3153" s="25">
        <v>0.0</v>
      </c>
      <c r="G3153" s="27"/>
    </row>
    <row r="3154" hidden="1">
      <c r="A3154" s="21"/>
      <c r="B3154" s="21" t="s">
        <v>4010</v>
      </c>
      <c r="D3154" s="25">
        <v>0.0</v>
      </c>
      <c r="E3154" s="27"/>
      <c r="F3154" s="25">
        <v>8.9</v>
      </c>
      <c r="G3154" s="27"/>
    </row>
    <row r="3155" hidden="1">
      <c r="A3155" s="21"/>
      <c r="B3155" s="21" t="s">
        <v>4011</v>
      </c>
      <c r="D3155" s="25">
        <v>0.0</v>
      </c>
      <c r="E3155" s="27"/>
      <c r="F3155" s="25">
        <v>0.0</v>
      </c>
      <c r="G3155" s="27"/>
    </row>
    <row r="3156" hidden="1">
      <c r="A3156" s="21"/>
      <c r="B3156" s="21" t="s">
        <v>4012</v>
      </c>
      <c r="D3156" s="25">
        <v>0.0</v>
      </c>
      <c r="E3156" s="27"/>
      <c r="F3156" s="25">
        <v>4.17</v>
      </c>
      <c r="G3156" s="27"/>
    </row>
    <row r="3157" hidden="1">
      <c r="A3157" s="21"/>
      <c r="B3157" s="21" t="s">
        <v>4013</v>
      </c>
      <c r="D3157" s="25">
        <v>0.0</v>
      </c>
      <c r="E3157" s="27"/>
      <c r="F3157" s="25">
        <v>0.0</v>
      </c>
      <c r="G3157" s="27"/>
    </row>
    <row r="3158" hidden="1">
      <c r="A3158" s="21"/>
      <c r="B3158" s="21" t="s">
        <v>4014</v>
      </c>
      <c r="D3158" s="25">
        <v>0.0</v>
      </c>
      <c r="E3158" s="27"/>
      <c r="F3158" s="25">
        <v>0.0</v>
      </c>
      <c r="G3158" s="27"/>
    </row>
    <row r="3159" hidden="1">
      <c r="A3159" s="21"/>
      <c r="B3159" s="21" t="s">
        <v>4015</v>
      </c>
      <c r="D3159" s="25">
        <v>0.0</v>
      </c>
      <c r="E3159" s="27"/>
      <c r="F3159" s="25">
        <v>0.0</v>
      </c>
      <c r="G3159" s="27"/>
    </row>
    <row r="3160" hidden="1">
      <c r="A3160" s="21"/>
      <c r="B3160" s="21" t="s">
        <v>4016</v>
      </c>
      <c r="D3160" s="25">
        <v>0.0</v>
      </c>
      <c r="E3160" s="27"/>
      <c r="F3160" s="25">
        <v>0.0</v>
      </c>
      <c r="G3160" s="27"/>
    </row>
    <row r="3161" hidden="1">
      <c r="A3161" s="21"/>
      <c r="B3161" s="21" t="s">
        <v>4017</v>
      </c>
      <c r="D3161" s="25">
        <v>0.0</v>
      </c>
      <c r="E3161" s="27"/>
      <c r="F3161" s="25">
        <v>7.93</v>
      </c>
      <c r="G3161" s="27"/>
    </row>
    <row r="3162" hidden="1">
      <c r="A3162" s="21"/>
      <c r="B3162" s="21" t="s">
        <v>4018</v>
      </c>
      <c r="D3162" s="25">
        <v>0.0</v>
      </c>
      <c r="E3162" s="27"/>
      <c r="F3162" s="25">
        <v>0.0</v>
      </c>
      <c r="G3162" s="27"/>
    </row>
    <row r="3163" hidden="1">
      <c r="A3163" s="21"/>
      <c r="B3163" s="21" t="s">
        <v>4019</v>
      </c>
      <c r="D3163" s="25">
        <v>0.0</v>
      </c>
      <c r="E3163" s="27"/>
      <c r="F3163" s="25">
        <v>0.0</v>
      </c>
      <c r="G3163" s="27"/>
    </row>
    <row r="3164" hidden="1">
      <c r="A3164" s="21"/>
      <c r="B3164" s="21" t="s">
        <v>4020</v>
      </c>
      <c r="D3164" s="25">
        <v>0.0</v>
      </c>
      <c r="E3164" s="27"/>
      <c r="F3164" s="25">
        <v>0.0</v>
      </c>
      <c r="G3164" s="27"/>
    </row>
    <row r="3165" hidden="1">
      <c r="A3165" s="21"/>
      <c r="B3165" s="21" t="s">
        <v>4021</v>
      </c>
      <c r="D3165" s="25">
        <v>0.0</v>
      </c>
      <c r="E3165" s="27"/>
      <c r="F3165" s="25">
        <v>2.14</v>
      </c>
      <c r="G3165" s="27"/>
    </row>
    <row r="3166" hidden="1">
      <c r="A3166" s="21"/>
      <c r="B3166" s="21" t="s">
        <v>4022</v>
      </c>
      <c r="D3166" s="25">
        <v>0.0</v>
      </c>
      <c r="E3166" s="27"/>
      <c r="F3166" s="25">
        <v>0.0</v>
      </c>
      <c r="G3166" s="27"/>
    </row>
    <row r="3167" hidden="1">
      <c r="A3167" s="21"/>
      <c r="B3167" s="21" t="s">
        <v>4023</v>
      </c>
      <c r="D3167" s="25">
        <v>0.0</v>
      </c>
      <c r="E3167" s="27"/>
      <c r="F3167" s="25">
        <v>0.0</v>
      </c>
      <c r="G3167" s="27"/>
    </row>
    <row r="3168" hidden="1">
      <c r="A3168" s="21"/>
      <c r="B3168" s="21" t="s">
        <v>4024</v>
      </c>
      <c r="D3168" s="25">
        <v>0.0</v>
      </c>
      <c r="E3168" s="27"/>
      <c r="F3168" s="25">
        <v>0.0</v>
      </c>
      <c r="G3168" s="27"/>
    </row>
    <row r="3169" hidden="1">
      <c r="A3169" s="21"/>
      <c r="B3169" s="21" t="s">
        <v>4025</v>
      </c>
      <c r="D3169" s="25">
        <v>0.0</v>
      </c>
      <c r="E3169" s="27"/>
      <c r="F3169" s="25">
        <v>0.0</v>
      </c>
      <c r="G3169" s="27"/>
    </row>
    <row r="3170" hidden="1">
      <c r="A3170" s="21"/>
      <c r="B3170" s="21" t="s">
        <v>4026</v>
      </c>
      <c r="D3170" s="25">
        <v>0.0</v>
      </c>
      <c r="E3170" s="27"/>
      <c r="F3170" s="25">
        <v>0.0</v>
      </c>
      <c r="G3170" s="27"/>
    </row>
    <row r="3171" hidden="1">
      <c r="A3171" s="21"/>
      <c r="B3171" s="21" t="s">
        <v>4027</v>
      </c>
      <c r="D3171" s="25">
        <v>0.0</v>
      </c>
      <c r="E3171" s="27"/>
      <c r="F3171" s="25">
        <v>0.0</v>
      </c>
      <c r="G3171" s="27"/>
    </row>
    <row r="3172" hidden="1">
      <c r="A3172" s="21"/>
      <c r="B3172" s="21" t="s">
        <v>4028</v>
      </c>
      <c r="D3172" s="25">
        <v>0.0</v>
      </c>
      <c r="E3172" s="27"/>
      <c r="F3172" s="25">
        <v>0.0</v>
      </c>
      <c r="G3172" s="27"/>
    </row>
    <row r="3173" hidden="1">
      <c r="A3173" s="21"/>
      <c r="B3173" s="21" t="s">
        <v>4029</v>
      </c>
      <c r="D3173" s="25">
        <v>0.0</v>
      </c>
      <c r="E3173" s="27"/>
      <c r="F3173" s="25">
        <v>0.0</v>
      </c>
      <c r="G3173" s="27"/>
    </row>
    <row r="3174" hidden="1">
      <c r="A3174" s="21"/>
      <c r="B3174" s="21" t="s">
        <v>4030</v>
      </c>
      <c r="D3174" s="25">
        <v>0.0</v>
      </c>
      <c r="E3174" s="27"/>
      <c r="F3174" s="25">
        <v>0.0</v>
      </c>
      <c r="G3174" s="27"/>
    </row>
    <row r="3175" hidden="1">
      <c r="A3175" s="21"/>
      <c r="B3175" s="21" t="s">
        <v>4031</v>
      </c>
      <c r="D3175" s="25">
        <v>0.0</v>
      </c>
      <c r="E3175" s="27"/>
      <c r="F3175" s="25">
        <v>0.0</v>
      </c>
      <c r="G3175" s="27"/>
    </row>
    <row r="3176" hidden="1">
      <c r="A3176" s="21"/>
      <c r="B3176" s="21" t="s">
        <v>4032</v>
      </c>
      <c r="D3176" s="25">
        <v>0.0</v>
      </c>
      <c r="E3176" s="27"/>
      <c r="F3176" s="25">
        <v>0.0</v>
      </c>
      <c r="G3176" s="27"/>
    </row>
    <row r="3177" hidden="1">
      <c r="A3177" s="21"/>
      <c r="B3177" s="21" t="s">
        <v>4033</v>
      </c>
      <c r="D3177" s="25">
        <v>0.0</v>
      </c>
      <c r="E3177" s="27"/>
      <c r="F3177" s="25">
        <v>0.0</v>
      </c>
      <c r="G3177" s="27"/>
    </row>
    <row r="3178" hidden="1">
      <c r="A3178" s="21"/>
      <c r="B3178" s="21" t="s">
        <v>4034</v>
      </c>
      <c r="D3178" s="25">
        <v>0.0</v>
      </c>
      <c r="E3178" s="27"/>
      <c r="F3178" s="25">
        <v>0.0</v>
      </c>
      <c r="G3178" s="27"/>
    </row>
    <row r="3179" hidden="1">
      <c r="A3179" s="21"/>
      <c r="B3179" s="21" t="s">
        <v>4035</v>
      </c>
      <c r="D3179" s="25">
        <v>0.0</v>
      </c>
      <c r="E3179" s="27"/>
      <c r="F3179" s="25">
        <v>0.0</v>
      </c>
      <c r="G3179" s="27"/>
    </row>
    <row r="3180" hidden="1">
      <c r="A3180" s="21"/>
      <c r="B3180" s="21" t="s">
        <v>4036</v>
      </c>
      <c r="D3180" s="25">
        <v>0.0</v>
      </c>
      <c r="E3180" s="27"/>
      <c r="F3180" s="25">
        <v>0.0</v>
      </c>
      <c r="G3180" s="27"/>
    </row>
    <row r="3181" hidden="1">
      <c r="A3181" s="21"/>
      <c r="B3181" s="21" t="s">
        <v>4037</v>
      </c>
      <c r="D3181" s="25">
        <v>0.0</v>
      </c>
      <c r="E3181" s="27"/>
      <c r="F3181" s="25">
        <v>0.0</v>
      </c>
      <c r="G3181" s="27"/>
    </row>
    <row r="3182" hidden="1">
      <c r="A3182" s="21"/>
      <c r="B3182" s="21" t="s">
        <v>4038</v>
      </c>
      <c r="D3182" s="25">
        <v>0.0</v>
      </c>
      <c r="E3182" s="27"/>
      <c r="F3182" s="25">
        <v>0.0</v>
      </c>
      <c r="G3182" s="27"/>
    </row>
    <row r="3183" hidden="1">
      <c r="A3183" s="21"/>
      <c r="B3183" s="21" t="s">
        <v>4039</v>
      </c>
      <c r="D3183" s="25">
        <v>0.0</v>
      </c>
      <c r="E3183" s="27"/>
      <c r="F3183" s="25">
        <v>0.0</v>
      </c>
      <c r="G3183" s="27"/>
    </row>
    <row r="3184" hidden="1">
      <c r="A3184" s="21"/>
      <c r="B3184" s="21" t="s">
        <v>4040</v>
      </c>
      <c r="D3184" s="25">
        <v>0.0</v>
      </c>
      <c r="E3184" s="27"/>
      <c r="F3184" s="25">
        <v>0.0</v>
      </c>
      <c r="G3184" s="27"/>
    </row>
    <row r="3185" hidden="1">
      <c r="A3185" s="21"/>
      <c r="B3185" s="21" t="s">
        <v>4041</v>
      </c>
      <c r="D3185" s="25">
        <v>0.0</v>
      </c>
      <c r="E3185" s="27"/>
      <c r="F3185" s="25">
        <v>0.0</v>
      </c>
      <c r="G3185" s="27"/>
    </row>
    <row r="3186" hidden="1">
      <c r="A3186" s="21"/>
      <c r="B3186" s="21" t="s">
        <v>4042</v>
      </c>
      <c r="D3186" s="25">
        <v>0.0</v>
      </c>
      <c r="E3186" s="27"/>
      <c r="F3186" s="25">
        <v>0.0</v>
      </c>
      <c r="G3186" s="27"/>
    </row>
    <row r="3187" hidden="1">
      <c r="A3187" s="21"/>
      <c r="B3187" s="21" t="s">
        <v>4043</v>
      </c>
      <c r="D3187" s="25">
        <v>0.0</v>
      </c>
      <c r="E3187" s="27"/>
      <c r="F3187" s="25">
        <v>0.0</v>
      </c>
      <c r="G3187" s="27"/>
    </row>
    <row r="3188" hidden="1">
      <c r="A3188" s="21"/>
      <c r="B3188" s="21" t="s">
        <v>4044</v>
      </c>
      <c r="D3188" s="25">
        <v>0.0</v>
      </c>
      <c r="E3188" s="27"/>
      <c r="F3188" s="25">
        <v>0.0</v>
      </c>
      <c r="G3188" s="27"/>
    </row>
    <row r="3189" hidden="1">
      <c r="A3189" s="21"/>
      <c r="B3189" s="21" t="s">
        <v>4045</v>
      </c>
      <c r="D3189" s="25">
        <v>0.0</v>
      </c>
      <c r="E3189" s="27"/>
      <c r="F3189" s="25">
        <v>0.0</v>
      </c>
      <c r="G3189" s="27"/>
    </row>
    <row r="3190" hidden="1">
      <c r="A3190" s="21"/>
      <c r="B3190" s="21" t="s">
        <v>4046</v>
      </c>
      <c r="D3190" s="25">
        <v>0.0</v>
      </c>
      <c r="E3190" s="27"/>
      <c r="F3190" s="25">
        <v>0.0</v>
      </c>
      <c r="G3190" s="27"/>
    </row>
    <row r="3191" hidden="1">
      <c r="A3191" s="21"/>
      <c r="B3191" s="21" t="s">
        <v>4047</v>
      </c>
      <c r="D3191" s="25">
        <v>0.0</v>
      </c>
      <c r="E3191" s="27"/>
      <c r="F3191" s="25">
        <v>0.0</v>
      </c>
      <c r="G3191" s="27"/>
    </row>
    <row r="3192" hidden="1">
      <c r="A3192" s="21"/>
      <c r="B3192" s="21" t="s">
        <v>4048</v>
      </c>
      <c r="D3192" s="25">
        <v>0.0</v>
      </c>
      <c r="E3192" s="27"/>
      <c r="F3192" s="25">
        <v>0.0</v>
      </c>
      <c r="G3192" s="27"/>
    </row>
    <row r="3193" hidden="1">
      <c r="A3193" s="21"/>
      <c r="B3193" s="21" t="s">
        <v>4049</v>
      </c>
      <c r="D3193" s="25">
        <v>0.0</v>
      </c>
      <c r="E3193" s="27"/>
      <c r="F3193" s="25">
        <v>0.0</v>
      </c>
      <c r="G3193" s="27"/>
    </row>
    <row r="3194" hidden="1">
      <c r="A3194" s="21"/>
      <c r="B3194" s="21" t="s">
        <v>4050</v>
      </c>
      <c r="D3194" s="25">
        <v>0.0</v>
      </c>
      <c r="E3194" s="27"/>
      <c r="F3194" s="25">
        <v>0.0</v>
      </c>
      <c r="G3194" s="27"/>
    </row>
    <row r="3195" hidden="1">
      <c r="A3195" s="21"/>
      <c r="B3195" s="21" t="s">
        <v>4051</v>
      </c>
      <c r="D3195" s="25">
        <v>0.0</v>
      </c>
      <c r="E3195" s="27"/>
      <c r="F3195" s="25">
        <v>0.0</v>
      </c>
      <c r="G3195" s="27"/>
    </row>
    <row r="3196" hidden="1">
      <c r="A3196" s="21"/>
      <c r="B3196" s="21" t="s">
        <v>4052</v>
      </c>
      <c r="D3196" s="25">
        <v>0.0</v>
      </c>
      <c r="E3196" s="27"/>
      <c r="F3196" s="25">
        <v>0.0</v>
      </c>
      <c r="G3196" s="27"/>
    </row>
    <row r="3197" hidden="1">
      <c r="A3197" s="21"/>
      <c r="B3197" s="21" t="s">
        <v>4053</v>
      </c>
      <c r="D3197" s="25">
        <v>0.0</v>
      </c>
      <c r="E3197" s="27"/>
      <c r="F3197" s="25">
        <v>0.0</v>
      </c>
      <c r="G3197" s="27"/>
    </row>
    <row r="3198" hidden="1">
      <c r="A3198" s="21"/>
      <c r="B3198" s="21" t="s">
        <v>4054</v>
      </c>
      <c r="D3198" s="25">
        <v>0.0</v>
      </c>
      <c r="E3198" s="27"/>
      <c r="F3198" s="25">
        <v>0.0</v>
      </c>
      <c r="G3198" s="27"/>
    </row>
    <row r="3199" hidden="1">
      <c r="A3199" s="21"/>
      <c r="B3199" s="21" t="s">
        <v>4055</v>
      </c>
      <c r="D3199" s="25">
        <v>0.0</v>
      </c>
      <c r="E3199" s="27"/>
      <c r="F3199" s="25">
        <v>0.0</v>
      </c>
      <c r="G3199" s="27"/>
    </row>
    <row r="3200" hidden="1">
      <c r="A3200" s="21"/>
      <c r="B3200" s="21" t="s">
        <v>4056</v>
      </c>
      <c r="D3200" s="25">
        <v>0.0</v>
      </c>
      <c r="E3200" s="27"/>
      <c r="F3200" s="25">
        <v>0.0</v>
      </c>
      <c r="G3200" s="27"/>
    </row>
    <row r="3201" hidden="1">
      <c r="A3201" s="21"/>
      <c r="B3201" s="21" t="s">
        <v>4057</v>
      </c>
      <c r="D3201" s="25">
        <v>0.0</v>
      </c>
      <c r="E3201" s="27"/>
      <c r="F3201" s="25">
        <v>0.0</v>
      </c>
      <c r="G3201" s="27"/>
    </row>
    <row r="3202" hidden="1">
      <c r="A3202" s="21"/>
      <c r="B3202" s="21" t="s">
        <v>4058</v>
      </c>
      <c r="D3202" s="25">
        <v>0.0</v>
      </c>
      <c r="E3202" s="27"/>
      <c r="F3202" s="25">
        <v>0.0</v>
      </c>
      <c r="G3202" s="27"/>
    </row>
    <row r="3203" hidden="1">
      <c r="A3203" s="21"/>
      <c r="B3203" s="21" t="s">
        <v>4059</v>
      </c>
      <c r="D3203" s="25">
        <v>0.0</v>
      </c>
      <c r="E3203" s="27"/>
      <c r="F3203" s="25">
        <v>0.0</v>
      </c>
      <c r="G3203" s="27"/>
    </row>
    <row r="3204" hidden="1">
      <c r="A3204" s="21"/>
      <c r="B3204" s="21" t="s">
        <v>4060</v>
      </c>
      <c r="D3204" s="25">
        <v>0.0</v>
      </c>
      <c r="E3204" s="27"/>
      <c r="F3204" s="25">
        <v>0.0</v>
      </c>
      <c r="G3204" s="27"/>
    </row>
    <row r="3205" hidden="1">
      <c r="A3205" s="21"/>
      <c r="B3205" s="21" t="s">
        <v>4061</v>
      </c>
      <c r="D3205" s="25">
        <v>0.0</v>
      </c>
      <c r="E3205" s="27"/>
      <c r="F3205" s="25">
        <v>0.0</v>
      </c>
      <c r="G3205" s="27"/>
    </row>
    <row r="3206" hidden="1">
      <c r="A3206" s="21"/>
      <c r="B3206" s="21" t="s">
        <v>4062</v>
      </c>
      <c r="D3206" s="25">
        <v>0.0</v>
      </c>
      <c r="E3206" s="27"/>
      <c r="F3206" s="25">
        <v>0.0</v>
      </c>
      <c r="G3206" s="27"/>
    </row>
    <row r="3207" hidden="1">
      <c r="A3207" s="21"/>
      <c r="B3207" s="21" t="s">
        <v>4063</v>
      </c>
      <c r="D3207" s="25">
        <v>0.0</v>
      </c>
      <c r="E3207" s="27"/>
      <c r="F3207" s="25">
        <v>4.64</v>
      </c>
      <c r="G3207" s="27"/>
    </row>
    <row r="3208" hidden="1">
      <c r="A3208" s="21"/>
      <c r="B3208" s="21" t="s">
        <v>4064</v>
      </c>
      <c r="D3208" s="25">
        <v>0.0</v>
      </c>
      <c r="E3208" s="27"/>
      <c r="F3208" s="25">
        <v>0.0</v>
      </c>
      <c r="G3208" s="27"/>
    </row>
    <row r="3209" hidden="1">
      <c r="A3209" s="21"/>
      <c r="B3209" s="21" t="s">
        <v>4065</v>
      </c>
      <c r="D3209" s="25">
        <v>0.0</v>
      </c>
      <c r="E3209" s="27"/>
      <c r="F3209" s="25">
        <v>0.0</v>
      </c>
      <c r="G3209" s="27"/>
    </row>
    <row r="3210" hidden="1">
      <c r="A3210" s="21"/>
      <c r="B3210" s="21" t="s">
        <v>4066</v>
      </c>
      <c r="D3210" s="25">
        <v>0.0</v>
      </c>
      <c r="E3210" s="27"/>
      <c r="F3210" s="25">
        <v>0.0</v>
      </c>
      <c r="G3210" s="27"/>
    </row>
    <row r="3211" hidden="1">
      <c r="A3211" s="21"/>
      <c r="B3211" s="21" t="s">
        <v>4067</v>
      </c>
      <c r="D3211" s="25">
        <v>0.0</v>
      </c>
      <c r="E3211" s="27"/>
      <c r="F3211" s="25">
        <v>0.0</v>
      </c>
      <c r="G3211" s="27"/>
    </row>
    <row r="3212" hidden="1">
      <c r="A3212" s="21"/>
      <c r="B3212" s="21" t="s">
        <v>4068</v>
      </c>
      <c r="D3212" s="25">
        <v>0.0</v>
      </c>
      <c r="E3212" s="27"/>
      <c r="F3212" s="25">
        <v>0.0</v>
      </c>
      <c r="G3212" s="27"/>
    </row>
    <row r="3213" hidden="1">
      <c r="A3213" s="21"/>
      <c r="B3213" s="21" t="s">
        <v>4069</v>
      </c>
      <c r="D3213" s="25">
        <v>0.0</v>
      </c>
      <c r="E3213" s="27"/>
      <c r="F3213" s="25">
        <v>0.0</v>
      </c>
      <c r="G3213" s="27"/>
    </row>
    <row r="3214" hidden="1">
      <c r="A3214" s="21"/>
      <c r="B3214" s="21" t="s">
        <v>4070</v>
      </c>
      <c r="D3214" s="25">
        <v>0.0</v>
      </c>
      <c r="E3214" s="27"/>
      <c r="F3214" s="25">
        <v>0.0</v>
      </c>
      <c r="G3214" s="27"/>
    </row>
    <row r="3215" hidden="1">
      <c r="A3215" s="21"/>
      <c r="B3215" s="21" t="s">
        <v>4071</v>
      </c>
      <c r="D3215" s="25">
        <v>0.0</v>
      </c>
      <c r="E3215" s="27"/>
      <c r="F3215" s="25">
        <v>0.0</v>
      </c>
      <c r="G3215" s="27"/>
    </row>
    <row r="3216" hidden="1">
      <c r="A3216" s="21"/>
      <c r="B3216" s="21" t="s">
        <v>4072</v>
      </c>
      <c r="D3216" s="25">
        <v>0.0</v>
      </c>
      <c r="E3216" s="27"/>
      <c r="F3216" s="25">
        <v>0.0</v>
      </c>
      <c r="G3216" s="27"/>
    </row>
    <row r="3217" hidden="1">
      <c r="A3217" s="21"/>
      <c r="B3217" s="21" t="s">
        <v>4073</v>
      </c>
      <c r="D3217" s="25">
        <v>0.0</v>
      </c>
      <c r="E3217" s="27"/>
      <c r="F3217" s="25">
        <v>0.0</v>
      </c>
      <c r="G3217" s="27"/>
    </row>
    <row r="3218" hidden="1">
      <c r="A3218" s="21"/>
      <c r="B3218" s="21" t="s">
        <v>4074</v>
      </c>
      <c r="D3218" s="25">
        <v>0.0</v>
      </c>
      <c r="E3218" s="27"/>
      <c r="F3218" s="25">
        <v>0.0</v>
      </c>
      <c r="G3218" s="27"/>
    </row>
    <row r="3219" hidden="1">
      <c r="A3219" s="21"/>
      <c r="B3219" s="21" t="s">
        <v>4075</v>
      </c>
      <c r="D3219" s="25">
        <v>0.0</v>
      </c>
      <c r="E3219" s="27"/>
      <c r="F3219" s="25">
        <v>0.0</v>
      </c>
      <c r="G3219" s="27"/>
    </row>
    <row r="3220" hidden="1">
      <c r="A3220" s="21"/>
      <c r="B3220" s="21" t="s">
        <v>4076</v>
      </c>
      <c r="D3220" s="25">
        <v>0.0</v>
      </c>
      <c r="E3220" s="27"/>
      <c r="F3220" s="25">
        <v>0.0</v>
      </c>
      <c r="G3220" s="27"/>
    </row>
    <row r="3221" hidden="1">
      <c r="A3221" s="21"/>
      <c r="B3221" s="21" t="s">
        <v>4077</v>
      </c>
      <c r="D3221" s="25">
        <v>0.0</v>
      </c>
      <c r="E3221" s="27"/>
      <c r="F3221" s="25">
        <v>0.0</v>
      </c>
      <c r="G3221" s="27"/>
    </row>
    <row r="3222" hidden="1">
      <c r="A3222" s="21"/>
      <c r="B3222" s="21" t="s">
        <v>4078</v>
      </c>
      <c r="D3222" s="25">
        <v>0.0</v>
      </c>
      <c r="E3222" s="27"/>
      <c r="F3222" s="25">
        <v>0.0</v>
      </c>
      <c r="G3222" s="27"/>
    </row>
    <row r="3223" hidden="1">
      <c r="A3223" s="21"/>
      <c r="B3223" s="21" t="s">
        <v>4079</v>
      </c>
      <c r="D3223" s="25">
        <v>0.0</v>
      </c>
      <c r="E3223" s="27"/>
      <c r="F3223" s="25">
        <v>0.0</v>
      </c>
      <c r="G3223" s="27"/>
    </row>
    <row r="3224" hidden="1">
      <c r="A3224" s="21"/>
      <c r="B3224" s="21" t="s">
        <v>4080</v>
      </c>
      <c r="D3224" s="25">
        <v>0.0</v>
      </c>
      <c r="E3224" s="27"/>
      <c r="F3224" s="25">
        <v>0.0</v>
      </c>
      <c r="G3224" s="27"/>
    </row>
    <row r="3225" hidden="1">
      <c r="A3225" s="21"/>
      <c r="B3225" s="21" t="s">
        <v>4081</v>
      </c>
      <c r="D3225" s="25">
        <v>0.0</v>
      </c>
      <c r="E3225" s="27"/>
      <c r="F3225" s="25">
        <v>0.0</v>
      </c>
      <c r="G3225" s="27"/>
    </row>
    <row r="3226" hidden="1">
      <c r="A3226" s="21"/>
      <c r="B3226" s="21" t="s">
        <v>4082</v>
      </c>
      <c r="D3226" s="25">
        <v>0.0</v>
      </c>
      <c r="E3226" s="27"/>
      <c r="F3226" s="25">
        <v>0.0</v>
      </c>
      <c r="G3226" s="27"/>
    </row>
    <row r="3227" hidden="1">
      <c r="A3227" s="21"/>
      <c r="B3227" s="21" t="s">
        <v>4083</v>
      </c>
      <c r="D3227" s="25">
        <v>0.0</v>
      </c>
      <c r="E3227" s="27"/>
      <c r="F3227" s="25">
        <v>0.0</v>
      </c>
      <c r="G3227" s="27"/>
    </row>
    <row r="3228" hidden="1">
      <c r="A3228" s="21"/>
      <c r="B3228" s="21" t="s">
        <v>4084</v>
      </c>
      <c r="D3228" s="25">
        <v>0.0</v>
      </c>
      <c r="E3228" s="27"/>
      <c r="F3228" s="25">
        <v>0.0</v>
      </c>
      <c r="G3228" s="27"/>
    </row>
    <row r="3229" hidden="1">
      <c r="A3229" s="21"/>
      <c r="B3229" s="21" t="s">
        <v>4085</v>
      </c>
      <c r="D3229" s="25">
        <v>0.0</v>
      </c>
      <c r="E3229" s="27"/>
      <c r="F3229" s="25">
        <v>0.0</v>
      </c>
      <c r="G3229" s="27"/>
    </row>
    <row r="3230" hidden="1">
      <c r="A3230" s="21"/>
      <c r="B3230" s="21" t="s">
        <v>4086</v>
      </c>
      <c r="D3230" s="25">
        <v>0.0</v>
      </c>
      <c r="E3230" s="27"/>
      <c r="F3230" s="25">
        <v>0.0</v>
      </c>
      <c r="G3230" s="27"/>
    </row>
    <row r="3231" hidden="1">
      <c r="A3231" s="21"/>
      <c r="B3231" s="21" t="s">
        <v>4087</v>
      </c>
      <c r="D3231" s="25">
        <v>0.0</v>
      </c>
      <c r="E3231" s="27"/>
      <c r="F3231" s="25">
        <v>0.0</v>
      </c>
      <c r="G3231" s="27"/>
    </row>
    <row r="3232" hidden="1">
      <c r="A3232" s="21"/>
      <c r="B3232" s="21" t="s">
        <v>4088</v>
      </c>
      <c r="D3232" s="25">
        <v>0.0</v>
      </c>
      <c r="E3232" s="27"/>
      <c r="F3232" s="25">
        <v>0.0</v>
      </c>
      <c r="G3232" s="27"/>
    </row>
    <row r="3233" hidden="1">
      <c r="A3233" s="21"/>
      <c r="B3233" s="21" t="s">
        <v>4089</v>
      </c>
      <c r="D3233" s="25">
        <v>0.0</v>
      </c>
      <c r="E3233" s="27"/>
      <c r="F3233" s="25">
        <v>0.0</v>
      </c>
      <c r="G3233" s="27"/>
    </row>
    <row r="3234" hidden="1">
      <c r="A3234" s="21"/>
      <c r="B3234" s="21" t="s">
        <v>4090</v>
      </c>
      <c r="D3234" s="25">
        <v>0.0</v>
      </c>
      <c r="E3234" s="27"/>
      <c r="F3234" s="25">
        <v>0.0</v>
      </c>
      <c r="G3234" s="27"/>
    </row>
    <row r="3235" hidden="1">
      <c r="A3235" s="21"/>
      <c r="B3235" s="21" t="s">
        <v>4091</v>
      </c>
      <c r="D3235" s="25">
        <v>0.0</v>
      </c>
      <c r="E3235" s="27"/>
      <c r="F3235" s="25">
        <v>0.0</v>
      </c>
      <c r="G3235" s="27"/>
    </row>
    <row r="3236" hidden="1">
      <c r="A3236" s="21"/>
      <c r="B3236" s="21" t="s">
        <v>4092</v>
      </c>
      <c r="D3236" s="25">
        <v>0.0</v>
      </c>
      <c r="E3236" s="27"/>
      <c r="F3236" s="25">
        <v>0.0</v>
      </c>
      <c r="G3236" s="27"/>
    </row>
    <row r="3237" hidden="1">
      <c r="A3237" s="21"/>
      <c r="B3237" s="21" t="s">
        <v>4093</v>
      </c>
      <c r="D3237" s="25">
        <v>0.0</v>
      </c>
      <c r="E3237" s="27"/>
      <c r="F3237" s="25">
        <v>0.0</v>
      </c>
      <c r="G3237" s="27"/>
    </row>
    <row r="3238" hidden="1">
      <c r="A3238" s="21"/>
      <c r="B3238" s="21" t="s">
        <v>4094</v>
      </c>
      <c r="D3238" s="25">
        <v>0.0</v>
      </c>
      <c r="E3238" s="27"/>
      <c r="F3238" s="25">
        <v>0.0</v>
      </c>
      <c r="G3238" s="27"/>
    </row>
    <row r="3239" hidden="1">
      <c r="A3239" s="21"/>
      <c r="B3239" s="21" t="s">
        <v>4095</v>
      </c>
      <c r="D3239" s="25">
        <v>0.0</v>
      </c>
      <c r="E3239" s="27"/>
      <c r="F3239" s="25">
        <v>0.0</v>
      </c>
      <c r="G3239" s="27"/>
    </row>
    <row r="3240" hidden="1">
      <c r="A3240" s="21"/>
      <c r="B3240" s="21" t="s">
        <v>4096</v>
      </c>
      <c r="D3240" s="25">
        <v>0.0</v>
      </c>
      <c r="E3240" s="27"/>
      <c r="F3240" s="25">
        <v>0.0</v>
      </c>
      <c r="G3240" s="27"/>
    </row>
    <row r="3241" hidden="1">
      <c r="A3241" s="21"/>
      <c r="B3241" s="21" t="s">
        <v>4097</v>
      </c>
      <c r="D3241" s="25">
        <v>0.0</v>
      </c>
      <c r="E3241" s="27"/>
      <c r="F3241" s="25">
        <v>0.0</v>
      </c>
      <c r="G3241" s="27"/>
    </row>
    <row r="3242" hidden="1">
      <c r="A3242" s="21"/>
      <c r="B3242" s="21" t="s">
        <v>4098</v>
      </c>
      <c r="D3242" s="25">
        <v>0.0</v>
      </c>
      <c r="E3242" s="27"/>
      <c r="F3242" s="25">
        <v>0.0</v>
      </c>
      <c r="G3242" s="27"/>
    </row>
    <row r="3243" hidden="1">
      <c r="A3243" s="21"/>
      <c r="B3243" s="21" t="s">
        <v>4099</v>
      </c>
      <c r="D3243" s="25">
        <v>0.0</v>
      </c>
      <c r="E3243" s="27"/>
      <c r="F3243" s="25">
        <v>0.0</v>
      </c>
      <c r="G3243" s="27"/>
    </row>
    <row r="3244" hidden="1">
      <c r="A3244" s="21"/>
      <c r="B3244" s="21" t="s">
        <v>4100</v>
      </c>
      <c r="D3244" s="25">
        <v>0.0</v>
      </c>
      <c r="E3244" s="27"/>
      <c r="F3244" s="25">
        <v>0.0</v>
      </c>
      <c r="G3244" s="27"/>
    </row>
    <row r="3245" hidden="1">
      <c r="A3245" s="21"/>
      <c r="B3245" s="21" t="s">
        <v>4101</v>
      </c>
      <c r="D3245" s="25">
        <v>0.0</v>
      </c>
      <c r="E3245" s="27"/>
      <c r="F3245" s="25">
        <v>0.0</v>
      </c>
      <c r="G3245" s="27"/>
    </row>
    <row r="3246" hidden="1">
      <c r="A3246" s="21"/>
      <c r="B3246" s="21" t="s">
        <v>4102</v>
      </c>
      <c r="D3246" s="25">
        <v>0.0</v>
      </c>
      <c r="E3246" s="27"/>
      <c r="F3246" s="25">
        <v>0.0</v>
      </c>
      <c r="G3246" s="27"/>
    </row>
    <row r="3247" hidden="1">
      <c r="A3247" s="21"/>
      <c r="B3247" s="21" t="s">
        <v>4103</v>
      </c>
      <c r="D3247" s="25">
        <v>0.0</v>
      </c>
      <c r="E3247" s="27"/>
      <c r="F3247" s="25">
        <v>0.0</v>
      </c>
      <c r="G3247" s="27"/>
    </row>
    <row r="3248" hidden="1">
      <c r="A3248" s="21"/>
      <c r="B3248" s="21" t="s">
        <v>4104</v>
      </c>
      <c r="D3248" s="25">
        <v>0.0</v>
      </c>
      <c r="E3248" s="27"/>
      <c r="F3248" s="25">
        <v>0.0</v>
      </c>
      <c r="G3248" s="27"/>
    </row>
    <row r="3249" hidden="1">
      <c r="A3249" s="21"/>
      <c r="B3249" s="21" t="s">
        <v>4105</v>
      </c>
      <c r="D3249" s="25">
        <v>0.0</v>
      </c>
      <c r="E3249" s="27"/>
      <c r="F3249" s="25">
        <v>0.0</v>
      </c>
      <c r="G3249" s="27"/>
    </row>
    <row r="3250" hidden="1">
      <c r="A3250" s="21"/>
      <c r="B3250" s="21" t="s">
        <v>4106</v>
      </c>
      <c r="D3250" s="25">
        <v>0.0</v>
      </c>
      <c r="E3250" s="27"/>
      <c r="F3250" s="25">
        <v>0.0</v>
      </c>
      <c r="G3250" s="27"/>
    </row>
    <row r="3251" hidden="1">
      <c r="A3251" s="21"/>
      <c r="B3251" s="21" t="s">
        <v>4107</v>
      </c>
      <c r="D3251" s="25">
        <v>0.0</v>
      </c>
      <c r="E3251" s="27"/>
      <c r="F3251" s="25">
        <v>0.0</v>
      </c>
      <c r="G3251" s="27"/>
    </row>
    <row r="3252" hidden="1">
      <c r="A3252" s="21"/>
      <c r="B3252" s="21" t="s">
        <v>4108</v>
      </c>
      <c r="D3252" s="25">
        <v>0.0</v>
      </c>
      <c r="E3252" s="27"/>
      <c r="F3252" s="25">
        <v>0.0</v>
      </c>
      <c r="G3252" s="27"/>
    </row>
    <row r="3253" hidden="1">
      <c r="A3253" s="21"/>
      <c r="B3253" s="21" t="s">
        <v>4109</v>
      </c>
      <c r="D3253" s="25">
        <v>0.0</v>
      </c>
      <c r="E3253" s="27"/>
      <c r="F3253" s="25">
        <v>0.0</v>
      </c>
      <c r="G3253" s="27"/>
    </row>
    <row r="3254" hidden="1">
      <c r="A3254" s="21"/>
      <c r="B3254" s="21" t="s">
        <v>4110</v>
      </c>
      <c r="D3254" s="25">
        <v>0.0</v>
      </c>
      <c r="E3254" s="27"/>
      <c r="F3254" s="25">
        <v>0.0</v>
      </c>
      <c r="G3254" s="27"/>
    </row>
    <row r="3255" hidden="1">
      <c r="A3255" s="21"/>
      <c r="B3255" s="21" t="s">
        <v>4111</v>
      </c>
      <c r="D3255" s="25">
        <v>0.0</v>
      </c>
      <c r="E3255" s="27"/>
      <c r="F3255" s="25">
        <v>0.0</v>
      </c>
      <c r="G3255" s="27"/>
    </row>
    <row r="3256" hidden="1">
      <c r="A3256" s="21"/>
      <c r="B3256" s="21" t="s">
        <v>4112</v>
      </c>
      <c r="D3256" s="25">
        <v>0.0</v>
      </c>
      <c r="E3256" s="27"/>
      <c r="F3256" s="25">
        <v>0.0</v>
      </c>
      <c r="G3256" s="27"/>
    </row>
    <row r="3257" hidden="1">
      <c r="A3257" s="21"/>
      <c r="B3257" s="21" t="s">
        <v>4113</v>
      </c>
      <c r="D3257" s="25">
        <v>0.0</v>
      </c>
      <c r="E3257" s="27"/>
      <c r="F3257" s="25">
        <v>0.0</v>
      </c>
      <c r="G3257" s="27"/>
    </row>
    <row r="3258" hidden="1">
      <c r="A3258" s="21"/>
      <c r="B3258" s="21" t="s">
        <v>4114</v>
      </c>
      <c r="D3258" s="25">
        <v>0.0</v>
      </c>
      <c r="E3258" s="27"/>
      <c r="F3258" s="25">
        <v>0.0</v>
      </c>
      <c r="G3258" s="27"/>
    </row>
    <row r="3259" hidden="1">
      <c r="A3259" s="21"/>
      <c r="B3259" s="21" t="s">
        <v>4115</v>
      </c>
      <c r="D3259" s="25">
        <v>0.0</v>
      </c>
      <c r="E3259" s="27"/>
      <c r="F3259" s="25">
        <v>0.0</v>
      </c>
      <c r="G3259" s="27"/>
    </row>
    <row r="3260" hidden="1">
      <c r="A3260" s="21"/>
      <c r="B3260" s="21" t="s">
        <v>4116</v>
      </c>
      <c r="D3260" s="25">
        <v>0.0</v>
      </c>
      <c r="E3260" s="27"/>
      <c r="F3260" s="25">
        <v>0.0</v>
      </c>
      <c r="G3260" s="27"/>
    </row>
    <row r="3261" hidden="1">
      <c r="A3261" s="21"/>
      <c r="B3261" s="21" t="s">
        <v>4117</v>
      </c>
      <c r="D3261" s="25">
        <v>0.0</v>
      </c>
      <c r="E3261" s="27"/>
      <c r="F3261" s="25">
        <v>0.0</v>
      </c>
      <c r="G3261" s="27"/>
    </row>
    <row r="3262" hidden="1">
      <c r="A3262" s="21"/>
      <c r="B3262" s="21" t="s">
        <v>4118</v>
      </c>
      <c r="D3262" s="25">
        <v>0.0</v>
      </c>
      <c r="E3262" s="27"/>
      <c r="F3262" s="25">
        <v>0.0</v>
      </c>
      <c r="G3262" s="27"/>
    </row>
    <row r="3263" hidden="1">
      <c r="A3263" s="21"/>
      <c r="B3263" s="21" t="s">
        <v>4119</v>
      </c>
      <c r="D3263" s="25">
        <v>0.0</v>
      </c>
      <c r="E3263" s="27"/>
      <c r="F3263" s="25">
        <v>0.0</v>
      </c>
      <c r="G3263" s="27"/>
    </row>
    <row r="3264" hidden="1">
      <c r="A3264" s="21"/>
      <c r="B3264" s="21" t="s">
        <v>4120</v>
      </c>
      <c r="D3264" s="25">
        <v>0.0</v>
      </c>
      <c r="E3264" s="27"/>
      <c r="F3264" s="25">
        <v>0.0</v>
      </c>
      <c r="G3264" s="27"/>
    </row>
    <row r="3265" hidden="1">
      <c r="A3265" s="21"/>
      <c r="B3265" s="21" t="s">
        <v>4121</v>
      </c>
      <c r="D3265" s="25">
        <v>0.0</v>
      </c>
      <c r="E3265" s="27"/>
      <c r="F3265" s="25">
        <v>7.05</v>
      </c>
      <c r="G3265" s="27"/>
    </row>
    <row r="3266" hidden="1">
      <c r="A3266" s="21"/>
      <c r="B3266" s="21" t="s">
        <v>4122</v>
      </c>
      <c r="D3266" s="25">
        <v>0.0</v>
      </c>
      <c r="E3266" s="27"/>
      <c r="F3266" s="25">
        <v>0.0</v>
      </c>
      <c r="G3266" s="27"/>
    </row>
    <row r="3267" hidden="1">
      <c r="A3267" s="21"/>
      <c r="B3267" s="21" t="s">
        <v>4123</v>
      </c>
      <c r="D3267" s="25">
        <v>0.0</v>
      </c>
      <c r="E3267" s="27"/>
      <c r="F3267" s="25">
        <v>0.0</v>
      </c>
      <c r="G3267" s="27"/>
    </row>
    <row r="3268" hidden="1">
      <c r="A3268" s="21"/>
      <c r="B3268" s="21" t="s">
        <v>4124</v>
      </c>
      <c r="D3268" s="25">
        <v>0.0</v>
      </c>
      <c r="E3268" s="27"/>
      <c r="F3268" s="25">
        <v>6.65</v>
      </c>
      <c r="G3268" s="27"/>
    </row>
    <row r="3269" hidden="1">
      <c r="A3269" s="21"/>
      <c r="B3269" s="21" t="s">
        <v>4125</v>
      </c>
      <c r="D3269" s="25">
        <v>0.0</v>
      </c>
      <c r="E3269" s="27"/>
      <c r="F3269" s="25">
        <v>0.0</v>
      </c>
      <c r="G3269" s="27"/>
    </row>
    <row r="3270" hidden="1">
      <c r="A3270" s="21"/>
      <c r="B3270" s="21" t="s">
        <v>4126</v>
      </c>
      <c r="D3270" s="25">
        <v>0.0</v>
      </c>
      <c r="E3270" s="27"/>
      <c r="F3270" s="25">
        <v>0.0</v>
      </c>
      <c r="G3270" s="27"/>
    </row>
    <row r="3271" hidden="1">
      <c r="A3271" s="21"/>
      <c r="B3271" s="21" t="s">
        <v>4127</v>
      </c>
      <c r="D3271" s="25">
        <v>0.0</v>
      </c>
      <c r="E3271" s="27"/>
      <c r="F3271" s="25">
        <v>0.0</v>
      </c>
      <c r="G3271" s="27"/>
    </row>
    <row r="3272" hidden="1">
      <c r="A3272" s="21"/>
      <c r="B3272" s="21" t="s">
        <v>4128</v>
      </c>
      <c r="D3272" s="25">
        <v>0.0</v>
      </c>
      <c r="E3272" s="27"/>
      <c r="F3272" s="25">
        <v>0.0</v>
      </c>
      <c r="G3272" s="27"/>
    </row>
    <row r="3273" hidden="1">
      <c r="A3273" s="21"/>
      <c r="B3273" s="21" t="s">
        <v>4129</v>
      </c>
      <c r="D3273" s="25">
        <v>0.0</v>
      </c>
      <c r="E3273" s="27"/>
      <c r="F3273" s="25">
        <v>0.0</v>
      </c>
      <c r="G3273" s="27"/>
    </row>
    <row r="3274" hidden="1">
      <c r="A3274" s="21"/>
      <c r="B3274" s="21" t="s">
        <v>4130</v>
      </c>
      <c r="D3274" s="25">
        <v>0.0</v>
      </c>
      <c r="E3274" s="27"/>
      <c r="F3274" s="25">
        <v>0.0</v>
      </c>
      <c r="G3274" s="27"/>
    </row>
    <row r="3275" hidden="1">
      <c r="A3275" s="21"/>
      <c r="B3275" s="21" t="s">
        <v>4131</v>
      </c>
      <c r="D3275" s="25">
        <v>0.0</v>
      </c>
      <c r="E3275" s="27"/>
      <c r="F3275" s="25">
        <v>0.0</v>
      </c>
      <c r="G3275" s="27"/>
    </row>
    <row r="3276" hidden="1">
      <c r="A3276" s="21"/>
      <c r="B3276" s="21" t="s">
        <v>4132</v>
      </c>
      <c r="D3276" s="25">
        <v>0.0</v>
      </c>
      <c r="E3276" s="27"/>
      <c r="F3276" s="25">
        <v>4.38</v>
      </c>
      <c r="G3276" s="27"/>
    </row>
    <row r="3277" hidden="1">
      <c r="A3277" s="21"/>
      <c r="B3277" s="21" t="s">
        <v>4133</v>
      </c>
      <c r="D3277" s="25">
        <v>0.0</v>
      </c>
      <c r="E3277" s="27"/>
      <c r="F3277" s="25">
        <v>0.0</v>
      </c>
      <c r="G3277" s="27"/>
    </row>
    <row r="3278" hidden="1">
      <c r="A3278" s="21"/>
      <c r="B3278" s="21" t="s">
        <v>4134</v>
      </c>
      <c r="D3278" s="25">
        <v>0.0</v>
      </c>
      <c r="E3278" s="27"/>
      <c r="F3278" s="25">
        <v>0.0</v>
      </c>
      <c r="G3278" s="27"/>
    </row>
    <row r="3279" hidden="1">
      <c r="A3279" s="21"/>
      <c r="B3279" s="21" t="s">
        <v>4135</v>
      </c>
      <c r="D3279" s="25">
        <v>0.0</v>
      </c>
      <c r="E3279" s="27"/>
      <c r="F3279" s="25">
        <v>0.0</v>
      </c>
      <c r="G3279" s="27"/>
    </row>
    <row r="3280" hidden="1">
      <c r="A3280" s="21"/>
      <c r="B3280" s="21" t="s">
        <v>4136</v>
      </c>
      <c r="D3280" s="25">
        <v>0.0</v>
      </c>
      <c r="E3280" s="27"/>
      <c r="F3280" s="25">
        <v>0.0</v>
      </c>
      <c r="G3280" s="27"/>
    </row>
    <row r="3281" hidden="1">
      <c r="A3281" s="21"/>
      <c r="B3281" s="21" t="s">
        <v>4137</v>
      </c>
      <c r="D3281" s="25">
        <v>0.0</v>
      </c>
      <c r="E3281" s="27"/>
      <c r="F3281" s="25">
        <v>0.0</v>
      </c>
      <c r="G3281" s="27"/>
    </row>
    <row r="3282" hidden="1">
      <c r="A3282" s="21"/>
      <c r="B3282" s="21" t="s">
        <v>4138</v>
      </c>
      <c r="D3282" s="25">
        <v>0.0</v>
      </c>
      <c r="E3282" s="27"/>
      <c r="F3282" s="25">
        <v>0.0</v>
      </c>
      <c r="G3282" s="27"/>
    </row>
    <row r="3283" hidden="1">
      <c r="A3283" s="21"/>
      <c r="B3283" s="21" t="s">
        <v>4139</v>
      </c>
      <c r="D3283" s="25">
        <v>0.0</v>
      </c>
      <c r="E3283" s="27"/>
      <c r="F3283" s="25">
        <v>0.0</v>
      </c>
      <c r="G3283" s="27"/>
    </row>
    <row r="3284" hidden="1">
      <c r="A3284" s="21"/>
      <c r="B3284" s="21" t="s">
        <v>4140</v>
      </c>
      <c r="D3284" s="25">
        <v>0.0</v>
      </c>
      <c r="E3284" s="27"/>
      <c r="F3284" s="25">
        <v>0.0</v>
      </c>
      <c r="G3284" s="27"/>
    </row>
    <row r="3285" hidden="1">
      <c r="A3285" s="21"/>
      <c r="B3285" s="21" t="s">
        <v>4141</v>
      </c>
      <c r="D3285" s="25">
        <v>0.0</v>
      </c>
      <c r="E3285" s="27"/>
      <c r="F3285" s="25">
        <v>0.0</v>
      </c>
      <c r="G3285" s="27"/>
    </row>
    <row r="3286" hidden="1">
      <c r="A3286" s="21"/>
      <c r="B3286" s="21" t="s">
        <v>4142</v>
      </c>
      <c r="D3286" s="25">
        <v>0.0</v>
      </c>
      <c r="E3286" s="27"/>
      <c r="F3286" s="25">
        <v>0.0</v>
      </c>
      <c r="G3286" s="27"/>
    </row>
    <row r="3287" hidden="1">
      <c r="A3287" s="21"/>
      <c r="B3287" s="21" t="s">
        <v>4143</v>
      </c>
      <c r="D3287" s="25">
        <v>0.0</v>
      </c>
      <c r="E3287" s="27"/>
      <c r="F3287" s="25">
        <v>0.0</v>
      </c>
      <c r="G3287" s="27"/>
    </row>
    <row r="3288" hidden="1">
      <c r="A3288" s="21"/>
      <c r="B3288" s="21" t="s">
        <v>4144</v>
      </c>
      <c r="D3288" s="25">
        <v>0.0</v>
      </c>
      <c r="E3288" s="27"/>
      <c r="F3288" s="25">
        <v>0.0</v>
      </c>
      <c r="G3288" s="27"/>
    </row>
    <row r="3289" hidden="1">
      <c r="A3289" s="21"/>
      <c r="B3289" s="21" t="s">
        <v>4145</v>
      </c>
      <c r="D3289" s="25">
        <v>0.0</v>
      </c>
      <c r="E3289" s="27"/>
      <c r="F3289" s="25">
        <v>0.0</v>
      </c>
      <c r="G3289" s="27"/>
    </row>
    <row r="3290" hidden="1">
      <c r="A3290" s="21"/>
      <c r="B3290" s="21" t="s">
        <v>4146</v>
      </c>
      <c r="D3290" s="25">
        <v>0.0</v>
      </c>
      <c r="E3290" s="27"/>
      <c r="F3290" s="25">
        <v>0.0</v>
      </c>
      <c r="G3290" s="27"/>
    </row>
    <row r="3291" hidden="1">
      <c r="A3291" s="21"/>
      <c r="B3291" s="21" t="s">
        <v>4147</v>
      </c>
      <c r="D3291" s="25">
        <v>0.0</v>
      </c>
      <c r="E3291" s="27"/>
      <c r="F3291" s="25">
        <v>0.0</v>
      </c>
      <c r="G3291" s="27"/>
    </row>
    <row r="3292" hidden="1">
      <c r="A3292" s="21"/>
      <c r="B3292" s="21" t="s">
        <v>4148</v>
      </c>
      <c r="D3292" s="25">
        <v>0.0</v>
      </c>
      <c r="E3292" s="27"/>
      <c r="F3292" s="25">
        <v>0.0</v>
      </c>
      <c r="G3292" s="27"/>
    </row>
    <row r="3293" hidden="1">
      <c r="A3293" s="21"/>
      <c r="B3293" s="21" t="s">
        <v>4149</v>
      </c>
      <c r="D3293" s="25">
        <v>0.0</v>
      </c>
      <c r="E3293" s="27"/>
      <c r="F3293" s="25">
        <v>0.0</v>
      </c>
      <c r="G3293" s="27"/>
    </row>
    <row r="3294" hidden="1">
      <c r="A3294" s="21"/>
      <c r="B3294" s="21" t="s">
        <v>4150</v>
      </c>
      <c r="D3294" s="25">
        <v>0.0</v>
      </c>
      <c r="E3294" s="27"/>
      <c r="F3294" s="25">
        <v>0.0</v>
      </c>
      <c r="G3294" s="27"/>
    </row>
    <row r="3295" hidden="1">
      <c r="A3295" s="21"/>
      <c r="B3295" s="21" t="s">
        <v>4151</v>
      </c>
      <c r="D3295" s="25">
        <v>0.0</v>
      </c>
      <c r="E3295" s="27"/>
      <c r="F3295" s="25">
        <v>0.0</v>
      </c>
      <c r="G3295" s="27"/>
    </row>
    <row r="3296" hidden="1">
      <c r="A3296" s="21"/>
      <c r="B3296" s="21" t="s">
        <v>4152</v>
      </c>
      <c r="D3296" s="25">
        <v>0.0</v>
      </c>
      <c r="E3296" s="27"/>
      <c r="F3296" s="25">
        <v>0.0</v>
      </c>
      <c r="G3296" s="27"/>
    </row>
    <row r="3297" hidden="1">
      <c r="A3297" s="21"/>
      <c r="B3297" s="21" t="s">
        <v>4153</v>
      </c>
      <c r="D3297" s="25">
        <v>0.0</v>
      </c>
      <c r="E3297" s="27"/>
      <c r="F3297" s="25">
        <v>0.0</v>
      </c>
      <c r="G3297" s="27"/>
    </row>
    <row r="3298" hidden="1">
      <c r="A3298" s="21"/>
      <c r="B3298" s="21" t="s">
        <v>4154</v>
      </c>
      <c r="D3298" s="25">
        <v>0.0</v>
      </c>
      <c r="E3298" s="27"/>
      <c r="F3298" s="25">
        <v>0.0</v>
      </c>
      <c r="G3298" s="27"/>
    </row>
    <row r="3299" hidden="1">
      <c r="A3299" s="21"/>
      <c r="B3299" s="21" t="s">
        <v>4155</v>
      </c>
      <c r="D3299" s="25">
        <v>0.0</v>
      </c>
      <c r="E3299" s="27"/>
      <c r="F3299" s="25">
        <v>0.0</v>
      </c>
      <c r="G3299" s="27"/>
    </row>
    <row r="3300" hidden="1">
      <c r="A3300" s="21"/>
      <c r="B3300" s="21" t="s">
        <v>4156</v>
      </c>
      <c r="D3300" s="25">
        <v>0.0</v>
      </c>
      <c r="E3300" s="27"/>
      <c r="F3300" s="25">
        <v>0.0</v>
      </c>
      <c r="G3300" s="27"/>
    </row>
    <row r="3301" hidden="1">
      <c r="A3301" s="21"/>
      <c r="B3301" s="21" t="s">
        <v>4157</v>
      </c>
      <c r="D3301" s="25">
        <v>0.0</v>
      </c>
      <c r="E3301" s="27"/>
      <c r="F3301" s="25">
        <v>0.0</v>
      </c>
      <c r="G3301" s="27"/>
    </row>
    <row r="3302" hidden="1">
      <c r="A3302" s="21"/>
      <c r="B3302" s="21" t="s">
        <v>4158</v>
      </c>
      <c r="D3302" s="25">
        <v>0.0</v>
      </c>
      <c r="E3302" s="27"/>
      <c r="F3302" s="25">
        <v>0.0</v>
      </c>
      <c r="G3302" s="27"/>
    </row>
    <row r="3303" hidden="1">
      <c r="A3303" s="21"/>
      <c r="B3303" s="21" t="s">
        <v>4159</v>
      </c>
      <c r="D3303" s="25">
        <v>0.0</v>
      </c>
      <c r="E3303" s="27"/>
      <c r="F3303" s="25">
        <v>0.0</v>
      </c>
      <c r="G3303" s="27"/>
    </row>
    <row r="3304" hidden="1">
      <c r="A3304" s="21"/>
      <c r="B3304" s="21" t="s">
        <v>4160</v>
      </c>
      <c r="D3304" s="25">
        <v>0.0</v>
      </c>
      <c r="E3304" s="27"/>
      <c r="F3304" s="25">
        <v>0.0</v>
      </c>
      <c r="G3304" s="27"/>
    </row>
    <row r="3305" hidden="1">
      <c r="A3305" s="21"/>
      <c r="B3305" s="21" t="s">
        <v>4161</v>
      </c>
      <c r="D3305" s="25">
        <v>0.0</v>
      </c>
      <c r="E3305" s="27"/>
      <c r="F3305" s="25">
        <v>0.0</v>
      </c>
      <c r="G3305" s="27"/>
    </row>
    <row r="3306" hidden="1">
      <c r="A3306" s="21"/>
      <c r="B3306" s="21" t="s">
        <v>4162</v>
      </c>
      <c r="D3306" s="25">
        <v>0.0</v>
      </c>
      <c r="E3306" s="27"/>
      <c r="F3306" s="25">
        <v>0.0</v>
      </c>
      <c r="G3306" s="27"/>
    </row>
    <row r="3307" hidden="1">
      <c r="A3307" s="21"/>
      <c r="B3307" s="21" t="s">
        <v>4163</v>
      </c>
      <c r="D3307" s="25">
        <v>0.0</v>
      </c>
      <c r="E3307" s="27"/>
      <c r="F3307" s="25">
        <v>0.0</v>
      </c>
      <c r="G3307" s="27"/>
    </row>
    <row r="3308" hidden="1">
      <c r="A3308" s="21"/>
      <c r="B3308" s="21" t="s">
        <v>4164</v>
      </c>
      <c r="D3308" s="25">
        <v>0.0</v>
      </c>
      <c r="E3308" s="27"/>
      <c r="F3308" s="25">
        <v>0.0</v>
      </c>
      <c r="G3308" s="27"/>
    </row>
    <row r="3309" hidden="1">
      <c r="A3309" s="21"/>
      <c r="B3309" s="21" t="s">
        <v>4165</v>
      </c>
      <c r="D3309" s="25">
        <v>0.0</v>
      </c>
      <c r="E3309" s="27"/>
      <c r="F3309" s="25">
        <v>0.0</v>
      </c>
      <c r="G3309" s="27"/>
    </row>
    <row r="3310" hidden="1">
      <c r="A3310" s="21"/>
      <c r="B3310" s="21" t="s">
        <v>4166</v>
      </c>
      <c r="D3310" s="25">
        <v>0.0</v>
      </c>
      <c r="E3310" s="27"/>
      <c r="F3310" s="25">
        <v>0.0</v>
      </c>
      <c r="G3310" s="27"/>
    </row>
    <row r="3311" hidden="1">
      <c r="A3311" s="21"/>
      <c r="B3311" s="21" t="s">
        <v>4167</v>
      </c>
      <c r="D3311" s="25">
        <v>0.0</v>
      </c>
      <c r="E3311" s="27"/>
      <c r="F3311" s="25">
        <v>0.0</v>
      </c>
      <c r="G3311" s="27"/>
    </row>
    <row r="3312" hidden="1">
      <c r="A3312" s="21"/>
      <c r="B3312" s="21" t="s">
        <v>4168</v>
      </c>
      <c r="D3312" s="25">
        <v>0.0</v>
      </c>
      <c r="E3312" s="27"/>
      <c r="F3312" s="25">
        <v>0.0</v>
      </c>
      <c r="G3312" s="27"/>
    </row>
    <row r="3313" hidden="1">
      <c r="A3313" s="21"/>
      <c r="B3313" s="21" t="s">
        <v>4169</v>
      </c>
      <c r="D3313" s="25">
        <v>0.0</v>
      </c>
      <c r="E3313" s="27"/>
      <c r="F3313" s="25">
        <v>0.0</v>
      </c>
      <c r="G3313" s="27"/>
    </row>
    <row r="3314" hidden="1">
      <c r="A3314" s="21"/>
      <c r="B3314" s="21" t="s">
        <v>4170</v>
      </c>
      <c r="D3314" s="25">
        <v>0.0</v>
      </c>
      <c r="E3314" s="27"/>
      <c r="F3314" s="25">
        <v>0.0</v>
      </c>
      <c r="G3314" s="27"/>
    </row>
    <row r="3315" hidden="1">
      <c r="A3315" s="21"/>
      <c r="B3315" s="21" t="s">
        <v>4171</v>
      </c>
      <c r="D3315" s="25">
        <v>0.0</v>
      </c>
      <c r="E3315" s="27"/>
      <c r="F3315" s="25">
        <v>0.0</v>
      </c>
      <c r="G3315" s="27"/>
    </row>
    <row r="3316" hidden="1">
      <c r="A3316" s="21"/>
      <c r="B3316" s="21" t="s">
        <v>4172</v>
      </c>
      <c r="D3316" s="25">
        <v>0.0</v>
      </c>
      <c r="E3316" s="27"/>
      <c r="F3316" s="25">
        <v>0.0</v>
      </c>
      <c r="G3316" s="27"/>
    </row>
    <row r="3317" hidden="1">
      <c r="A3317" s="21"/>
      <c r="B3317" s="21" t="s">
        <v>4173</v>
      </c>
      <c r="D3317" s="25">
        <v>0.0</v>
      </c>
      <c r="E3317" s="27"/>
      <c r="F3317" s="25">
        <v>0.0</v>
      </c>
      <c r="G3317" s="27"/>
    </row>
    <row r="3318" hidden="1">
      <c r="A3318" s="21"/>
      <c r="B3318" s="21" t="s">
        <v>4174</v>
      </c>
      <c r="D3318" s="25">
        <v>0.0</v>
      </c>
      <c r="E3318" s="27"/>
      <c r="F3318" s="25">
        <v>0.0</v>
      </c>
      <c r="G3318" s="27"/>
    </row>
    <row r="3319" hidden="1">
      <c r="A3319" s="21"/>
      <c r="B3319" s="21" t="s">
        <v>4175</v>
      </c>
      <c r="D3319" s="25">
        <v>0.0</v>
      </c>
      <c r="E3319" s="27"/>
      <c r="F3319" s="25">
        <v>0.0</v>
      </c>
      <c r="G3319" s="27"/>
    </row>
    <row r="3320" hidden="1">
      <c r="A3320" s="21"/>
      <c r="B3320" s="21" t="s">
        <v>4176</v>
      </c>
      <c r="D3320" s="25">
        <v>0.0</v>
      </c>
      <c r="E3320" s="27"/>
      <c r="F3320" s="25">
        <v>0.0</v>
      </c>
      <c r="G3320" s="27"/>
    </row>
    <row r="3321" hidden="1">
      <c r="A3321" s="21"/>
      <c r="B3321" s="21" t="s">
        <v>4177</v>
      </c>
      <c r="D3321" s="25">
        <v>0.0</v>
      </c>
      <c r="E3321" s="27"/>
      <c r="F3321" s="25">
        <v>0.0</v>
      </c>
      <c r="G3321" s="27"/>
    </row>
    <row r="3322" hidden="1">
      <c r="A3322" s="21"/>
      <c r="B3322" s="21" t="s">
        <v>4178</v>
      </c>
      <c r="D3322" s="25">
        <v>0.0</v>
      </c>
      <c r="E3322" s="27"/>
      <c r="F3322" s="25">
        <v>0.0</v>
      </c>
      <c r="G3322" s="27"/>
    </row>
    <row r="3323" hidden="1">
      <c r="A3323" s="21"/>
      <c r="B3323" s="21" t="s">
        <v>4179</v>
      </c>
      <c r="D3323" s="25">
        <v>0.0</v>
      </c>
      <c r="E3323" s="27"/>
      <c r="F3323" s="25">
        <v>0.0</v>
      </c>
      <c r="G3323" s="27"/>
    </row>
    <row r="3324" hidden="1">
      <c r="A3324" s="21"/>
      <c r="B3324" s="21" t="s">
        <v>4180</v>
      </c>
      <c r="D3324" s="25">
        <v>0.0</v>
      </c>
      <c r="E3324" s="27"/>
      <c r="F3324" s="25">
        <v>0.0</v>
      </c>
      <c r="G3324" s="27"/>
    </row>
    <row r="3325" hidden="1">
      <c r="A3325" s="21"/>
      <c r="B3325" s="21" t="s">
        <v>4181</v>
      </c>
      <c r="D3325" s="25">
        <v>0.0</v>
      </c>
      <c r="E3325" s="27"/>
      <c r="F3325" s="25">
        <v>0.0</v>
      </c>
      <c r="G3325" s="27"/>
    </row>
    <row r="3326" hidden="1">
      <c r="A3326" s="21"/>
      <c r="B3326" s="21" t="s">
        <v>4182</v>
      </c>
      <c r="D3326" s="25">
        <v>0.0</v>
      </c>
      <c r="E3326" s="27"/>
      <c r="F3326" s="25">
        <v>0.0</v>
      </c>
      <c r="G3326" s="27"/>
    </row>
    <row r="3327" hidden="1">
      <c r="A3327" s="21"/>
      <c r="B3327" s="21" t="s">
        <v>4183</v>
      </c>
      <c r="D3327" s="25">
        <v>0.0</v>
      </c>
      <c r="E3327" s="27"/>
      <c r="F3327" s="25">
        <v>0.0</v>
      </c>
      <c r="G3327" s="27"/>
    </row>
    <row r="3328" hidden="1">
      <c r="A3328" s="21"/>
      <c r="B3328" s="21" t="s">
        <v>4184</v>
      </c>
      <c r="D3328" s="25">
        <v>0.0</v>
      </c>
      <c r="E3328" s="27"/>
      <c r="F3328" s="25">
        <v>0.0</v>
      </c>
      <c r="G3328" s="27"/>
    </row>
    <row r="3329" hidden="1">
      <c r="A3329" s="21"/>
      <c r="B3329" s="21" t="s">
        <v>4185</v>
      </c>
      <c r="D3329" s="25">
        <v>0.0</v>
      </c>
      <c r="E3329" s="27"/>
      <c r="F3329" s="25">
        <v>0.0</v>
      </c>
      <c r="G3329" s="27"/>
    </row>
    <row r="3330" hidden="1">
      <c r="A3330" s="21"/>
      <c r="B3330" s="21" t="s">
        <v>4186</v>
      </c>
      <c r="D3330" s="25">
        <v>0.0</v>
      </c>
      <c r="E3330" s="27"/>
      <c r="F3330" s="25">
        <v>0.0</v>
      </c>
      <c r="G3330" s="27"/>
    </row>
    <row r="3331" hidden="1">
      <c r="A3331" s="21"/>
      <c r="B3331" s="21" t="s">
        <v>4187</v>
      </c>
      <c r="D3331" s="25">
        <v>0.0</v>
      </c>
      <c r="E3331" s="27"/>
      <c r="F3331" s="25">
        <v>0.0</v>
      </c>
      <c r="G3331" s="27"/>
    </row>
    <row r="3332" hidden="1">
      <c r="A3332" s="21"/>
      <c r="B3332" s="21" t="s">
        <v>4188</v>
      </c>
      <c r="D3332" s="25">
        <v>0.0</v>
      </c>
      <c r="E3332" s="27"/>
      <c r="F3332" s="25">
        <v>0.0</v>
      </c>
      <c r="G3332" s="27"/>
    </row>
    <row r="3333" hidden="1">
      <c r="A3333" s="21"/>
      <c r="B3333" s="21" t="s">
        <v>4189</v>
      </c>
      <c r="D3333" s="25">
        <v>0.0</v>
      </c>
      <c r="E3333" s="27"/>
      <c r="F3333" s="25">
        <v>0.0</v>
      </c>
      <c r="G3333" s="27"/>
    </row>
    <row r="3334" hidden="1">
      <c r="A3334" s="21"/>
      <c r="B3334" s="21" t="s">
        <v>4190</v>
      </c>
      <c r="D3334" s="25">
        <v>0.0</v>
      </c>
      <c r="E3334" s="27"/>
      <c r="F3334" s="25">
        <v>0.0</v>
      </c>
      <c r="G3334" s="27"/>
    </row>
    <row r="3335" hidden="1">
      <c r="A3335" s="21"/>
      <c r="B3335" s="21" t="s">
        <v>4191</v>
      </c>
      <c r="D3335" s="25">
        <v>0.0</v>
      </c>
      <c r="E3335" s="27"/>
      <c r="F3335" s="25">
        <v>0.0</v>
      </c>
      <c r="G3335" s="27"/>
    </row>
    <row r="3336" hidden="1">
      <c r="A3336" s="21"/>
      <c r="B3336" s="21" t="s">
        <v>4192</v>
      </c>
      <c r="D3336" s="25">
        <v>0.0</v>
      </c>
      <c r="E3336" s="27"/>
      <c r="F3336" s="25">
        <v>0.0</v>
      </c>
      <c r="G3336" s="27"/>
    </row>
    <row r="3337" hidden="1">
      <c r="A3337" s="21"/>
      <c r="B3337" s="21" t="s">
        <v>4193</v>
      </c>
      <c r="D3337" s="25">
        <v>0.0</v>
      </c>
      <c r="E3337" s="27"/>
      <c r="F3337" s="25">
        <v>0.0</v>
      </c>
      <c r="G3337" s="27"/>
    </row>
    <row r="3338" hidden="1">
      <c r="A3338" s="21"/>
      <c r="B3338" s="21" t="s">
        <v>4194</v>
      </c>
      <c r="D3338" s="25">
        <v>0.0</v>
      </c>
      <c r="E3338" s="27"/>
      <c r="F3338" s="25">
        <v>0.0</v>
      </c>
      <c r="G3338" s="27"/>
    </row>
    <row r="3339" hidden="1">
      <c r="A3339" s="21"/>
      <c r="B3339" s="21" t="s">
        <v>4195</v>
      </c>
      <c r="D3339" s="25">
        <v>0.0</v>
      </c>
      <c r="E3339" s="27"/>
      <c r="F3339" s="25">
        <v>0.0</v>
      </c>
      <c r="G3339" s="27"/>
    </row>
    <row r="3340" hidden="1">
      <c r="A3340" s="21"/>
      <c r="B3340" s="21" t="s">
        <v>4196</v>
      </c>
      <c r="D3340" s="25">
        <v>0.0</v>
      </c>
      <c r="E3340" s="27"/>
      <c r="F3340" s="25">
        <v>0.0</v>
      </c>
      <c r="G3340" s="27"/>
    </row>
    <row r="3341" hidden="1">
      <c r="A3341" s="21"/>
      <c r="B3341" s="21" t="s">
        <v>4197</v>
      </c>
      <c r="D3341" s="25">
        <v>0.0</v>
      </c>
      <c r="E3341" s="27"/>
      <c r="F3341" s="25">
        <v>5.48</v>
      </c>
      <c r="G3341" s="27"/>
    </row>
    <row r="3342" hidden="1">
      <c r="A3342" s="21"/>
      <c r="B3342" s="21" t="s">
        <v>4198</v>
      </c>
      <c r="D3342" s="25">
        <v>0.0</v>
      </c>
      <c r="E3342" s="27"/>
      <c r="F3342" s="25">
        <v>0.0</v>
      </c>
      <c r="G3342" s="27"/>
    </row>
    <row r="3343" hidden="1">
      <c r="A3343" s="21"/>
      <c r="B3343" s="21" t="s">
        <v>4199</v>
      </c>
      <c r="D3343" s="25">
        <v>0.0</v>
      </c>
      <c r="E3343" s="27"/>
      <c r="F3343" s="25">
        <v>0.0</v>
      </c>
      <c r="G3343" s="27"/>
    </row>
    <row r="3344" hidden="1">
      <c r="A3344" s="21"/>
      <c r="B3344" s="21" t="s">
        <v>4200</v>
      </c>
      <c r="D3344" s="25">
        <v>0.0</v>
      </c>
      <c r="E3344" s="27"/>
      <c r="F3344" s="25">
        <v>0.0</v>
      </c>
      <c r="G3344" s="27"/>
    </row>
    <row r="3345" hidden="1">
      <c r="A3345" s="21"/>
      <c r="B3345" s="21" t="s">
        <v>4201</v>
      </c>
      <c r="D3345" s="25">
        <v>0.0</v>
      </c>
      <c r="E3345" s="27"/>
      <c r="F3345" s="25">
        <v>0.0</v>
      </c>
      <c r="G3345" s="27"/>
    </row>
    <row r="3346" hidden="1">
      <c r="A3346" s="21"/>
      <c r="B3346" s="21" t="s">
        <v>4202</v>
      </c>
      <c r="D3346" s="25">
        <v>0.0</v>
      </c>
      <c r="E3346" s="27"/>
      <c r="F3346" s="25">
        <v>0.0</v>
      </c>
      <c r="G3346" s="27"/>
    </row>
    <row r="3347" hidden="1">
      <c r="A3347" s="21"/>
      <c r="B3347" s="21" t="s">
        <v>4203</v>
      </c>
      <c r="D3347" s="25">
        <v>0.0</v>
      </c>
      <c r="E3347" s="27"/>
      <c r="F3347" s="25">
        <v>0.0</v>
      </c>
      <c r="G3347" s="27"/>
    </row>
    <row r="3348" hidden="1">
      <c r="A3348" s="21"/>
      <c r="B3348" s="21" t="s">
        <v>4204</v>
      </c>
      <c r="D3348" s="25">
        <v>0.0</v>
      </c>
      <c r="E3348" s="27"/>
      <c r="F3348" s="25">
        <v>0.0</v>
      </c>
      <c r="G3348" s="27"/>
    </row>
    <row r="3349" hidden="1">
      <c r="A3349" s="21"/>
      <c r="B3349" s="21" t="s">
        <v>4205</v>
      </c>
      <c r="D3349" s="25">
        <v>0.0</v>
      </c>
      <c r="E3349" s="27"/>
      <c r="F3349" s="25">
        <v>0.0</v>
      </c>
      <c r="G3349" s="27"/>
    </row>
    <row r="3350" hidden="1">
      <c r="A3350" s="21"/>
      <c r="B3350" s="21" t="s">
        <v>4206</v>
      </c>
      <c r="D3350" s="25">
        <v>0.0</v>
      </c>
      <c r="E3350" s="27"/>
      <c r="F3350" s="25">
        <v>0.0</v>
      </c>
      <c r="G3350" s="27"/>
    </row>
    <row r="3351" hidden="1">
      <c r="A3351" s="21"/>
      <c r="B3351" s="21" t="s">
        <v>4207</v>
      </c>
      <c r="D3351" s="25">
        <v>0.0</v>
      </c>
      <c r="E3351" s="27"/>
      <c r="F3351" s="25">
        <v>0.0</v>
      </c>
      <c r="G3351" s="27"/>
    </row>
    <row r="3352" hidden="1">
      <c r="A3352" s="21"/>
      <c r="B3352" s="21" t="s">
        <v>4208</v>
      </c>
      <c r="D3352" s="25">
        <v>0.0</v>
      </c>
      <c r="E3352" s="27"/>
      <c r="F3352" s="25">
        <v>0.0</v>
      </c>
      <c r="G3352" s="27"/>
    </row>
    <row r="3353" hidden="1">
      <c r="A3353" s="21"/>
      <c r="B3353" s="21" t="s">
        <v>4209</v>
      </c>
      <c r="D3353" s="25">
        <v>0.0</v>
      </c>
      <c r="E3353" s="27"/>
      <c r="F3353" s="25">
        <v>0.0</v>
      </c>
      <c r="G3353" s="27"/>
    </row>
    <row r="3354" hidden="1">
      <c r="A3354" s="21"/>
      <c r="B3354" s="21" t="s">
        <v>4210</v>
      </c>
      <c r="D3354" s="25">
        <v>0.0</v>
      </c>
      <c r="E3354" s="27"/>
      <c r="F3354" s="25">
        <v>0.0</v>
      </c>
      <c r="G3354" s="27"/>
    </row>
    <row r="3355" hidden="1">
      <c r="A3355" s="21"/>
      <c r="B3355" s="21" t="s">
        <v>4211</v>
      </c>
      <c r="D3355" s="25">
        <v>0.0</v>
      </c>
      <c r="E3355" s="27"/>
      <c r="F3355" s="25">
        <v>0.0</v>
      </c>
      <c r="G3355" s="27"/>
    </row>
    <row r="3356" hidden="1">
      <c r="A3356" s="21"/>
      <c r="B3356" s="21" t="s">
        <v>4212</v>
      </c>
      <c r="D3356" s="25">
        <v>0.0</v>
      </c>
      <c r="E3356" s="27"/>
      <c r="F3356" s="25">
        <v>0.0</v>
      </c>
      <c r="G3356" s="27"/>
    </row>
    <row r="3357" hidden="1">
      <c r="A3357" s="21"/>
      <c r="B3357" s="21" t="s">
        <v>4213</v>
      </c>
      <c r="D3357" s="25">
        <v>0.0</v>
      </c>
      <c r="E3357" s="27"/>
      <c r="F3357" s="25">
        <v>0.0</v>
      </c>
      <c r="G3357" s="27"/>
    </row>
    <row r="3358" hidden="1">
      <c r="A3358" s="21"/>
      <c r="B3358" s="21" t="s">
        <v>4214</v>
      </c>
      <c r="D3358" s="25">
        <v>0.0</v>
      </c>
      <c r="E3358" s="27"/>
      <c r="F3358" s="25">
        <v>0.0</v>
      </c>
      <c r="G3358" s="27"/>
    </row>
    <row r="3359" hidden="1">
      <c r="A3359" s="21"/>
      <c r="B3359" s="21" t="s">
        <v>4215</v>
      </c>
      <c r="D3359" s="25">
        <v>0.0</v>
      </c>
      <c r="E3359" s="27"/>
      <c r="F3359" s="25">
        <v>0.0</v>
      </c>
      <c r="G3359" s="27"/>
    </row>
    <row r="3360" hidden="1">
      <c r="A3360" s="21"/>
      <c r="B3360" s="21" t="s">
        <v>4216</v>
      </c>
      <c r="D3360" s="25">
        <v>0.0</v>
      </c>
      <c r="E3360" s="27"/>
      <c r="F3360" s="25">
        <v>0.0</v>
      </c>
      <c r="G3360" s="27"/>
    </row>
    <row r="3361" hidden="1">
      <c r="A3361" s="21"/>
      <c r="B3361" s="21" t="s">
        <v>4217</v>
      </c>
      <c r="D3361" s="25">
        <v>0.0</v>
      </c>
      <c r="E3361" s="27"/>
      <c r="F3361" s="25">
        <v>0.0</v>
      </c>
      <c r="G3361" s="27"/>
    </row>
    <row r="3362" hidden="1">
      <c r="A3362" s="21"/>
      <c r="B3362" s="21" t="s">
        <v>4218</v>
      </c>
      <c r="D3362" s="25">
        <v>0.0</v>
      </c>
      <c r="E3362" s="27"/>
      <c r="F3362" s="25">
        <v>0.0</v>
      </c>
      <c r="G3362" s="27"/>
    </row>
    <row r="3363" hidden="1">
      <c r="A3363" s="21"/>
      <c r="B3363" s="21" t="s">
        <v>4219</v>
      </c>
      <c r="D3363" s="25">
        <v>0.0</v>
      </c>
      <c r="E3363" s="27"/>
      <c r="F3363" s="25">
        <v>0.0</v>
      </c>
      <c r="G3363" s="27"/>
    </row>
    <row r="3364" hidden="1">
      <c r="A3364" s="21"/>
      <c r="B3364" s="21" t="s">
        <v>4220</v>
      </c>
      <c r="D3364" s="25">
        <v>0.0</v>
      </c>
      <c r="E3364" s="27"/>
      <c r="F3364" s="25">
        <v>0.0</v>
      </c>
      <c r="G3364" s="27"/>
    </row>
    <row r="3365" hidden="1">
      <c r="A3365" s="21"/>
      <c r="B3365" s="21" t="s">
        <v>4221</v>
      </c>
      <c r="D3365" s="25">
        <v>0.0</v>
      </c>
      <c r="E3365" s="27"/>
      <c r="F3365" s="25">
        <v>0.0</v>
      </c>
      <c r="G3365" s="27"/>
    </row>
    <row r="3366" hidden="1">
      <c r="A3366" s="21"/>
      <c r="B3366" s="21" t="s">
        <v>4222</v>
      </c>
      <c r="D3366" s="25">
        <v>0.0</v>
      </c>
      <c r="E3366" s="27"/>
      <c r="F3366" s="25">
        <v>0.0</v>
      </c>
      <c r="G3366" s="27"/>
    </row>
    <row r="3367" hidden="1">
      <c r="A3367" s="21"/>
      <c r="B3367" s="21" t="s">
        <v>4223</v>
      </c>
      <c r="D3367" s="25">
        <v>0.0</v>
      </c>
      <c r="E3367" s="27"/>
      <c r="F3367" s="25">
        <v>0.0</v>
      </c>
      <c r="G3367" s="27"/>
    </row>
    <row r="3368" hidden="1">
      <c r="A3368" s="21"/>
      <c r="B3368" s="21" t="s">
        <v>4224</v>
      </c>
      <c r="D3368" s="25">
        <v>0.0</v>
      </c>
      <c r="E3368" s="27"/>
      <c r="F3368" s="25">
        <v>0.0</v>
      </c>
      <c r="G3368" s="27"/>
    </row>
    <row r="3369" hidden="1">
      <c r="A3369" s="21"/>
      <c r="B3369" s="21" t="s">
        <v>4225</v>
      </c>
      <c r="D3369" s="25">
        <v>0.0</v>
      </c>
      <c r="E3369" s="27"/>
      <c r="F3369" s="25">
        <v>0.0</v>
      </c>
      <c r="G3369" s="27"/>
    </row>
    <row r="3370" hidden="1">
      <c r="A3370" s="21"/>
      <c r="B3370" s="21" t="s">
        <v>4226</v>
      </c>
      <c r="D3370" s="25">
        <v>0.0</v>
      </c>
      <c r="E3370" s="27"/>
      <c r="F3370" s="25">
        <v>0.0</v>
      </c>
      <c r="G3370" s="27"/>
    </row>
    <row r="3371" hidden="1">
      <c r="A3371" s="21"/>
      <c r="B3371" s="21" t="s">
        <v>4227</v>
      </c>
      <c r="D3371" s="25">
        <v>0.0</v>
      </c>
      <c r="E3371" s="27"/>
      <c r="F3371" s="25">
        <v>0.0</v>
      </c>
      <c r="G3371" s="27"/>
    </row>
    <row r="3372" hidden="1">
      <c r="A3372" s="21"/>
      <c r="B3372" s="21" t="s">
        <v>4228</v>
      </c>
      <c r="D3372" s="25">
        <v>0.0</v>
      </c>
      <c r="E3372" s="27"/>
      <c r="F3372" s="25">
        <v>0.0</v>
      </c>
      <c r="G3372" s="27"/>
    </row>
    <row r="3373" hidden="1">
      <c r="A3373" s="21"/>
      <c r="B3373" s="21" t="s">
        <v>4229</v>
      </c>
      <c r="D3373" s="25">
        <v>0.0</v>
      </c>
      <c r="E3373" s="27"/>
      <c r="F3373" s="25">
        <v>0.0</v>
      </c>
      <c r="G3373" s="27"/>
    </row>
    <row r="3374" hidden="1">
      <c r="A3374" s="21"/>
      <c r="B3374" s="21" t="s">
        <v>4230</v>
      </c>
      <c r="D3374" s="25">
        <v>0.0</v>
      </c>
      <c r="E3374" s="27"/>
      <c r="F3374" s="25">
        <v>0.0</v>
      </c>
      <c r="G3374" s="27"/>
    </row>
    <row r="3375" hidden="1">
      <c r="A3375" s="21"/>
      <c r="B3375" s="21" t="s">
        <v>4231</v>
      </c>
      <c r="D3375" s="25">
        <v>0.0</v>
      </c>
      <c r="E3375" s="27"/>
      <c r="F3375" s="25">
        <v>0.0</v>
      </c>
      <c r="G3375" s="27"/>
    </row>
    <row r="3376" hidden="1">
      <c r="A3376" s="21"/>
      <c r="B3376" s="21" t="s">
        <v>4232</v>
      </c>
      <c r="D3376" s="25">
        <v>0.0</v>
      </c>
      <c r="E3376" s="27"/>
      <c r="F3376" s="25">
        <v>0.0</v>
      </c>
      <c r="G3376" s="27"/>
    </row>
    <row r="3377" hidden="1">
      <c r="A3377" s="21"/>
      <c r="B3377" s="21" t="s">
        <v>4233</v>
      </c>
      <c r="D3377" s="25">
        <v>0.0</v>
      </c>
      <c r="E3377" s="27"/>
      <c r="F3377" s="25">
        <v>0.0</v>
      </c>
      <c r="G3377" s="27"/>
    </row>
    <row r="3378" hidden="1">
      <c r="A3378" s="21"/>
      <c r="B3378" s="21" t="s">
        <v>4234</v>
      </c>
      <c r="D3378" s="25">
        <v>0.0</v>
      </c>
      <c r="E3378" s="27"/>
      <c r="F3378" s="25">
        <v>0.0</v>
      </c>
      <c r="G3378" s="27"/>
    </row>
    <row r="3379" hidden="1">
      <c r="A3379" s="21"/>
      <c r="B3379" s="21" t="s">
        <v>4235</v>
      </c>
      <c r="D3379" s="25">
        <v>0.0</v>
      </c>
      <c r="E3379" s="27"/>
      <c r="F3379" s="25">
        <v>0.0</v>
      </c>
      <c r="G3379" s="27"/>
    </row>
    <row r="3380" hidden="1">
      <c r="A3380" s="21"/>
      <c r="B3380" s="21" t="s">
        <v>4236</v>
      </c>
      <c r="D3380" s="25">
        <v>0.0</v>
      </c>
      <c r="E3380" s="27"/>
      <c r="F3380" s="25">
        <v>0.0</v>
      </c>
      <c r="G3380" s="27"/>
    </row>
    <row r="3381" hidden="1">
      <c r="A3381" s="21"/>
      <c r="B3381" s="21" t="s">
        <v>4237</v>
      </c>
      <c r="D3381" s="25">
        <v>0.0</v>
      </c>
      <c r="E3381" s="27"/>
      <c r="F3381" s="25">
        <v>0.0</v>
      </c>
      <c r="G3381" s="27"/>
    </row>
    <row r="3382" hidden="1">
      <c r="A3382" s="21"/>
      <c r="B3382" s="21" t="s">
        <v>4238</v>
      </c>
      <c r="D3382" s="25">
        <v>0.0</v>
      </c>
      <c r="E3382" s="27"/>
      <c r="F3382" s="25">
        <v>0.0</v>
      </c>
      <c r="G3382" s="27"/>
    </row>
    <row r="3383" hidden="1">
      <c r="A3383" s="21"/>
      <c r="B3383" s="21" t="s">
        <v>4239</v>
      </c>
      <c r="D3383" s="25">
        <v>0.0</v>
      </c>
      <c r="E3383" s="27"/>
      <c r="F3383" s="25">
        <v>0.0</v>
      </c>
      <c r="G3383" s="27"/>
    </row>
    <row r="3384" hidden="1">
      <c r="A3384" s="21"/>
      <c r="B3384" s="21" t="s">
        <v>4240</v>
      </c>
      <c r="D3384" s="25">
        <v>0.0</v>
      </c>
      <c r="E3384" s="27"/>
      <c r="F3384" s="25">
        <v>6.0</v>
      </c>
      <c r="G3384" s="27"/>
    </row>
    <row r="3385" hidden="1">
      <c r="A3385" s="21"/>
      <c r="B3385" s="21" t="s">
        <v>4241</v>
      </c>
      <c r="D3385" s="25">
        <v>0.0</v>
      </c>
      <c r="E3385" s="27"/>
      <c r="F3385" s="25">
        <v>0.0</v>
      </c>
      <c r="G3385" s="27"/>
    </row>
    <row r="3386" hidden="1">
      <c r="A3386" s="21"/>
      <c r="B3386" s="21" t="s">
        <v>4242</v>
      </c>
      <c r="D3386" s="25">
        <v>0.0</v>
      </c>
      <c r="E3386" s="27"/>
      <c r="F3386" s="25">
        <v>0.0</v>
      </c>
      <c r="G3386" s="27"/>
    </row>
    <row r="3387" hidden="1">
      <c r="A3387" s="21"/>
      <c r="B3387" s="21" t="s">
        <v>4243</v>
      </c>
      <c r="D3387" s="25">
        <v>0.0</v>
      </c>
      <c r="E3387" s="27"/>
      <c r="F3387" s="25">
        <v>0.0</v>
      </c>
      <c r="G3387" s="27"/>
    </row>
    <row r="3388" hidden="1">
      <c r="A3388" s="21"/>
      <c r="B3388" s="21" t="s">
        <v>4244</v>
      </c>
      <c r="D3388" s="25">
        <v>0.0</v>
      </c>
      <c r="E3388" s="27"/>
      <c r="F3388" s="25">
        <v>0.0</v>
      </c>
      <c r="G3388" s="27"/>
    </row>
    <row r="3389" hidden="1">
      <c r="A3389" s="21"/>
      <c r="B3389" s="21" t="s">
        <v>4245</v>
      </c>
      <c r="D3389" s="25">
        <v>0.0</v>
      </c>
      <c r="E3389" s="27"/>
      <c r="F3389" s="25">
        <v>0.0</v>
      </c>
      <c r="G3389" s="27"/>
    </row>
    <row r="3390" hidden="1">
      <c r="A3390" s="21"/>
      <c r="B3390" s="21" t="s">
        <v>4246</v>
      </c>
      <c r="D3390" s="25">
        <v>0.0</v>
      </c>
      <c r="E3390" s="27"/>
      <c r="F3390" s="25">
        <v>0.0</v>
      </c>
      <c r="G3390" s="27"/>
    </row>
    <row r="3391" hidden="1">
      <c r="A3391" s="21"/>
      <c r="B3391" s="21" t="s">
        <v>4247</v>
      </c>
      <c r="D3391" s="25">
        <v>0.0</v>
      </c>
      <c r="E3391" s="27"/>
      <c r="F3391" s="25">
        <v>0.0</v>
      </c>
      <c r="G3391" s="27"/>
    </row>
    <row r="3392" hidden="1">
      <c r="A3392" s="21"/>
      <c r="B3392" s="21" t="s">
        <v>4248</v>
      </c>
      <c r="D3392" s="25">
        <v>0.0</v>
      </c>
      <c r="E3392" s="27"/>
      <c r="F3392" s="25">
        <v>0.0</v>
      </c>
      <c r="G3392" s="27"/>
    </row>
    <row r="3393" hidden="1">
      <c r="A3393" s="21"/>
      <c r="B3393" s="21" t="s">
        <v>4249</v>
      </c>
      <c r="D3393" s="25">
        <v>0.0</v>
      </c>
      <c r="E3393" s="27"/>
      <c r="F3393" s="25">
        <v>0.0</v>
      </c>
      <c r="G3393" s="27"/>
    </row>
    <row r="3394" hidden="1">
      <c r="A3394" s="21"/>
      <c r="B3394" s="21" t="s">
        <v>4250</v>
      </c>
      <c r="D3394" s="25">
        <v>0.0</v>
      </c>
      <c r="E3394" s="27"/>
      <c r="F3394" s="25">
        <v>0.0</v>
      </c>
      <c r="G3394" s="27"/>
    </row>
    <row r="3395" hidden="1">
      <c r="A3395" s="21"/>
      <c r="B3395" s="21" t="s">
        <v>4251</v>
      </c>
      <c r="D3395" s="25">
        <v>0.0</v>
      </c>
      <c r="E3395" s="27"/>
      <c r="F3395" s="25">
        <v>0.0</v>
      </c>
      <c r="G3395" s="27"/>
    </row>
    <row r="3396" hidden="1">
      <c r="A3396" s="21"/>
      <c r="B3396" s="21" t="s">
        <v>4252</v>
      </c>
      <c r="D3396" s="25">
        <v>0.0</v>
      </c>
      <c r="E3396" s="27"/>
      <c r="F3396" s="25">
        <v>0.0</v>
      </c>
      <c r="G3396" s="27"/>
    </row>
    <row r="3397" hidden="1">
      <c r="A3397" s="21"/>
      <c r="B3397" s="21" t="s">
        <v>4253</v>
      </c>
      <c r="D3397" s="25">
        <v>0.0</v>
      </c>
      <c r="E3397" s="27"/>
      <c r="F3397" s="25">
        <v>0.0</v>
      </c>
      <c r="G3397" s="27"/>
    </row>
    <row r="3398" hidden="1">
      <c r="A3398" s="21"/>
      <c r="B3398" s="21" t="s">
        <v>4254</v>
      </c>
      <c r="D3398" s="25">
        <v>0.0</v>
      </c>
      <c r="E3398" s="27"/>
      <c r="F3398" s="25">
        <v>0.0</v>
      </c>
      <c r="G3398" s="27"/>
    </row>
    <row r="3399" hidden="1">
      <c r="A3399" s="21"/>
      <c r="B3399" s="21" t="s">
        <v>4255</v>
      </c>
      <c r="D3399" s="25">
        <v>0.0</v>
      </c>
      <c r="E3399" s="27"/>
      <c r="F3399" s="25">
        <v>0.0</v>
      </c>
      <c r="G3399" s="27"/>
    </row>
    <row r="3400" hidden="1">
      <c r="A3400" s="21"/>
      <c r="B3400" s="21" t="s">
        <v>4256</v>
      </c>
      <c r="D3400" s="25">
        <v>0.0</v>
      </c>
      <c r="E3400" s="27"/>
      <c r="F3400" s="25">
        <v>0.0</v>
      </c>
      <c r="G3400" s="27"/>
    </row>
    <row r="3401" hidden="1">
      <c r="A3401" s="21"/>
      <c r="B3401" s="21" t="s">
        <v>4257</v>
      </c>
      <c r="D3401" s="25">
        <v>0.0</v>
      </c>
      <c r="E3401" s="27"/>
      <c r="F3401" s="25">
        <v>0.0</v>
      </c>
      <c r="G3401" s="27"/>
    </row>
    <row r="3402" hidden="1">
      <c r="A3402" s="21"/>
      <c r="B3402" s="21" t="s">
        <v>4258</v>
      </c>
      <c r="D3402" s="25">
        <v>0.0</v>
      </c>
      <c r="E3402" s="27"/>
      <c r="F3402" s="25">
        <v>0.0</v>
      </c>
      <c r="G3402" s="27"/>
    </row>
    <row r="3403" hidden="1">
      <c r="A3403" s="21"/>
      <c r="B3403" s="21" t="s">
        <v>4259</v>
      </c>
      <c r="D3403" s="25">
        <v>0.0</v>
      </c>
      <c r="E3403" s="27"/>
      <c r="F3403" s="25">
        <v>0.0</v>
      </c>
      <c r="G3403" s="27"/>
    </row>
    <row r="3404" hidden="1">
      <c r="A3404" s="21"/>
      <c r="B3404" s="21" t="s">
        <v>4260</v>
      </c>
      <c r="D3404" s="25">
        <v>0.0</v>
      </c>
      <c r="E3404" s="27"/>
      <c r="F3404" s="25">
        <v>0.0</v>
      </c>
      <c r="G3404" s="27"/>
    </row>
    <row r="3405" hidden="1">
      <c r="A3405" s="21"/>
      <c r="B3405" s="21" t="s">
        <v>4261</v>
      </c>
      <c r="D3405" s="25">
        <v>0.0</v>
      </c>
      <c r="E3405" s="27"/>
      <c r="F3405" s="25">
        <v>0.0</v>
      </c>
      <c r="G3405" s="27"/>
    </row>
    <row r="3406" hidden="1">
      <c r="A3406" s="21"/>
      <c r="B3406" s="21" t="s">
        <v>4262</v>
      </c>
      <c r="D3406" s="25">
        <v>0.0</v>
      </c>
      <c r="E3406" s="27"/>
      <c r="F3406" s="25">
        <v>0.0</v>
      </c>
      <c r="G3406" s="27"/>
    </row>
    <row r="3407" hidden="1">
      <c r="A3407" s="21"/>
      <c r="B3407" s="21" t="s">
        <v>4263</v>
      </c>
      <c r="D3407" s="25">
        <v>0.0</v>
      </c>
      <c r="E3407" s="27"/>
      <c r="F3407" s="25">
        <v>0.0</v>
      </c>
      <c r="G3407" s="27"/>
    </row>
    <row r="3408" hidden="1">
      <c r="A3408" s="21"/>
      <c r="B3408" s="21" t="s">
        <v>4264</v>
      </c>
      <c r="D3408" s="25">
        <v>0.0</v>
      </c>
      <c r="E3408" s="27"/>
      <c r="F3408" s="25">
        <v>0.0</v>
      </c>
      <c r="G3408" s="27"/>
    </row>
    <row r="3409" hidden="1">
      <c r="A3409" s="21"/>
      <c r="B3409" s="21" t="s">
        <v>4265</v>
      </c>
      <c r="D3409" s="25">
        <v>0.0</v>
      </c>
      <c r="E3409" s="27"/>
      <c r="F3409" s="25">
        <v>0.0</v>
      </c>
      <c r="G3409" s="27"/>
    </row>
    <row r="3410" hidden="1">
      <c r="A3410" s="21"/>
      <c r="B3410" s="21" t="s">
        <v>4266</v>
      </c>
      <c r="D3410" s="25">
        <v>0.0</v>
      </c>
      <c r="E3410" s="27"/>
      <c r="F3410" s="25">
        <v>0.0</v>
      </c>
      <c r="G3410" s="27"/>
    </row>
    <row r="3411" hidden="1">
      <c r="A3411" s="21"/>
      <c r="B3411" s="21" t="s">
        <v>4267</v>
      </c>
      <c r="D3411" s="25">
        <v>0.0</v>
      </c>
      <c r="E3411" s="27"/>
      <c r="F3411" s="25">
        <v>0.0</v>
      </c>
      <c r="G3411" s="27"/>
    </row>
    <row r="3412" hidden="1">
      <c r="A3412" s="21"/>
      <c r="B3412" s="21" t="s">
        <v>4268</v>
      </c>
      <c r="D3412" s="25">
        <v>0.0</v>
      </c>
      <c r="E3412" s="27"/>
      <c r="F3412" s="25">
        <v>0.0</v>
      </c>
      <c r="G3412" s="27"/>
    </row>
    <row r="3413" hidden="1">
      <c r="A3413" s="21"/>
      <c r="B3413" s="21" t="s">
        <v>4269</v>
      </c>
      <c r="D3413" s="25">
        <v>0.0</v>
      </c>
      <c r="E3413" s="27"/>
      <c r="F3413" s="25">
        <v>0.0</v>
      </c>
      <c r="G3413" s="27"/>
    </row>
    <row r="3414" hidden="1">
      <c r="A3414" s="21"/>
      <c r="B3414" s="21" t="s">
        <v>4270</v>
      </c>
      <c r="D3414" s="25">
        <v>0.0</v>
      </c>
      <c r="E3414" s="27"/>
      <c r="F3414" s="25">
        <v>0.0</v>
      </c>
      <c r="G3414" s="27"/>
    </row>
    <row r="3415" hidden="1">
      <c r="A3415" s="21"/>
      <c r="B3415" s="21" t="s">
        <v>4271</v>
      </c>
      <c r="D3415" s="25">
        <v>0.0</v>
      </c>
      <c r="E3415" s="27"/>
      <c r="F3415" s="25">
        <v>0.0</v>
      </c>
      <c r="G3415" s="27"/>
    </row>
    <row r="3416" hidden="1">
      <c r="A3416" s="21"/>
      <c r="B3416" s="21" t="s">
        <v>4272</v>
      </c>
      <c r="D3416" s="25">
        <v>0.0</v>
      </c>
      <c r="E3416" s="27"/>
      <c r="F3416" s="25">
        <v>0.0</v>
      </c>
      <c r="G3416" s="27"/>
    </row>
    <row r="3417" hidden="1">
      <c r="A3417" s="21"/>
      <c r="B3417" s="21" t="s">
        <v>4273</v>
      </c>
      <c r="D3417" s="25">
        <v>0.0</v>
      </c>
      <c r="E3417" s="27"/>
      <c r="F3417" s="25">
        <v>0.0</v>
      </c>
      <c r="G3417" s="27"/>
    </row>
    <row r="3418" hidden="1">
      <c r="A3418" s="21"/>
      <c r="B3418" s="21" t="s">
        <v>4274</v>
      </c>
      <c r="D3418" s="25">
        <v>0.0</v>
      </c>
      <c r="E3418" s="27"/>
      <c r="F3418" s="25">
        <v>0.0</v>
      </c>
      <c r="G3418" s="27"/>
    </row>
    <row r="3419" hidden="1">
      <c r="A3419" s="21"/>
      <c r="B3419" s="21" t="s">
        <v>4275</v>
      </c>
      <c r="D3419" s="25">
        <v>0.0</v>
      </c>
      <c r="E3419" s="27"/>
      <c r="F3419" s="25">
        <v>0.0</v>
      </c>
      <c r="G3419" s="27"/>
    </row>
    <row r="3420" hidden="1">
      <c r="A3420" s="21"/>
      <c r="B3420" s="21" t="s">
        <v>4276</v>
      </c>
      <c r="D3420" s="25">
        <v>0.0</v>
      </c>
      <c r="E3420" s="27"/>
      <c r="F3420" s="25">
        <v>0.0</v>
      </c>
      <c r="G3420" s="27"/>
    </row>
    <row r="3421" hidden="1">
      <c r="A3421" s="21"/>
      <c r="B3421" s="21" t="s">
        <v>4277</v>
      </c>
      <c r="D3421" s="25">
        <v>0.0</v>
      </c>
      <c r="E3421" s="27"/>
      <c r="F3421" s="25">
        <v>0.0</v>
      </c>
      <c r="G3421" s="27"/>
    </row>
    <row r="3422" hidden="1">
      <c r="A3422" s="21"/>
      <c r="B3422" s="21" t="s">
        <v>4278</v>
      </c>
      <c r="D3422" s="25">
        <v>0.0</v>
      </c>
      <c r="E3422" s="27"/>
      <c r="F3422" s="25">
        <v>0.0</v>
      </c>
      <c r="G3422" s="27"/>
    </row>
    <row r="3423" hidden="1">
      <c r="A3423" s="21"/>
      <c r="B3423" s="21" t="s">
        <v>4279</v>
      </c>
      <c r="D3423" s="25">
        <v>0.0</v>
      </c>
      <c r="E3423" s="27"/>
      <c r="F3423" s="25">
        <v>0.0</v>
      </c>
      <c r="G3423" s="27"/>
    </row>
    <row r="3424" hidden="1">
      <c r="A3424" s="21"/>
      <c r="B3424" s="21" t="s">
        <v>4280</v>
      </c>
      <c r="D3424" s="25">
        <v>0.0</v>
      </c>
      <c r="E3424" s="27"/>
      <c r="F3424" s="25">
        <v>0.0</v>
      </c>
      <c r="G3424" s="27"/>
    </row>
    <row r="3425" hidden="1">
      <c r="A3425" s="21"/>
      <c r="B3425" s="21" t="s">
        <v>4281</v>
      </c>
      <c r="D3425" s="25">
        <v>0.0</v>
      </c>
      <c r="E3425" s="27"/>
      <c r="F3425" s="25">
        <v>0.0</v>
      </c>
      <c r="G3425" s="27"/>
    </row>
    <row r="3426" hidden="1">
      <c r="A3426" s="21"/>
      <c r="B3426" s="21" t="s">
        <v>4282</v>
      </c>
      <c r="D3426" s="25">
        <v>0.0</v>
      </c>
      <c r="E3426" s="27"/>
      <c r="F3426" s="25">
        <v>0.0</v>
      </c>
      <c r="G3426" s="27"/>
    </row>
    <row r="3427" hidden="1">
      <c r="A3427" s="21"/>
      <c r="B3427" s="21" t="s">
        <v>4283</v>
      </c>
      <c r="D3427" s="25">
        <v>0.0</v>
      </c>
      <c r="E3427" s="27"/>
      <c r="F3427" s="25">
        <v>0.0</v>
      </c>
      <c r="G3427" s="27"/>
    </row>
    <row r="3428" hidden="1">
      <c r="A3428" s="21"/>
      <c r="B3428" s="21" t="s">
        <v>4284</v>
      </c>
      <c r="D3428" s="25">
        <v>0.0</v>
      </c>
      <c r="E3428" s="27"/>
      <c r="F3428" s="25">
        <v>0.0</v>
      </c>
      <c r="G3428" s="27"/>
    </row>
    <row r="3429" hidden="1">
      <c r="A3429" s="21"/>
      <c r="B3429" s="21" t="s">
        <v>4285</v>
      </c>
      <c r="D3429" s="25">
        <v>0.0</v>
      </c>
      <c r="E3429" s="27"/>
      <c r="F3429" s="25">
        <v>0.0</v>
      </c>
      <c r="G3429" s="27"/>
    </row>
    <row r="3430" hidden="1">
      <c r="A3430" s="21"/>
      <c r="B3430" s="21" t="s">
        <v>4286</v>
      </c>
      <c r="D3430" s="25">
        <v>0.0</v>
      </c>
      <c r="E3430" s="27"/>
      <c r="F3430" s="25">
        <v>0.0</v>
      </c>
      <c r="G3430" s="27"/>
    </row>
    <row r="3431" hidden="1">
      <c r="A3431" s="21"/>
      <c r="B3431" s="21" t="s">
        <v>4287</v>
      </c>
      <c r="D3431" s="25">
        <v>0.0</v>
      </c>
      <c r="E3431" s="27"/>
      <c r="F3431" s="25">
        <v>0.0</v>
      </c>
      <c r="G3431" s="27"/>
    </row>
    <row r="3432" hidden="1">
      <c r="A3432" s="21"/>
      <c r="B3432" s="21" t="s">
        <v>4288</v>
      </c>
      <c r="D3432" s="25">
        <v>0.0</v>
      </c>
      <c r="E3432" s="27"/>
      <c r="F3432" s="25">
        <v>0.0</v>
      </c>
      <c r="G3432" s="27"/>
    </row>
    <row r="3433" hidden="1">
      <c r="A3433" s="21"/>
      <c r="B3433" s="21" t="s">
        <v>4289</v>
      </c>
      <c r="D3433" s="25">
        <v>0.0</v>
      </c>
      <c r="E3433" s="27"/>
      <c r="F3433" s="25">
        <v>0.0</v>
      </c>
      <c r="G3433" s="27"/>
    </row>
    <row r="3434" hidden="1">
      <c r="A3434" s="21"/>
      <c r="B3434" s="21" t="s">
        <v>4290</v>
      </c>
      <c r="D3434" s="25">
        <v>0.0</v>
      </c>
      <c r="E3434" s="27"/>
      <c r="F3434" s="25">
        <v>0.0</v>
      </c>
      <c r="G3434" s="27"/>
    </row>
    <row r="3435" hidden="1">
      <c r="A3435" s="21"/>
      <c r="B3435" s="21" t="s">
        <v>4291</v>
      </c>
      <c r="D3435" s="25">
        <v>0.0</v>
      </c>
      <c r="E3435" s="27"/>
      <c r="F3435" s="25">
        <v>0.0</v>
      </c>
      <c r="G3435" s="27"/>
    </row>
    <row r="3436" hidden="1">
      <c r="A3436" s="21"/>
      <c r="B3436" s="21" t="s">
        <v>4292</v>
      </c>
      <c r="D3436" s="25">
        <v>0.0</v>
      </c>
      <c r="E3436" s="27"/>
      <c r="F3436" s="25">
        <v>0.0</v>
      </c>
      <c r="G3436" s="27"/>
    </row>
    <row r="3437" hidden="1">
      <c r="A3437" s="21"/>
      <c r="B3437" s="21" t="s">
        <v>4293</v>
      </c>
      <c r="D3437" s="25">
        <v>0.0</v>
      </c>
      <c r="E3437" s="27"/>
      <c r="F3437" s="25">
        <v>0.0</v>
      </c>
      <c r="G3437" s="27"/>
    </row>
    <row r="3438" hidden="1">
      <c r="A3438" s="21"/>
      <c r="B3438" s="21" t="s">
        <v>4294</v>
      </c>
      <c r="D3438" s="25">
        <v>0.0</v>
      </c>
      <c r="E3438" s="27"/>
      <c r="F3438" s="25">
        <v>0.0</v>
      </c>
      <c r="G3438" s="27"/>
    </row>
    <row r="3439" hidden="1">
      <c r="A3439" s="21"/>
      <c r="B3439" s="21" t="s">
        <v>4295</v>
      </c>
      <c r="D3439" s="25">
        <v>0.0</v>
      </c>
      <c r="E3439" s="27"/>
      <c r="F3439" s="25">
        <v>0.0</v>
      </c>
      <c r="G3439" s="27"/>
    </row>
    <row r="3440" hidden="1">
      <c r="A3440" s="21"/>
      <c r="B3440" s="21" t="s">
        <v>4296</v>
      </c>
      <c r="D3440" s="25">
        <v>0.0</v>
      </c>
      <c r="E3440" s="27"/>
      <c r="F3440" s="25">
        <v>0.0</v>
      </c>
      <c r="G3440" s="27"/>
    </row>
    <row r="3441" hidden="1">
      <c r="A3441" s="21"/>
      <c r="B3441" s="21" t="s">
        <v>4297</v>
      </c>
      <c r="D3441" s="25">
        <v>0.0</v>
      </c>
      <c r="E3441" s="27"/>
      <c r="F3441" s="25">
        <v>0.0</v>
      </c>
      <c r="G3441" s="27"/>
    </row>
    <row r="3442" hidden="1">
      <c r="A3442" s="21"/>
      <c r="B3442" s="21" t="s">
        <v>4298</v>
      </c>
      <c r="D3442" s="25">
        <v>0.0</v>
      </c>
      <c r="E3442" s="27"/>
      <c r="F3442" s="25">
        <v>0.0</v>
      </c>
      <c r="G3442" s="27"/>
    </row>
    <row r="3443" hidden="1">
      <c r="A3443" s="21"/>
      <c r="B3443" s="21" t="s">
        <v>4299</v>
      </c>
      <c r="D3443" s="25">
        <v>0.0</v>
      </c>
      <c r="E3443" s="27"/>
      <c r="F3443" s="25">
        <v>0.0</v>
      </c>
      <c r="G3443" s="27"/>
    </row>
    <row r="3444" hidden="1">
      <c r="A3444" s="21"/>
      <c r="B3444" s="21" t="s">
        <v>4300</v>
      </c>
      <c r="D3444" s="25">
        <v>0.0</v>
      </c>
      <c r="E3444" s="27"/>
      <c r="F3444" s="25">
        <v>0.0</v>
      </c>
      <c r="G3444" s="27"/>
    </row>
    <row r="3445" hidden="1">
      <c r="A3445" s="21"/>
      <c r="B3445" s="21" t="s">
        <v>4301</v>
      </c>
      <c r="D3445" s="25">
        <v>0.0</v>
      </c>
      <c r="E3445" s="27"/>
      <c r="F3445" s="25">
        <v>0.0</v>
      </c>
      <c r="G3445" s="27"/>
    </row>
    <row r="3446" hidden="1">
      <c r="A3446" s="21"/>
      <c r="B3446" s="21" t="s">
        <v>4302</v>
      </c>
      <c r="D3446" s="25">
        <v>0.0</v>
      </c>
      <c r="E3446" s="27"/>
      <c r="F3446" s="25">
        <v>0.0</v>
      </c>
      <c r="G3446" s="27"/>
    </row>
    <row r="3447" hidden="1">
      <c r="A3447" s="21"/>
      <c r="B3447" s="21" t="s">
        <v>4303</v>
      </c>
      <c r="D3447" s="25">
        <v>0.0</v>
      </c>
      <c r="E3447" s="27"/>
      <c r="F3447" s="25">
        <v>0.0</v>
      </c>
      <c r="G3447" s="27"/>
    </row>
    <row r="3448" hidden="1">
      <c r="A3448" s="21"/>
      <c r="B3448" s="21" t="s">
        <v>4304</v>
      </c>
      <c r="D3448" s="25">
        <v>0.0</v>
      </c>
      <c r="E3448" s="27"/>
      <c r="F3448" s="25">
        <v>0.0</v>
      </c>
      <c r="G3448" s="27"/>
    </row>
    <row r="3449" hidden="1">
      <c r="A3449" s="21"/>
      <c r="B3449" s="21" t="s">
        <v>4305</v>
      </c>
      <c r="D3449" s="25">
        <v>0.0</v>
      </c>
      <c r="E3449" s="27"/>
      <c r="F3449" s="25">
        <v>0.0</v>
      </c>
      <c r="G3449" s="27"/>
    </row>
    <row r="3450" hidden="1">
      <c r="A3450" s="21"/>
      <c r="B3450" s="21" t="s">
        <v>4306</v>
      </c>
      <c r="D3450" s="25">
        <v>0.0</v>
      </c>
      <c r="E3450" s="27"/>
      <c r="F3450" s="25">
        <v>0.0</v>
      </c>
      <c r="G3450" s="27"/>
    </row>
    <row r="3451" hidden="1">
      <c r="A3451" s="21"/>
      <c r="B3451" s="21" t="s">
        <v>4307</v>
      </c>
      <c r="D3451" s="25">
        <v>0.0</v>
      </c>
      <c r="E3451" s="27"/>
      <c r="F3451" s="25">
        <v>0.0</v>
      </c>
      <c r="G3451" s="27"/>
    </row>
    <row r="3452" hidden="1">
      <c r="A3452" s="21"/>
      <c r="B3452" s="21" t="s">
        <v>4308</v>
      </c>
      <c r="D3452" s="25">
        <v>0.0</v>
      </c>
      <c r="E3452" s="27"/>
      <c r="F3452" s="25">
        <v>0.0</v>
      </c>
      <c r="G3452" s="27"/>
    </row>
    <row r="3453" hidden="1">
      <c r="A3453" s="21"/>
      <c r="B3453" s="21" t="s">
        <v>4309</v>
      </c>
      <c r="D3453" s="25">
        <v>0.0</v>
      </c>
      <c r="E3453" s="27"/>
      <c r="F3453" s="25">
        <v>0.0</v>
      </c>
      <c r="G3453" s="27"/>
    </row>
    <row r="3454" hidden="1">
      <c r="A3454" s="21"/>
      <c r="B3454" s="21" t="s">
        <v>4310</v>
      </c>
      <c r="D3454" s="25">
        <v>0.0</v>
      </c>
      <c r="E3454" s="27"/>
      <c r="F3454" s="25">
        <v>0.0</v>
      </c>
      <c r="G3454" s="27"/>
    </row>
    <row r="3455" hidden="1">
      <c r="A3455" s="21"/>
      <c r="B3455" s="21" t="s">
        <v>4311</v>
      </c>
      <c r="D3455" s="25">
        <v>0.0</v>
      </c>
      <c r="E3455" s="27"/>
      <c r="F3455" s="25">
        <v>0.0</v>
      </c>
      <c r="G3455" s="27"/>
    </row>
    <row r="3456" hidden="1">
      <c r="A3456" s="21"/>
      <c r="B3456" s="21" t="s">
        <v>4312</v>
      </c>
      <c r="D3456" s="25">
        <v>0.0</v>
      </c>
      <c r="E3456" s="27"/>
      <c r="F3456" s="25">
        <v>0.0</v>
      </c>
      <c r="G3456" s="27"/>
    </row>
    <row r="3457" hidden="1">
      <c r="A3457" s="21"/>
      <c r="B3457" s="21" t="s">
        <v>4313</v>
      </c>
      <c r="D3457" s="25">
        <v>0.0</v>
      </c>
      <c r="E3457" s="27"/>
      <c r="F3457" s="25">
        <v>0.0</v>
      </c>
      <c r="G3457" s="27"/>
    </row>
    <row r="3458" hidden="1">
      <c r="A3458" s="21"/>
      <c r="B3458" s="21" t="s">
        <v>4314</v>
      </c>
      <c r="D3458" s="25">
        <v>0.0</v>
      </c>
      <c r="E3458" s="27"/>
      <c r="F3458" s="25">
        <v>0.0</v>
      </c>
      <c r="G3458" s="27"/>
    </row>
    <row r="3459" hidden="1">
      <c r="A3459" s="21"/>
      <c r="B3459" s="21" t="s">
        <v>4315</v>
      </c>
      <c r="D3459" s="25">
        <v>0.0</v>
      </c>
      <c r="E3459" s="27"/>
      <c r="F3459" s="25">
        <v>0.0</v>
      </c>
      <c r="G3459" s="27"/>
    </row>
    <row r="3460" hidden="1">
      <c r="A3460" s="21"/>
      <c r="B3460" s="21" t="s">
        <v>4316</v>
      </c>
      <c r="D3460" s="25">
        <v>0.0</v>
      </c>
      <c r="E3460" s="27"/>
      <c r="F3460" s="25">
        <v>0.0</v>
      </c>
      <c r="G3460" s="27"/>
    </row>
    <row r="3461" hidden="1">
      <c r="A3461" s="21"/>
      <c r="B3461" s="21" t="s">
        <v>4317</v>
      </c>
      <c r="D3461" s="25">
        <v>0.0</v>
      </c>
      <c r="E3461" s="27"/>
      <c r="F3461" s="25">
        <v>0.0</v>
      </c>
      <c r="G3461" s="27"/>
    </row>
    <row r="3462" hidden="1">
      <c r="A3462" s="21"/>
      <c r="B3462" s="21" t="s">
        <v>4318</v>
      </c>
      <c r="D3462" s="25">
        <v>0.0</v>
      </c>
      <c r="E3462" s="27"/>
      <c r="F3462" s="25">
        <v>0.0</v>
      </c>
      <c r="G3462" s="27"/>
    </row>
    <row r="3463" hidden="1">
      <c r="A3463" s="21"/>
      <c r="B3463" s="21" t="s">
        <v>4319</v>
      </c>
      <c r="D3463" s="25">
        <v>0.0</v>
      </c>
      <c r="E3463" s="27"/>
      <c r="F3463" s="25">
        <v>0.0</v>
      </c>
      <c r="G3463" s="27"/>
    </row>
    <row r="3464" hidden="1">
      <c r="A3464" s="21"/>
      <c r="B3464" s="21" t="s">
        <v>4320</v>
      </c>
      <c r="D3464" s="25">
        <v>0.0</v>
      </c>
      <c r="E3464" s="27"/>
      <c r="F3464" s="25">
        <v>0.0</v>
      </c>
      <c r="G3464" s="27"/>
    </row>
    <row r="3465" hidden="1">
      <c r="A3465" s="21"/>
      <c r="B3465" s="21" t="s">
        <v>4321</v>
      </c>
      <c r="D3465" s="25">
        <v>0.0</v>
      </c>
      <c r="E3465" s="27"/>
      <c r="F3465" s="25">
        <v>0.0</v>
      </c>
      <c r="G3465" s="27"/>
    </row>
    <row r="3466" hidden="1">
      <c r="A3466" s="21"/>
      <c r="B3466" s="21" t="s">
        <v>4322</v>
      </c>
      <c r="D3466" s="25">
        <v>0.0</v>
      </c>
      <c r="E3466" s="27"/>
      <c r="F3466" s="25">
        <v>0.0</v>
      </c>
      <c r="G3466" s="27"/>
    </row>
    <row r="3467" hidden="1">
      <c r="A3467" s="21"/>
      <c r="B3467" s="21" t="s">
        <v>4323</v>
      </c>
      <c r="D3467" s="25">
        <v>0.0</v>
      </c>
      <c r="E3467" s="27"/>
      <c r="F3467" s="25">
        <v>0.0</v>
      </c>
      <c r="G3467" s="27"/>
    </row>
    <row r="3468" hidden="1">
      <c r="A3468" s="21"/>
      <c r="B3468" s="21" t="s">
        <v>4324</v>
      </c>
      <c r="D3468" s="25">
        <v>0.0</v>
      </c>
      <c r="E3468" s="27"/>
      <c r="F3468" s="25">
        <v>0.0</v>
      </c>
      <c r="G3468" s="27"/>
    </row>
    <row r="3469" hidden="1">
      <c r="A3469" s="21"/>
      <c r="B3469" s="21" t="s">
        <v>4325</v>
      </c>
      <c r="D3469" s="25">
        <v>0.0</v>
      </c>
      <c r="E3469" s="27"/>
      <c r="F3469" s="25">
        <v>0.0</v>
      </c>
      <c r="G3469" s="27"/>
    </row>
    <row r="3470" hidden="1">
      <c r="A3470" s="21"/>
      <c r="B3470" s="21" t="s">
        <v>4326</v>
      </c>
      <c r="D3470" s="25">
        <v>0.0</v>
      </c>
      <c r="E3470" s="27"/>
      <c r="F3470" s="25">
        <v>0.0</v>
      </c>
      <c r="G3470" s="27"/>
    </row>
    <row r="3471" hidden="1">
      <c r="A3471" s="21"/>
      <c r="B3471" s="21" t="s">
        <v>4327</v>
      </c>
      <c r="D3471" s="25">
        <v>0.0</v>
      </c>
      <c r="E3471" s="27"/>
      <c r="F3471" s="25">
        <v>0.0</v>
      </c>
      <c r="G3471" s="27"/>
    </row>
    <row r="3472" hidden="1">
      <c r="A3472" s="21"/>
      <c r="B3472" s="21" t="s">
        <v>4328</v>
      </c>
      <c r="D3472" s="25">
        <v>0.0</v>
      </c>
      <c r="E3472" s="27"/>
      <c r="F3472" s="25">
        <v>0.0</v>
      </c>
      <c r="G3472" s="27"/>
    </row>
    <row r="3473" hidden="1">
      <c r="A3473" s="21"/>
      <c r="B3473" s="21" t="s">
        <v>4329</v>
      </c>
      <c r="D3473" s="25">
        <v>0.0</v>
      </c>
      <c r="E3473" s="27"/>
      <c r="F3473" s="25">
        <v>0.0</v>
      </c>
      <c r="G3473" s="27"/>
    </row>
    <row r="3474" hidden="1">
      <c r="A3474" s="21"/>
      <c r="B3474" s="21" t="s">
        <v>4330</v>
      </c>
      <c r="D3474" s="25">
        <v>0.0</v>
      </c>
      <c r="E3474" s="27"/>
      <c r="F3474" s="25">
        <v>6.51</v>
      </c>
      <c r="G3474" s="27"/>
    </row>
    <row r="3475" hidden="1">
      <c r="A3475" s="21"/>
      <c r="B3475" s="21" t="s">
        <v>4331</v>
      </c>
      <c r="D3475" s="25">
        <v>0.0</v>
      </c>
      <c r="E3475" s="27"/>
      <c r="F3475" s="25">
        <v>0.0</v>
      </c>
      <c r="G3475" s="27"/>
    </row>
    <row r="3476" hidden="1">
      <c r="A3476" s="21"/>
      <c r="B3476" s="21" t="s">
        <v>4332</v>
      </c>
      <c r="D3476" s="25">
        <v>0.0</v>
      </c>
      <c r="E3476" s="27"/>
      <c r="F3476" s="25">
        <v>0.0</v>
      </c>
      <c r="G3476" s="27"/>
    </row>
    <row r="3477" hidden="1">
      <c r="A3477" s="21"/>
      <c r="B3477" s="21" t="s">
        <v>4333</v>
      </c>
      <c r="D3477" s="25">
        <v>0.0</v>
      </c>
      <c r="E3477" s="27"/>
      <c r="F3477" s="25">
        <v>0.0</v>
      </c>
      <c r="G3477" s="27"/>
    </row>
    <row r="3478" hidden="1">
      <c r="A3478" s="21"/>
      <c r="B3478" s="21" t="s">
        <v>4334</v>
      </c>
      <c r="D3478" s="25">
        <v>0.0</v>
      </c>
      <c r="E3478" s="27"/>
      <c r="F3478" s="25">
        <v>0.0</v>
      </c>
      <c r="G3478" s="27"/>
    </row>
    <row r="3479" hidden="1">
      <c r="A3479" s="21"/>
      <c r="B3479" s="21" t="s">
        <v>4335</v>
      </c>
      <c r="D3479" s="25">
        <v>0.0</v>
      </c>
      <c r="E3479" s="27"/>
      <c r="F3479" s="25">
        <v>0.0</v>
      </c>
      <c r="G3479" s="27"/>
    </row>
    <row r="3480" hidden="1">
      <c r="A3480" s="21"/>
      <c r="B3480" s="21" t="s">
        <v>4336</v>
      </c>
      <c r="D3480" s="25">
        <v>0.0</v>
      </c>
      <c r="E3480" s="27"/>
      <c r="F3480" s="25">
        <v>0.0</v>
      </c>
      <c r="G3480" s="27"/>
    </row>
    <row r="3481" hidden="1">
      <c r="A3481" s="21"/>
      <c r="B3481" s="21" t="s">
        <v>4337</v>
      </c>
      <c r="D3481" s="25">
        <v>0.0</v>
      </c>
      <c r="E3481" s="27"/>
      <c r="F3481" s="25">
        <v>0.0</v>
      </c>
      <c r="G3481" s="27"/>
    </row>
    <row r="3482" hidden="1">
      <c r="A3482" s="21"/>
      <c r="B3482" s="21" t="s">
        <v>4338</v>
      </c>
      <c r="D3482" s="25">
        <v>0.0</v>
      </c>
      <c r="E3482" s="27"/>
      <c r="F3482" s="25">
        <v>0.0</v>
      </c>
      <c r="G3482" s="27"/>
    </row>
    <row r="3483" hidden="1">
      <c r="A3483" s="21"/>
      <c r="B3483" s="21" t="s">
        <v>4339</v>
      </c>
      <c r="D3483" s="25">
        <v>0.0</v>
      </c>
      <c r="E3483" s="27"/>
      <c r="F3483" s="25">
        <v>0.0</v>
      </c>
      <c r="G3483" s="27"/>
    </row>
    <row r="3484" hidden="1">
      <c r="A3484" s="21"/>
      <c r="B3484" s="21" t="s">
        <v>4340</v>
      </c>
      <c r="D3484" s="25">
        <v>0.0</v>
      </c>
      <c r="E3484" s="27"/>
      <c r="F3484" s="25">
        <v>0.0</v>
      </c>
      <c r="G3484" s="27"/>
    </row>
    <row r="3485" hidden="1">
      <c r="A3485" s="21"/>
      <c r="B3485" s="21" t="s">
        <v>4341</v>
      </c>
      <c r="D3485" s="25">
        <v>0.0</v>
      </c>
      <c r="E3485" s="27"/>
      <c r="F3485" s="25">
        <v>0.0</v>
      </c>
      <c r="G3485" s="27"/>
    </row>
    <row r="3486" hidden="1">
      <c r="A3486" s="21"/>
      <c r="B3486" s="21" t="s">
        <v>4342</v>
      </c>
      <c r="D3486" s="25">
        <v>0.0</v>
      </c>
      <c r="E3486" s="27"/>
      <c r="F3486" s="25">
        <v>0.0</v>
      </c>
      <c r="G3486" s="27"/>
    </row>
    <row r="3487" hidden="1">
      <c r="A3487" s="21"/>
      <c r="B3487" s="21" t="s">
        <v>4343</v>
      </c>
      <c r="D3487" s="25">
        <v>0.0</v>
      </c>
      <c r="E3487" s="27"/>
      <c r="F3487" s="25">
        <v>0.0</v>
      </c>
      <c r="G3487" s="27"/>
    </row>
    <row r="3488" hidden="1">
      <c r="A3488" s="21"/>
      <c r="B3488" s="21" t="s">
        <v>4344</v>
      </c>
      <c r="D3488" s="25">
        <v>0.0</v>
      </c>
      <c r="E3488" s="27"/>
      <c r="F3488" s="25">
        <v>0.0</v>
      </c>
      <c r="G3488" s="27"/>
    </row>
    <row r="3489" hidden="1">
      <c r="A3489" s="21"/>
      <c r="B3489" s="21" t="s">
        <v>4345</v>
      </c>
      <c r="D3489" s="25">
        <v>0.0</v>
      </c>
      <c r="E3489" s="27"/>
      <c r="F3489" s="25">
        <v>0.0</v>
      </c>
      <c r="G3489" s="27"/>
    </row>
    <row r="3490" hidden="1">
      <c r="A3490" s="21"/>
      <c r="B3490" s="21" t="s">
        <v>4346</v>
      </c>
      <c r="D3490" s="25">
        <v>0.0</v>
      </c>
      <c r="E3490" s="27"/>
      <c r="F3490" s="25">
        <v>0.0</v>
      </c>
      <c r="G3490" s="27"/>
    </row>
    <row r="3491" hidden="1">
      <c r="A3491" s="21"/>
      <c r="B3491" s="21" t="s">
        <v>4347</v>
      </c>
      <c r="D3491" s="25">
        <v>0.0</v>
      </c>
      <c r="E3491" s="27"/>
      <c r="F3491" s="25">
        <v>5.38</v>
      </c>
      <c r="G3491" s="27"/>
    </row>
    <row r="3492" hidden="1">
      <c r="A3492" s="21"/>
      <c r="B3492" s="21" t="s">
        <v>4348</v>
      </c>
      <c r="D3492" s="25">
        <v>0.0</v>
      </c>
      <c r="E3492" s="27"/>
      <c r="F3492" s="25">
        <v>0.0</v>
      </c>
      <c r="G3492" s="27"/>
    </row>
    <row r="3493" hidden="1">
      <c r="A3493" s="21"/>
      <c r="B3493" s="21" t="s">
        <v>4349</v>
      </c>
      <c r="D3493" s="25">
        <v>0.0</v>
      </c>
      <c r="E3493" s="27"/>
      <c r="F3493" s="25">
        <v>0.0</v>
      </c>
      <c r="G3493" s="27"/>
    </row>
    <row r="3494" hidden="1">
      <c r="A3494" s="21"/>
      <c r="B3494" s="21" t="s">
        <v>4350</v>
      </c>
      <c r="D3494" s="25">
        <v>0.0</v>
      </c>
      <c r="E3494" s="27"/>
      <c r="F3494" s="25">
        <v>0.0</v>
      </c>
      <c r="G3494" s="27"/>
    </row>
    <row r="3495" hidden="1">
      <c r="A3495" s="21"/>
      <c r="B3495" s="21" t="s">
        <v>4351</v>
      </c>
      <c r="D3495" s="25">
        <v>0.0</v>
      </c>
      <c r="E3495" s="27"/>
      <c r="F3495" s="25">
        <v>0.0</v>
      </c>
      <c r="G3495" s="27"/>
    </row>
    <row r="3496" hidden="1">
      <c r="A3496" s="21"/>
      <c r="B3496" s="21" t="s">
        <v>4352</v>
      </c>
      <c r="D3496" s="25">
        <v>0.0</v>
      </c>
      <c r="E3496" s="27"/>
      <c r="F3496" s="25">
        <v>0.0</v>
      </c>
      <c r="G3496" s="27"/>
    </row>
    <row r="3497" hidden="1">
      <c r="A3497" s="21"/>
      <c r="B3497" s="21" t="s">
        <v>4353</v>
      </c>
      <c r="D3497" s="25">
        <v>0.0</v>
      </c>
      <c r="E3497" s="27"/>
      <c r="F3497" s="25">
        <v>0.0</v>
      </c>
      <c r="G3497" s="27"/>
    </row>
    <row r="3498" hidden="1">
      <c r="A3498" s="21"/>
      <c r="B3498" s="21" t="s">
        <v>4354</v>
      </c>
      <c r="D3498" s="25">
        <v>0.0</v>
      </c>
      <c r="E3498" s="27"/>
      <c r="F3498" s="25">
        <v>4.76</v>
      </c>
      <c r="G3498" s="27"/>
    </row>
    <row r="3499" hidden="1">
      <c r="A3499" s="21"/>
      <c r="B3499" s="21" t="s">
        <v>4355</v>
      </c>
      <c r="D3499" s="25">
        <v>0.0</v>
      </c>
      <c r="E3499" s="27"/>
      <c r="F3499" s="25">
        <v>0.0</v>
      </c>
      <c r="G3499" s="27"/>
    </row>
    <row r="3500" hidden="1">
      <c r="A3500" s="21"/>
      <c r="B3500" s="21" t="s">
        <v>4356</v>
      </c>
      <c r="D3500" s="25">
        <v>0.0</v>
      </c>
      <c r="E3500" s="27"/>
      <c r="F3500" s="25">
        <v>0.0</v>
      </c>
      <c r="G3500" s="27"/>
    </row>
    <row r="3501" hidden="1">
      <c r="A3501" s="21"/>
      <c r="B3501" s="21" t="s">
        <v>4357</v>
      </c>
      <c r="D3501" s="25">
        <v>0.0</v>
      </c>
      <c r="E3501" s="27"/>
      <c r="F3501" s="25">
        <v>0.0</v>
      </c>
      <c r="G3501" s="27"/>
    </row>
    <row r="3502" hidden="1">
      <c r="A3502" s="21"/>
      <c r="B3502" s="21" t="s">
        <v>4358</v>
      </c>
      <c r="D3502" s="25">
        <v>0.0</v>
      </c>
      <c r="E3502" s="27"/>
      <c r="F3502" s="25">
        <v>0.0</v>
      </c>
      <c r="G3502" s="27"/>
    </row>
    <row r="3503" hidden="1">
      <c r="A3503" s="21"/>
      <c r="B3503" s="21" t="s">
        <v>4359</v>
      </c>
      <c r="D3503" s="25">
        <v>0.0</v>
      </c>
      <c r="E3503" s="27"/>
      <c r="F3503" s="25">
        <v>0.0</v>
      </c>
      <c r="G3503" s="27"/>
    </row>
    <row r="3504" hidden="1">
      <c r="A3504" s="21"/>
      <c r="B3504" s="21" t="s">
        <v>4360</v>
      </c>
      <c r="D3504" s="25">
        <v>0.0</v>
      </c>
      <c r="E3504" s="27"/>
      <c r="F3504" s="25">
        <v>0.0</v>
      </c>
      <c r="G3504" s="27"/>
    </row>
    <row r="3505" hidden="1">
      <c r="A3505" s="21"/>
      <c r="B3505" s="21" t="s">
        <v>4361</v>
      </c>
      <c r="D3505" s="25">
        <v>0.0</v>
      </c>
      <c r="E3505" s="27"/>
      <c r="F3505" s="25">
        <v>0.0</v>
      </c>
      <c r="G3505" s="27"/>
    </row>
    <row r="3506" hidden="1">
      <c r="A3506" s="21"/>
      <c r="B3506" s="21" t="s">
        <v>4362</v>
      </c>
      <c r="D3506" s="25">
        <v>0.0</v>
      </c>
      <c r="E3506" s="27"/>
      <c r="F3506" s="25">
        <v>0.0</v>
      </c>
      <c r="G3506" s="27"/>
    </row>
    <row r="3507" hidden="1">
      <c r="A3507" s="21"/>
      <c r="B3507" s="21" t="s">
        <v>4363</v>
      </c>
      <c r="D3507" s="25">
        <v>0.0</v>
      </c>
      <c r="E3507" s="27"/>
      <c r="F3507" s="25">
        <v>0.0</v>
      </c>
      <c r="G3507" s="27"/>
    </row>
    <row r="3508" hidden="1">
      <c r="A3508" s="21"/>
      <c r="B3508" s="21" t="s">
        <v>4364</v>
      </c>
      <c r="D3508" s="25">
        <v>0.0</v>
      </c>
      <c r="E3508" s="27"/>
      <c r="F3508" s="25">
        <v>0.0</v>
      </c>
      <c r="G3508" s="27"/>
    </row>
    <row r="3509" hidden="1">
      <c r="A3509" s="21"/>
      <c r="B3509" s="21" t="s">
        <v>4365</v>
      </c>
      <c r="D3509" s="25">
        <v>0.0</v>
      </c>
      <c r="E3509" s="27"/>
      <c r="F3509" s="25">
        <v>0.0</v>
      </c>
      <c r="G3509" s="27"/>
    </row>
    <row r="3510" hidden="1">
      <c r="A3510" s="21"/>
      <c r="B3510" s="21" t="s">
        <v>4366</v>
      </c>
      <c r="D3510" s="25">
        <v>0.0</v>
      </c>
      <c r="E3510" s="27"/>
      <c r="F3510" s="25">
        <v>0.0</v>
      </c>
      <c r="G3510" s="27"/>
    </row>
    <row r="3511" hidden="1">
      <c r="A3511" s="21"/>
      <c r="B3511" s="21" t="s">
        <v>4367</v>
      </c>
      <c r="D3511" s="25">
        <v>0.0</v>
      </c>
      <c r="E3511" s="27"/>
      <c r="F3511" s="25">
        <v>0.0</v>
      </c>
      <c r="G3511" s="27"/>
    </row>
    <row r="3512" hidden="1">
      <c r="A3512" s="21"/>
      <c r="B3512" s="21" t="s">
        <v>4368</v>
      </c>
      <c r="D3512" s="25">
        <v>0.0</v>
      </c>
      <c r="E3512" s="27"/>
      <c r="F3512" s="25">
        <v>0.0</v>
      </c>
      <c r="G3512" s="27"/>
    </row>
    <row r="3513" hidden="1">
      <c r="A3513" s="21"/>
      <c r="B3513" s="21" t="s">
        <v>4369</v>
      </c>
      <c r="D3513" s="25">
        <v>0.0</v>
      </c>
      <c r="E3513" s="27"/>
      <c r="F3513" s="25">
        <v>0.0</v>
      </c>
      <c r="G3513" s="27"/>
    </row>
    <row r="3514" hidden="1">
      <c r="A3514" s="21"/>
      <c r="B3514" s="21" t="s">
        <v>4370</v>
      </c>
      <c r="D3514" s="25">
        <v>0.0</v>
      </c>
      <c r="E3514" s="27"/>
      <c r="F3514" s="25">
        <v>0.0</v>
      </c>
      <c r="G3514" s="27"/>
    </row>
    <row r="3515" hidden="1">
      <c r="A3515" s="21"/>
      <c r="B3515" s="21" t="s">
        <v>4371</v>
      </c>
      <c r="D3515" s="25">
        <v>0.0</v>
      </c>
      <c r="E3515" s="27"/>
      <c r="F3515" s="25">
        <v>0.0</v>
      </c>
      <c r="G3515" s="27"/>
    </row>
    <row r="3516" hidden="1">
      <c r="A3516" s="21"/>
      <c r="B3516" s="21" t="s">
        <v>4372</v>
      </c>
      <c r="D3516" s="25">
        <v>0.0</v>
      </c>
      <c r="E3516" s="27"/>
      <c r="F3516" s="25">
        <v>0.0</v>
      </c>
      <c r="G3516" s="27"/>
    </row>
    <row r="3517" hidden="1">
      <c r="A3517" s="21"/>
      <c r="B3517" s="21" t="s">
        <v>4373</v>
      </c>
      <c r="D3517" s="25">
        <v>0.0</v>
      </c>
      <c r="E3517" s="27"/>
      <c r="F3517" s="25">
        <v>0.0</v>
      </c>
      <c r="G3517" s="27"/>
    </row>
    <row r="3518" hidden="1">
      <c r="A3518" s="21"/>
      <c r="B3518" s="21" t="s">
        <v>4374</v>
      </c>
      <c r="D3518" s="25">
        <v>0.0</v>
      </c>
      <c r="E3518" s="27"/>
      <c r="F3518" s="25">
        <v>0.0</v>
      </c>
      <c r="G3518" s="27"/>
    </row>
    <row r="3519" hidden="1">
      <c r="A3519" s="21"/>
      <c r="B3519" s="21" t="s">
        <v>4375</v>
      </c>
      <c r="D3519" s="25">
        <v>0.0</v>
      </c>
      <c r="E3519" s="27"/>
      <c r="F3519" s="25">
        <v>0.0</v>
      </c>
      <c r="G3519" s="27"/>
    </row>
    <row r="3520" hidden="1">
      <c r="A3520" s="21"/>
      <c r="B3520" s="21" t="s">
        <v>4376</v>
      </c>
      <c r="D3520" s="25">
        <v>0.0</v>
      </c>
      <c r="E3520" s="27"/>
      <c r="F3520" s="25">
        <v>0.0</v>
      </c>
      <c r="G3520" s="27"/>
    </row>
    <row r="3521" hidden="1">
      <c r="A3521" s="21"/>
      <c r="B3521" s="21" t="s">
        <v>4377</v>
      </c>
      <c r="D3521" s="25">
        <v>0.0</v>
      </c>
      <c r="E3521" s="27"/>
      <c r="F3521" s="25">
        <v>0.0</v>
      </c>
      <c r="G3521" s="27"/>
    </row>
    <row r="3522" hidden="1">
      <c r="A3522" s="21"/>
      <c r="B3522" s="21" t="s">
        <v>4378</v>
      </c>
      <c r="D3522" s="25">
        <v>0.0</v>
      </c>
      <c r="E3522" s="27"/>
      <c r="F3522" s="25">
        <v>0.0</v>
      </c>
      <c r="G3522" s="27"/>
    </row>
    <row r="3523" hidden="1">
      <c r="A3523" s="21"/>
      <c r="B3523" s="21" t="s">
        <v>4379</v>
      </c>
      <c r="D3523" s="25">
        <v>0.0</v>
      </c>
      <c r="E3523" s="27"/>
      <c r="F3523" s="25">
        <v>0.0</v>
      </c>
      <c r="G3523" s="27"/>
    </row>
    <row r="3524" hidden="1">
      <c r="A3524" s="21"/>
      <c r="B3524" s="21" t="s">
        <v>4380</v>
      </c>
      <c r="D3524" s="25">
        <v>0.0</v>
      </c>
      <c r="E3524" s="27"/>
      <c r="F3524" s="25">
        <v>0.0</v>
      </c>
      <c r="G3524" s="27"/>
    </row>
    <row r="3525" hidden="1">
      <c r="A3525" s="21"/>
      <c r="B3525" s="21" t="s">
        <v>4381</v>
      </c>
      <c r="D3525" s="25">
        <v>0.0</v>
      </c>
      <c r="E3525" s="27"/>
      <c r="F3525" s="25">
        <v>0.0</v>
      </c>
      <c r="G3525" s="27"/>
    </row>
    <row r="3526" hidden="1">
      <c r="A3526" s="21"/>
      <c r="B3526" s="21" t="s">
        <v>4382</v>
      </c>
      <c r="D3526" s="25">
        <v>0.0</v>
      </c>
      <c r="E3526" s="27"/>
      <c r="F3526" s="25">
        <v>0.0</v>
      </c>
      <c r="G3526" s="27"/>
    </row>
    <row r="3527" hidden="1">
      <c r="A3527" s="21"/>
      <c r="B3527" s="21" t="s">
        <v>4383</v>
      </c>
      <c r="D3527" s="25">
        <v>0.0</v>
      </c>
      <c r="E3527" s="27"/>
      <c r="F3527" s="25">
        <v>0.0</v>
      </c>
      <c r="G3527" s="27"/>
    </row>
    <row r="3528" hidden="1">
      <c r="A3528" s="21"/>
      <c r="B3528" s="21" t="s">
        <v>4384</v>
      </c>
      <c r="D3528" s="25">
        <v>0.0</v>
      </c>
      <c r="E3528" s="27"/>
      <c r="F3528" s="25">
        <v>0.0</v>
      </c>
      <c r="G3528" s="27"/>
    </row>
    <row r="3529" hidden="1">
      <c r="A3529" s="21"/>
      <c r="B3529" s="21" t="s">
        <v>4385</v>
      </c>
      <c r="D3529" s="25">
        <v>0.0</v>
      </c>
      <c r="E3529" s="27"/>
      <c r="F3529" s="25">
        <v>0.0</v>
      </c>
      <c r="G3529" s="27"/>
    </row>
    <row r="3530" hidden="1">
      <c r="A3530" s="21"/>
      <c r="B3530" s="21" t="s">
        <v>4386</v>
      </c>
      <c r="D3530" s="25">
        <v>0.0</v>
      </c>
      <c r="E3530" s="27"/>
      <c r="F3530" s="25">
        <v>0.0</v>
      </c>
      <c r="G3530" s="27"/>
    </row>
    <row r="3531" hidden="1">
      <c r="A3531" s="21"/>
      <c r="B3531" s="21" t="s">
        <v>4387</v>
      </c>
      <c r="D3531" s="25">
        <v>0.0</v>
      </c>
      <c r="E3531" s="27"/>
      <c r="F3531" s="25">
        <v>0.0</v>
      </c>
      <c r="G3531" s="27"/>
    </row>
    <row r="3532" hidden="1">
      <c r="A3532" s="21"/>
      <c r="B3532" s="21" t="s">
        <v>4388</v>
      </c>
      <c r="D3532" s="25">
        <v>0.0</v>
      </c>
      <c r="E3532" s="27"/>
      <c r="F3532" s="25">
        <v>0.0</v>
      </c>
      <c r="G3532" s="27"/>
    </row>
    <row r="3533" hidden="1">
      <c r="A3533" s="21"/>
      <c r="B3533" s="21" t="s">
        <v>4389</v>
      </c>
      <c r="D3533" s="25">
        <v>0.0</v>
      </c>
      <c r="E3533" s="27"/>
      <c r="F3533" s="25">
        <v>0.0</v>
      </c>
      <c r="G3533" s="27"/>
    </row>
    <row r="3534" hidden="1">
      <c r="A3534" s="21"/>
      <c r="B3534" s="21" t="s">
        <v>4390</v>
      </c>
      <c r="D3534" s="25">
        <v>0.0</v>
      </c>
      <c r="E3534" s="27"/>
      <c r="F3534" s="25">
        <v>0.0</v>
      </c>
      <c r="G3534" s="27"/>
    </row>
    <row r="3535" hidden="1">
      <c r="A3535" s="21"/>
      <c r="B3535" s="21" t="s">
        <v>4391</v>
      </c>
      <c r="D3535" s="25">
        <v>0.0</v>
      </c>
      <c r="E3535" s="27"/>
      <c r="F3535" s="25">
        <v>0.0</v>
      </c>
      <c r="G3535" s="27"/>
    </row>
    <row r="3536" hidden="1">
      <c r="A3536" s="21"/>
      <c r="B3536" s="21" t="s">
        <v>4392</v>
      </c>
      <c r="D3536" s="25">
        <v>0.0</v>
      </c>
      <c r="E3536" s="27"/>
      <c r="F3536" s="25">
        <v>0.0</v>
      </c>
      <c r="G3536" s="27"/>
    </row>
    <row r="3537" hidden="1">
      <c r="A3537" s="21"/>
      <c r="B3537" s="21" t="s">
        <v>4393</v>
      </c>
      <c r="D3537" s="25">
        <v>0.0</v>
      </c>
      <c r="E3537" s="27"/>
      <c r="F3537" s="25">
        <v>0.0</v>
      </c>
      <c r="G3537" s="27"/>
    </row>
    <row r="3538" hidden="1">
      <c r="A3538" s="21"/>
      <c r="B3538" s="21" t="s">
        <v>4394</v>
      </c>
      <c r="D3538" s="25">
        <v>0.0</v>
      </c>
      <c r="E3538" s="27"/>
      <c r="F3538" s="25">
        <v>0.0</v>
      </c>
      <c r="G3538" s="27"/>
    </row>
    <row r="3539" hidden="1">
      <c r="A3539" s="21"/>
      <c r="B3539" s="21" t="s">
        <v>4395</v>
      </c>
      <c r="D3539" s="25">
        <v>0.0</v>
      </c>
      <c r="E3539" s="27"/>
      <c r="F3539" s="25">
        <v>0.0</v>
      </c>
      <c r="G3539" s="27"/>
    </row>
    <row r="3540" hidden="1">
      <c r="A3540" s="21"/>
      <c r="B3540" s="21" t="s">
        <v>4396</v>
      </c>
      <c r="D3540" s="25">
        <v>0.0</v>
      </c>
      <c r="E3540" s="27"/>
      <c r="F3540" s="25">
        <v>0.0</v>
      </c>
      <c r="G3540" s="27"/>
    </row>
    <row r="3541" hidden="1">
      <c r="A3541" s="21"/>
      <c r="B3541" s="21" t="s">
        <v>4397</v>
      </c>
      <c r="D3541" s="25">
        <v>0.0</v>
      </c>
      <c r="E3541" s="27"/>
      <c r="F3541" s="25">
        <v>0.0</v>
      </c>
      <c r="G3541" s="27"/>
    </row>
    <row r="3542" hidden="1">
      <c r="A3542" s="21"/>
      <c r="B3542" s="21" t="s">
        <v>4398</v>
      </c>
      <c r="D3542" s="25">
        <v>0.0</v>
      </c>
      <c r="E3542" s="27"/>
      <c r="F3542" s="25">
        <v>0.0</v>
      </c>
      <c r="G3542" s="27"/>
    </row>
    <row r="3543" hidden="1">
      <c r="A3543" s="21"/>
      <c r="B3543" s="21" t="s">
        <v>4399</v>
      </c>
      <c r="D3543" s="25">
        <v>0.0</v>
      </c>
      <c r="E3543" s="27"/>
      <c r="F3543" s="25">
        <v>0.0</v>
      </c>
      <c r="G3543" s="27"/>
    </row>
    <row r="3544" hidden="1">
      <c r="A3544" s="21"/>
      <c r="B3544" s="21" t="s">
        <v>4400</v>
      </c>
      <c r="D3544" s="25">
        <v>0.0</v>
      </c>
      <c r="E3544" s="27"/>
      <c r="F3544" s="25">
        <v>0.0</v>
      </c>
      <c r="G3544" s="27"/>
    </row>
    <row r="3545" hidden="1">
      <c r="A3545" s="21"/>
      <c r="B3545" s="21" t="s">
        <v>4401</v>
      </c>
      <c r="D3545" s="25">
        <v>0.0</v>
      </c>
      <c r="E3545" s="27"/>
      <c r="F3545" s="25">
        <v>0.0</v>
      </c>
      <c r="G3545" s="27"/>
    </row>
    <row r="3546" hidden="1">
      <c r="A3546" s="21"/>
      <c r="B3546" s="21" t="s">
        <v>4402</v>
      </c>
      <c r="D3546" s="25">
        <v>0.0</v>
      </c>
      <c r="E3546" s="27"/>
      <c r="F3546" s="25">
        <v>0.0</v>
      </c>
      <c r="G3546" s="27"/>
    </row>
    <row r="3547" hidden="1">
      <c r="A3547" s="21"/>
      <c r="B3547" s="21" t="s">
        <v>4403</v>
      </c>
      <c r="D3547" s="25">
        <v>0.0</v>
      </c>
      <c r="E3547" s="27"/>
      <c r="F3547" s="25">
        <v>0.0</v>
      </c>
      <c r="G3547" s="27"/>
    </row>
    <row r="3548" hidden="1">
      <c r="A3548" s="21"/>
      <c r="B3548" s="21" t="s">
        <v>4404</v>
      </c>
      <c r="D3548" s="25">
        <v>0.0</v>
      </c>
      <c r="E3548" s="27"/>
      <c r="F3548" s="25">
        <v>0.0</v>
      </c>
      <c r="G3548" s="27"/>
    </row>
    <row r="3549" hidden="1">
      <c r="A3549" s="21"/>
      <c r="B3549" s="21" t="s">
        <v>4405</v>
      </c>
      <c r="D3549" s="25">
        <v>0.0</v>
      </c>
      <c r="E3549" s="27"/>
      <c r="F3549" s="25">
        <v>0.0</v>
      </c>
      <c r="G3549" s="27"/>
    </row>
    <row r="3550" hidden="1">
      <c r="A3550" s="21"/>
      <c r="B3550" s="21" t="s">
        <v>4406</v>
      </c>
      <c r="D3550" s="25">
        <v>0.0</v>
      </c>
      <c r="E3550" s="27"/>
      <c r="F3550" s="25">
        <v>0.0</v>
      </c>
      <c r="G3550" s="27"/>
    </row>
    <row r="3551" hidden="1">
      <c r="A3551" s="21"/>
      <c r="B3551" s="21" t="s">
        <v>4407</v>
      </c>
      <c r="D3551" s="25">
        <v>0.0</v>
      </c>
      <c r="E3551" s="27"/>
      <c r="F3551" s="25">
        <v>0.0</v>
      </c>
      <c r="G3551" s="27"/>
    </row>
    <row r="3552" hidden="1">
      <c r="A3552" s="21"/>
      <c r="B3552" s="21" t="s">
        <v>4408</v>
      </c>
      <c r="D3552" s="25">
        <v>0.0</v>
      </c>
      <c r="E3552" s="27"/>
      <c r="F3552" s="25">
        <v>0.0</v>
      </c>
      <c r="G3552" s="27"/>
    </row>
    <row r="3553" hidden="1">
      <c r="A3553" s="21"/>
      <c r="B3553" s="21" t="s">
        <v>4409</v>
      </c>
      <c r="D3553" s="25">
        <v>0.0</v>
      </c>
      <c r="E3553" s="27"/>
      <c r="F3553" s="25">
        <v>0.0</v>
      </c>
      <c r="G3553" s="27"/>
    </row>
    <row r="3554" hidden="1">
      <c r="A3554" s="21"/>
      <c r="B3554" s="21" t="s">
        <v>4410</v>
      </c>
      <c r="D3554" s="25">
        <v>0.0</v>
      </c>
      <c r="E3554" s="27"/>
      <c r="F3554" s="25">
        <v>0.0</v>
      </c>
      <c r="G3554" s="27"/>
    </row>
    <row r="3555" hidden="1">
      <c r="A3555" s="21"/>
      <c r="B3555" s="21" t="s">
        <v>4411</v>
      </c>
      <c r="D3555" s="25">
        <v>0.0</v>
      </c>
      <c r="E3555" s="27"/>
      <c r="F3555" s="25">
        <v>0.0</v>
      </c>
      <c r="G3555" s="27"/>
    </row>
    <row r="3556" hidden="1">
      <c r="A3556" s="21"/>
      <c r="B3556" s="21" t="s">
        <v>4412</v>
      </c>
      <c r="D3556" s="25">
        <v>0.0</v>
      </c>
      <c r="E3556" s="27"/>
      <c r="F3556" s="25">
        <v>0.0</v>
      </c>
      <c r="G3556" s="27"/>
    </row>
    <row r="3557" hidden="1">
      <c r="A3557" s="21"/>
      <c r="B3557" s="21" t="s">
        <v>4413</v>
      </c>
      <c r="D3557" s="25">
        <v>0.0</v>
      </c>
      <c r="E3557" s="27"/>
      <c r="F3557" s="25">
        <v>0.0</v>
      </c>
      <c r="G3557" s="27"/>
    </row>
    <row r="3558" hidden="1">
      <c r="A3558" s="21"/>
      <c r="B3558" s="21" t="s">
        <v>4414</v>
      </c>
      <c r="D3558" s="25">
        <v>0.0</v>
      </c>
      <c r="E3558" s="27"/>
      <c r="F3558" s="25">
        <v>0.0</v>
      </c>
      <c r="G3558" s="27"/>
    </row>
    <row r="3559" hidden="1">
      <c r="A3559" s="21"/>
      <c r="B3559" s="21" t="s">
        <v>4415</v>
      </c>
      <c r="D3559" s="25">
        <v>0.0</v>
      </c>
      <c r="E3559" s="27"/>
      <c r="F3559" s="25">
        <v>0.0</v>
      </c>
      <c r="G3559" s="27"/>
    </row>
    <row r="3560" hidden="1">
      <c r="A3560" s="21"/>
      <c r="B3560" s="21" t="s">
        <v>4416</v>
      </c>
      <c r="D3560" s="25">
        <v>0.0</v>
      </c>
      <c r="E3560" s="27"/>
      <c r="F3560" s="25">
        <v>0.0</v>
      </c>
      <c r="G3560" s="27"/>
    </row>
    <row r="3561" hidden="1">
      <c r="A3561" s="21"/>
      <c r="B3561" s="21" t="s">
        <v>4417</v>
      </c>
      <c r="D3561" s="25">
        <v>0.0</v>
      </c>
      <c r="E3561" s="27"/>
      <c r="F3561" s="25">
        <v>0.0</v>
      </c>
      <c r="G3561" s="27"/>
    </row>
    <row r="3562" hidden="1">
      <c r="A3562" s="21"/>
      <c r="B3562" s="21" t="s">
        <v>4418</v>
      </c>
      <c r="D3562" s="25">
        <v>0.0</v>
      </c>
      <c r="E3562" s="27"/>
      <c r="F3562" s="25">
        <v>0.0</v>
      </c>
      <c r="G3562" s="27"/>
    </row>
    <row r="3563" hidden="1">
      <c r="A3563" s="21"/>
      <c r="B3563" s="21" t="s">
        <v>4419</v>
      </c>
      <c r="D3563" s="25">
        <v>0.0</v>
      </c>
      <c r="E3563" s="27"/>
      <c r="F3563" s="25">
        <v>0.0</v>
      </c>
      <c r="G3563" s="27"/>
    </row>
    <row r="3564" hidden="1">
      <c r="A3564" s="21"/>
      <c r="B3564" s="21" t="s">
        <v>4420</v>
      </c>
      <c r="D3564" s="25">
        <v>0.0</v>
      </c>
      <c r="E3564" s="27"/>
      <c r="F3564" s="25">
        <v>0.0</v>
      </c>
      <c r="G3564" s="27"/>
    </row>
    <row r="3565" hidden="1">
      <c r="A3565" s="21"/>
      <c r="B3565" s="21" t="s">
        <v>4421</v>
      </c>
      <c r="D3565" s="25">
        <v>0.0</v>
      </c>
      <c r="E3565" s="27"/>
      <c r="F3565" s="25">
        <v>0.0</v>
      </c>
      <c r="G3565" s="27"/>
    </row>
    <row r="3566" hidden="1">
      <c r="A3566" s="21"/>
      <c r="B3566" s="21" t="s">
        <v>4422</v>
      </c>
      <c r="D3566" s="25">
        <v>0.0</v>
      </c>
      <c r="E3566" s="27"/>
      <c r="F3566" s="25">
        <v>0.0</v>
      </c>
      <c r="G3566" s="27"/>
    </row>
    <row r="3567" hidden="1">
      <c r="A3567" s="21"/>
      <c r="B3567" s="21" t="s">
        <v>4423</v>
      </c>
      <c r="D3567" s="25">
        <v>0.0</v>
      </c>
      <c r="E3567" s="27"/>
      <c r="F3567" s="25">
        <v>0.0</v>
      </c>
      <c r="G3567" s="27"/>
    </row>
    <row r="3568" hidden="1">
      <c r="A3568" s="21"/>
      <c r="B3568" s="21" t="s">
        <v>4424</v>
      </c>
      <c r="D3568" s="25">
        <v>0.0</v>
      </c>
      <c r="E3568" s="27"/>
      <c r="F3568" s="25">
        <v>0.0</v>
      </c>
      <c r="G3568" s="27"/>
    </row>
    <row r="3569" hidden="1">
      <c r="A3569" s="21"/>
      <c r="B3569" s="21" t="s">
        <v>4425</v>
      </c>
      <c r="D3569" s="25">
        <v>0.0</v>
      </c>
      <c r="E3569" s="27"/>
      <c r="F3569" s="25">
        <v>0.0</v>
      </c>
      <c r="G3569" s="27"/>
    </row>
    <row r="3570" hidden="1">
      <c r="A3570" s="21"/>
      <c r="B3570" s="21" t="s">
        <v>4426</v>
      </c>
      <c r="D3570" s="25">
        <v>0.0</v>
      </c>
      <c r="E3570" s="27"/>
      <c r="F3570" s="25">
        <v>0.0</v>
      </c>
      <c r="G3570" s="27"/>
    </row>
    <row r="3571" hidden="1">
      <c r="A3571" s="21"/>
      <c r="B3571" s="21" t="s">
        <v>4427</v>
      </c>
      <c r="D3571" s="25">
        <v>0.0</v>
      </c>
      <c r="E3571" s="27"/>
      <c r="F3571" s="25">
        <v>0.0</v>
      </c>
      <c r="G3571" s="27"/>
    </row>
    <row r="3572" hidden="1">
      <c r="A3572" s="21"/>
      <c r="B3572" s="21" t="s">
        <v>4428</v>
      </c>
      <c r="D3572" s="25">
        <v>0.0</v>
      </c>
      <c r="E3572" s="27"/>
      <c r="F3572" s="25">
        <v>0.0</v>
      </c>
      <c r="G3572" s="27"/>
    </row>
    <row r="3573" hidden="1">
      <c r="A3573" s="21"/>
      <c r="B3573" s="21" t="s">
        <v>4429</v>
      </c>
      <c r="D3573" s="25">
        <v>0.0</v>
      </c>
      <c r="E3573" s="27"/>
      <c r="F3573" s="25">
        <v>0.0</v>
      </c>
      <c r="G3573" s="27"/>
    </row>
    <row r="3574" hidden="1">
      <c r="A3574" s="21"/>
      <c r="B3574" s="21" t="s">
        <v>4430</v>
      </c>
      <c r="D3574" s="25">
        <v>0.0</v>
      </c>
      <c r="E3574" s="27"/>
      <c r="F3574" s="25">
        <v>0.0</v>
      </c>
      <c r="G3574" s="27"/>
    </row>
    <row r="3575" hidden="1">
      <c r="A3575" s="21"/>
      <c r="B3575" s="21" t="s">
        <v>4431</v>
      </c>
      <c r="D3575" s="25">
        <v>0.0</v>
      </c>
      <c r="E3575" s="27"/>
      <c r="F3575" s="25">
        <v>0.0</v>
      </c>
      <c r="G3575" s="27"/>
    </row>
    <row r="3576" hidden="1">
      <c r="A3576" s="21"/>
      <c r="B3576" s="21" t="s">
        <v>4432</v>
      </c>
      <c r="D3576" s="25">
        <v>0.0</v>
      </c>
      <c r="E3576" s="27"/>
      <c r="F3576" s="25">
        <v>0.0</v>
      </c>
      <c r="G3576" s="27"/>
    </row>
    <row r="3577" hidden="1">
      <c r="A3577" s="21"/>
      <c r="B3577" s="21" t="s">
        <v>4433</v>
      </c>
      <c r="D3577" s="25">
        <v>0.0</v>
      </c>
      <c r="E3577" s="27"/>
      <c r="F3577" s="25">
        <v>0.0</v>
      </c>
      <c r="G3577" s="27"/>
    </row>
    <row r="3578" hidden="1">
      <c r="A3578" s="21"/>
      <c r="B3578" s="21" t="s">
        <v>4434</v>
      </c>
      <c r="D3578" s="25">
        <v>0.0</v>
      </c>
      <c r="E3578" s="27"/>
      <c r="F3578" s="25">
        <v>0.0</v>
      </c>
      <c r="G3578" s="27"/>
    </row>
    <row r="3579" hidden="1">
      <c r="A3579" s="21"/>
      <c r="B3579" s="21" t="s">
        <v>4435</v>
      </c>
      <c r="D3579" s="25">
        <v>0.0</v>
      </c>
      <c r="E3579" s="27"/>
      <c r="F3579" s="25">
        <v>0.0</v>
      </c>
      <c r="G3579" s="27"/>
    </row>
    <row r="3580" hidden="1">
      <c r="A3580" s="21"/>
      <c r="B3580" s="21" t="s">
        <v>4436</v>
      </c>
      <c r="D3580" s="25">
        <v>0.0</v>
      </c>
      <c r="E3580" s="27"/>
      <c r="F3580" s="25">
        <v>0.0</v>
      </c>
      <c r="G3580" s="27"/>
    </row>
    <row r="3581" hidden="1">
      <c r="A3581" s="21"/>
      <c r="B3581" s="21" t="s">
        <v>4437</v>
      </c>
      <c r="D3581" s="25">
        <v>0.0</v>
      </c>
      <c r="E3581" s="27"/>
      <c r="F3581" s="25">
        <v>0.0</v>
      </c>
      <c r="G3581" s="27"/>
    </row>
    <row r="3582" hidden="1">
      <c r="A3582" s="21"/>
      <c r="B3582" s="21" t="s">
        <v>4438</v>
      </c>
      <c r="D3582" s="25">
        <v>0.0</v>
      </c>
      <c r="E3582" s="27"/>
      <c r="F3582" s="25">
        <v>0.0</v>
      </c>
      <c r="G3582" s="27"/>
    </row>
    <row r="3583" hidden="1">
      <c r="A3583" s="21"/>
      <c r="B3583" s="21" t="s">
        <v>4439</v>
      </c>
      <c r="D3583" s="25">
        <v>0.0</v>
      </c>
      <c r="E3583" s="27"/>
      <c r="F3583" s="25">
        <v>0.0</v>
      </c>
      <c r="G3583" s="27"/>
    </row>
    <row r="3584" hidden="1">
      <c r="A3584" s="21"/>
      <c r="B3584" s="21" t="s">
        <v>4440</v>
      </c>
      <c r="D3584" s="25">
        <v>0.0</v>
      </c>
      <c r="E3584" s="27"/>
      <c r="F3584" s="25">
        <v>0.0</v>
      </c>
      <c r="G3584" s="27"/>
    </row>
    <row r="3585" hidden="1">
      <c r="A3585" s="21"/>
      <c r="B3585" s="21" t="s">
        <v>4441</v>
      </c>
      <c r="D3585" s="25">
        <v>0.0</v>
      </c>
      <c r="E3585" s="27"/>
      <c r="F3585" s="25">
        <v>0.0</v>
      </c>
      <c r="G3585" s="27"/>
    </row>
    <row r="3586" hidden="1">
      <c r="A3586" s="21"/>
      <c r="B3586" s="21" t="s">
        <v>4442</v>
      </c>
      <c r="D3586" s="25">
        <v>0.0</v>
      </c>
      <c r="E3586" s="27"/>
      <c r="F3586" s="25">
        <v>0.0</v>
      </c>
      <c r="G3586" s="27"/>
    </row>
    <row r="3587" hidden="1">
      <c r="A3587" s="21"/>
      <c r="B3587" s="21" t="s">
        <v>4443</v>
      </c>
      <c r="D3587" s="25">
        <v>0.0</v>
      </c>
      <c r="E3587" s="27"/>
      <c r="F3587" s="25">
        <v>0.0</v>
      </c>
      <c r="G3587" s="27"/>
    </row>
    <row r="3588" hidden="1">
      <c r="A3588" s="21"/>
      <c r="B3588" s="21" t="s">
        <v>4444</v>
      </c>
      <c r="D3588" s="25">
        <v>0.0</v>
      </c>
      <c r="E3588" s="27"/>
      <c r="F3588" s="25">
        <v>0.0</v>
      </c>
      <c r="G3588" s="27"/>
    </row>
    <row r="3589" hidden="1">
      <c r="A3589" s="21"/>
      <c r="B3589" s="21" t="s">
        <v>4445</v>
      </c>
      <c r="D3589" s="25">
        <v>0.0</v>
      </c>
      <c r="E3589" s="27"/>
      <c r="F3589" s="25">
        <v>0.0</v>
      </c>
      <c r="G3589" s="27"/>
    </row>
    <row r="3590" hidden="1">
      <c r="A3590" s="21"/>
      <c r="B3590" s="21" t="s">
        <v>4446</v>
      </c>
      <c r="D3590" s="25">
        <v>0.0</v>
      </c>
      <c r="E3590" s="27"/>
      <c r="F3590" s="25">
        <v>0.0</v>
      </c>
      <c r="G3590" s="27"/>
    </row>
    <row r="3591" hidden="1">
      <c r="A3591" s="21"/>
      <c r="B3591" s="21" t="s">
        <v>4447</v>
      </c>
      <c r="D3591" s="25">
        <v>0.0</v>
      </c>
      <c r="E3591" s="27"/>
      <c r="F3591" s="25">
        <v>0.0</v>
      </c>
      <c r="G3591" s="27"/>
    </row>
    <row r="3592" hidden="1">
      <c r="A3592" s="21"/>
      <c r="B3592" s="21" t="s">
        <v>4448</v>
      </c>
      <c r="D3592" s="25">
        <v>0.0</v>
      </c>
      <c r="E3592" s="27"/>
      <c r="F3592" s="25">
        <v>0.0</v>
      </c>
      <c r="G3592" s="27"/>
    </row>
    <row r="3593" hidden="1">
      <c r="A3593" s="21"/>
      <c r="B3593" s="21" t="s">
        <v>4449</v>
      </c>
      <c r="D3593" s="25">
        <v>0.0</v>
      </c>
      <c r="E3593" s="27"/>
      <c r="F3593" s="25">
        <v>0.0</v>
      </c>
      <c r="G3593" s="27"/>
    </row>
    <row r="3594" hidden="1">
      <c r="A3594" s="21"/>
      <c r="B3594" s="21" t="s">
        <v>4450</v>
      </c>
      <c r="D3594" s="25">
        <v>0.0</v>
      </c>
      <c r="E3594" s="27"/>
      <c r="F3594" s="25">
        <v>0.0</v>
      </c>
      <c r="G3594" s="27"/>
    </row>
    <row r="3595" hidden="1">
      <c r="A3595" s="21"/>
      <c r="B3595" s="21" t="s">
        <v>4451</v>
      </c>
      <c r="D3595" s="25">
        <v>0.0</v>
      </c>
      <c r="E3595" s="27"/>
      <c r="F3595" s="25">
        <v>0.0</v>
      </c>
      <c r="G3595" s="27"/>
    </row>
    <row r="3596" hidden="1">
      <c r="A3596" s="21"/>
      <c r="B3596" s="21" t="s">
        <v>4452</v>
      </c>
      <c r="D3596" s="25">
        <v>0.0</v>
      </c>
      <c r="E3596" s="27"/>
      <c r="F3596" s="25">
        <v>0.0</v>
      </c>
      <c r="G3596" s="27"/>
    </row>
    <row r="3597" hidden="1">
      <c r="A3597" s="21"/>
      <c r="B3597" s="21" t="s">
        <v>4453</v>
      </c>
      <c r="D3597" s="25">
        <v>0.0</v>
      </c>
      <c r="E3597" s="27"/>
      <c r="F3597" s="25">
        <v>0.0</v>
      </c>
      <c r="G3597" s="27"/>
    </row>
    <row r="3598" hidden="1">
      <c r="A3598" s="21"/>
      <c r="B3598" s="21" t="s">
        <v>4454</v>
      </c>
      <c r="D3598" s="25">
        <v>0.0</v>
      </c>
      <c r="E3598" s="27"/>
      <c r="F3598" s="25">
        <v>0.0</v>
      </c>
      <c r="G3598" s="27"/>
    </row>
    <row r="3599" hidden="1">
      <c r="A3599" s="21"/>
      <c r="B3599" s="21" t="s">
        <v>4455</v>
      </c>
      <c r="D3599" s="25">
        <v>0.0</v>
      </c>
      <c r="E3599" s="27"/>
      <c r="F3599" s="25">
        <v>0.0</v>
      </c>
      <c r="G3599" s="27"/>
    </row>
    <row r="3600" hidden="1">
      <c r="A3600" s="21"/>
      <c r="B3600" s="21" t="s">
        <v>4456</v>
      </c>
      <c r="D3600" s="25">
        <v>0.0</v>
      </c>
      <c r="E3600" s="27"/>
      <c r="F3600" s="25">
        <v>0.0</v>
      </c>
      <c r="G3600" s="27"/>
    </row>
    <row r="3601" hidden="1">
      <c r="A3601" s="21"/>
      <c r="B3601" s="21" t="s">
        <v>4457</v>
      </c>
      <c r="D3601" s="25">
        <v>0.0</v>
      </c>
      <c r="E3601" s="27"/>
      <c r="F3601" s="25">
        <v>0.0</v>
      </c>
      <c r="G3601" s="27"/>
    </row>
    <row r="3602" hidden="1">
      <c r="A3602" s="21"/>
      <c r="B3602" s="21" t="s">
        <v>4458</v>
      </c>
      <c r="D3602" s="25">
        <v>0.0</v>
      </c>
      <c r="E3602" s="27"/>
      <c r="F3602" s="25">
        <v>0.0</v>
      </c>
      <c r="G3602" s="27"/>
    </row>
    <row r="3603" hidden="1">
      <c r="A3603" s="21"/>
      <c r="B3603" s="21" t="s">
        <v>4459</v>
      </c>
      <c r="D3603" s="25">
        <v>0.0</v>
      </c>
      <c r="E3603" s="27"/>
      <c r="F3603" s="25">
        <v>0.0</v>
      </c>
      <c r="G3603" s="27"/>
    </row>
    <row r="3604" hidden="1">
      <c r="A3604" s="21"/>
      <c r="B3604" s="21" t="s">
        <v>4460</v>
      </c>
      <c r="D3604" s="25">
        <v>0.0</v>
      </c>
      <c r="E3604" s="27"/>
      <c r="F3604" s="25">
        <v>0.0</v>
      </c>
      <c r="G3604" s="27"/>
    </row>
    <row r="3605" hidden="1">
      <c r="A3605" s="21"/>
      <c r="B3605" s="21" t="s">
        <v>4461</v>
      </c>
      <c r="D3605" s="25">
        <v>0.0</v>
      </c>
      <c r="E3605" s="27"/>
      <c r="F3605" s="25">
        <v>0.0</v>
      </c>
      <c r="G3605" s="27"/>
    </row>
    <row r="3606" hidden="1">
      <c r="A3606" s="21"/>
      <c r="B3606" s="21" t="s">
        <v>4462</v>
      </c>
      <c r="D3606" s="25">
        <v>0.0</v>
      </c>
      <c r="E3606" s="27"/>
      <c r="F3606" s="25">
        <v>0.0</v>
      </c>
      <c r="G3606" s="27"/>
    </row>
    <row r="3607" hidden="1">
      <c r="A3607" s="21"/>
      <c r="B3607" s="21" t="s">
        <v>4463</v>
      </c>
      <c r="D3607" s="25">
        <v>0.0</v>
      </c>
      <c r="E3607" s="27"/>
      <c r="F3607" s="25">
        <v>0.0</v>
      </c>
      <c r="G3607" s="27"/>
    </row>
    <row r="3608" hidden="1">
      <c r="A3608" s="21"/>
      <c r="B3608" s="21" t="s">
        <v>4464</v>
      </c>
      <c r="D3608" s="25">
        <v>0.0</v>
      </c>
      <c r="E3608" s="27"/>
      <c r="F3608" s="25">
        <v>0.0</v>
      </c>
      <c r="G3608" s="27"/>
    </row>
    <row r="3609" hidden="1">
      <c r="A3609" s="21"/>
      <c r="B3609" s="21" t="s">
        <v>4465</v>
      </c>
      <c r="D3609" s="25">
        <v>0.0</v>
      </c>
      <c r="E3609" s="27"/>
      <c r="F3609" s="25">
        <v>0.0</v>
      </c>
      <c r="G3609" s="27"/>
    </row>
    <row r="3610" hidden="1">
      <c r="A3610" s="21"/>
      <c r="B3610" s="21" t="s">
        <v>4466</v>
      </c>
      <c r="D3610" s="25">
        <v>0.0</v>
      </c>
      <c r="E3610" s="27"/>
      <c r="F3610" s="25">
        <v>0.0</v>
      </c>
      <c r="G3610" s="27"/>
    </row>
    <row r="3611" hidden="1">
      <c r="A3611" s="21"/>
      <c r="B3611" s="21" t="s">
        <v>4467</v>
      </c>
      <c r="D3611" s="25">
        <v>0.0</v>
      </c>
      <c r="E3611" s="27"/>
      <c r="F3611" s="25">
        <v>0.0</v>
      </c>
      <c r="G3611" s="27"/>
    </row>
    <row r="3612" hidden="1">
      <c r="A3612" s="21"/>
      <c r="B3612" s="21" t="s">
        <v>4468</v>
      </c>
      <c r="D3612" s="25">
        <v>0.0</v>
      </c>
      <c r="E3612" s="27"/>
      <c r="F3612" s="25">
        <v>0.0</v>
      </c>
      <c r="G3612" s="27"/>
    </row>
    <row r="3613" hidden="1">
      <c r="A3613" s="21"/>
      <c r="B3613" s="21" t="s">
        <v>4469</v>
      </c>
      <c r="D3613" s="25">
        <v>0.0</v>
      </c>
      <c r="E3613" s="27"/>
      <c r="F3613" s="25">
        <v>0.0</v>
      </c>
      <c r="G3613" s="27"/>
    </row>
    <row r="3614" hidden="1">
      <c r="A3614" s="21"/>
      <c r="B3614" s="21" t="s">
        <v>4470</v>
      </c>
      <c r="D3614" s="25">
        <v>0.0</v>
      </c>
      <c r="E3614" s="27"/>
      <c r="F3614" s="25">
        <v>0.0</v>
      </c>
      <c r="G3614" s="27"/>
    </row>
    <row r="3615" hidden="1">
      <c r="A3615" s="21"/>
      <c r="B3615" s="21" t="s">
        <v>4471</v>
      </c>
      <c r="D3615" s="25">
        <v>0.0</v>
      </c>
      <c r="E3615" s="27"/>
      <c r="F3615" s="25">
        <v>0.0</v>
      </c>
      <c r="G3615" s="27"/>
    </row>
    <row r="3616" hidden="1">
      <c r="A3616" s="21"/>
      <c r="B3616" s="21" t="s">
        <v>4472</v>
      </c>
      <c r="D3616" s="25">
        <v>0.0</v>
      </c>
      <c r="E3616" s="27"/>
      <c r="F3616" s="25">
        <v>0.0</v>
      </c>
      <c r="G3616" s="27"/>
    </row>
    <row r="3617" hidden="1">
      <c r="A3617" s="21"/>
      <c r="B3617" s="21" t="s">
        <v>4473</v>
      </c>
      <c r="D3617" s="25">
        <v>0.0</v>
      </c>
      <c r="E3617" s="27"/>
      <c r="F3617" s="25">
        <v>0.0</v>
      </c>
      <c r="G3617" s="27"/>
    </row>
    <row r="3618" hidden="1">
      <c r="A3618" s="21"/>
      <c r="B3618" s="21" t="s">
        <v>4474</v>
      </c>
      <c r="D3618" s="25">
        <v>0.0</v>
      </c>
      <c r="E3618" s="27"/>
      <c r="F3618" s="25">
        <v>0.0</v>
      </c>
      <c r="G3618" s="27"/>
    </row>
    <row r="3619" hidden="1">
      <c r="A3619" s="21"/>
      <c r="B3619" s="21" t="s">
        <v>4475</v>
      </c>
      <c r="D3619" s="25">
        <v>0.0</v>
      </c>
      <c r="E3619" s="27"/>
      <c r="F3619" s="25">
        <v>0.0</v>
      </c>
      <c r="G3619" s="27"/>
    </row>
    <row r="3620" hidden="1">
      <c r="A3620" s="21"/>
      <c r="B3620" s="21" t="s">
        <v>4476</v>
      </c>
      <c r="D3620" s="25">
        <v>0.0</v>
      </c>
      <c r="E3620" s="27"/>
      <c r="F3620" s="25">
        <v>0.0</v>
      </c>
      <c r="G3620" s="27"/>
    </row>
    <row r="3621" hidden="1">
      <c r="A3621" s="21"/>
      <c r="B3621" s="21" t="s">
        <v>4477</v>
      </c>
      <c r="D3621" s="25">
        <v>0.0</v>
      </c>
      <c r="E3621" s="27"/>
      <c r="F3621" s="25">
        <v>0.0</v>
      </c>
      <c r="G3621" s="27"/>
    </row>
    <row r="3622" hidden="1">
      <c r="A3622" s="21"/>
      <c r="B3622" s="21" t="s">
        <v>4478</v>
      </c>
      <c r="D3622" s="25">
        <v>0.0</v>
      </c>
      <c r="E3622" s="27"/>
      <c r="F3622" s="25">
        <v>0.0</v>
      </c>
      <c r="G3622" s="27"/>
    </row>
    <row r="3623" hidden="1">
      <c r="A3623" s="21"/>
      <c r="B3623" s="21" t="s">
        <v>4479</v>
      </c>
      <c r="D3623" s="25">
        <v>0.0</v>
      </c>
      <c r="E3623" s="27"/>
      <c r="F3623" s="25">
        <v>0.0</v>
      </c>
      <c r="G3623" s="27"/>
    </row>
    <row r="3624" hidden="1">
      <c r="A3624" s="21"/>
      <c r="B3624" s="21" t="s">
        <v>4480</v>
      </c>
      <c r="D3624" s="25">
        <v>0.0</v>
      </c>
      <c r="E3624" s="27"/>
      <c r="F3624" s="25">
        <v>0.0</v>
      </c>
      <c r="G3624" s="27"/>
    </row>
    <row r="3625" hidden="1">
      <c r="A3625" s="21"/>
      <c r="B3625" s="21" t="s">
        <v>4481</v>
      </c>
      <c r="D3625" s="25">
        <v>0.0</v>
      </c>
      <c r="E3625" s="27"/>
      <c r="F3625" s="25">
        <v>0.0</v>
      </c>
      <c r="G3625" s="27"/>
    </row>
    <row r="3626" hidden="1">
      <c r="A3626" s="21"/>
      <c r="B3626" s="21" t="s">
        <v>4482</v>
      </c>
      <c r="D3626" s="25">
        <v>0.0</v>
      </c>
      <c r="E3626" s="27"/>
      <c r="F3626" s="25">
        <v>0.0</v>
      </c>
      <c r="G3626" s="27"/>
    </row>
    <row r="3627" hidden="1">
      <c r="A3627" s="21"/>
      <c r="B3627" s="21" t="s">
        <v>4483</v>
      </c>
      <c r="D3627" s="25">
        <v>0.0</v>
      </c>
      <c r="E3627" s="27"/>
      <c r="F3627" s="25">
        <v>0.0</v>
      </c>
      <c r="G3627" s="27"/>
    </row>
    <row r="3628" hidden="1">
      <c r="A3628" s="21"/>
      <c r="B3628" s="21" t="s">
        <v>4484</v>
      </c>
      <c r="D3628" s="25">
        <v>0.0</v>
      </c>
      <c r="E3628" s="27"/>
      <c r="F3628" s="25">
        <v>0.0</v>
      </c>
      <c r="G3628" s="27"/>
    </row>
    <row r="3629" hidden="1">
      <c r="A3629" s="21"/>
      <c r="B3629" s="21" t="s">
        <v>4485</v>
      </c>
      <c r="D3629" s="25">
        <v>0.0</v>
      </c>
      <c r="E3629" s="27"/>
      <c r="F3629" s="25">
        <v>0.0</v>
      </c>
      <c r="G3629" s="27"/>
    </row>
    <row r="3630" hidden="1">
      <c r="A3630" s="21"/>
      <c r="B3630" s="21" t="s">
        <v>4486</v>
      </c>
      <c r="D3630" s="25">
        <v>0.0</v>
      </c>
      <c r="E3630" s="27"/>
      <c r="F3630" s="25">
        <v>0.0</v>
      </c>
      <c r="G3630" s="27"/>
    </row>
    <row r="3631" hidden="1">
      <c r="A3631" s="21"/>
      <c r="B3631" s="21" t="s">
        <v>4487</v>
      </c>
      <c r="D3631" s="25">
        <v>0.0</v>
      </c>
      <c r="E3631" s="27"/>
      <c r="F3631" s="25">
        <v>0.0</v>
      </c>
      <c r="G3631" s="27"/>
    </row>
    <row r="3632" hidden="1">
      <c r="A3632" s="21"/>
      <c r="B3632" s="21" t="s">
        <v>4488</v>
      </c>
      <c r="D3632" s="25">
        <v>0.0</v>
      </c>
      <c r="E3632" s="27"/>
      <c r="F3632" s="25">
        <v>0.0</v>
      </c>
      <c r="G3632" s="27"/>
    </row>
    <row r="3633" hidden="1">
      <c r="A3633" s="21"/>
      <c r="B3633" s="21" t="s">
        <v>4489</v>
      </c>
      <c r="D3633" s="25">
        <v>0.0</v>
      </c>
      <c r="E3633" s="27"/>
      <c r="F3633" s="25">
        <v>0.0</v>
      </c>
      <c r="G3633" s="27"/>
    </row>
    <row r="3634" hidden="1">
      <c r="A3634" s="21"/>
      <c r="B3634" s="21" t="s">
        <v>4490</v>
      </c>
      <c r="D3634" s="25">
        <v>0.0</v>
      </c>
      <c r="E3634" s="27"/>
      <c r="F3634" s="25">
        <v>0.0</v>
      </c>
      <c r="G3634" s="27"/>
    </row>
    <row r="3635" hidden="1">
      <c r="A3635" s="21"/>
      <c r="B3635" s="21" t="s">
        <v>4491</v>
      </c>
      <c r="D3635" s="25">
        <v>0.0</v>
      </c>
      <c r="E3635" s="27"/>
      <c r="F3635" s="25">
        <v>0.0</v>
      </c>
      <c r="G3635" s="27"/>
    </row>
    <row r="3636" hidden="1">
      <c r="A3636" s="21"/>
      <c r="B3636" s="21" t="s">
        <v>4492</v>
      </c>
      <c r="D3636" s="25">
        <v>0.0</v>
      </c>
      <c r="E3636" s="27"/>
      <c r="F3636" s="25">
        <v>0.0</v>
      </c>
      <c r="G3636" s="27"/>
    </row>
    <row r="3637" hidden="1">
      <c r="A3637" s="21"/>
      <c r="B3637" s="21" t="s">
        <v>4493</v>
      </c>
      <c r="D3637" s="25">
        <v>0.0</v>
      </c>
      <c r="E3637" s="27"/>
      <c r="F3637" s="25">
        <v>0.0</v>
      </c>
      <c r="G3637" s="27"/>
    </row>
    <row r="3638" hidden="1">
      <c r="A3638" s="21"/>
      <c r="B3638" s="21" t="s">
        <v>4494</v>
      </c>
      <c r="D3638" s="25">
        <v>0.0</v>
      </c>
      <c r="E3638" s="27"/>
      <c r="F3638" s="25">
        <v>0.0</v>
      </c>
      <c r="G3638" s="27"/>
    </row>
    <row r="3639" hidden="1">
      <c r="A3639" s="21"/>
      <c r="B3639" s="21" t="s">
        <v>4495</v>
      </c>
      <c r="D3639" s="25">
        <v>0.0</v>
      </c>
      <c r="E3639" s="27"/>
      <c r="F3639" s="25">
        <v>0.0</v>
      </c>
      <c r="G3639" s="27"/>
    </row>
    <row r="3640" hidden="1">
      <c r="A3640" s="21"/>
      <c r="B3640" s="21" t="s">
        <v>4496</v>
      </c>
      <c r="D3640" s="25">
        <v>0.0</v>
      </c>
      <c r="E3640" s="27"/>
      <c r="F3640" s="25">
        <v>0.0</v>
      </c>
      <c r="G3640" s="27"/>
    </row>
    <row r="3641" hidden="1">
      <c r="A3641" s="21"/>
      <c r="B3641" s="21" t="s">
        <v>4497</v>
      </c>
      <c r="D3641" s="25">
        <v>0.0</v>
      </c>
      <c r="E3641" s="27"/>
      <c r="F3641" s="25">
        <v>0.0</v>
      </c>
      <c r="G3641" s="27"/>
    </row>
    <row r="3642" hidden="1">
      <c r="A3642" s="21"/>
      <c r="B3642" s="21" t="s">
        <v>4498</v>
      </c>
      <c r="D3642" s="25">
        <v>0.0</v>
      </c>
      <c r="E3642" s="27"/>
      <c r="F3642" s="25">
        <v>0.0</v>
      </c>
      <c r="G3642" s="27"/>
    </row>
    <row r="3643" hidden="1">
      <c r="A3643" s="21"/>
      <c r="B3643" s="21" t="s">
        <v>4499</v>
      </c>
      <c r="D3643" s="25">
        <v>0.0</v>
      </c>
      <c r="E3643" s="27"/>
      <c r="F3643" s="25">
        <v>0.0</v>
      </c>
      <c r="G3643" s="27"/>
    </row>
    <row r="3644" hidden="1">
      <c r="A3644" s="21"/>
      <c r="B3644" s="21" t="s">
        <v>4500</v>
      </c>
      <c r="D3644" s="25">
        <v>0.0</v>
      </c>
      <c r="E3644" s="27"/>
      <c r="F3644" s="25">
        <v>0.0</v>
      </c>
      <c r="G3644" s="27"/>
    </row>
    <row r="3645" hidden="1">
      <c r="A3645" s="21"/>
      <c r="B3645" s="21" t="s">
        <v>4501</v>
      </c>
      <c r="D3645" s="25">
        <v>0.0</v>
      </c>
      <c r="E3645" s="27"/>
      <c r="F3645" s="25">
        <v>0.0</v>
      </c>
      <c r="G3645" s="27"/>
    </row>
    <row r="3646" hidden="1">
      <c r="A3646" s="21"/>
      <c r="B3646" s="21" t="s">
        <v>4502</v>
      </c>
      <c r="D3646" s="25">
        <v>0.0</v>
      </c>
      <c r="E3646" s="27"/>
      <c r="F3646" s="25">
        <v>0.0</v>
      </c>
      <c r="G3646" s="27"/>
    </row>
    <row r="3647" hidden="1">
      <c r="A3647" s="21"/>
      <c r="B3647" s="21" t="s">
        <v>4503</v>
      </c>
      <c r="D3647" s="25">
        <v>0.0</v>
      </c>
      <c r="E3647" s="27"/>
      <c r="F3647" s="25">
        <v>0.0</v>
      </c>
      <c r="G3647" s="27"/>
    </row>
    <row r="3648" hidden="1">
      <c r="A3648" s="21"/>
      <c r="B3648" s="21" t="s">
        <v>4504</v>
      </c>
      <c r="D3648" s="25">
        <v>0.0</v>
      </c>
      <c r="E3648" s="27"/>
      <c r="F3648" s="25">
        <v>0.0</v>
      </c>
      <c r="G3648" s="27"/>
    </row>
    <row r="3649" hidden="1">
      <c r="A3649" s="21"/>
      <c r="B3649" s="21" t="s">
        <v>4505</v>
      </c>
      <c r="D3649" s="25">
        <v>0.0</v>
      </c>
      <c r="E3649" s="27"/>
      <c r="F3649" s="25">
        <v>0.0</v>
      </c>
      <c r="G3649" s="27"/>
    </row>
    <row r="3650" hidden="1">
      <c r="A3650" s="21"/>
      <c r="B3650" s="21" t="s">
        <v>4506</v>
      </c>
      <c r="D3650" s="25">
        <v>0.0</v>
      </c>
      <c r="E3650" s="27"/>
      <c r="F3650" s="25">
        <v>0.0</v>
      </c>
      <c r="G3650" s="27"/>
    </row>
    <row r="3651" hidden="1">
      <c r="A3651" s="21"/>
      <c r="B3651" s="21" t="s">
        <v>4507</v>
      </c>
      <c r="D3651" s="25">
        <v>0.0</v>
      </c>
      <c r="E3651" s="27"/>
      <c r="F3651" s="25">
        <v>0.0</v>
      </c>
      <c r="G3651" s="27"/>
    </row>
    <row r="3652" hidden="1">
      <c r="A3652" s="21"/>
      <c r="B3652" s="21" t="s">
        <v>4508</v>
      </c>
      <c r="D3652" s="25">
        <v>0.0</v>
      </c>
      <c r="E3652" s="27"/>
      <c r="F3652" s="25">
        <v>0.0</v>
      </c>
      <c r="G3652" s="27"/>
    </row>
    <row r="3653" hidden="1">
      <c r="A3653" s="21"/>
      <c r="B3653" s="21" t="s">
        <v>4509</v>
      </c>
      <c r="D3653" s="25">
        <v>0.0</v>
      </c>
      <c r="E3653" s="27"/>
      <c r="F3653" s="25">
        <v>0.0</v>
      </c>
      <c r="G3653" s="27"/>
    </row>
    <row r="3654" hidden="1">
      <c r="A3654" s="21"/>
      <c r="B3654" s="21" t="s">
        <v>4510</v>
      </c>
      <c r="D3654" s="25">
        <v>0.0</v>
      </c>
      <c r="E3654" s="27"/>
      <c r="F3654" s="25">
        <v>0.0</v>
      </c>
      <c r="G3654" s="27"/>
    </row>
    <row r="3655" hidden="1">
      <c r="A3655" s="21"/>
      <c r="B3655" s="21" t="s">
        <v>4511</v>
      </c>
      <c r="D3655" s="25">
        <v>0.0</v>
      </c>
      <c r="E3655" s="27"/>
      <c r="F3655" s="25">
        <v>0.0</v>
      </c>
      <c r="G3655" s="27"/>
    </row>
    <row r="3656" hidden="1">
      <c r="A3656" s="21"/>
      <c r="B3656" s="21" t="s">
        <v>4512</v>
      </c>
      <c r="D3656" s="25">
        <v>0.0</v>
      </c>
      <c r="E3656" s="27"/>
      <c r="F3656" s="25">
        <v>0.0</v>
      </c>
      <c r="G3656" s="27"/>
    </row>
    <row r="3657" hidden="1">
      <c r="A3657" s="21"/>
      <c r="B3657" s="21" t="s">
        <v>4513</v>
      </c>
      <c r="D3657" s="25">
        <v>0.0</v>
      </c>
      <c r="E3657" s="27"/>
      <c r="F3657" s="25">
        <v>0.0</v>
      </c>
      <c r="G3657" s="27"/>
    </row>
    <row r="3658" hidden="1">
      <c r="A3658" s="21"/>
      <c r="B3658" s="21" t="s">
        <v>4514</v>
      </c>
      <c r="D3658" s="25">
        <v>0.0</v>
      </c>
      <c r="E3658" s="27"/>
      <c r="F3658" s="25">
        <v>0.0</v>
      </c>
      <c r="G3658" s="27"/>
    </row>
    <row r="3659" hidden="1">
      <c r="A3659" s="21"/>
      <c r="B3659" s="21" t="s">
        <v>4515</v>
      </c>
      <c r="D3659" s="25">
        <v>0.0</v>
      </c>
      <c r="E3659" s="27"/>
      <c r="F3659" s="25">
        <v>0.0</v>
      </c>
      <c r="G3659" s="27"/>
    </row>
    <row r="3660" hidden="1">
      <c r="A3660" s="21"/>
      <c r="B3660" s="21" t="s">
        <v>4516</v>
      </c>
      <c r="D3660" s="25">
        <v>0.0</v>
      </c>
      <c r="E3660" s="27"/>
      <c r="F3660" s="25">
        <v>0.0</v>
      </c>
      <c r="G3660" s="27"/>
    </row>
    <row r="3661" hidden="1">
      <c r="A3661" s="21"/>
      <c r="B3661" s="21" t="s">
        <v>4517</v>
      </c>
      <c r="D3661" s="25">
        <v>0.0</v>
      </c>
      <c r="E3661" s="27"/>
      <c r="F3661" s="25">
        <v>8.53</v>
      </c>
      <c r="G3661" s="27"/>
    </row>
    <row r="3662" hidden="1">
      <c r="A3662" s="21"/>
      <c r="B3662" s="21" t="s">
        <v>4518</v>
      </c>
      <c r="D3662" s="25">
        <v>0.0</v>
      </c>
      <c r="E3662" s="27"/>
      <c r="F3662" s="25">
        <v>5.45</v>
      </c>
      <c r="G3662" s="27"/>
    </row>
    <row r="3663" hidden="1">
      <c r="A3663" s="21"/>
      <c r="B3663" s="21" t="s">
        <v>4519</v>
      </c>
      <c r="D3663" s="25">
        <v>0.0</v>
      </c>
      <c r="E3663" s="27"/>
      <c r="F3663" s="25">
        <v>0.0</v>
      </c>
      <c r="G3663" s="27"/>
    </row>
    <row r="3664" hidden="1">
      <c r="A3664" s="21"/>
      <c r="B3664" s="21" t="s">
        <v>4520</v>
      </c>
      <c r="D3664" s="25">
        <v>0.0</v>
      </c>
      <c r="E3664" s="27"/>
      <c r="F3664" s="25">
        <v>0.0</v>
      </c>
      <c r="G3664" s="27"/>
    </row>
    <row r="3665" hidden="1">
      <c r="A3665" s="21"/>
      <c r="B3665" s="21" t="s">
        <v>4521</v>
      </c>
      <c r="D3665" s="25">
        <v>0.0</v>
      </c>
      <c r="E3665" s="27"/>
      <c r="F3665" s="25">
        <v>0.0</v>
      </c>
      <c r="G3665" s="27"/>
    </row>
    <row r="3666" hidden="1">
      <c r="A3666" s="21"/>
      <c r="B3666" s="21" t="s">
        <v>4522</v>
      </c>
      <c r="D3666" s="25">
        <v>0.0</v>
      </c>
      <c r="E3666" s="27"/>
      <c r="F3666" s="25">
        <v>0.0</v>
      </c>
      <c r="G3666" s="27"/>
    </row>
    <row r="3667" hidden="1">
      <c r="A3667" s="21"/>
      <c r="B3667" s="21" t="s">
        <v>4523</v>
      </c>
      <c r="D3667" s="25">
        <v>0.0</v>
      </c>
      <c r="E3667" s="27"/>
      <c r="F3667" s="25">
        <v>0.0</v>
      </c>
      <c r="G3667" s="27"/>
    </row>
    <row r="3668" hidden="1">
      <c r="A3668" s="21"/>
      <c r="B3668" s="21" t="s">
        <v>4524</v>
      </c>
      <c r="D3668" s="25">
        <v>0.0</v>
      </c>
      <c r="E3668" s="27"/>
      <c r="F3668" s="25">
        <v>0.0</v>
      </c>
      <c r="G3668" s="27"/>
    </row>
    <row r="3669" hidden="1">
      <c r="A3669" s="21"/>
      <c r="B3669" s="21" t="s">
        <v>4525</v>
      </c>
      <c r="D3669" s="25">
        <v>0.0</v>
      </c>
      <c r="E3669" s="27"/>
      <c r="F3669" s="25">
        <v>0.0</v>
      </c>
      <c r="G3669" s="27"/>
    </row>
    <row r="3670" hidden="1">
      <c r="A3670" s="21"/>
      <c r="B3670" s="21" t="s">
        <v>4526</v>
      </c>
      <c r="D3670" s="25">
        <v>0.0</v>
      </c>
      <c r="E3670" s="27"/>
      <c r="F3670" s="25">
        <v>0.0</v>
      </c>
      <c r="G3670" s="27"/>
    </row>
    <row r="3671" hidden="1">
      <c r="A3671" s="21"/>
      <c r="B3671" s="21" t="s">
        <v>4527</v>
      </c>
      <c r="D3671" s="25">
        <v>0.0</v>
      </c>
      <c r="E3671" s="27"/>
      <c r="F3671" s="25">
        <v>0.0</v>
      </c>
      <c r="G3671" s="27"/>
    </row>
    <row r="3672" hidden="1">
      <c r="A3672" s="21"/>
      <c r="B3672" s="21" t="s">
        <v>4528</v>
      </c>
      <c r="D3672" s="25">
        <v>0.0</v>
      </c>
      <c r="E3672" s="27"/>
      <c r="F3672" s="25">
        <v>0.0</v>
      </c>
      <c r="G3672" s="27"/>
    </row>
    <row r="3673" hidden="1">
      <c r="A3673" s="21"/>
      <c r="B3673" s="21" t="s">
        <v>4529</v>
      </c>
      <c r="D3673" s="25">
        <v>0.0</v>
      </c>
      <c r="E3673" s="27"/>
      <c r="F3673" s="25">
        <v>0.0</v>
      </c>
      <c r="G3673" s="27"/>
    </row>
    <row r="3674" hidden="1">
      <c r="A3674" s="21"/>
      <c r="B3674" s="21" t="s">
        <v>4530</v>
      </c>
      <c r="D3674" s="25">
        <v>0.0</v>
      </c>
      <c r="E3674" s="27"/>
      <c r="F3674" s="25">
        <v>0.0</v>
      </c>
      <c r="G3674" s="27"/>
    </row>
    <row r="3675" hidden="1">
      <c r="A3675" s="21"/>
      <c r="B3675" s="21" t="s">
        <v>4531</v>
      </c>
      <c r="D3675" s="25">
        <v>0.0</v>
      </c>
      <c r="E3675" s="27"/>
      <c r="F3675" s="25">
        <v>0.0</v>
      </c>
      <c r="G3675" s="27"/>
    </row>
    <row r="3676" hidden="1">
      <c r="A3676" s="21"/>
      <c r="B3676" s="21" t="s">
        <v>4532</v>
      </c>
      <c r="D3676" s="25">
        <v>0.0</v>
      </c>
      <c r="E3676" s="27"/>
      <c r="F3676" s="25">
        <v>0.0</v>
      </c>
      <c r="G3676" s="27"/>
    </row>
    <row r="3677" hidden="1">
      <c r="A3677" s="21"/>
      <c r="B3677" s="21" t="s">
        <v>4533</v>
      </c>
      <c r="D3677" s="25">
        <v>0.0</v>
      </c>
      <c r="E3677" s="27"/>
      <c r="F3677" s="25">
        <v>0.0</v>
      </c>
      <c r="G3677" s="27"/>
    </row>
    <row r="3678" hidden="1">
      <c r="A3678" s="21"/>
      <c r="B3678" s="21" t="s">
        <v>4534</v>
      </c>
      <c r="D3678" s="25">
        <v>0.0</v>
      </c>
      <c r="E3678" s="27"/>
      <c r="F3678" s="25">
        <v>0.0</v>
      </c>
      <c r="G3678" s="27"/>
    </row>
    <row r="3679" hidden="1">
      <c r="A3679" s="21"/>
      <c r="B3679" s="21" t="s">
        <v>4535</v>
      </c>
      <c r="D3679" s="25">
        <v>0.0</v>
      </c>
      <c r="E3679" s="27"/>
      <c r="F3679" s="25">
        <v>0.0</v>
      </c>
      <c r="G3679" s="27"/>
    </row>
    <row r="3680" hidden="1">
      <c r="A3680" s="21"/>
      <c r="B3680" s="21" t="s">
        <v>4536</v>
      </c>
      <c r="D3680" s="25">
        <v>0.0</v>
      </c>
      <c r="E3680" s="27"/>
      <c r="F3680" s="25">
        <v>0.0</v>
      </c>
      <c r="G3680" s="27"/>
    </row>
    <row r="3681" hidden="1">
      <c r="A3681" s="21"/>
      <c r="B3681" s="21" t="s">
        <v>4537</v>
      </c>
      <c r="D3681" s="25">
        <v>0.0</v>
      </c>
      <c r="E3681" s="27"/>
      <c r="F3681" s="25">
        <v>0.0</v>
      </c>
      <c r="G3681" s="27"/>
    </row>
    <row r="3682" hidden="1">
      <c r="A3682" s="21"/>
      <c r="B3682" s="21" t="s">
        <v>4538</v>
      </c>
      <c r="D3682" s="25">
        <v>0.0</v>
      </c>
      <c r="E3682" s="27"/>
      <c r="F3682" s="25">
        <v>4.4</v>
      </c>
      <c r="G3682" s="27"/>
    </row>
    <row r="3683" hidden="1">
      <c r="A3683" s="21"/>
      <c r="B3683" s="21" t="s">
        <v>4539</v>
      </c>
      <c r="D3683" s="25">
        <v>0.0</v>
      </c>
      <c r="E3683" s="27"/>
      <c r="F3683" s="25">
        <v>0.0</v>
      </c>
      <c r="G3683" s="27"/>
    </row>
    <row r="3684" hidden="1">
      <c r="A3684" s="21"/>
      <c r="B3684" s="21" t="s">
        <v>4540</v>
      </c>
      <c r="D3684" s="25">
        <v>0.0</v>
      </c>
      <c r="E3684" s="27"/>
      <c r="F3684" s="25">
        <v>0.0</v>
      </c>
      <c r="G3684" s="27"/>
    </row>
    <row r="3685" hidden="1">
      <c r="A3685" s="21"/>
      <c r="B3685" s="21" t="s">
        <v>4541</v>
      </c>
      <c r="D3685" s="25">
        <v>0.0</v>
      </c>
      <c r="E3685" s="27"/>
      <c r="F3685" s="25">
        <v>0.0</v>
      </c>
      <c r="G3685" s="27"/>
    </row>
    <row r="3686" hidden="1">
      <c r="A3686" s="21"/>
      <c r="B3686" s="21" t="s">
        <v>4542</v>
      </c>
      <c r="D3686" s="25">
        <v>0.0</v>
      </c>
      <c r="E3686" s="27"/>
      <c r="F3686" s="25">
        <v>0.0</v>
      </c>
      <c r="G3686" s="27"/>
    </row>
    <row r="3687" hidden="1">
      <c r="A3687" s="21"/>
      <c r="B3687" s="21" t="s">
        <v>4543</v>
      </c>
      <c r="D3687" s="25">
        <v>0.0</v>
      </c>
      <c r="E3687" s="27"/>
      <c r="F3687" s="25">
        <v>0.0</v>
      </c>
      <c r="G3687" s="27"/>
    </row>
    <row r="3688" hidden="1">
      <c r="A3688" s="21"/>
      <c r="B3688" s="21" t="s">
        <v>4544</v>
      </c>
      <c r="D3688" s="25">
        <v>0.0</v>
      </c>
      <c r="E3688" s="27"/>
      <c r="F3688" s="25">
        <v>0.0</v>
      </c>
      <c r="G3688" s="27"/>
    </row>
    <row r="3689" hidden="1">
      <c r="A3689" s="21"/>
      <c r="B3689" s="21" t="s">
        <v>4545</v>
      </c>
      <c r="D3689" s="25">
        <v>0.0</v>
      </c>
      <c r="E3689" s="27"/>
      <c r="F3689" s="25">
        <v>0.0</v>
      </c>
      <c r="G3689" s="27"/>
    </row>
    <row r="3690" hidden="1">
      <c r="A3690" s="21"/>
      <c r="B3690" s="21" t="s">
        <v>4546</v>
      </c>
      <c r="D3690" s="25">
        <v>0.0</v>
      </c>
      <c r="E3690" s="27"/>
      <c r="F3690" s="25">
        <v>0.0</v>
      </c>
      <c r="G3690" s="27"/>
    </row>
    <row r="3691" hidden="1">
      <c r="A3691" s="21"/>
      <c r="B3691" s="21" t="s">
        <v>4547</v>
      </c>
      <c r="D3691" s="25">
        <v>0.0</v>
      </c>
      <c r="E3691" s="27"/>
      <c r="F3691" s="25">
        <v>0.0</v>
      </c>
      <c r="G3691" s="27"/>
    </row>
    <row r="3692" hidden="1">
      <c r="A3692" s="21"/>
      <c r="B3692" s="21" t="s">
        <v>4548</v>
      </c>
      <c r="D3692" s="25">
        <v>0.0</v>
      </c>
      <c r="E3692" s="27"/>
      <c r="F3692" s="25">
        <v>0.0</v>
      </c>
      <c r="G3692" s="27"/>
    </row>
    <row r="3693" hidden="1">
      <c r="A3693" s="21"/>
      <c r="B3693" s="21" t="s">
        <v>4549</v>
      </c>
      <c r="D3693" s="25">
        <v>0.0</v>
      </c>
      <c r="E3693" s="27"/>
      <c r="F3693" s="25">
        <v>0.0</v>
      </c>
      <c r="G3693" s="27"/>
    </row>
    <row r="3694" hidden="1">
      <c r="A3694" s="21"/>
      <c r="B3694" s="21" t="s">
        <v>4550</v>
      </c>
      <c r="D3694" s="25">
        <v>0.0</v>
      </c>
      <c r="E3694" s="27"/>
      <c r="F3694" s="25">
        <v>0.0</v>
      </c>
      <c r="G3694" s="27"/>
    </row>
    <row r="3695" hidden="1">
      <c r="A3695" s="21"/>
      <c r="B3695" s="21" t="s">
        <v>4551</v>
      </c>
      <c r="D3695" s="25">
        <v>0.0</v>
      </c>
      <c r="E3695" s="27"/>
      <c r="F3695" s="25">
        <v>0.0</v>
      </c>
      <c r="G3695" s="27"/>
    </row>
    <row r="3696" hidden="1">
      <c r="A3696" s="21"/>
      <c r="B3696" s="21" t="s">
        <v>4552</v>
      </c>
      <c r="D3696" s="25">
        <v>0.0</v>
      </c>
      <c r="E3696" s="27"/>
      <c r="F3696" s="25">
        <v>0.0</v>
      </c>
      <c r="G3696" s="27"/>
    </row>
    <row r="3697" hidden="1">
      <c r="A3697" s="21"/>
      <c r="B3697" s="21" t="s">
        <v>4553</v>
      </c>
      <c r="D3697" s="25">
        <v>0.0</v>
      </c>
      <c r="E3697" s="27"/>
      <c r="F3697" s="25">
        <v>0.0</v>
      </c>
      <c r="G3697" s="27"/>
    </row>
    <row r="3698" hidden="1">
      <c r="A3698" s="21"/>
      <c r="B3698" s="21" t="s">
        <v>4554</v>
      </c>
      <c r="D3698" s="25">
        <v>0.0</v>
      </c>
      <c r="E3698" s="27"/>
      <c r="F3698" s="25">
        <v>0.0</v>
      </c>
      <c r="G3698" s="27"/>
    </row>
    <row r="3699" hidden="1">
      <c r="A3699" s="21"/>
      <c r="B3699" s="21" t="s">
        <v>4555</v>
      </c>
      <c r="D3699" s="25">
        <v>0.0</v>
      </c>
      <c r="E3699" s="27"/>
      <c r="F3699" s="25">
        <v>0.0</v>
      </c>
      <c r="G3699" s="27"/>
    </row>
    <row r="3700" hidden="1">
      <c r="A3700" s="21"/>
      <c r="B3700" s="21" t="s">
        <v>4556</v>
      </c>
      <c r="D3700" s="25">
        <v>0.0</v>
      </c>
      <c r="E3700" s="27"/>
      <c r="F3700" s="25">
        <v>0.0</v>
      </c>
      <c r="G3700" s="27"/>
    </row>
    <row r="3701" hidden="1">
      <c r="A3701" s="21"/>
      <c r="B3701" s="21" t="s">
        <v>4557</v>
      </c>
      <c r="D3701" s="25">
        <v>0.0</v>
      </c>
      <c r="E3701" s="27"/>
      <c r="F3701" s="25">
        <v>0.0</v>
      </c>
      <c r="G3701" s="27"/>
    </row>
    <row r="3702" hidden="1">
      <c r="A3702" s="21"/>
      <c r="B3702" s="21" t="s">
        <v>4558</v>
      </c>
      <c r="D3702" s="25">
        <v>0.0</v>
      </c>
      <c r="E3702" s="27"/>
      <c r="F3702" s="25">
        <v>0.0</v>
      </c>
      <c r="G3702" s="27"/>
    </row>
    <row r="3703" hidden="1">
      <c r="A3703" s="21"/>
      <c r="B3703" s="21" t="s">
        <v>4559</v>
      </c>
      <c r="D3703" s="25">
        <v>0.0</v>
      </c>
      <c r="E3703" s="27"/>
      <c r="F3703" s="25">
        <v>0.0</v>
      </c>
      <c r="G3703" s="27"/>
    </row>
    <row r="3704" hidden="1">
      <c r="A3704" s="21"/>
      <c r="B3704" s="21" t="s">
        <v>4560</v>
      </c>
      <c r="D3704" s="25">
        <v>0.0</v>
      </c>
      <c r="E3704" s="27"/>
      <c r="F3704" s="25">
        <v>0.0</v>
      </c>
      <c r="G3704" s="27"/>
    </row>
    <row r="3705" hidden="1">
      <c r="A3705" s="21"/>
      <c r="B3705" s="21" t="s">
        <v>4561</v>
      </c>
      <c r="D3705" s="25">
        <v>0.0</v>
      </c>
      <c r="E3705" s="27"/>
      <c r="F3705" s="25">
        <v>0.0</v>
      </c>
      <c r="G3705" s="27"/>
    </row>
    <row r="3706" hidden="1">
      <c r="A3706" s="21"/>
      <c r="B3706" s="21" t="s">
        <v>4562</v>
      </c>
      <c r="D3706" s="25">
        <v>0.0</v>
      </c>
      <c r="E3706" s="27"/>
      <c r="F3706" s="25">
        <v>0.0</v>
      </c>
      <c r="G3706" s="27"/>
    </row>
    <row r="3707" hidden="1">
      <c r="A3707" s="21"/>
      <c r="B3707" s="21" t="s">
        <v>4563</v>
      </c>
      <c r="D3707" s="25">
        <v>0.0</v>
      </c>
      <c r="E3707" s="27"/>
      <c r="F3707" s="25">
        <v>0.0</v>
      </c>
      <c r="G3707" s="27"/>
    </row>
    <row r="3708" hidden="1">
      <c r="A3708" s="21"/>
      <c r="B3708" s="21" t="s">
        <v>4564</v>
      </c>
      <c r="D3708" s="25">
        <v>0.0</v>
      </c>
      <c r="E3708" s="27"/>
      <c r="F3708" s="25">
        <v>0.0</v>
      </c>
      <c r="G3708" s="27"/>
    </row>
    <row r="3709" hidden="1">
      <c r="A3709" s="21"/>
      <c r="B3709" s="21" t="s">
        <v>4565</v>
      </c>
      <c r="D3709" s="25">
        <v>0.0</v>
      </c>
      <c r="E3709" s="27"/>
      <c r="F3709" s="25">
        <v>0.0</v>
      </c>
      <c r="G3709" s="27"/>
    </row>
    <row r="3710" hidden="1">
      <c r="A3710" s="21"/>
      <c r="B3710" s="21" t="s">
        <v>4566</v>
      </c>
      <c r="D3710" s="25">
        <v>0.0</v>
      </c>
      <c r="E3710" s="27"/>
      <c r="F3710" s="25">
        <v>0.0</v>
      </c>
      <c r="G3710" s="27"/>
    </row>
    <row r="3711" hidden="1">
      <c r="A3711" s="21"/>
      <c r="B3711" s="21" t="s">
        <v>4567</v>
      </c>
      <c r="D3711" s="25">
        <v>0.0</v>
      </c>
      <c r="E3711" s="27"/>
      <c r="F3711" s="25">
        <v>0.0</v>
      </c>
      <c r="G3711" s="27"/>
    </row>
    <row r="3712" hidden="1">
      <c r="A3712" s="21"/>
      <c r="B3712" s="21" t="s">
        <v>4568</v>
      </c>
      <c r="D3712" s="25">
        <v>0.0</v>
      </c>
      <c r="E3712" s="27"/>
      <c r="F3712" s="25">
        <v>0.0</v>
      </c>
      <c r="G3712" s="27"/>
    </row>
    <row r="3713" hidden="1">
      <c r="A3713" s="21"/>
      <c r="B3713" s="21" t="s">
        <v>4569</v>
      </c>
      <c r="D3713" s="25">
        <v>0.0</v>
      </c>
      <c r="E3713" s="27"/>
      <c r="F3713" s="25">
        <v>6.83</v>
      </c>
      <c r="G3713" s="27"/>
    </row>
    <row r="3714" hidden="1">
      <c r="A3714" s="21"/>
      <c r="B3714" s="21" t="s">
        <v>4570</v>
      </c>
      <c r="D3714" s="25">
        <v>0.0</v>
      </c>
      <c r="E3714" s="27"/>
      <c r="F3714" s="25">
        <v>4.79</v>
      </c>
      <c r="G3714" s="27"/>
    </row>
    <row r="3715" hidden="1">
      <c r="A3715" s="21"/>
      <c r="B3715" s="21" t="s">
        <v>4571</v>
      </c>
      <c r="D3715" s="25">
        <v>0.0</v>
      </c>
      <c r="E3715" s="27"/>
      <c r="F3715" s="25">
        <v>4.79</v>
      </c>
      <c r="G3715" s="27"/>
    </row>
    <row r="3716" hidden="1">
      <c r="A3716" s="21"/>
      <c r="B3716" s="21" t="s">
        <v>4572</v>
      </c>
      <c r="D3716" s="25">
        <v>0.0</v>
      </c>
      <c r="E3716" s="27"/>
      <c r="F3716" s="25">
        <v>0.0</v>
      </c>
      <c r="G3716" s="27"/>
    </row>
    <row r="3717" hidden="1">
      <c r="A3717" s="21"/>
      <c r="B3717" s="21" t="s">
        <v>4573</v>
      </c>
      <c r="D3717" s="25">
        <v>0.0</v>
      </c>
      <c r="E3717" s="27"/>
      <c r="F3717" s="25">
        <v>0.0</v>
      </c>
      <c r="G3717" s="27"/>
    </row>
    <row r="3718" hidden="1">
      <c r="A3718" s="21"/>
      <c r="B3718" s="21" t="s">
        <v>4574</v>
      </c>
      <c r="D3718" s="25">
        <v>0.0</v>
      </c>
      <c r="E3718" s="27"/>
      <c r="F3718" s="25">
        <v>0.0</v>
      </c>
      <c r="G3718" s="27"/>
    </row>
    <row r="3719" hidden="1">
      <c r="A3719" s="21"/>
      <c r="B3719" s="21" t="s">
        <v>4575</v>
      </c>
      <c r="D3719" s="25">
        <v>0.0</v>
      </c>
      <c r="E3719" s="27"/>
      <c r="F3719" s="25">
        <v>0.0</v>
      </c>
      <c r="G3719" s="27"/>
    </row>
    <row r="3720" hidden="1">
      <c r="A3720" s="21"/>
      <c r="B3720" s="21" t="s">
        <v>4576</v>
      </c>
      <c r="D3720" s="25">
        <v>0.0</v>
      </c>
      <c r="E3720" s="27"/>
      <c r="F3720" s="25">
        <v>0.0</v>
      </c>
      <c r="G3720" s="27"/>
    </row>
    <row r="3721" hidden="1">
      <c r="A3721" s="21"/>
      <c r="B3721" s="21" t="s">
        <v>4577</v>
      </c>
      <c r="D3721" s="25">
        <v>0.0</v>
      </c>
      <c r="E3721" s="27"/>
      <c r="F3721" s="25">
        <v>0.0</v>
      </c>
      <c r="G3721" s="27"/>
    </row>
    <row r="3722" hidden="1">
      <c r="A3722" s="21"/>
      <c r="B3722" s="21" t="s">
        <v>4578</v>
      </c>
      <c r="D3722" s="25">
        <v>0.0</v>
      </c>
      <c r="E3722" s="27"/>
      <c r="F3722" s="25">
        <v>0.0</v>
      </c>
      <c r="G3722" s="27"/>
    </row>
    <row r="3723" hidden="1">
      <c r="A3723" s="21"/>
      <c r="B3723" s="21" t="s">
        <v>4579</v>
      </c>
      <c r="D3723" s="25">
        <v>0.0</v>
      </c>
      <c r="E3723" s="27"/>
      <c r="F3723" s="25">
        <v>0.0</v>
      </c>
      <c r="G3723" s="27"/>
    </row>
    <row r="3724" hidden="1">
      <c r="A3724" s="21"/>
      <c r="B3724" s="21" t="s">
        <v>4580</v>
      </c>
      <c r="D3724" s="25">
        <v>0.0</v>
      </c>
      <c r="E3724" s="27"/>
      <c r="F3724" s="25">
        <v>0.0</v>
      </c>
      <c r="G3724" s="27"/>
    </row>
    <row r="3725" hidden="1">
      <c r="A3725" s="21"/>
      <c r="B3725" s="21" t="s">
        <v>4581</v>
      </c>
      <c r="D3725" s="25">
        <v>0.0</v>
      </c>
      <c r="E3725" s="27"/>
      <c r="F3725" s="25">
        <v>0.0</v>
      </c>
      <c r="G3725" s="27"/>
    </row>
    <row r="3726" hidden="1">
      <c r="A3726" s="21"/>
      <c r="B3726" s="21" t="s">
        <v>4582</v>
      </c>
      <c r="D3726" s="25">
        <v>0.0</v>
      </c>
      <c r="E3726" s="27"/>
      <c r="F3726" s="25">
        <v>0.0</v>
      </c>
      <c r="G3726" s="27"/>
    </row>
    <row r="3727" hidden="1">
      <c r="A3727" s="21"/>
      <c r="B3727" s="21" t="s">
        <v>4583</v>
      </c>
      <c r="D3727" s="25">
        <v>0.0</v>
      </c>
      <c r="E3727" s="27"/>
      <c r="F3727" s="25">
        <v>0.0</v>
      </c>
      <c r="G3727" s="27"/>
    </row>
    <row r="3728" hidden="1">
      <c r="A3728" s="21"/>
      <c r="B3728" s="21" t="s">
        <v>4584</v>
      </c>
      <c r="D3728" s="25">
        <v>0.0</v>
      </c>
      <c r="E3728" s="27"/>
      <c r="F3728" s="25">
        <v>0.0</v>
      </c>
      <c r="G3728" s="27"/>
    </row>
    <row r="3729" hidden="1">
      <c r="A3729" s="21"/>
      <c r="B3729" s="21" t="s">
        <v>4585</v>
      </c>
      <c r="D3729" s="25">
        <v>0.0</v>
      </c>
      <c r="E3729" s="27"/>
      <c r="F3729" s="25">
        <v>0.0</v>
      </c>
      <c r="G3729" s="27"/>
    </row>
    <row r="3730" hidden="1">
      <c r="A3730" s="21"/>
      <c r="B3730" s="21" t="s">
        <v>4586</v>
      </c>
      <c r="D3730" s="25">
        <v>0.0</v>
      </c>
      <c r="E3730" s="27"/>
      <c r="F3730" s="25">
        <v>0.0</v>
      </c>
      <c r="G3730" s="27"/>
    </row>
    <row r="3731" hidden="1">
      <c r="A3731" s="21"/>
      <c r="B3731" s="21" t="s">
        <v>4587</v>
      </c>
      <c r="D3731" s="25">
        <v>0.0</v>
      </c>
      <c r="E3731" s="27"/>
      <c r="F3731" s="25">
        <v>0.0</v>
      </c>
      <c r="G3731" s="27"/>
    </row>
    <row r="3732" hidden="1">
      <c r="A3732" s="21"/>
      <c r="B3732" s="21" t="s">
        <v>4588</v>
      </c>
      <c r="D3732" s="25">
        <v>0.0</v>
      </c>
      <c r="E3732" s="27"/>
      <c r="F3732" s="25">
        <v>0.0</v>
      </c>
      <c r="G3732" s="27"/>
    </row>
    <row r="3733" hidden="1">
      <c r="A3733" s="21"/>
      <c r="B3733" s="21" t="s">
        <v>4589</v>
      </c>
      <c r="D3733" s="25">
        <v>0.0</v>
      </c>
      <c r="E3733" s="27"/>
      <c r="F3733" s="25">
        <v>0.0</v>
      </c>
      <c r="G3733" s="27"/>
    </row>
    <row r="3734" hidden="1">
      <c r="A3734" s="21"/>
      <c r="B3734" s="21" t="s">
        <v>4590</v>
      </c>
      <c r="D3734" s="25">
        <v>0.0</v>
      </c>
      <c r="E3734" s="27"/>
      <c r="F3734" s="25">
        <v>0.0</v>
      </c>
      <c r="G3734" s="27"/>
    </row>
    <row r="3735" hidden="1">
      <c r="A3735" s="21"/>
      <c r="B3735" s="21" t="s">
        <v>4591</v>
      </c>
      <c r="D3735" s="25">
        <v>0.0</v>
      </c>
      <c r="E3735" s="27"/>
      <c r="F3735" s="25">
        <v>0.0</v>
      </c>
      <c r="G3735" s="27"/>
    </row>
    <row r="3736" hidden="1">
      <c r="A3736" s="21"/>
      <c r="B3736" s="21" t="s">
        <v>4592</v>
      </c>
      <c r="D3736" s="25">
        <v>0.0</v>
      </c>
      <c r="E3736" s="27"/>
      <c r="F3736" s="25">
        <v>0.0</v>
      </c>
      <c r="G3736" s="27"/>
    </row>
    <row r="3737" hidden="1">
      <c r="A3737" s="21"/>
      <c r="B3737" s="21" t="s">
        <v>4593</v>
      </c>
      <c r="D3737" s="25">
        <v>0.0</v>
      </c>
      <c r="E3737" s="27"/>
      <c r="F3737" s="25">
        <v>0.0</v>
      </c>
      <c r="G3737" s="27"/>
    </row>
    <row r="3738" hidden="1">
      <c r="A3738" s="21"/>
      <c r="B3738" s="21" t="s">
        <v>4594</v>
      </c>
      <c r="D3738" s="25">
        <v>0.0</v>
      </c>
      <c r="E3738" s="27"/>
      <c r="F3738" s="25">
        <v>0.0</v>
      </c>
      <c r="G3738" s="27"/>
    </row>
    <row r="3739" hidden="1">
      <c r="A3739" s="21"/>
      <c r="B3739" s="21" t="s">
        <v>4595</v>
      </c>
      <c r="D3739" s="25">
        <v>0.0</v>
      </c>
      <c r="E3739" s="27"/>
      <c r="F3739" s="25">
        <v>0.0</v>
      </c>
      <c r="G3739" s="27"/>
    </row>
    <row r="3740" hidden="1">
      <c r="A3740" s="21"/>
      <c r="B3740" s="21" t="s">
        <v>4596</v>
      </c>
      <c r="D3740" s="25">
        <v>0.0</v>
      </c>
      <c r="E3740" s="27"/>
      <c r="F3740" s="25">
        <v>0.0</v>
      </c>
      <c r="G3740" s="27"/>
    </row>
    <row r="3741" hidden="1">
      <c r="A3741" s="21"/>
      <c r="B3741" s="21" t="s">
        <v>4597</v>
      </c>
      <c r="D3741" s="25">
        <v>0.0</v>
      </c>
      <c r="E3741" s="27"/>
      <c r="F3741" s="25">
        <v>0.0</v>
      </c>
      <c r="G3741" s="27"/>
    </row>
    <row r="3742" hidden="1">
      <c r="A3742" s="21"/>
      <c r="B3742" s="21" t="s">
        <v>4598</v>
      </c>
      <c r="D3742" s="25">
        <v>0.0</v>
      </c>
      <c r="E3742" s="27"/>
      <c r="F3742" s="25">
        <v>0.0</v>
      </c>
      <c r="G3742" s="27"/>
    </row>
    <row r="3743" hidden="1">
      <c r="A3743" s="21"/>
      <c r="B3743" s="21" t="s">
        <v>4599</v>
      </c>
      <c r="D3743" s="25">
        <v>0.0</v>
      </c>
      <c r="E3743" s="27"/>
      <c r="F3743" s="25">
        <v>0.0</v>
      </c>
      <c r="G3743" s="27"/>
    </row>
    <row r="3744" hidden="1">
      <c r="A3744" s="21"/>
      <c r="B3744" s="21" t="s">
        <v>4600</v>
      </c>
      <c r="D3744" s="25">
        <v>0.0</v>
      </c>
      <c r="E3744" s="27"/>
      <c r="F3744" s="25">
        <v>0.0</v>
      </c>
      <c r="G3744" s="27"/>
    </row>
    <row r="3745" hidden="1">
      <c r="A3745" s="21"/>
      <c r="B3745" s="21" t="s">
        <v>4601</v>
      </c>
      <c r="D3745" s="25">
        <v>0.0</v>
      </c>
      <c r="E3745" s="27"/>
      <c r="F3745" s="25">
        <v>0.0</v>
      </c>
      <c r="G3745" s="27"/>
    </row>
    <row r="3746" hidden="1">
      <c r="A3746" s="21"/>
      <c r="B3746" s="21" t="s">
        <v>4602</v>
      </c>
      <c r="D3746" s="25">
        <v>0.0</v>
      </c>
      <c r="E3746" s="27"/>
      <c r="F3746" s="25">
        <v>0.0</v>
      </c>
      <c r="G3746" s="27"/>
    </row>
    <row r="3747" hidden="1">
      <c r="A3747" s="21"/>
      <c r="B3747" s="21" t="s">
        <v>4603</v>
      </c>
      <c r="D3747" s="25">
        <v>0.0</v>
      </c>
      <c r="E3747" s="27"/>
      <c r="F3747" s="25">
        <v>0.0</v>
      </c>
      <c r="G3747" s="27"/>
    </row>
    <row r="3748" hidden="1">
      <c r="A3748" s="21"/>
      <c r="B3748" s="21" t="s">
        <v>4604</v>
      </c>
      <c r="D3748" s="25">
        <v>0.0</v>
      </c>
      <c r="E3748" s="27"/>
      <c r="F3748" s="25">
        <v>0.0</v>
      </c>
      <c r="G3748" s="27"/>
    </row>
    <row r="3749" hidden="1">
      <c r="A3749" s="21"/>
      <c r="B3749" s="21" t="s">
        <v>4605</v>
      </c>
      <c r="D3749" s="25">
        <v>0.0</v>
      </c>
      <c r="E3749" s="27"/>
      <c r="F3749" s="25">
        <v>0.0</v>
      </c>
      <c r="G3749" s="27"/>
    </row>
    <row r="3750" hidden="1">
      <c r="A3750" s="21"/>
      <c r="B3750" s="21" t="s">
        <v>4606</v>
      </c>
      <c r="D3750" s="25">
        <v>0.0</v>
      </c>
      <c r="E3750" s="27"/>
      <c r="F3750" s="25">
        <v>0.0</v>
      </c>
      <c r="G3750" s="27"/>
    </row>
    <row r="3751" hidden="1">
      <c r="A3751" s="21"/>
      <c r="B3751" s="21" t="s">
        <v>4607</v>
      </c>
      <c r="D3751" s="25">
        <v>0.0</v>
      </c>
      <c r="E3751" s="27"/>
      <c r="F3751" s="25">
        <v>0.0</v>
      </c>
      <c r="G3751" s="27"/>
    </row>
    <row r="3752" hidden="1">
      <c r="A3752" s="21"/>
      <c r="B3752" s="21" t="s">
        <v>4608</v>
      </c>
      <c r="D3752" s="25">
        <v>0.0</v>
      </c>
      <c r="E3752" s="27"/>
      <c r="F3752" s="25">
        <v>0.0</v>
      </c>
      <c r="G3752" s="27"/>
    </row>
    <row r="3753" hidden="1">
      <c r="A3753" s="21"/>
      <c r="B3753" s="21" t="s">
        <v>4609</v>
      </c>
      <c r="D3753" s="25">
        <v>0.0</v>
      </c>
      <c r="E3753" s="27"/>
      <c r="F3753" s="25">
        <v>0.0</v>
      </c>
      <c r="G3753" s="27"/>
    </row>
    <row r="3754" hidden="1">
      <c r="A3754" s="21"/>
      <c r="B3754" s="21" t="s">
        <v>4610</v>
      </c>
      <c r="D3754" s="25">
        <v>0.0</v>
      </c>
      <c r="E3754" s="27"/>
      <c r="F3754" s="25">
        <v>0.0</v>
      </c>
      <c r="G3754" s="27"/>
    </row>
    <row r="3755" hidden="1">
      <c r="A3755" s="21"/>
      <c r="B3755" s="21" t="s">
        <v>4611</v>
      </c>
      <c r="D3755" s="25">
        <v>0.0</v>
      </c>
      <c r="E3755" s="27"/>
      <c r="F3755" s="25">
        <v>0.0</v>
      </c>
      <c r="G3755" s="27"/>
    </row>
    <row r="3756" hidden="1">
      <c r="A3756" s="21"/>
      <c r="B3756" s="21" t="s">
        <v>4612</v>
      </c>
      <c r="D3756" s="25">
        <v>0.0</v>
      </c>
      <c r="E3756" s="27"/>
      <c r="F3756" s="25">
        <v>0.0</v>
      </c>
      <c r="G3756" s="27"/>
    </row>
    <row r="3757" hidden="1">
      <c r="A3757" s="21"/>
      <c r="B3757" s="21" t="s">
        <v>4613</v>
      </c>
      <c r="D3757" s="25">
        <v>0.0</v>
      </c>
      <c r="E3757" s="27"/>
      <c r="F3757" s="25">
        <v>0.0</v>
      </c>
      <c r="G3757" s="27"/>
    </row>
    <row r="3758" hidden="1">
      <c r="A3758" s="21"/>
      <c r="B3758" s="21" t="s">
        <v>4614</v>
      </c>
      <c r="D3758" s="25">
        <v>0.0</v>
      </c>
      <c r="E3758" s="27"/>
      <c r="F3758" s="25">
        <v>0.0</v>
      </c>
      <c r="G3758" s="27"/>
    </row>
    <row r="3759" hidden="1">
      <c r="A3759" s="21"/>
      <c r="B3759" s="21" t="s">
        <v>4615</v>
      </c>
      <c r="D3759" s="25">
        <v>0.0</v>
      </c>
      <c r="E3759" s="27"/>
      <c r="F3759" s="25">
        <v>0.0</v>
      </c>
      <c r="G3759" s="27"/>
    </row>
    <row r="3760" hidden="1">
      <c r="A3760" s="21"/>
      <c r="B3760" s="21" t="s">
        <v>4616</v>
      </c>
      <c r="D3760" s="25">
        <v>0.0</v>
      </c>
      <c r="E3760" s="27"/>
      <c r="F3760" s="25">
        <v>0.0</v>
      </c>
      <c r="G3760" s="27"/>
    </row>
    <row r="3761" hidden="1">
      <c r="A3761" s="21"/>
      <c r="B3761" s="21" t="s">
        <v>4617</v>
      </c>
      <c r="D3761" s="25">
        <v>0.0</v>
      </c>
      <c r="E3761" s="27"/>
      <c r="F3761" s="25">
        <v>0.0</v>
      </c>
      <c r="G3761" s="27"/>
    </row>
    <row r="3762" hidden="1">
      <c r="A3762" s="21"/>
      <c r="B3762" s="21" t="s">
        <v>4618</v>
      </c>
      <c r="D3762" s="25">
        <v>0.0</v>
      </c>
      <c r="E3762" s="27"/>
      <c r="F3762" s="25">
        <v>0.0</v>
      </c>
      <c r="G3762" s="27"/>
    </row>
    <row r="3763" hidden="1">
      <c r="A3763" s="21"/>
      <c r="B3763" s="21" t="s">
        <v>4619</v>
      </c>
      <c r="D3763" s="25">
        <v>0.0</v>
      </c>
      <c r="E3763" s="27"/>
      <c r="F3763" s="25">
        <v>0.0</v>
      </c>
      <c r="G3763" s="27"/>
    </row>
    <row r="3764" hidden="1">
      <c r="A3764" s="21"/>
      <c r="B3764" s="21" t="s">
        <v>4620</v>
      </c>
      <c r="D3764" s="25">
        <v>0.0</v>
      </c>
      <c r="E3764" s="27"/>
      <c r="F3764" s="25">
        <v>0.0</v>
      </c>
      <c r="G3764" s="27"/>
    </row>
    <row r="3765" hidden="1">
      <c r="A3765" s="21"/>
      <c r="B3765" s="21" t="s">
        <v>4621</v>
      </c>
      <c r="D3765" s="25">
        <v>0.0</v>
      </c>
      <c r="E3765" s="27"/>
      <c r="F3765" s="25">
        <v>6.1</v>
      </c>
      <c r="G3765" s="27"/>
    </row>
    <row r="3766" hidden="1">
      <c r="A3766" s="21"/>
      <c r="B3766" s="21" t="s">
        <v>4622</v>
      </c>
      <c r="D3766" s="25">
        <v>0.0</v>
      </c>
      <c r="E3766" s="27"/>
      <c r="F3766" s="25">
        <v>0.0</v>
      </c>
      <c r="G3766" s="27"/>
    </row>
    <row r="3767" hidden="1">
      <c r="A3767" s="21"/>
      <c r="B3767" s="21" t="s">
        <v>4623</v>
      </c>
      <c r="D3767" s="25">
        <v>0.0</v>
      </c>
      <c r="E3767" s="27"/>
      <c r="F3767" s="25">
        <v>0.0</v>
      </c>
      <c r="G3767" s="27"/>
    </row>
    <row r="3768" hidden="1">
      <c r="A3768" s="21"/>
      <c r="B3768" s="21" t="s">
        <v>4624</v>
      </c>
      <c r="D3768" s="25">
        <v>0.0</v>
      </c>
      <c r="E3768" s="27"/>
      <c r="F3768" s="25">
        <v>0.0</v>
      </c>
      <c r="G3768" s="27"/>
    </row>
    <row r="3769" hidden="1">
      <c r="A3769" s="21"/>
      <c r="B3769" s="21" t="s">
        <v>4625</v>
      </c>
      <c r="D3769" s="25">
        <v>0.0</v>
      </c>
      <c r="E3769" s="27"/>
      <c r="F3769" s="25">
        <v>0.0</v>
      </c>
      <c r="G3769" s="27"/>
    </row>
    <row r="3770" hidden="1">
      <c r="A3770" s="21"/>
      <c r="B3770" s="21" t="s">
        <v>4626</v>
      </c>
      <c r="D3770" s="25">
        <v>0.0</v>
      </c>
      <c r="E3770" s="27"/>
      <c r="F3770" s="25">
        <v>0.0</v>
      </c>
      <c r="G3770" s="27"/>
    </row>
    <row r="3771" hidden="1">
      <c r="A3771" s="21"/>
      <c r="B3771" s="21" t="s">
        <v>4627</v>
      </c>
      <c r="D3771" s="25">
        <v>0.0</v>
      </c>
      <c r="E3771" s="27"/>
      <c r="F3771" s="25">
        <v>0.0</v>
      </c>
      <c r="G3771" s="27"/>
    </row>
    <row r="3772" hidden="1">
      <c r="A3772" s="21"/>
      <c r="B3772" s="21" t="s">
        <v>4628</v>
      </c>
      <c r="D3772" s="25">
        <v>0.0</v>
      </c>
      <c r="E3772" s="27"/>
      <c r="F3772" s="25">
        <v>0.0</v>
      </c>
      <c r="G3772" s="27"/>
    </row>
    <row r="3773" hidden="1">
      <c r="A3773" s="21"/>
      <c r="B3773" s="21" t="s">
        <v>4629</v>
      </c>
      <c r="D3773" s="25">
        <v>0.0</v>
      </c>
      <c r="E3773" s="27"/>
      <c r="F3773" s="25">
        <v>0.0</v>
      </c>
      <c r="G3773" s="27"/>
    </row>
    <row r="3774" hidden="1">
      <c r="A3774" s="21"/>
      <c r="B3774" s="21" t="s">
        <v>4630</v>
      </c>
      <c r="D3774" s="25">
        <v>0.0</v>
      </c>
      <c r="E3774" s="27"/>
      <c r="F3774" s="25">
        <v>0.0</v>
      </c>
      <c r="G3774" s="27"/>
    </row>
    <row r="3775" hidden="1">
      <c r="A3775" s="21"/>
      <c r="B3775" s="21" t="s">
        <v>4631</v>
      </c>
      <c r="D3775" s="25">
        <v>0.0</v>
      </c>
      <c r="E3775" s="27"/>
      <c r="F3775" s="25">
        <v>0.0</v>
      </c>
      <c r="G3775" s="27"/>
    </row>
    <row r="3776" hidden="1">
      <c r="A3776" s="21"/>
      <c r="B3776" s="21" t="s">
        <v>4632</v>
      </c>
      <c r="D3776" s="25">
        <v>0.0</v>
      </c>
      <c r="E3776" s="27"/>
      <c r="F3776" s="25">
        <v>0.0</v>
      </c>
      <c r="G3776" s="27"/>
    </row>
    <row r="3777" hidden="1">
      <c r="A3777" s="21"/>
      <c r="B3777" s="21" t="s">
        <v>4633</v>
      </c>
      <c r="D3777" s="25">
        <v>0.0</v>
      </c>
      <c r="E3777" s="27"/>
      <c r="F3777" s="25">
        <v>0.0</v>
      </c>
      <c r="G3777" s="27"/>
    </row>
    <row r="3778" hidden="1">
      <c r="A3778" s="21"/>
      <c r="B3778" s="21" t="s">
        <v>4634</v>
      </c>
      <c r="D3778" s="25">
        <v>0.0</v>
      </c>
      <c r="E3778" s="27"/>
      <c r="F3778" s="25">
        <v>0.0</v>
      </c>
      <c r="G3778" s="27"/>
    </row>
    <row r="3779" hidden="1">
      <c r="A3779" s="21"/>
      <c r="B3779" s="21" t="s">
        <v>4635</v>
      </c>
      <c r="D3779" s="25">
        <v>0.0</v>
      </c>
      <c r="E3779" s="27"/>
      <c r="F3779" s="25">
        <v>0.0</v>
      </c>
      <c r="G3779" s="27"/>
    </row>
    <row r="3780" hidden="1">
      <c r="A3780" s="21"/>
      <c r="B3780" s="21" t="s">
        <v>4636</v>
      </c>
      <c r="D3780" s="25">
        <v>0.0</v>
      </c>
      <c r="E3780" s="27"/>
      <c r="F3780" s="25">
        <v>0.0</v>
      </c>
      <c r="G3780" s="27"/>
    </row>
    <row r="3781" hidden="1">
      <c r="A3781" s="21"/>
      <c r="B3781" s="21" t="s">
        <v>4637</v>
      </c>
      <c r="D3781" s="25">
        <v>0.0</v>
      </c>
      <c r="E3781" s="27"/>
      <c r="F3781" s="25">
        <v>0.0</v>
      </c>
      <c r="G3781" s="27"/>
    </row>
    <row r="3782" hidden="1">
      <c r="A3782" s="21"/>
      <c r="B3782" s="21" t="s">
        <v>4638</v>
      </c>
      <c r="D3782" s="25">
        <v>0.0</v>
      </c>
      <c r="E3782" s="27"/>
      <c r="F3782" s="25">
        <v>0.0</v>
      </c>
      <c r="G3782" s="27"/>
    </row>
    <row r="3783" hidden="1">
      <c r="A3783" s="21"/>
      <c r="B3783" s="21" t="s">
        <v>4639</v>
      </c>
      <c r="D3783" s="25">
        <v>0.0</v>
      </c>
      <c r="E3783" s="27"/>
      <c r="F3783" s="25">
        <v>0.0</v>
      </c>
      <c r="G3783" s="27"/>
    </row>
    <row r="3784" hidden="1">
      <c r="A3784" s="21"/>
      <c r="B3784" s="21" t="s">
        <v>4640</v>
      </c>
      <c r="D3784" s="25">
        <v>0.0</v>
      </c>
      <c r="E3784" s="27"/>
      <c r="F3784" s="25">
        <v>0.0</v>
      </c>
      <c r="G3784" s="27"/>
    </row>
    <row r="3785" hidden="1">
      <c r="A3785" s="21"/>
      <c r="B3785" s="21" t="s">
        <v>4641</v>
      </c>
      <c r="D3785" s="25">
        <v>0.0</v>
      </c>
      <c r="E3785" s="27"/>
      <c r="F3785" s="25">
        <v>0.0</v>
      </c>
      <c r="G3785" s="27"/>
    </row>
    <row r="3786" hidden="1">
      <c r="A3786" s="21"/>
      <c r="B3786" s="21" t="s">
        <v>4642</v>
      </c>
      <c r="D3786" s="25">
        <v>0.0</v>
      </c>
      <c r="E3786" s="27"/>
      <c r="F3786" s="25">
        <v>0.0</v>
      </c>
      <c r="G3786" s="27"/>
    </row>
    <row r="3787" hidden="1">
      <c r="A3787" s="21"/>
      <c r="B3787" s="21" t="s">
        <v>4643</v>
      </c>
      <c r="D3787" s="25">
        <v>0.0</v>
      </c>
      <c r="E3787" s="27"/>
      <c r="F3787" s="25">
        <v>0.0</v>
      </c>
      <c r="G3787" s="27"/>
    </row>
    <row r="3788" hidden="1">
      <c r="A3788" s="21"/>
      <c r="B3788" s="21" t="s">
        <v>4644</v>
      </c>
      <c r="D3788" s="25">
        <v>0.0</v>
      </c>
      <c r="E3788" s="27"/>
      <c r="F3788" s="25">
        <v>0.0</v>
      </c>
      <c r="G3788" s="27"/>
    </row>
    <row r="3789" hidden="1">
      <c r="A3789" s="21"/>
      <c r="B3789" s="21" t="s">
        <v>4645</v>
      </c>
      <c r="D3789" s="25">
        <v>0.0</v>
      </c>
      <c r="E3789" s="27"/>
      <c r="F3789" s="25">
        <v>0.0</v>
      </c>
      <c r="G3789" s="27"/>
    </row>
    <row r="3790" hidden="1">
      <c r="A3790" s="21"/>
      <c r="B3790" s="21" t="s">
        <v>4646</v>
      </c>
      <c r="D3790" s="25">
        <v>0.0</v>
      </c>
      <c r="E3790" s="27"/>
      <c r="F3790" s="25">
        <v>0.0</v>
      </c>
      <c r="G3790" s="27"/>
    </row>
    <row r="3791" hidden="1">
      <c r="A3791" s="21"/>
      <c r="B3791" s="21" t="s">
        <v>4647</v>
      </c>
      <c r="D3791" s="25">
        <v>0.0</v>
      </c>
      <c r="E3791" s="27"/>
      <c r="F3791" s="25">
        <v>0.0</v>
      </c>
      <c r="G3791" s="27"/>
    </row>
    <row r="3792" hidden="1">
      <c r="A3792" s="21"/>
      <c r="B3792" s="21" t="s">
        <v>4648</v>
      </c>
      <c r="D3792" s="25">
        <v>0.0</v>
      </c>
      <c r="E3792" s="27"/>
      <c r="F3792" s="25">
        <v>0.0</v>
      </c>
      <c r="G3792" s="27"/>
    </row>
    <row r="3793" hidden="1">
      <c r="A3793" s="21"/>
      <c r="B3793" s="21" t="s">
        <v>4649</v>
      </c>
      <c r="D3793" s="25">
        <v>0.0</v>
      </c>
      <c r="E3793" s="27"/>
      <c r="F3793" s="25">
        <v>0.0</v>
      </c>
      <c r="G3793" s="27"/>
    </row>
    <row r="3794" hidden="1">
      <c r="A3794" s="21"/>
      <c r="B3794" s="21" t="s">
        <v>4650</v>
      </c>
      <c r="D3794" s="25">
        <v>0.0</v>
      </c>
      <c r="E3794" s="27"/>
      <c r="F3794" s="25">
        <v>0.0</v>
      </c>
      <c r="G3794" s="27"/>
    </row>
    <row r="3795" hidden="1">
      <c r="A3795" s="21"/>
      <c r="B3795" s="21" t="s">
        <v>4651</v>
      </c>
      <c r="D3795" s="25">
        <v>0.0</v>
      </c>
      <c r="E3795" s="27"/>
      <c r="F3795" s="25">
        <v>0.0</v>
      </c>
      <c r="G3795" s="27"/>
    </row>
    <row r="3796" hidden="1">
      <c r="A3796" s="21"/>
      <c r="B3796" s="21" t="s">
        <v>4652</v>
      </c>
      <c r="D3796" s="25">
        <v>0.0</v>
      </c>
      <c r="E3796" s="27"/>
      <c r="F3796" s="25">
        <v>0.0</v>
      </c>
      <c r="G3796" s="27"/>
    </row>
    <row r="3797" hidden="1">
      <c r="A3797" s="21"/>
      <c r="B3797" s="21" t="s">
        <v>4653</v>
      </c>
      <c r="D3797" s="25">
        <v>0.0</v>
      </c>
      <c r="E3797" s="27"/>
      <c r="F3797" s="25">
        <v>0.0</v>
      </c>
      <c r="G3797" s="27"/>
    </row>
    <row r="3798" hidden="1">
      <c r="A3798" s="21"/>
      <c r="B3798" s="21" t="s">
        <v>4654</v>
      </c>
      <c r="D3798" s="25">
        <v>0.0</v>
      </c>
      <c r="E3798" s="27"/>
      <c r="F3798" s="25">
        <v>0.0</v>
      </c>
      <c r="G3798" s="27"/>
    </row>
    <row r="3799" hidden="1">
      <c r="A3799" s="21"/>
      <c r="B3799" s="21" t="s">
        <v>4655</v>
      </c>
      <c r="D3799" s="25">
        <v>0.0</v>
      </c>
      <c r="E3799" s="27"/>
      <c r="F3799" s="25">
        <v>0.0</v>
      </c>
      <c r="G3799" s="27"/>
    </row>
    <row r="3800" hidden="1">
      <c r="A3800" s="21"/>
      <c r="B3800" s="21" t="s">
        <v>4656</v>
      </c>
      <c r="D3800" s="25">
        <v>0.0</v>
      </c>
      <c r="E3800" s="27"/>
      <c r="F3800" s="25">
        <v>0.0</v>
      </c>
      <c r="G3800" s="27"/>
    </row>
    <row r="3801" hidden="1">
      <c r="A3801" s="21"/>
      <c r="B3801" s="21" t="s">
        <v>4657</v>
      </c>
      <c r="D3801" s="25">
        <v>0.0</v>
      </c>
      <c r="E3801" s="27"/>
      <c r="F3801" s="25">
        <v>0.0</v>
      </c>
      <c r="G3801" s="27"/>
    </row>
    <row r="3802" hidden="1">
      <c r="A3802" s="21"/>
      <c r="B3802" s="21" t="s">
        <v>4658</v>
      </c>
      <c r="D3802" s="25">
        <v>0.0</v>
      </c>
      <c r="E3802" s="27"/>
      <c r="F3802" s="25">
        <v>0.0</v>
      </c>
      <c r="G3802" s="27"/>
    </row>
    <row r="3803" hidden="1">
      <c r="A3803" s="21"/>
      <c r="B3803" s="21" t="s">
        <v>4659</v>
      </c>
      <c r="D3803" s="25">
        <v>0.0</v>
      </c>
      <c r="E3803" s="27"/>
      <c r="F3803" s="25">
        <v>0.0</v>
      </c>
      <c r="G3803" s="27"/>
    </row>
    <row r="3804" hidden="1">
      <c r="A3804" s="21"/>
      <c r="B3804" s="21" t="s">
        <v>4660</v>
      </c>
      <c r="D3804" s="25">
        <v>0.0</v>
      </c>
      <c r="E3804" s="27"/>
      <c r="F3804" s="25">
        <v>0.0</v>
      </c>
      <c r="G3804" s="27"/>
    </row>
    <row r="3805" hidden="1">
      <c r="A3805" s="21"/>
      <c r="B3805" s="21" t="s">
        <v>4661</v>
      </c>
      <c r="D3805" s="25">
        <v>0.0</v>
      </c>
      <c r="E3805" s="27"/>
      <c r="F3805" s="25">
        <v>0.0</v>
      </c>
      <c r="G3805" s="27"/>
    </row>
    <row r="3806" hidden="1">
      <c r="A3806" s="21"/>
      <c r="B3806" s="21" t="s">
        <v>4662</v>
      </c>
      <c r="D3806" s="25">
        <v>0.0</v>
      </c>
      <c r="E3806" s="27"/>
      <c r="F3806" s="25">
        <v>0.0</v>
      </c>
      <c r="G3806" s="27"/>
    </row>
    <row r="3807" hidden="1">
      <c r="A3807" s="21"/>
      <c r="B3807" s="21" t="s">
        <v>4663</v>
      </c>
      <c r="D3807" s="25">
        <v>0.0</v>
      </c>
      <c r="E3807" s="27"/>
      <c r="F3807" s="25">
        <v>0.0</v>
      </c>
      <c r="G3807" s="27"/>
    </row>
    <row r="3808" hidden="1">
      <c r="A3808" s="21"/>
      <c r="B3808" s="21" t="s">
        <v>4664</v>
      </c>
      <c r="D3808" s="25">
        <v>0.0</v>
      </c>
      <c r="E3808" s="27"/>
      <c r="F3808" s="25">
        <v>0.0</v>
      </c>
      <c r="G3808" s="27"/>
    </row>
    <row r="3809" hidden="1">
      <c r="A3809" s="21"/>
      <c r="B3809" s="21" t="s">
        <v>4665</v>
      </c>
      <c r="D3809" s="25">
        <v>0.0</v>
      </c>
      <c r="E3809" s="27"/>
      <c r="F3809" s="25">
        <v>0.0</v>
      </c>
      <c r="G3809" s="27"/>
    </row>
    <row r="3810" hidden="1">
      <c r="A3810" s="21"/>
      <c r="B3810" s="21" t="s">
        <v>4666</v>
      </c>
      <c r="D3810" s="25">
        <v>0.0</v>
      </c>
      <c r="E3810" s="27"/>
      <c r="F3810" s="25">
        <v>0.0</v>
      </c>
      <c r="G3810" s="27"/>
    </row>
    <row r="3811" hidden="1">
      <c r="A3811" s="21"/>
      <c r="B3811" s="21" t="s">
        <v>4667</v>
      </c>
      <c r="D3811" s="25">
        <v>0.0</v>
      </c>
      <c r="E3811" s="27"/>
      <c r="F3811" s="25">
        <v>0.0</v>
      </c>
      <c r="G3811" s="27"/>
    </row>
    <row r="3812" hidden="1">
      <c r="A3812" s="21"/>
      <c r="B3812" s="21" t="s">
        <v>4668</v>
      </c>
      <c r="D3812" s="25">
        <v>0.0</v>
      </c>
      <c r="E3812" s="27"/>
      <c r="F3812" s="25">
        <v>0.0</v>
      </c>
      <c r="G3812" s="27"/>
    </row>
    <row r="3813" hidden="1">
      <c r="A3813" s="21"/>
      <c r="B3813" s="21" t="s">
        <v>4669</v>
      </c>
      <c r="D3813" s="25">
        <v>0.0</v>
      </c>
      <c r="E3813" s="27"/>
      <c r="F3813" s="25">
        <v>0.0</v>
      </c>
      <c r="G3813" s="27"/>
    </row>
    <row r="3814" hidden="1">
      <c r="A3814" s="21"/>
      <c r="B3814" s="21" t="s">
        <v>4670</v>
      </c>
      <c r="D3814" s="25">
        <v>0.0</v>
      </c>
      <c r="E3814" s="27"/>
      <c r="F3814" s="25">
        <v>0.0</v>
      </c>
      <c r="G3814" s="27"/>
    </row>
    <row r="3815" hidden="1">
      <c r="A3815" s="21"/>
      <c r="B3815" s="21" t="s">
        <v>4671</v>
      </c>
      <c r="D3815" s="25">
        <v>0.0</v>
      </c>
      <c r="E3815" s="27"/>
      <c r="F3815" s="25">
        <v>0.0</v>
      </c>
      <c r="G3815" s="27"/>
    </row>
    <row r="3816" hidden="1">
      <c r="A3816" s="21"/>
      <c r="B3816" s="21" t="s">
        <v>4672</v>
      </c>
      <c r="D3816" s="25">
        <v>0.0</v>
      </c>
      <c r="E3816" s="27"/>
      <c r="F3816" s="25">
        <v>0.0</v>
      </c>
      <c r="G3816" s="27"/>
    </row>
    <row r="3817" hidden="1">
      <c r="A3817" s="21"/>
      <c r="B3817" s="21" t="s">
        <v>4673</v>
      </c>
      <c r="D3817" s="25">
        <v>0.0</v>
      </c>
      <c r="E3817" s="27"/>
      <c r="F3817" s="25">
        <v>0.0</v>
      </c>
      <c r="G3817" s="27"/>
    </row>
    <row r="3818" hidden="1">
      <c r="A3818" s="21"/>
      <c r="B3818" s="21" t="s">
        <v>4674</v>
      </c>
      <c r="D3818" s="25">
        <v>0.0</v>
      </c>
      <c r="E3818" s="27"/>
      <c r="F3818" s="25">
        <v>0.0</v>
      </c>
      <c r="G3818" s="27"/>
    </row>
    <row r="3819" hidden="1">
      <c r="A3819" s="21"/>
      <c r="B3819" s="21" t="s">
        <v>4675</v>
      </c>
      <c r="D3819" s="25">
        <v>0.0</v>
      </c>
      <c r="E3819" s="27"/>
      <c r="F3819" s="25">
        <v>0.0</v>
      </c>
      <c r="G3819" s="27"/>
    </row>
    <row r="3820" hidden="1">
      <c r="A3820" s="21"/>
      <c r="B3820" s="21" t="s">
        <v>4676</v>
      </c>
      <c r="D3820" s="25">
        <v>0.0</v>
      </c>
      <c r="E3820" s="27"/>
      <c r="F3820" s="25">
        <v>0.0</v>
      </c>
      <c r="G3820" s="27"/>
    </row>
    <row r="3821" hidden="1">
      <c r="A3821" s="21"/>
      <c r="B3821" s="21" t="s">
        <v>4677</v>
      </c>
      <c r="D3821" s="25">
        <v>0.0</v>
      </c>
      <c r="E3821" s="27"/>
      <c r="F3821" s="25">
        <v>0.0</v>
      </c>
      <c r="G3821" s="27"/>
    </row>
    <row r="3822" hidden="1">
      <c r="A3822" s="21"/>
      <c r="B3822" s="21" t="s">
        <v>4678</v>
      </c>
      <c r="D3822" s="25">
        <v>0.0</v>
      </c>
      <c r="E3822" s="27"/>
      <c r="F3822" s="25">
        <v>0.0</v>
      </c>
      <c r="G3822" s="27"/>
    </row>
    <row r="3823" hidden="1">
      <c r="A3823" s="21"/>
      <c r="B3823" s="21" t="s">
        <v>4679</v>
      </c>
      <c r="D3823" s="25">
        <v>0.0</v>
      </c>
      <c r="E3823" s="27"/>
      <c r="F3823" s="25">
        <v>0.0</v>
      </c>
      <c r="G3823" s="27"/>
    </row>
    <row r="3824" hidden="1">
      <c r="A3824" s="21"/>
      <c r="B3824" s="21" t="s">
        <v>4680</v>
      </c>
      <c r="D3824" s="25">
        <v>0.0</v>
      </c>
      <c r="E3824" s="27"/>
      <c r="F3824" s="25">
        <v>0.0</v>
      </c>
      <c r="G3824" s="27"/>
    </row>
    <row r="3825" hidden="1">
      <c r="A3825" s="21"/>
      <c r="B3825" s="21" t="s">
        <v>4681</v>
      </c>
      <c r="D3825" s="25">
        <v>0.0</v>
      </c>
      <c r="E3825" s="27"/>
      <c r="F3825" s="25">
        <v>0.0</v>
      </c>
      <c r="G3825" s="27"/>
    </row>
    <row r="3826" hidden="1">
      <c r="A3826" s="21"/>
      <c r="B3826" s="21" t="s">
        <v>4682</v>
      </c>
      <c r="D3826" s="25">
        <v>0.0</v>
      </c>
      <c r="E3826" s="27"/>
      <c r="F3826" s="25">
        <v>0.0</v>
      </c>
      <c r="G3826" s="27"/>
    </row>
    <row r="3827" hidden="1">
      <c r="A3827" s="21"/>
      <c r="B3827" s="21" t="s">
        <v>4683</v>
      </c>
      <c r="D3827" s="25">
        <v>0.0</v>
      </c>
      <c r="E3827" s="27"/>
      <c r="F3827" s="25">
        <v>0.0</v>
      </c>
      <c r="G3827" s="27"/>
    </row>
    <row r="3828" hidden="1">
      <c r="A3828" s="21"/>
      <c r="B3828" s="21" t="s">
        <v>4684</v>
      </c>
      <c r="D3828" s="25">
        <v>0.0</v>
      </c>
      <c r="E3828" s="27"/>
      <c r="F3828" s="25">
        <v>0.0</v>
      </c>
      <c r="G3828" s="27"/>
    </row>
    <row r="3829" hidden="1">
      <c r="A3829" s="21"/>
      <c r="B3829" s="21" t="s">
        <v>4685</v>
      </c>
      <c r="D3829" s="25">
        <v>0.0</v>
      </c>
      <c r="E3829" s="27"/>
      <c r="F3829" s="25">
        <v>0.0</v>
      </c>
      <c r="G3829" s="27"/>
    </row>
    <row r="3830" hidden="1">
      <c r="A3830" s="21"/>
      <c r="B3830" s="21" t="s">
        <v>4686</v>
      </c>
      <c r="D3830" s="25">
        <v>0.0</v>
      </c>
      <c r="E3830" s="27"/>
      <c r="F3830" s="25">
        <v>0.0</v>
      </c>
      <c r="G3830" s="27"/>
    </row>
    <row r="3831" hidden="1">
      <c r="A3831" s="21"/>
      <c r="B3831" s="21" t="s">
        <v>4687</v>
      </c>
      <c r="D3831" s="25">
        <v>0.0</v>
      </c>
      <c r="E3831" s="27"/>
      <c r="F3831" s="25">
        <v>0.0</v>
      </c>
      <c r="G3831" s="27"/>
    </row>
    <row r="3832" hidden="1">
      <c r="A3832" s="21"/>
      <c r="B3832" s="21" t="s">
        <v>4688</v>
      </c>
      <c r="D3832" s="25">
        <v>0.0</v>
      </c>
      <c r="E3832" s="27"/>
      <c r="F3832" s="25">
        <v>0.0</v>
      </c>
      <c r="G3832" s="27"/>
    </row>
    <row r="3833" hidden="1">
      <c r="A3833" s="21"/>
      <c r="B3833" s="21" t="s">
        <v>4689</v>
      </c>
      <c r="D3833" s="25">
        <v>0.0</v>
      </c>
      <c r="E3833" s="27"/>
      <c r="F3833" s="25">
        <v>0.0</v>
      </c>
      <c r="G3833" s="27"/>
    </row>
    <row r="3834" hidden="1">
      <c r="A3834" s="21"/>
      <c r="B3834" s="21" t="s">
        <v>4690</v>
      </c>
      <c r="D3834" s="25">
        <v>0.0</v>
      </c>
      <c r="E3834" s="27"/>
      <c r="F3834" s="25">
        <v>0.0</v>
      </c>
      <c r="G3834" s="27"/>
    </row>
    <row r="3835" hidden="1">
      <c r="A3835" s="21"/>
      <c r="B3835" s="21" t="s">
        <v>4691</v>
      </c>
      <c r="D3835" s="25">
        <v>0.0</v>
      </c>
      <c r="E3835" s="27"/>
      <c r="F3835" s="25">
        <v>0.0</v>
      </c>
      <c r="G3835" s="27"/>
    </row>
    <row r="3836" hidden="1">
      <c r="A3836" s="21"/>
      <c r="B3836" s="21" t="s">
        <v>4692</v>
      </c>
      <c r="D3836" s="25">
        <v>0.0</v>
      </c>
      <c r="E3836" s="27"/>
      <c r="F3836" s="25">
        <v>0.0</v>
      </c>
      <c r="G3836" s="27"/>
    </row>
    <row r="3837" hidden="1">
      <c r="A3837" s="21"/>
      <c r="B3837" s="21" t="s">
        <v>4693</v>
      </c>
      <c r="D3837" s="25">
        <v>0.0</v>
      </c>
      <c r="E3837" s="27"/>
      <c r="F3837" s="25">
        <v>0.0</v>
      </c>
      <c r="G3837" s="27"/>
    </row>
    <row r="3838" hidden="1">
      <c r="A3838" s="21"/>
      <c r="B3838" s="21" t="s">
        <v>4694</v>
      </c>
      <c r="D3838" s="25">
        <v>0.0</v>
      </c>
      <c r="E3838" s="27"/>
      <c r="F3838" s="25">
        <v>0.0</v>
      </c>
      <c r="G3838" s="27"/>
    </row>
    <row r="3839" hidden="1">
      <c r="A3839" s="21"/>
      <c r="B3839" s="21" t="s">
        <v>4695</v>
      </c>
      <c r="D3839" s="25">
        <v>0.0</v>
      </c>
      <c r="E3839" s="27"/>
      <c r="F3839" s="25">
        <v>0.0</v>
      </c>
      <c r="G3839" s="27"/>
    </row>
    <row r="3840" hidden="1">
      <c r="A3840" s="21"/>
      <c r="B3840" s="21" t="s">
        <v>4696</v>
      </c>
      <c r="D3840" s="25">
        <v>0.0</v>
      </c>
      <c r="E3840" s="27"/>
      <c r="F3840" s="25">
        <v>0.0</v>
      </c>
      <c r="G3840" s="27"/>
    </row>
    <row r="3841" hidden="1">
      <c r="A3841" s="21"/>
      <c r="B3841" s="21" t="s">
        <v>4697</v>
      </c>
      <c r="D3841" s="25">
        <v>0.0</v>
      </c>
      <c r="E3841" s="27"/>
      <c r="F3841" s="25">
        <v>5.59</v>
      </c>
      <c r="G3841" s="27"/>
    </row>
    <row r="3842" hidden="1">
      <c r="A3842" s="21"/>
      <c r="B3842" s="21" t="s">
        <v>4698</v>
      </c>
      <c r="D3842" s="25">
        <v>0.0</v>
      </c>
      <c r="E3842" s="27"/>
      <c r="F3842" s="25">
        <v>0.0</v>
      </c>
      <c r="G3842" s="27"/>
    </row>
    <row r="3843" hidden="1">
      <c r="A3843" s="21"/>
      <c r="B3843" s="21" t="s">
        <v>4699</v>
      </c>
      <c r="D3843" s="25">
        <v>0.0</v>
      </c>
      <c r="E3843" s="27"/>
      <c r="F3843" s="25">
        <v>0.0</v>
      </c>
      <c r="G3843" s="27"/>
    </row>
    <row r="3844" hidden="1">
      <c r="A3844" s="21"/>
      <c r="B3844" s="21" t="s">
        <v>4700</v>
      </c>
      <c r="D3844" s="25">
        <v>0.0</v>
      </c>
      <c r="E3844" s="27"/>
      <c r="F3844" s="25">
        <v>0.0</v>
      </c>
      <c r="G3844" s="27"/>
    </row>
    <row r="3845" hidden="1">
      <c r="A3845" s="21"/>
      <c r="B3845" s="21" t="s">
        <v>4701</v>
      </c>
      <c r="D3845" s="25">
        <v>0.0</v>
      </c>
      <c r="E3845" s="27"/>
      <c r="F3845" s="25">
        <v>0.0</v>
      </c>
      <c r="G3845" s="27"/>
    </row>
    <row r="3846" hidden="1">
      <c r="A3846" s="21"/>
      <c r="B3846" s="21" t="s">
        <v>4702</v>
      </c>
      <c r="D3846" s="25">
        <v>0.0</v>
      </c>
      <c r="E3846" s="27"/>
      <c r="F3846" s="25">
        <v>0.0</v>
      </c>
      <c r="G3846" s="27"/>
    </row>
    <row r="3847" hidden="1">
      <c r="A3847" s="21"/>
      <c r="B3847" s="21" t="s">
        <v>4703</v>
      </c>
      <c r="D3847" s="25">
        <v>0.0</v>
      </c>
      <c r="E3847" s="27"/>
      <c r="F3847" s="25">
        <v>0.0</v>
      </c>
      <c r="G3847" s="27"/>
    </row>
    <row r="3848" hidden="1">
      <c r="A3848" s="21"/>
      <c r="B3848" s="21" t="s">
        <v>4704</v>
      </c>
      <c r="D3848" s="25">
        <v>0.0</v>
      </c>
      <c r="E3848" s="27"/>
      <c r="F3848" s="25">
        <v>0.0</v>
      </c>
      <c r="G3848" s="27"/>
    </row>
    <row r="3849" hidden="1">
      <c r="A3849" s="21"/>
      <c r="B3849" s="21" t="s">
        <v>4705</v>
      </c>
      <c r="D3849" s="25">
        <v>0.0</v>
      </c>
      <c r="E3849" s="27"/>
      <c r="F3849" s="25">
        <v>0.0</v>
      </c>
      <c r="G3849" s="27"/>
    </row>
    <row r="3850" hidden="1">
      <c r="A3850" s="21"/>
      <c r="B3850" s="21" t="s">
        <v>4706</v>
      </c>
      <c r="D3850" s="25">
        <v>0.0</v>
      </c>
      <c r="E3850" s="27"/>
      <c r="F3850" s="25">
        <v>0.0</v>
      </c>
      <c r="G3850" s="27"/>
    </row>
    <row r="3851" hidden="1">
      <c r="A3851" s="21"/>
      <c r="B3851" s="21" t="s">
        <v>4707</v>
      </c>
      <c r="D3851" s="25">
        <v>0.0</v>
      </c>
      <c r="E3851" s="27"/>
      <c r="F3851" s="25">
        <v>0.0</v>
      </c>
      <c r="G3851" s="27"/>
    </row>
    <row r="3852" hidden="1">
      <c r="A3852" s="21"/>
      <c r="B3852" s="21" t="s">
        <v>4708</v>
      </c>
      <c r="D3852" s="25">
        <v>0.0</v>
      </c>
      <c r="E3852" s="27"/>
      <c r="F3852" s="25">
        <v>0.0</v>
      </c>
      <c r="G3852" s="27"/>
    </row>
    <row r="3853" hidden="1">
      <c r="A3853" s="21"/>
      <c r="B3853" s="21" t="s">
        <v>4709</v>
      </c>
      <c r="D3853" s="25">
        <v>0.0</v>
      </c>
      <c r="E3853" s="27"/>
      <c r="F3853" s="25">
        <v>0.0</v>
      </c>
      <c r="G3853" s="27"/>
    </row>
    <row r="3854" hidden="1">
      <c r="A3854" s="21"/>
      <c r="B3854" s="21" t="s">
        <v>4710</v>
      </c>
      <c r="D3854" s="25">
        <v>0.0</v>
      </c>
      <c r="E3854" s="27"/>
      <c r="F3854" s="25">
        <v>0.0</v>
      </c>
      <c r="G3854" s="27"/>
    </row>
    <row r="3855" hidden="1">
      <c r="A3855" s="21"/>
      <c r="B3855" s="21" t="s">
        <v>4711</v>
      </c>
      <c r="D3855" s="25">
        <v>0.0</v>
      </c>
      <c r="E3855" s="27"/>
      <c r="F3855" s="25">
        <v>0.0</v>
      </c>
      <c r="G3855" s="27"/>
    </row>
    <row r="3856" hidden="1">
      <c r="A3856" s="21"/>
      <c r="B3856" s="21" t="s">
        <v>4712</v>
      </c>
      <c r="D3856" s="25">
        <v>0.0</v>
      </c>
      <c r="E3856" s="27"/>
      <c r="F3856" s="25">
        <v>0.0</v>
      </c>
      <c r="G3856" s="27"/>
    </row>
    <row r="3857" hidden="1">
      <c r="A3857" s="21"/>
      <c r="B3857" s="21" t="s">
        <v>4713</v>
      </c>
      <c r="D3857" s="25">
        <v>0.0</v>
      </c>
      <c r="E3857" s="27"/>
      <c r="F3857" s="25">
        <v>0.0</v>
      </c>
      <c r="G3857" s="27"/>
    </row>
    <row r="3858" hidden="1">
      <c r="A3858" s="21"/>
      <c r="B3858" s="21" t="s">
        <v>4714</v>
      </c>
      <c r="D3858" s="25">
        <v>0.0</v>
      </c>
      <c r="E3858" s="27"/>
      <c r="F3858" s="25">
        <v>0.0</v>
      </c>
      <c r="G3858" s="27"/>
    </row>
    <row r="3859" hidden="1">
      <c r="A3859" s="21"/>
      <c r="B3859" s="21" t="s">
        <v>4715</v>
      </c>
      <c r="D3859" s="25">
        <v>0.0</v>
      </c>
      <c r="E3859" s="27"/>
      <c r="F3859" s="25">
        <v>0.0</v>
      </c>
      <c r="G3859" s="27"/>
    </row>
    <row r="3860" hidden="1">
      <c r="A3860" s="21"/>
      <c r="B3860" s="21" t="s">
        <v>4716</v>
      </c>
      <c r="D3860" s="25">
        <v>0.0</v>
      </c>
      <c r="E3860" s="27"/>
      <c r="F3860" s="25">
        <v>0.0</v>
      </c>
      <c r="G3860" s="27"/>
    </row>
    <row r="3861" hidden="1">
      <c r="A3861" s="21"/>
      <c r="B3861" s="21" t="s">
        <v>4717</v>
      </c>
      <c r="D3861" s="25">
        <v>0.0</v>
      </c>
      <c r="E3861" s="27"/>
      <c r="F3861" s="25">
        <v>0.0</v>
      </c>
      <c r="G3861" s="27"/>
    </row>
    <row r="3862" hidden="1">
      <c r="A3862" s="21"/>
      <c r="B3862" s="21" t="s">
        <v>4718</v>
      </c>
      <c r="D3862" s="25">
        <v>0.0</v>
      </c>
      <c r="E3862" s="27"/>
      <c r="F3862" s="25">
        <v>0.0</v>
      </c>
      <c r="G3862" s="27"/>
    </row>
    <row r="3863" hidden="1">
      <c r="A3863" s="21"/>
      <c r="B3863" s="21" t="s">
        <v>4719</v>
      </c>
      <c r="D3863" s="25">
        <v>0.0</v>
      </c>
      <c r="E3863" s="27"/>
      <c r="F3863" s="25">
        <v>0.0</v>
      </c>
      <c r="G3863" s="27"/>
    </row>
    <row r="3864" hidden="1">
      <c r="A3864" s="21"/>
      <c r="B3864" s="21" t="s">
        <v>4720</v>
      </c>
      <c r="D3864" s="25">
        <v>0.0</v>
      </c>
      <c r="E3864" s="27"/>
      <c r="F3864" s="25">
        <v>0.0</v>
      </c>
      <c r="G3864" s="27"/>
    </row>
    <row r="3865" hidden="1">
      <c r="A3865" s="21"/>
      <c r="B3865" s="21" t="s">
        <v>4721</v>
      </c>
      <c r="D3865" s="25">
        <v>0.0</v>
      </c>
      <c r="E3865" s="27"/>
      <c r="F3865" s="25">
        <v>0.0</v>
      </c>
      <c r="G3865" s="27"/>
    </row>
    <row r="3866" hidden="1">
      <c r="A3866" s="21"/>
      <c r="B3866" s="21" t="s">
        <v>4722</v>
      </c>
      <c r="D3866" s="25">
        <v>0.0</v>
      </c>
      <c r="E3866" s="27"/>
      <c r="F3866" s="25">
        <v>0.0</v>
      </c>
      <c r="G3866" s="27"/>
    </row>
    <row r="3867" hidden="1">
      <c r="A3867" s="21"/>
      <c r="B3867" s="21" t="s">
        <v>4723</v>
      </c>
      <c r="D3867" s="25">
        <v>0.0</v>
      </c>
      <c r="E3867" s="27"/>
      <c r="F3867" s="25">
        <v>0.0</v>
      </c>
      <c r="G3867" s="27"/>
    </row>
    <row r="3868" hidden="1">
      <c r="A3868" s="21"/>
      <c r="B3868" s="21" t="s">
        <v>4724</v>
      </c>
      <c r="D3868" s="25">
        <v>0.0</v>
      </c>
      <c r="E3868" s="27"/>
      <c r="F3868" s="25">
        <v>0.0</v>
      </c>
      <c r="G3868" s="27"/>
    </row>
    <row r="3869" hidden="1">
      <c r="A3869" s="21"/>
      <c r="B3869" s="21" t="s">
        <v>4725</v>
      </c>
      <c r="D3869" s="25">
        <v>0.0</v>
      </c>
      <c r="E3869" s="27"/>
      <c r="F3869" s="25">
        <v>0.0</v>
      </c>
      <c r="G3869" s="27"/>
    </row>
    <row r="3870" hidden="1">
      <c r="A3870" s="21"/>
      <c r="B3870" s="21" t="s">
        <v>4726</v>
      </c>
      <c r="D3870" s="25">
        <v>0.0</v>
      </c>
      <c r="E3870" s="27"/>
      <c r="F3870" s="25">
        <v>0.0</v>
      </c>
      <c r="G3870" s="27"/>
    </row>
    <row r="3871" hidden="1">
      <c r="A3871" s="21"/>
      <c r="B3871" s="21" t="s">
        <v>4727</v>
      </c>
      <c r="D3871" s="25">
        <v>0.0</v>
      </c>
      <c r="E3871" s="27"/>
      <c r="F3871" s="25">
        <v>0.0</v>
      </c>
      <c r="G3871" s="27"/>
    </row>
    <row r="3872" hidden="1">
      <c r="A3872" s="21"/>
      <c r="B3872" s="21" t="s">
        <v>4728</v>
      </c>
      <c r="D3872" s="25">
        <v>0.0</v>
      </c>
      <c r="E3872" s="27"/>
      <c r="F3872" s="25">
        <v>0.0</v>
      </c>
      <c r="G3872" s="27"/>
    </row>
    <row r="3873" hidden="1">
      <c r="A3873" s="21"/>
      <c r="B3873" s="21" t="s">
        <v>4729</v>
      </c>
      <c r="D3873" s="25">
        <v>0.0</v>
      </c>
      <c r="E3873" s="27"/>
      <c r="F3873" s="25">
        <v>0.0</v>
      </c>
      <c r="G3873" s="27"/>
    </row>
    <row r="3874" hidden="1">
      <c r="A3874" s="21"/>
      <c r="B3874" s="21" t="s">
        <v>4730</v>
      </c>
      <c r="D3874" s="25">
        <v>0.0</v>
      </c>
      <c r="E3874" s="27"/>
      <c r="F3874" s="25">
        <v>0.0</v>
      </c>
      <c r="G3874" s="27"/>
    </row>
    <row r="3875" hidden="1">
      <c r="A3875" s="21"/>
      <c r="B3875" s="21" t="s">
        <v>4731</v>
      </c>
      <c r="D3875" s="25">
        <v>0.0</v>
      </c>
      <c r="E3875" s="27"/>
      <c r="F3875" s="25">
        <v>0.0</v>
      </c>
      <c r="G3875" s="27"/>
    </row>
    <row r="3876" hidden="1">
      <c r="A3876" s="21"/>
      <c r="B3876" s="21" t="s">
        <v>4732</v>
      </c>
      <c r="D3876" s="25">
        <v>0.0</v>
      </c>
      <c r="E3876" s="27"/>
      <c r="F3876" s="25">
        <v>0.0</v>
      </c>
      <c r="G3876" s="27"/>
    </row>
    <row r="3877" hidden="1">
      <c r="A3877" s="21"/>
      <c r="B3877" s="21" t="s">
        <v>4733</v>
      </c>
      <c r="D3877" s="25">
        <v>0.0</v>
      </c>
      <c r="E3877" s="27"/>
      <c r="F3877" s="25">
        <v>0.0</v>
      </c>
      <c r="G3877" s="27"/>
    </row>
    <row r="3878" hidden="1">
      <c r="A3878" s="21"/>
      <c r="B3878" s="21" t="s">
        <v>4734</v>
      </c>
      <c r="D3878" s="25">
        <v>0.0</v>
      </c>
      <c r="E3878" s="27"/>
      <c r="F3878" s="25">
        <v>0.0</v>
      </c>
      <c r="G3878" s="27"/>
    </row>
    <row r="3879" hidden="1">
      <c r="A3879" s="21"/>
      <c r="B3879" s="21" t="s">
        <v>4735</v>
      </c>
      <c r="D3879" s="25">
        <v>0.0</v>
      </c>
      <c r="E3879" s="27"/>
      <c r="F3879" s="25">
        <v>0.0</v>
      </c>
      <c r="G3879" s="27"/>
    </row>
    <row r="3880" hidden="1">
      <c r="A3880" s="21"/>
      <c r="B3880" s="21" t="s">
        <v>4736</v>
      </c>
      <c r="D3880" s="25">
        <v>0.0</v>
      </c>
      <c r="E3880" s="27"/>
      <c r="F3880" s="25">
        <v>0.0</v>
      </c>
      <c r="G3880" s="27"/>
    </row>
    <row r="3881" hidden="1">
      <c r="A3881" s="21"/>
      <c r="B3881" s="21" t="s">
        <v>4737</v>
      </c>
      <c r="D3881" s="25">
        <v>0.0</v>
      </c>
      <c r="E3881" s="27"/>
      <c r="F3881" s="25">
        <v>0.0</v>
      </c>
      <c r="G3881" s="27"/>
    </row>
    <row r="3882" hidden="1">
      <c r="A3882" s="21"/>
      <c r="B3882" s="21" t="s">
        <v>4738</v>
      </c>
      <c r="D3882" s="25">
        <v>0.0</v>
      </c>
      <c r="E3882" s="27"/>
      <c r="F3882" s="25">
        <v>0.0</v>
      </c>
      <c r="G3882" s="27"/>
    </row>
    <row r="3883" hidden="1">
      <c r="A3883" s="21"/>
      <c r="B3883" s="21" t="s">
        <v>4739</v>
      </c>
      <c r="D3883" s="25">
        <v>0.0</v>
      </c>
      <c r="E3883" s="27"/>
      <c r="F3883" s="25">
        <v>0.0</v>
      </c>
      <c r="G3883" s="27"/>
    </row>
    <row r="3884" hidden="1">
      <c r="A3884" s="21"/>
      <c r="B3884" s="21" t="s">
        <v>4740</v>
      </c>
      <c r="D3884" s="25">
        <v>0.0</v>
      </c>
      <c r="E3884" s="27"/>
      <c r="F3884" s="25">
        <v>0.0</v>
      </c>
      <c r="G3884" s="27"/>
    </row>
    <row r="3885" hidden="1">
      <c r="A3885" s="21"/>
      <c r="B3885" s="21" t="s">
        <v>4741</v>
      </c>
      <c r="D3885" s="25">
        <v>0.0</v>
      </c>
      <c r="E3885" s="27"/>
      <c r="F3885" s="25">
        <v>0.0</v>
      </c>
      <c r="G3885" s="27"/>
    </row>
    <row r="3886" hidden="1">
      <c r="A3886" s="21"/>
      <c r="B3886" s="21" t="s">
        <v>4742</v>
      </c>
      <c r="D3886" s="25">
        <v>0.0</v>
      </c>
      <c r="E3886" s="27"/>
      <c r="F3886" s="25">
        <v>0.0</v>
      </c>
      <c r="G3886" s="27"/>
    </row>
    <row r="3887" hidden="1">
      <c r="A3887" s="21"/>
      <c r="B3887" s="21" t="s">
        <v>4743</v>
      </c>
      <c r="D3887" s="25">
        <v>0.0</v>
      </c>
      <c r="E3887" s="27"/>
      <c r="F3887" s="25">
        <v>0.0</v>
      </c>
      <c r="G3887" s="27"/>
    </row>
    <row r="3888" hidden="1">
      <c r="A3888" s="21"/>
      <c r="B3888" s="21" t="s">
        <v>4744</v>
      </c>
      <c r="D3888" s="25">
        <v>0.0</v>
      </c>
      <c r="E3888" s="27"/>
      <c r="F3888" s="25">
        <v>0.0</v>
      </c>
      <c r="G3888" s="27"/>
    </row>
    <row r="3889" hidden="1">
      <c r="A3889" s="21"/>
      <c r="B3889" s="21" t="s">
        <v>4745</v>
      </c>
      <c r="D3889" s="25">
        <v>0.0</v>
      </c>
      <c r="E3889" s="27"/>
      <c r="F3889" s="25">
        <v>0.0</v>
      </c>
      <c r="G3889" s="27"/>
    </row>
    <row r="3890" hidden="1">
      <c r="A3890" s="21"/>
      <c r="B3890" s="21" t="s">
        <v>4746</v>
      </c>
      <c r="D3890" s="25">
        <v>0.0</v>
      </c>
      <c r="E3890" s="27"/>
      <c r="F3890" s="25">
        <v>0.0</v>
      </c>
      <c r="G3890" s="27"/>
    </row>
    <row r="3891" hidden="1">
      <c r="A3891" s="21"/>
      <c r="B3891" s="21" t="s">
        <v>4747</v>
      </c>
      <c r="D3891" s="25">
        <v>0.0</v>
      </c>
      <c r="E3891" s="27"/>
      <c r="F3891" s="25">
        <v>0.0</v>
      </c>
      <c r="G3891" s="27"/>
    </row>
    <row r="3892" hidden="1">
      <c r="A3892" s="21"/>
      <c r="B3892" s="21" t="s">
        <v>4748</v>
      </c>
      <c r="D3892" s="25">
        <v>0.0</v>
      </c>
      <c r="E3892" s="27"/>
      <c r="F3892" s="25">
        <v>3.06</v>
      </c>
      <c r="G3892" s="27"/>
    </row>
    <row r="3893" hidden="1">
      <c r="A3893" s="21"/>
      <c r="B3893" s="21" t="s">
        <v>4749</v>
      </c>
      <c r="D3893" s="25">
        <v>0.0</v>
      </c>
      <c r="E3893" s="27"/>
      <c r="F3893" s="25">
        <v>0.0</v>
      </c>
      <c r="G3893" s="27"/>
    </row>
    <row r="3894" hidden="1">
      <c r="A3894" s="21"/>
      <c r="B3894" s="21" t="s">
        <v>4750</v>
      </c>
      <c r="D3894" s="25">
        <v>0.0</v>
      </c>
      <c r="E3894" s="27"/>
      <c r="F3894" s="25">
        <v>0.0</v>
      </c>
      <c r="G3894" s="27"/>
    </row>
    <row r="3895" hidden="1">
      <c r="A3895" s="21"/>
      <c r="B3895" s="21" t="s">
        <v>4751</v>
      </c>
      <c r="D3895" s="25">
        <v>0.0</v>
      </c>
      <c r="E3895" s="27"/>
      <c r="F3895" s="25">
        <v>0.0</v>
      </c>
      <c r="G3895" s="27"/>
    </row>
    <row r="3896" hidden="1">
      <c r="A3896" s="21"/>
      <c r="B3896" s="21" t="s">
        <v>4752</v>
      </c>
      <c r="D3896" s="25">
        <v>0.0</v>
      </c>
      <c r="E3896" s="27"/>
      <c r="F3896" s="25">
        <v>0.0</v>
      </c>
      <c r="G3896" s="27"/>
    </row>
    <row r="3897" hidden="1">
      <c r="A3897" s="21"/>
      <c r="B3897" s="21" t="s">
        <v>4753</v>
      </c>
      <c r="D3897" s="25">
        <v>0.0</v>
      </c>
      <c r="E3897" s="27"/>
      <c r="F3897" s="25">
        <v>0.0</v>
      </c>
      <c r="G3897" s="27"/>
    </row>
    <row r="3898" hidden="1">
      <c r="A3898" s="21"/>
      <c r="B3898" s="21" t="s">
        <v>4754</v>
      </c>
      <c r="D3898" s="25">
        <v>0.0</v>
      </c>
      <c r="E3898" s="27"/>
      <c r="F3898" s="25">
        <v>0.0</v>
      </c>
      <c r="G3898" s="27"/>
    </row>
    <row r="3899" hidden="1">
      <c r="A3899" s="21"/>
      <c r="B3899" s="21" t="s">
        <v>4755</v>
      </c>
      <c r="D3899" s="25">
        <v>0.0</v>
      </c>
      <c r="E3899" s="27"/>
      <c r="F3899" s="25">
        <v>0.0</v>
      </c>
      <c r="G3899" s="27"/>
    </row>
    <row r="3900" hidden="1">
      <c r="A3900" s="21"/>
      <c r="B3900" s="21" t="s">
        <v>4756</v>
      </c>
      <c r="D3900" s="25">
        <v>0.0</v>
      </c>
      <c r="E3900" s="27"/>
      <c r="F3900" s="25">
        <v>0.0</v>
      </c>
      <c r="G3900" s="27"/>
    </row>
    <row r="3901" hidden="1">
      <c r="A3901" s="21"/>
      <c r="B3901" s="21" t="s">
        <v>4757</v>
      </c>
      <c r="D3901" s="25">
        <v>0.0</v>
      </c>
      <c r="E3901" s="27"/>
      <c r="F3901" s="25">
        <v>0.0</v>
      </c>
      <c r="G3901" s="27"/>
    </row>
    <row r="3902" hidden="1">
      <c r="A3902" s="21"/>
      <c r="B3902" s="21" t="s">
        <v>4758</v>
      </c>
      <c r="D3902" s="25">
        <v>0.0</v>
      </c>
      <c r="E3902" s="27"/>
      <c r="F3902" s="25">
        <v>0.0</v>
      </c>
      <c r="G3902" s="27"/>
    </row>
    <row r="3903" hidden="1">
      <c r="A3903" s="21"/>
      <c r="B3903" s="21" t="s">
        <v>4759</v>
      </c>
      <c r="D3903" s="25">
        <v>0.0</v>
      </c>
      <c r="E3903" s="27"/>
      <c r="F3903" s="25">
        <v>0.0</v>
      </c>
      <c r="G3903" s="27"/>
    </row>
    <row r="3904" hidden="1">
      <c r="A3904" s="21"/>
      <c r="B3904" s="21" t="s">
        <v>4760</v>
      </c>
      <c r="D3904" s="25">
        <v>0.0</v>
      </c>
      <c r="E3904" s="27"/>
      <c r="F3904" s="25">
        <v>0.0</v>
      </c>
      <c r="G3904" s="27"/>
    </row>
    <row r="3905" hidden="1">
      <c r="A3905" s="21"/>
      <c r="B3905" s="21" t="s">
        <v>4761</v>
      </c>
      <c r="D3905" s="25">
        <v>0.0</v>
      </c>
      <c r="E3905" s="27"/>
      <c r="F3905" s="25">
        <v>0.0</v>
      </c>
      <c r="G3905" s="27"/>
    </row>
    <row r="3906" hidden="1">
      <c r="A3906" s="21"/>
      <c r="B3906" s="21" t="s">
        <v>4762</v>
      </c>
      <c r="D3906" s="25">
        <v>0.0</v>
      </c>
      <c r="E3906" s="27"/>
      <c r="F3906" s="25">
        <v>0.0</v>
      </c>
      <c r="G3906" s="27"/>
    </row>
    <row r="3907" hidden="1">
      <c r="A3907" s="21"/>
      <c r="B3907" s="21" t="s">
        <v>4763</v>
      </c>
      <c r="D3907" s="25">
        <v>0.0</v>
      </c>
      <c r="E3907" s="27"/>
      <c r="F3907" s="25">
        <v>0.0</v>
      </c>
      <c r="G3907" s="27"/>
    </row>
    <row r="3908" hidden="1">
      <c r="A3908" s="21"/>
      <c r="B3908" s="21" t="s">
        <v>4764</v>
      </c>
      <c r="D3908" s="25">
        <v>0.0</v>
      </c>
      <c r="E3908" s="27"/>
      <c r="F3908" s="25">
        <v>0.0</v>
      </c>
      <c r="G3908" s="27"/>
    </row>
    <row r="3909" hidden="1">
      <c r="A3909" s="21"/>
      <c r="B3909" s="21" t="s">
        <v>4765</v>
      </c>
      <c r="D3909" s="25">
        <v>0.0</v>
      </c>
      <c r="E3909" s="27"/>
      <c r="F3909" s="25">
        <v>0.0</v>
      </c>
      <c r="G3909" s="27"/>
    </row>
    <row r="3910" hidden="1">
      <c r="A3910" s="21"/>
      <c r="B3910" s="21" t="s">
        <v>4766</v>
      </c>
      <c r="D3910" s="25">
        <v>0.0</v>
      </c>
      <c r="E3910" s="27"/>
      <c r="F3910" s="25">
        <v>0.0</v>
      </c>
      <c r="G3910" s="27"/>
    </row>
    <row r="3911" hidden="1">
      <c r="A3911" s="21"/>
      <c r="B3911" s="21" t="s">
        <v>4767</v>
      </c>
      <c r="D3911" s="25">
        <v>0.0</v>
      </c>
      <c r="E3911" s="27"/>
      <c r="F3911" s="25">
        <v>0.0</v>
      </c>
      <c r="G3911" s="27"/>
    </row>
    <row r="3912" hidden="1">
      <c r="A3912" s="21"/>
      <c r="B3912" s="21" t="s">
        <v>4768</v>
      </c>
      <c r="D3912" s="25">
        <v>0.0</v>
      </c>
      <c r="E3912" s="27"/>
      <c r="F3912" s="25">
        <v>0.0</v>
      </c>
      <c r="G3912" s="27"/>
    </row>
    <row r="3913" hidden="1">
      <c r="A3913" s="21"/>
      <c r="B3913" s="21" t="s">
        <v>4769</v>
      </c>
      <c r="D3913" s="25">
        <v>0.0</v>
      </c>
      <c r="E3913" s="27"/>
      <c r="F3913" s="25">
        <v>0.0</v>
      </c>
      <c r="G3913" s="27"/>
    </row>
    <row r="3914" hidden="1">
      <c r="A3914" s="21"/>
      <c r="B3914" s="21" t="s">
        <v>4770</v>
      </c>
      <c r="D3914" s="25">
        <v>0.0</v>
      </c>
      <c r="E3914" s="27"/>
      <c r="F3914" s="25">
        <v>0.0</v>
      </c>
      <c r="G3914" s="27"/>
    </row>
    <row r="3915" hidden="1">
      <c r="A3915" s="21"/>
      <c r="B3915" s="21" t="s">
        <v>4771</v>
      </c>
      <c r="D3915" s="25">
        <v>0.0</v>
      </c>
      <c r="E3915" s="27"/>
      <c r="F3915" s="25">
        <v>0.0</v>
      </c>
      <c r="G3915" s="27"/>
    </row>
    <row r="3916" hidden="1">
      <c r="A3916" s="21"/>
      <c r="B3916" s="21" t="s">
        <v>4772</v>
      </c>
      <c r="D3916" s="25">
        <v>0.0</v>
      </c>
      <c r="E3916" s="27"/>
      <c r="F3916" s="25">
        <v>0.0</v>
      </c>
      <c r="G3916" s="27"/>
    </row>
    <row r="3917" hidden="1">
      <c r="A3917" s="21"/>
      <c r="B3917" s="21" t="s">
        <v>4773</v>
      </c>
      <c r="D3917" s="25">
        <v>0.0</v>
      </c>
      <c r="E3917" s="27"/>
      <c r="F3917" s="25">
        <v>0.0</v>
      </c>
      <c r="G3917" s="27"/>
    </row>
    <row r="3918" hidden="1">
      <c r="A3918" s="21"/>
      <c r="B3918" s="21" t="s">
        <v>4774</v>
      </c>
      <c r="D3918" s="25">
        <v>0.0</v>
      </c>
      <c r="E3918" s="27"/>
      <c r="F3918" s="25">
        <v>0.0</v>
      </c>
      <c r="G3918" s="27"/>
    </row>
    <row r="3919" hidden="1">
      <c r="A3919" s="21"/>
      <c r="B3919" s="21" t="s">
        <v>4775</v>
      </c>
      <c r="D3919" s="25">
        <v>0.0</v>
      </c>
      <c r="E3919" s="27"/>
      <c r="F3919" s="25">
        <v>0.0</v>
      </c>
      <c r="G3919" s="27"/>
    </row>
    <row r="3920" hidden="1">
      <c r="A3920" s="21"/>
      <c r="B3920" s="21" t="s">
        <v>4776</v>
      </c>
      <c r="D3920" s="25">
        <v>0.0</v>
      </c>
      <c r="E3920" s="27"/>
      <c r="F3920" s="25">
        <v>0.0</v>
      </c>
      <c r="G3920" s="27"/>
    </row>
    <row r="3921" hidden="1">
      <c r="A3921" s="21"/>
      <c r="B3921" s="21" t="s">
        <v>4777</v>
      </c>
      <c r="D3921" s="25">
        <v>0.0</v>
      </c>
      <c r="E3921" s="27"/>
      <c r="F3921" s="25">
        <v>0.0</v>
      </c>
      <c r="G3921" s="27"/>
    </row>
    <row r="3922" hidden="1">
      <c r="A3922" s="21"/>
      <c r="B3922" s="21" t="s">
        <v>4778</v>
      </c>
      <c r="D3922" s="25">
        <v>0.0</v>
      </c>
      <c r="E3922" s="27"/>
      <c r="F3922" s="25">
        <v>0.0</v>
      </c>
      <c r="G3922" s="27"/>
    </row>
    <row r="3923" hidden="1">
      <c r="A3923" s="21"/>
      <c r="B3923" s="21" t="s">
        <v>4779</v>
      </c>
      <c r="D3923" s="25">
        <v>0.0</v>
      </c>
      <c r="E3923" s="27"/>
      <c r="F3923" s="25">
        <v>0.0</v>
      </c>
      <c r="G3923" s="27"/>
    </row>
    <row r="3924" hidden="1">
      <c r="A3924" s="21"/>
      <c r="B3924" s="21" t="s">
        <v>4780</v>
      </c>
      <c r="D3924" s="25">
        <v>0.0</v>
      </c>
      <c r="E3924" s="27"/>
      <c r="F3924" s="25">
        <v>0.0</v>
      </c>
      <c r="G3924" s="27"/>
    </row>
    <row r="3925" hidden="1">
      <c r="A3925" s="21"/>
      <c r="B3925" s="21" t="s">
        <v>4781</v>
      </c>
      <c r="D3925" s="25">
        <v>0.0</v>
      </c>
      <c r="E3925" s="27"/>
      <c r="F3925" s="25">
        <v>0.0</v>
      </c>
      <c r="G3925" s="27"/>
    </row>
    <row r="3926" hidden="1">
      <c r="A3926" s="21"/>
      <c r="B3926" s="21" t="s">
        <v>4782</v>
      </c>
      <c r="D3926" s="25">
        <v>0.0</v>
      </c>
      <c r="E3926" s="27"/>
      <c r="F3926" s="25">
        <v>0.0</v>
      </c>
      <c r="G3926" s="27"/>
    </row>
    <row r="3927" hidden="1">
      <c r="A3927" s="21"/>
      <c r="B3927" s="21" t="s">
        <v>4783</v>
      </c>
      <c r="D3927" s="25">
        <v>0.0</v>
      </c>
      <c r="E3927" s="27"/>
      <c r="F3927" s="25">
        <v>0.0</v>
      </c>
      <c r="G3927" s="27"/>
    </row>
    <row r="3928" hidden="1">
      <c r="A3928" s="21"/>
      <c r="B3928" s="21" t="s">
        <v>4784</v>
      </c>
      <c r="D3928" s="25">
        <v>0.0</v>
      </c>
      <c r="E3928" s="27"/>
      <c r="F3928" s="25">
        <v>0.0</v>
      </c>
      <c r="G3928" s="27"/>
    </row>
    <row r="3929" hidden="1">
      <c r="A3929" s="21"/>
      <c r="B3929" s="21" t="s">
        <v>4785</v>
      </c>
      <c r="D3929" s="25">
        <v>0.0</v>
      </c>
      <c r="E3929" s="27"/>
      <c r="F3929" s="25">
        <v>0.0</v>
      </c>
      <c r="G3929" s="27"/>
    </row>
    <row r="3930" hidden="1">
      <c r="A3930" s="21"/>
      <c r="B3930" s="21" t="s">
        <v>4786</v>
      </c>
      <c r="D3930" s="25">
        <v>0.0</v>
      </c>
      <c r="E3930" s="27"/>
      <c r="F3930" s="25">
        <v>0.0</v>
      </c>
      <c r="G3930" s="27"/>
    </row>
    <row r="3931" hidden="1">
      <c r="A3931" s="21"/>
      <c r="B3931" s="21" t="s">
        <v>4787</v>
      </c>
      <c r="D3931" s="25">
        <v>0.0</v>
      </c>
      <c r="E3931" s="27"/>
      <c r="F3931" s="25">
        <v>0.0</v>
      </c>
      <c r="G3931" s="27"/>
    </row>
    <row r="3932" hidden="1">
      <c r="A3932" s="21"/>
      <c r="B3932" s="21" t="s">
        <v>4788</v>
      </c>
      <c r="D3932" s="25">
        <v>0.0</v>
      </c>
      <c r="E3932" s="27"/>
      <c r="F3932" s="25">
        <v>0.0</v>
      </c>
      <c r="G3932" s="27"/>
    </row>
    <row r="3933" hidden="1">
      <c r="A3933" s="21"/>
      <c r="B3933" s="21" t="s">
        <v>4789</v>
      </c>
      <c r="D3933" s="25">
        <v>0.0</v>
      </c>
      <c r="E3933" s="27"/>
      <c r="F3933" s="25">
        <v>0.0</v>
      </c>
      <c r="G3933" s="27"/>
    </row>
    <row r="3934" hidden="1">
      <c r="A3934" s="21"/>
      <c r="B3934" s="21" t="s">
        <v>4790</v>
      </c>
      <c r="D3934" s="25">
        <v>0.0</v>
      </c>
      <c r="E3934" s="27"/>
      <c r="F3934" s="25">
        <v>0.0</v>
      </c>
      <c r="G3934" s="27"/>
    </row>
    <row r="3935" hidden="1">
      <c r="A3935" s="21"/>
      <c r="B3935" s="21" t="s">
        <v>4791</v>
      </c>
      <c r="D3935" s="25">
        <v>0.0</v>
      </c>
      <c r="E3935" s="27"/>
      <c r="F3935" s="25">
        <v>0.0</v>
      </c>
      <c r="G3935" s="27"/>
    </row>
    <row r="3936" hidden="1">
      <c r="A3936" s="21"/>
      <c r="B3936" s="21" t="s">
        <v>4792</v>
      </c>
      <c r="D3936" s="25">
        <v>0.0</v>
      </c>
      <c r="E3936" s="27"/>
      <c r="F3936" s="25">
        <v>0.0</v>
      </c>
      <c r="G3936" s="27"/>
    </row>
    <row r="3937" hidden="1">
      <c r="A3937" s="21"/>
      <c r="B3937" s="21" t="s">
        <v>4793</v>
      </c>
      <c r="D3937" s="25">
        <v>0.0</v>
      </c>
      <c r="E3937" s="27"/>
      <c r="F3937" s="25">
        <v>0.0</v>
      </c>
      <c r="G3937" s="27"/>
    </row>
    <row r="3938" hidden="1">
      <c r="A3938" s="21"/>
      <c r="B3938" s="21" t="s">
        <v>4794</v>
      </c>
      <c r="D3938" s="25">
        <v>0.0</v>
      </c>
      <c r="E3938" s="27"/>
      <c r="F3938" s="25">
        <v>0.0</v>
      </c>
      <c r="G3938" s="27"/>
    </row>
    <row r="3939" hidden="1">
      <c r="A3939" s="21"/>
      <c r="B3939" s="21" t="s">
        <v>4795</v>
      </c>
      <c r="D3939" s="25">
        <v>0.0</v>
      </c>
      <c r="E3939" s="27"/>
      <c r="F3939" s="25">
        <v>0.0</v>
      </c>
      <c r="G3939" s="27"/>
    </row>
    <row r="3940" hidden="1">
      <c r="A3940" s="21"/>
      <c r="B3940" s="21" t="s">
        <v>4796</v>
      </c>
      <c r="D3940" s="25">
        <v>0.0</v>
      </c>
      <c r="E3940" s="27"/>
      <c r="F3940" s="25">
        <v>0.0</v>
      </c>
      <c r="G3940" s="27"/>
    </row>
    <row r="3941" hidden="1">
      <c r="A3941" s="21"/>
      <c r="B3941" s="21" t="s">
        <v>4797</v>
      </c>
      <c r="D3941" s="25">
        <v>0.0</v>
      </c>
      <c r="E3941" s="27"/>
      <c r="F3941" s="25">
        <v>0.0</v>
      </c>
      <c r="G3941" s="27"/>
    </row>
    <row r="3942" hidden="1">
      <c r="A3942" s="21"/>
      <c r="B3942" s="21" t="s">
        <v>4798</v>
      </c>
      <c r="D3942" s="25">
        <v>0.0</v>
      </c>
      <c r="E3942" s="27"/>
      <c r="F3942" s="25">
        <v>0.0</v>
      </c>
      <c r="G3942" s="27"/>
    </row>
    <row r="3943" hidden="1">
      <c r="A3943" s="21"/>
      <c r="B3943" s="21" t="s">
        <v>4799</v>
      </c>
      <c r="D3943" s="25">
        <v>0.0</v>
      </c>
      <c r="E3943" s="27"/>
      <c r="F3943" s="25">
        <v>0.0</v>
      </c>
      <c r="G3943" s="27"/>
    </row>
    <row r="3944" hidden="1">
      <c r="A3944" s="21"/>
      <c r="B3944" s="21" t="s">
        <v>4800</v>
      </c>
      <c r="D3944" s="25">
        <v>0.0</v>
      </c>
      <c r="E3944" s="27"/>
      <c r="F3944" s="25">
        <v>0.0</v>
      </c>
      <c r="G3944" s="27"/>
    </row>
    <row r="3945" hidden="1">
      <c r="A3945" s="21"/>
      <c r="B3945" s="21" t="s">
        <v>4801</v>
      </c>
      <c r="D3945" s="25">
        <v>0.0</v>
      </c>
      <c r="E3945" s="27"/>
      <c r="F3945" s="25">
        <v>0.0</v>
      </c>
      <c r="G3945" s="27"/>
    </row>
    <row r="3946" hidden="1">
      <c r="A3946" s="21"/>
      <c r="B3946" s="21" t="s">
        <v>4802</v>
      </c>
      <c r="D3946" s="25">
        <v>0.0</v>
      </c>
      <c r="E3946" s="27"/>
      <c r="F3946" s="25">
        <v>0.0</v>
      </c>
      <c r="G3946" s="27"/>
    </row>
    <row r="3947" hidden="1">
      <c r="A3947" s="21"/>
      <c r="B3947" s="21" t="s">
        <v>4803</v>
      </c>
      <c r="D3947" s="25">
        <v>0.0</v>
      </c>
      <c r="E3947" s="27"/>
      <c r="F3947" s="25">
        <v>3.06</v>
      </c>
      <c r="G3947" s="27"/>
    </row>
    <row r="3948" hidden="1">
      <c r="A3948" s="21"/>
      <c r="B3948" s="21" t="s">
        <v>4804</v>
      </c>
      <c r="D3948" s="25">
        <v>0.0</v>
      </c>
      <c r="E3948" s="27"/>
      <c r="F3948" s="25">
        <v>0.0</v>
      </c>
      <c r="G3948" s="27"/>
    </row>
    <row r="3949" hidden="1">
      <c r="A3949" s="21"/>
      <c r="B3949" s="21" t="s">
        <v>4805</v>
      </c>
      <c r="D3949" s="25">
        <v>0.0</v>
      </c>
      <c r="E3949" s="27"/>
      <c r="F3949" s="25">
        <v>0.0</v>
      </c>
      <c r="G3949" s="27"/>
    </row>
    <row r="3950" hidden="1">
      <c r="A3950" s="21"/>
      <c r="B3950" s="21" t="s">
        <v>4806</v>
      </c>
      <c r="D3950" s="25">
        <v>0.0</v>
      </c>
      <c r="E3950" s="27"/>
      <c r="F3950" s="25">
        <v>0.0</v>
      </c>
      <c r="G3950" s="27"/>
    </row>
    <row r="3951" hidden="1">
      <c r="A3951" s="21"/>
      <c r="B3951" s="21" t="s">
        <v>4807</v>
      </c>
      <c r="D3951" s="25">
        <v>0.0</v>
      </c>
      <c r="E3951" s="27"/>
      <c r="F3951" s="25">
        <v>0.0</v>
      </c>
      <c r="G3951" s="27"/>
    </row>
    <row r="3952" hidden="1">
      <c r="A3952" s="21"/>
      <c r="B3952" s="21" t="s">
        <v>4808</v>
      </c>
      <c r="D3952" s="25">
        <v>0.0</v>
      </c>
      <c r="E3952" s="27"/>
      <c r="F3952" s="25">
        <v>0.0</v>
      </c>
      <c r="G3952" s="27"/>
    </row>
    <row r="3953" hidden="1">
      <c r="A3953" s="21"/>
      <c r="B3953" s="21" t="s">
        <v>4809</v>
      </c>
      <c r="D3953" s="25">
        <v>0.0</v>
      </c>
      <c r="E3953" s="27"/>
      <c r="F3953" s="25">
        <v>0.0</v>
      </c>
      <c r="G3953" s="27"/>
    </row>
    <row r="3954" hidden="1">
      <c r="A3954" s="21"/>
      <c r="B3954" s="21" t="s">
        <v>4810</v>
      </c>
      <c r="D3954" s="25">
        <v>0.0</v>
      </c>
      <c r="E3954" s="27"/>
      <c r="F3954" s="25">
        <v>0.0</v>
      </c>
      <c r="G3954" s="27"/>
    </row>
    <row r="3955" hidden="1">
      <c r="A3955" s="21"/>
      <c r="B3955" s="21" t="s">
        <v>4811</v>
      </c>
      <c r="D3955" s="25">
        <v>0.0</v>
      </c>
      <c r="E3955" s="27"/>
      <c r="F3955" s="25">
        <v>0.0</v>
      </c>
      <c r="G3955" s="27"/>
    </row>
    <row r="3956" hidden="1">
      <c r="A3956" s="21"/>
      <c r="B3956" s="21" t="s">
        <v>4812</v>
      </c>
      <c r="D3956" s="25">
        <v>0.0</v>
      </c>
      <c r="E3956" s="27"/>
      <c r="F3956" s="25">
        <v>0.0</v>
      </c>
      <c r="G3956" s="27"/>
    </row>
    <row r="3957" hidden="1">
      <c r="A3957" s="21"/>
      <c r="B3957" s="21" t="s">
        <v>4813</v>
      </c>
      <c r="D3957" s="25">
        <v>0.0</v>
      </c>
      <c r="E3957" s="27"/>
      <c r="F3957" s="25">
        <v>0.0</v>
      </c>
      <c r="G3957" s="27"/>
    </row>
    <row r="3958" hidden="1">
      <c r="A3958" s="21"/>
      <c r="B3958" s="21" t="s">
        <v>4814</v>
      </c>
      <c r="D3958" s="25">
        <v>0.0</v>
      </c>
      <c r="E3958" s="27"/>
      <c r="F3958" s="25">
        <v>0.0</v>
      </c>
      <c r="G3958" s="27"/>
    </row>
    <row r="3959" hidden="1">
      <c r="A3959" s="21"/>
      <c r="B3959" s="21" t="s">
        <v>4815</v>
      </c>
      <c r="D3959" s="25">
        <v>0.0</v>
      </c>
      <c r="E3959" s="27"/>
      <c r="F3959" s="25">
        <v>0.0</v>
      </c>
      <c r="G3959" s="27"/>
    </row>
    <row r="3960" hidden="1">
      <c r="A3960" s="21"/>
      <c r="B3960" s="21" t="s">
        <v>4816</v>
      </c>
      <c r="D3960" s="25">
        <v>0.0</v>
      </c>
      <c r="E3960" s="27"/>
      <c r="F3960" s="25">
        <v>0.0</v>
      </c>
      <c r="G3960" s="27"/>
    </row>
    <row r="3961" hidden="1">
      <c r="A3961" s="21"/>
      <c r="B3961" s="21" t="s">
        <v>4817</v>
      </c>
      <c r="D3961" s="25">
        <v>0.0</v>
      </c>
      <c r="E3961" s="27"/>
      <c r="F3961" s="25">
        <v>0.61</v>
      </c>
      <c r="G3961" s="27"/>
    </row>
    <row r="3962" hidden="1">
      <c r="A3962" s="21"/>
      <c r="B3962" s="21" t="s">
        <v>4818</v>
      </c>
      <c r="D3962" s="25">
        <v>0.0</v>
      </c>
      <c r="E3962" s="27"/>
      <c r="F3962" s="25">
        <v>0.0</v>
      </c>
      <c r="G3962" s="27"/>
    </row>
    <row r="3963" hidden="1">
      <c r="A3963" s="21"/>
      <c r="B3963" s="21" t="s">
        <v>4819</v>
      </c>
      <c r="D3963" s="25">
        <v>0.0</v>
      </c>
      <c r="E3963" s="27"/>
      <c r="F3963" s="25">
        <v>0.0</v>
      </c>
      <c r="G3963" s="27"/>
    </row>
    <row r="3964" hidden="1">
      <c r="A3964" s="21"/>
      <c r="B3964" s="21" t="s">
        <v>4820</v>
      </c>
      <c r="D3964" s="25">
        <v>0.0</v>
      </c>
      <c r="E3964" s="27"/>
      <c r="F3964" s="25">
        <v>0.0</v>
      </c>
      <c r="G3964" s="27"/>
    </row>
    <row r="3965" hidden="1">
      <c r="A3965" s="21"/>
      <c r="B3965" s="21" t="s">
        <v>4821</v>
      </c>
      <c r="D3965" s="25">
        <v>0.0</v>
      </c>
      <c r="E3965" s="27"/>
      <c r="F3965" s="25">
        <v>0.0</v>
      </c>
      <c r="G3965" s="27"/>
    </row>
    <row r="3966" hidden="1">
      <c r="A3966" s="21"/>
      <c r="B3966" s="21" t="s">
        <v>4822</v>
      </c>
      <c r="D3966" s="25">
        <v>0.0</v>
      </c>
      <c r="E3966" s="27"/>
      <c r="F3966" s="25">
        <v>0.0</v>
      </c>
      <c r="G3966" s="27"/>
    </row>
    <row r="3967" hidden="1">
      <c r="A3967" s="21"/>
      <c r="B3967" s="21" t="s">
        <v>4823</v>
      </c>
      <c r="D3967" s="25">
        <v>0.0</v>
      </c>
      <c r="E3967" s="27"/>
      <c r="F3967" s="25">
        <v>0.0</v>
      </c>
      <c r="G3967" s="27"/>
    </row>
    <row r="3968" hidden="1">
      <c r="A3968" s="21"/>
      <c r="B3968" s="21" t="s">
        <v>4824</v>
      </c>
      <c r="D3968" s="25">
        <v>0.0</v>
      </c>
      <c r="E3968" s="27"/>
      <c r="F3968" s="25">
        <v>0.0</v>
      </c>
      <c r="G3968" s="27"/>
    </row>
    <row r="3969" hidden="1">
      <c r="A3969" s="21"/>
      <c r="B3969" s="21" t="s">
        <v>4825</v>
      </c>
      <c r="D3969" s="25">
        <v>0.0</v>
      </c>
      <c r="E3969" s="27"/>
      <c r="F3969" s="25">
        <v>0.0</v>
      </c>
      <c r="G3969" s="27"/>
    </row>
    <row r="3970" hidden="1">
      <c r="A3970" s="21"/>
      <c r="B3970" s="21" t="s">
        <v>4826</v>
      </c>
      <c r="D3970" s="25">
        <v>0.0</v>
      </c>
      <c r="E3970" s="27"/>
      <c r="F3970" s="25">
        <v>0.0</v>
      </c>
      <c r="G3970" s="27"/>
    </row>
    <row r="3971" hidden="1">
      <c r="A3971" s="21"/>
      <c r="B3971" s="21" t="s">
        <v>4827</v>
      </c>
      <c r="D3971" s="25">
        <v>0.0</v>
      </c>
      <c r="E3971" s="27"/>
      <c r="F3971" s="25">
        <v>0.0</v>
      </c>
      <c r="G3971" s="27"/>
    </row>
    <row r="3972" hidden="1">
      <c r="A3972" s="21"/>
      <c r="B3972" s="21" t="s">
        <v>4828</v>
      </c>
      <c r="D3972" s="25">
        <v>0.0</v>
      </c>
      <c r="E3972" s="27"/>
      <c r="F3972" s="25">
        <v>0.0</v>
      </c>
      <c r="G3972" s="27"/>
    </row>
    <row r="3973" hidden="1">
      <c r="A3973" s="21"/>
      <c r="B3973" s="21" t="s">
        <v>4829</v>
      </c>
      <c r="D3973" s="25">
        <v>0.0</v>
      </c>
      <c r="E3973" s="27"/>
      <c r="F3973" s="25">
        <v>0.0</v>
      </c>
      <c r="G3973" s="27"/>
    </row>
    <row r="3974" hidden="1">
      <c r="A3974" s="21"/>
      <c r="B3974" s="21" t="s">
        <v>4830</v>
      </c>
      <c r="D3974" s="25">
        <v>0.0</v>
      </c>
      <c r="E3974" s="27"/>
      <c r="F3974" s="25">
        <v>0.0</v>
      </c>
      <c r="G3974" s="27"/>
    </row>
    <row r="3975" hidden="1">
      <c r="A3975" s="21"/>
      <c r="B3975" s="21" t="s">
        <v>4831</v>
      </c>
      <c r="D3975" s="25">
        <v>0.0</v>
      </c>
      <c r="E3975" s="27"/>
      <c r="F3975" s="25">
        <v>0.0</v>
      </c>
      <c r="G3975" s="27"/>
    </row>
    <row r="3976" hidden="1">
      <c r="A3976" s="21"/>
      <c r="B3976" s="21" t="s">
        <v>4832</v>
      </c>
      <c r="D3976" s="25">
        <v>0.0</v>
      </c>
      <c r="E3976" s="27"/>
      <c r="F3976" s="25">
        <v>0.0</v>
      </c>
      <c r="G3976" s="27"/>
    </row>
    <row r="3977" hidden="1">
      <c r="A3977" s="21"/>
      <c r="B3977" s="21" t="s">
        <v>4833</v>
      </c>
      <c r="D3977" s="25">
        <v>0.0</v>
      </c>
      <c r="E3977" s="27"/>
      <c r="F3977" s="25">
        <v>0.0</v>
      </c>
      <c r="G3977" s="27"/>
    </row>
    <row r="3978" hidden="1">
      <c r="A3978" s="21"/>
      <c r="B3978" s="21" t="s">
        <v>4834</v>
      </c>
      <c r="D3978" s="25">
        <v>0.0</v>
      </c>
      <c r="E3978" s="27"/>
      <c r="F3978" s="25">
        <v>0.0</v>
      </c>
      <c r="G3978" s="27"/>
    </row>
    <row r="3979" hidden="1">
      <c r="A3979" s="21"/>
      <c r="B3979" s="21" t="s">
        <v>4835</v>
      </c>
      <c r="D3979" s="25">
        <v>0.0</v>
      </c>
      <c r="E3979" s="27"/>
      <c r="F3979" s="25">
        <v>0.0</v>
      </c>
      <c r="G3979" s="27"/>
    </row>
    <row r="3980" hidden="1">
      <c r="A3980" s="21"/>
      <c r="B3980" s="21" t="s">
        <v>4836</v>
      </c>
      <c r="D3980" s="25">
        <v>0.0</v>
      </c>
      <c r="E3980" s="27"/>
      <c r="F3980" s="25">
        <v>0.0</v>
      </c>
      <c r="G3980" s="27"/>
    </row>
    <row r="3981" hidden="1">
      <c r="A3981" s="21"/>
      <c r="B3981" s="21" t="s">
        <v>4837</v>
      </c>
      <c r="D3981" s="25">
        <v>0.0</v>
      </c>
      <c r="E3981" s="27"/>
      <c r="F3981" s="25">
        <v>0.0</v>
      </c>
      <c r="G3981" s="27"/>
    </row>
    <row r="3982" hidden="1">
      <c r="A3982" s="21"/>
      <c r="B3982" s="21" t="s">
        <v>4838</v>
      </c>
      <c r="D3982" s="25">
        <v>0.0</v>
      </c>
      <c r="E3982" s="27"/>
      <c r="F3982" s="25">
        <v>0.0</v>
      </c>
      <c r="G3982" s="27"/>
    </row>
    <row r="3983" hidden="1">
      <c r="A3983" s="21"/>
      <c r="B3983" s="21" t="s">
        <v>4839</v>
      </c>
      <c r="D3983" s="25">
        <v>0.0</v>
      </c>
      <c r="E3983" s="27"/>
      <c r="F3983" s="25">
        <v>0.0</v>
      </c>
      <c r="G3983" s="27"/>
    </row>
    <row r="3984" hidden="1">
      <c r="A3984" s="21"/>
      <c r="B3984" s="21" t="s">
        <v>4840</v>
      </c>
      <c r="D3984" s="25">
        <v>0.0</v>
      </c>
      <c r="E3984" s="27"/>
      <c r="F3984" s="25">
        <v>0.0</v>
      </c>
      <c r="G3984" s="27"/>
    </row>
    <row r="3985" hidden="1">
      <c r="A3985" s="21"/>
      <c r="B3985" s="21" t="s">
        <v>4841</v>
      </c>
      <c r="D3985" s="25">
        <v>0.0</v>
      </c>
      <c r="E3985" s="27"/>
      <c r="F3985" s="25">
        <v>0.0</v>
      </c>
      <c r="G3985" s="27"/>
    </row>
    <row r="3986" hidden="1">
      <c r="A3986" s="21"/>
      <c r="B3986" s="21" t="s">
        <v>613</v>
      </c>
      <c r="D3986" s="25">
        <v>0.0</v>
      </c>
      <c r="E3986" s="27"/>
      <c r="F3986" s="25">
        <v>0.0</v>
      </c>
      <c r="G3986" s="27"/>
    </row>
    <row r="3987" hidden="1">
      <c r="A3987" s="21"/>
      <c r="B3987" s="21" t="s">
        <v>614</v>
      </c>
      <c r="D3987" s="25">
        <v>0.0</v>
      </c>
      <c r="E3987" s="27"/>
      <c r="F3987" s="25">
        <v>0.0</v>
      </c>
      <c r="G3987" s="27"/>
    </row>
    <row r="3988" hidden="1">
      <c r="A3988" s="21"/>
      <c r="B3988" s="21" t="s">
        <v>615</v>
      </c>
      <c r="D3988" s="25">
        <v>0.0</v>
      </c>
      <c r="E3988" s="27"/>
      <c r="F3988" s="25">
        <v>0.0</v>
      </c>
      <c r="G3988" s="27"/>
    </row>
    <row r="3989" hidden="1">
      <c r="A3989" s="21"/>
      <c r="B3989" s="21" t="s">
        <v>616</v>
      </c>
      <c r="D3989" s="25">
        <v>0.0</v>
      </c>
      <c r="E3989" s="27"/>
      <c r="F3989" s="25">
        <v>0.0</v>
      </c>
      <c r="G3989" s="27"/>
    </row>
    <row r="3990" hidden="1">
      <c r="A3990" s="21"/>
      <c r="B3990" s="21" t="s">
        <v>617</v>
      </c>
      <c r="D3990" s="25">
        <v>0.0</v>
      </c>
      <c r="E3990" s="27"/>
      <c r="F3990" s="25">
        <v>0.0</v>
      </c>
      <c r="G3990" s="27"/>
    </row>
    <row r="3991" hidden="1">
      <c r="A3991" s="21"/>
      <c r="B3991" s="21" t="s">
        <v>618</v>
      </c>
      <c r="D3991" s="25">
        <v>0.0</v>
      </c>
      <c r="E3991" s="27"/>
      <c r="F3991" s="25">
        <v>0.0</v>
      </c>
      <c r="G3991" s="27"/>
    </row>
    <row r="3992" hidden="1">
      <c r="A3992" s="21"/>
      <c r="B3992" s="21" t="s">
        <v>619</v>
      </c>
      <c r="D3992" s="25">
        <v>0.0</v>
      </c>
      <c r="E3992" s="27"/>
      <c r="F3992" s="25">
        <v>0.0</v>
      </c>
      <c r="G3992" s="27"/>
    </row>
    <row r="3993" hidden="1">
      <c r="A3993" s="21"/>
      <c r="B3993" s="21" t="s">
        <v>620</v>
      </c>
      <c r="D3993" s="25">
        <v>0.0</v>
      </c>
      <c r="E3993" s="27"/>
      <c r="F3993" s="25">
        <v>0.0</v>
      </c>
      <c r="G3993" s="27"/>
    </row>
    <row r="3994" hidden="1">
      <c r="A3994" s="21"/>
      <c r="B3994" s="21" t="s">
        <v>621</v>
      </c>
      <c r="D3994" s="25">
        <v>0.0</v>
      </c>
      <c r="E3994" s="27"/>
      <c r="F3994" s="25">
        <v>3.2</v>
      </c>
      <c r="G3994" s="27"/>
    </row>
    <row r="3995" hidden="1">
      <c r="A3995" s="21"/>
      <c r="B3995" s="21" t="s">
        <v>622</v>
      </c>
      <c r="D3995" s="25">
        <v>0.0</v>
      </c>
      <c r="E3995" s="27"/>
      <c r="F3995" s="25">
        <v>0.0</v>
      </c>
      <c r="G3995" s="27"/>
    </row>
    <row r="3996" hidden="1">
      <c r="A3996" s="21"/>
      <c r="B3996" s="21" t="s">
        <v>623</v>
      </c>
      <c r="D3996" s="25">
        <v>0.0</v>
      </c>
      <c r="E3996" s="27"/>
      <c r="F3996" s="25">
        <v>0.0</v>
      </c>
      <c r="G3996" s="27"/>
    </row>
    <row r="3997" hidden="1">
      <c r="A3997" s="21"/>
      <c r="B3997" s="21" t="s">
        <v>624</v>
      </c>
      <c r="D3997" s="25">
        <v>0.0</v>
      </c>
      <c r="E3997" s="27"/>
      <c r="F3997" s="25">
        <v>0.0</v>
      </c>
      <c r="G3997" s="27"/>
    </row>
    <row r="3998" hidden="1">
      <c r="A3998" s="21"/>
      <c r="B3998" s="21" t="s">
        <v>625</v>
      </c>
      <c r="D3998" s="25">
        <v>0.0</v>
      </c>
      <c r="E3998" s="27"/>
      <c r="F3998" s="25">
        <v>3.11</v>
      </c>
      <c r="G3998" s="27"/>
    </row>
    <row r="3999" hidden="1">
      <c r="A3999" s="21"/>
      <c r="B3999" s="21" t="s">
        <v>626</v>
      </c>
      <c r="D3999" s="25">
        <v>0.0</v>
      </c>
      <c r="E3999" s="27"/>
      <c r="F3999" s="25">
        <v>0.0</v>
      </c>
      <c r="G3999" s="27"/>
    </row>
    <row r="4000" hidden="1">
      <c r="A4000" s="21"/>
      <c r="B4000" s="21" t="s">
        <v>627</v>
      </c>
      <c r="D4000" s="25">
        <v>0.0</v>
      </c>
      <c r="E4000" s="27"/>
      <c r="F4000" s="25">
        <v>0.0</v>
      </c>
      <c r="G4000" s="27"/>
    </row>
    <row r="4001" hidden="1">
      <c r="A4001" s="21"/>
      <c r="B4001" s="21" t="s">
        <v>628</v>
      </c>
      <c r="D4001" s="25">
        <v>0.0</v>
      </c>
      <c r="E4001" s="27"/>
      <c r="F4001" s="25">
        <v>0.0</v>
      </c>
      <c r="G4001" s="27"/>
    </row>
    <row r="4002" hidden="1">
      <c r="A4002" s="21"/>
      <c r="B4002" s="21" t="s">
        <v>629</v>
      </c>
      <c r="D4002" s="25">
        <v>0.0</v>
      </c>
      <c r="E4002" s="27"/>
      <c r="F4002" s="25">
        <v>0.0</v>
      </c>
      <c r="G4002" s="27"/>
    </row>
    <row r="4003" hidden="1">
      <c r="A4003" s="21"/>
      <c r="B4003" s="21" t="s">
        <v>630</v>
      </c>
      <c r="D4003" s="25">
        <v>0.0</v>
      </c>
      <c r="E4003" s="27"/>
      <c r="F4003" s="25">
        <v>0.0</v>
      </c>
      <c r="G4003" s="27"/>
    </row>
    <row r="4004" hidden="1">
      <c r="A4004" s="21"/>
      <c r="B4004" s="21" t="s">
        <v>631</v>
      </c>
      <c r="D4004" s="25">
        <v>0.0</v>
      </c>
      <c r="E4004" s="27"/>
      <c r="F4004" s="25">
        <v>0.0</v>
      </c>
      <c r="G4004" s="27"/>
    </row>
    <row r="4005" hidden="1">
      <c r="A4005" s="21"/>
      <c r="B4005" s="21" t="s">
        <v>632</v>
      </c>
      <c r="D4005" s="25">
        <v>0.0</v>
      </c>
      <c r="E4005" s="27"/>
      <c r="F4005" s="25">
        <v>0.0</v>
      </c>
      <c r="G4005" s="27"/>
    </row>
    <row r="4006" hidden="1">
      <c r="A4006" s="21"/>
      <c r="B4006" s="21" t="s">
        <v>633</v>
      </c>
      <c r="D4006" s="25">
        <v>0.0</v>
      </c>
      <c r="E4006" s="27"/>
      <c r="F4006" s="25">
        <v>0.0</v>
      </c>
      <c r="G4006" s="27"/>
    </row>
    <row r="4007" hidden="1">
      <c r="A4007" s="21"/>
      <c r="B4007" s="21" t="s">
        <v>634</v>
      </c>
      <c r="D4007" s="25">
        <v>0.0</v>
      </c>
      <c r="E4007" s="27"/>
      <c r="F4007" s="25">
        <v>0.0</v>
      </c>
      <c r="G4007" s="27"/>
    </row>
    <row r="4008" hidden="1">
      <c r="A4008" s="21"/>
      <c r="B4008" s="21" t="s">
        <v>635</v>
      </c>
      <c r="D4008" s="25">
        <v>0.0</v>
      </c>
      <c r="E4008" s="27"/>
      <c r="F4008" s="25">
        <v>0.0</v>
      </c>
      <c r="G4008" s="27"/>
    </row>
    <row r="4009" hidden="1">
      <c r="A4009" s="21"/>
      <c r="B4009" s="21" t="s">
        <v>636</v>
      </c>
      <c r="D4009" s="25">
        <v>0.0</v>
      </c>
      <c r="E4009" s="27"/>
      <c r="F4009" s="25">
        <v>0.0</v>
      </c>
      <c r="G4009" s="27"/>
    </row>
    <row r="4010" hidden="1">
      <c r="A4010" s="21"/>
      <c r="B4010" s="21" t="s">
        <v>637</v>
      </c>
      <c r="D4010" s="25">
        <v>0.0</v>
      </c>
      <c r="E4010" s="27"/>
      <c r="F4010" s="25">
        <v>0.0</v>
      </c>
      <c r="G4010" s="27"/>
    </row>
    <row r="4011" hidden="1">
      <c r="A4011" s="21"/>
      <c r="B4011" s="21" t="s">
        <v>638</v>
      </c>
      <c r="D4011" s="25">
        <v>0.0</v>
      </c>
      <c r="E4011" s="27"/>
      <c r="F4011" s="25">
        <v>0.0</v>
      </c>
      <c r="G4011" s="27"/>
    </row>
    <row r="4012" hidden="1">
      <c r="A4012" s="21"/>
      <c r="B4012" s="21" t="s">
        <v>639</v>
      </c>
      <c r="D4012" s="25">
        <v>0.0</v>
      </c>
      <c r="E4012" s="27"/>
      <c r="F4012" s="25">
        <v>0.0</v>
      </c>
      <c r="G4012" s="27"/>
    </row>
    <row r="4013" hidden="1">
      <c r="A4013" s="21"/>
      <c r="B4013" s="21" t="s">
        <v>640</v>
      </c>
      <c r="D4013" s="25">
        <v>0.0</v>
      </c>
      <c r="E4013" s="27"/>
      <c r="F4013" s="25">
        <v>0.0</v>
      </c>
      <c r="G4013" s="27"/>
    </row>
    <row r="4014" hidden="1">
      <c r="A4014" s="21"/>
      <c r="B4014" s="21" t="s">
        <v>641</v>
      </c>
      <c r="D4014" s="25">
        <v>0.0</v>
      </c>
      <c r="E4014" s="27"/>
      <c r="F4014" s="25">
        <v>0.0</v>
      </c>
      <c r="G4014" s="27"/>
    </row>
    <row r="4015" hidden="1">
      <c r="A4015" s="21"/>
      <c r="B4015" s="21" t="s">
        <v>642</v>
      </c>
      <c r="D4015" s="25">
        <v>0.0</v>
      </c>
      <c r="E4015" s="27"/>
      <c r="F4015" s="25">
        <v>0.0</v>
      </c>
      <c r="G4015" s="27"/>
    </row>
    <row r="4016" hidden="1">
      <c r="A4016" s="21"/>
      <c r="B4016" s="21" t="s">
        <v>643</v>
      </c>
      <c r="D4016" s="25">
        <v>0.0</v>
      </c>
      <c r="E4016" s="27"/>
      <c r="F4016" s="25">
        <v>0.0</v>
      </c>
      <c r="G4016" s="27"/>
    </row>
    <row r="4017" hidden="1">
      <c r="A4017" s="21"/>
      <c r="B4017" s="21" t="s">
        <v>644</v>
      </c>
      <c r="D4017" s="25">
        <v>0.0</v>
      </c>
      <c r="E4017" s="27"/>
      <c r="F4017" s="25">
        <v>0.0</v>
      </c>
      <c r="G4017" s="27"/>
    </row>
    <row r="4018" hidden="1">
      <c r="A4018" s="21"/>
      <c r="B4018" s="21" t="s">
        <v>645</v>
      </c>
      <c r="D4018" s="25">
        <v>0.0</v>
      </c>
      <c r="E4018" s="27"/>
      <c r="F4018" s="25">
        <v>0.0</v>
      </c>
      <c r="G4018" s="27"/>
    </row>
    <row r="4019" hidden="1">
      <c r="A4019" s="21"/>
      <c r="B4019" s="21" t="s">
        <v>4842</v>
      </c>
      <c r="D4019" s="25">
        <v>0.0</v>
      </c>
      <c r="E4019" s="27"/>
      <c r="F4019" s="25">
        <v>0.0</v>
      </c>
      <c r="G4019" s="27"/>
    </row>
    <row r="4020" hidden="1">
      <c r="A4020" s="21"/>
      <c r="B4020" s="21" t="s">
        <v>4843</v>
      </c>
      <c r="D4020" s="25">
        <v>0.0</v>
      </c>
      <c r="E4020" s="27"/>
      <c r="F4020" s="25">
        <v>0.0</v>
      </c>
      <c r="G4020" s="27"/>
    </row>
    <row r="4021" hidden="1">
      <c r="A4021" s="21"/>
      <c r="B4021" s="21" t="s">
        <v>4844</v>
      </c>
      <c r="D4021" s="25">
        <v>0.0</v>
      </c>
      <c r="E4021" s="27"/>
      <c r="F4021" s="25">
        <v>0.0</v>
      </c>
      <c r="G4021" s="27"/>
    </row>
    <row r="4022" hidden="1">
      <c r="A4022" s="21"/>
      <c r="B4022" s="21" t="s">
        <v>4845</v>
      </c>
      <c r="D4022" s="25">
        <v>0.0</v>
      </c>
      <c r="E4022" s="27"/>
      <c r="F4022" s="25">
        <v>0.0</v>
      </c>
      <c r="G4022" s="27"/>
    </row>
    <row r="4023" hidden="1">
      <c r="A4023" s="21"/>
      <c r="B4023" s="21" t="s">
        <v>4846</v>
      </c>
      <c r="D4023" s="25">
        <v>0.0</v>
      </c>
      <c r="E4023" s="27"/>
      <c r="F4023" s="25">
        <v>0.0</v>
      </c>
      <c r="G4023" s="27"/>
    </row>
    <row r="4024" hidden="1">
      <c r="A4024" s="21"/>
      <c r="B4024" s="21" t="s">
        <v>4847</v>
      </c>
      <c r="D4024" s="25">
        <v>0.0</v>
      </c>
      <c r="E4024" s="27"/>
      <c r="F4024" s="25">
        <v>0.0</v>
      </c>
      <c r="G4024" s="27"/>
    </row>
    <row r="4025" hidden="1">
      <c r="A4025" s="21"/>
      <c r="B4025" s="21" t="s">
        <v>4848</v>
      </c>
      <c r="D4025" s="25">
        <v>0.0</v>
      </c>
      <c r="E4025" s="27"/>
      <c r="F4025" s="25">
        <v>0.0</v>
      </c>
      <c r="G4025" s="27"/>
    </row>
    <row r="4026" hidden="1">
      <c r="A4026" s="21"/>
      <c r="B4026" s="21" t="s">
        <v>4849</v>
      </c>
      <c r="D4026" s="25">
        <v>0.0</v>
      </c>
      <c r="E4026" s="27"/>
      <c r="F4026" s="25">
        <v>0.0</v>
      </c>
      <c r="G4026" s="27"/>
    </row>
    <row r="4027" hidden="1">
      <c r="A4027" s="21"/>
      <c r="B4027" s="21" t="s">
        <v>4850</v>
      </c>
      <c r="D4027" s="25">
        <v>0.0</v>
      </c>
      <c r="E4027" s="27"/>
      <c r="F4027" s="25">
        <v>0.0</v>
      </c>
      <c r="G4027" s="27"/>
    </row>
    <row r="4028" hidden="1">
      <c r="A4028" s="21"/>
      <c r="B4028" s="21" t="s">
        <v>4851</v>
      </c>
      <c r="D4028" s="25">
        <v>0.0</v>
      </c>
      <c r="E4028" s="27"/>
      <c r="F4028" s="25">
        <v>0.0</v>
      </c>
      <c r="G4028" s="27"/>
    </row>
    <row r="4029" hidden="1">
      <c r="A4029" s="21"/>
      <c r="B4029" s="21" t="s">
        <v>4852</v>
      </c>
      <c r="D4029" s="25">
        <v>0.0</v>
      </c>
      <c r="E4029" s="27"/>
      <c r="F4029" s="25">
        <v>0.0</v>
      </c>
      <c r="G4029" s="27"/>
    </row>
    <row r="4030" hidden="1">
      <c r="A4030" s="21"/>
      <c r="B4030" s="21" t="s">
        <v>4853</v>
      </c>
      <c r="D4030" s="25">
        <v>0.0</v>
      </c>
      <c r="E4030" s="27"/>
      <c r="F4030" s="25">
        <v>0.0</v>
      </c>
      <c r="G4030" s="27"/>
    </row>
    <row r="4031" hidden="1">
      <c r="A4031" s="21"/>
      <c r="B4031" s="21" t="s">
        <v>4854</v>
      </c>
      <c r="D4031" s="25">
        <v>0.0</v>
      </c>
      <c r="E4031" s="27"/>
      <c r="F4031" s="25">
        <v>0.0</v>
      </c>
      <c r="G4031" s="27"/>
    </row>
    <row r="4032" hidden="1">
      <c r="A4032" s="21"/>
      <c r="B4032" s="21" t="s">
        <v>4855</v>
      </c>
      <c r="D4032" s="25">
        <v>0.0</v>
      </c>
      <c r="E4032" s="27"/>
      <c r="F4032" s="25">
        <v>0.0</v>
      </c>
      <c r="G4032" s="27"/>
    </row>
    <row r="4033" hidden="1">
      <c r="A4033" s="21"/>
      <c r="B4033" s="21" t="s">
        <v>4856</v>
      </c>
      <c r="D4033" s="25">
        <v>0.0</v>
      </c>
      <c r="E4033" s="27"/>
      <c r="F4033" s="25">
        <v>0.0</v>
      </c>
      <c r="G4033" s="27"/>
    </row>
    <row r="4034" hidden="1">
      <c r="A4034" s="21"/>
      <c r="B4034" s="21" t="s">
        <v>4857</v>
      </c>
      <c r="D4034" s="25">
        <v>0.0</v>
      </c>
      <c r="E4034" s="27"/>
      <c r="F4034" s="25">
        <v>0.0</v>
      </c>
      <c r="G4034" s="27"/>
    </row>
    <row r="4035" hidden="1">
      <c r="A4035" s="21"/>
      <c r="B4035" s="21" t="s">
        <v>4858</v>
      </c>
      <c r="D4035" s="25">
        <v>0.0</v>
      </c>
      <c r="E4035" s="27"/>
      <c r="F4035" s="25">
        <v>0.0</v>
      </c>
      <c r="G4035" s="27"/>
    </row>
    <row r="4036" hidden="1">
      <c r="A4036" s="21"/>
      <c r="B4036" s="21" t="s">
        <v>4859</v>
      </c>
      <c r="D4036" s="25">
        <v>0.0</v>
      </c>
      <c r="E4036" s="27"/>
      <c r="F4036" s="25">
        <v>0.0</v>
      </c>
      <c r="G4036" s="27"/>
    </row>
    <row r="4037" hidden="1">
      <c r="A4037" s="21"/>
      <c r="B4037" s="21" t="s">
        <v>4860</v>
      </c>
      <c r="D4037" s="25">
        <v>0.0</v>
      </c>
      <c r="E4037" s="27"/>
      <c r="F4037" s="25">
        <v>0.0</v>
      </c>
      <c r="G4037" s="27"/>
    </row>
    <row r="4038" hidden="1">
      <c r="A4038" s="21"/>
      <c r="B4038" s="21" t="s">
        <v>4861</v>
      </c>
      <c r="D4038" s="25">
        <v>0.0</v>
      </c>
      <c r="E4038" s="27"/>
      <c r="F4038" s="25">
        <v>0.0</v>
      </c>
      <c r="G4038" s="27"/>
    </row>
    <row r="4039" hidden="1">
      <c r="A4039" s="21"/>
      <c r="B4039" s="21" t="s">
        <v>4862</v>
      </c>
      <c r="D4039" s="25">
        <v>0.0</v>
      </c>
      <c r="E4039" s="27"/>
      <c r="F4039" s="25">
        <v>0.0</v>
      </c>
      <c r="G4039" s="27"/>
    </row>
    <row r="4040" hidden="1">
      <c r="A4040" s="21"/>
      <c r="B4040" s="21" t="s">
        <v>4863</v>
      </c>
      <c r="D4040" s="25">
        <v>0.0</v>
      </c>
      <c r="E4040" s="27"/>
      <c r="F4040" s="25">
        <v>0.0</v>
      </c>
      <c r="G4040" s="27"/>
    </row>
    <row r="4041" hidden="1">
      <c r="A4041" s="21"/>
      <c r="B4041" s="21" t="s">
        <v>4864</v>
      </c>
      <c r="D4041" s="25">
        <v>0.0</v>
      </c>
      <c r="E4041" s="27"/>
      <c r="F4041" s="25">
        <v>0.0</v>
      </c>
      <c r="G4041" s="27"/>
    </row>
    <row r="4042" hidden="1">
      <c r="A4042" s="21"/>
      <c r="B4042" s="21" t="s">
        <v>4865</v>
      </c>
      <c r="D4042" s="25">
        <v>0.0</v>
      </c>
      <c r="E4042" s="27"/>
      <c r="F4042" s="25">
        <v>0.0</v>
      </c>
      <c r="G4042" s="27"/>
    </row>
    <row r="4043" hidden="1">
      <c r="A4043" s="21"/>
      <c r="B4043" s="21" t="s">
        <v>4866</v>
      </c>
      <c r="D4043" s="25">
        <v>0.0</v>
      </c>
      <c r="E4043" s="27"/>
      <c r="F4043" s="25">
        <v>0.0</v>
      </c>
      <c r="G4043" s="27"/>
    </row>
    <row r="4044" hidden="1">
      <c r="A4044" s="21"/>
      <c r="B4044" s="21" t="s">
        <v>4867</v>
      </c>
      <c r="D4044" s="25">
        <v>0.0</v>
      </c>
      <c r="E4044" s="27"/>
      <c r="F4044" s="25">
        <v>0.0</v>
      </c>
      <c r="G4044" s="27"/>
    </row>
    <row r="4045" hidden="1">
      <c r="A4045" s="21"/>
      <c r="B4045" s="21" t="s">
        <v>4868</v>
      </c>
      <c r="D4045" s="25">
        <v>0.0</v>
      </c>
      <c r="E4045" s="27"/>
      <c r="F4045" s="25">
        <v>3.31</v>
      </c>
      <c r="G4045" s="27"/>
    </row>
    <row r="4046" hidden="1">
      <c r="A4046" s="21"/>
      <c r="B4046" s="21" t="s">
        <v>4869</v>
      </c>
      <c r="D4046" s="25">
        <v>0.0</v>
      </c>
      <c r="E4046" s="27"/>
      <c r="F4046" s="25">
        <v>0.0</v>
      </c>
      <c r="G4046" s="27"/>
    </row>
    <row r="4047" hidden="1">
      <c r="A4047" s="21"/>
      <c r="B4047" s="21" t="s">
        <v>4870</v>
      </c>
      <c r="D4047" s="25">
        <v>0.0</v>
      </c>
      <c r="E4047" s="27"/>
      <c r="F4047" s="25">
        <v>0.0</v>
      </c>
      <c r="G4047" s="27"/>
    </row>
    <row r="4048" hidden="1">
      <c r="A4048" s="21"/>
      <c r="B4048" s="21" t="s">
        <v>4871</v>
      </c>
      <c r="D4048" s="25">
        <v>0.0</v>
      </c>
      <c r="E4048" s="27"/>
      <c r="F4048" s="25">
        <v>0.0</v>
      </c>
      <c r="G4048" s="27"/>
    </row>
    <row r="4049" hidden="1">
      <c r="A4049" s="21"/>
      <c r="B4049" s="21" t="s">
        <v>4872</v>
      </c>
      <c r="D4049" s="25">
        <v>0.0</v>
      </c>
      <c r="E4049" s="27"/>
      <c r="F4049" s="25">
        <v>0.0</v>
      </c>
      <c r="G4049" s="27"/>
    </row>
    <row r="4050" hidden="1">
      <c r="A4050" s="21"/>
      <c r="B4050" s="21" t="s">
        <v>4873</v>
      </c>
      <c r="D4050" s="25">
        <v>0.0</v>
      </c>
      <c r="E4050" s="27"/>
      <c r="F4050" s="25">
        <v>0.0</v>
      </c>
      <c r="G4050" s="27"/>
    </row>
    <row r="4051" hidden="1">
      <c r="A4051" s="21"/>
      <c r="B4051" s="21" t="s">
        <v>4874</v>
      </c>
      <c r="D4051" s="25">
        <v>0.0</v>
      </c>
      <c r="E4051" s="27"/>
      <c r="F4051" s="25">
        <v>0.0</v>
      </c>
      <c r="G4051" s="27"/>
    </row>
    <row r="4052" hidden="1">
      <c r="A4052" s="21"/>
      <c r="B4052" s="21" t="s">
        <v>4875</v>
      </c>
      <c r="D4052" s="25">
        <v>0.0</v>
      </c>
      <c r="E4052" s="27"/>
      <c r="F4052" s="25">
        <v>0.0</v>
      </c>
      <c r="G4052" s="27"/>
    </row>
    <row r="4053" hidden="1">
      <c r="A4053" s="21"/>
      <c r="B4053" s="21" t="s">
        <v>4876</v>
      </c>
      <c r="D4053" s="25">
        <v>0.0</v>
      </c>
      <c r="E4053" s="27"/>
      <c r="F4053" s="25">
        <v>0.0</v>
      </c>
      <c r="G4053" s="27"/>
    </row>
    <row r="4054" hidden="1">
      <c r="A4054" s="21"/>
      <c r="B4054" s="21" t="s">
        <v>4877</v>
      </c>
      <c r="D4054" s="25">
        <v>0.0</v>
      </c>
      <c r="E4054" s="27"/>
      <c r="F4054" s="25">
        <v>0.0</v>
      </c>
      <c r="G4054" s="27"/>
    </row>
    <row r="4055" hidden="1">
      <c r="A4055" s="21"/>
      <c r="B4055" s="21" t="s">
        <v>4878</v>
      </c>
      <c r="D4055" s="25">
        <v>0.0</v>
      </c>
      <c r="E4055" s="27"/>
      <c r="F4055" s="25">
        <v>0.0</v>
      </c>
      <c r="G4055" s="27"/>
    </row>
    <row r="4056" hidden="1">
      <c r="A4056" s="21"/>
      <c r="B4056" s="21" t="s">
        <v>4879</v>
      </c>
      <c r="D4056" s="25">
        <v>0.0</v>
      </c>
      <c r="E4056" s="27"/>
      <c r="F4056" s="25">
        <v>0.0</v>
      </c>
      <c r="G4056" s="27"/>
    </row>
    <row r="4057" hidden="1">
      <c r="A4057" s="21"/>
      <c r="B4057" s="21" t="s">
        <v>4880</v>
      </c>
      <c r="D4057" s="25">
        <v>0.0</v>
      </c>
      <c r="E4057" s="27"/>
      <c r="F4057" s="25">
        <v>5.92</v>
      </c>
      <c r="G4057" s="27"/>
    </row>
    <row r="4058" hidden="1">
      <c r="A4058" s="21"/>
      <c r="B4058" s="21" t="s">
        <v>4881</v>
      </c>
      <c r="D4058" s="25">
        <v>0.0</v>
      </c>
      <c r="E4058" s="27"/>
      <c r="F4058" s="25">
        <v>0.0</v>
      </c>
      <c r="G4058" s="27"/>
    </row>
    <row r="4059" hidden="1">
      <c r="A4059" s="21"/>
      <c r="B4059" s="21" t="s">
        <v>4882</v>
      </c>
      <c r="D4059" s="25">
        <v>0.0</v>
      </c>
      <c r="E4059" s="27"/>
      <c r="F4059" s="25">
        <v>5.92</v>
      </c>
      <c r="G4059" s="27"/>
    </row>
    <row r="4060" hidden="1">
      <c r="A4060" s="21"/>
      <c r="B4060" s="21" t="s">
        <v>4883</v>
      </c>
      <c r="D4060" s="25">
        <v>0.0</v>
      </c>
      <c r="E4060" s="27"/>
      <c r="F4060" s="25">
        <v>0.0</v>
      </c>
      <c r="G4060" s="27"/>
    </row>
    <row r="4061" hidden="1">
      <c r="A4061" s="21"/>
      <c r="B4061" s="21" t="s">
        <v>4884</v>
      </c>
      <c r="D4061" s="25">
        <v>0.0</v>
      </c>
      <c r="E4061" s="27"/>
      <c r="F4061" s="25">
        <v>0.0</v>
      </c>
      <c r="G4061" s="27"/>
    </row>
    <row r="4062" hidden="1">
      <c r="A4062" s="21"/>
      <c r="B4062" s="21" t="s">
        <v>4885</v>
      </c>
      <c r="D4062" s="25">
        <v>0.0</v>
      </c>
      <c r="E4062" s="27"/>
      <c r="F4062" s="25">
        <v>0.0</v>
      </c>
      <c r="G4062" s="27"/>
    </row>
    <row r="4063" hidden="1">
      <c r="A4063" s="21"/>
      <c r="B4063" s="21" t="s">
        <v>4886</v>
      </c>
      <c r="D4063" s="25">
        <v>0.0</v>
      </c>
      <c r="E4063" s="27"/>
      <c r="F4063" s="25">
        <v>0.0</v>
      </c>
      <c r="G4063" s="27"/>
    </row>
    <row r="4064" hidden="1">
      <c r="A4064" s="21"/>
      <c r="B4064" s="21" t="s">
        <v>4887</v>
      </c>
      <c r="D4064" s="25">
        <v>0.0</v>
      </c>
      <c r="E4064" s="27"/>
      <c r="F4064" s="25">
        <v>3.37</v>
      </c>
      <c r="G4064" s="27"/>
    </row>
    <row r="4065" hidden="1">
      <c r="A4065" s="21"/>
      <c r="B4065" s="21" t="s">
        <v>4888</v>
      </c>
      <c r="D4065" s="25">
        <v>0.0</v>
      </c>
      <c r="E4065" s="27"/>
      <c r="F4065" s="25">
        <v>0.0</v>
      </c>
      <c r="G4065" s="27"/>
    </row>
    <row r="4066" hidden="1">
      <c r="A4066" s="21"/>
      <c r="B4066" s="21" t="s">
        <v>4889</v>
      </c>
      <c r="D4066" s="25">
        <v>0.0</v>
      </c>
      <c r="E4066" s="27"/>
      <c r="F4066" s="25">
        <v>0.0</v>
      </c>
      <c r="G4066" s="27"/>
    </row>
    <row r="4067" hidden="1">
      <c r="A4067" s="21"/>
      <c r="B4067" s="21" t="s">
        <v>4890</v>
      </c>
      <c r="D4067" s="25">
        <v>0.0</v>
      </c>
      <c r="E4067" s="27"/>
      <c r="F4067" s="25">
        <v>0.0</v>
      </c>
      <c r="G4067" s="27"/>
    </row>
    <row r="4068" hidden="1">
      <c r="A4068" s="21"/>
      <c r="B4068" s="21" t="s">
        <v>4891</v>
      </c>
      <c r="D4068" s="25">
        <v>0.0</v>
      </c>
      <c r="E4068" s="27"/>
      <c r="F4068" s="25">
        <v>0.0</v>
      </c>
      <c r="G4068" s="27"/>
    </row>
    <row r="4069" hidden="1">
      <c r="A4069" s="21"/>
      <c r="B4069" s="21" t="s">
        <v>4892</v>
      </c>
      <c r="D4069" s="25">
        <v>0.0</v>
      </c>
      <c r="E4069" s="27"/>
      <c r="F4069" s="25">
        <v>0.0</v>
      </c>
      <c r="G4069" s="27"/>
    </row>
    <row r="4070" hidden="1">
      <c r="A4070" s="21"/>
      <c r="B4070" s="21" t="s">
        <v>4893</v>
      </c>
      <c r="D4070" s="25">
        <v>0.0</v>
      </c>
      <c r="E4070" s="27"/>
      <c r="F4070" s="25">
        <v>0.0</v>
      </c>
      <c r="G4070" s="27"/>
    </row>
    <row r="4071" hidden="1">
      <c r="A4071" s="21"/>
      <c r="B4071" s="21" t="s">
        <v>4894</v>
      </c>
      <c r="D4071" s="25">
        <v>0.0</v>
      </c>
      <c r="E4071" s="27"/>
      <c r="F4071" s="25">
        <v>0.0</v>
      </c>
      <c r="G4071" s="27"/>
    </row>
    <row r="4072" hidden="1">
      <c r="A4072" s="21"/>
      <c r="B4072" s="21" t="s">
        <v>4895</v>
      </c>
      <c r="D4072" s="25">
        <v>0.0</v>
      </c>
      <c r="E4072" s="27"/>
      <c r="F4072" s="25">
        <v>0.0</v>
      </c>
      <c r="G4072" s="27"/>
    </row>
    <row r="4073" hidden="1">
      <c r="A4073" s="21"/>
      <c r="B4073" s="21" t="s">
        <v>4896</v>
      </c>
      <c r="D4073" s="25">
        <v>0.0</v>
      </c>
      <c r="E4073" s="27"/>
      <c r="F4073" s="25">
        <v>0.0</v>
      </c>
      <c r="G4073" s="27"/>
    </row>
    <row r="4074" hidden="1">
      <c r="A4074" s="21"/>
      <c r="B4074" s="21" t="s">
        <v>4897</v>
      </c>
      <c r="D4074" s="25">
        <v>0.0</v>
      </c>
      <c r="E4074" s="27"/>
      <c r="F4074" s="25">
        <v>0.0</v>
      </c>
      <c r="G4074" s="27"/>
    </row>
    <row r="4075" hidden="1">
      <c r="A4075" s="21"/>
      <c r="B4075" s="21" t="s">
        <v>4898</v>
      </c>
      <c r="D4075" s="25">
        <v>0.0</v>
      </c>
      <c r="E4075" s="27"/>
      <c r="F4075" s="25">
        <v>0.0</v>
      </c>
      <c r="G4075" s="27"/>
    </row>
    <row r="4076" hidden="1">
      <c r="A4076" s="21"/>
      <c r="B4076" s="21" t="s">
        <v>4899</v>
      </c>
      <c r="D4076" s="25">
        <v>0.0</v>
      </c>
      <c r="E4076" s="27"/>
      <c r="F4076" s="25">
        <v>0.0</v>
      </c>
      <c r="G4076" s="27"/>
    </row>
    <row r="4077" hidden="1">
      <c r="A4077" s="21"/>
      <c r="B4077" s="21" t="s">
        <v>4900</v>
      </c>
      <c r="D4077" s="25">
        <v>0.0</v>
      </c>
      <c r="E4077" s="27"/>
      <c r="F4077" s="25">
        <v>0.0</v>
      </c>
      <c r="G4077" s="27"/>
    </row>
    <row r="4078" hidden="1">
      <c r="A4078" s="21"/>
      <c r="B4078" s="21" t="s">
        <v>4901</v>
      </c>
      <c r="D4078" s="25">
        <v>0.0</v>
      </c>
      <c r="E4078" s="27"/>
      <c r="F4078" s="25">
        <v>0.0</v>
      </c>
      <c r="G4078" s="27"/>
    </row>
    <row r="4079" hidden="1">
      <c r="A4079" s="21"/>
      <c r="B4079" s="21" t="s">
        <v>4902</v>
      </c>
      <c r="D4079" s="25">
        <v>0.0</v>
      </c>
      <c r="E4079" s="27"/>
      <c r="F4079" s="25">
        <v>0.0</v>
      </c>
      <c r="G4079" s="27"/>
    </row>
    <row r="4080" hidden="1">
      <c r="A4080" s="21"/>
      <c r="B4080" s="21" t="s">
        <v>4903</v>
      </c>
      <c r="D4080" s="25">
        <v>0.0</v>
      </c>
      <c r="E4080" s="27"/>
      <c r="F4080" s="25">
        <v>0.0</v>
      </c>
      <c r="G4080" s="27"/>
    </row>
    <row r="4081" hidden="1">
      <c r="A4081" s="21"/>
      <c r="B4081" s="21" t="s">
        <v>4904</v>
      </c>
      <c r="D4081" s="25">
        <v>0.0</v>
      </c>
      <c r="E4081" s="27"/>
      <c r="F4081" s="25">
        <v>0.0</v>
      </c>
      <c r="G4081" s="27"/>
    </row>
    <row r="4082" hidden="1">
      <c r="A4082" s="21"/>
      <c r="B4082" s="21" t="s">
        <v>4905</v>
      </c>
      <c r="D4082" s="25">
        <v>0.0</v>
      </c>
      <c r="E4082" s="27"/>
      <c r="F4082" s="25">
        <v>0.0</v>
      </c>
      <c r="G4082" s="27"/>
    </row>
    <row r="4083" hidden="1">
      <c r="A4083" s="21"/>
      <c r="B4083" s="21" t="s">
        <v>4906</v>
      </c>
      <c r="D4083" s="25">
        <v>0.0</v>
      </c>
      <c r="E4083" s="27"/>
      <c r="F4083" s="25">
        <v>0.0</v>
      </c>
      <c r="G4083" s="27"/>
    </row>
    <row r="4084" hidden="1">
      <c r="A4084" s="21"/>
      <c r="B4084" s="21" t="s">
        <v>4907</v>
      </c>
      <c r="D4084" s="25">
        <v>0.0</v>
      </c>
      <c r="E4084" s="27"/>
      <c r="F4084" s="25">
        <v>0.0</v>
      </c>
      <c r="G4084" s="27"/>
    </row>
    <row r="4085" hidden="1">
      <c r="A4085" s="21"/>
      <c r="B4085" s="21" t="s">
        <v>4908</v>
      </c>
      <c r="D4085" s="25">
        <v>0.0</v>
      </c>
      <c r="E4085" s="27"/>
      <c r="F4085" s="25">
        <v>0.0</v>
      </c>
      <c r="G4085" s="27"/>
    </row>
    <row r="4086" hidden="1">
      <c r="A4086" s="21"/>
      <c r="B4086" s="21" t="s">
        <v>4909</v>
      </c>
      <c r="D4086" s="25">
        <v>0.0</v>
      </c>
      <c r="E4086" s="27"/>
      <c r="F4086" s="25">
        <v>0.0</v>
      </c>
      <c r="G4086" s="27"/>
    </row>
    <row r="4087" hidden="1">
      <c r="A4087" s="21"/>
      <c r="B4087" s="21" t="s">
        <v>4910</v>
      </c>
      <c r="D4087" s="25">
        <v>0.0</v>
      </c>
      <c r="E4087" s="27"/>
      <c r="F4087" s="25">
        <v>0.0</v>
      </c>
      <c r="G4087" s="27"/>
    </row>
    <row r="4088" hidden="1">
      <c r="A4088" s="21"/>
      <c r="B4088" s="21" t="s">
        <v>4911</v>
      </c>
      <c r="D4088" s="25">
        <v>0.0</v>
      </c>
      <c r="E4088" s="27"/>
      <c r="F4088" s="25">
        <v>0.0</v>
      </c>
      <c r="G4088" s="27"/>
    </row>
    <row r="4089" hidden="1">
      <c r="A4089" s="21"/>
      <c r="B4089" s="21" t="s">
        <v>4912</v>
      </c>
      <c r="D4089" s="25">
        <v>0.0</v>
      </c>
      <c r="E4089" s="27"/>
      <c r="F4089" s="25">
        <v>0.0</v>
      </c>
      <c r="G4089" s="27"/>
    </row>
    <row r="4090" hidden="1">
      <c r="A4090" s="21"/>
      <c r="B4090" s="21" t="s">
        <v>4913</v>
      </c>
      <c r="D4090" s="25">
        <v>0.0</v>
      </c>
      <c r="E4090" s="27"/>
      <c r="F4090" s="25">
        <v>0.0</v>
      </c>
      <c r="G4090" s="27"/>
    </row>
    <row r="4091" hidden="1">
      <c r="A4091" s="21"/>
      <c r="B4091" s="21" t="s">
        <v>4914</v>
      </c>
      <c r="D4091" s="25">
        <v>0.0</v>
      </c>
      <c r="E4091" s="27"/>
      <c r="F4091" s="25">
        <v>0.0</v>
      </c>
      <c r="G4091" s="27"/>
    </row>
    <row r="4092" hidden="1">
      <c r="A4092" s="21"/>
      <c r="B4092" s="21" t="s">
        <v>4915</v>
      </c>
      <c r="D4092" s="25">
        <v>0.0</v>
      </c>
      <c r="E4092" s="27"/>
      <c r="F4092" s="25">
        <v>0.0</v>
      </c>
      <c r="G4092" s="27"/>
    </row>
    <row r="4093" hidden="1">
      <c r="A4093" s="21"/>
      <c r="B4093" s="21" t="s">
        <v>4916</v>
      </c>
      <c r="D4093" s="25">
        <v>0.0</v>
      </c>
      <c r="E4093" s="27"/>
      <c r="F4093" s="25">
        <v>0.0</v>
      </c>
      <c r="G4093" s="27"/>
    </row>
    <row r="4094" hidden="1">
      <c r="A4094" s="21"/>
      <c r="B4094" s="21" t="s">
        <v>4917</v>
      </c>
      <c r="D4094" s="25">
        <v>0.0</v>
      </c>
      <c r="E4094" s="27"/>
      <c r="F4094" s="25">
        <v>0.0</v>
      </c>
      <c r="G4094" s="27"/>
    </row>
    <row r="4095" hidden="1">
      <c r="A4095" s="21"/>
      <c r="B4095" s="21" t="s">
        <v>4918</v>
      </c>
      <c r="D4095" s="25">
        <v>0.0</v>
      </c>
      <c r="E4095" s="27"/>
      <c r="F4095" s="25">
        <v>0.0</v>
      </c>
      <c r="G4095" s="27"/>
    </row>
    <row r="4096" hidden="1">
      <c r="A4096" s="21"/>
      <c r="B4096" s="21" t="s">
        <v>4919</v>
      </c>
      <c r="D4096" s="25">
        <v>0.0</v>
      </c>
      <c r="E4096" s="27"/>
      <c r="F4096" s="25">
        <v>0.0</v>
      </c>
      <c r="G4096" s="27"/>
    </row>
    <row r="4097" hidden="1">
      <c r="A4097" s="21"/>
      <c r="B4097" s="21" t="s">
        <v>4920</v>
      </c>
      <c r="D4097" s="25">
        <v>0.0</v>
      </c>
      <c r="E4097" s="27"/>
      <c r="F4097" s="25">
        <v>0.0</v>
      </c>
      <c r="G4097" s="27"/>
    </row>
    <row r="4098" hidden="1">
      <c r="A4098" s="21"/>
      <c r="B4098" s="21" t="s">
        <v>4921</v>
      </c>
      <c r="D4098" s="25">
        <v>0.0</v>
      </c>
      <c r="E4098" s="27"/>
      <c r="F4098" s="25">
        <v>0.0</v>
      </c>
      <c r="G4098" s="27"/>
    </row>
    <row r="4099" hidden="1">
      <c r="A4099" s="21"/>
      <c r="B4099" s="21" t="s">
        <v>4922</v>
      </c>
      <c r="D4099" s="25">
        <v>0.0</v>
      </c>
      <c r="E4099" s="27"/>
      <c r="F4099" s="25">
        <v>0.0</v>
      </c>
      <c r="G4099" s="27"/>
    </row>
    <row r="4100" hidden="1">
      <c r="A4100" s="21"/>
      <c r="B4100" s="21" t="s">
        <v>4923</v>
      </c>
      <c r="D4100" s="25">
        <v>0.0</v>
      </c>
      <c r="E4100" s="27"/>
      <c r="F4100" s="25">
        <v>0.0</v>
      </c>
      <c r="G4100" s="27"/>
    </row>
    <row r="4101" hidden="1">
      <c r="A4101" s="21"/>
      <c r="B4101" s="21" t="s">
        <v>4924</v>
      </c>
      <c r="D4101" s="25">
        <v>0.0</v>
      </c>
      <c r="E4101" s="27"/>
      <c r="F4101" s="25">
        <v>0.0</v>
      </c>
      <c r="G4101" s="27"/>
    </row>
    <row r="4102" hidden="1">
      <c r="A4102" s="21"/>
      <c r="B4102" s="21" t="s">
        <v>4925</v>
      </c>
      <c r="D4102" s="25">
        <v>0.0</v>
      </c>
      <c r="E4102" s="27"/>
      <c r="F4102" s="25">
        <v>0.0</v>
      </c>
      <c r="G4102" s="27"/>
    </row>
    <row r="4103" hidden="1">
      <c r="A4103" s="21"/>
      <c r="B4103" s="21" t="s">
        <v>4926</v>
      </c>
      <c r="D4103" s="25">
        <v>0.0</v>
      </c>
      <c r="E4103" s="27"/>
      <c r="F4103" s="25">
        <v>0.0</v>
      </c>
      <c r="G4103" s="27"/>
    </row>
    <row r="4104" hidden="1">
      <c r="A4104" s="21"/>
      <c r="B4104" s="21" t="s">
        <v>4927</v>
      </c>
      <c r="D4104" s="25">
        <v>0.0</v>
      </c>
      <c r="E4104" s="27"/>
      <c r="F4104" s="25">
        <v>0.0</v>
      </c>
      <c r="G4104" s="27"/>
    </row>
    <row r="4105" hidden="1">
      <c r="A4105" s="21"/>
      <c r="B4105" s="21" t="s">
        <v>4928</v>
      </c>
      <c r="D4105" s="25">
        <v>0.0</v>
      </c>
      <c r="E4105" s="27"/>
      <c r="F4105" s="25">
        <v>0.0</v>
      </c>
      <c r="G4105" s="27"/>
    </row>
    <row r="4106" hidden="1">
      <c r="A4106" s="21"/>
      <c r="B4106" s="21" t="s">
        <v>4929</v>
      </c>
      <c r="D4106" s="25">
        <v>0.0</v>
      </c>
      <c r="E4106" s="27"/>
      <c r="F4106" s="25">
        <v>0.0</v>
      </c>
      <c r="G4106" s="27"/>
    </row>
    <row r="4107" hidden="1">
      <c r="A4107" s="21"/>
      <c r="B4107" s="21" t="s">
        <v>4930</v>
      </c>
      <c r="D4107" s="25">
        <v>0.0</v>
      </c>
      <c r="E4107" s="27"/>
      <c r="F4107" s="25">
        <v>0.0</v>
      </c>
      <c r="G4107" s="27"/>
    </row>
    <row r="4108" hidden="1">
      <c r="A4108" s="21"/>
      <c r="B4108" s="21" t="s">
        <v>4931</v>
      </c>
      <c r="D4108" s="25">
        <v>0.0</v>
      </c>
      <c r="E4108" s="27"/>
      <c r="F4108" s="25">
        <v>0.0</v>
      </c>
      <c r="G4108" s="27"/>
    </row>
    <row r="4109" hidden="1">
      <c r="A4109" s="21"/>
      <c r="B4109" s="21" t="s">
        <v>4932</v>
      </c>
      <c r="D4109" s="25">
        <v>0.0</v>
      </c>
      <c r="E4109" s="27"/>
      <c r="F4109" s="25">
        <v>0.0</v>
      </c>
      <c r="G4109" s="27"/>
    </row>
    <row r="4110" hidden="1">
      <c r="A4110" s="21"/>
      <c r="B4110" s="21" t="s">
        <v>4933</v>
      </c>
      <c r="D4110" s="25">
        <v>0.0</v>
      </c>
      <c r="E4110" s="27"/>
      <c r="F4110" s="25">
        <v>0.0</v>
      </c>
      <c r="G4110" s="27"/>
    </row>
    <row r="4111" hidden="1">
      <c r="A4111" s="21"/>
      <c r="B4111" s="21" t="s">
        <v>4934</v>
      </c>
      <c r="D4111" s="25">
        <v>0.0</v>
      </c>
      <c r="E4111" s="27"/>
      <c r="F4111" s="25">
        <v>0.0</v>
      </c>
      <c r="G4111" s="27"/>
    </row>
    <row r="4112" hidden="1">
      <c r="A4112" s="21"/>
      <c r="B4112" s="21" t="s">
        <v>4935</v>
      </c>
      <c r="D4112" s="25">
        <v>0.0</v>
      </c>
      <c r="E4112" s="27"/>
      <c r="F4112" s="25">
        <v>0.0</v>
      </c>
      <c r="G4112" s="27"/>
    </row>
    <row r="4113" hidden="1">
      <c r="A4113" s="21"/>
      <c r="B4113" s="21" t="s">
        <v>4936</v>
      </c>
      <c r="D4113" s="25">
        <v>0.0</v>
      </c>
      <c r="E4113" s="27"/>
      <c r="F4113" s="25">
        <v>0.0</v>
      </c>
      <c r="G4113" s="27"/>
    </row>
    <row r="4114" hidden="1">
      <c r="A4114" s="21"/>
      <c r="B4114" s="21" t="s">
        <v>4937</v>
      </c>
      <c r="D4114" s="25">
        <v>0.0</v>
      </c>
      <c r="E4114" s="27"/>
      <c r="F4114" s="25">
        <v>0.0</v>
      </c>
      <c r="G4114" s="27"/>
    </row>
    <row r="4115" hidden="1">
      <c r="A4115" s="21"/>
      <c r="B4115" s="21" t="s">
        <v>4938</v>
      </c>
      <c r="D4115" s="25">
        <v>0.0</v>
      </c>
      <c r="E4115" s="27"/>
      <c r="F4115" s="25">
        <v>0.0</v>
      </c>
      <c r="G4115" s="27"/>
    </row>
    <row r="4116" hidden="1">
      <c r="A4116" s="21"/>
      <c r="B4116" s="21" t="s">
        <v>4939</v>
      </c>
      <c r="D4116" s="25">
        <v>0.0</v>
      </c>
      <c r="E4116" s="27"/>
      <c r="F4116" s="25">
        <v>0.0</v>
      </c>
      <c r="G4116" s="27"/>
    </row>
    <row r="4117" hidden="1">
      <c r="A4117" s="21"/>
      <c r="B4117" s="21" t="s">
        <v>4940</v>
      </c>
      <c r="D4117" s="25">
        <v>0.0</v>
      </c>
      <c r="E4117" s="27"/>
      <c r="F4117" s="25">
        <v>0.0</v>
      </c>
      <c r="G4117" s="27"/>
    </row>
    <row r="4118" hidden="1">
      <c r="A4118" s="21"/>
      <c r="B4118" s="21" t="s">
        <v>4941</v>
      </c>
      <c r="D4118" s="25">
        <v>0.0</v>
      </c>
      <c r="E4118" s="27"/>
      <c r="F4118" s="25">
        <v>0.0</v>
      </c>
      <c r="G4118" s="27"/>
    </row>
    <row r="4119" hidden="1">
      <c r="A4119" s="21"/>
      <c r="B4119" s="21" t="s">
        <v>4942</v>
      </c>
      <c r="D4119" s="25">
        <v>0.0</v>
      </c>
      <c r="E4119" s="27"/>
      <c r="F4119" s="25">
        <v>0.0</v>
      </c>
      <c r="G4119" s="27"/>
    </row>
    <row r="4120" hidden="1">
      <c r="A4120" s="21"/>
      <c r="B4120" s="21" t="s">
        <v>4943</v>
      </c>
      <c r="D4120" s="25">
        <v>0.0</v>
      </c>
      <c r="E4120" s="27"/>
      <c r="F4120" s="25">
        <v>3.7</v>
      </c>
      <c r="G4120" s="27"/>
    </row>
    <row r="4121" hidden="1">
      <c r="A4121" s="21"/>
      <c r="B4121" s="21" t="s">
        <v>4944</v>
      </c>
      <c r="D4121" s="25">
        <v>0.0</v>
      </c>
      <c r="E4121" s="27"/>
      <c r="F4121" s="25">
        <v>3.7</v>
      </c>
      <c r="G4121" s="27"/>
    </row>
    <row r="4122" hidden="1">
      <c r="A4122" s="21"/>
      <c r="B4122" s="21" t="s">
        <v>4945</v>
      </c>
      <c r="D4122" s="25">
        <v>0.0</v>
      </c>
      <c r="E4122" s="27"/>
      <c r="F4122" s="25">
        <v>0.0</v>
      </c>
      <c r="G4122" s="27"/>
    </row>
    <row r="4123" hidden="1">
      <c r="A4123" s="21"/>
      <c r="B4123" s="21" t="s">
        <v>4946</v>
      </c>
      <c r="D4123" s="25">
        <v>0.0</v>
      </c>
      <c r="E4123" s="27"/>
      <c r="F4123" s="25">
        <v>0.0</v>
      </c>
      <c r="G4123" s="27"/>
    </row>
    <row r="4124" hidden="1">
      <c r="A4124" s="21"/>
      <c r="B4124" s="21" t="s">
        <v>4947</v>
      </c>
      <c r="D4124" s="25">
        <v>0.0</v>
      </c>
      <c r="E4124" s="27"/>
      <c r="F4124" s="25">
        <v>0.0</v>
      </c>
      <c r="G4124" s="27"/>
    </row>
    <row r="4125" hidden="1">
      <c r="A4125" s="21"/>
      <c r="B4125" s="21" t="s">
        <v>4948</v>
      </c>
      <c r="D4125" s="25">
        <v>0.0</v>
      </c>
      <c r="E4125" s="27"/>
      <c r="F4125" s="25">
        <v>0.0</v>
      </c>
      <c r="G4125" s="27"/>
    </row>
    <row r="4126" hidden="1">
      <c r="A4126" s="21"/>
      <c r="B4126" s="21" t="s">
        <v>4949</v>
      </c>
      <c r="D4126" s="25">
        <v>0.0</v>
      </c>
      <c r="E4126" s="27"/>
      <c r="F4126" s="25">
        <v>0.0</v>
      </c>
      <c r="G4126" s="27"/>
    </row>
    <row r="4127" hidden="1">
      <c r="A4127" s="21"/>
      <c r="B4127" s="21" t="s">
        <v>4950</v>
      </c>
      <c r="D4127" s="25">
        <v>0.0</v>
      </c>
      <c r="E4127" s="27"/>
      <c r="F4127" s="25">
        <v>0.0</v>
      </c>
      <c r="G4127" s="27"/>
    </row>
    <row r="4128" hidden="1">
      <c r="A4128" s="21"/>
      <c r="B4128" s="21" t="s">
        <v>4951</v>
      </c>
      <c r="D4128" s="25">
        <v>0.0</v>
      </c>
      <c r="E4128" s="27"/>
      <c r="F4128" s="25">
        <v>0.0</v>
      </c>
      <c r="G4128" s="27"/>
    </row>
    <row r="4129" hidden="1">
      <c r="A4129" s="21"/>
      <c r="B4129" s="21" t="s">
        <v>4952</v>
      </c>
      <c r="D4129" s="25">
        <v>0.0</v>
      </c>
      <c r="E4129" s="27"/>
      <c r="F4129" s="25">
        <v>3.7</v>
      </c>
      <c r="G4129" s="27"/>
    </row>
    <row r="4130" hidden="1">
      <c r="A4130" s="21"/>
      <c r="B4130" s="21" t="s">
        <v>4953</v>
      </c>
      <c r="D4130" s="25">
        <v>0.0</v>
      </c>
      <c r="E4130" s="27"/>
      <c r="F4130" s="25">
        <v>0.0</v>
      </c>
      <c r="G4130" s="27"/>
    </row>
    <row r="4131" hidden="1">
      <c r="A4131" s="21"/>
      <c r="B4131" s="21" t="s">
        <v>4954</v>
      </c>
      <c r="D4131" s="25">
        <v>0.0</v>
      </c>
      <c r="E4131" s="27"/>
      <c r="F4131" s="25">
        <v>0.0</v>
      </c>
      <c r="G4131" s="27"/>
    </row>
    <row r="4132" hidden="1">
      <c r="A4132" s="21"/>
      <c r="B4132" s="21" t="s">
        <v>4955</v>
      </c>
      <c r="D4132" s="25">
        <v>0.0</v>
      </c>
      <c r="E4132" s="27"/>
      <c r="F4132" s="25">
        <v>0.0</v>
      </c>
      <c r="G4132" s="27"/>
    </row>
    <row r="4133" hidden="1">
      <c r="A4133" s="21"/>
      <c r="B4133" s="21" t="s">
        <v>4956</v>
      </c>
      <c r="D4133" s="25">
        <v>0.0</v>
      </c>
      <c r="E4133" s="27"/>
      <c r="F4133" s="25">
        <v>0.0</v>
      </c>
      <c r="G4133" s="27"/>
    </row>
    <row r="4134" hidden="1">
      <c r="A4134" s="21"/>
      <c r="B4134" s="21" t="s">
        <v>4957</v>
      </c>
      <c r="D4134" s="25">
        <v>0.0</v>
      </c>
      <c r="E4134" s="27"/>
      <c r="F4134" s="25">
        <v>0.0</v>
      </c>
      <c r="G4134" s="27"/>
    </row>
    <row r="4135" hidden="1">
      <c r="A4135" s="21"/>
      <c r="B4135" s="21" t="s">
        <v>4958</v>
      </c>
      <c r="D4135" s="25">
        <v>0.0</v>
      </c>
      <c r="E4135" s="27"/>
      <c r="F4135" s="25">
        <v>0.0</v>
      </c>
      <c r="G4135" s="27"/>
    </row>
    <row r="4136" hidden="1">
      <c r="A4136" s="21"/>
      <c r="B4136" s="21" t="s">
        <v>4959</v>
      </c>
      <c r="D4136" s="25">
        <v>0.0</v>
      </c>
      <c r="E4136" s="27"/>
      <c r="F4136" s="25">
        <v>0.0</v>
      </c>
      <c r="G4136" s="27"/>
    </row>
    <row r="4137" hidden="1">
      <c r="A4137" s="21"/>
      <c r="B4137" s="21" t="s">
        <v>4960</v>
      </c>
      <c r="D4137" s="25">
        <v>0.0</v>
      </c>
      <c r="E4137" s="27"/>
      <c r="F4137" s="25">
        <v>0.0</v>
      </c>
      <c r="G4137" s="27"/>
    </row>
    <row r="4138" hidden="1">
      <c r="A4138" s="21"/>
      <c r="B4138" s="21" t="s">
        <v>4961</v>
      </c>
      <c r="D4138" s="25">
        <v>0.0</v>
      </c>
      <c r="E4138" s="27"/>
      <c r="F4138" s="25">
        <v>0.0</v>
      </c>
      <c r="G4138" s="27"/>
    </row>
    <row r="4139" hidden="1">
      <c r="A4139" s="21"/>
      <c r="B4139" s="21" t="s">
        <v>4962</v>
      </c>
      <c r="D4139" s="25">
        <v>0.0</v>
      </c>
      <c r="E4139" s="27"/>
      <c r="F4139" s="25">
        <v>0.0</v>
      </c>
      <c r="G4139" s="27"/>
    </row>
    <row r="4140" hidden="1">
      <c r="A4140" s="21"/>
      <c r="B4140" s="21" t="s">
        <v>4963</v>
      </c>
      <c r="D4140" s="25">
        <v>0.0</v>
      </c>
      <c r="E4140" s="27"/>
      <c r="F4140" s="25">
        <v>0.0</v>
      </c>
      <c r="G4140" s="27"/>
    </row>
    <row r="4141" hidden="1">
      <c r="A4141" s="21"/>
      <c r="B4141" s="21" t="s">
        <v>4964</v>
      </c>
      <c r="D4141" s="25">
        <v>0.0</v>
      </c>
      <c r="E4141" s="27"/>
      <c r="F4141" s="25">
        <v>0.0</v>
      </c>
      <c r="G4141" s="27"/>
    </row>
    <row r="4142" hidden="1">
      <c r="A4142" s="21"/>
      <c r="B4142" s="21" t="s">
        <v>4965</v>
      </c>
      <c r="D4142" s="25">
        <v>0.0</v>
      </c>
      <c r="E4142" s="27"/>
      <c r="F4142" s="25">
        <v>0.0</v>
      </c>
      <c r="G4142" s="27"/>
    </row>
    <row r="4143" hidden="1">
      <c r="A4143" s="21"/>
      <c r="B4143" s="21" t="s">
        <v>4966</v>
      </c>
      <c r="D4143" s="25">
        <v>0.0</v>
      </c>
      <c r="E4143" s="27"/>
      <c r="F4143" s="25">
        <v>0.0</v>
      </c>
      <c r="G4143" s="27"/>
    </row>
    <row r="4144" hidden="1">
      <c r="A4144" s="21"/>
      <c r="B4144" s="21" t="s">
        <v>4967</v>
      </c>
      <c r="D4144" s="25">
        <v>0.0</v>
      </c>
      <c r="E4144" s="27"/>
      <c r="F4144" s="25">
        <v>0.0</v>
      </c>
      <c r="G4144" s="27"/>
    </row>
    <row r="4145" hidden="1">
      <c r="A4145" s="21"/>
      <c r="B4145" s="21" t="s">
        <v>4968</v>
      </c>
      <c r="D4145" s="25">
        <v>0.0</v>
      </c>
      <c r="E4145" s="27"/>
      <c r="F4145" s="25">
        <v>0.0</v>
      </c>
      <c r="G4145" s="27"/>
    </row>
    <row r="4146" hidden="1">
      <c r="A4146" s="21"/>
      <c r="B4146" s="21" t="s">
        <v>4969</v>
      </c>
      <c r="D4146" s="25">
        <v>0.0</v>
      </c>
      <c r="E4146" s="27"/>
      <c r="F4146" s="25">
        <v>0.0</v>
      </c>
      <c r="G4146" s="27"/>
    </row>
    <row r="4147" hidden="1">
      <c r="A4147" s="21"/>
      <c r="B4147" s="21" t="s">
        <v>4970</v>
      </c>
      <c r="D4147" s="25">
        <v>0.0</v>
      </c>
      <c r="E4147" s="27"/>
      <c r="F4147" s="25">
        <v>0.0</v>
      </c>
      <c r="G4147" s="27"/>
    </row>
    <row r="4148" hidden="1">
      <c r="A4148" s="21"/>
      <c r="B4148" s="21" t="s">
        <v>4971</v>
      </c>
      <c r="D4148" s="25">
        <v>0.0</v>
      </c>
      <c r="E4148" s="27"/>
      <c r="F4148" s="25">
        <v>0.0</v>
      </c>
      <c r="G4148" s="27"/>
    </row>
    <row r="4149" hidden="1">
      <c r="A4149" s="21"/>
      <c r="B4149" s="21" t="s">
        <v>4972</v>
      </c>
      <c r="D4149" s="25">
        <v>0.0</v>
      </c>
      <c r="E4149" s="27"/>
      <c r="F4149" s="25">
        <v>0.0</v>
      </c>
      <c r="G4149" s="27"/>
    </row>
    <row r="4150" hidden="1">
      <c r="A4150" s="21"/>
      <c r="B4150" s="21" t="s">
        <v>4973</v>
      </c>
      <c r="D4150" s="25">
        <v>0.0</v>
      </c>
      <c r="E4150" s="27"/>
      <c r="F4150" s="25">
        <v>0.0</v>
      </c>
      <c r="G4150" s="27"/>
    </row>
    <row r="4151" hidden="1">
      <c r="A4151" s="21"/>
      <c r="B4151" s="21" t="s">
        <v>4974</v>
      </c>
      <c r="D4151" s="25">
        <v>0.0</v>
      </c>
      <c r="E4151" s="27"/>
      <c r="F4151" s="25">
        <v>0.0</v>
      </c>
      <c r="G4151" s="27"/>
    </row>
    <row r="4152" hidden="1">
      <c r="A4152" s="21"/>
      <c r="B4152" s="21" t="s">
        <v>4975</v>
      </c>
      <c r="D4152" s="25">
        <v>0.0</v>
      </c>
      <c r="E4152" s="27"/>
      <c r="F4152" s="25">
        <v>0.0</v>
      </c>
      <c r="G4152" s="27"/>
    </row>
    <row r="4153" hidden="1">
      <c r="A4153" s="21"/>
      <c r="B4153" s="21" t="s">
        <v>4976</v>
      </c>
      <c r="D4153" s="25">
        <v>0.0</v>
      </c>
      <c r="E4153" s="27"/>
      <c r="F4153" s="25">
        <v>0.0</v>
      </c>
      <c r="G4153" s="27"/>
    </row>
    <row r="4154" hidden="1">
      <c r="A4154" s="21"/>
      <c r="B4154" s="21" t="s">
        <v>4977</v>
      </c>
      <c r="D4154" s="25">
        <v>0.0</v>
      </c>
      <c r="E4154" s="27"/>
      <c r="F4154" s="25">
        <v>0.0</v>
      </c>
      <c r="G4154" s="27"/>
    </row>
    <row r="4155" hidden="1">
      <c r="A4155" s="21"/>
      <c r="B4155" s="21" t="s">
        <v>4978</v>
      </c>
      <c r="D4155" s="25">
        <v>0.0</v>
      </c>
      <c r="E4155" s="27"/>
      <c r="F4155" s="25">
        <v>0.0</v>
      </c>
      <c r="G4155" s="27"/>
    </row>
    <row r="4156" hidden="1">
      <c r="A4156" s="21"/>
      <c r="B4156" s="21" t="s">
        <v>4979</v>
      </c>
      <c r="D4156" s="25">
        <v>0.0</v>
      </c>
      <c r="E4156" s="27"/>
      <c r="F4156" s="25">
        <v>0.0</v>
      </c>
      <c r="G4156" s="27"/>
    </row>
    <row r="4157" hidden="1">
      <c r="A4157" s="21"/>
      <c r="B4157" s="21" t="s">
        <v>4980</v>
      </c>
      <c r="D4157" s="25">
        <v>0.0</v>
      </c>
      <c r="E4157" s="27"/>
      <c r="F4157" s="25">
        <v>0.0</v>
      </c>
      <c r="G4157" s="27"/>
    </row>
    <row r="4158" hidden="1">
      <c r="A4158" s="21"/>
      <c r="B4158" s="21" t="s">
        <v>4981</v>
      </c>
      <c r="D4158" s="25">
        <v>0.0</v>
      </c>
      <c r="E4158" s="27"/>
      <c r="F4158" s="25">
        <v>0.0</v>
      </c>
      <c r="G4158" s="27"/>
    </row>
    <row r="4159" hidden="1">
      <c r="A4159" s="21"/>
      <c r="B4159" s="21" t="s">
        <v>4982</v>
      </c>
      <c r="D4159" s="25">
        <v>0.0</v>
      </c>
      <c r="E4159" s="27"/>
      <c r="F4159" s="25">
        <v>0.0</v>
      </c>
      <c r="G4159" s="27"/>
    </row>
    <row r="4160" hidden="1">
      <c r="A4160" s="21"/>
      <c r="B4160" s="21" t="s">
        <v>4983</v>
      </c>
      <c r="D4160" s="25">
        <v>0.0</v>
      </c>
      <c r="E4160" s="27"/>
      <c r="F4160" s="25">
        <v>0.0</v>
      </c>
      <c r="G4160" s="27"/>
    </row>
    <row r="4161" hidden="1">
      <c r="A4161" s="21"/>
      <c r="B4161" s="21" t="s">
        <v>4984</v>
      </c>
      <c r="D4161" s="25">
        <v>0.0</v>
      </c>
      <c r="E4161" s="27"/>
      <c r="F4161" s="25">
        <v>0.0</v>
      </c>
      <c r="G4161" s="27"/>
    </row>
    <row r="4162" hidden="1">
      <c r="A4162" s="21"/>
      <c r="B4162" s="21" t="s">
        <v>4985</v>
      </c>
      <c r="D4162" s="25">
        <v>0.0</v>
      </c>
      <c r="E4162" s="27"/>
      <c r="F4162" s="25">
        <v>0.0</v>
      </c>
      <c r="G4162" s="27"/>
    </row>
    <row r="4163" hidden="1">
      <c r="A4163" s="21"/>
      <c r="B4163" s="21" t="s">
        <v>4986</v>
      </c>
      <c r="D4163" s="25">
        <v>0.0</v>
      </c>
      <c r="E4163" s="27"/>
      <c r="F4163" s="25">
        <v>0.0</v>
      </c>
      <c r="G4163" s="27"/>
    </row>
    <row r="4164" hidden="1">
      <c r="A4164" s="21"/>
      <c r="B4164" s="21" t="s">
        <v>4987</v>
      </c>
      <c r="D4164" s="25">
        <v>0.0</v>
      </c>
      <c r="E4164" s="27"/>
      <c r="F4164" s="25">
        <v>0.0</v>
      </c>
      <c r="G4164" s="27"/>
    </row>
    <row r="4165" hidden="1">
      <c r="A4165" s="21"/>
      <c r="B4165" s="21" t="s">
        <v>4988</v>
      </c>
      <c r="D4165" s="25">
        <v>0.0</v>
      </c>
      <c r="E4165" s="27"/>
      <c r="F4165" s="25">
        <v>9.24</v>
      </c>
      <c r="G4165" s="27"/>
    </row>
    <row r="4166" hidden="1">
      <c r="A4166" s="21"/>
      <c r="B4166" s="21" t="s">
        <v>4989</v>
      </c>
      <c r="D4166" s="25">
        <v>0.0</v>
      </c>
      <c r="E4166" s="27"/>
      <c r="F4166" s="25">
        <v>0.0</v>
      </c>
      <c r="G4166" s="27"/>
    </row>
    <row r="4167" hidden="1">
      <c r="A4167" s="21"/>
      <c r="B4167" s="21" t="s">
        <v>4990</v>
      </c>
      <c r="D4167" s="25">
        <v>0.0</v>
      </c>
      <c r="E4167" s="27"/>
      <c r="F4167" s="25">
        <v>0.0</v>
      </c>
      <c r="G4167" s="27"/>
    </row>
    <row r="4168" hidden="1">
      <c r="A4168" s="21"/>
      <c r="B4168" s="21" t="s">
        <v>4991</v>
      </c>
      <c r="D4168" s="25">
        <v>0.0</v>
      </c>
      <c r="E4168" s="27"/>
      <c r="F4168" s="25">
        <v>4.11</v>
      </c>
      <c r="G4168" s="27"/>
    </row>
    <row r="4169" hidden="1">
      <c r="A4169" s="21"/>
      <c r="B4169" s="21" t="s">
        <v>4992</v>
      </c>
      <c r="D4169" s="25">
        <v>0.0</v>
      </c>
      <c r="E4169" s="27"/>
      <c r="F4169" s="25">
        <v>0.0</v>
      </c>
      <c r="G4169" s="27"/>
    </row>
    <row r="4170" hidden="1">
      <c r="A4170" s="21"/>
      <c r="B4170" s="21" t="s">
        <v>4993</v>
      </c>
      <c r="D4170" s="25">
        <v>0.0</v>
      </c>
      <c r="E4170" s="27"/>
      <c r="F4170" s="25">
        <v>0.0</v>
      </c>
      <c r="G4170" s="27"/>
    </row>
    <row r="4171" hidden="1">
      <c r="A4171" s="21"/>
      <c r="B4171" s="21" t="s">
        <v>4994</v>
      </c>
      <c r="D4171" s="25">
        <v>0.0</v>
      </c>
      <c r="E4171" s="27"/>
      <c r="F4171" s="25">
        <v>0.0</v>
      </c>
      <c r="G4171" s="27"/>
    </row>
    <row r="4172" hidden="1">
      <c r="A4172" s="21"/>
      <c r="B4172" s="21" t="s">
        <v>4995</v>
      </c>
      <c r="D4172" s="25">
        <v>0.0</v>
      </c>
      <c r="E4172" s="27"/>
      <c r="F4172" s="25">
        <v>0.0</v>
      </c>
      <c r="G4172" s="27"/>
    </row>
    <row r="4173" hidden="1">
      <c r="A4173" s="21"/>
      <c r="B4173" s="21" t="s">
        <v>4996</v>
      </c>
      <c r="D4173" s="25">
        <v>0.0</v>
      </c>
      <c r="E4173" s="27"/>
      <c r="F4173" s="25">
        <v>0.0</v>
      </c>
      <c r="G4173" s="27"/>
    </row>
    <row r="4174" hidden="1">
      <c r="A4174" s="21"/>
      <c r="B4174" s="21" t="s">
        <v>4997</v>
      </c>
      <c r="D4174" s="25">
        <v>0.0</v>
      </c>
      <c r="E4174" s="27"/>
      <c r="F4174" s="25">
        <v>0.0</v>
      </c>
      <c r="G4174" s="27"/>
    </row>
    <row r="4175" hidden="1">
      <c r="A4175" s="21"/>
      <c r="B4175" s="21" t="s">
        <v>4998</v>
      </c>
      <c r="D4175" s="25">
        <v>0.0</v>
      </c>
      <c r="E4175" s="27"/>
      <c r="F4175" s="25">
        <v>0.0</v>
      </c>
      <c r="G4175" s="27"/>
    </row>
    <row r="4176" hidden="1">
      <c r="A4176" s="21"/>
      <c r="B4176" s="21" t="s">
        <v>4999</v>
      </c>
      <c r="D4176" s="25">
        <v>0.0</v>
      </c>
      <c r="E4176" s="27"/>
      <c r="F4176" s="25">
        <v>0.93</v>
      </c>
      <c r="G4176" s="27"/>
    </row>
    <row r="4177" hidden="1">
      <c r="A4177" s="21"/>
      <c r="B4177" s="21" t="s">
        <v>5000</v>
      </c>
      <c r="D4177" s="25">
        <v>0.0</v>
      </c>
      <c r="E4177" s="27"/>
      <c r="F4177" s="25">
        <v>0.0</v>
      </c>
      <c r="G4177" s="27"/>
    </row>
    <row r="4178" hidden="1">
      <c r="A4178" s="21"/>
      <c r="B4178" s="21" t="s">
        <v>5001</v>
      </c>
      <c r="D4178" s="25">
        <v>0.0</v>
      </c>
      <c r="E4178" s="27"/>
      <c r="F4178" s="25">
        <v>0.0</v>
      </c>
      <c r="G4178" s="27"/>
    </row>
    <row r="4179" hidden="1">
      <c r="A4179" s="21"/>
      <c r="B4179" s="21" t="s">
        <v>5002</v>
      </c>
      <c r="D4179" s="25">
        <v>0.0</v>
      </c>
      <c r="E4179" s="27"/>
      <c r="F4179" s="25">
        <v>0.0</v>
      </c>
      <c r="G4179" s="27"/>
    </row>
    <row r="4180" hidden="1">
      <c r="A4180" s="21"/>
      <c r="B4180" s="21" t="s">
        <v>5003</v>
      </c>
      <c r="D4180" s="25">
        <v>0.0</v>
      </c>
      <c r="E4180" s="27"/>
      <c r="F4180" s="25">
        <v>0.0</v>
      </c>
      <c r="G4180" s="27"/>
    </row>
    <row r="4181" hidden="1">
      <c r="A4181" s="21"/>
      <c r="B4181" s="21" t="s">
        <v>5004</v>
      </c>
      <c r="D4181" s="25">
        <v>0.0</v>
      </c>
      <c r="E4181" s="27"/>
      <c r="F4181" s="25">
        <v>0.0</v>
      </c>
      <c r="G4181" s="27"/>
    </row>
    <row r="4182" hidden="1">
      <c r="A4182" s="21"/>
      <c r="B4182" s="21" t="s">
        <v>5005</v>
      </c>
      <c r="D4182" s="25">
        <v>0.0</v>
      </c>
      <c r="E4182" s="27"/>
      <c r="F4182" s="25">
        <v>0.0</v>
      </c>
      <c r="G4182" s="27"/>
    </row>
    <row r="4183" hidden="1">
      <c r="A4183" s="21"/>
      <c r="B4183" s="21" t="s">
        <v>5006</v>
      </c>
      <c r="D4183" s="25">
        <v>0.0</v>
      </c>
      <c r="E4183" s="27"/>
      <c r="F4183" s="25">
        <v>0.0</v>
      </c>
      <c r="G4183" s="27"/>
    </row>
    <row r="4184" hidden="1">
      <c r="A4184" s="21"/>
      <c r="B4184" s="21" t="s">
        <v>5007</v>
      </c>
      <c r="D4184" s="25">
        <v>0.0</v>
      </c>
      <c r="E4184" s="27"/>
      <c r="F4184" s="25">
        <v>0.0</v>
      </c>
      <c r="G4184" s="27"/>
    </row>
    <row r="4185" hidden="1">
      <c r="A4185" s="21"/>
      <c r="B4185" s="21" t="s">
        <v>5008</v>
      </c>
      <c r="D4185" s="25">
        <v>0.0</v>
      </c>
      <c r="E4185" s="27"/>
      <c r="F4185" s="25">
        <v>0.0</v>
      </c>
      <c r="G4185" s="27"/>
    </row>
    <row r="4186" hidden="1">
      <c r="A4186" s="21"/>
      <c r="B4186" s="21" t="s">
        <v>5009</v>
      </c>
      <c r="D4186" s="25">
        <v>0.0</v>
      </c>
      <c r="E4186" s="27"/>
      <c r="F4186" s="25">
        <v>0.0</v>
      </c>
      <c r="G4186" s="27"/>
    </row>
    <row r="4187" hidden="1">
      <c r="A4187" s="21"/>
      <c r="B4187" s="21" t="s">
        <v>5010</v>
      </c>
      <c r="D4187" s="25">
        <v>0.0</v>
      </c>
      <c r="E4187" s="27"/>
      <c r="F4187" s="25">
        <v>0.0</v>
      </c>
      <c r="G4187" s="27"/>
    </row>
    <row r="4188" hidden="1">
      <c r="A4188" s="21"/>
      <c r="B4188" s="21" t="s">
        <v>5011</v>
      </c>
      <c r="D4188" s="25">
        <v>0.0</v>
      </c>
      <c r="E4188" s="27"/>
      <c r="F4188" s="25">
        <v>0.0</v>
      </c>
      <c r="G4188" s="27"/>
    </row>
    <row r="4189" hidden="1">
      <c r="A4189" s="21"/>
      <c r="B4189" s="21" t="s">
        <v>5012</v>
      </c>
      <c r="D4189" s="25">
        <v>0.0</v>
      </c>
      <c r="E4189" s="27"/>
      <c r="F4189" s="25">
        <v>0.0</v>
      </c>
      <c r="G4189" s="27"/>
    </row>
    <row r="4190" hidden="1">
      <c r="A4190" s="21"/>
      <c r="B4190" s="21" t="s">
        <v>5013</v>
      </c>
      <c r="D4190" s="25">
        <v>0.0</v>
      </c>
      <c r="E4190" s="27"/>
      <c r="F4190" s="25">
        <v>0.0</v>
      </c>
      <c r="G4190" s="27"/>
    </row>
    <row r="4191" hidden="1">
      <c r="A4191" s="21"/>
      <c r="B4191" s="21" t="s">
        <v>5014</v>
      </c>
      <c r="D4191" s="25">
        <v>0.0</v>
      </c>
      <c r="E4191" s="27"/>
      <c r="F4191" s="25">
        <v>0.0</v>
      </c>
      <c r="G4191" s="27"/>
    </row>
    <row r="4192" hidden="1">
      <c r="A4192" s="21"/>
      <c r="B4192" s="21" t="s">
        <v>5015</v>
      </c>
      <c r="D4192" s="25">
        <v>0.0</v>
      </c>
      <c r="E4192" s="27"/>
      <c r="F4192" s="25">
        <v>0.0</v>
      </c>
      <c r="G4192" s="27"/>
    </row>
    <row r="4193" hidden="1">
      <c r="A4193" s="21"/>
      <c r="B4193" s="21" t="s">
        <v>5016</v>
      </c>
      <c r="D4193" s="25">
        <v>0.0</v>
      </c>
      <c r="E4193" s="27"/>
      <c r="F4193" s="25">
        <v>0.0</v>
      </c>
      <c r="G4193" s="27"/>
    </row>
    <row r="4194" hidden="1">
      <c r="A4194" s="21"/>
      <c r="B4194" s="21" t="s">
        <v>5017</v>
      </c>
      <c r="D4194" s="25">
        <v>0.0</v>
      </c>
      <c r="E4194" s="27"/>
      <c r="F4194" s="25">
        <v>0.0</v>
      </c>
      <c r="G4194" s="27"/>
    </row>
    <row r="4195" hidden="1">
      <c r="A4195" s="21"/>
      <c r="B4195" s="21" t="s">
        <v>5018</v>
      </c>
      <c r="D4195" s="25">
        <v>0.0</v>
      </c>
      <c r="E4195" s="27"/>
      <c r="F4195" s="25">
        <v>0.0</v>
      </c>
      <c r="G4195" s="27"/>
    </row>
    <row r="4196" hidden="1">
      <c r="A4196" s="21"/>
      <c r="B4196" s="21" t="s">
        <v>5019</v>
      </c>
      <c r="D4196" s="25">
        <v>0.0</v>
      </c>
      <c r="E4196" s="27"/>
      <c r="F4196" s="25">
        <v>0.0</v>
      </c>
      <c r="G4196" s="27"/>
    </row>
    <row r="4197" hidden="1">
      <c r="A4197" s="21"/>
      <c r="B4197" s="21" t="s">
        <v>5020</v>
      </c>
      <c r="D4197" s="25">
        <v>0.0</v>
      </c>
      <c r="E4197" s="27"/>
      <c r="F4197" s="25">
        <v>0.0</v>
      </c>
      <c r="G4197" s="27"/>
    </row>
    <row r="4198" hidden="1">
      <c r="A4198" s="21"/>
      <c r="B4198" s="21" t="s">
        <v>5021</v>
      </c>
      <c r="D4198" s="25">
        <v>0.0</v>
      </c>
      <c r="E4198" s="27"/>
      <c r="F4198" s="25">
        <v>0.0</v>
      </c>
      <c r="G4198" s="27"/>
    </row>
    <row r="4199" hidden="1">
      <c r="A4199" s="21"/>
      <c r="B4199" s="21" t="s">
        <v>5022</v>
      </c>
      <c r="D4199" s="25">
        <v>0.0</v>
      </c>
      <c r="E4199" s="27"/>
      <c r="F4199" s="25">
        <v>0.0</v>
      </c>
      <c r="G4199" s="27"/>
    </row>
    <row r="4200" hidden="1">
      <c r="A4200" s="21"/>
      <c r="B4200" s="21" t="s">
        <v>5023</v>
      </c>
      <c r="D4200" s="25">
        <v>0.0</v>
      </c>
      <c r="E4200" s="27"/>
      <c r="F4200" s="25">
        <v>0.0</v>
      </c>
      <c r="G4200" s="27"/>
    </row>
    <row r="4201" hidden="1">
      <c r="A4201" s="21"/>
      <c r="B4201" s="21" t="s">
        <v>5024</v>
      </c>
      <c r="D4201" s="25">
        <v>0.0</v>
      </c>
      <c r="E4201" s="27"/>
      <c r="F4201" s="25">
        <v>0.0</v>
      </c>
      <c r="G4201" s="27"/>
    </row>
    <row r="4202" hidden="1">
      <c r="A4202" s="21"/>
      <c r="B4202" s="21" t="s">
        <v>5025</v>
      </c>
      <c r="D4202" s="25">
        <v>0.0</v>
      </c>
      <c r="E4202" s="27"/>
      <c r="F4202" s="25">
        <v>0.0</v>
      </c>
      <c r="G4202" s="27"/>
    </row>
    <row r="4203" hidden="1">
      <c r="A4203" s="21"/>
      <c r="B4203" s="21" t="s">
        <v>5026</v>
      </c>
      <c r="D4203" s="25">
        <v>0.0</v>
      </c>
      <c r="E4203" s="27"/>
      <c r="F4203" s="25">
        <v>0.0</v>
      </c>
      <c r="G4203" s="27"/>
    </row>
    <row r="4204" hidden="1">
      <c r="A4204" s="21"/>
      <c r="B4204" s="21" t="s">
        <v>5027</v>
      </c>
      <c r="D4204" s="25">
        <v>0.0</v>
      </c>
      <c r="E4204" s="27"/>
      <c r="F4204" s="25">
        <v>0.0</v>
      </c>
      <c r="G4204" s="27"/>
    </row>
    <row r="4205" hidden="1">
      <c r="A4205" s="21"/>
      <c r="B4205" s="21" t="s">
        <v>646</v>
      </c>
      <c r="D4205" s="25">
        <v>0.0</v>
      </c>
      <c r="E4205" s="27"/>
      <c r="F4205" s="25">
        <v>0.0</v>
      </c>
      <c r="G4205" s="27"/>
    </row>
    <row r="4206" hidden="1">
      <c r="A4206" s="21"/>
      <c r="B4206" s="21" t="s">
        <v>647</v>
      </c>
      <c r="D4206" s="25">
        <v>0.0</v>
      </c>
      <c r="E4206" s="27"/>
      <c r="F4206" s="25">
        <v>0.0</v>
      </c>
      <c r="G4206" s="27"/>
    </row>
    <row r="4207" hidden="1">
      <c r="A4207" s="21"/>
      <c r="B4207" s="21" t="s">
        <v>648</v>
      </c>
      <c r="D4207" s="25">
        <v>0.0</v>
      </c>
      <c r="E4207" s="27"/>
      <c r="F4207" s="25">
        <v>0.0</v>
      </c>
      <c r="G4207" s="27"/>
    </row>
    <row r="4208" hidden="1">
      <c r="A4208" s="21"/>
      <c r="B4208" s="21" t="s">
        <v>649</v>
      </c>
      <c r="D4208" s="25">
        <v>0.0</v>
      </c>
      <c r="E4208" s="27"/>
      <c r="F4208" s="25">
        <v>0.0</v>
      </c>
      <c r="G4208" s="27"/>
    </row>
    <row r="4209" hidden="1">
      <c r="A4209" s="21"/>
      <c r="B4209" s="21" t="s">
        <v>650</v>
      </c>
      <c r="D4209" s="25">
        <v>0.0</v>
      </c>
      <c r="E4209" s="27"/>
      <c r="F4209" s="25">
        <v>0.0</v>
      </c>
      <c r="G4209" s="27"/>
    </row>
    <row r="4210" hidden="1">
      <c r="A4210" s="21"/>
      <c r="B4210" s="21" t="s">
        <v>651</v>
      </c>
      <c r="D4210" s="25">
        <v>0.0</v>
      </c>
      <c r="E4210" s="27"/>
      <c r="F4210" s="25">
        <v>0.0</v>
      </c>
      <c r="G4210" s="27"/>
    </row>
    <row r="4211" hidden="1">
      <c r="A4211" s="21"/>
      <c r="B4211" s="21" t="s">
        <v>652</v>
      </c>
      <c r="D4211" s="25">
        <v>0.0</v>
      </c>
      <c r="E4211" s="27"/>
      <c r="F4211" s="25">
        <v>0.0</v>
      </c>
      <c r="G4211" s="27"/>
    </row>
    <row r="4212" hidden="1">
      <c r="A4212" s="21"/>
      <c r="B4212" s="21" t="s">
        <v>653</v>
      </c>
      <c r="D4212" s="25">
        <v>0.0</v>
      </c>
      <c r="E4212" s="27"/>
      <c r="F4212" s="25">
        <v>0.0</v>
      </c>
      <c r="G4212" s="27"/>
    </row>
    <row r="4213" hidden="1">
      <c r="A4213" s="21"/>
      <c r="B4213" s="21" t="s">
        <v>654</v>
      </c>
      <c r="D4213" s="25">
        <v>0.0</v>
      </c>
      <c r="E4213" s="27"/>
      <c r="F4213" s="25">
        <v>0.0</v>
      </c>
      <c r="G4213" s="27"/>
    </row>
    <row r="4214" hidden="1">
      <c r="A4214" s="21"/>
      <c r="B4214" s="21" t="s">
        <v>655</v>
      </c>
      <c r="D4214" s="25">
        <v>0.0</v>
      </c>
      <c r="E4214" s="27"/>
      <c r="F4214" s="25">
        <v>0.0</v>
      </c>
      <c r="G4214" s="27"/>
    </row>
    <row r="4215" hidden="1">
      <c r="A4215" s="21"/>
      <c r="B4215" s="21" t="s">
        <v>656</v>
      </c>
      <c r="D4215" s="25">
        <v>0.0</v>
      </c>
      <c r="E4215" s="27"/>
      <c r="F4215" s="25">
        <v>0.0</v>
      </c>
      <c r="G4215" s="27"/>
    </row>
    <row r="4216" hidden="1">
      <c r="A4216" s="21"/>
      <c r="B4216" s="21" t="s">
        <v>657</v>
      </c>
      <c r="D4216" s="25">
        <v>0.0</v>
      </c>
      <c r="E4216" s="27"/>
      <c r="F4216" s="25">
        <v>0.0</v>
      </c>
      <c r="G4216" s="27"/>
    </row>
    <row r="4217" hidden="1">
      <c r="A4217" s="21"/>
      <c r="B4217" s="21" t="s">
        <v>658</v>
      </c>
      <c r="D4217" s="25">
        <v>0.0</v>
      </c>
      <c r="E4217" s="27"/>
      <c r="F4217" s="25">
        <v>0.0</v>
      </c>
      <c r="G4217" s="27"/>
    </row>
    <row r="4218" hidden="1">
      <c r="A4218" s="21"/>
      <c r="B4218" s="21" t="s">
        <v>659</v>
      </c>
      <c r="D4218" s="25">
        <v>0.0</v>
      </c>
      <c r="E4218" s="27"/>
      <c r="F4218" s="25">
        <v>0.0</v>
      </c>
      <c r="G4218" s="27"/>
    </row>
    <row r="4219" hidden="1">
      <c r="A4219" s="21"/>
      <c r="B4219" s="21" t="s">
        <v>660</v>
      </c>
      <c r="D4219" s="25">
        <v>0.0</v>
      </c>
      <c r="E4219" s="27"/>
      <c r="F4219" s="25">
        <v>0.0</v>
      </c>
      <c r="G4219" s="27"/>
    </row>
    <row r="4220" hidden="1">
      <c r="A4220" s="21"/>
      <c r="B4220" s="21" t="s">
        <v>661</v>
      </c>
      <c r="D4220" s="25">
        <v>0.0</v>
      </c>
      <c r="E4220" s="27"/>
      <c r="F4220" s="25">
        <v>0.0</v>
      </c>
      <c r="G4220" s="27"/>
    </row>
    <row r="4221" hidden="1">
      <c r="A4221" s="21"/>
      <c r="B4221" s="21" t="s">
        <v>662</v>
      </c>
      <c r="D4221" s="25">
        <v>0.0</v>
      </c>
      <c r="E4221" s="27"/>
      <c r="F4221" s="25">
        <v>0.0</v>
      </c>
      <c r="G4221" s="27"/>
    </row>
    <row r="4222" hidden="1">
      <c r="A4222" s="21"/>
      <c r="B4222" s="21" t="s">
        <v>663</v>
      </c>
      <c r="D4222" s="25">
        <v>0.0</v>
      </c>
      <c r="E4222" s="27"/>
      <c r="F4222" s="25">
        <v>0.0</v>
      </c>
      <c r="G4222" s="27"/>
    </row>
    <row r="4223" hidden="1">
      <c r="A4223" s="21"/>
      <c r="B4223" s="21" t="s">
        <v>5028</v>
      </c>
      <c r="D4223" s="25">
        <v>0.0</v>
      </c>
      <c r="E4223" s="27"/>
      <c r="F4223" s="25">
        <v>0.0</v>
      </c>
      <c r="G4223" s="27"/>
    </row>
    <row r="4224" hidden="1">
      <c r="A4224" s="21"/>
      <c r="B4224" s="21" t="s">
        <v>5029</v>
      </c>
      <c r="D4224" s="25">
        <v>0.0</v>
      </c>
      <c r="E4224" s="27"/>
      <c r="F4224" s="25">
        <v>0.0</v>
      </c>
      <c r="G4224" s="27"/>
    </row>
    <row r="4225" hidden="1">
      <c r="A4225" s="21"/>
      <c r="B4225" s="21" t="s">
        <v>5030</v>
      </c>
      <c r="D4225" s="25">
        <v>0.0</v>
      </c>
      <c r="E4225" s="27"/>
      <c r="F4225" s="25">
        <v>0.0</v>
      </c>
      <c r="G4225" s="27"/>
    </row>
    <row r="4226" hidden="1">
      <c r="A4226" s="21"/>
      <c r="B4226" s="21" t="s">
        <v>5031</v>
      </c>
      <c r="D4226" s="25">
        <v>0.0</v>
      </c>
      <c r="E4226" s="27"/>
      <c r="F4226" s="25">
        <v>0.0</v>
      </c>
      <c r="G4226" s="27"/>
    </row>
    <row r="4227" hidden="1">
      <c r="A4227" s="21"/>
      <c r="B4227" s="21" t="s">
        <v>5032</v>
      </c>
      <c r="D4227" s="25">
        <v>0.0</v>
      </c>
      <c r="E4227" s="27"/>
      <c r="F4227" s="25">
        <v>0.0</v>
      </c>
      <c r="G4227" s="27"/>
    </row>
    <row r="4228" hidden="1">
      <c r="A4228" s="21"/>
      <c r="B4228" s="21" t="s">
        <v>5033</v>
      </c>
      <c r="D4228" s="25">
        <v>0.0</v>
      </c>
      <c r="E4228" s="27"/>
      <c r="F4228" s="25">
        <v>0.0</v>
      </c>
      <c r="G4228" s="27"/>
    </row>
    <row r="4229" hidden="1">
      <c r="A4229" s="21"/>
      <c r="B4229" s="21" t="s">
        <v>5034</v>
      </c>
      <c r="D4229" s="25">
        <v>0.0</v>
      </c>
      <c r="E4229" s="27"/>
      <c r="F4229" s="25">
        <v>0.0</v>
      </c>
      <c r="G4229" s="27"/>
    </row>
    <row r="4230" hidden="1">
      <c r="A4230" s="21"/>
      <c r="B4230" s="21" t="s">
        <v>5035</v>
      </c>
      <c r="D4230" s="25">
        <v>0.0</v>
      </c>
      <c r="E4230" s="27"/>
      <c r="F4230" s="25">
        <v>0.0</v>
      </c>
      <c r="G4230" s="27"/>
    </row>
    <row r="4231" hidden="1">
      <c r="A4231" s="21"/>
      <c r="B4231" s="21" t="s">
        <v>5036</v>
      </c>
      <c r="D4231" s="25">
        <v>0.0</v>
      </c>
      <c r="E4231" s="27"/>
      <c r="F4231" s="25">
        <v>0.0</v>
      </c>
      <c r="G4231" s="27"/>
    </row>
    <row r="4232" hidden="1">
      <c r="A4232" s="21"/>
      <c r="B4232" s="21" t="s">
        <v>5037</v>
      </c>
      <c r="D4232" s="25">
        <v>0.0</v>
      </c>
      <c r="E4232" s="27"/>
      <c r="F4232" s="25">
        <v>0.0</v>
      </c>
      <c r="G4232" s="27"/>
    </row>
    <row r="4233" hidden="1">
      <c r="A4233" s="21"/>
      <c r="B4233" s="21" t="s">
        <v>5038</v>
      </c>
      <c r="D4233" s="25">
        <v>0.0</v>
      </c>
      <c r="E4233" s="27"/>
      <c r="F4233" s="25">
        <v>0.0</v>
      </c>
      <c r="G4233" s="27"/>
    </row>
    <row r="4234" hidden="1">
      <c r="A4234" s="21"/>
      <c r="B4234" s="21" t="s">
        <v>5039</v>
      </c>
      <c r="D4234" s="25">
        <v>0.0</v>
      </c>
      <c r="E4234" s="27"/>
      <c r="F4234" s="25">
        <v>0.0</v>
      </c>
      <c r="G4234" s="27"/>
    </row>
    <row r="4235" hidden="1">
      <c r="A4235" s="21"/>
      <c r="B4235" s="21" t="s">
        <v>5040</v>
      </c>
      <c r="D4235" s="25">
        <v>0.0</v>
      </c>
      <c r="E4235" s="27"/>
      <c r="F4235" s="25">
        <v>0.0</v>
      </c>
      <c r="G4235" s="27"/>
    </row>
    <row r="4236" hidden="1">
      <c r="A4236" s="21"/>
      <c r="B4236" s="21" t="s">
        <v>5041</v>
      </c>
      <c r="D4236" s="25">
        <v>0.0</v>
      </c>
      <c r="E4236" s="27"/>
      <c r="F4236" s="25">
        <v>0.0</v>
      </c>
      <c r="G4236" s="27"/>
    </row>
    <row r="4237" hidden="1">
      <c r="A4237" s="21"/>
      <c r="B4237" s="21" t="s">
        <v>5042</v>
      </c>
      <c r="D4237" s="25">
        <v>0.0</v>
      </c>
      <c r="E4237" s="27"/>
      <c r="F4237" s="25">
        <v>0.0</v>
      </c>
      <c r="G4237" s="27"/>
    </row>
    <row r="4238" hidden="1">
      <c r="A4238" s="21"/>
      <c r="B4238" s="21" t="s">
        <v>5043</v>
      </c>
      <c r="D4238" s="25">
        <v>0.0</v>
      </c>
      <c r="E4238" s="27"/>
      <c r="F4238" s="25">
        <v>0.0</v>
      </c>
      <c r="G4238" s="27"/>
    </row>
    <row r="4239" hidden="1">
      <c r="A4239" s="21"/>
      <c r="B4239" s="21" t="s">
        <v>5044</v>
      </c>
      <c r="D4239" s="25">
        <v>0.0</v>
      </c>
      <c r="E4239" s="27"/>
      <c r="F4239" s="25">
        <v>0.0</v>
      </c>
      <c r="G4239" s="27"/>
    </row>
    <row r="4240" hidden="1">
      <c r="A4240" s="21"/>
      <c r="B4240" s="21" t="s">
        <v>5045</v>
      </c>
      <c r="D4240" s="25">
        <v>0.0</v>
      </c>
      <c r="E4240" s="27"/>
      <c r="F4240" s="25">
        <v>0.0</v>
      </c>
      <c r="G4240" s="27"/>
    </row>
    <row r="4241" hidden="1">
      <c r="A4241" s="21"/>
      <c r="B4241" s="21" t="s">
        <v>5046</v>
      </c>
      <c r="D4241" s="25">
        <v>0.0</v>
      </c>
      <c r="E4241" s="27"/>
      <c r="F4241" s="25">
        <v>0.0</v>
      </c>
      <c r="G4241" s="27"/>
    </row>
    <row r="4242" hidden="1">
      <c r="A4242" s="21"/>
      <c r="B4242" s="21" t="s">
        <v>5047</v>
      </c>
      <c r="D4242" s="25">
        <v>0.0</v>
      </c>
      <c r="E4242" s="27"/>
      <c r="F4242" s="25">
        <v>0.0</v>
      </c>
      <c r="G4242" s="27"/>
    </row>
    <row r="4243" hidden="1">
      <c r="A4243" s="21"/>
      <c r="B4243" s="21" t="s">
        <v>5048</v>
      </c>
      <c r="D4243" s="25">
        <v>0.0</v>
      </c>
      <c r="E4243" s="27"/>
      <c r="F4243" s="25">
        <v>0.0</v>
      </c>
      <c r="G4243" s="27"/>
    </row>
    <row r="4244" hidden="1">
      <c r="A4244" s="21"/>
      <c r="B4244" s="21" t="s">
        <v>5049</v>
      </c>
      <c r="D4244" s="25">
        <v>0.0</v>
      </c>
      <c r="E4244" s="27"/>
      <c r="F4244" s="25">
        <v>0.0</v>
      </c>
      <c r="G4244" s="27"/>
    </row>
    <row r="4245" hidden="1">
      <c r="A4245" s="21"/>
      <c r="B4245" s="21" t="s">
        <v>5050</v>
      </c>
      <c r="D4245" s="25">
        <v>0.0</v>
      </c>
      <c r="E4245" s="27"/>
      <c r="F4245" s="25">
        <v>0.0</v>
      </c>
      <c r="G4245" s="27"/>
    </row>
    <row r="4246" hidden="1">
      <c r="A4246" s="21"/>
      <c r="B4246" s="21" t="s">
        <v>5051</v>
      </c>
      <c r="D4246" s="25">
        <v>0.0</v>
      </c>
      <c r="E4246" s="27"/>
      <c r="F4246" s="25">
        <v>0.0</v>
      </c>
      <c r="G4246" s="27"/>
    </row>
    <row r="4247" hidden="1">
      <c r="A4247" s="21"/>
      <c r="B4247" s="21" t="s">
        <v>5052</v>
      </c>
      <c r="D4247" s="25">
        <v>0.0</v>
      </c>
      <c r="E4247" s="27"/>
      <c r="F4247" s="25">
        <v>0.0</v>
      </c>
      <c r="G4247" s="27"/>
    </row>
    <row r="4248" hidden="1">
      <c r="A4248" s="21"/>
      <c r="B4248" s="21" t="s">
        <v>5053</v>
      </c>
      <c r="D4248" s="25">
        <v>0.0</v>
      </c>
      <c r="E4248" s="27"/>
      <c r="F4248" s="25">
        <v>0.0</v>
      </c>
      <c r="G4248" s="27"/>
    </row>
    <row r="4249" hidden="1">
      <c r="A4249" s="21"/>
      <c r="B4249" s="21" t="s">
        <v>5054</v>
      </c>
      <c r="D4249" s="25">
        <v>0.0</v>
      </c>
      <c r="E4249" s="27"/>
      <c r="F4249" s="25">
        <v>0.0</v>
      </c>
      <c r="G4249" s="27"/>
    </row>
    <row r="4250" hidden="1">
      <c r="A4250" s="21"/>
      <c r="B4250" s="21" t="s">
        <v>5055</v>
      </c>
      <c r="D4250" s="25">
        <v>0.0</v>
      </c>
      <c r="E4250" s="27"/>
      <c r="F4250" s="25">
        <v>0.0</v>
      </c>
      <c r="G4250" s="27"/>
    </row>
    <row r="4251" hidden="1">
      <c r="A4251" s="21"/>
      <c r="B4251" s="21" t="s">
        <v>5056</v>
      </c>
      <c r="D4251" s="25">
        <v>0.0</v>
      </c>
      <c r="E4251" s="27"/>
      <c r="F4251" s="25">
        <v>0.0</v>
      </c>
      <c r="G4251" s="27"/>
    </row>
    <row r="4252" hidden="1">
      <c r="A4252" s="21"/>
      <c r="B4252" s="21" t="s">
        <v>5057</v>
      </c>
      <c r="D4252" s="25">
        <v>0.0</v>
      </c>
      <c r="E4252" s="27"/>
      <c r="F4252" s="25">
        <v>0.0</v>
      </c>
      <c r="G4252" s="27"/>
    </row>
    <row r="4253" hidden="1">
      <c r="A4253" s="21"/>
      <c r="B4253" s="21" t="s">
        <v>5058</v>
      </c>
      <c r="D4253" s="25">
        <v>0.0</v>
      </c>
      <c r="E4253" s="27"/>
      <c r="F4253" s="25">
        <v>0.0</v>
      </c>
      <c r="G4253" s="27"/>
    </row>
    <row r="4254" hidden="1">
      <c r="A4254" s="21"/>
      <c r="B4254" s="21" t="s">
        <v>5059</v>
      </c>
      <c r="D4254" s="25">
        <v>0.0</v>
      </c>
      <c r="E4254" s="27"/>
      <c r="F4254" s="25">
        <v>0.0</v>
      </c>
      <c r="G4254" s="27"/>
    </row>
    <row r="4255" hidden="1">
      <c r="A4255" s="21"/>
      <c r="B4255" s="21" t="s">
        <v>5060</v>
      </c>
      <c r="D4255" s="25">
        <v>0.0</v>
      </c>
      <c r="E4255" s="27"/>
      <c r="F4255" s="25">
        <v>2.52</v>
      </c>
      <c r="G4255" s="27"/>
    </row>
    <row r="4256" hidden="1">
      <c r="A4256" s="21"/>
      <c r="B4256" s="21" t="s">
        <v>5061</v>
      </c>
      <c r="D4256" s="25">
        <v>0.0</v>
      </c>
      <c r="E4256" s="27"/>
      <c r="F4256" s="25">
        <v>0.0</v>
      </c>
      <c r="G4256" s="27"/>
    </row>
    <row r="4257" hidden="1">
      <c r="A4257" s="21"/>
      <c r="B4257" s="21" t="s">
        <v>5062</v>
      </c>
      <c r="D4257" s="25">
        <v>0.0</v>
      </c>
      <c r="E4257" s="27"/>
      <c r="F4257" s="25">
        <v>0.0</v>
      </c>
      <c r="G4257" s="27"/>
    </row>
    <row r="4258" hidden="1">
      <c r="A4258" s="21"/>
      <c r="B4258" s="21" t="s">
        <v>5063</v>
      </c>
      <c r="D4258" s="25">
        <v>0.0</v>
      </c>
      <c r="E4258" s="27"/>
      <c r="F4258" s="25">
        <v>0.0</v>
      </c>
      <c r="G4258" s="27"/>
    </row>
    <row r="4259" hidden="1">
      <c r="A4259" s="21"/>
      <c r="B4259" s="21" t="s">
        <v>5064</v>
      </c>
      <c r="D4259" s="25">
        <v>0.0</v>
      </c>
      <c r="E4259" s="27"/>
      <c r="F4259" s="25">
        <v>0.0</v>
      </c>
      <c r="G4259" s="27"/>
    </row>
    <row r="4260" hidden="1">
      <c r="A4260" s="21"/>
      <c r="B4260" s="21" t="s">
        <v>5065</v>
      </c>
      <c r="D4260" s="25">
        <v>0.0</v>
      </c>
      <c r="E4260" s="27"/>
      <c r="F4260" s="25">
        <v>0.0</v>
      </c>
      <c r="G4260" s="27"/>
    </row>
    <row r="4261" hidden="1">
      <c r="A4261" s="21"/>
      <c r="B4261" s="21" t="s">
        <v>5066</v>
      </c>
      <c r="D4261" s="25">
        <v>0.0</v>
      </c>
      <c r="E4261" s="27"/>
      <c r="F4261" s="25">
        <v>0.0</v>
      </c>
      <c r="G4261" s="27"/>
    </row>
    <row r="4262" hidden="1">
      <c r="A4262" s="21"/>
      <c r="B4262" s="21" t="s">
        <v>5067</v>
      </c>
      <c r="D4262" s="25">
        <v>0.0</v>
      </c>
      <c r="E4262" s="27"/>
      <c r="F4262" s="25">
        <v>0.0</v>
      </c>
      <c r="G4262" s="27"/>
    </row>
    <row r="4263" hidden="1">
      <c r="A4263" s="21"/>
      <c r="B4263" s="21" t="s">
        <v>5068</v>
      </c>
      <c r="D4263" s="25">
        <v>0.0</v>
      </c>
      <c r="E4263" s="27"/>
      <c r="F4263" s="25">
        <v>0.0</v>
      </c>
      <c r="G4263" s="27"/>
    </row>
    <row r="4264" hidden="1">
      <c r="A4264" s="21"/>
      <c r="B4264" s="21" t="s">
        <v>5069</v>
      </c>
      <c r="D4264" s="25">
        <v>0.0</v>
      </c>
      <c r="E4264" s="27"/>
      <c r="F4264" s="25">
        <v>0.0</v>
      </c>
      <c r="G4264" s="27"/>
    </row>
    <row r="4265" hidden="1">
      <c r="A4265" s="21"/>
      <c r="B4265" s="21" t="s">
        <v>5070</v>
      </c>
      <c r="D4265" s="25">
        <v>0.0</v>
      </c>
      <c r="E4265" s="27"/>
      <c r="F4265" s="25">
        <v>0.0</v>
      </c>
      <c r="G4265" s="27"/>
    </row>
    <row r="4266" hidden="1">
      <c r="A4266" s="21"/>
      <c r="B4266" s="21" t="s">
        <v>5071</v>
      </c>
      <c r="D4266" s="25">
        <v>0.0</v>
      </c>
      <c r="E4266" s="27"/>
      <c r="F4266" s="25">
        <v>0.0</v>
      </c>
      <c r="G4266" s="27"/>
    </row>
    <row r="4267" hidden="1">
      <c r="A4267" s="21"/>
      <c r="B4267" s="21" t="s">
        <v>5072</v>
      </c>
      <c r="D4267" s="25">
        <v>0.0</v>
      </c>
      <c r="E4267" s="27"/>
      <c r="F4267" s="25">
        <v>0.0</v>
      </c>
      <c r="G4267" s="27"/>
    </row>
    <row r="4268" hidden="1">
      <c r="A4268" s="21"/>
      <c r="B4268" s="21" t="s">
        <v>5073</v>
      </c>
      <c r="D4268" s="25">
        <v>0.0</v>
      </c>
      <c r="E4268" s="27"/>
      <c r="F4268" s="25">
        <v>0.0</v>
      </c>
      <c r="G4268" s="27"/>
    </row>
    <row r="4269" hidden="1">
      <c r="A4269" s="21"/>
      <c r="B4269" s="21" t="s">
        <v>5074</v>
      </c>
      <c r="D4269" s="25">
        <v>0.0</v>
      </c>
      <c r="E4269" s="27"/>
      <c r="F4269" s="25">
        <v>0.0</v>
      </c>
      <c r="G4269" s="27"/>
    </row>
    <row r="4270" hidden="1">
      <c r="A4270" s="21"/>
      <c r="B4270" s="21" t="s">
        <v>5075</v>
      </c>
      <c r="D4270" s="25">
        <v>0.0</v>
      </c>
      <c r="E4270" s="27"/>
      <c r="F4270" s="25">
        <v>0.0</v>
      </c>
      <c r="G4270" s="27"/>
    </row>
    <row r="4271" hidden="1">
      <c r="A4271" s="21"/>
      <c r="B4271" s="21" t="s">
        <v>5076</v>
      </c>
      <c r="D4271" s="25">
        <v>0.0</v>
      </c>
      <c r="E4271" s="27"/>
      <c r="F4271" s="25">
        <v>0.0</v>
      </c>
      <c r="G4271" s="27"/>
    </row>
    <row r="4272" hidden="1">
      <c r="A4272" s="21"/>
      <c r="B4272" s="21" t="s">
        <v>5077</v>
      </c>
      <c r="D4272" s="25">
        <v>0.0</v>
      </c>
      <c r="E4272" s="27"/>
      <c r="F4272" s="25">
        <v>0.0</v>
      </c>
      <c r="G4272" s="27"/>
    </row>
    <row r="4273" hidden="1">
      <c r="A4273" s="21"/>
      <c r="B4273" s="21" t="s">
        <v>5078</v>
      </c>
      <c r="D4273" s="25">
        <v>0.0</v>
      </c>
      <c r="E4273" s="27"/>
      <c r="F4273" s="25">
        <v>0.0</v>
      </c>
      <c r="G4273" s="27"/>
    </row>
    <row r="4274" hidden="1">
      <c r="A4274" s="21"/>
      <c r="B4274" s="21" t="s">
        <v>5079</v>
      </c>
      <c r="D4274" s="25">
        <v>0.0</v>
      </c>
      <c r="E4274" s="27"/>
      <c r="F4274" s="25">
        <v>0.0</v>
      </c>
      <c r="G4274" s="27"/>
    </row>
    <row r="4275" hidden="1">
      <c r="A4275" s="21"/>
      <c r="B4275" s="21" t="s">
        <v>5080</v>
      </c>
      <c r="D4275" s="25">
        <v>0.0</v>
      </c>
      <c r="E4275" s="27"/>
      <c r="F4275" s="25">
        <v>0.0</v>
      </c>
      <c r="G4275" s="27"/>
    </row>
    <row r="4276" hidden="1">
      <c r="A4276" s="21"/>
      <c r="B4276" s="21" t="s">
        <v>5081</v>
      </c>
      <c r="D4276" s="25">
        <v>0.0</v>
      </c>
      <c r="E4276" s="27"/>
      <c r="F4276" s="25">
        <v>0.0</v>
      </c>
      <c r="G4276" s="27"/>
    </row>
    <row r="4277" hidden="1">
      <c r="A4277" s="21"/>
      <c r="B4277" s="21" t="s">
        <v>5082</v>
      </c>
      <c r="D4277" s="25">
        <v>0.0</v>
      </c>
      <c r="E4277" s="27"/>
      <c r="F4277" s="25">
        <v>0.0</v>
      </c>
      <c r="G4277" s="27"/>
    </row>
    <row r="4278" hidden="1">
      <c r="A4278" s="21"/>
      <c r="B4278" s="21" t="s">
        <v>5083</v>
      </c>
      <c r="D4278" s="25">
        <v>0.0</v>
      </c>
      <c r="E4278" s="27"/>
      <c r="F4278" s="25">
        <v>0.0</v>
      </c>
      <c r="G4278" s="27"/>
    </row>
    <row r="4279" hidden="1">
      <c r="A4279" s="21"/>
      <c r="B4279" s="21" t="s">
        <v>5084</v>
      </c>
      <c r="D4279" s="25">
        <v>0.0</v>
      </c>
      <c r="E4279" s="27"/>
      <c r="F4279" s="25">
        <v>0.0</v>
      </c>
      <c r="G4279" s="27"/>
    </row>
    <row r="4280" hidden="1">
      <c r="A4280" s="21"/>
      <c r="B4280" s="21" t="s">
        <v>5085</v>
      </c>
      <c r="D4280" s="25">
        <v>0.0</v>
      </c>
      <c r="E4280" s="27"/>
      <c r="F4280" s="25">
        <v>0.0</v>
      </c>
      <c r="G4280" s="27"/>
    </row>
    <row r="4281" hidden="1">
      <c r="A4281" s="21"/>
      <c r="B4281" s="21" t="s">
        <v>5086</v>
      </c>
      <c r="D4281" s="25">
        <v>0.0</v>
      </c>
      <c r="E4281" s="27"/>
      <c r="F4281" s="25">
        <v>0.0</v>
      </c>
      <c r="G4281" s="27"/>
    </row>
    <row r="4282" hidden="1">
      <c r="A4282" s="21"/>
      <c r="B4282" s="21" t="s">
        <v>5087</v>
      </c>
      <c r="D4282" s="25">
        <v>0.0</v>
      </c>
      <c r="E4282" s="27"/>
      <c r="F4282" s="25">
        <v>0.0</v>
      </c>
      <c r="G4282" s="27"/>
    </row>
    <row r="4283" hidden="1">
      <c r="A4283" s="21"/>
      <c r="B4283" s="21" t="s">
        <v>5088</v>
      </c>
      <c r="D4283" s="25">
        <v>0.0</v>
      </c>
      <c r="E4283" s="27"/>
      <c r="F4283" s="25">
        <v>0.0</v>
      </c>
      <c r="G4283" s="27"/>
    </row>
    <row r="4284" hidden="1">
      <c r="A4284" s="21"/>
      <c r="B4284" s="21" t="s">
        <v>5089</v>
      </c>
      <c r="D4284" s="25">
        <v>0.0</v>
      </c>
      <c r="E4284" s="27"/>
      <c r="F4284" s="25">
        <v>0.0</v>
      </c>
      <c r="G4284" s="27"/>
    </row>
    <row r="4285" hidden="1">
      <c r="A4285" s="21"/>
      <c r="B4285" s="21" t="s">
        <v>5090</v>
      </c>
      <c r="D4285" s="25">
        <v>0.0</v>
      </c>
      <c r="E4285" s="27"/>
      <c r="F4285" s="25">
        <v>0.0</v>
      </c>
      <c r="G4285" s="27"/>
    </row>
    <row r="4286" hidden="1">
      <c r="A4286" s="21"/>
      <c r="B4286" s="21" t="s">
        <v>5091</v>
      </c>
      <c r="D4286" s="25">
        <v>0.0</v>
      </c>
      <c r="E4286" s="27"/>
      <c r="F4286" s="25">
        <v>3.71</v>
      </c>
      <c r="G4286" s="27"/>
    </row>
    <row r="4287" hidden="1">
      <c r="A4287" s="21"/>
      <c r="B4287" s="21" t="s">
        <v>5092</v>
      </c>
      <c r="D4287" s="25">
        <v>0.0</v>
      </c>
      <c r="E4287" s="27"/>
      <c r="F4287" s="25">
        <v>0.0</v>
      </c>
      <c r="G4287" s="27"/>
    </row>
    <row r="4288" hidden="1">
      <c r="A4288" s="21"/>
      <c r="B4288" s="21" t="s">
        <v>5093</v>
      </c>
      <c r="D4288" s="25">
        <v>0.0</v>
      </c>
      <c r="E4288" s="27"/>
      <c r="F4288" s="25">
        <v>0.0</v>
      </c>
      <c r="G4288" s="27"/>
    </row>
    <row r="4289" hidden="1">
      <c r="A4289" s="21"/>
      <c r="B4289" s="21" t="s">
        <v>5094</v>
      </c>
      <c r="D4289" s="25">
        <v>0.0</v>
      </c>
      <c r="E4289" s="27"/>
      <c r="F4289" s="25">
        <v>0.0</v>
      </c>
      <c r="G4289" s="27"/>
    </row>
    <row r="4290" hidden="1">
      <c r="A4290" s="21"/>
      <c r="B4290" s="21" t="s">
        <v>5095</v>
      </c>
      <c r="D4290" s="25">
        <v>0.0</v>
      </c>
      <c r="E4290" s="27"/>
      <c r="F4290" s="25">
        <v>0.0</v>
      </c>
      <c r="G4290" s="27"/>
    </row>
    <row r="4291" hidden="1">
      <c r="A4291" s="21"/>
      <c r="B4291" s="21" t="s">
        <v>5096</v>
      </c>
      <c r="D4291" s="25">
        <v>0.0</v>
      </c>
      <c r="E4291" s="27"/>
      <c r="F4291" s="25">
        <v>0.0</v>
      </c>
      <c r="G4291" s="27"/>
    </row>
    <row r="4292" hidden="1">
      <c r="A4292" s="21"/>
      <c r="B4292" s="21" t="s">
        <v>5097</v>
      </c>
      <c r="D4292" s="25">
        <v>0.0</v>
      </c>
      <c r="E4292" s="27"/>
      <c r="F4292" s="25">
        <v>0.0</v>
      </c>
      <c r="G4292" s="27"/>
    </row>
    <row r="4293" hidden="1">
      <c r="A4293" s="21"/>
      <c r="B4293" s="21" t="s">
        <v>5098</v>
      </c>
      <c r="D4293" s="25">
        <v>0.0</v>
      </c>
      <c r="E4293" s="27"/>
      <c r="F4293" s="25">
        <v>0.0</v>
      </c>
      <c r="G4293" s="27"/>
    </row>
    <row r="4294" hidden="1">
      <c r="A4294" s="21"/>
      <c r="B4294" s="21" t="s">
        <v>5099</v>
      </c>
      <c r="D4294" s="25">
        <v>0.0</v>
      </c>
      <c r="E4294" s="27"/>
      <c r="F4294" s="25">
        <v>0.0</v>
      </c>
      <c r="G4294" s="27"/>
    </row>
    <row r="4295" hidden="1">
      <c r="A4295" s="21"/>
      <c r="B4295" s="21" t="s">
        <v>5100</v>
      </c>
      <c r="D4295" s="25">
        <v>0.0</v>
      </c>
      <c r="E4295" s="27"/>
      <c r="F4295" s="25">
        <v>7.95</v>
      </c>
      <c r="G4295" s="27"/>
    </row>
    <row r="4296" hidden="1">
      <c r="A4296" s="21"/>
      <c r="B4296" s="21" t="s">
        <v>5101</v>
      </c>
      <c r="D4296" s="25">
        <v>0.0</v>
      </c>
      <c r="E4296" s="27"/>
      <c r="F4296" s="25">
        <v>0.0</v>
      </c>
      <c r="G4296" s="27"/>
    </row>
    <row r="4297" hidden="1">
      <c r="A4297" s="21"/>
      <c r="B4297" s="21" t="s">
        <v>5102</v>
      </c>
      <c r="D4297" s="25">
        <v>0.0</v>
      </c>
      <c r="E4297" s="27"/>
      <c r="F4297" s="25">
        <v>0.0</v>
      </c>
      <c r="G4297" s="27"/>
    </row>
    <row r="4298" hidden="1">
      <c r="A4298" s="21"/>
      <c r="B4298" s="21" t="s">
        <v>5103</v>
      </c>
      <c r="D4298" s="25">
        <v>0.0</v>
      </c>
      <c r="E4298" s="27"/>
      <c r="F4298" s="25">
        <v>0.0</v>
      </c>
      <c r="G4298" s="27"/>
    </row>
    <row r="4299" hidden="1">
      <c r="A4299" s="21"/>
      <c r="B4299" s="21" t="s">
        <v>5104</v>
      </c>
      <c r="D4299" s="25">
        <v>0.0</v>
      </c>
      <c r="E4299" s="27"/>
      <c r="F4299" s="25">
        <v>0.0</v>
      </c>
      <c r="G4299" s="27"/>
    </row>
    <row r="4300" hidden="1">
      <c r="A4300" s="21"/>
      <c r="B4300" s="21" t="s">
        <v>5105</v>
      </c>
      <c r="D4300" s="25">
        <v>0.0</v>
      </c>
      <c r="E4300" s="27"/>
      <c r="F4300" s="25">
        <v>0.0</v>
      </c>
      <c r="G4300" s="27"/>
    </row>
    <row r="4301" hidden="1">
      <c r="A4301" s="21"/>
      <c r="B4301" s="21" t="s">
        <v>5106</v>
      </c>
      <c r="D4301" s="25">
        <v>0.0</v>
      </c>
      <c r="E4301" s="27"/>
      <c r="F4301" s="25">
        <v>0.0</v>
      </c>
      <c r="G4301" s="27"/>
    </row>
    <row r="4302" hidden="1">
      <c r="A4302" s="21"/>
      <c r="B4302" s="21" t="s">
        <v>5107</v>
      </c>
      <c r="D4302" s="25">
        <v>0.0</v>
      </c>
      <c r="E4302" s="27"/>
      <c r="F4302" s="25">
        <v>0.0</v>
      </c>
      <c r="G4302" s="27"/>
    </row>
    <row r="4303" hidden="1">
      <c r="A4303" s="21"/>
      <c r="B4303" s="21" t="s">
        <v>5108</v>
      </c>
      <c r="D4303" s="25">
        <v>0.0</v>
      </c>
      <c r="E4303" s="27"/>
      <c r="F4303" s="25">
        <v>0.0</v>
      </c>
      <c r="G4303" s="27"/>
    </row>
    <row r="4304" hidden="1">
      <c r="A4304" s="21"/>
      <c r="B4304" s="21" t="s">
        <v>5109</v>
      </c>
      <c r="D4304" s="25">
        <v>0.0</v>
      </c>
      <c r="E4304" s="27"/>
      <c r="F4304" s="25">
        <v>0.0</v>
      </c>
      <c r="G4304" s="27"/>
    </row>
    <row r="4305" hidden="1">
      <c r="A4305" s="21"/>
      <c r="B4305" s="21" t="s">
        <v>5110</v>
      </c>
      <c r="D4305" s="25">
        <v>0.0</v>
      </c>
      <c r="E4305" s="27"/>
      <c r="F4305" s="25">
        <v>0.0</v>
      </c>
      <c r="G4305" s="27"/>
    </row>
    <row r="4306" hidden="1">
      <c r="A4306" s="21"/>
      <c r="B4306" s="21" t="s">
        <v>5111</v>
      </c>
      <c r="D4306" s="25">
        <v>0.0</v>
      </c>
      <c r="E4306" s="27"/>
      <c r="F4306" s="25">
        <v>0.0</v>
      </c>
      <c r="G4306" s="27"/>
    </row>
    <row r="4307" hidden="1">
      <c r="A4307" s="21"/>
      <c r="B4307" s="21" t="s">
        <v>5112</v>
      </c>
      <c r="D4307" s="25">
        <v>0.0</v>
      </c>
      <c r="E4307" s="27"/>
      <c r="F4307" s="25">
        <v>0.0</v>
      </c>
      <c r="G4307" s="27"/>
    </row>
    <row r="4308" hidden="1">
      <c r="A4308" s="21"/>
      <c r="B4308" s="21" t="s">
        <v>5113</v>
      </c>
      <c r="D4308" s="25">
        <v>0.0</v>
      </c>
      <c r="E4308" s="27"/>
      <c r="F4308" s="25">
        <v>0.0</v>
      </c>
      <c r="G4308" s="27"/>
    </row>
    <row r="4309" hidden="1">
      <c r="A4309" s="21"/>
      <c r="B4309" s="21" t="s">
        <v>5114</v>
      </c>
      <c r="D4309" s="25">
        <v>0.0</v>
      </c>
      <c r="E4309" s="27"/>
      <c r="F4309" s="25">
        <v>0.0</v>
      </c>
      <c r="G4309" s="27"/>
    </row>
    <row r="4310" hidden="1">
      <c r="A4310" s="21"/>
      <c r="B4310" s="21" t="s">
        <v>5115</v>
      </c>
      <c r="D4310" s="25">
        <v>0.0</v>
      </c>
      <c r="E4310" s="27"/>
      <c r="F4310" s="25">
        <v>0.0</v>
      </c>
      <c r="G4310" s="27"/>
    </row>
    <row r="4311" hidden="1">
      <c r="A4311" s="21"/>
      <c r="B4311" s="21" t="s">
        <v>5116</v>
      </c>
      <c r="D4311" s="25">
        <v>0.0</v>
      </c>
      <c r="E4311" s="27"/>
      <c r="F4311" s="25">
        <v>0.0</v>
      </c>
      <c r="G4311" s="27"/>
    </row>
    <row r="4312" hidden="1">
      <c r="A4312" s="21"/>
      <c r="B4312" s="21" t="s">
        <v>5117</v>
      </c>
      <c r="D4312" s="25">
        <v>0.0</v>
      </c>
      <c r="E4312" s="27"/>
      <c r="F4312" s="25">
        <v>0.0</v>
      </c>
      <c r="G4312" s="27"/>
    </row>
    <row r="4313" hidden="1">
      <c r="A4313" s="21"/>
      <c r="B4313" s="21" t="s">
        <v>5118</v>
      </c>
      <c r="D4313" s="25">
        <v>0.0</v>
      </c>
      <c r="E4313" s="27"/>
      <c r="F4313" s="25">
        <v>0.0</v>
      </c>
      <c r="G4313" s="27"/>
    </row>
    <row r="4314" hidden="1">
      <c r="A4314" s="21"/>
      <c r="B4314" s="21" t="s">
        <v>5119</v>
      </c>
      <c r="D4314" s="25">
        <v>0.0</v>
      </c>
      <c r="E4314" s="27"/>
      <c r="F4314" s="25">
        <v>0.0</v>
      </c>
      <c r="G4314" s="27"/>
    </row>
    <row r="4315" hidden="1">
      <c r="A4315" s="21"/>
      <c r="B4315" s="21" t="s">
        <v>5120</v>
      </c>
      <c r="D4315" s="25">
        <v>0.0</v>
      </c>
      <c r="E4315" s="27"/>
      <c r="F4315" s="25">
        <v>0.0</v>
      </c>
      <c r="G4315" s="27"/>
    </row>
    <row r="4316" hidden="1">
      <c r="A4316" s="21"/>
      <c r="B4316" s="21" t="s">
        <v>5121</v>
      </c>
      <c r="D4316" s="25">
        <v>0.0</v>
      </c>
      <c r="E4316" s="27"/>
      <c r="F4316" s="25">
        <v>0.0</v>
      </c>
      <c r="G4316" s="27"/>
    </row>
    <row r="4317" hidden="1">
      <c r="A4317" s="21"/>
      <c r="B4317" s="21" t="s">
        <v>5122</v>
      </c>
      <c r="D4317" s="25">
        <v>0.0</v>
      </c>
      <c r="E4317" s="27"/>
      <c r="F4317" s="25">
        <v>0.0</v>
      </c>
      <c r="G4317" s="27"/>
    </row>
    <row r="4318" hidden="1">
      <c r="A4318" s="21"/>
      <c r="B4318" s="21" t="s">
        <v>5123</v>
      </c>
      <c r="D4318" s="25">
        <v>0.0</v>
      </c>
      <c r="E4318" s="27"/>
      <c r="F4318" s="25">
        <v>0.0</v>
      </c>
      <c r="G4318" s="27"/>
    </row>
    <row r="4319" hidden="1">
      <c r="A4319" s="21"/>
      <c r="B4319" s="21" t="s">
        <v>5124</v>
      </c>
      <c r="D4319" s="25">
        <v>0.0</v>
      </c>
      <c r="E4319" s="27"/>
      <c r="F4319" s="25">
        <v>0.0</v>
      </c>
      <c r="G4319" s="27"/>
    </row>
    <row r="4320" hidden="1">
      <c r="A4320" s="21"/>
      <c r="B4320" s="21" t="s">
        <v>5125</v>
      </c>
      <c r="D4320" s="25">
        <v>0.0</v>
      </c>
      <c r="E4320" s="27"/>
      <c r="F4320" s="25">
        <v>0.0</v>
      </c>
      <c r="G4320" s="27"/>
    </row>
    <row r="4321" hidden="1">
      <c r="A4321" s="21"/>
      <c r="B4321" s="21" t="s">
        <v>5126</v>
      </c>
      <c r="D4321" s="25">
        <v>0.0</v>
      </c>
      <c r="E4321" s="27"/>
      <c r="F4321" s="25">
        <v>0.0</v>
      </c>
      <c r="G4321" s="27"/>
    </row>
    <row r="4322" hidden="1">
      <c r="A4322" s="21"/>
      <c r="B4322" s="21" t="s">
        <v>5127</v>
      </c>
      <c r="D4322" s="25">
        <v>0.0</v>
      </c>
      <c r="E4322" s="27"/>
      <c r="F4322" s="25">
        <v>0.0</v>
      </c>
      <c r="G4322" s="27"/>
    </row>
    <row r="4323" hidden="1">
      <c r="A4323" s="21"/>
      <c r="B4323" s="21" t="s">
        <v>5128</v>
      </c>
      <c r="D4323" s="25">
        <v>0.0</v>
      </c>
      <c r="E4323" s="27"/>
      <c r="F4323" s="25">
        <v>0.0</v>
      </c>
      <c r="G4323" s="27"/>
    </row>
    <row r="4324" hidden="1">
      <c r="A4324" s="21"/>
      <c r="B4324" s="21" t="s">
        <v>5129</v>
      </c>
      <c r="D4324" s="25">
        <v>0.0</v>
      </c>
      <c r="E4324" s="27"/>
      <c r="F4324" s="25">
        <v>0.0</v>
      </c>
      <c r="G4324" s="27"/>
    </row>
    <row r="4325" hidden="1">
      <c r="A4325" s="21"/>
      <c r="B4325" s="21" t="s">
        <v>5130</v>
      </c>
      <c r="D4325" s="25">
        <v>0.0</v>
      </c>
      <c r="E4325" s="27"/>
      <c r="F4325" s="25">
        <v>0.0</v>
      </c>
      <c r="G4325" s="27"/>
    </row>
    <row r="4326" hidden="1">
      <c r="A4326" s="21"/>
      <c r="B4326" s="21" t="s">
        <v>5131</v>
      </c>
      <c r="D4326" s="25">
        <v>0.0</v>
      </c>
      <c r="E4326" s="27"/>
      <c r="F4326" s="25">
        <v>0.0</v>
      </c>
      <c r="G4326" s="27"/>
    </row>
    <row r="4327" hidden="1">
      <c r="A4327" s="21"/>
      <c r="B4327" s="21" t="s">
        <v>5132</v>
      </c>
      <c r="D4327" s="25">
        <v>0.0</v>
      </c>
      <c r="E4327" s="27"/>
      <c r="F4327" s="25">
        <v>6.51</v>
      </c>
      <c r="G4327" s="27"/>
    </row>
    <row r="4328" hidden="1">
      <c r="A4328" s="21"/>
      <c r="B4328" s="21" t="s">
        <v>5133</v>
      </c>
      <c r="D4328" s="25">
        <v>0.0</v>
      </c>
      <c r="E4328" s="27"/>
      <c r="F4328" s="25">
        <v>0.0</v>
      </c>
      <c r="G4328" s="27"/>
    </row>
    <row r="4329" hidden="1">
      <c r="A4329" s="21"/>
      <c r="B4329" s="21" t="s">
        <v>5134</v>
      </c>
      <c r="D4329" s="25">
        <v>0.0</v>
      </c>
      <c r="E4329" s="27"/>
      <c r="F4329" s="25">
        <v>0.0</v>
      </c>
      <c r="G4329" s="27"/>
    </row>
    <row r="4330" hidden="1">
      <c r="A4330" s="21"/>
      <c r="B4330" s="21" t="s">
        <v>5135</v>
      </c>
      <c r="D4330" s="25">
        <v>0.0</v>
      </c>
      <c r="E4330" s="27"/>
      <c r="F4330" s="25">
        <v>0.0</v>
      </c>
      <c r="G4330" s="27"/>
    </row>
    <row r="4331" hidden="1">
      <c r="A4331" s="21"/>
      <c r="B4331" s="21" t="s">
        <v>5136</v>
      </c>
      <c r="D4331" s="25">
        <v>0.0</v>
      </c>
      <c r="E4331" s="27"/>
      <c r="F4331" s="25">
        <v>0.0</v>
      </c>
      <c r="G4331" s="27"/>
    </row>
    <row r="4332" hidden="1">
      <c r="A4332" s="21"/>
      <c r="B4332" s="21" t="s">
        <v>5137</v>
      </c>
      <c r="D4332" s="25">
        <v>0.0</v>
      </c>
      <c r="E4332" s="27"/>
      <c r="F4332" s="25">
        <v>0.0</v>
      </c>
      <c r="G4332" s="27"/>
    </row>
    <row r="4333" hidden="1">
      <c r="A4333" s="21"/>
      <c r="B4333" s="21" t="s">
        <v>5138</v>
      </c>
      <c r="D4333" s="25">
        <v>0.0</v>
      </c>
      <c r="E4333" s="27"/>
      <c r="F4333" s="25">
        <v>0.0</v>
      </c>
      <c r="G4333" s="27"/>
    </row>
    <row r="4334" hidden="1">
      <c r="A4334" s="21"/>
      <c r="B4334" s="21" t="s">
        <v>5139</v>
      </c>
      <c r="D4334" s="25">
        <v>0.0</v>
      </c>
      <c r="E4334" s="27"/>
      <c r="F4334" s="25">
        <v>0.0</v>
      </c>
      <c r="G4334" s="27"/>
    </row>
    <row r="4335" hidden="1">
      <c r="A4335" s="21"/>
      <c r="B4335" s="21" t="s">
        <v>5140</v>
      </c>
      <c r="D4335" s="25">
        <v>0.0</v>
      </c>
      <c r="E4335" s="27"/>
      <c r="F4335" s="25">
        <v>0.0</v>
      </c>
      <c r="G4335" s="27"/>
    </row>
    <row r="4336" hidden="1">
      <c r="A4336" s="21"/>
      <c r="B4336" s="21" t="s">
        <v>5141</v>
      </c>
      <c r="D4336" s="25">
        <v>0.0</v>
      </c>
      <c r="E4336" s="27"/>
      <c r="F4336" s="25">
        <v>6.15</v>
      </c>
      <c r="G4336" s="27"/>
    </row>
    <row r="4337" hidden="1">
      <c r="A4337" s="21"/>
      <c r="B4337" s="21" t="s">
        <v>5142</v>
      </c>
      <c r="D4337" s="25">
        <v>0.0</v>
      </c>
      <c r="E4337" s="27"/>
      <c r="F4337" s="25">
        <v>0.0</v>
      </c>
      <c r="G4337" s="27"/>
    </row>
    <row r="4338" hidden="1">
      <c r="A4338" s="21"/>
      <c r="B4338" s="21" t="s">
        <v>5143</v>
      </c>
      <c r="D4338" s="25">
        <v>0.0</v>
      </c>
      <c r="E4338" s="27"/>
      <c r="F4338" s="25">
        <v>0.0</v>
      </c>
      <c r="G4338" s="27"/>
    </row>
    <row r="4339" hidden="1">
      <c r="A4339" s="21"/>
      <c r="B4339" s="21" t="s">
        <v>5144</v>
      </c>
      <c r="D4339" s="25">
        <v>0.0</v>
      </c>
      <c r="E4339" s="27"/>
      <c r="F4339" s="25">
        <v>0.0</v>
      </c>
      <c r="G4339" s="27"/>
    </row>
    <row r="4340" hidden="1">
      <c r="A4340" s="21"/>
      <c r="B4340" s="21" t="s">
        <v>5145</v>
      </c>
      <c r="D4340" s="25">
        <v>0.0</v>
      </c>
      <c r="E4340" s="27"/>
      <c r="F4340" s="25">
        <v>0.0</v>
      </c>
      <c r="G4340" s="27"/>
    </row>
    <row r="4341" hidden="1">
      <c r="A4341" s="21"/>
      <c r="B4341" s="21" t="s">
        <v>5146</v>
      </c>
      <c r="D4341" s="25">
        <v>0.0</v>
      </c>
      <c r="E4341" s="27"/>
      <c r="F4341" s="25">
        <v>0.0</v>
      </c>
      <c r="G4341" s="27"/>
    </row>
    <row r="4342" hidden="1">
      <c r="A4342" s="21"/>
      <c r="B4342" s="21" t="s">
        <v>5147</v>
      </c>
      <c r="D4342" s="25">
        <v>0.0</v>
      </c>
      <c r="E4342" s="27"/>
      <c r="F4342" s="25">
        <v>0.0</v>
      </c>
      <c r="G4342" s="27"/>
    </row>
    <row r="4343" hidden="1">
      <c r="A4343" s="21"/>
      <c r="B4343" s="21" t="s">
        <v>5148</v>
      </c>
      <c r="D4343" s="25">
        <v>0.0</v>
      </c>
      <c r="E4343" s="27"/>
      <c r="F4343" s="25">
        <v>0.0</v>
      </c>
      <c r="G4343" s="27"/>
    </row>
    <row r="4344" hidden="1">
      <c r="A4344" s="21"/>
      <c r="B4344" s="21" t="s">
        <v>5149</v>
      </c>
      <c r="D4344" s="25">
        <v>0.0</v>
      </c>
      <c r="E4344" s="27"/>
      <c r="F4344" s="25">
        <v>0.0</v>
      </c>
      <c r="G4344" s="27"/>
    </row>
    <row r="4345" hidden="1">
      <c r="A4345" s="21"/>
      <c r="B4345" s="21" t="s">
        <v>5150</v>
      </c>
      <c r="D4345" s="25">
        <v>0.0</v>
      </c>
      <c r="E4345" s="27"/>
      <c r="F4345" s="25">
        <v>0.0</v>
      </c>
      <c r="G4345" s="27"/>
    </row>
    <row r="4346" hidden="1">
      <c r="A4346" s="21"/>
      <c r="B4346" s="21" t="s">
        <v>5151</v>
      </c>
      <c r="D4346" s="25">
        <v>0.0</v>
      </c>
      <c r="E4346" s="27"/>
      <c r="F4346" s="25">
        <v>0.0</v>
      </c>
      <c r="G4346" s="27"/>
    </row>
    <row r="4347" hidden="1">
      <c r="A4347" s="21"/>
      <c r="B4347" s="21" t="s">
        <v>5152</v>
      </c>
      <c r="D4347" s="25">
        <v>0.0</v>
      </c>
      <c r="E4347" s="27"/>
      <c r="F4347" s="25">
        <v>0.0</v>
      </c>
      <c r="G4347" s="27"/>
    </row>
    <row r="4348" hidden="1">
      <c r="A4348" s="21"/>
      <c r="B4348" s="21" t="s">
        <v>5153</v>
      </c>
      <c r="D4348" s="25">
        <v>0.0</v>
      </c>
      <c r="E4348" s="27"/>
      <c r="F4348" s="25">
        <v>0.0</v>
      </c>
      <c r="G4348" s="27"/>
    </row>
    <row r="4349" hidden="1">
      <c r="A4349" s="21"/>
      <c r="B4349" s="21" t="s">
        <v>5154</v>
      </c>
      <c r="D4349" s="25">
        <v>0.0</v>
      </c>
      <c r="E4349" s="27"/>
      <c r="F4349" s="25">
        <v>0.0</v>
      </c>
      <c r="G4349" s="27"/>
    </row>
    <row r="4350" hidden="1">
      <c r="A4350" s="21"/>
      <c r="B4350" s="21" t="s">
        <v>5155</v>
      </c>
      <c r="D4350" s="25">
        <v>0.0</v>
      </c>
      <c r="E4350" s="27"/>
      <c r="F4350" s="25">
        <v>0.0</v>
      </c>
      <c r="G4350" s="27"/>
    </row>
    <row r="4351" hidden="1">
      <c r="A4351" s="21"/>
      <c r="B4351" s="21" t="s">
        <v>5156</v>
      </c>
      <c r="D4351" s="25">
        <v>0.0</v>
      </c>
      <c r="E4351" s="27"/>
      <c r="F4351" s="25">
        <v>0.0</v>
      </c>
      <c r="G4351" s="27"/>
    </row>
    <row r="4352" hidden="1">
      <c r="A4352" s="21"/>
      <c r="B4352" s="21" t="s">
        <v>5157</v>
      </c>
      <c r="D4352" s="25">
        <v>0.0</v>
      </c>
      <c r="E4352" s="27"/>
      <c r="F4352" s="25">
        <v>0.0</v>
      </c>
      <c r="G4352" s="27"/>
    </row>
    <row r="4353" hidden="1">
      <c r="A4353" s="21"/>
      <c r="B4353" s="21" t="s">
        <v>5158</v>
      </c>
      <c r="D4353" s="25">
        <v>0.0</v>
      </c>
      <c r="E4353" s="27"/>
      <c r="F4353" s="25">
        <v>0.0</v>
      </c>
      <c r="G4353" s="27"/>
    </row>
    <row r="4354" hidden="1">
      <c r="A4354" s="21"/>
      <c r="B4354" s="21" t="s">
        <v>5159</v>
      </c>
      <c r="D4354" s="25">
        <v>0.0</v>
      </c>
      <c r="E4354" s="27"/>
      <c r="F4354" s="25">
        <v>0.0</v>
      </c>
      <c r="G4354" s="27"/>
    </row>
    <row r="4355" hidden="1">
      <c r="A4355" s="21"/>
      <c r="B4355" s="21" t="s">
        <v>5160</v>
      </c>
      <c r="D4355" s="25">
        <v>0.0</v>
      </c>
      <c r="E4355" s="27"/>
      <c r="F4355" s="25">
        <v>0.0</v>
      </c>
      <c r="G4355" s="27"/>
    </row>
    <row r="4356" hidden="1">
      <c r="A4356" s="21"/>
      <c r="B4356" s="21" t="s">
        <v>5161</v>
      </c>
      <c r="D4356" s="25">
        <v>0.0</v>
      </c>
      <c r="E4356" s="27"/>
      <c r="F4356" s="25">
        <v>0.0</v>
      </c>
      <c r="G4356" s="27"/>
    </row>
    <row r="4357" hidden="1">
      <c r="A4357" s="21"/>
      <c r="B4357" s="21" t="s">
        <v>5162</v>
      </c>
      <c r="D4357" s="25">
        <v>0.0</v>
      </c>
      <c r="E4357" s="27"/>
      <c r="F4357" s="25">
        <v>0.0</v>
      </c>
      <c r="G4357" s="27"/>
    </row>
    <row r="4358" hidden="1">
      <c r="A4358" s="21"/>
      <c r="B4358" s="21" t="s">
        <v>5163</v>
      </c>
      <c r="D4358" s="25">
        <v>0.0</v>
      </c>
      <c r="E4358" s="27"/>
      <c r="F4358" s="25">
        <v>0.0</v>
      </c>
      <c r="G4358" s="27"/>
    </row>
    <row r="4359" hidden="1">
      <c r="A4359" s="21"/>
      <c r="B4359" s="21" t="s">
        <v>5164</v>
      </c>
      <c r="D4359" s="25">
        <v>0.0</v>
      </c>
      <c r="E4359" s="27"/>
      <c r="F4359" s="25">
        <v>0.0</v>
      </c>
      <c r="G4359" s="27"/>
    </row>
    <row r="4360" hidden="1">
      <c r="A4360" s="21"/>
      <c r="B4360" s="21" t="s">
        <v>5165</v>
      </c>
      <c r="D4360" s="25">
        <v>0.0</v>
      </c>
      <c r="E4360" s="27"/>
      <c r="F4360" s="25">
        <v>0.0</v>
      </c>
      <c r="G4360" s="27"/>
    </row>
    <row r="4361" hidden="1">
      <c r="A4361" s="21"/>
      <c r="B4361" s="21" t="s">
        <v>5166</v>
      </c>
      <c r="D4361" s="25">
        <v>0.0</v>
      </c>
      <c r="E4361" s="27"/>
      <c r="F4361" s="25">
        <v>0.0</v>
      </c>
      <c r="G4361" s="27"/>
    </row>
    <row r="4362" hidden="1">
      <c r="A4362" s="21"/>
      <c r="B4362" s="21" t="s">
        <v>5167</v>
      </c>
      <c r="D4362" s="25">
        <v>0.0</v>
      </c>
      <c r="E4362" s="27"/>
      <c r="F4362" s="25">
        <v>0.0</v>
      </c>
      <c r="G4362" s="27"/>
    </row>
    <row r="4363" hidden="1">
      <c r="A4363" s="21"/>
      <c r="B4363" s="21" t="s">
        <v>5168</v>
      </c>
      <c r="D4363" s="25">
        <v>0.0</v>
      </c>
      <c r="E4363" s="27"/>
      <c r="F4363" s="25">
        <v>0.0</v>
      </c>
      <c r="G4363" s="27"/>
    </row>
    <row r="4364" hidden="1">
      <c r="A4364" s="21"/>
      <c r="B4364" s="21" t="s">
        <v>5169</v>
      </c>
      <c r="D4364" s="25">
        <v>0.0</v>
      </c>
      <c r="E4364" s="27"/>
      <c r="F4364" s="25">
        <v>0.0</v>
      </c>
      <c r="G4364" s="27"/>
    </row>
    <row r="4365" hidden="1">
      <c r="A4365" s="21"/>
      <c r="B4365" s="21" t="s">
        <v>5170</v>
      </c>
      <c r="D4365" s="25">
        <v>0.0</v>
      </c>
      <c r="E4365" s="27"/>
      <c r="F4365" s="25">
        <v>0.0</v>
      </c>
      <c r="G4365" s="27"/>
    </row>
    <row r="4366" hidden="1">
      <c r="A4366" s="21"/>
      <c r="B4366" s="21" t="s">
        <v>5171</v>
      </c>
      <c r="D4366" s="25">
        <v>0.0</v>
      </c>
      <c r="E4366" s="27"/>
      <c r="F4366" s="25">
        <v>0.0</v>
      </c>
      <c r="G4366" s="27"/>
    </row>
    <row r="4367" hidden="1">
      <c r="A4367" s="21"/>
      <c r="B4367" s="21" t="s">
        <v>5172</v>
      </c>
      <c r="D4367" s="25">
        <v>0.0</v>
      </c>
      <c r="E4367" s="27"/>
      <c r="F4367" s="25">
        <v>0.0</v>
      </c>
      <c r="G4367" s="27"/>
    </row>
    <row r="4368" hidden="1">
      <c r="A4368" s="21"/>
      <c r="B4368" s="21" t="s">
        <v>664</v>
      </c>
      <c r="D4368" s="25">
        <v>0.0</v>
      </c>
      <c r="E4368" s="27"/>
      <c r="F4368" s="25">
        <v>0.0</v>
      </c>
      <c r="G4368" s="27"/>
    </row>
    <row r="4369" hidden="1">
      <c r="A4369" s="21"/>
      <c r="B4369" s="21" t="s">
        <v>665</v>
      </c>
      <c r="D4369" s="25">
        <v>0.0</v>
      </c>
      <c r="E4369" s="27"/>
      <c r="F4369" s="25">
        <v>1.21</v>
      </c>
      <c r="G4369" s="27"/>
    </row>
    <row r="4370" hidden="1">
      <c r="A4370" s="21"/>
      <c r="B4370" s="21" t="s">
        <v>666</v>
      </c>
      <c r="D4370" s="25">
        <v>0.0</v>
      </c>
      <c r="E4370" s="27"/>
      <c r="F4370" s="25">
        <v>1.21</v>
      </c>
      <c r="G4370" s="27"/>
    </row>
    <row r="4371" hidden="1">
      <c r="A4371" s="21"/>
      <c r="B4371" s="21" t="s">
        <v>667</v>
      </c>
      <c r="D4371" s="25">
        <v>0.0</v>
      </c>
      <c r="E4371" s="27"/>
      <c r="F4371" s="25">
        <v>0.0</v>
      </c>
      <c r="G4371" s="27"/>
    </row>
    <row r="4372" hidden="1">
      <c r="A4372" s="21"/>
      <c r="B4372" s="21" t="s">
        <v>668</v>
      </c>
      <c r="D4372" s="25">
        <v>0.0</v>
      </c>
      <c r="E4372" s="27"/>
      <c r="F4372" s="25">
        <v>0.0</v>
      </c>
      <c r="G4372" s="27"/>
    </row>
    <row r="4373" hidden="1">
      <c r="A4373" s="21"/>
      <c r="B4373" s="21" t="s">
        <v>669</v>
      </c>
      <c r="D4373" s="25">
        <v>0.0</v>
      </c>
      <c r="E4373" s="27"/>
      <c r="F4373" s="25">
        <v>0.0</v>
      </c>
      <c r="G4373" s="27"/>
    </row>
    <row r="4374" hidden="1">
      <c r="A4374" s="21"/>
      <c r="B4374" s="21" t="s">
        <v>670</v>
      </c>
      <c r="D4374" s="25">
        <v>0.0</v>
      </c>
      <c r="E4374" s="27"/>
      <c r="F4374" s="25">
        <v>0.0</v>
      </c>
      <c r="G4374" s="27"/>
    </row>
    <row r="4375" hidden="1">
      <c r="A4375" s="21"/>
      <c r="B4375" s="21" t="s">
        <v>671</v>
      </c>
      <c r="D4375" s="25">
        <v>0.0</v>
      </c>
      <c r="E4375" s="27"/>
      <c r="F4375" s="25">
        <v>0.0</v>
      </c>
      <c r="G4375" s="27"/>
    </row>
    <row r="4376" hidden="1">
      <c r="A4376" s="21"/>
      <c r="B4376" s="21" t="s">
        <v>672</v>
      </c>
      <c r="D4376" s="25">
        <v>0.0</v>
      </c>
      <c r="E4376" s="27"/>
      <c r="F4376" s="25">
        <v>0.0</v>
      </c>
      <c r="G4376" s="27"/>
    </row>
    <row r="4377" hidden="1">
      <c r="A4377" s="21"/>
      <c r="B4377" s="21" t="s">
        <v>673</v>
      </c>
      <c r="D4377" s="25">
        <v>0.0</v>
      </c>
      <c r="E4377" s="27"/>
      <c r="F4377" s="25">
        <v>0.0</v>
      </c>
      <c r="G4377" s="27"/>
    </row>
    <row r="4378" hidden="1">
      <c r="A4378" s="21"/>
      <c r="B4378" s="21" t="s">
        <v>674</v>
      </c>
      <c r="D4378" s="25">
        <v>0.0</v>
      </c>
      <c r="E4378" s="27"/>
      <c r="F4378" s="25">
        <v>0.0</v>
      </c>
      <c r="G4378" s="27"/>
    </row>
    <row r="4379" hidden="1">
      <c r="A4379" s="21"/>
      <c r="B4379" s="21" t="s">
        <v>675</v>
      </c>
      <c r="D4379" s="25">
        <v>0.0</v>
      </c>
      <c r="E4379" s="27"/>
      <c r="F4379" s="25">
        <v>0.0</v>
      </c>
      <c r="G4379" s="27"/>
    </row>
    <row r="4380" hidden="1">
      <c r="A4380" s="21"/>
      <c r="B4380" s="21" t="s">
        <v>676</v>
      </c>
      <c r="D4380" s="25">
        <v>0.0</v>
      </c>
      <c r="E4380" s="27"/>
      <c r="F4380" s="25">
        <v>0.0</v>
      </c>
      <c r="G4380" s="27"/>
    </row>
    <row r="4381" hidden="1">
      <c r="A4381" s="21"/>
      <c r="B4381" s="21" t="s">
        <v>677</v>
      </c>
      <c r="D4381" s="25">
        <v>0.0</v>
      </c>
      <c r="E4381" s="27"/>
      <c r="F4381" s="25">
        <v>0.0</v>
      </c>
      <c r="G4381" s="27"/>
    </row>
    <row r="4382" hidden="1">
      <c r="A4382" s="21"/>
      <c r="B4382" s="21" t="s">
        <v>678</v>
      </c>
      <c r="D4382" s="25">
        <v>0.0</v>
      </c>
      <c r="E4382" s="27"/>
      <c r="F4382" s="25">
        <v>0.0</v>
      </c>
      <c r="G4382" s="27"/>
    </row>
    <row r="4383" hidden="1">
      <c r="A4383" s="21"/>
      <c r="B4383" s="21" t="s">
        <v>679</v>
      </c>
      <c r="D4383" s="25">
        <v>0.0</v>
      </c>
      <c r="E4383" s="27"/>
      <c r="F4383" s="25">
        <v>0.0</v>
      </c>
      <c r="G4383" s="27"/>
    </row>
    <row r="4384" hidden="1">
      <c r="A4384" s="21"/>
      <c r="B4384" s="21" t="s">
        <v>680</v>
      </c>
      <c r="D4384" s="25">
        <v>0.0</v>
      </c>
      <c r="E4384" s="27"/>
      <c r="F4384" s="25">
        <v>0.0</v>
      </c>
      <c r="G4384" s="27"/>
    </row>
    <row r="4385" hidden="1">
      <c r="A4385" s="21"/>
      <c r="B4385" s="21" t="s">
        <v>681</v>
      </c>
      <c r="D4385" s="25">
        <v>0.0</v>
      </c>
      <c r="E4385" s="27"/>
      <c r="F4385" s="25">
        <v>0.0</v>
      </c>
      <c r="G4385" s="27"/>
    </row>
    <row r="4386" hidden="1">
      <c r="A4386" s="21"/>
      <c r="B4386" s="21" t="s">
        <v>682</v>
      </c>
      <c r="D4386" s="25">
        <v>0.0</v>
      </c>
      <c r="E4386" s="27"/>
      <c r="F4386" s="25">
        <v>0.0</v>
      </c>
      <c r="G4386" s="27"/>
    </row>
    <row r="4387" hidden="1">
      <c r="A4387" s="21"/>
      <c r="B4387" s="21" t="s">
        <v>683</v>
      </c>
      <c r="D4387" s="25">
        <v>0.0</v>
      </c>
      <c r="E4387" s="27"/>
      <c r="F4387" s="25">
        <v>0.0</v>
      </c>
      <c r="G4387" s="27"/>
    </row>
    <row r="4388" hidden="1">
      <c r="A4388" s="21"/>
      <c r="B4388" s="21" t="s">
        <v>684</v>
      </c>
      <c r="D4388" s="25">
        <v>0.0</v>
      </c>
      <c r="E4388" s="27"/>
      <c r="F4388" s="25">
        <v>0.0</v>
      </c>
      <c r="G4388" s="27"/>
    </row>
    <row r="4389" hidden="1">
      <c r="A4389" s="21"/>
      <c r="B4389" s="21" t="s">
        <v>685</v>
      </c>
      <c r="D4389" s="25">
        <v>0.0</v>
      </c>
      <c r="E4389" s="27"/>
      <c r="F4389" s="25">
        <v>0.0</v>
      </c>
      <c r="G4389" s="27"/>
    </row>
    <row r="4390" hidden="1">
      <c r="A4390" s="21"/>
      <c r="B4390" s="21" t="s">
        <v>686</v>
      </c>
      <c r="D4390" s="25">
        <v>0.0</v>
      </c>
      <c r="E4390" s="27"/>
      <c r="F4390" s="25">
        <v>0.0</v>
      </c>
      <c r="G4390" s="27"/>
    </row>
    <row r="4391" hidden="1">
      <c r="A4391" s="21"/>
      <c r="B4391" s="21" t="s">
        <v>687</v>
      </c>
      <c r="D4391" s="25">
        <v>0.0</v>
      </c>
      <c r="E4391" s="27"/>
      <c r="F4391" s="25">
        <v>0.0</v>
      </c>
      <c r="G4391" s="27"/>
    </row>
    <row r="4392" hidden="1">
      <c r="A4392" s="21"/>
      <c r="B4392" s="21" t="s">
        <v>688</v>
      </c>
      <c r="D4392" s="25">
        <v>0.0</v>
      </c>
      <c r="E4392" s="27"/>
      <c r="F4392" s="25">
        <v>0.0</v>
      </c>
      <c r="G4392" s="27"/>
    </row>
    <row r="4393" hidden="1">
      <c r="A4393" s="21"/>
      <c r="B4393" s="21" t="s">
        <v>689</v>
      </c>
      <c r="D4393" s="25">
        <v>0.0</v>
      </c>
      <c r="E4393" s="27"/>
      <c r="F4393" s="25">
        <v>0.0</v>
      </c>
      <c r="G4393" s="27"/>
    </row>
    <row r="4394" hidden="1">
      <c r="A4394" s="21"/>
      <c r="B4394" s="21" t="s">
        <v>690</v>
      </c>
      <c r="D4394" s="25">
        <v>0.0</v>
      </c>
      <c r="E4394" s="27"/>
      <c r="F4394" s="25">
        <v>0.0</v>
      </c>
      <c r="G4394" s="27"/>
    </row>
    <row r="4395" hidden="1">
      <c r="A4395" s="21"/>
      <c r="B4395" s="21" t="s">
        <v>691</v>
      </c>
      <c r="D4395" s="25">
        <v>0.0</v>
      </c>
      <c r="E4395" s="27"/>
      <c r="F4395" s="25">
        <v>0.0</v>
      </c>
      <c r="G4395" s="27"/>
    </row>
    <row r="4396" hidden="1">
      <c r="A4396" s="21"/>
      <c r="B4396" s="21" t="s">
        <v>692</v>
      </c>
      <c r="D4396" s="25">
        <v>0.0</v>
      </c>
      <c r="E4396" s="27"/>
      <c r="F4396" s="25">
        <v>0.0</v>
      </c>
      <c r="G4396" s="27"/>
    </row>
    <row r="4397" hidden="1">
      <c r="A4397" s="21"/>
      <c r="B4397" s="21" t="s">
        <v>693</v>
      </c>
      <c r="D4397" s="25">
        <v>0.0</v>
      </c>
      <c r="E4397" s="27"/>
      <c r="F4397" s="25">
        <v>0.0</v>
      </c>
      <c r="G4397" s="27"/>
    </row>
    <row r="4398" hidden="1">
      <c r="A4398" s="21"/>
      <c r="B4398" s="21" t="s">
        <v>694</v>
      </c>
      <c r="D4398" s="25">
        <v>0.0</v>
      </c>
      <c r="E4398" s="27"/>
      <c r="F4398" s="25">
        <v>0.0</v>
      </c>
      <c r="G4398" s="27"/>
    </row>
    <row r="4399" hidden="1">
      <c r="A4399" s="21"/>
      <c r="B4399" s="21" t="s">
        <v>695</v>
      </c>
      <c r="D4399" s="25">
        <v>0.0</v>
      </c>
      <c r="E4399" s="27"/>
      <c r="F4399" s="25">
        <v>0.0</v>
      </c>
      <c r="G4399" s="27"/>
    </row>
    <row r="4400" hidden="1">
      <c r="A4400" s="21"/>
      <c r="B4400" s="21" t="s">
        <v>696</v>
      </c>
      <c r="D4400" s="25">
        <v>0.0</v>
      </c>
      <c r="E4400" s="27"/>
      <c r="F4400" s="25">
        <v>0.0</v>
      </c>
      <c r="G4400" s="27"/>
    </row>
    <row r="4401" hidden="1">
      <c r="A4401" s="21"/>
      <c r="B4401" s="21" t="s">
        <v>697</v>
      </c>
      <c r="D4401" s="25">
        <v>0.0</v>
      </c>
      <c r="E4401" s="27"/>
      <c r="F4401" s="25">
        <v>0.0</v>
      </c>
      <c r="G4401" s="27"/>
    </row>
    <row r="4402" hidden="1">
      <c r="A4402" s="21"/>
      <c r="B4402" s="21" t="s">
        <v>698</v>
      </c>
      <c r="D4402" s="25">
        <v>0.0</v>
      </c>
      <c r="E4402" s="27"/>
      <c r="F4402" s="25">
        <v>0.0</v>
      </c>
      <c r="G4402" s="27"/>
    </row>
    <row r="4403" hidden="1">
      <c r="A4403" s="21"/>
      <c r="B4403" s="21" t="s">
        <v>699</v>
      </c>
      <c r="D4403" s="25">
        <v>0.0</v>
      </c>
      <c r="E4403" s="27"/>
      <c r="F4403" s="25">
        <v>0.0</v>
      </c>
      <c r="G4403" s="27"/>
    </row>
    <row r="4404" hidden="1">
      <c r="A4404" s="21"/>
      <c r="B4404" s="21" t="s">
        <v>700</v>
      </c>
      <c r="D4404" s="25">
        <v>0.0</v>
      </c>
      <c r="E4404" s="27"/>
      <c r="F4404" s="25">
        <v>0.0</v>
      </c>
      <c r="G4404" s="27"/>
    </row>
    <row r="4405" hidden="1">
      <c r="A4405" s="21"/>
      <c r="B4405" s="21" t="s">
        <v>701</v>
      </c>
      <c r="D4405" s="25">
        <v>0.0</v>
      </c>
      <c r="E4405" s="27"/>
      <c r="F4405" s="25">
        <v>0.0</v>
      </c>
      <c r="G4405" s="27"/>
    </row>
    <row r="4406" hidden="1">
      <c r="A4406" s="21"/>
      <c r="B4406" s="21" t="s">
        <v>702</v>
      </c>
      <c r="D4406" s="25">
        <v>0.0</v>
      </c>
      <c r="E4406" s="27"/>
      <c r="F4406" s="25">
        <v>0.0</v>
      </c>
      <c r="G4406" s="27"/>
    </row>
    <row r="4407" hidden="1">
      <c r="A4407" s="21"/>
      <c r="B4407" s="21" t="s">
        <v>703</v>
      </c>
      <c r="D4407" s="25">
        <v>0.0</v>
      </c>
      <c r="E4407" s="27"/>
      <c r="F4407" s="25">
        <v>3.12</v>
      </c>
      <c r="G4407" s="27"/>
    </row>
    <row r="4408" hidden="1">
      <c r="A4408" s="21"/>
      <c r="B4408" s="21" t="s">
        <v>704</v>
      </c>
      <c r="D4408" s="25">
        <v>0.0</v>
      </c>
      <c r="E4408" s="27"/>
      <c r="F4408" s="25">
        <v>0.0</v>
      </c>
      <c r="G4408" s="27"/>
    </row>
    <row r="4409" hidden="1">
      <c r="A4409" s="21"/>
      <c r="B4409" s="21" t="s">
        <v>705</v>
      </c>
      <c r="D4409" s="25">
        <v>0.0</v>
      </c>
      <c r="E4409" s="27"/>
      <c r="F4409" s="25">
        <v>0.0</v>
      </c>
      <c r="G4409" s="27"/>
    </row>
    <row r="4410" hidden="1">
      <c r="A4410" s="21"/>
      <c r="B4410" s="21" t="s">
        <v>706</v>
      </c>
      <c r="D4410" s="25">
        <v>0.0</v>
      </c>
      <c r="E4410" s="27"/>
      <c r="F4410" s="25">
        <v>0.0</v>
      </c>
      <c r="G4410" s="27"/>
    </row>
    <row r="4411" hidden="1">
      <c r="A4411" s="21"/>
      <c r="B4411" s="21" t="s">
        <v>707</v>
      </c>
      <c r="D4411" s="25">
        <v>0.0</v>
      </c>
      <c r="E4411" s="27"/>
      <c r="F4411" s="25">
        <v>2.96</v>
      </c>
      <c r="G4411" s="27"/>
    </row>
    <row r="4412" hidden="1">
      <c r="A4412" s="21"/>
      <c r="B4412" s="21" t="s">
        <v>708</v>
      </c>
      <c r="D4412" s="25">
        <v>0.0</v>
      </c>
      <c r="E4412" s="27"/>
      <c r="F4412" s="25">
        <v>0.0</v>
      </c>
      <c r="G4412" s="27"/>
    </row>
    <row r="4413" hidden="1">
      <c r="A4413" s="21"/>
      <c r="B4413" s="21" t="s">
        <v>709</v>
      </c>
      <c r="D4413" s="25">
        <v>0.0</v>
      </c>
      <c r="E4413" s="27"/>
      <c r="F4413" s="25">
        <v>0.0</v>
      </c>
      <c r="G4413" s="27"/>
    </row>
    <row r="4414" hidden="1">
      <c r="A4414" s="21"/>
      <c r="B4414" s="21" t="s">
        <v>710</v>
      </c>
      <c r="D4414" s="25">
        <v>0.0</v>
      </c>
      <c r="E4414" s="27"/>
      <c r="F4414" s="25">
        <v>0.0</v>
      </c>
      <c r="G4414" s="27"/>
    </row>
    <row r="4415" hidden="1">
      <c r="A4415" s="21"/>
      <c r="B4415" s="21" t="s">
        <v>711</v>
      </c>
      <c r="D4415" s="25">
        <v>0.0</v>
      </c>
      <c r="E4415" s="27"/>
      <c r="F4415" s="25">
        <v>0.0</v>
      </c>
      <c r="G4415" s="27"/>
    </row>
    <row r="4416" hidden="1">
      <c r="A4416" s="21"/>
      <c r="B4416" s="21" t="s">
        <v>712</v>
      </c>
      <c r="D4416" s="25">
        <v>0.0</v>
      </c>
      <c r="E4416" s="27"/>
      <c r="F4416" s="25">
        <v>0.0</v>
      </c>
      <c r="G4416" s="27"/>
    </row>
    <row r="4417" hidden="1">
      <c r="A4417" s="21"/>
      <c r="B4417" s="21" t="s">
        <v>713</v>
      </c>
      <c r="D4417" s="25">
        <v>0.0</v>
      </c>
      <c r="E4417" s="27"/>
      <c r="F4417" s="25">
        <v>0.0</v>
      </c>
      <c r="G4417" s="27"/>
    </row>
    <row r="4418" hidden="1">
      <c r="A4418" s="21"/>
      <c r="B4418" s="21" t="s">
        <v>714</v>
      </c>
      <c r="D4418" s="25">
        <v>0.0</v>
      </c>
      <c r="E4418" s="27"/>
      <c r="F4418" s="25">
        <v>0.0</v>
      </c>
      <c r="G4418" s="27"/>
    </row>
    <row r="4419" hidden="1">
      <c r="A4419" s="21"/>
      <c r="B4419" s="21" t="s">
        <v>715</v>
      </c>
      <c r="D4419" s="25">
        <v>0.0</v>
      </c>
      <c r="E4419" s="27"/>
      <c r="F4419" s="25">
        <v>0.0</v>
      </c>
      <c r="G4419" s="27"/>
    </row>
    <row r="4420" hidden="1">
      <c r="A4420" s="21"/>
      <c r="B4420" s="21" t="s">
        <v>716</v>
      </c>
      <c r="D4420" s="25">
        <v>0.0</v>
      </c>
      <c r="E4420" s="27"/>
      <c r="F4420" s="25">
        <v>0.0</v>
      </c>
      <c r="G4420" s="27"/>
    </row>
    <row r="4421" hidden="1">
      <c r="A4421" s="21"/>
      <c r="B4421" s="21" t="s">
        <v>717</v>
      </c>
      <c r="D4421" s="25">
        <v>0.0</v>
      </c>
      <c r="E4421" s="27"/>
      <c r="F4421" s="25">
        <v>0.0</v>
      </c>
      <c r="G4421" s="27"/>
    </row>
    <row r="4422" hidden="1">
      <c r="A4422" s="21"/>
      <c r="B4422" s="21" t="s">
        <v>718</v>
      </c>
      <c r="D4422" s="25">
        <v>0.0</v>
      </c>
      <c r="E4422" s="27"/>
      <c r="F4422" s="25">
        <v>0.0</v>
      </c>
      <c r="G4422" s="27"/>
    </row>
    <row r="4423" hidden="1">
      <c r="A4423" s="21"/>
      <c r="B4423" s="21" t="s">
        <v>719</v>
      </c>
      <c r="D4423" s="25">
        <v>0.0</v>
      </c>
      <c r="E4423" s="27"/>
      <c r="F4423" s="25">
        <v>0.0</v>
      </c>
      <c r="G4423" s="27"/>
    </row>
    <row r="4424" hidden="1">
      <c r="A4424" s="21"/>
      <c r="B4424" s="21" t="s">
        <v>720</v>
      </c>
      <c r="D4424" s="25">
        <v>0.0</v>
      </c>
      <c r="E4424" s="27"/>
      <c r="F4424" s="25">
        <v>0.0</v>
      </c>
      <c r="G4424" s="27"/>
    </row>
    <row r="4425" hidden="1">
      <c r="A4425" s="21"/>
      <c r="B4425" s="21" t="s">
        <v>721</v>
      </c>
      <c r="D4425" s="25">
        <v>0.0</v>
      </c>
      <c r="E4425" s="27"/>
      <c r="F4425" s="25">
        <v>0.0</v>
      </c>
      <c r="G4425" s="27"/>
    </row>
    <row r="4426" hidden="1">
      <c r="A4426" s="21"/>
      <c r="B4426" s="21" t="s">
        <v>722</v>
      </c>
      <c r="D4426" s="25">
        <v>0.0</v>
      </c>
      <c r="E4426" s="27"/>
      <c r="F4426" s="25">
        <v>0.0</v>
      </c>
      <c r="G4426" s="27"/>
    </row>
    <row r="4427" hidden="1">
      <c r="A4427" s="21"/>
      <c r="B4427" s="21" t="s">
        <v>723</v>
      </c>
      <c r="D4427" s="25">
        <v>0.0</v>
      </c>
      <c r="E4427" s="27"/>
      <c r="F4427" s="25">
        <v>0.0</v>
      </c>
      <c r="G4427" s="27"/>
    </row>
    <row r="4428" hidden="1">
      <c r="A4428" s="21"/>
      <c r="B4428" s="21" t="s">
        <v>724</v>
      </c>
      <c r="D4428" s="25">
        <v>0.0</v>
      </c>
      <c r="E4428" s="27"/>
      <c r="F4428" s="25">
        <v>1.21</v>
      </c>
      <c r="G4428" s="27"/>
    </row>
    <row r="4429" hidden="1">
      <c r="A4429" s="21"/>
      <c r="B4429" s="21" t="s">
        <v>725</v>
      </c>
      <c r="D4429" s="25">
        <v>0.0</v>
      </c>
      <c r="E4429" s="27"/>
      <c r="F4429" s="25">
        <v>0.0</v>
      </c>
      <c r="G4429" s="27"/>
    </row>
    <row r="4430" hidden="1">
      <c r="A4430" s="21"/>
      <c r="B4430" s="21" t="s">
        <v>726</v>
      </c>
      <c r="D4430" s="25">
        <v>0.0</v>
      </c>
      <c r="E4430" s="27"/>
      <c r="F4430" s="25">
        <v>0.0</v>
      </c>
      <c r="G4430" s="27"/>
    </row>
    <row r="4431" hidden="1">
      <c r="A4431" s="21"/>
      <c r="B4431" s="21" t="s">
        <v>727</v>
      </c>
      <c r="D4431" s="25">
        <v>0.0</v>
      </c>
      <c r="E4431" s="27"/>
      <c r="F4431" s="25">
        <v>0.0</v>
      </c>
      <c r="G4431" s="27"/>
    </row>
    <row r="4432" hidden="1">
      <c r="A4432" s="21"/>
      <c r="B4432" s="21" t="s">
        <v>728</v>
      </c>
      <c r="D4432" s="25">
        <v>0.0</v>
      </c>
      <c r="E4432" s="27"/>
      <c r="F4432" s="25">
        <v>0.0</v>
      </c>
      <c r="G4432" s="27"/>
    </row>
    <row r="4433" hidden="1">
      <c r="A4433" s="21"/>
      <c r="B4433" s="21" t="s">
        <v>729</v>
      </c>
      <c r="D4433" s="25">
        <v>0.0</v>
      </c>
      <c r="E4433" s="27"/>
      <c r="F4433" s="25">
        <v>0.0</v>
      </c>
      <c r="G4433" s="27"/>
    </row>
    <row r="4434" hidden="1">
      <c r="A4434" s="21"/>
      <c r="B4434" s="21" t="s">
        <v>730</v>
      </c>
      <c r="D4434" s="25">
        <v>0.0</v>
      </c>
      <c r="E4434" s="27"/>
      <c r="F4434" s="25">
        <v>0.0</v>
      </c>
      <c r="G4434" s="27"/>
    </row>
    <row r="4435" hidden="1">
      <c r="A4435" s="21"/>
      <c r="B4435" s="21" t="s">
        <v>731</v>
      </c>
      <c r="D4435" s="25">
        <v>0.0</v>
      </c>
      <c r="E4435" s="27"/>
      <c r="F4435" s="25">
        <v>0.0</v>
      </c>
      <c r="G4435" s="27"/>
    </row>
    <row r="4436" hidden="1">
      <c r="A4436" s="21"/>
      <c r="B4436" s="21" t="s">
        <v>732</v>
      </c>
      <c r="D4436" s="25">
        <v>0.0</v>
      </c>
      <c r="E4436" s="27"/>
      <c r="F4436" s="25">
        <v>0.0</v>
      </c>
      <c r="G4436" s="27"/>
    </row>
    <row r="4437" hidden="1">
      <c r="A4437" s="21"/>
      <c r="B4437" s="21" t="s">
        <v>733</v>
      </c>
      <c r="D4437" s="25">
        <v>0.0</v>
      </c>
      <c r="E4437" s="27"/>
      <c r="F4437" s="25">
        <v>0.0</v>
      </c>
      <c r="G4437" s="27"/>
    </row>
    <row r="4438" hidden="1">
      <c r="A4438" s="21"/>
      <c r="B4438" s="21" t="s">
        <v>734</v>
      </c>
      <c r="D4438" s="25">
        <v>0.0</v>
      </c>
      <c r="E4438" s="27"/>
      <c r="F4438" s="25">
        <v>0.0</v>
      </c>
      <c r="G4438" s="27"/>
    </row>
    <row r="4439" hidden="1">
      <c r="A4439" s="21"/>
      <c r="B4439" s="21" t="s">
        <v>735</v>
      </c>
      <c r="D4439" s="25">
        <v>0.0</v>
      </c>
      <c r="E4439" s="27"/>
      <c r="F4439" s="25">
        <v>0.0</v>
      </c>
      <c r="G4439" s="27"/>
    </row>
    <row r="4440" hidden="1">
      <c r="A4440" s="21"/>
      <c r="B4440" s="21" t="s">
        <v>736</v>
      </c>
      <c r="D4440" s="25">
        <v>0.0</v>
      </c>
      <c r="E4440" s="27"/>
      <c r="F4440" s="25">
        <v>0.0</v>
      </c>
      <c r="G4440" s="27"/>
    </row>
    <row r="4441" hidden="1">
      <c r="A4441" s="21"/>
      <c r="B4441" s="21" t="s">
        <v>737</v>
      </c>
      <c r="D4441" s="25">
        <v>0.0</v>
      </c>
      <c r="E4441" s="27"/>
      <c r="F4441" s="25">
        <v>0.0</v>
      </c>
      <c r="G4441" s="27"/>
    </row>
    <row r="4442" hidden="1">
      <c r="A4442" s="21"/>
      <c r="B4442" s="21" t="s">
        <v>738</v>
      </c>
      <c r="D4442" s="25">
        <v>0.0</v>
      </c>
      <c r="E4442" s="27"/>
      <c r="F4442" s="25">
        <v>0.0</v>
      </c>
      <c r="G4442" s="27"/>
    </row>
    <row r="4443" hidden="1">
      <c r="A4443" s="21"/>
      <c r="B4443" s="21" t="s">
        <v>739</v>
      </c>
      <c r="D4443" s="25">
        <v>0.0</v>
      </c>
      <c r="E4443" s="27"/>
      <c r="F4443" s="25">
        <v>0.0</v>
      </c>
      <c r="G4443" s="27"/>
    </row>
    <row r="4444" hidden="1">
      <c r="A4444" s="21"/>
      <c r="B4444" s="21" t="s">
        <v>740</v>
      </c>
      <c r="D4444" s="25">
        <v>0.0</v>
      </c>
      <c r="E4444" s="27"/>
      <c r="F4444" s="25">
        <v>0.0</v>
      </c>
      <c r="G4444" s="27"/>
    </row>
    <row r="4445" hidden="1">
      <c r="A4445" s="21"/>
      <c r="B4445" s="21" t="s">
        <v>741</v>
      </c>
      <c r="D4445" s="25">
        <v>0.0</v>
      </c>
      <c r="E4445" s="27"/>
      <c r="F4445" s="25">
        <v>0.0</v>
      </c>
      <c r="G4445" s="27"/>
    </row>
    <row r="4446" hidden="1">
      <c r="A4446" s="21"/>
      <c r="B4446" s="21" t="s">
        <v>742</v>
      </c>
      <c r="D4446" s="25">
        <v>0.0</v>
      </c>
      <c r="E4446" s="27"/>
      <c r="F4446" s="25">
        <v>0.0</v>
      </c>
      <c r="G4446" s="27"/>
    </row>
    <row r="4447" hidden="1">
      <c r="A4447" s="21"/>
      <c r="B4447" s="21" t="s">
        <v>743</v>
      </c>
      <c r="D4447" s="25">
        <v>0.0</v>
      </c>
      <c r="E4447" s="27"/>
      <c r="F4447" s="25">
        <v>0.0</v>
      </c>
      <c r="G4447" s="27"/>
    </row>
    <row r="4448" hidden="1">
      <c r="A4448" s="21"/>
      <c r="B4448" s="21" t="s">
        <v>744</v>
      </c>
      <c r="D4448" s="25">
        <v>0.0</v>
      </c>
      <c r="E4448" s="27"/>
      <c r="F4448" s="25">
        <v>0.0</v>
      </c>
      <c r="G4448" s="27"/>
    </row>
    <row r="4449" hidden="1">
      <c r="A4449" s="21"/>
      <c r="B4449" s="21" t="s">
        <v>745</v>
      </c>
      <c r="D4449" s="25">
        <v>0.0</v>
      </c>
      <c r="E4449" s="27"/>
      <c r="F4449" s="25">
        <v>0.0</v>
      </c>
      <c r="G4449" s="27"/>
    </row>
    <row r="4450" hidden="1">
      <c r="A4450" s="21"/>
      <c r="B4450" s="21" t="s">
        <v>746</v>
      </c>
      <c r="D4450" s="25">
        <v>0.0</v>
      </c>
      <c r="E4450" s="27"/>
      <c r="F4450" s="25">
        <v>0.0</v>
      </c>
      <c r="G4450" s="27"/>
    </row>
    <row r="4451" hidden="1">
      <c r="A4451" s="21"/>
      <c r="B4451" s="21" t="s">
        <v>747</v>
      </c>
      <c r="D4451" s="25">
        <v>0.0</v>
      </c>
      <c r="E4451" s="27"/>
      <c r="F4451" s="25">
        <v>0.0</v>
      </c>
      <c r="G4451" s="27"/>
    </row>
    <row r="4452" hidden="1">
      <c r="A4452" s="21"/>
      <c r="B4452" s="21" t="s">
        <v>748</v>
      </c>
      <c r="D4452" s="25">
        <v>0.0</v>
      </c>
      <c r="E4452" s="27"/>
      <c r="F4452" s="25">
        <v>0.0</v>
      </c>
      <c r="G4452" s="27"/>
    </row>
    <row r="4453" hidden="1">
      <c r="A4453" s="21"/>
      <c r="B4453" s="21" t="s">
        <v>749</v>
      </c>
      <c r="D4453" s="25">
        <v>0.0</v>
      </c>
      <c r="E4453" s="27"/>
      <c r="F4453" s="25">
        <v>0.0</v>
      </c>
      <c r="G4453" s="27"/>
    </row>
    <row r="4454" hidden="1">
      <c r="A4454" s="21"/>
      <c r="B4454" s="21" t="s">
        <v>750</v>
      </c>
      <c r="D4454" s="25">
        <v>0.0</v>
      </c>
      <c r="E4454" s="27"/>
      <c r="F4454" s="25">
        <v>1.15</v>
      </c>
      <c r="G4454" s="27"/>
    </row>
    <row r="4455" hidden="1">
      <c r="A4455" s="21"/>
      <c r="B4455" s="21" t="s">
        <v>751</v>
      </c>
      <c r="D4455" s="25">
        <v>0.0</v>
      </c>
      <c r="E4455" s="27"/>
      <c r="F4455" s="25">
        <v>0.0</v>
      </c>
      <c r="G4455" s="27"/>
    </row>
    <row r="4456" hidden="1">
      <c r="A4456" s="21"/>
      <c r="B4456" s="21" t="s">
        <v>752</v>
      </c>
      <c r="D4456" s="25">
        <v>0.0</v>
      </c>
      <c r="E4456" s="27"/>
      <c r="F4456" s="25">
        <v>0.0</v>
      </c>
      <c r="G4456" s="27"/>
    </row>
    <row r="4457" hidden="1">
      <c r="A4457" s="21"/>
      <c r="B4457" s="21" t="s">
        <v>753</v>
      </c>
      <c r="D4457" s="25">
        <v>0.0</v>
      </c>
      <c r="E4457" s="27"/>
      <c r="F4457" s="25">
        <v>0.0</v>
      </c>
      <c r="G4457" s="27"/>
    </row>
    <row r="4458" hidden="1">
      <c r="A4458" s="21"/>
      <c r="B4458" s="21" t="s">
        <v>754</v>
      </c>
      <c r="D4458" s="25">
        <v>0.0</v>
      </c>
      <c r="E4458" s="27"/>
      <c r="F4458" s="25">
        <v>0.0</v>
      </c>
      <c r="G4458" s="27"/>
    </row>
    <row r="4459" hidden="1">
      <c r="A4459" s="21"/>
      <c r="B4459" s="21" t="s">
        <v>755</v>
      </c>
      <c r="D4459" s="25">
        <v>0.0</v>
      </c>
      <c r="E4459" s="27"/>
      <c r="F4459" s="25">
        <v>0.0</v>
      </c>
      <c r="G4459" s="27"/>
    </row>
    <row r="4460" hidden="1">
      <c r="A4460" s="21"/>
      <c r="B4460" s="21" t="s">
        <v>756</v>
      </c>
      <c r="D4460" s="25">
        <v>0.0</v>
      </c>
      <c r="E4460" s="27"/>
      <c r="F4460" s="25">
        <v>0.0</v>
      </c>
      <c r="G4460" s="27"/>
    </row>
    <row r="4461" hidden="1">
      <c r="A4461" s="21"/>
      <c r="B4461" s="21" t="s">
        <v>757</v>
      </c>
      <c r="D4461" s="25">
        <v>0.0</v>
      </c>
      <c r="E4461" s="27"/>
      <c r="F4461" s="25">
        <v>0.0</v>
      </c>
      <c r="G4461" s="27"/>
    </row>
    <row r="4462" hidden="1">
      <c r="A4462" s="21"/>
      <c r="B4462" s="21" t="s">
        <v>758</v>
      </c>
      <c r="D4462" s="25">
        <v>0.0</v>
      </c>
      <c r="E4462" s="27"/>
      <c r="F4462" s="25">
        <v>0.0</v>
      </c>
      <c r="G4462" s="27"/>
    </row>
    <row r="4463" hidden="1">
      <c r="A4463" s="21"/>
      <c r="B4463" s="21" t="s">
        <v>759</v>
      </c>
      <c r="D4463" s="25">
        <v>0.0</v>
      </c>
      <c r="E4463" s="27"/>
      <c r="F4463" s="25">
        <v>0.0</v>
      </c>
      <c r="G4463" s="27"/>
    </row>
    <row r="4464" hidden="1">
      <c r="A4464" s="21"/>
      <c r="B4464" s="21" t="s">
        <v>760</v>
      </c>
      <c r="D4464" s="25">
        <v>0.0</v>
      </c>
      <c r="E4464" s="27"/>
      <c r="F4464" s="25">
        <v>0.0</v>
      </c>
      <c r="G4464" s="27"/>
    </row>
    <row r="4465" hidden="1">
      <c r="A4465" s="21"/>
      <c r="B4465" s="21" t="s">
        <v>761</v>
      </c>
      <c r="D4465" s="25">
        <v>0.0</v>
      </c>
      <c r="E4465" s="27"/>
      <c r="F4465" s="25">
        <v>0.0</v>
      </c>
      <c r="G4465" s="27"/>
    </row>
    <row r="4466" hidden="1">
      <c r="A4466" s="21"/>
      <c r="B4466" s="21" t="s">
        <v>762</v>
      </c>
      <c r="D4466" s="25">
        <v>0.0</v>
      </c>
      <c r="E4466" s="27"/>
      <c r="F4466" s="25">
        <v>0.0</v>
      </c>
      <c r="G4466" s="27"/>
    </row>
    <row r="4467" hidden="1">
      <c r="A4467" s="21"/>
      <c r="B4467" s="21" t="s">
        <v>763</v>
      </c>
      <c r="D4467" s="25">
        <v>0.0</v>
      </c>
      <c r="E4467" s="27"/>
      <c r="F4467" s="25">
        <v>0.0</v>
      </c>
      <c r="G4467" s="27"/>
    </row>
    <row r="4468" hidden="1">
      <c r="A4468" s="21"/>
      <c r="B4468" s="21" t="s">
        <v>764</v>
      </c>
      <c r="D4468" s="25">
        <v>0.0</v>
      </c>
      <c r="E4468" s="27"/>
      <c r="F4468" s="25">
        <v>0.0</v>
      </c>
      <c r="G4468" s="27"/>
    </row>
    <row r="4469" hidden="1">
      <c r="A4469" s="21"/>
      <c r="B4469" s="21" t="s">
        <v>765</v>
      </c>
      <c r="D4469" s="25">
        <v>0.0</v>
      </c>
      <c r="E4469" s="27"/>
      <c r="F4469" s="25">
        <v>0.0</v>
      </c>
      <c r="G4469" s="27"/>
    </row>
    <row r="4470" hidden="1">
      <c r="A4470" s="21"/>
      <c r="B4470" s="21" t="s">
        <v>766</v>
      </c>
      <c r="D4470" s="25">
        <v>0.0</v>
      </c>
      <c r="E4470" s="27"/>
      <c r="F4470" s="25">
        <v>0.0</v>
      </c>
      <c r="G4470" s="27"/>
    </row>
    <row r="4471" hidden="1">
      <c r="A4471" s="21"/>
      <c r="B4471" s="21" t="s">
        <v>767</v>
      </c>
      <c r="D4471" s="25">
        <v>0.0</v>
      </c>
      <c r="E4471" s="27"/>
      <c r="F4471" s="25">
        <v>0.99</v>
      </c>
      <c r="G4471" s="27"/>
    </row>
    <row r="4472" hidden="1">
      <c r="A4472" s="21"/>
      <c r="B4472" s="21" t="s">
        <v>768</v>
      </c>
      <c r="D4472" s="25">
        <v>0.0</v>
      </c>
      <c r="E4472" s="27"/>
      <c r="F4472" s="25">
        <v>0.0</v>
      </c>
      <c r="G4472" s="27"/>
    </row>
    <row r="4473" hidden="1">
      <c r="A4473" s="21"/>
      <c r="B4473" s="21" t="s">
        <v>769</v>
      </c>
      <c r="D4473" s="25">
        <v>0.0</v>
      </c>
      <c r="E4473" s="27"/>
      <c r="F4473" s="25">
        <v>0.0</v>
      </c>
      <c r="G4473" s="27"/>
    </row>
    <row r="4474" hidden="1">
      <c r="A4474" s="21"/>
      <c r="B4474" s="21" t="s">
        <v>770</v>
      </c>
      <c r="D4474" s="25">
        <v>0.0</v>
      </c>
      <c r="E4474" s="27"/>
      <c r="F4474" s="25">
        <v>0.0</v>
      </c>
      <c r="G4474" s="27"/>
    </row>
    <row r="4475" hidden="1">
      <c r="A4475" s="21"/>
      <c r="B4475" s="21" t="s">
        <v>771</v>
      </c>
      <c r="D4475" s="25">
        <v>0.0</v>
      </c>
      <c r="E4475" s="27"/>
      <c r="F4475" s="25">
        <v>0.0</v>
      </c>
      <c r="G4475" s="27"/>
    </row>
    <row r="4476" hidden="1">
      <c r="A4476" s="21"/>
      <c r="B4476" s="21" t="s">
        <v>772</v>
      </c>
      <c r="D4476" s="25">
        <v>0.0</v>
      </c>
      <c r="E4476" s="27"/>
      <c r="F4476" s="25">
        <v>0.0</v>
      </c>
      <c r="G4476" s="27"/>
    </row>
    <row r="4477" hidden="1">
      <c r="A4477" s="21"/>
      <c r="B4477" s="21" t="s">
        <v>773</v>
      </c>
      <c r="D4477" s="25">
        <v>0.0</v>
      </c>
      <c r="E4477" s="27"/>
      <c r="F4477" s="25">
        <v>1.09</v>
      </c>
      <c r="G4477" s="27"/>
    </row>
    <row r="4478" hidden="1">
      <c r="A4478" s="21"/>
      <c r="B4478" s="21" t="s">
        <v>774</v>
      </c>
      <c r="D4478" s="25">
        <v>0.0</v>
      </c>
      <c r="E4478" s="27"/>
      <c r="F4478" s="25">
        <v>0.0</v>
      </c>
      <c r="G4478" s="27"/>
    </row>
    <row r="4479" hidden="1">
      <c r="A4479" s="21"/>
      <c r="B4479" s="21" t="s">
        <v>775</v>
      </c>
      <c r="D4479" s="25">
        <v>0.0</v>
      </c>
      <c r="E4479" s="27"/>
      <c r="F4479" s="25">
        <v>0.0</v>
      </c>
      <c r="G4479" s="27"/>
    </row>
    <row r="4480" hidden="1">
      <c r="A4480" s="21"/>
      <c r="B4480" s="21" t="s">
        <v>776</v>
      </c>
      <c r="D4480" s="25">
        <v>0.0</v>
      </c>
      <c r="E4480" s="27"/>
      <c r="F4480" s="25">
        <v>0.0</v>
      </c>
      <c r="G4480" s="27"/>
    </row>
    <row r="4481" hidden="1">
      <c r="A4481" s="21"/>
      <c r="B4481" s="21" t="s">
        <v>777</v>
      </c>
      <c r="D4481" s="25">
        <v>0.0</v>
      </c>
      <c r="E4481" s="27"/>
      <c r="F4481" s="25">
        <v>0.0</v>
      </c>
      <c r="G4481" s="27"/>
    </row>
    <row r="4482" hidden="1">
      <c r="A4482" s="21"/>
      <c r="B4482" s="21" t="s">
        <v>778</v>
      </c>
      <c r="D4482" s="25">
        <v>0.0</v>
      </c>
      <c r="E4482" s="27"/>
      <c r="F4482" s="25">
        <v>0.0</v>
      </c>
      <c r="G4482" s="27"/>
    </row>
    <row r="4483" hidden="1">
      <c r="A4483" s="21"/>
      <c r="B4483" s="21" t="s">
        <v>779</v>
      </c>
      <c r="D4483" s="25">
        <v>0.0</v>
      </c>
      <c r="E4483" s="27"/>
      <c r="F4483" s="25">
        <v>0.0</v>
      </c>
      <c r="G4483" s="27"/>
    </row>
    <row r="4484" hidden="1">
      <c r="A4484" s="21"/>
      <c r="B4484" s="21" t="s">
        <v>780</v>
      </c>
      <c r="D4484" s="25">
        <v>0.0</v>
      </c>
      <c r="E4484" s="27"/>
      <c r="F4484" s="25">
        <v>0.0</v>
      </c>
      <c r="G4484" s="27"/>
    </row>
    <row r="4485" hidden="1">
      <c r="A4485" s="21"/>
      <c r="B4485" s="21" t="s">
        <v>781</v>
      </c>
      <c r="D4485" s="25">
        <v>0.0</v>
      </c>
      <c r="E4485" s="27"/>
      <c r="F4485" s="25">
        <v>1.21</v>
      </c>
      <c r="G4485" s="27"/>
    </row>
    <row r="4486" hidden="1">
      <c r="A4486" s="21"/>
      <c r="B4486" s="21" t="s">
        <v>782</v>
      </c>
      <c r="D4486" s="25">
        <v>0.0</v>
      </c>
      <c r="E4486" s="27"/>
      <c r="F4486" s="25">
        <v>0.0</v>
      </c>
      <c r="G4486" s="27"/>
    </row>
    <row r="4487" hidden="1">
      <c r="A4487" s="21"/>
      <c r="B4487" s="21" t="s">
        <v>783</v>
      </c>
      <c r="D4487" s="25">
        <v>0.0</v>
      </c>
      <c r="E4487" s="27"/>
      <c r="F4487" s="25">
        <v>0.0</v>
      </c>
      <c r="G4487" s="27"/>
    </row>
    <row r="4488" hidden="1">
      <c r="A4488" s="21"/>
      <c r="B4488" s="21" t="s">
        <v>784</v>
      </c>
      <c r="D4488" s="25">
        <v>0.0</v>
      </c>
      <c r="E4488" s="27"/>
      <c r="F4488" s="25">
        <v>0.0</v>
      </c>
      <c r="G4488" s="27"/>
    </row>
    <row r="4489" hidden="1">
      <c r="A4489" s="21"/>
      <c r="B4489" s="21" t="s">
        <v>785</v>
      </c>
      <c r="D4489" s="25">
        <v>0.0</v>
      </c>
      <c r="E4489" s="27"/>
      <c r="F4489" s="25">
        <v>0.0</v>
      </c>
      <c r="G4489" s="27"/>
    </row>
    <row r="4490" hidden="1">
      <c r="A4490" s="21"/>
      <c r="B4490" s="21" t="s">
        <v>786</v>
      </c>
      <c r="D4490" s="25">
        <v>0.0</v>
      </c>
      <c r="E4490" s="27"/>
      <c r="F4490" s="25">
        <v>0.0</v>
      </c>
      <c r="G4490" s="27"/>
    </row>
    <row r="4491" hidden="1">
      <c r="A4491" s="21"/>
      <c r="B4491" s="21" t="s">
        <v>787</v>
      </c>
      <c r="D4491" s="25">
        <v>0.0</v>
      </c>
      <c r="E4491" s="27"/>
      <c r="F4491" s="25">
        <v>0.0</v>
      </c>
      <c r="G4491" s="27"/>
    </row>
    <row r="4492" hidden="1">
      <c r="A4492" s="21"/>
      <c r="B4492" s="21" t="s">
        <v>788</v>
      </c>
      <c r="D4492" s="25">
        <v>0.0</v>
      </c>
      <c r="E4492" s="27"/>
      <c r="F4492" s="25">
        <v>0.0</v>
      </c>
      <c r="G4492" s="27"/>
    </row>
    <row r="4493" hidden="1">
      <c r="A4493" s="21"/>
      <c r="B4493" s="21" t="s">
        <v>789</v>
      </c>
      <c r="D4493" s="25">
        <v>0.0</v>
      </c>
      <c r="E4493" s="27"/>
      <c r="F4493" s="25">
        <v>0.0</v>
      </c>
      <c r="G4493" s="27"/>
    </row>
    <row r="4494" hidden="1">
      <c r="A4494" s="21"/>
      <c r="B4494" s="21" t="s">
        <v>790</v>
      </c>
      <c r="D4494" s="25">
        <v>0.0</v>
      </c>
      <c r="E4494" s="27"/>
      <c r="F4494" s="25">
        <v>0.0</v>
      </c>
      <c r="G4494" s="27"/>
    </row>
    <row r="4495" hidden="1">
      <c r="A4495" s="21"/>
      <c r="B4495" s="21" t="s">
        <v>791</v>
      </c>
      <c r="D4495" s="25">
        <v>0.0</v>
      </c>
      <c r="E4495" s="27"/>
      <c r="F4495" s="25">
        <v>0.0</v>
      </c>
      <c r="G4495" s="27"/>
    </row>
    <row r="4496" hidden="1">
      <c r="A4496" s="21"/>
      <c r="B4496" s="21" t="s">
        <v>792</v>
      </c>
      <c r="D4496" s="25">
        <v>0.0</v>
      </c>
      <c r="E4496" s="27"/>
      <c r="F4496" s="25">
        <v>0.0</v>
      </c>
      <c r="G4496" s="27"/>
    </row>
    <row r="4497" hidden="1">
      <c r="A4497" s="21"/>
      <c r="B4497" s="21" t="s">
        <v>793</v>
      </c>
      <c r="D4497" s="25">
        <v>0.0</v>
      </c>
      <c r="E4497" s="27"/>
      <c r="F4497" s="25">
        <v>0.0</v>
      </c>
      <c r="G4497" s="27"/>
    </row>
    <row r="4498" hidden="1">
      <c r="A4498" s="21"/>
      <c r="B4498" s="21" t="s">
        <v>794</v>
      </c>
      <c r="D4498" s="25">
        <v>0.0</v>
      </c>
      <c r="E4498" s="27"/>
      <c r="F4498" s="25">
        <v>0.0</v>
      </c>
      <c r="G4498" s="27"/>
    </row>
    <row r="4499" hidden="1">
      <c r="A4499" s="21"/>
      <c r="B4499" s="21" t="s">
        <v>5173</v>
      </c>
      <c r="D4499" s="25">
        <v>0.0</v>
      </c>
      <c r="E4499" s="27"/>
      <c r="F4499" s="25">
        <v>0.0</v>
      </c>
      <c r="G4499" s="27"/>
    </row>
    <row r="4500" hidden="1">
      <c r="A4500" s="21"/>
      <c r="B4500" s="21" t="s">
        <v>5174</v>
      </c>
      <c r="D4500" s="25">
        <v>0.0</v>
      </c>
      <c r="E4500" s="27"/>
      <c r="F4500" s="25">
        <v>0.0</v>
      </c>
      <c r="G4500" s="27"/>
    </row>
    <row r="4501" hidden="1">
      <c r="A4501" s="21"/>
      <c r="B4501" s="21" t="s">
        <v>5175</v>
      </c>
      <c r="D4501" s="25">
        <v>0.0</v>
      </c>
      <c r="E4501" s="27"/>
      <c r="F4501" s="25">
        <v>0.0</v>
      </c>
      <c r="G4501" s="27"/>
    </row>
    <row r="4502" hidden="1">
      <c r="A4502" s="21"/>
      <c r="B4502" s="21" t="s">
        <v>5176</v>
      </c>
      <c r="D4502" s="25">
        <v>0.0</v>
      </c>
      <c r="E4502" s="27"/>
      <c r="F4502" s="25">
        <v>0.0</v>
      </c>
      <c r="G4502" s="27"/>
    </row>
    <row r="4503" hidden="1">
      <c r="A4503" s="21"/>
      <c r="B4503" s="21" t="s">
        <v>5177</v>
      </c>
      <c r="D4503" s="25">
        <v>0.0</v>
      </c>
      <c r="E4503" s="27"/>
      <c r="F4503" s="25">
        <v>0.0</v>
      </c>
      <c r="G4503" s="27"/>
    </row>
    <row r="4504" hidden="1">
      <c r="A4504" s="21"/>
      <c r="B4504" s="21" t="s">
        <v>5178</v>
      </c>
      <c r="D4504" s="25">
        <v>0.0</v>
      </c>
      <c r="E4504" s="27"/>
      <c r="F4504" s="25">
        <v>0.0</v>
      </c>
      <c r="G4504" s="27"/>
    </row>
    <row r="4505" hidden="1">
      <c r="A4505" s="21"/>
      <c r="B4505" s="21" t="s">
        <v>5179</v>
      </c>
      <c r="D4505" s="25">
        <v>0.0</v>
      </c>
      <c r="E4505" s="27"/>
      <c r="F4505" s="25">
        <v>0.0</v>
      </c>
      <c r="G4505" s="27"/>
    </row>
    <row r="4506" hidden="1">
      <c r="A4506" s="21"/>
      <c r="B4506" s="21" t="s">
        <v>5180</v>
      </c>
      <c r="D4506" s="25">
        <v>0.0</v>
      </c>
      <c r="E4506" s="27"/>
      <c r="F4506" s="25">
        <v>0.0</v>
      </c>
      <c r="G4506" s="27"/>
    </row>
    <row r="4507" hidden="1">
      <c r="A4507" s="21"/>
      <c r="B4507" s="21" t="s">
        <v>5181</v>
      </c>
      <c r="D4507" s="25">
        <v>0.0</v>
      </c>
      <c r="E4507" s="27"/>
      <c r="F4507" s="25">
        <v>0.0</v>
      </c>
      <c r="G4507" s="27"/>
    </row>
    <row r="4508" hidden="1">
      <c r="A4508" s="21"/>
      <c r="B4508" s="21" t="s">
        <v>5182</v>
      </c>
      <c r="D4508" s="25">
        <v>0.0</v>
      </c>
      <c r="E4508" s="27"/>
      <c r="F4508" s="25">
        <v>0.0</v>
      </c>
      <c r="G4508" s="27"/>
    </row>
    <row r="4509" hidden="1">
      <c r="A4509" s="21"/>
      <c r="B4509" s="21" t="s">
        <v>5183</v>
      </c>
      <c r="D4509" s="25">
        <v>0.0</v>
      </c>
      <c r="E4509" s="27"/>
      <c r="F4509" s="25">
        <v>0.0</v>
      </c>
      <c r="G4509" s="27"/>
    </row>
    <row r="4510" hidden="1">
      <c r="A4510" s="21"/>
      <c r="B4510" s="21" t="s">
        <v>5184</v>
      </c>
      <c r="D4510" s="25">
        <v>0.0</v>
      </c>
      <c r="E4510" s="27"/>
      <c r="F4510" s="25">
        <v>0.0</v>
      </c>
      <c r="G4510" s="27"/>
    </row>
    <row r="4511" hidden="1">
      <c r="A4511" s="21"/>
      <c r="B4511" s="21" t="s">
        <v>5185</v>
      </c>
      <c r="D4511" s="25">
        <v>0.0</v>
      </c>
      <c r="E4511" s="27"/>
      <c r="F4511" s="25">
        <v>0.0</v>
      </c>
      <c r="G4511" s="27"/>
    </row>
    <row r="4512" hidden="1">
      <c r="A4512" s="21"/>
      <c r="B4512" s="21" t="s">
        <v>5186</v>
      </c>
      <c r="D4512" s="25">
        <v>0.0</v>
      </c>
      <c r="E4512" s="27"/>
      <c r="F4512" s="25">
        <v>0.0</v>
      </c>
      <c r="G4512" s="27"/>
    </row>
    <row r="4513" hidden="1">
      <c r="A4513" s="21"/>
      <c r="B4513" s="21" t="s">
        <v>5187</v>
      </c>
      <c r="D4513" s="25">
        <v>0.0</v>
      </c>
      <c r="E4513" s="27"/>
      <c r="F4513" s="25">
        <v>0.0</v>
      </c>
      <c r="G4513" s="27"/>
    </row>
    <row r="4514" hidden="1">
      <c r="A4514" s="21"/>
      <c r="B4514" s="21" t="s">
        <v>5188</v>
      </c>
      <c r="D4514" s="25">
        <v>0.0</v>
      </c>
      <c r="E4514" s="27"/>
      <c r="F4514" s="25">
        <v>0.0</v>
      </c>
      <c r="G4514" s="27"/>
    </row>
    <row r="4515" hidden="1">
      <c r="A4515" s="21"/>
      <c r="B4515" s="21" t="s">
        <v>5189</v>
      </c>
      <c r="D4515" s="25">
        <v>0.0</v>
      </c>
      <c r="E4515" s="27"/>
      <c r="F4515" s="25">
        <v>0.0</v>
      </c>
      <c r="G4515" s="27"/>
    </row>
    <row r="4516" hidden="1">
      <c r="A4516" s="21"/>
      <c r="B4516" s="21" t="s">
        <v>5190</v>
      </c>
      <c r="D4516" s="25">
        <v>0.0</v>
      </c>
      <c r="E4516" s="27"/>
      <c r="F4516" s="25">
        <v>0.0</v>
      </c>
      <c r="G4516" s="27"/>
    </row>
    <row r="4517" hidden="1">
      <c r="A4517" s="21"/>
      <c r="B4517" s="21" t="s">
        <v>5191</v>
      </c>
      <c r="D4517" s="25">
        <v>0.0</v>
      </c>
      <c r="E4517" s="27"/>
      <c r="F4517" s="25">
        <v>0.0</v>
      </c>
      <c r="G4517" s="27"/>
    </row>
    <row r="4518" hidden="1">
      <c r="A4518" s="21"/>
      <c r="B4518" s="21" t="s">
        <v>5192</v>
      </c>
      <c r="D4518" s="25">
        <v>0.0</v>
      </c>
      <c r="E4518" s="27"/>
      <c r="F4518" s="25">
        <v>0.0</v>
      </c>
      <c r="G4518" s="27"/>
    </row>
    <row r="4519" hidden="1">
      <c r="A4519" s="21"/>
      <c r="B4519" s="21" t="s">
        <v>5193</v>
      </c>
      <c r="D4519" s="25">
        <v>0.0</v>
      </c>
      <c r="E4519" s="27"/>
      <c r="F4519" s="25">
        <v>0.0</v>
      </c>
      <c r="G4519" s="27"/>
    </row>
    <row r="4520" hidden="1">
      <c r="A4520" s="21"/>
      <c r="B4520" s="21" t="s">
        <v>5194</v>
      </c>
      <c r="D4520" s="25">
        <v>0.0</v>
      </c>
      <c r="E4520" s="27"/>
      <c r="F4520" s="25">
        <v>0.0</v>
      </c>
      <c r="G4520" s="27"/>
    </row>
    <row r="4521" hidden="1">
      <c r="A4521" s="21"/>
      <c r="B4521" s="21" t="s">
        <v>5195</v>
      </c>
      <c r="D4521" s="25">
        <v>0.0</v>
      </c>
      <c r="E4521" s="27"/>
      <c r="F4521" s="25">
        <v>0.0</v>
      </c>
      <c r="G4521" s="27"/>
    </row>
    <row r="4522" hidden="1">
      <c r="A4522" s="21"/>
      <c r="B4522" s="21" t="s">
        <v>795</v>
      </c>
      <c r="D4522" s="25">
        <v>0.0</v>
      </c>
      <c r="E4522" s="27"/>
      <c r="F4522" s="25">
        <v>0.0</v>
      </c>
      <c r="G4522" s="27"/>
    </row>
    <row r="4523" hidden="1">
      <c r="A4523" s="21"/>
      <c r="B4523" s="21" t="s">
        <v>796</v>
      </c>
      <c r="D4523" s="25">
        <v>0.0</v>
      </c>
      <c r="E4523" s="27"/>
      <c r="F4523" s="25">
        <v>0.0</v>
      </c>
      <c r="G4523" s="27"/>
    </row>
    <row r="4524" hidden="1">
      <c r="A4524" s="21"/>
      <c r="B4524" s="21" t="s">
        <v>797</v>
      </c>
      <c r="D4524" s="25">
        <v>0.0</v>
      </c>
      <c r="E4524" s="27"/>
      <c r="F4524" s="25">
        <v>0.0</v>
      </c>
      <c r="G4524" s="27"/>
    </row>
    <row r="4525" hidden="1">
      <c r="A4525" s="21"/>
      <c r="B4525" s="21" t="s">
        <v>798</v>
      </c>
      <c r="D4525" s="25">
        <v>0.0</v>
      </c>
      <c r="E4525" s="27"/>
      <c r="F4525" s="25">
        <v>0.0</v>
      </c>
      <c r="G4525" s="27"/>
    </row>
    <row r="4526" hidden="1">
      <c r="A4526" s="21"/>
      <c r="B4526" s="21" t="s">
        <v>799</v>
      </c>
      <c r="D4526" s="25">
        <v>0.0</v>
      </c>
      <c r="E4526" s="27"/>
      <c r="F4526" s="25">
        <v>0.0</v>
      </c>
      <c r="G4526" s="27"/>
    </row>
    <row r="4527" hidden="1">
      <c r="A4527" s="21"/>
      <c r="B4527" s="21" t="s">
        <v>800</v>
      </c>
      <c r="D4527" s="25">
        <v>0.0</v>
      </c>
      <c r="E4527" s="27"/>
      <c r="F4527" s="25">
        <v>0.0</v>
      </c>
      <c r="G4527" s="27"/>
    </row>
    <row r="4528" hidden="1">
      <c r="A4528" s="21"/>
      <c r="B4528" s="21" t="s">
        <v>801</v>
      </c>
      <c r="D4528" s="25">
        <v>0.0</v>
      </c>
      <c r="E4528" s="27"/>
      <c r="F4528" s="25">
        <v>0.0</v>
      </c>
      <c r="G4528" s="27"/>
    </row>
    <row r="4529" hidden="1">
      <c r="A4529" s="21"/>
      <c r="B4529" s="21" t="s">
        <v>802</v>
      </c>
      <c r="D4529" s="25">
        <v>0.0</v>
      </c>
      <c r="E4529" s="27"/>
      <c r="F4529" s="25">
        <v>0.0</v>
      </c>
      <c r="G4529" s="27"/>
    </row>
    <row r="4530" hidden="1">
      <c r="A4530" s="21"/>
      <c r="B4530" s="21" t="s">
        <v>5196</v>
      </c>
      <c r="D4530" s="25">
        <v>0.0</v>
      </c>
      <c r="E4530" s="27"/>
      <c r="F4530" s="25">
        <v>0.0</v>
      </c>
      <c r="G4530" s="27"/>
    </row>
    <row r="4531" hidden="1">
      <c r="A4531" s="21"/>
      <c r="B4531" s="21" t="s">
        <v>5197</v>
      </c>
      <c r="D4531" s="25">
        <v>0.0</v>
      </c>
      <c r="E4531" s="27"/>
      <c r="F4531" s="25">
        <v>0.0</v>
      </c>
      <c r="G4531" s="27"/>
    </row>
    <row r="4532" hidden="1">
      <c r="A4532" s="21"/>
      <c r="B4532" s="21" t="s">
        <v>5198</v>
      </c>
      <c r="D4532" s="25">
        <v>0.0</v>
      </c>
      <c r="E4532" s="27"/>
      <c r="F4532" s="25">
        <v>0.0</v>
      </c>
      <c r="G4532" s="27"/>
    </row>
    <row r="4533" hidden="1">
      <c r="A4533" s="21"/>
      <c r="B4533" s="21" t="s">
        <v>5199</v>
      </c>
      <c r="D4533" s="25">
        <v>0.0</v>
      </c>
      <c r="E4533" s="27"/>
      <c r="F4533" s="25">
        <v>0.0</v>
      </c>
      <c r="G4533" s="27"/>
    </row>
    <row r="4534" hidden="1">
      <c r="A4534" s="21"/>
      <c r="B4534" s="21" t="s">
        <v>5200</v>
      </c>
      <c r="D4534" s="25">
        <v>0.0</v>
      </c>
      <c r="E4534" s="27"/>
      <c r="F4534" s="25">
        <v>0.0</v>
      </c>
      <c r="G4534" s="27"/>
    </row>
    <row r="4535" hidden="1">
      <c r="A4535" s="21"/>
      <c r="B4535" s="21" t="s">
        <v>5201</v>
      </c>
      <c r="D4535" s="25">
        <v>0.0</v>
      </c>
      <c r="E4535" s="27"/>
      <c r="F4535" s="25">
        <v>0.0</v>
      </c>
      <c r="G4535" s="27"/>
    </row>
    <row r="4536" hidden="1">
      <c r="A4536" s="21"/>
      <c r="B4536" s="21" t="s">
        <v>5202</v>
      </c>
      <c r="D4536" s="25">
        <v>0.0</v>
      </c>
      <c r="E4536" s="27"/>
      <c r="F4536" s="25">
        <v>0.0</v>
      </c>
      <c r="G4536" s="27"/>
    </row>
    <row r="4537" hidden="1">
      <c r="A4537" s="21"/>
      <c r="B4537" s="21" t="s">
        <v>5203</v>
      </c>
      <c r="D4537" s="25">
        <v>0.0</v>
      </c>
      <c r="E4537" s="27"/>
      <c r="F4537" s="25">
        <v>0.0</v>
      </c>
      <c r="G4537" s="27"/>
    </row>
    <row r="4538" hidden="1">
      <c r="A4538" s="21"/>
      <c r="B4538" s="21" t="s">
        <v>5204</v>
      </c>
      <c r="D4538" s="25">
        <v>0.0</v>
      </c>
      <c r="E4538" s="27"/>
      <c r="F4538" s="25">
        <v>0.0</v>
      </c>
      <c r="G4538" s="27"/>
    </row>
    <row r="4539" hidden="1">
      <c r="A4539" s="21"/>
      <c r="B4539" s="21" t="s">
        <v>5205</v>
      </c>
      <c r="D4539" s="25">
        <v>0.0</v>
      </c>
      <c r="E4539" s="27"/>
      <c r="F4539" s="25">
        <v>0.0</v>
      </c>
      <c r="G4539" s="27"/>
    </row>
    <row r="4540" hidden="1">
      <c r="A4540" s="21"/>
      <c r="B4540" s="21" t="s">
        <v>5206</v>
      </c>
      <c r="D4540" s="25">
        <v>0.0</v>
      </c>
      <c r="E4540" s="27"/>
      <c r="F4540" s="25">
        <v>0.0</v>
      </c>
      <c r="G4540" s="27"/>
    </row>
    <row r="4541" hidden="1">
      <c r="A4541" s="21"/>
      <c r="B4541" s="21" t="s">
        <v>5207</v>
      </c>
      <c r="D4541" s="25">
        <v>0.0</v>
      </c>
      <c r="E4541" s="27"/>
      <c r="F4541" s="25">
        <v>0.0</v>
      </c>
      <c r="G4541" s="27"/>
    </row>
    <row r="4542" hidden="1">
      <c r="A4542" s="21"/>
      <c r="B4542" s="21" t="s">
        <v>5208</v>
      </c>
      <c r="D4542" s="25">
        <v>0.0</v>
      </c>
      <c r="E4542" s="27"/>
      <c r="F4542" s="25">
        <v>0.0</v>
      </c>
      <c r="G4542" s="27"/>
    </row>
    <row r="4543" hidden="1">
      <c r="A4543" s="21"/>
      <c r="B4543" s="21" t="s">
        <v>5209</v>
      </c>
      <c r="D4543" s="25">
        <v>0.0</v>
      </c>
      <c r="E4543" s="27"/>
      <c r="F4543" s="25">
        <v>0.0</v>
      </c>
      <c r="G4543" s="27"/>
    </row>
    <row r="4544" hidden="1">
      <c r="A4544" s="21"/>
      <c r="B4544" s="21" t="s">
        <v>5210</v>
      </c>
      <c r="D4544" s="25">
        <v>0.0</v>
      </c>
      <c r="E4544" s="27"/>
      <c r="F4544" s="25">
        <v>0.0</v>
      </c>
      <c r="G4544" s="27"/>
    </row>
    <row r="4545" hidden="1">
      <c r="A4545" s="21"/>
      <c r="B4545" s="21" t="s">
        <v>5211</v>
      </c>
      <c r="D4545" s="25">
        <v>0.0</v>
      </c>
      <c r="E4545" s="27"/>
      <c r="F4545" s="25">
        <v>0.0</v>
      </c>
      <c r="G4545" s="27"/>
    </row>
    <row r="4546" hidden="1">
      <c r="A4546" s="21"/>
      <c r="B4546" s="21" t="s">
        <v>5212</v>
      </c>
      <c r="D4546" s="25">
        <v>0.0</v>
      </c>
      <c r="E4546" s="27"/>
      <c r="F4546" s="25">
        <v>0.0</v>
      </c>
      <c r="G4546" s="27"/>
    </row>
    <row r="4547" hidden="1">
      <c r="A4547" s="21"/>
      <c r="B4547" s="21" t="s">
        <v>5213</v>
      </c>
      <c r="D4547" s="25">
        <v>0.0</v>
      </c>
      <c r="E4547" s="27"/>
      <c r="F4547" s="25">
        <v>9.67</v>
      </c>
      <c r="G4547" s="27"/>
    </row>
    <row r="4548" hidden="1">
      <c r="A4548" s="21"/>
      <c r="B4548" s="21" t="s">
        <v>5214</v>
      </c>
      <c r="D4548" s="25">
        <v>0.0</v>
      </c>
      <c r="E4548" s="27"/>
      <c r="F4548" s="25">
        <v>0.0</v>
      </c>
      <c r="G4548" s="27"/>
    </row>
    <row r="4549" hidden="1">
      <c r="A4549" s="21"/>
      <c r="B4549" s="21" t="s">
        <v>5215</v>
      </c>
      <c r="D4549" s="25">
        <v>0.0</v>
      </c>
      <c r="E4549" s="27"/>
      <c r="F4549" s="25">
        <v>0.0</v>
      </c>
      <c r="G4549" s="27"/>
    </row>
    <row r="4550" hidden="1">
      <c r="A4550" s="21"/>
      <c r="B4550" s="21" t="s">
        <v>5216</v>
      </c>
      <c r="D4550" s="25">
        <v>0.0</v>
      </c>
      <c r="E4550" s="27"/>
      <c r="F4550" s="25">
        <v>0.0</v>
      </c>
      <c r="G4550" s="27"/>
    </row>
    <row r="4551" hidden="1">
      <c r="A4551" s="21"/>
      <c r="B4551" s="21" t="s">
        <v>5217</v>
      </c>
      <c r="D4551" s="25">
        <v>0.0</v>
      </c>
      <c r="E4551" s="27"/>
      <c r="F4551" s="25">
        <v>0.0</v>
      </c>
      <c r="G4551" s="27"/>
    </row>
    <row r="4552" hidden="1">
      <c r="A4552" s="21"/>
      <c r="B4552" s="21" t="s">
        <v>5218</v>
      </c>
      <c r="D4552" s="25">
        <v>0.0</v>
      </c>
      <c r="E4552" s="27"/>
      <c r="F4552" s="25">
        <v>0.0</v>
      </c>
      <c r="G4552" s="27"/>
    </row>
    <row r="4553" hidden="1">
      <c r="A4553" s="21"/>
      <c r="B4553" s="21" t="s">
        <v>5219</v>
      </c>
      <c r="D4553" s="25">
        <v>0.0</v>
      </c>
      <c r="E4553" s="27"/>
      <c r="F4553" s="25">
        <v>0.0</v>
      </c>
      <c r="G4553" s="27"/>
    </row>
    <row r="4554" hidden="1">
      <c r="A4554" s="21"/>
      <c r="B4554" s="21" t="s">
        <v>5220</v>
      </c>
      <c r="D4554" s="25">
        <v>0.0</v>
      </c>
      <c r="E4554" s="27"/>
      <c r="F4554" s="25">
        <v>0.0</v>
      </c>
      <c r="G4554" s="27"/>
    </row>
    <row r="4555" hidden="1">
      <c r="A4555" s="21"/>
      <c r="B4555" s="21" t="s">
        <v>5221</v>
      </c>
      <c r="D4555" s="25">
        <v>0.0</v>
      </c>
      <c r="E4555" s="27"/>
      <c r="F4555" s="25">
        <v>0.0</v>
      </c>
      <c r="G4555" s="27"/>
    </row>
    <row r="4556" hidden="1">
      <c r="A4556" s="21"/>
      <c r="B4556" s="21" t="s">
        <v>5222</v>
      </c>
      <c r="D4556" s="25">
        <v>0.0</v>
      </c>
      <c r="E4556" s="27"/>
      <c r="F4556" s="25">
        <v>0.0</v>
      </c>
      <c r="G4556" s="27"/>
    </row>
    <row r="4557" hidden="1">
      <c r="A4557" s="21"/>
      <c r="B4557" s="21" t="s">
        <v>5223</v>
      </c>
      <c r="D4557" s="25">
        <v>0.0</v>
      </c>
      <c r="E4557" s="27"/>
      <c r="F4557" s="25">
        <v>0.0</v>
      </c>
      <c r="G4557" s="27"/>
    </row>
    <row r="4558" hidden="1">
      <c r="A4558" s="21"/>
      <c r="B4558" s="21" t="s">
        <v>5224</v>
      </c>
      <c r="D4558" s="25">
        <v>0.0</v>
      </c>
      <c r="E4558" s="27"/>
      <c r="F4558" s="25">
        <v>0.0</v>
      </c>
      <c r="G4558" s="27"/>
    </row>
    <row r="4559" hidden="1">
      <c r="A4559" s="21"/>
      <c r="B4559" s="21" t="s">
        <v>5225</v>
      </c>
      <c r="D4559" s="25">
        <v>0.0</v>
      </c>
      <c r="E4559" s="27"/>
      <c r="F4559" s="25">
        <v>0.0</v>
      </c>
      <c r="G4559" s="27"/>
    </row>
    <row r="4560" hidden="1">
      <c r="A4560" s="21"/>
      <c r="B4560" s="21" t="s">
        <v>5226</v>
      </c>
      <c r="D4560" s="25">
        <v>0.0</v>
      </c>
      <c r="E4560" s="27"/>
      <c r="F4560" s="25">
        <v>0.0</v>
      </c>
      <c r="G4560" s="27"/>
    </row>
    <row r="4561" hidden="1">
      <c r="A4561" s="21"/>
      <c r="B4561" s="21" t="s">
        <v>5227</v>
      </c>
      <c r="D4561" s="25">
        <v>0.0</v>
      </c>
      <c r="E4561" s="27"/>
      <c r="F4561" s="25">
        <v>0.0</v>
      </c>
      <c r="G4561" s="27"/>
    </row>
    <row r="4562" hidden="1">
      <c r="A4562" s="21"/>
      <c r="B4562" s="21" t="s">
        <v>5228</v>
      </c>
      <c r="D4562" s="25">
        <v>0.0</v>
      </c>
      <c r="E4562" s="27"/>
      <c r="F4562" s="25">
        <v>0.0</v>
      </c>
      <c r="G4562" s="27"/>
    </row>
    <row r="4563" hidden="1">
      <c r="A4563" s="21"/>
      <c r="B4563" s="21" t="s">
        <v>5229</v>
      </c>
      <c r="D4563" s="25">
        <v>0.0</v>
      </c>
      <c r="E4563" s="27"/>
      <c r="F4563" s="25">
        <v>0.0</v>
      </c>
      <c r="G4563" s="27"/>
    </row>
    <row r="4564" hidden="1">
      <c r="A4564" s="21"/>
      <c r="B4564" s="21" t="s">
        <v>5230</v>
      </c>
      <c r="D4564" s="25">
        <v>0.0</v>
      </c>
      <c r="E4564" s="27"/>
      <c r="F4564" s="25">
        <v>0.0</v>
      </c>
      <c r="G4564" s="27"/>
    </row>
    <row r="4565" hidden="1">
      <c r="A4565" s="21"/>
      <c r="B4565" s="21" t="s">
        <v>5231</v>
      </c>
      <c r="D4565" s="25">
        <v>0.0</v>
      </c>
      <c r="E4565" s="27"/>
      <c r="F4565" s="25">
        <v>0.0</v>
      </c>
      <c r="G4565" s="27"/>
    </row>
    <row r="4566" hidden="1">
      <c r="A4566" s="21"/>
      <c r="B4566" s="21" t="s">
        <v>5232</v>
      </c>
      <c r="D4566" s="25">
        <v>0.0</v>
      </c>
      <c r="E4566" s="27"/>
      <c r="F4566" s="25">
        <v>0.0</v>
      </c>
      <c r="G4566" s="27"/>
    </row>
    <row r="4567" hidden="1">
      <c r="A4567" s="21"/>
      <c r="B4567" s="21" t="s">
        <v>5233</v>
      </c>
      <c r="D4567" s="25">
        <v>0.0</v>
      </c>
      <c r="E4567" s="27"/>
      <c r="F4567" s="25">
        <v>0.0</v>
      </c>
      <c r="G4567" s="27"/>
    </row>
    <row r="4568" hidden="1">
      <c r="A4568" s="21"/>
      <c r="B4568" s="21" t="s">
        <v>5234</v>
      </c>
      <c r="D4568" s="25">
        <v>0.0</v>
      </c>
      <c r="E4568" s="27"/>
      <c r="F4568" s="25">
        <v>0.0</v>
      </c>
      <c r="G4568" s="27"/>
    </row>
    <row r="4569" hidden="1">
      <c r="A4569" s="21"/>
      <c r="B4569" s="21" t="s">
        <v>5235</v>
      </c>
      <c r="D4569" s="25">
        <v>0.0</v>
      </c>
      <c r="E4569" s="27"/>
      <c r="F4569" s="25">
        <v>0.0</v>
      </c>
      <c r="G4569" s="27"/>
    </row>
    <row r="4570" hidden="1">
      <c r="A4570" s="21"/>
      <c r="B4570" s="21" t="s">
        <v>5236</v>
      </c>
      <c r="D4570" s="25">
        <v>0.0</v>
      </c>
      <c r="E4570" s="27"/>
      <c r="F4570" s="25">
        <v>0.0</v>
      </c>
      <c r="G4570" s="27"/>
    </row>
    <row r="4571" hidden="1">
      <c r="A4571" s="21"/>
      <c r="B4571" s="21" t="s">
        <v>5237</v>
      </c>
      <c r="D4571" s="25">
        <v>0.0</v>
      </c>
      <c r="E4571" s="27"/>
      <c r="F4571" s="25">
        <v>0.0</v>
      </c>
      <c r="G4571" s="27"/>
    </row>
    <row r="4572" hidden="1">
      <c r="A4572" s="21"/>
      <c r="B4572" s="21" t="s">
        <v>5238</v>
      </c>
      <c r="D4572" s="25">
        <v>0.0</v>
      </c>
      <c r="E4572" s="27"/>
      <c r="F4572" s="25">
        <v>0.0</v>
      </c>
      <c r="G4572" s="27"/>
    </row>
    <row r="4573" hidden="1">
      <c r="A4573" s="21"/>
      <c r="B4573" s="21" t="s">
        <v>5239</v>
      </c>
      <c r="D4573" s="25">
        <v>0.0</v>
      </c>
      <c r="E4573" s="27"/>
      <c r="F4573" s="25">
        <v>0.0</v>
      </c>
      <c r="G4573" s="27"/>
    </row>
    <row r="4574" hidden="1">
      <c r="A4574" s="21"/>
      <c r="B4574" s="21" t="s">
        <v>5240</v>
      </c>
      <c r="D4574" s="25">
        <v>0.0</v>
      </c>
      <c r="E4574" s="27"/>
      <c r="F4574" s="25">
        <v>0.0</v>
      </c>
      <c r="G4574" s="27"/>
    </row>
    <row r="4575" hidden="1">
      <c r="A4575" s="21"/>
      <c r="B4575" s="21" t="s">
        <v>5241</v>
      </c>
      <c r="D4575" s="25">
        <v>0.0</v>
      </c>
      <c r="E4575" s="27"/>
      <c r="F4575" s="25">
        <v>0.0</v>
      </c>
      <c r="G4575" s="27"/>
    </row>
    <row r="4576" hidden="1">
      <c r="A4576" s="21"/>
      <c r="B4576" s="21" t="s">
        <v>5242</v>
      </c>
      <c r="D4576" s="25">
        <v>0.0</v>
      </c>
      <c r="E4576" s="27"/>
      <c r="F4576" s="25">
        <v>0.0</v>
      </c>
      <c r="G4576" s="27"/>
    </row>
    <row r="4577" hidden="1">
      <c r="A4577" s="21"/>
      <c r="B4577" s="21" t="s">
        <v>5243</v>
      </c>
      <c r="D4577" s="25">
        <v>0.0</v>
      </c>
      <c r="E4577" s="27"/>
      <c r="F4577" s="25">
        <v>0.0</v>
      </c>
      <c r="G4577" s="27"/>
    </row>
    <row r="4578" hidden="1">
      <c r="A4578" s="21"/>
      <c r="B4578" s="21" t="s">
        <v>5244</v>
      </c>
      <c r="D4578" s="25">
        <v>0.0</v>
      </c>
      <c r="E4578" s="27"/>
      <c r="F4578" s="25">
        <v>0.0</v>
      </c>
      <c r="G4578" s="27"/>
    </row>
    <row r="4579" hidden="1">
      <c r="A4579" s="21"/>
      <c r="B4579" s="21" t="s">
        <v>5245</v>
      </c>
      <c r="D4579" s="25">
        <v>0.0</v>
      </c>
      <c r="E4579" s="27"/>
      <c r="F4579" s="25">
        <v>0.0</v>
      </c>
      <c r="G4579" s="27"/>
    </row>
    <row r="4580" hidden="1">
      <c r="A4580" s="21"/>
      <c r="B4580" s="21" t="s">
        <v>5246</v>
      </c>
      <c r="D4580" s="25">
        <v>0.0</v>
      </c>
      <c r="E4580" s="27"/>
      <c r="F4580" s="25">
        <v>0.0</v>
      </c>
      <c r="G4580" s="27"/>
    </row>
    <row r="4581" hidden="1">
      <c r="A4581" s="21"/>
      <c r="B4581" s="21" t="s">
        <v>5247</v>
      </c>
      <c r="D4581" s="25">
        <v>0.0</v>
      </c>
      <c r="E4581" s="27"/>
      <c r="F4581" s="25">
        <v>0.0</v>
      </c>
      <c r="G4581" s="27"/>
    </row>
    <row r="4582" hidden="1">
      <c r="A4582" s="21"/>
      <c r="B4582" s="21" t="s">
        <v>5248</v>
      </c>
      <c r="D4582" s="25">
        <v>0.0</v>
      </c>
      <c r="E4582" s="27"/>
      <c r="F4582" s="25">
        <v>0.0</v>
      </c>
      <c r="G4582" s="27"/>
    </row>
    <row r="4583" hidden="1">
      <c r="A4583" s="21"/>
      <c r="B4583" s="21" t="s">
        <v>5249</v>
      </c>
      <c r="D4583" s="25">
        <v>0.0</v>
      </c>
      <c r="E4583" s="27"/>
      <c r="F4583" s="25">
        <v>0.0</v>
      </c>
      <c r="G4583" s="27"/>
    </row>
    <row r="4584" hidden="1">
      <c r="A4584" s="21"/>
      <c r="B4584" s="21" t="s">
        <v>5250</v>
      </c>
      <c r="D4584" s="25">
        <v>0.0</v>
      </c>
      <c r="E4584" s="27"/>
      <c r="F4584" s="25">
        <v>0.0</v>
      </c>
      <c r="G4584" s="27"/>
    </row>
    <row r="4585" hidden="1">
      <c r="A4585" s="21"/>
      <c r="B4585" s="21" t="s">
        <v>5251</v>
      </c>
      <c r="D4585" s="25">
        <v>0.0</v>
      </c>
      <c r="E4585" s="27"/>
      <c r="F4585" s="25">
        <v>0.0</v>
      </c>
      <c r="G4585" s="27"/>
    </row>
    <row r="4586" hidden="1">
      <c r="A4586" s="21"/>
      <c r="B4586" s="21" t="s">
        <v>5252</v>
      </c>
      <c r="D4586" s="25">
        <v>0.0</v>
      </c>
      <c r="E4586" s="27"/>
      <c r="F4586" s="25">
        <v>0.0</v>
      </c>
      <c r="G4586" s="27"/>
    </row>
    <row r="4587" hidden="1">
      <c r="A4587" s="21"/>
      <c r="B4587" s="21" t="s">
        <v>5253</v>
      </c>
      <c r="D4587" s="25">
        <v>0.0</v>
      </c>
      <c r="E4587" s="27"/>
      <c r="F4587" s="25">
        <v>0.0</v>
      </c>
      <c r="G4587" s="27"/>
    </row>
    <row r="4588" hidden="1">
      <c r="A4588" s="21"/>
      <c r="B4588" s="21" t="s">
        <v>5254</v>
      </c>
      <c r="D4588" s="25">
        <v>0.0</v>
      </c>
      <c r="E4588" s="27"/>
      <c r="F4588" s="25">
        <v>0.0</v>
      </c>
      <c r="G4588" s="27"/>
    </row>
    <row r="4589" hidden="1">
      <c r="A4589" s="21"/>
      <c r="B4589" s="21" t="s">
        <v>5255</v>
      </c>
      <c r="D4589" s="25">
        <v>0.0</v>
      </c>
      <c r="E4589" s="27"/>
      <c r="F4589" s="25">
        <v>0.0</v>
      </c>
      <c r="G4589" s="27"/>
    </row>
    <row r="4590" hidden="1">
      <c r="A4590" s="21"/>
      <c r="B4590" s="21" t="s">
        <v>5256</v>
      </c>
      <c r="D4590" s="25">
        <v>0.0</v>
      </c>
      <c r="E4590" s="27"/>
      <c r="F4590" s="25">
        <v>0.0</v>
      </c>
      <c r="G4590" s="27"/>
    </row>
    <row r="4591" hidden="1">
      <c r="A4591" s="21"/>
      <c r="B4591" s="21" t="s">
        <v>5257</v>
      </c>
      <c r="D4591" s="25">
        <v>0.0</v>
      </c>
      <c r="E4591" s="27"/>
      <c r="F4591" s="25">
        <v>0.0</v>
      </c>
      <c r="G4591" s="27"/>
    </row>
    <row r="4592" hidden="1">
      <c r="A4592" s="21"/>
      <c r="B4592" s="21" t="s">
        <v>5258</v>
      </c>
      <c r="D4592" s="25">
        <v>0.0</v>
      </c>
      <c r="E4592" s="27"/>
      <c r="F4592" s="25">
        <v>0.0</v>
      </c>
      <c r="G4592" s="27"/>
    </row>
    <row r="4593" hidden="1">
      <c r="A4593" s="21"/>
      <c r="B4593" s="21" t="s">
        <v>5259</v>
      </c>
      <c r="D4593" s="25">
        <v>0.0</v>
      </c>
      <c r="E4593" s="27"/>
      <c r="F4593" s="25">
        <v>0.0</v>
      </c>
      <c r="G4593" s="27"/>
    </row>
    <row r="4594" hidden="1">
      <c r="A4594" s="21"/>
      <c r="B4594" s="21" t="s">
        <v>5260</v>
      </c>
      <c r="D4594" s="25">
        <v>0.0</v>
      </c>
      <c r="E4594" s="27"/>
      <c r="F4594" s="25">
        <v>0.0</v>
      </c>
      <c r="G4594" s="27"/>
    </row>
    <row r="4595" hidden="1">
      <c r="A4595" s="21"/>
      <c r="B4595" s="21" t="s">
        <v>5261</v>
      </c>
      <c r="D4595" s="25">
        <v>0.0</v>
      </c>
      <c r="E4595" s="27"/>
      <c r="F4595" s="25">
        <v>0.0</v>
      </c>
      <c r="G4595" s="27"/>
    </row>
    <row r="4596" hidden="1">
      <c r="A4596" s="21"/>
      <c r="B4596" s="21" t="s">
        <v>5262</v>
      </c>
      <c r="D4596" s="25">
        <v>0.0</v>
      </c>
      <c r="E4596" s="27"/>
      <c r="F4596" s="25">
        <v>0.0</v>
      </c>
      <c r="G4596" s="27"/>
    </row>
    <row r="4597" hidden="1">
      <c r="A4597" s="21"/>
      <c r="B4597" s="21" t="s">
        <v>5263</v>
      </c>
      <c r="D4597" s="25">
        <v>0.0</v>
      </c>
      <c r="E4597" s="27"/>
      <c r="F4597" s="25">
        <v>0.0</v>
      </c>
      <c r="G4597" s="27"/>
    </row>
    <row r="4598" hidden="1">
      <c r="A4598" s="21"/>
      <c r="B4598" s="21" t="s">
        <v>5264</v>
      </c>
      <c r="D4598" s="25">
        <v>0.0</v>
      </c>
      <c r="E4598" s="27"/>
      <c r="F4598" s="25">
        <v>0.0</v>
      </c>
      <c r="G4598" s="27"/>
    </row>
    <row r="4599" hidden="1">
      <c r="A4599" s="21"/>
      <c r="B4599" s="21" t="s">
        <v>5265</v>
      </c>
      <c r="D4599" s="25">
        <v>0.0</v>
      </c>
      <c r="E4599" s="27"/>
      <c r="F4599" s="25">
        <v>0.0</v>
      </c>
      <c r="G4599" s="27"/>
    </row>
    <row r="4600" hidden="1">
      <c r="A4600" s="21"/>
      <c r="B4600" s="21" t="s">
        <v>5266</v>
      </c>
      <c r="D4600" s="25">
        <v>0.0</v>
      </c>
      <c r="E4600" s="27"/>
      <c r="F4600" s="25">
        <v>0.0</v>
      </c>
      <c r="G4600" s="27"/>
    </row>
    <row r="4601" hidden="1">
      <c r="A4601" s="21"/>
      <c r="B4601" s="21" t="s">
        <v>5267</v>
      </c>
      <c r="D4601" s="25">
        <v>0.0</v>
      </c>
      <c r="E4601" s="27"/>
      <c r="F4601" s="25">
        <v>6.44</v>
      </c>
      <c r="G4601" s="27"/>
    </row>
    <row r="4602" hidden="1">
      <c r="A4602" s="21"/>
      <c r="B4602" s="21" t="s">
        <v>5268</v>
      </c>
      <c r="D4602" s="25">
        <v>0.0</v>
      </c>
      <c r="E4602" s="27"/>
      <c r="F4602" s="25">
        <v>0.0</v>
      </c>
      <c r="G4602" s="27"/>
    </row>
    <row r="4603" hidden="1">
      <c r="A4603" s="21"/>
      <c r="B4603" s="21" t="s">
        <v>5269</v>
      </c>
      <c r="D4603" s="25">
        <v>0.0</v>
      </c>
      <c r="E4603" s="27"/>
      <c r="F4603" s="25">
        <v>0.0</v>
      </c>
      <c r="G4603" s="27"/>
    </row>
    <row r="4604" hidden="1">
      <c r="A4604" s="21"/>
      <c r="B4604" s="21" t="s">
        <v>5270</v>
      </c>
      <c r="D4604" s="25">
        <v>0.0</v>
      </c>
      <c r="E4604" s="27"/>
      <c r="F4604" s="25">
        <v>0.0</v>
      </c>
      <c r="G4604" s="27"/>
    </row>
    <row r="4605" hidden="1">
      <c r="A4605" s="21"/>
      <c r="B4605" s="21" t="s">
        <v>5271</v>
      </c>
      <c r="D4605" s="25">
        <v>0.0</v>
      </c>
      <c r="E4605" s="27"/>
      <c r="F4605" s="25">
        <v>0.0</v>
      </c>
      <c r="G4605" s="27"/>
    </row>
    <row r="4606" hidden="1">
      <c r="A4606" s="21"/>
      <c r="B4606" s="21" t="s">
        <v>5272</v>
      </c>
      <c r="D4606" s="25">
        <v>0.0</v>
      </c>
      <c r="E4606" s="27"/>
      <c r="F4606" s="25">
        <v>0.0</v>
      </c>
      <c r="G4606" s="27"/>
    </row>
    <row r="4607" hidden="1">
      <c r="A4607" s="21"/>
      <c r="B4607" s="21" t="s">
        <v>5273</v>
      </c>
      <c r="D4607" s="25">
        <v>0.0</v>
      </c>
      <c r="E4607" s="27"/>
      <c r="F4607" s="25">
        <v>0.0</v>
      </c>
      <c r="G4607" s="27"/>
    </row>
    <row r="4608" hidden="1">
      <c r="A4608" s="21"/>
      <c r="B4608" s="21" t="s">
        <v>5274</v>
      </c>
      <c r="D4608" s="25">
        <v>0.0</v>
      </c>
      <c r="E4608" s="27"/>
      <c r="F4608" s="25">
        <v>0.0</v>
      </c>
      <c r="G4608" s="27"/>
    </row>
    <row r="4609" hidden="1">
      <c r="A4609" s="21"/>
      <c r="B4609" s="21" t="s">
        <v>5275</v>
      </c>
      <c r="D4609" s="25">
        <v>0.0</v>
      </c>
      <c r="E4609" s="27"/>
      <c r="F4609" s="25">
        <v>0.0</v>
      </c>
      <c r="G4609" s="27"/>
    </row>
    <row r="4610" hidden="1">
      <c r="A4610" s="21"/>
      <c r="B4610" s="21" t="s">
        <v>5276</v>
      </c>
      <c r="D4610" s="25">
        <v>0.0</v>
      </c>
      <c r="E4610" s="27"/>
      <c r="F4610" s="25">
        <v>0.0</v>
      </c>
      <c r="G4610" s="27"/>
    </row>
    <row r="4611" hidden="1">
      <c r="A4611" s="21"/>
      <c r="B4611" s="21" t="s">
        <v>5277</v>
      </c>
      <c r="D4611" s="25">
        <v>0.0</v>
      </c>
      <c r="E4611" s="27"/>
      <c r="F4611" s="25">
        <v>0.0</v>
      </c>
      <c r="G4611" s="27"/>
    </row>
    <row r="4612" hidden="1">
      <c r="A4612" s="21"/>
      <c r="B4612" s="21" t="s">
        <v>5278</v>
      </c>
      <c r="D4612" s="25">
        <v>0.0</v>
      </c>
      <c r="E4612" s="27"/>
      <c r="F4612" s="25">
        <v>0.0</v>
      </c>
      <c r="G4612" s="27"/>
    </row>
    <row r="4613" hidden="1">
      <c r="A4613" s="21"/>
      <c r="B4613" s="21" t="s">
        <v>5279</v>
      </c>
      <c r="D4613" s="25">
        <v>0.0</v>
      </c>
      <c r="E4613" s="27"/>
      <c r="F4613" s="25">
        <v>0.0</v>
      </c>
      <c r="G4613" s="27"/>
    </row>
    <row r="4614" hidden="1">
      <c r="A4614" s="21"/>
      <c r="B4614" s="21" t="s">
        <v>5280</v>
      </c>
      <c r="D4614" s="25">
        <v>0.0</v>
      </c>
      <c r="E4614" s="27"/>
      <c r="F4614" s="25">
        <v>0.0</v>
      </c>
      <c r="G4614" s="27"/>
    </row>
    <row r="4615" hidden="1">
      <c r="A4615" s="21"/>
      <c r="B4615" s="21" t="s">
        <v>5281</v>
      </c>
      <c r="D4615" s="25">
        <v>0.0</v>
      </c>
      <c r="E4615" s="27"/>
      <c r="F4615" s="25">
        <v>0.0</v>
      </c>
      <c r="G4615" s="27"/>
    </row>
    <row r="4616" hidden="1">
      <c r="A4616" s="21"/>
      <c r="B4616" s="21" t="s">
        <v>5282</v>
      </c>
      <c r="D4616" s="25">
        <v>0.0</v>
      </c>
      <c r="E4616" s="27"/>
      <c r="F4616" s="25">
        <v>0.0</v>
      </c>
      <c r="G4616" s="27"/>
    </row>
    <row r="4617" hidden="1">
      <c r="A4617" s="21"/>
      <c r="B4617" s="21" t="s">
        <v>5283</v>
      </c>
      <c r="D4617" s="25">
        <v>0.0</v>
      </c>
      <c r="E4617" s="27"/>
      <c r="F4617" s="25">
        <v>0.0</v>
      </c>
      <c r="G4617" s="27"/>
    </row>
    <row r="4618" hidden="1">
      <c r="A4618" s="21"/>
      <c r="B4618" s="21" t="s">
        <v>5284</v>
      </c>
      <c r="D4618" s="25">
        <v>0.0</v>
      </c>
      <c r="E4618" s="27"/>
      <c r="F4618" s="25">
        <v>0.0</v>
      </c>
      <c r="G4618" s="27"/>
    </row>
    <row r="4619" hidden="1">
      <c r="A4619" s="21"/>
      <c r="B4619" s="21" t="s">
        <v>5285</v>
      </c>
      <c r="D4619" s="25">
        <v>0.0</v>
      </c>
      <c r="E4619" s="27"/>
      <c r="F4619" s="25">
        <v>0.0</v>
      </c>
      <c r="G4619" s="27"/>
    </row>
    <row r="4620" hidden="1">
      <c r="A4620" s="21"/>
      <c r="B4620" s="21" t="s">
        <v>5286</v>
      </c>
      <c r="D4620" s="25">
        <v>0.0</v>
      </c>
      <c r="E4620" s="27"/>
      <c r="F4620" s="25">
        <v>0.0</v>
      </c>
      <c r="G4620" s="27"/>
    </row>
    <row r="4621" hidden="1">
      <c r="A4621" s="21"/>
      <c r="B4621" s="21" t="s">
        <v>5287</v>
      </c>
      <c r="D4621" s="25">
        <v>0.0</v>
      </c>
      <c r="E4621" s="27"/>
      <c r="F4621" s="25">
        <v>0.0</v>
      </c>
      <c r="G4621" s="27"/>
    </row>
    <row r="4622" hidden="1">
      <c r="A4622" s="21"/>
      <c r="B4622" s="21" t="s">
        <v>5288</v>
      </c>
      <c r="D4622" s="25">
        <v>0.0</v>
      </c>
      <c r="E4622" s="27"/>
      <c r="F4622" s="25">
        <v>0.0</v>
      </c>
      <c r="G4622" s="27"/>
    </row>
    <row r="4623" hidden="1">
      <c r="A4623" s="21"/>
      <c r="B4623" s="21" t="s">
        <v>5289</v>
      </c>
      <c r="D4623" s="25">
        <v>0.0</v>
      </c>
      <c r="E4623" s="27"/>
      <c r="F4623" s="25">
        <v>0.0</v>
      </c>
      <c r="G4623" s="27"/>
    </row>
    <row r="4624" hidden="1">
      <c r="A4624" s="21"/>
      <c r="B4624" s="21" t="s">
        <v>5290</v>
      </c>
      <c r="D4624" s="25">
        <v>0.0</v>
      </c>
      <c r="E4624" s="27"/>
      <c r="F4624" s="25">
        <v>0.0</v>
      </c>
      <c r="G4624" s="27"/>
    </row>
    <row r="4625" hidden="1">
      <c r="A4625" s="21"/>
      <c r="B4625" s="21" t="s">
        <v>5291</v>
      </c>
      <c r="D4625" s="25">
        <v>0.0</v>
      </c>
      <c r="E4625" s="27"/>
      <c r="F4625" s="25">
        <v>0.0</v>
      </c>
      <c r="G4625" s="27"/>
    </row>
    <row r="4626" hidden="1">
      <c r="A4626" s="21"/>
      <c r="B4626" s="21" t="s">
        <v>5292</v>
      </c>
      <c r="D4626" s="25">
        <v>0.0</v>
      </c>
      <c r="E4626" s="27"/>
      <c r="F4626" s="25">
        <v>0.0</v>
      </c>
      <c r="G4626" s="27"/>
    </row>
    <row r="4627" hidden="1">
      <c r="A4627" s="21"/>
      <c r="B4627" s="21" t="s">
        <v>5293</v>
      </c>
      <c r="D4627" s="25">
        <v>0.0</v>
      </c>
      <c r="E4627" s="27"/>
      <c r="F4627" s="25">
        <v>0.0</v>
      </c>
      <c r="G4627" s="27"/>
    </row>
    <row r="4628" hidden="1">
      <c r="A4628" s="21"/>
      <c r="B4628" s="21" t="s">
        <v>5294</v>
      </c>
      <c r="D4628" s="25">
        <v>0.0</v>
      </c>
      <c r="E4628" s="27"/>
      <c r="F4628" s="25">
        <v>2.3</v>
      </c>
      <c r="G4628" s="27"/>
    </row>
    <row r="4629" hidden="1">
      <c r="A4629" s="21"/>
      <c r="B4629" s="21" t="s">
        <v>5295</v>
      </c>
      <c r="D4629" s="25">
        <v>0.0</v>
      </c>
      <c r="E4629" s="27"/>
      <c r="F4629" s="25">
        <v>0.0</v>
      </c>
      <c r="G4629" s="27"/>
    </row>
    <row r="4630" hidden="1">
      <c r="A4630" s="21"/>
      <c r="B4630" s="21" t="s">
        <v>5296</v>
      </c>
      <c r="D4630" s="25">
        <v>0.0</v>
      </c>
      <c r="E4630" s="27"/>
      <c r="F4630" s="25">
        <v>8.12</v>
      </c>
      <c r="G4630" s="27"/>
    </row>
    <row r="4631" hidden="1">
      <c r="A4631" s="21"/>
      <c r="B4631" s="21" t="s">
        <v>5297</v>
      </c>
      <c r="D4631" s="25">
        <v>0.0</v>
      </c>
      <c r="E4631" s="27"/>
      <c r="F4631" s="25">
        <v>0.0</v>
      </c>
      <c r="G4631" s="27"/>
    </row>
    <row r="4632" hidden="1">
      <c r="A4632" s="21"/>
      <c r="B4632" s="21" t="s">
        <v>5298</v>
      </c>
      <c r="D4632" s="25">
        <v>0.0</v>
      </c>
      <c r="E4632" s="27"/>
      <c r="F4632" s="25">
        <v>0.0</v>
      </c>
      <c r="G4632" s="27"/>
    </row>
    <row r="4633" hidden="1">
      <c r="A4633" s="21"/>
      <c r="B4633" s="21" t="s">
        <v>5299</v>
      </c>
      <c r="D4633" s="25">
        <v>0.0</v>
      </c>
      <c r="E4633" s="27"/>
      <c r="F4633" s="25">
        <v>0.0</v>
      </c>
      <c r="G4633" s="27"/>
    </row>
    <row r="4634" hidden="1">
      <c r="A4634" s="21"/>
      <c r="B4634" s="21" t="s">
        <v>5300</v>
      </c>
      <c r="D4634" s="25">
        <v>0.0</v>
      </c>
      <c r="E4634" s="27"/>
      <c r="F4634" s="25">
        <v>0.0</v>
      </c>
      <c r="G4634" s="27"/>
    </row>
    <row r="4635" hidden="1">
      <c r="A4635" s="21"/>
      <c r="B4635" s="21" t="s">
        <v>5301</v>
      </c>
      <c r="D4635" s="25">
        <v>0.0</v>
      </c>
      <c r="E4635" s="27"/>
      <c r="F4635" s="25">
        <v>0.0</v>
      </c>
      <c r="G4635" s="27"/>
    </row>
    <row r="4636" hidden="1">
      <c r="A4636" s="21"/>
      <c r="B4636" s="21" t="s">
        <v>5302</v>
      </c>
      <c r="D4636" s="25">
        <v>0.0</v>
      </c>
      <c r="E4636" s="27"/>
      <c r="F4636" s="25">
        <v>0.0</v>
      </c>
      <c r="G4636" s="27"/>
    </row>
    <row r="4637" hidden="1">
      <c r="A4637" s="21"/>
      <c r="B4637" s="21" t="s">
        <v>5303</v>
      </c>
      <c r="D4637" s="25">
        <v>0.0</v>
      </c>
      <c r="E4637" s="27"/>
      <c r="F4637" s="25">
        <v>0.0</v>
      </c>
      <c r="G4637" s="27"/>
    </row>
    <row r="4638" hidden="1">
      <c r="A4638" s="21"/>
      <c r="B4638" s="21" t="s">
        <v>5304</v>
      </c>
      <c r="D4638" s="25">
        <v>0.0</v>
      </c>
      <c r="E4638" s="27"/>
      <c r="F4638" s="25">
        <v>0.0</v>
      </c>
      <c r="G4638" s="27"/>
    </row>
    <row r="4639" hidden="1">
      <c r="A4639" s="21"/>
      <c r="B4639" s="21" t="s">
        <v>5305</v>
      </c>
      <c r="D4639" s="25">
        <v>0.0</v>
      </c>
      <c r="E4639" s="27"/>
      <c r="F4639" s="25">
        <v>0.0</v>
      </c>
      <c r="G4639" s="27"/>
    </row>
    <row r="4640" hidden="1">
      <c r="A4640" s="21"/>
      <c r="B4640" s="21" t="s">
        <v>5306</v>
      </c>
      <c r="D4640" s="25">
        <v>0.0</v>
      </c>
      <c r="E4640" s="27"/>
      <c r="F4640" s="25">
        <v>0.0</v>
      </c>
      <c r="G4640" s="27"/>
    </row>
    <row r="4641" hidden="1">
      <c r="A4641" s="21"/>
      <c r="B4641" s="21" t="s">
        <v>5307</v>
      </c>
      <c r="D4641" s="25">
        <v>0.0</v>
      </c>
      <c r="E4641" s="27"/>
      <c r="F4641" s="25">
        <v>3.32</v>
      </c>
      <c r="G4641" s="27"/>
    </row>
    <row r="4642" hidden="1">
      <c r="A4642" s="21"/>
      <c r="B4642" s="21" t="s">
        <v>5308</v>
      </c>
      <c r="D4642" s="25">
        <v>0.0</v>
      </c>
      <c r="E4642" s="27"/>
      <c r="F4642" s="25">
        <v>0.0</v>
      </c>
      <c r="G4642" s="27"/>
    </row>
    <row r="4643" hidden="1">
      <c r="A4643" s="21"/>
      <c r="B4643" s="21" t="s">
        <v>5309</v>
      </c>
      <c r="D4643" s="25">
        <v>0.0</v>
      </c>
      <c r="E4643" s="27"/>
      <c r="F4643" s="25">
        <v>0.0</v>
      </c>
      <c r="G4643" s="27"/>
    </row>
    <row r="4644" hidden="1">
      <c r="A4644" s="21"/>
      <c r="B4644" s="21" t="s">
        <v>5310</v>
      </c>
      <c r="D4644" s="25">
        <v>0.0</v>
      </c>
      <c r="E4644" s="27"/>
      <c r="F4644" s="25">
        <v>0.0</v>
      </c>
      <c r="G4644" s="27"/>
    </row>
    <row r="4645" hidden="1">
      <c r="A4645" s="21"/>
      <c r="B4645" s="21" t="s">
        <v>5311</v>
      </c>
      <c r="D4645" s="25">
        <v>0.0</v>
      </c>
      <c r="E4645" s="27"/>
      <c r="F4645" s="25">
        <v>0.0</v>
      </c>
      <c r="G4645" s="27"/>
    </row>
    <row r="4646" hidden="1">
      <c r="A4646" s="21"/>
      <c r="B4646" s="21" t="s">
        <v>5312</v>
      </c>
      <c r="D4646" s="25">
        <v>0.0</v>
      </c>
      <c r="E4646" s="27"/>
      <c r="F4646" s="25">
        <v>0.0</v>
      </c>
      <c r="G4646" s="27"/>
    </row>
    <row r="4647" hidden="1">
      <c r="A4647" s="21"/>
      <c r="B4647" s="21" t="s">
        <v>5313</v>
      </c>
      <c r="D4647" s="25">
        <v>0.0</v>
      </c>
      <c r="E4647" s="27"/>
      <c r="F4647" s="25">
        <v>0.0</v>
      </c>
      <c r="G4647" s="27"/>
    </row>
    <row r="4648" hidden="1">
      <c r="A4648" s="21"/>
      <c r="B4648" s="21" t="s">
        <v>5314</v>
      </c>
      <c r="D4648" s="25">
        <v>0.0</v>
      </c>
      <c r="E4648" s="27"/>
      <c r="F4648" s="25">
        <v>0.0</v>
      </c>
      <c r="G4648" s="27"/>
    </row>
    <row r="4649" hidden="1">
      <c r="A4649" s="21"/>
      <c r="B4649" s="21" t="s">
        <v>5315</v>
      </c>
      <c r="D4649" s="25">
        <v>0.0</v>
      </c>
      <c r="E4649" s="27"/>
      <c r="F4649" s="25">
        <v>0.0</v>
      </c>
      <c r="G4649" s="27"/>
    </row>
    <row r="4650" hidden="1">
      <c r="A4650" s="21"/>
      <c r="B4650" s="21" t="s">
        <v>5316</v>
      </c>
      <c r="D4650" s="25">
        <v>0.0</v>
      </c>
      <c r="E4650" s="27"/>
      <c r="F4650" s="25">
        <v>0.0</v>
      </c>
      <c r="G4650" s="27"/>
    </row>
    <row r="4651" hidden="1">
      <c r="A4651" s="21"/>
      <c r="B4651" s="21" t="s">
        <v>5317</v>
      </c>
      <c r="D4651" s="25">
        <v>0.0</v>
      </c>
      <c r="E4651" s="27"/>
      <c r="F4651" s="25">
        <v>0.0</v>
      </c>
      <c r="G4651" s="27"/>
    </row>
    <row r="4652" hidden="1">
      <c r="A4652" s="21"/>
      <c r="B4652" s="21" t="s">
        <v>5318</v>
      </c>
      <c r="D4652" s="25">
        <v>0.0</v>
      </c>
      <c r="E4652" s="27"/>
      <c r="F4652" s="25">
        <v>0.0</v>
      </c>
      <c r="G4652" s="27"/>
    </row>
    <row r="4653" hidden="1">
      <c r="A4653" s="21"/>
      <c r="B4653" s="21" t="s">
        <v>5319</v>
      </c>
      <c r="D4653" s="25">
        <v>0.0</v>
      </c>
      <c r="E4653" s="27"/>
      <c r="F4653" s="25">
        <v>0.0</v>
      </c>
      <c r="G4653" s="27"/>
    </row>
    <row r="4654" hidden="1">
      <c r="A4654" s="21"/>
      <c r="B4654" s="21" t="s">
        <v>5320</v>
      </c>
      <c r="D4654" s="25">
        <v>0.0</v>
      </c>
      <c r="E4654" s="27"/>
      <c r="F4654" s="25">
        <v>0.0</v>
      </c>
      <c r="G4654" s="27"/>
    </row>
    <row r="4655" hidden="1">
      <c r="A4655" s="21"/>
      <c r="B4655" s="21" t="s">
        <v>5321</v>
      </c>
      <c r="D4655" s="25">
        <v>0.0</v>
      </c>
      <c r="E4655" s="27"/>
      <c r="F4655" s="25">
        <v>0.0</v>
      </c>
      <c r="G4655" s="27"/>
    </row>
    <row r="4656" hidden="1">
      <c r="A4656" s="21"/>
      <c r="B4656" s="21" t="s">
        <v>5322</v>
      </c>
      <c r="D4656" s="25">
        <v>0.0</v>
      </c>
      <c r="E4656" s="27"/>
      <c r="F4656" s="25">
        <v>0.0</v>
      </c>
      <c r="G4656" s="27"/>
    </row>
    <row r="4657" hidden="1">
      <c r="A4657" s="21"/>
      <c r="B4657" s="21" t="s">
        <v>5323</v>
      </c>
      <c r="D4657" s="25">
        <v>0.0</v>
      </c>
      <c r="E4657" s="27"/>
      <c r="F4657" s="25">
        <v>0.0</v>
      </c>
      <c r="G4657" s="27"/>
    </row>
    <row r="4658" hidden="1">
      <c r="A4658" s="21"/>
      <c r="B4658" s="21" t="s">
        <v>5324</v>
      </c>
      <c r="D4658" s="25">
        <v>0.0</v>
      </c>
      <c r="E4658" s="27"/>
      <c r="F4658" s="25">
        <v>0.0</v>
      </c>
      <c r="G4658" s="27"/>
    </row>
    <row r="4659" hidden="1">
      <c r="A4659" s="21"/>
      <c r="B4659" s="21" t="s">
        <v>5325</v>
      </c>
      <c r="D4659" s="25">
        <v>0.0</v>
      </c>
      <c r="E4659" s="27"/>
      <c r="F4659" s="25">
        <v>0.0</v>
      </c>
      <c r="G4659" s="27"/>
    </row>
    <row r="4660" hidden="1">
      <c r="A4660" s="21"/>
      <c r="B4660" s="21" t="s">
        <v>5326</v>
      </c>
      <c r="D4660" s="25">
        <v>0.0</v>
      </c>
      <c r="E4660" s="27"/>
      <c r="F4660" s="25">
        <v>0.0</v>
      </c>
      <c r="G4660" s="27"/>
    </row>
    <row r="4661" hidden="1">
      <c r="A4661" s="21"/>
      <c r="B4661" s="21" t="s">
        <v>5327</v>
      </c>
      <c r="D4661" s="25">
        <v>0.0</v>
      </c>
      <c r="E4661" s="27"/>
      <c r="F4661" s="25">
        <v>0.0</v>
      </c>
      <c r="G4661" s="27"/>
    </row>
    <row r="4662" hidden="1">
      <c r="A4662" s="21"/>
      <c r="B4662" s="21" t="s">
        <v>5328</v>
      </c>
      <c r="D4662" s="25">
        <v>0.0</v>
      </c>
      <c r="E4662" s="27"/>
      <c r="F4662" s="25">
        <v>0.0</v>
      </c>
      <c r="G4662" s="27"/>
    </row>
    <row r="4663" hidden="1">
      <c r="A4663" s="21"/>
      <c r="B4663" s="21" t="s">
        <v>5329</v>
      </c>
      <c r="D4663" s="25">
        <v>0.0</v>
      </c>
      <c r="E4663" s="27"/>
      <c r="F4663" s="25">
        <v>0.0</v>
      </c>
      <c r="G4663" s="27"/>
    </row>
    <row r="4664" hidden="1">
      <c r="A4664" s="21"/>
      <c r="B4664" s="21" t="s">
        <v>5330</v>
      </c>
      <c r="D4664" s="25">
        <v>0.0</v>
      </c>
      <c r="E4664" s="27"/>
      <c r="F4664" s="25">
        <v>0.0</v>
      </c>
      <c r="G4664" s="27"/>
    </row>
    <row r="4665" hidden="1">
      <c r="A4665" s="21"/>
      <c r="B4665" s="21" t="s">
        <v>5331</v>
      </c>
      <c r="D4665" s="25">
        <v>0.0</v>
      </c>
      <c r="E4665" s="27"/>
      <c r="F4665" s="25">
        <v>0.0</v>
      </c>
      <c r="G4665" s="27"/>
    </row>
    <row r="4666" hidden="1">
      <c r="A4666" s="21"/>
      <c r="B4666" s="21" t="s">
        <v>5332</v>
      </c>
      <c r="D4666" s="25">
        <v>0.0</v>
      </c>
      <c r="E4666" s="27"/>
      <c r="F4666" s="25">
        <v>1.69</v>
      </c>
      <c r="G4666" s="27"/>
    </row>
    <row r="4667" hidden="1">
      <c r="A4667" s="21"/>
      <c r="B4667" s="21" t="s">
        <v>5333</v>
      </c>
      <c r="D4667" s="25">
        <v>0.0</v>
      </c>
      <c r="E4667" s="27"/>
      <c r="F4667" s="25">
        <v>0.0</v>
      </c>
      <c r="G4667" s="27"/>
    </row>
    <row r="4668" hidden="1">
      <c r="A4668" s="21"/>
      <c r="B4668" s="21" t="s">
        <v>5334</v>
      </c>
      <c r="D4668" s="25">
        <v>0.0</v>
      </c>
      <c r="E4668" s="27"/>
      <c r="F4668" s="25">
        <v>0.0</v>
      </c>
      <c r="G4668" s="27"/>
    </row>
    <row r="4669" hidden="1">
      <c r="A4669" s="21"/>
      <c r="B4669" s="21" t="s">
        <v>5335</v>
      </c>
      <c r="D4669" s="25">
        <v>0.0</v>
      </c>
      <c r="E4669" s="27"/>
      <c r="F4669" s="25">
        <v>0.0</v>
      </c>
      <c r="G4669" s="27"/>
    </row>
    <row r="4670" hidden="1">
      <c r="A4670" s="21"/>
      <c r="B4670" s="21" t="s">
        <v>5336</v>
      </c>
      <c r="D4670" s="25">
        <v>0.0</v>
      </c>
      <c r="E4670" s="27"/>
      <c r="F4670" s="25">
        <v>0.0</v>
      </c>
      <c r="G4670" s="27"/>
    </row>
    <row r="4671" hidden="1">
      <c r="A4671" s="21"/>
      <c r="B4671" s="21" t="s">
        <v>5337</v>
      </c>
      <c r="D4671" s="25">
        <v>0.0</v>
      </c>
      <c r="E4671" s="27"/>
      <c r="F4671" s="25">
        <v>0.0</v>
      </c>
      <c r="G4671" s="27"/>
    </row>
    <row r="4672" hidden="1">
      <c r="A4672" s="21"/>
      <c r="B4672" s="21" t="s">
        <v>5338</v>
      </c>
      <c r="D4672" s="25">
        <v>0.0</v>
      </c>
      <c r="E4672" s="27"/>
      <c r="F4672" s="25">
        <v>0.0</v>
      </c>
      <c r="G4672" s="27"/>
    </row>
    <row r="4673" hidden="1">
      <c r="A4673" s="21"/>
      <c r="B4673" s="21" t="s">
        <v>5339</v>
      </c>
      <c r="D4673" s="25">
        <v>0.0</v>
      </c>
      <c r="E4673" s="27"/>
      <c r="F4673" s="25">
        <v>0.0</v>
      </c>
      <c r="G4673" s="27"/>
    </row>
    <row r="4674" hidden="1">
      <c r="A4674" s="21"/>
      <c r="B4674" s="21" t="s">
        <v>5340</v>
      </c>
      <c r="D4674" s="25">
        <v>0.0</v>
      </c>
      <c r="E4674" s="27"/>
      <c r="F4674" s="25">
        <v>0.0</v>
      </c>
      <c r="G4674" s="27"/>
    </row>
    <row r="4675" hidden="1">
      <c r="A4675" s="21"/>
      <c r="B4675" s="21" t="s">
        <v>5341</v>
      </c>
      <c r="D4675" s="25">
        <v>0.0</v>
      </c>
      <c r="E4675" s="27"/>
      <c r="F4675" s="25">
        <v>0.0</v>
      </c>
      <c r="G4675" s="27"/>
    </row>
    <row r="4676" hidden="1">
      <c r="A4676" s="21"/>
      <c r="B4676" s="21" t="s">
        <v>5342</v>
      </c>
      <c r="D4676" s="25">
        <v>0.0</v>
      </c>
      <c r="E4676" s="27"/>
      <c r="F4676" s="25">
        <v>0.0</v>
      </c>
      <c r="G4676" s="27"/>
    </row>
    <row r="4677" hidden="1">
      <c r="A4677" s="21"/>
      <c r="B4677" s="21" t="s">
        <v>5343</v>
      </c>
      <c r="D4677" s="25">
        <v>0.0</v>
      </c>
      <c r="E4677" s="27"/>
      <c r="F4677" s="25">
        <v>0.0</v>
      </c>
      <c r="G4677" s="27"/>
    </row>
    <row r="4678" hidden="1">
      <c r="A4678" s="21"/>
      <c r="B4678" s="21" t="s">
        <v>5344</v>
      </c>
      <c r="D4678" s="25">
        <v>0.0</v>
      </c>
      <c r="E4678" s="27"/>
      <c r="F4678" s="25">
        <v>0.0</v>
      </c>
      <c r="G4678" s="27"/>
    </row>
    <row r="4679" hidden="1">
      <c r="A4679" s="21"/>
      <c r="B4679" s="21" t="s">
        <v>5345</v>
      </c>
      <c r="D4679" s="25">
        <v>0.0</v>
      </c>
      <c r="E4679" s="27"/>
      <c r="F4679" s="25">
        <v>0.0</v>
      </c>
      <c r="G4679" s="27"/>
    </row>
    <row r="4680" hidden="1">
      <c r="A4680" s="21"/>
      <c r="B4680" s="21" t="s">
        <v>5346</v>
      </c>
      <c r="D4680" s="25">
        <v>0.0</v>
      </c>
      <c r="E4680" s="27"/>
      <c r="F4680" s="25">
        <v>0.0</v>
      </c>
      <c r="G4680" s="27"/>
    </row>
    <row r="4681" hidden="1">
      <c r="A4681" s="21"/>
      <c r="B4681" s="21" t="s">
        <v>5347</v>
      </c>
      <c r="D4681" s="25">
        <v>0.0</v>
      </c>
      <c r="E4681" s="27"/>
      <c r="F4681" s="25">
        <v>0.0</v>
      </c>
      <c r="G4681" s="27"/>
    </row>
    <row r="4682" hidden="1">
      <c r="A4682" s="21"/>
      <c r="B4682" s="21" t="s">
        <v>5348</v>
      </c>
      <c r="D4682" s="25">
        <v>0.0</v>
      </c>
      <c r="E4682" s="27"/>
      <c r="F4682" s="25">
        <v>5.48</v>
      </c>
      <c r="G4682" s="27"/>
    </row>
    <row r="4683" hidden="1">
      <c r="A4683" s="21"/>
      <c r="B4683" s="21" t="s">
        <v>5349</v>
      </c>
      <c r="D4683" s="25">
        <v>0.0</v>
      </c>
      <c r="E4683" s="27"/>
      <c r="F4683" s="25">
        <v>0.0</v>
      </c>
      <c r="G4683" s="27"/>
    </row>
    <row r="4684" hidden="1">
      <c r="A4684" s="21"/>
      <c r="B4684" s="21" t="s">
        <v>5350</v>
      </c>
      <c r="D4684" s="25">
        <v>0.0</v>
      </c>
      <c r="E4684" s="27"/>
      <c r="F4684" s="25">
        <v>0.0</v>
      </c>
      <c r="G4684" s="27"/>
    </row>
    <row r="4685" hidden="1">
      <c r="A4685" s="21"/>
      <c r="B4685" s="21" t="s">
        <v>5351</v>
      </c>
      <c r="D4685" s="25">
        <v>0.0</v>
      </c>
      <c r="E4685" s="27"/>
      <c r="F4685" s="25">
        <v>0.0</v>
      </c>
      <c r="G4685" s="27"/>
    </row>
    <row r="4686" hidden="1">
      <c r="A4686" s="21"/>
      <c r="B4686" s="21" t="s">
        <v>5352</v>
      </c>
      <c r="D4686" s="25">
        <v>0.0</v>
      </c>
      <c r="E4686" s="27"/>
      <c r="F4686" s="25">
        <v>1.32</v>
      </c>
      <c r="G4686" s="27"/>
    </row>
    <row r="4687" hidden="1">
      <c r="A4687" s="21"/>
      <c r="B4687" s="21" t="s">
        <v>5353</v>
      </c>
      <c r="D4687" s="25">
        <v>0.0</v>
      </c>
      <c r="E4687" s="27"/>
      <c r="F4687" s="25">
        <v>0.0</v>
      </c>
      <c r="G4687" s="27"/>
    </row>
    <row r="4688" hidden="1">
      <c r="A4688" s="21"/>
      <c r="B4688" s="21" t="s">
        <v>5354</v>
      </c>
      <c r="D4688" s="25">
        <v>0.0</v>
      </c>
      <c r="E4688" s="27"/>
      <c r="F4688" s="25">
        <v>0.0</v>
      </c>
      <c r="G4688" s="27"/>
    </row>
    <row r="4689" hidden="1">
      <c r="A4689" s="21"/>
      <c r="B4689" s="21" t="s">
        <v>5355</v>
      </c>
      <c r="D4689" s="25">
        <v>0.0</v>
      </c>
      <c r="E4689" s="27"/>
      <c r="F4689" s="25">
        <v>0.0</v>
      </c>
      <c r="G4689" s="27"/>
    </row>
    <row r="4690" hidden="1">
      <c r="A4690" s="21"/>
      <c r="B4690" s="21" t="s">
        <v>5356</v>
      </c>
      <c r="D4690" s="25">
        <v>0.0</v>
      </c>
      <c r="E4690" s="27"/>
      <c r="F4690" s="25">
        <v>0.0</v>
      </c>
      <c r="G4690" s="27"/>
    </row>
    <row r="4691" hidden="1">
      <c r="A4691" s="21"/>
      <c r="B4691" s="21" t="s">
        <v>5357</v>
      </c>
      <c r="D4691" s="25">
        <v>0.0</v>
      </c>
      <c r="E4691" s="27"/>
      <c r="F4691" s="25">
        <v>0.0</v>
      </c>
      <c r="G4691" s="27"/>
    </row>
    <row r="4692" hidden="1">
      <c r="A4692" s="21"/>
      <c r="B4692" s="21" t="s">
        <v>5358</v>
      </c>
      <c r="D4692" s="25">
        <v>0.0</v>
      </c>
      <c r="E4692" s="27"/>
      <c r="F4692" s="25">
        <v>0.0</v>
      </c>
      <c r="G4692" s="27"/>
    </row>
    <row r="4693" hidden="1">
      <c r="A4693" s="21"/>
      <c r="B4693" s="21" t="s">
        <v>5359</v>
      </c>
      <c r="D4693" s="25">
        <v>0.0</v>
      </c>
      <c r="E4693" s="27"/>
      <c r="F4693" s="25">
        <v>0.0</v>
      </c>
      <c r="G4693" s="27"/>
    </row>
    <row r="4694" hidden="1">
      <c r="A4694" s="21"/>
      <c r="B4694" s="21" t="s">
        <v>5360</v>
      </c>
      <c r="D4694" s="25">
        <v>0.0</v>
      </c>
      <c r="E4694" s="27"/>
      <c r="F4694" s="25">
        <v>0.0</v>
      </c>
      <c r="G4694" s="27"/>
    </row>
    <row r="4695" hidden="1">
      <c r="A4695" s="21"/>
      <c r="B4695" s="21" t="s">
        <v>5361</v>
      </c>
      <c r="D4695" s="25">
        <v>0.0</v>
      </c>
      <c r="E4695" s="27"/>
      <c r="F4695" s="25">
        <v>0.0</v>
      </c>
      <c r="G4695" s="27"/>
    </row>
    <row r="4696" hidden="1">
      <c r="A4696" s="21"/>
      <c r="B4696" s="21" t="s">
        <v>5362</v>
      </c>
      <c r="D4696" s="25">
        <v>0.0</v>
      </c>
      <c r="E4696" s="27"/>
      <c r="F4696" s="25">
        <v>0.0</v>
      </c>
      <c r="G4696" s="27"/>
    </row>
    <row r="4697" hidden="1">
      <c r="A4697" s="21"/>
      <c r="B4697" s="21" t="s">
        <v>5363</v>
      </c>
      <c r="D4697" s="25">
        <v>0.0</v>
      </c>
      <c r="E4697" s="27"/>
      <c r="F4697" s="25">
        <v>0.0</v>
      </c>
      <c r="G4697" s="27"/>
    </row>
    <row r="4698" hidden="1">
      <c r="A4698" s="21"/>
      <c r="B4698" s="21" t="s">
        <v>5364</v>
      </c>
      <c r="D4698" s="25">
        <v>0.0</v>
      </c>
      <c r="E4698" s="27"/>
      <c r="F4698" s="25">
        <v>4.35</v>
      </c>
      <c r="G4698" s="27"/>
    </row>
    <row r="4699" hidden="1">
      <c r="A4699" s="21"/>
      <c r="B4699" s="21" t="s">
        <v>5365</v>
      </c>
      <c r="D4699" s="25">
        <v>0.0</v>
      </c>
      <c r="E4699" s="27"/>
      <c r="F4699" s="25">
        <v>0.0</v>
      </c>
      <c r="G4699" s="27"/>
    </row>
    <row r="4700" hidden="1">
      <c r="A4700" s="21"/>
      <c r="B4700" s="21" t="s">
        <v>5366</v>
      </c>
      <c r="D4700" s="25">
        <v>0.0</v>
      </c>
      <c r="E4700" s="27"/>
      <c r="F4700" s="25">
        <v>0.0</v>
      </c>
      <c r="G4700" s="27"/>
    </row>
    <row r="4701" hidden="1">
      <c r="A4701" s="21"/>
      <c r="B4701" s="21" t="s">
        <v>5367</v>
      </c>
      <c r="D4701" s="25">
        <v>0.0</v>
      </c>
      <c r="E4701" s="27"/>
      <c r="F4701" s="25">
        <v>0.0</v>
      </c>
      <c r="G4701" s="27"/>
    </row>
    <row r="4702" hidden="1">
      <c r="A4702" s="21"/>
      <c r="B4702" s="21" t="s">
        <v>5368</v>
      </c>
      <c r="D4702" s="25">
        <v>0.0</v>
      </c>
      <c r="E4702" s="27"/>
      <c r="F4702" s="25">
        <v>0.0</v>
      </c>
      <c r="G4702" s="27"/>
    </row>
    <row r="4703" hidden="1">
      <c r="A4703" s="21"/>
      <c r="B4703" s="21" t="s">
        <v>5369</v>
      </c>
      <c r="D4703" s="25">
        <v>0.0</v>
      </c>
      <c r="E4703" s="27"/>
      <c r="F4703" s="25">
        <v>0.0</v>
      </c>
      <c r="G4703" s="27"/>
    </row>
    <row r="4704" hidden="1">
      <c r="A4704" s="21"/>
      <c r="B4704" s="21" t="s">
        <v>5370</v>
      </c>
      <c r="D4704" s="25">
        <v>0.0</v>
      </c>
      <c r="E4704" s="27"/>
      <c r="F4704" s="25">
        <v>8.16</v>
      </c>
      <c r="G4704" s="27"/>
    </row>
    <row r="4705" hidden="1">
      <c r="A4705" s="21"/>
      <c r="B4705" s="21" t="s">
        <v>5371</v>
      </c>
      <c r="D4705" s="25">
        <v>0.0</v>
      </c>
      <c r="E4705" s="27"/>
      <c r="F4705" s="25">
        <v>0.0</v>
      </c>
      <c r="G4705" s="27"/>
    </row>
    <row r="4706" hidden="1">
      <c r="A4706" s="21"/>
      <c r="B4706" s="21" t="s">
        <v>5372</v>
      </c>
      <c r="D4706" s="25">
        <v>0.0</v>
      </c>
      <c r="E4706" s="27"/>
      <c r="F4706" s="25">
        <v>0.0</v>
      </c>
      <c r="G4706" s="27"/>
    </row>
    <row r="4707" hidden="1">
      <c r="A4707" s="21"/>
      <c r="B4707" s="21" t="s">
        <v>5373</v>
      </c>
      <c r="D4707" s="25">
        <v>0.0</v>
      </c>
      <c r="E4707" s="27"/>
      <c r="F4707" s="25">
        <v>0.0</v>
      </c>
      <c r="G4707" s="27"/>
    </row>
    <row r="4708" hidden="1">
      <c r="A4708" s="21"/>
      <c r="B4708" s="21" t="s">
        <v>5374</v>
      </c>
      <c r="D4708" s="25">
        <v>0.0</v>
      </c>
      <c r="E4708" s="27"/>
      <c r="F4708" s="25">
        <v>0.0</v>
      </c>
      <c r="G4708" s="27"/>
    </row>
    <row r="4709" hidden="1">
      <c r="A4709" s="21"/>
      <c r="B4709" s="21" t="s">
        <v>5375</v>
      </c>
      <c r="D4709" s="25">
        <v>0.0</v>
      </c>
      <c r="E4709" s="27"/>
      <c r="F4709" s="25">
        <v>0.0</v>
      </c>
      <c r="G4709" s="27"/>
    </row>
    <row r="4710" hidden="1">
      <c r="A4710" s="21"/>
      <c r="B4710" s="21" t="s">
        <v>5376</v>
      </c>
      <c r="D4710" s="25">
        <v>0.0</v>
      </c>
      <c r="E4710" s="27"/>
      <c r="F4710" s="25">
        <v>0.0</v>
      </c>
      <c r="G4710" s="27"/>
    </row>
    <row r="4711" hidden="1">
      <c r="A4711" s="21"/>
      <c r="B4711" s="21" t="s">
        <v>5377</v>
      </c>
      <c r="D4711" s="25">
        <v>0.0</v>
      </c>
      <c r="E4711" s="27"/>
      <c r="F4711" s="25">
        <v>0.0</v>
      </c>
      <c r="G4711" s="27"/>
    </row>
    <row r="4712" hidden="1">
      <c r="A4712" s="21"/>
      <c r="B4712" s="21" t="s">
        <v>5378</v>
      </c>
      <c r="D4712" s="25">
        <v>0.0</v>
      </c>
      <c r="E4712" s="27"/>
      <c r="F4712" s="25">
        <v>0.0</v>
      </c>
      <c r="G4712" s="27"/>
    </row>
    <row r="4713" hidden="1">
      <c r="A4713" s="21"/>
      <c r="B4713" s="21" t="s">
        <v>5379</v>
      </c>
      <c r="D4713" s="25">
        <v>0.0</v>
      </c>
      <c r="E4713" s="27"/>
      <c r="F4713" s="25">
        <v>0.0</v>
      </c>
      <c r="G4713" s="27"/>
    </row>
    <row r="4714" hidden="1">
      <c r="A4714" s="21"/>
      <c r="B4714" s="21" t="s">
        <v>5380</v>
      </c>
      <c r="D4714" s="25">
        <v>0.0</v>
      </c>
      <c r="E4714" s="27"/>
      <c r="F4714" s="25">
        <v>0.0</v>
      </c>
      <c r="G4714" s="27"/>
    </row>
    <row r="4715" hidden="1">
      <c r="A4715" s="21"/>
      <c r="B4715" s="21" t="s">
        <v>5381</v>
      </c>
      <c r="D4715" s="25">
        <v>0.0</v>
      </c>
      <c r="E4715" s="27"/>
      <c r="F4715" s="25">
        <v>0.0</v>
      </c>
      <c r="G4715" s="27"/>
    </row>
    <row r="4716" hidden="1">
      <c r="A4716" s="21"/>
      <c r="B4716" s="21" t="s">
        <v>5382</v>
      </c>
      <c r="D4716" s="25">
        <v>0.0</v>
      </c>
      <c r="E4716" s="27"/>
      <c r="F4716" s="25">
        <v>0.0</v>
      </c>
      <c r="G4716" s="27"/>
    </row>
    <row r="4717" hidden="1">
      <c r="A4717" s="21"/>
      <c r="B4717" s="21" t="s">
        <v>5383</v>
      </c>
      <c r="D4717" s="25">
        <v>0.0</v>
      </c>
      <c r="E4717" s="27"/>
      <c r="F4717" s="25">
        <v>0.0</v>
      </c>
      <c r="G4717" s="27"/>
    </row>
    <row r="4718" hidden="1">
      <c r="A4718" s="21"/>
      <c r="B4718" s="21" t="s">
        <v>5384</v>
      </c>
      <c r="D4718" s="25">
        <v>0.0</v>
      </c>
      <c r="E4718" s="27"/>
      <c r="F4718" s="25">
        <v>0.0</v>
      </c>
      <c r="G4718" s="27"/>
    </row>
    <row r="4719" hidden="1">
      <c r="A4719" s="21"/>
      <c r="B4719" s="21" t="s">
        <v>5385</v>
      </c>
      <c r="D4719" s="25">
        <v>0.0</v>
      </c>
      <c r="E4719" s="27"/>
      <c r="F4719" s="25">
        <v>0.0</v>
      </c>
      <c r="G4719" s="27"/>
    </row>
    <row r="4720" hidden="1">
      <c r="A4720" s="21"/>
      <c r="B4720" s="21" t="s">
        <v>5386</v>
      </c>
      <c r="D4720" s="25">
        <v>0.0</v>
      </c>
      <c r="E4720" s="27"/>
      <c r="F4720" s="25">
        <v>0.0</v>
      </c>
      <c r="G4720" s="27"/>
    </row>
    <row r="4721" hidden="1">
      <c r="A4721" s="21"/>
      <c r="B4721" s="21" t="s">
        <v>5387</v>
      </c>
      <c r="D4721" s="25">
        <v>0.0</v>
      </c>
      <c r="E4721" s="27"/>
      <c r="F4721" s="25">
        <v>0.0</v>
      </c>
      <c r="G4721" s="27"/>
    </row>
    <row r="4722" hidden="1">
      <c r="A4722" s="21"/>
      <c r="B4722" s="21" t="s">
        <v>5388</v>
      </c>
      <c r="D4722" s="25">
        <v>0.0</v>
      </c>
      <c r="E4722" s="27"/>
      <c r="F4722" s="25">
        <v>0.0</v>
      </c>
      <c r="G4722" s="27"/>
    </row>
    <row r="4723" hidden="1">
      <c r="A4723" s="21"/>
      <c r="B4723" s="21" t="s">
        <v>5389</v>
      </c>
      <c r="D4723" s="25">
        <v>0.0</v>
      </c>
      <c r="E4723" s="27"/>
      <c r="F4723" s="25">
        <v>0.0</v>
      </c>
      <c r="G4723" s="27"/>
    </row>
    <row r="4724" hidden="1">
      <c r="A4724" s="21"/>
      <c r="B4724" s="21" t="s">
        <v>5390</v>
      </c>
      <c r="D4724" s="25">
        <v>0.0</v>
      </c>
      <c r="E4724" s="27"/>
      <c r="F4724" s="25">
        <v>0.0</v>
      </c>
      <c r="G4724" s="27"/>
    </row>
    <row r="4725" hidden="1">
      <c r="A4725" s="21"/>
      <c r="B4725" s="21" t="s">
        <v>803</v>
      </c>
      <c r="D4725" s="25">
        <v>0.0</v>
      </c>
      <c r="E4725" s="27"/>
      <c r="F4725" s="25">
        <v>0.0</v>
      </c>
      <c r="G4725" s="27"/>
    </row>
    <row r="4726" hidden="1">
      <c r="A4726" s="21"/>
      <c r="B4726" s="21" t="s">
        <v>804</v>
      </c>
      <c r="D4726" s="25">
        <v>0.0</v>
      </c>
      <c r="E4726" s="27"/>
      <c r="F4726" s="25">
        <v>0.0</v>
      </c>
      <c r="G4726" s="27"/>
    </row>
    <row r="4727" hidden="1">
      <c r="A4727" s="21"/>
      <c r="B4727" s="21" t="s">
        <v>5391</v>
      </c>
      <c r="D4727" s="25">
        <v>0.0</v>
      </c>
      <c r="E4727" s="27"/>
      <c r="F4727" s="25">
        <v>0.0</v>
      </c>
      <c r="G4727" s="27"/>
    </row>
    <row r="4728" hidden="1">
      <c r="A4728" s="21"/>
      <c r="B4728" s="21" t="s">
        <v>5392</v>
      </c>
      <c r="D4728" s="25">
        <v>0.0</v>
      </c>
      <c r="E4728" s="27"/>
      <c r="F4728" s="25">
        <v>0.0</v>
      </c>
      <c r="G4728" s="27"/>
    </row>
    <row r="4729" hidden="1">
      <c r="A4729" s="21"/>
      <c r="B4729" s="21" t="s">
        <v>5393</v>
      </c>
      <c r="D4729" s="25">
        <v>0.0</v>
      </c>
      <c r="E4729" s="27"/>
      <c r="F4729" s="25">
        <v>0.0</v>
      </c>
      <c r="G4729" s="27"/>
    </row>
    <row r="4730" hidden="1">
      <c r="A4730" s="21"/>
      <c r="B4730" s="21" t="s">
        <v>5394</v>
      </c>
      <c r="D4730" s="25">
        <v>0.0</v>
      </c>
      <c r="E4730" s="27"/>
      <c r="F4730" s="25">
        <v>0.0</v>
      </c>
      <c r="G4730" s="27"/>
    </row>
    <row r="4731" hidden="1">
      <c r="A4731" s="21"/>
      <c r="B4731" s="21" t="s">
        <v>5395</v>
      </c>
      <c r="D4731" s="25">
        <v>0.0</v>
      </c>
      <c r="E4731" s="27"/>
      <c r="F4731" s="25">
        <v>0.0</v>
      </c>
      <c r="G4731" s="27"/>
    </row>
    <row r="4732" hidden="1">
      <c r="A4732" s="21"/>
      <c r="B4732" s="21" t="s">
        <v>5396</v>
      </c>
      <c r="D4732" s="25">
        <v>0.0</v>
      </c>
      <c r="E4732" s="27"/>
      <c r="F4732" s="25">
        <v>0.0</v>
      </c>
      <c r="G4732" s="27"/>
    </row>
    <row r="4733" hidden="1">
      <c r="A4733" s="21"/>
      <c r="B4733" s="21" t="s">
        <v>5397</v>
      </c>
      <c r="D4733" s="25">
        <v>0.0</v>
      </c>
      <c r="E4733" s="27"/>
      <c r="F4733" s="25">
        <v>0.0</v>
      </c>
      <c r="G4733" s="27"/>
    </row>
    <row r="4734" hidden="1">
      <c r="A4734" s="21"/>
      <c r="B4734" s="21" t="s">
        <v>5398</v>
      </c>
      <c r="D4734" s="25">
        <v>0.0</v>
      </c>
      <c r="E4734" s="27"/>
      <c r="F4734" s="25">
        <v>0.0</v>
      </c>
      <c r="G4734" s="27"/>
    </row>
    <row r="4735" hidden="1">
      <c r="A4735" s="21"/>
      <c r="B4735" s="21" t="s">
        <v>5399</v>
      </c>
      <c r="D4735" s="25">
        <v>0.0</v>
      </c>
      <c r="E4735" s="27"/>
      <c r="F4735" s="25">
        <v>0.0</v>
      </c>
      <c r="G4735" s="27"/>
    </row>
    <row r="4736" hidden="1">
      <c r="A4736" s="21"/>
      <c r="B4736" s="21" t="s">
        <v>5400</v>
      </c>
      <c r="D4736" s="25">
        <v>0.0</v>
      </c>
      <c r="E4736" s="27"/>
      <c r="F4736" s="25">
        <v>0.0</v>
      </c>
      <c r="G4736" s="27"/>
    </row>
    <row r="4737" hidden="1">
      <c r="A4737" s="21"/>
      <c r="B4737" s="21" t="s">
        <v>5401</v>
      </c>
      <c r="D4737" s="25">
        <v>0.0</v>
      </c>
      <c r="E4737" s="27"/>
      <c r="F4737" s="25">
        <v>0.0</v>
      </c>
      <c r="G4737" s="27"/>
    </row>
    <row r="4738" hidden="1">
      <c r="A4738" s="21"/>
      <c r="B4738" s="21" t="s">
        <v>5402</v>
      </c>
      <c r="D4738" s="25">
        <v>0.0</v>
      </c>
      <c r="E4738" s="27"/>
      <c r="F4738" s="25">
        <v>0.0</v>
      </c>
      <c r="G4738" s="27"/>
    </row>
    <row r="4739" hidden="1">
      <c r="A4739" s="21"/>
      <c r="B4739" s="21" t="s">
        <v>5403</v>
      </c>
      <c r="D4739" s="25">
        <v>0.0</v>
      </c>
      <c r="E4739" s="27"/>
      <c r="F4739" s="25">
        <v>0.0</v>
      </c>
      <c r="G4739" s="27"/>
    </row>
    <row r="4740" hidden="1">
      <c r="A4740" s="21"/>
      <c r="B4740" s="21" t="s">
        <v>5404</v>
      </c>
      <c r="D4740" s="25">
        <v>0.0</v>
      </c>
      <c r="E4740" s="27"/>
      <c r="F4740" s="25">
        <v>0.0</v>
      </c>
      <c r="G4740" s="27"/>
    </row>
    <row r="4741" hidden="1">
      <c r="A4741" s="21"/>
      <c r="B4741" s="21" t="s">
        <v>5405</v>
      </c>
      <c r="D4741" s="25">
        <v>0.0</v>
      </c>
      <c r="E4741" s="27"/>
      <c r="F4741" s="25">
        <v>0.0</v>
      </c>
      <c r="G4741" s="27"/>
    </row>
    <row r="4742" hidden="1">
      <c r="A4742" s="21"/>
      <c r="B4742" s="21" t="s">
        <v>5406</v>
      </c>
      <c r="D4742" s="25">
        <v>0.0</v>
      </c>
      <c r="E4742" s="27"/>
      <c r="F4742" s="25">
        <v>12.26</v>
      </c>
      <c r="G4742" s="27"/>
    </row>
    <row r="4743" hidden="1">
      <c r="A4743" s="21"/>
      <c r="B4743" s="21" t="s">
        <v>5407</v>
      </c>
      <c r="D4743" s="25">
        <v>0.0</v>
      </c>
      <c r="E4743" s="27"/>
      <c r="F4743" s="25">
        <v>0.0</v>
      </c>
      <c r="G4743" s="27"/>
    </row>
    <row r="4744" hidden="1">
      <c r="A4744" s="21"/>
      <c r="B4744" s="21" t="s">
        <v>5408</v>
      </c>
      <c r="D4744" s="25">
        <v>0.0</v>
      </c>
      <c r="E4744" s="27"/>
      <c r="F4744" s="25">
        <v>0.0</v>
      </c>
      <c r="G4744" s="27"/>
    </row>
    <row r="4745" hidden="1">
      <c r="A4745" s="21"/>
      <c r="B4745" s="21" t="s">
        <v>5409</v>
      </c>
      <c r="D4745" s="25">
        <v>0.0</v>
      </c>
      <c r="E4745" s="27"/>
      <c r="F4745" s="25">
        <v>0.0</v>
      </c>
      <c r="G4745" s="27"/>
    </row>
    <row r="4746" hidden="1">
      <c r="A4746" s="21"/>
      <c r="B4746" s="21" t="s">
        <v>5410</v>
      </c>
      <c r="D4746" s="25">
        <v>0.0</v>
      </c>
      <c r="E4746" s="27"/>
      <c r="F4746" s="25">
        <v>0.0</v>
      </c>
      <c r="G4746" s="27"/>
    </row>
    <row r="4747" hidden="1">
      <c r="A4747" s="21"/>
      <c r="B4747" s="21" t="s">
        <v>5411</v>
      </c>
      <c r="D4747" s="25">
        <v>0.0</v>
      </c>
      <c r="E4747" s="27"/>
      <c r="F4747" s="25">
        <v>0.0</v>
      </c>
      <c r="G4747" s="27"/>
    </row>
    <row r="4748" hidden="1">
      <c r="A4748" s="21"/>
      <c r="B4748" s="21" t="s">
        <v>5412</v>
      </c>
      <c r="D4748" s="25">
        <v>0.0</v>
      </c>
      <c r="E4748" s="27"/>
      <c r="F4748" s="25">
        <v>0.0</v>
      </c>
      <c r="G4748" s="27"/>
    </row>
    <row r="4749" hidden="1">
      <c r="A4749" s="21"/>
      <c r="B4749" s="21" t="s">
        <v>5413</v>
      </c>
      <c r="D4749" s="25">
        <v>0.0</v>
      </c>
      <c r="E4749" s="27"/>
      <c r="F4749" s="25">
        <v>0.0</v>
      </c>
      <c r="G4749" s="27"/>
    </row>
    <row r="4750" hidden="1">
      <c r="A4750" s="21"/>
      <c r="B4750" s="21" t="s">
        <v>5414</v>
      </c>
      <c r="D4750" s="25">
        <v>0.0</v>
      </c>
      <c r="E4750" s="27"/>
      <c r="F4750" s="25">
        <v>0.0</v>
      </c>
      <c r="G4750" s="27"/>
    </row>
    <row r="4751" hidden="1">
      <c r="A4751" s="21"/>
      <c r="B4751" s="21" t="s">
        <v>5415</v>
      </c>
      <c r="D4751" s="25">
        <v>0.0</v>
      </c>
      <c r="E4751" s="27"/>
      <c r="F4751" s="25">
        <v>0.0</v>
      </c>
      <c r="G4751" s="27"/>
    </row>
    <row r="4752" hidden="1">
      <c r="A4752" s="21"/>
      <c r="B4752" s="21" t="s">
        <v>5416</v>
      </c>
      <c r="D4752" s="25">
        <v>0.0</v>
      </c>
      <c r="E4752" s="27"/>
      <c r="F4752" s="25">
        <v>0.0</v>
      </c>
      <c r="G4752" s="27"/>
    </row>
    <row r="4753" hidden="1">
      <c r="A4753" s="21"/>
      <c r="B4753" s="21" t="s">
        <v>5417</v>
      </c>
      <c r="D4753" s="25">
        <v>0.0</v>
      </c>
      <c r="E4753" s="27"/>
      <c r="F4753" s="25">
        <v>0.0</v>
      </c>
      <c r="G4753" s="27"/>
    </row>
    <row r="4754" hidden="1">
      <c r="A4754" s="21"/>
      <c r="B4754" s="21" t="s">
        <v>5418</v>
      </c>
      <c r="D4754" s="25">
        <v>0.0</v>
      </c>
      <c r="E4754" s="27"/>
      <c r="F4754" s="25">
        <v>0.0</v>
      </c>
      <c r="G4754" s="27"/>
    </row>
    <row r="4755" hidden="1">
      <c r="A4755" s="21"/>
      <c r="B4755" s="21" t="s">
        <v>5419</v>
      </c>
      <c r="D4755" s="25">
        <v>0.0</v>
      </c>
      <c r="E4755" s="27"/>
      <c r="F4755" s="25">
        <v>0.0</v>
      </c>
      <c r="G4755" s="27"/>
    </row>
    <row r="4756" hidden="1">
      <c r="A4756" s="21"/>
      <c r="B4756" s="21" t="s">
        <v>5420</v>
      </c>
      <c r="D4756" s="25">
        <v>0.0</v>
      </c>
      <c r="E4756" s="27"/>
      <c r="F4756" s="25">
        <v>0.0</v>
      </c>
      <c r="G4756" s="27"/>
    </row>
    <row r="4757" hidden="1">
      <c r="A4757" s="21"/>
      <c r="B4757" s="21" t="s">
        <v>5421</v>
      </c>
      <c r="D4757" s="25">
        <v>0.0</v>
      </c>
      <c r="E4757" s="27"/>
      <c r="F4757" s="25">
        <v>0.0</v>
      </c>
      <c r="G4757" s="27"/>
    </row>
    <row r="4758" hidden="1">
      <c r="A4758" s="21"/>
      <c r="B4758" s="21" t="s">
        <v>5422</v>
      </c>
      <c r="D4758" s="25">
        <v>0.0</v>
      </c>
      <c r="E4758" s="27"/>
      <c r="F4758" s="25">
        <v>0.0</v>
      </c>
      <c r="G4758" s="27"/>
    </row>
    <row r="4759" hidden="1">
      <c r="A4759" s="21"/>
      <c r="B4759" s="21" t="s">
        <v>5423</v>
      </c>
      <c r="D4759" s="25">
        <v>0.0</v>
      </c>
      <c r="E4759" s="27"/>
      <c r="F4759" s="25">
        <v>0.0</v>
      </c>
      <c r="G4759" s="27"/>
    </row>
    <row r="4760" hidden="1">
      <c r="A4760" s="21"/>
      <c r="B4760" s="21" t="s">
        <v>5424</v>
      </c>
      <c r="D4760" s="25">
        <v>0.0</v>
      </c>
      <c r="E4760" s="27"/>
      <c r="F4760" s="25">
        <v>0.0</v>
      </c>
      <c r="G4760" s="27"/>
    </row>
    <row r="4761" hidden="1">
      <c r="A4761" s="21"/>
      <c r="B4761" s="21" t="s">
        <v>5425</v>
      </c>
      <c r="D4761" s="25">
        <v>0.0</v>
      </c>
      <c r="E4761" s="27"/>
      <c r="F4761" s="25">
        <v>0.0</v>
      </c>
      <c r="G4761" s="27"/>
    </row>
    <row r="4762" hidden="1">
      <c r="A4762" s="21"/>
      <c r="B4762" s="21" t="s">
        <v>5426</v>
      </c>
      <c r="D4762" s="25">
        <v>0.0</v>
      </c>
      <c r="E4762" s="27"/>
      <c r="F4762" s="25">
        <v>3.7</v>
      </c>
      <c r="G4762" s="27"/>
    </row>
    <row r="4763" hidden="1">
      <c r="A4763" s="21"/>
      <c r="B4763" s="21" t="s">
        <v>5427</v>
      </c>
      <c r="D4763" s="25">
        <v>0.0</v>
      </c>
      <c r="E4763" s="27"/>
      <c r="F4763" s="25">
        <v>0.0</v>
      </c>
      <c r="G4763" s="27"/>
    </row>
    <row r="4764" hidden="1">
      <c r="A4764" s="21"/>
      <c r="B4764" s="21" t="s">
        <v>5428</v>
      </c>
      <c r="D4764" s="25">
        <v>0.0</v>
      </c>
      <c r="E4764" s="27"/>
      <c r="F4764" s="25">
        <v>0.0</v>
      </c>
      <c r="G4764" s="27"/>
    </row>
    <row r="4765" hidden="1">
      <c r="A4765" s="21"/>
      <c r="B4765" s="21" t="s">
        <v>5429</v>
      </c>
      <c r="D4765" s="25">
        <v>0.0</v>
      </c>
      <c r="E4765" s="27"/>
      <c r="F4765" s="25">
        <v>0.0</v>
      </c>
      <c r="G4765" s="27"/>
    </row>
    <row r="4766" hidden="1">
      <c r="A4766" s="21"/>
      <c r="B4766" s="21" t="s">
        <v>5430</v>
      </c>
      <c r="D4766" s="25">
        <v>0.0</v>
      </c>
      <c r="E4766" s="27"/>
      <c r="F4766" s="25">
        <v>0.0</v>
      </c>
      <c r="G4766" s="27"/>
    </row>
    <row r="4767" hidden="1">
      <c r="A4767" s="21"/>
      <c r="B4767" s="21" t="s">
        <v>5431</v>
      </c>
      <c r="D4767" s="25">
        <v>0.0</v>
      </c>
      <c r="E4767" s="27"/>
      <c r="F4767" s="25">
        <v>0.0</v>
      </c>
      <c r="G4767" s="27"/>
    </row>
    <row r="4768" hidden="1">
      <c r="A4768" s="21"/>
      <c r="B4768" s="21" t="s">
        <v>5432</v>
      </c>
      <c r="D4768" s="25">
        <v>0.0</v>
      </c>
      <c r="E4768" s="27"/>
      <c r="F4768" s="25">
        <v>0.0</v>
      </c>
      <c r="G4768" s="27"/>
    </row>
    <row r="4769" hidden="1">
      <c r="A4769" s="21"/>
      <c r="B4769" s="21" t="s">
        <v>5433</v>
      </c>
      <c r="D4769" s="25">
        <v>0.0</v>
      </c>
      <c r="E4769" s="27"/>
      <c r="F4769" s="25">
        <v>0.0</v>
      </c>
      <c r="G4769" s="27"/>
    </row>
    <row r="4770" hidden="1">
      <c r="A4770" s="21"/>
      <c r="B4770" s="21" t="s">
        <v>5434</v>
      </c>
      <c r="D4770" s="25">
        <v>0.0</v>
      </c>
      <c r="E4770" s="27"/>
      <c r="F4770" s="25">
        <v>0.0</v>
      </c>
      <c r="G4770" s="27"/>
    </row>
    <row r="4771" hidden="1">
      <c r="A4771" s="21"/>
      <c r="B4771" s="21" t="s">
        <v>5435</v>
      </c>
      <c r="D4771" s="25">
        <v>0.0</v>
      </c>
      <c r="E4771" s="27"/>
      <c r="F4771" s="25">
        <v>0.0</v>
      </c>
      <c r="G4771" s="27"/>
    </row>
    <row r="4772" hidden="1">
      <c r="A4772" s="21"/>
      <c r="B4772" s="21" t="s">
        <v>5436</v>
      </c>
      <c r="D4772" s="25">
        <v>0.0</v>
      </c>
      <c r="E4772" s="27"/>
      <c r="F4772" s="25">
        <v>0.0</v>
      </c>
      <c r="G4772" s="27"/>
    </row>
    <row r="4773" hidden="1">
      <c r="A4773" s="21"/>
      <c r="B4773" s="21" t="s">
        <v>5437</v>
      </c>
      <c r="D4773" s="25">
        <v>0.0</v>
      </c>
      <c r="E4773" s="27"/>
      <c r="F4773" s="25">
        <v>0.0</v>
      </c>
      <c r="G4773" s="27"/>
    </row>
    <row r="4774" hidden="1">
      <c r="A4774" s="21"/>
      <c r="B4774" s="21" t="s">
        <v>5438</v>
      </c>
      <c r="D4774" s="25">
        <v>0.0</v>
      </c>
      <c r="E4774" s="27"/>
      <c r="F4774" s="25">
        <v>0.0</v>
      </c>
      <c r="G4774" s="27"/>
    </row>
    <row r="4775" hidden="1">
      <c r="A4775" s="21"/>
      <c r="B4775" s="21" t="s">
        <v>5439</v>
      </c>
      <c r="D4775" s="25">
        <v>0.0</v>
      </c>
      <c r="E4775" s="27"/>
      <c r="F4775" s="25">
        <v>0.0</v>
      </c>
      <c r="G4775" s="27"/>
    </row>
    <row r="4776" hidden="1">
      <c r="A4776" s="21"/>
      <c r="B4776" s="21" t="s">
        <v>5440</v>
      </c>
      <c r="D4776" s="25">
        <v>0.0</v>
      </c>
      <c r="E4776" s="27"/>
      <c r="F4776" s="25">
        <v>0.0</v>
      </c>
      <c r="G4776" s="27"/>
    </row>
    <row r="4777" hidden="1">
      <c r="A4777" s="21"/>
      <c r="B4777" s="21" t="s">
        <v>5441</v>
      </c>
      <c r="D4777" s="25">
        <v>0.0</v>
      </c>
      <c r="E4777" s="27"/>
      <c r="F4777" s="25">
        <v>0.0</v>
      </c>
      <c r="G4777" s="27"/>
    </row>
    <row r="4778" hidden="1">
      <c r="A4778" s="21"/>
      <c r="B4778" s="21" t="s">
        <v>5442</v>
      </c>
      <c r="D4778" s="25">
        <v>0.0</v>
      </c>
      <c r="E4778" s="27"/>
      <c r="F4778" s="25">
        <v>0.0</v>
      </c>
      <c r="G4778" s="27"/>
    </row>
    <row r="4779" hidden="1">
      <c r="A4779" s="21"/>
      <c r="B4779" s="21" t="s">
        <v>5443</v>
      </c>
      <c r="D4779" s="25">
        <v>0.0</v>
      </c>
      <c r="E4779" s="27"/>
      <c r="F4779" s="25">
        <v>0.0</v>
      </c>
      <c r="G4779" s="27"/>
    </row>
    <row r="4780" hidden="1">
      <c r="A4780" s="21"/>
      <c r="B4780" s="21" t="s">
        <v>5444</v>
      </c>
      <c r="D4780" s="25">
        <v>0.0</v>
      </c>
      <c r="E4780" s="27"/>
      <c r="F4780" s="25">
        <v>0.0</v>
      </c>
      <c r="G4780" s="27"/>
    </row>
    <row r="4781" hidden="1">
      <c r="A4781" s="21"/>
      <c r="B4781" s="21" t="s">
        <v>5445</v>
      </c>
      <c r="D4781" s="25">
        <v>0.0</v>
      </c>
      <c r="E4781" s="27"/>
      <c r="F4781" s="25">
        <v>0.0</v>
      </c>
      <c r="G4781" s="27"/>
    </row>
    <row r="4782" hidden="1">
      <c r="A4782" s="21"/>
      <c r="B4782" s="21" t="s">
        <v>5446</v>
      </c>
      <c r="D4782" s="25">
        <v>0.0</v>
      </c>
      <c r="E4782" s="27"/>
      <c r="F4782" s="25">
        <v>0.0</v>
      </c>
      <c r="G4782" s="27"/>
    </row>
    <row r="4783" hidden="1">
      <c r="A4783" s="21"/>
      <c r="B4783" s="21" t="s">
        <v>5447</v>
      </c>
      <c r="D4783" s="25">
        <v>0.0</v>
      </c>
      <c r="E4783" s="27"/>
      <c r="F4783" s="25">
        <v>0.0</v>
      </c>
      <c r="G4783" s="27"/>
    </row>
    <row r="4784" hidden="1">
      <c r="A4784" s="21"/>
      <c r="B4784" s="21" t="s">
        <v>5448</v>
      </c>
      <c r="D4784" s="25">
        <v>0.0</v>
      </c>
      <c r="E4784" s="27"/>
      <c r="F4784" s="25">
        <v>0.0</v>
      </c>
      <c r="G4784" s="27"/>
    </row>
    <row r="4785" hidden="1">
      <c r="A4785" s="21"/>
      <c r="B4785" s="21" t="s">
        <v>5449</v>
      </c>
      <c r="D4785" s="25">
        <v>0.0</v>
      </c>
      <c r="E4785" s="27"/>
      <c r="F4785" s="25">
        <v>0.0</v>
      </c>
      <c r="G4785" s="27"/>
    </row>
    <row r="4786" hidden="1">
      <c r="A4786" s="21"/>
      <c r="B4786" s="21" t="s">
        <v>5450</v>
      </c>
      <c r="D4786" s="25">
        <v>0.0</v>
      </c>
      <c r="E4786" s="27"/>
      <c r="F4786" s="25">
        <v>0.0</v>
      </c>
      <c r="G4786" s="27"/>
    </row>
    <row r="4787" hidden="1">
      <c r="A4787" s="21"/>
      <c r="B4787" s="21" t="s">
        <v>5451</v>
      </c>
      <c r="D4787" s="25">
        <v>0.0</v>
      </c>
      <c r="E4787" s="27"/>
      <c r="F4787" s="25">
        <v>0.0</v>
      </c>
      <c r="G4787" s="27"/>
    </row>
    <row r="4788" hidden="1">
      <c r="A4788" s="21"/>
      <c r="B4788" s="21" t="s">
        <v>5452</v>
      </c>
      <c r="D4788" s="25">
        <v>0.0</v>
      </c>
      <c r="E4788" s="27"/>
      <c r="F4788" s="25">
        <v>0.0</v>
      </c>
      <c r="G4788" s="27"/>
    </row>
    <row r="4789" hidden="1">
      <c r="A4789" s="21"/>
      <c r="B4789" s="21" t="s">
        <v>5453</v>
      </c>
      <c r="D4789" s="25">
        <v>0.0</v>
      </c>
      <c r="E4789" s="27"/>
      <c r="F4789" s="25">
        <v>0.0</v>
      </c>
      <c r="G4789" s="27"/>
    </row>
    <row r="4790" hidden="1">
      <c r="A4790" s="21"/>
      <c r="B4790" s="21" t="s">
        <v>5454</v>
      </c>
      <c r="D4790" s="25">
        <v>0.0</v>
      </c>
      <c r="E4790" s="27"/>
      <c r="F4790" s="25">
        <v>0.0</v>
      </c>
      <c r="G4790" s="27"/>
    </row>
    <row r="4791" hidden="1">
      <c r="A4791" s="21"/>
      <c r="B4791" s="21" t="s">
        <v>5455</v>
      </c>
      <c r="D4791" s="25">
        <v>0.0</v>
      </c>
      <c r="E4791" s="27"/>
      <c r="F4791" s="25">
        <v>0.0</v>
      </c>
      <c r="G4791" s="27"/>
    </row>
    <row r="4792" hidden="1">
      <c r="A4792" s="21"/>
      <c r="B4792" s="21" t="s">
        <v>5456</v>
      </c>
      <c r="D4792" s="25">
        <v>0.0</v>
      </c>
      <c r="E4792" s="27"/>
      <c r="F4792" s="25">
        <v>0.0</v>
      </c>
      <c r="G4792" s="27"/>
    </row>
    <row r="4793" hidden="1">
      <c r="A4793" s="21"/>
      <c r="B4793" s="21" t="s">
        <v>5457</v>
      </c>
      <c r="D4793" s="25">
        <v>0.0</v>
      </c>
      <c r="E4793" s="27"/>
      <c r="F4793" s="25">
        <v>0.0</v>
      </c>
      <c r="G4793" s="27"/>
    </row>
    <row r="4794" hidden="1">
      <c r="A4794" s="21"/>
      <c r="B4794" s="21" t="s">
        <v>5458</v>
      </c>
      <c r="D4794" s="25">
        <v>0.0</v>
      </c>
      <c r="E4794" s="27"/>
      <c r="F4794" s="25">
        <v>0.0</v>
      </c>
      <c r="G4794" s="27"/>
    </row>
    <row r="4795" hidden="1">
      <c r="A4795" s="21"/>
      <c r="B4795" s="21" t="s">
        <v>5459</v>
      </c>
      <c r="D4795" s="25">
        <v>0.0</v>
      </c>
      <c r="E4795" s="27"/>
      <c r="F4795" s="25">
        <v>0.0</v>
      </c>
      <c r="G4795" s="27"/>
    </row>
    <row r="4796" hidden="1">
      <c r="A4796" s="21"/>
      <c r="B4796" s="21" t="s">
        <v>5460</v>
      </c>
      <c r="D4796" s="25">
        <v>0.0</v>
      </c>
      <c r="E4796" s="27"/>
      <c r="F4796" s="25">
        <v>0.0</v>
      </c>
      <c r="G4796" s="27"/>
    </row>
    <row r="4797" hidden="1">
      <c r="A4797" s="21"/>
      <c r="B4797" s="21" t="s">
        <v>5461</v>
      </c>
      <c r="D4797" s="25">
        <v>0.0</v>
      </c>
      <c r="E4797" s="27"/>
      <c r="F4797" s="25">
        <v>0.0</v>
      </c>
      <c r="G4797" s="27"/>
    </row>
    <row r="4798" hidden="1">
      <c r="A4798" s="21"/>
      <c r="B4798" s="21" t="s">
        <v>5462</v>
      </c>
      <c r="D4798" s="25">
        <v>0.0</v>
      </c>
      <c r="E4798" s="27"/>
      <c r="F4798" s="25">
        <v>0.0</v>
      </c>
      <c r="G4798" s="27"/>
    </row>
    <row r="4799" hidden="1">
      <c r="A4799" s="21"/>
      <c r="B4799" s="21" t="s">
        <v>5463</v>
      </c>
      <c r="D4799" s="25">
        <v>0.0</v>
      </c>
      <c r="E4799" s="27"/>
      <c r="F4799" s="25">
        <v>0.0</v>
      </c>
      <c r="G4799" s="27"/>
    </row>
    <row r="4800" hidden="1">
      <c r="A4800" s="21"/>
      <c r="B4800" s="21" t="s">
        <v>5464</v>
      </c>
      <c r="D4800" s="25">
        <v>0.0</v>
      </c>
      <c r="E4800" s="27"/>
      <c r="F4800" s="25">
        <v>0.0</v>
      </c>
      <c r="G4800" s="27"/>
    </row>
    <row r="4801" hidden="1">
      <c r="A4801" s="21"/>
      <c r="B4801" s="21" t="s">
        <v>5465</v>
      </c>
      <c r="D4801" s="25">
        <v>0.0</v>
      </c>
      <c r="E4801" s="27"/>
      <c r="F4801" s="25">
        <v>0.0</v>
      </c>
      <c r="G4801" s="27"/>
    </row>
    <row r="4802" hidden="1">
      <c r="A4802" s="21"/>
      <c r="B4802" s="21" t="s">
        <v>5466</v>
      </c>
      <c r="D4802" s="25">
        <v>0.0</v>
      </c>
      <c r="E4802" s="27"/>
      <c r="F4802" s="25">
        <v>0.0</v>
      </c>
      <c r="G4802" s="27"/>
    </row>
    <row r="4803" hidden="1">
      <c r="A4803" s="21"/>
      <c r="B4803" s="21" t="s">
        <v>5467</v>
      </c>
      <c r="D4803" s="25">
        <v>0.0</v>
      </c>
      <c r="E4803" s="27"/>
      <c r="F4803" s="25">
        <v>0.0</v>
      </c>
      <c r="G4803" s="27"/>
    </row>
    <row r="4804" hidden="1">
      <c r="A4804" s="21"/>
      <c r="B4804" s="21" t="s">
        <v>5468</v>
      </c>
      <c r="D4804" s="25">
        <v>0.0</v>
      </c>
      <c r="E4804" s="27"/>
      <c r="F4804" s="25">
        <v>0.0</v>
      </c>
      <c r="G4804" s="27"/>
    </row>
    <row r="4805" hidden="1">
      <c r="A4805" s="21"/>
      <c r="B4805" s="21" t="s">
        <v>5469</v>
      </c>
      <c r="D4805" s="25">
        <v>0.0</v>
      </c>
      <c r="E4805" s="27"/>
      <c r="F4805" s="25">
        <v>0.0</v>
      </c>
      <c r="G4805" s="27"/>
    </row>
    <row r="4806" hidden="1">
      <c r="A4806" s="21"/>
      <c r="B4806" s="21" t="s">
        <v>5470</v>
      </c>
      <c r="D4806" s="25">
        <v>0.0</v>
      </c>
      <c r="E4806" s="27"/>
      <c r="F4806" s="25">
        <v>0.0</v>
      </c>
      <c r="G4806" s="27"/>
    </row>
    <row r="4807" hidden="1">
      <c r="A4807" s="21"/>
      <c r="B4807" s="21" t="s">
        <v>5471</v>
      </c>
      <c r="D4807" s="25">
        <v>0.0</v>
      </c>
      <c r="E4807" s="27"/>
      <c r="F4807" s="25">
        <v>0.0</v>
      </c>
      <c r="G4807" s="27"/>
    </row>
    <row r="4808" hidden="1">
      <c r="A4808" s="21"/>
      <c r="B4808" s="21" t="s">
        <v>5472</v>
      </c>
      <c r="D4808" s="25">
        <v>0.0</v>
      </c>
      <c r="E4808" s="27"/>
      <c r="F4808" s="25">
        <v>0.0</v>
      </c>
      <c r="G4808" s="27"/>
    </row>
    <row r="4809" hidden="1">
      <c r="A4809" s="21"/>
      <c r="B4809" s="21" t="s">
        <v>5473</v>
      </c>
      <c r="D4809" s="25">
        <v>0.0</v>
      </c>
      <c r="E4809" s="27"/>
      <c r="F4809" s="25">
        <v>0.0</v>
      </c>
      <c r="G4809" s="27"/>
    </row>
    <row r="4810" hidden="1">
      <c r="A4810" s="21"/>
      <c r="B4810" s="21" t="s">
        <v>5474</v>
      </c>
      <c r="D4810" s="25">
        <v>0.0</v>
      </c>
      <c r="E4810" s="27"/>
      <c r="F4810" s="25">
        <v>0.0</v>
      </c>
      <c r="G4810" s="27"/>
    </row>
    <row r="4811" hidden="1">
      <c r="A4811" s="21"/>
      <c r="B4811" s="21" t="s">
        <v>5475</v>
      </c>
      <c r="D4811" s="25">
        <v>0.0</v>
      </c>
      <c r="E4811" s="27"/>
      <c r="F4811" s="25">
        <v>0.0</v>
      </c>
      <c r="G4811" s="27"/>
    </row>
    <row r="4812" hidden="1">
      <c r="A4812" s="21"/>
      <c r="B4812" s="21" t="s">
        <v>5476</v>
      </c>
      <c r="D4812" s="25">
        <v>0.0</v>
      </c>
      <c r="E4812" s="27"/>
      <c r="F4812" s="25">
        <v>0.0</v>
      </c>
      <c r="G4812" s="27"/>
    </row>
    <row r="4813" hidden="1">
      <c r="A4813" s="21"/>
      <c r="B4813" s="21" t="s">
        <v>5477</v>
      </c>
      <c r="D4813" s="25">
        <v>0.0</v>
      </c>
      <c r="E4813" s="27"/>
      <c r="F4813" s="25">
        <v>0.0</v>
      </c>
      <c r="G4813" s="27"/>
    </row>
    <row r="4814" hidden="1">
      <c r="A4814" s="21"/>
      <c r="B4814" s="21" t="s">
        <v>5478</v>
      </c>
      <c r="D4814" s="25">
        <v>0.0</v>
      </c>
      <c r="E4814" s="27"/>
      <c r="F4814" s="25">
        <v>0.0</v>
      </c>
      <c r="G4814" s="27"/>
    </row>
    <row r="4815" hidden="1">
      <c r="A4815" s="21"/>
      <c r="B4815" s="21" t="s">
        <v>5479</v>
      </c>
      <c r="D4815" s="25">
        <v>0.0</v>
      </c>
      <c r="E4815" s="27"/>
      <c r="F4815" s="25">
        <v>0.0</v>
      </c>
      <c r="G4815" s="27"/>
    </row>
    <row r="4816" hidden="1">
      <c r="A4816" s="21"/>
      <c r="B4816" s="21" t="s">
        <v>5480</v>
      </c>
      <c r="D4816" s="25">
        <v>0.0</v>
      </c>
      <c r="E4816" s="27"/>
      <c r="F4816" s="25">
        <v>0.0</v>
      </c>
      <c r="G4816" s="27"/>
    </row>
    <row r="4817" hidden="1">
      <c r="A4817" s="21"/>
      <c r="B4817" s="21" t="s">
        <v>5481</v>
      </c>
      <c r="D4817" s="25">
        <v>0.0</v>
      </c>
      <c r="E4817" s="27"/>
      <c r="F4817" s="25">
        <v>0.0</v>
      </c>
      <c r="G4817" s="27"/>
    </row>
    <row r="4818" hidden="1">
      <c r="A4818" s="21"/>
      <c r="B4818" s="21" t="s">
        <v>5482</v>
      </c>
      <c r="D4818" s="25">
        <v>0.0</v>
      </c>
      <c r="E4818" s="27"/>
      <c r="F4818" s="25">
        <v>0.0</v>
      </c>
      <c r="G4818" s="27"/>
    </row>
    <row r="4819" hidden="1">
      <c r="A4819" s="21"/>
      <c r="B4819" s="21" t="s">
        <v>5483</v>
      </c>
      <c r="D4819" s="25">
        <v>0.0</v>
      </c>
      <c r="E4819" s="27"/>
      <c r="F4819" s="25">
        <v>0.0</v>
      </c>
      <c r="G4819" s="27"/>
    </row>
    <row r="4820" hidden="1">
      <c r="A4820" s="21"/>
      <c r="B4820" s="21" t="s">
        <v>5484</v>
      </c>
      <c r="D4820" s="25">
        <v>0.0</v>
      </c>
      <c r="E4820" s="27"/>
      <c r="F4820" s="25">
        <v>0.0</v>
      </c>
      <c r="G4820" s="27"/>
    </row>
    <row r="4821" hidden="1">
      <c r="A4821" s="21"/>
      <c r="B4821" s="21" t="s">
        <v>5485</v>
      </c>
      <c r="D4821" s="25">
        <v>0.0</v>
      </c>
      <c r="E4821" s="27"/>
      <c r="F4821" s="25">
        <v>0.0</v>
      </c>
      <c r="G4821" s="27"/>
    </row>
    <row r="4822" hidden="1">
      <c r="A4822" s="21"/>
      <c r="B4822" s="21" t="s">
        <v>5486</v>
      </c>
      <c r="D4822" s="25">
        <v>0.0</v>
      </c>
      <c r="E4822" s="27"/>
      <c r="F4822" s="25">
        <v>0.0</v>
      </c>
      <c r="G4822" s="27"/>
    </row>
    <row r="4823" hidden="1">
      <c r="A4823" s="21"/>
      <c r="B4823" s="21" t="s">
        <v>5487</v>
      </c>
      <c r="D4823" s="25">
        <v>0.0</v>
      </c>
      <c r="E4823" s="27"/>
      <c r="F4823" s="25">
        <v>0.0</v>
      </c>
      <c r="G4823" s="27"/>
    </row>
    <row r="4824" hidden="1">
      <c r="A4824" s="21"/>
      <c r="B4824" s="21" t="s">
        <v>5488</v>
      </c>
      <c r="D4824" s="25">
        <v>0.0</v>
      </c>
      <c r="E4824" s="27"/>
      <c r="F4824" s="25">
        <v>0.0</v>
      </c>
      <c r="G4824" s="27"/>
    </row>
    <row r="4825" hidden="1">
      <c r="A4825" s="21"/>
      <c r="B4825" s="21" t="s">
        <v>5489</v>
      </c>
      <c r="D4825" s="25">
        <v>0.0</v>
      </c>
      <c r="E4825" s="27"/>
      <c r="F4825" s="25">
        <v>0.0</v>
      </c>
      <c r="G4825" s="27"/>
    </row>
    <row r="4826" hidden="1">
      <c r="A4826" s="21"/>
      <c r="B4826" s="21" t="s">
        <v>5490</v>
      </c>
      <c r="D4826" s="25">
        <v>0.0</v>
      </c>
      <c r="E4826" s="27"/>
      <c r="F4826" s="25">
        <v>0.0</v>
      </c>
      <c r="G4826" s="27"/>
    </row>
    <row r="4827" hidden="1">
      <c r="A4827" s="21"/>
      <c r="B4827" s="21" t="s">
        <v>5491</v>
      </c>
      <c r="D4827" s="25">
        <v>0.0</v>
      </c>
      <c r="E4827" s="27"/>
      <c r="F4827" s="25">
        <v>0.0</v>
      </c>
      <c r="G4827" s="27"/>
    </row>
    <row r="4828" hidden="1">
      <c r="A4828" s="21"/>
      <c r="B4828" s="21" t="s">
        <v>5492</v>
      </c>
      <c r="D4828" s="25">
        <v>0.0</v>
      </c>
      <c r="E4828" s="27"/>
      <c r="F4828" s="25">
        <v>0.0</v>
      </c>
      <c r="G4828" s="27"/>
    </row>
    <row r="4829" hidden="1">
      <c r="A4829" s="21"/>
      <c r="B4829" s="21" t="s">
        <v>5493</v>
      </c>
      <c r="D4829" s="25">
        <v>0.0</v>
      </c>
      <c r="E4829" s="27"/>
      <c r="F4829" s="25">
        <v>0.0</v>
      </c>
      <c r="G4829" s="27"/>
    </row>
    <row r="4830" hidden="1">
      <c r="A4830" s="21"/>
      <c r="B4830" s="21" t="s">
        <v>5494</v>
      </c>
      <c r="D4830" s="25">
        <v>0.0</v>
      </c>
      <c r="E4830" s="27"/>
      <c r="F4830" s="25">
        <v>0.0</v>
      </c>
      <c r="G4830" s="27"/>
    </row>
    <row r="4831" hidden="1">
      <c r="A4831" s="21"/>
      <c r="B4831" s="21" t="s">
        <v>5495</v>
      </c>
      <c r="D4831" s="25">
        <v>0.0</v>
      </c>
      <c r="E4831" s="27"/>
      <c r="F4831" s="25">
        <v>0.0</v>
      </c>
      <c r="G4831" s="27"/>
    </row>
    <row r="4832" hidden="1">
      <c r="A4832" s="21"/>
      <c r="B4832" s="21" t="s">
        <v>5496</v>
      </c>
      <c r="D4832" s="25">
        <v>0.0</v>
      </c>
      <c r="E4832" s="27"/>
      <c r="F4832" s="25">
        <v>0.0</v>
      </c>
      <c r="G4832" s="27"/>
    </row>
    <row r="4833" hidden="1">
      <c r="A4833" s="21"/>
      <c r="B4833" s="21" t="s">
        <v>5497</v>
      </c>
      <c r="D4833" s="25">
        <v>0.0</v>
      </c>
      <c r="E4833" s="27"/>
      <c r="F4833" s="25">
        <v>0.0</v>
      </c>
      <c r="G4833" s="27"/>
    </row>
    <row r="4834" hidden="1">
      <c r="A4834" s="21"/>
      <c r="B4834" s="21" t="s">
        <v>5498</v>
      </c>
      <c r="D4834" s="25">
        <v>0.0</v>
      </c>
      <c r="E4834" s="27"/>
      <c r="F4834" s="25">
        <v>0.0</v>
      </c>
      <c r="G4834" s="27"/>
    </row>
    <row r="4835" hidden="1">
      <c r="A4835" s="21"/>
      <c r="B4835" s="21" t="s">
        <v>5499</v>
      </c>
      <c r="D4835" s="25">
        <v>0.0</v>
      </c>
      <c r="E4835" s="27"/>
      <c r="F4835" s="25">
        <v>0.0</v>
      </c>
      <c r="G4835" s="27"/>
    </row>
    <row r="4836" hidden="1">
      <c r="A4836" s="21"/>
      <c r="B4836" s="21" t="s">
        <v>5500</v>
      </c>
      <c r="D4836" s="25">
        <v>0.0</v>
      </c>
      <c r="E4836" s="27"/>
      <c r="F4836" s="25">
        <v>0.0</v>
      </c>
      <c r="G4836" s="27"/>
    </row>
    <row r="4837" hidden="1">
      <c r="A4837" s="21"/>
      <c r="B4837" s="21" t="s">
        <v>5501</v>
      </c>
      <c r="D4837" s="25">
        <v>0.0</v>
      </c>
      <c r="E4837" s="27"/>
      <c r="F4837" s="25">
        <v>0.0</v>
      </c>
      <c r="G4837" s="27"/>
    </row>
    <row r="4838" hidden="1">
      <c r="A4838" s="21"/>
      <c r="B4838" s="21" t="s">
        <v>5502</v>
      </c>
      <c r="D4838" s="25">
        <v>0.0</v>
      </c>
      <c r="E4838" s="27"/>
      <c r="F4838" s="25">
        <v>0.0</v>
      </c>
      <c r="G4838" s="27"/>
    </row>
    <row r="4839" hidden="1">
      <c r="A4839" s="21"/>
      <c r="B4839" s="21" t="s">
        <v>5503</v>
      </c>
      <c r="D4839" s="25">
        <v>0.0</v>
      </c>
      <c r="E4839" s="27"/>
      <c r="F4839" s="25">
        <v>0.0</v>
      </c>
      <c r="G4839" s="27"/>
    </row>
    <row r="4840" hidden="1">
      <c r="A4840" s="21"/>
      <c r="B4840" s="21" t="s">
        <v>5504</v>
      </c>
      <c r="D4840" s="25">
        <v>0.0</v>
      </c>
      <c r="E4840" s="27"/>
      <c r="F4840" s="25">
        <v>0.0</v>
      </c>
      <c r="G4840" s="27"/>
    </row>
    <row r="4841" hidden="1">
      <c r="A4841" s="21"/>
      <c r="B4841" s="21" t="s">
        <v>5505</v>
      </c>
      <c r="D4841" s="25">
        <v>0.0</v>
      </c>
      <c r="E4841" s="27"/>
      <c r="F4841" s="25">
        <v>0.0</v>
      </c>
      <c r="G4841" s="27"/>
    </row>
    <row r="4842" hidden="1">
      <c r="A4842" s="21"/>
      <c r="B4842" s="21" t="s">
        <v>5506</v>
      </c>
      <c r="D4842" s="25">
        <v>0.0</v>
      </c>
      <c r="E4842" s="27"/>
      <c r="F4842" s="25">
        <v>0.0</v>
      </c>
      <c r="G4842" s="27"/>
    </row>
    <row r="4843" hidden="1">
      <c r="A4843" s="21"/>
      <c r="B4843" s="21" t="s">
        <v>5507</v>
      </c>
      <c r="D4843" s="25">
        <v>0.0</v>
      </c>
      <c r="E4843" s="27"/>
      <c r="F4843" s="25">
        <v>0.0</v>
      </c>
      <c r="G4843" s="27"/>
    </row>
    <row r="4844" hidden="1">
      <c r="A4844" s="21"/>
      <c r="B4844" s="21" t="s">
        <v>5508</v>
      </c>
      <c r="D4844" s="25">
        <v>0.0</v>
      </c>
      <c r="E4844" s="27"/>
      <c r="F4844" s="25">
        <v>0.0</v>
      </c>
      <c r="G4844" s="27"/>
    </row>
    <row r="4845" hidden="1">
      <c r="A4845" s="21"/>
      <c r="B4845" s="21" t="s">
        <v>5509</v>
      </c>
      <c r="D4845" s="25">
        <v>0.0</v>
      </c>
      <c r="E4845" s="27"/>
      <c r="F4845" s="25">
        <v>0.0</v>
      </c>
      <c r="G4845" s="27"/>
    </row>
    <row r="4846" hidden="1">
      <c r="A4846" s="21"/>
      <c r="B4846" s="21" t="s">
        <v>5510</v>
      </c>
      <c r="D4846" s="25">
        <v>0.0</v>
      </c>
      <c r="E4846" s="27"/>
      <c r="F4846" s="25">
        <v>6.28</v>
      </c>
      <c r="G4846" s="27"/>
    </row>
    <row r="4847" hidden="1">
      <c r="A4847" s="21"/>
      <c r="B4847" s="21" t="s">
        <v>5511</v>
      </c>
      <c r="D4847" s="25">
        <v>0.0</v>
      </c>
      <c r="E4847" s="27"/>
      <c r="F4847" s="25">
        <v>0.0</v>
      </c>
      <c r="G4847" s="27"/>
    </row>
    <row r="4848" hidden="1">
      <c r="A4848" s="21"/>
      <c r="B4848" s="21" t="s">
        <v>5512</v>
      </c>
      <c r="D4848" s="25">
        <v>0.0</v>
      </c>
      <c r="E4848" s="27"/>
      <c r="F4848" s="25">
        <v>0.0</v>
      </c>
      <c r="G4848" s="27"/>
    </row>
    <row r="4849" hidden="1">
      <c r="A4849" s="21"/>
      <c r="B4849" s="21" t="s">
        <v>5513</v>
      </c>
      <c r="D4849" s="25">
        <v>0.0</v>
      </c>
      <c r="E4849" s="27"/>
      <c r="F4849" s="25">
        <v>0.0</v>
      </c>
      <c r="G4849" s="27"/>
    </row>
    <row r="4850" hidden="1">
      <c r="A4850" s="21"/>
      <c r="B4850" s="21" t="s">
        <v>5514</v>
      </c>
      <c r="D4850" s="25">
        <v>0.0</v>
      </c>
      <c r="E4850" s="27"/>
      <c r="F4850" s="25">
        <v>0.0</v>
      </c>
      <c r="G4850" s="27"/>
    </row>
    <row r="4851" hidden="1">
      <c r="A4851" s="21"/>
      <c r="B4851" s="21" t="s">
        <v>5515</v>
      </c>
      <c r="D4851" s="25">
        <v>0.0</v>
      </c>
      <c r="E4851" s="27"/>
      <c r="F4851" s="25">
        <v>0.0</v>
      </c>
      <c r="G4851" s="27"/>
    </row>
    <row r="4852" hidden="1">
      <c r="A4852" s="21"/>
      <c r="B4852" s="21" t="s">
        <v>5516</v>
      </c>
      <c r="D4852" s="25">
        <v>0.0</v>
      </c>
      <c r="E4852" s="27"/>
      <c r="F4852" s="25">
        <v>1.45</v>
      </c>
      <c r="G4852" s="27"/>
    </row>
    <row r="4853" hidden="1">
      <c r="A4853" s="21"/>
      <c r="B4853" s="21" t="s">
        <v>5517</v>
      </c>
      <c r="D4853" s="25">
        <v>0.0</v>
      </c>
      <c r="E4853" s="27"/>
      <c r="F4853" s="25">
        <v>0.0</v>
      </c>
      <c r="G4853" s="27"/>
    </row>
    <row r="4854" hidden="1">
      <c r="A4854" s="21"/>
      <c r="B4854" s="21" t="s">
        <v>5518</v>
      </c>
      <c r="D4854" s="25">
        <v>0.0</v>
      </c>
      <c r="E4854" s="27"/>
      <c r="F4854" s="25">
        <v>0.0</v>
      </c>
      <c r="G4854" s="27"/>
    </row>
    <row r="4855" hidden="1">
      <c r="A4855" s="21"/>
      <c r="B4855" s="21" t="s">
        <v>5519</v>
      </c>
      <c r="D4855" s="25">
        <v>0.0</v>
      </c>
      <c r="E4855" s="27"/>
      <c r="F4855" s="25">
        <v>0.0</v>
      </c>
      <c r="G4855" s="27"/>
    </row>
    <row r="4856" hidden="1">
      <c r="A4856" s="21"/>
      <c r="B4856" s="21" t="s">
        <v>5520</v>
      </c>
      <c r="D4856" s="25">
        <v>0.0</v>
      </c>
      <c r="E4856" s="27"/>
      <c r="F4856" s="25">
        <v>1.07</v>
      </c>
      <c r="G4856" s="27"/>
    </row>
    <row r="4857" hidden="1">
      <c r="A4857" s="21"/>
      <c r="B4857" s="21" t="s">
        <v>5521</v>
      </c>
      <c r="D4857" s="25">
        <v>0.0</v>
      </c>
      <c r="E4857" s="27"/>
      <c r="F4857" s="25">
        <v>0.0</v>
      </c>
      <c r="G4857" s="27"/>
    </row>
    <row r="4858" hidden="1">
      <c r="A4858" s="21"/>
      <c r="B4858" s="21" t="s">
        <v>5522</v>
      </c>
      <c r="D4858" s="25">
        <v>0.0</v>
      </c>
      <c r="E4858" s="27"/>
      <c r="F4858" s="25">
        <v>0.0</v>
      </c>
      <c r="G4858" s="27"/>
    </row>
    <row r="4859" hidden="1">
      <c r="A4859" s="21"/>
      <c r="B4859" s="21" t="s">
        <v>5523</v>
      </c>
      <c r="D4859" s="25">
        <v>0.0</v>
      </c>
      <c r="E4859" s="27"/>
      <c r="F4859" s="25">
        <v>0.0</v>
      </c>
      <c r="G4859" s="27"/>
    </row>
    <row r="4860" hidden="1">
      <c r="A4860" s="21"/>
      <c r="B4860" s="21" t="s">
        <v>5524</v>
      </c>
      <c r="D4860" s="25">
        <v>0.0</v>
      </c>
      <c r="E4860" s="27"/>
      <c r="F4860" s="25">
        <v>0.0</v>
      </c>
      <c r="G4860" s="27"/>
    </row>
    <row r="4861" hidden="1">
      <c r="A4861" s="21"/>
      <c r="B4861" s="21" t="s">
        <v>5525</v>
      </c>
      <c r="D4861" s="25">
        <v>0.0</v>
      </c>
      <c r="E4861" s="27"/>
      <c r="F4861" s="25">
        <v>0.0</v>
      </c>
      <c r="G4861" s="27"/>
    </row>
    <row r="4862" hidden="1">
      <c r="A4862" s="21"/>
      <c r="B4862" s="21" t="s">
        <v>5526</v>
      </c>
      <c r="D4862" s="25">
        <v>0.0</v>
      </c>
      <c r="E4862" s="27"/>
      <c r="F4862" s="25">
        <v>0.0</v>
      </c>
      <c r="G4862" s="27"/>
    </row>
    <row r="4863" hidden="1">
      <c r="A4863" s="21"/>
      <c r="B4863" s="21" t="s">
        <v>5527</v>
      </c>
      <c r="D4863" s="25">
        <v>0.0</v>
      </c>
      <c r="E4863" s="27"/>
      <c r="F4863" s="25">
        <v>0.0</v>
      </c>
      <c r="G4863" s="27"/>
    </row>
    <row r="4864" hidden="1">
      <c r="A4864" s="21"/>
      <c r="B4864" s="21" t="s">
        <v>5528</v>
      </c>
      <c r="D4864" s="25">
        <v>0.0</v>
      </c>
      <c r="E4864" s="27"/>
      <c r="F4864" s="25">
        <v>0.0</v>
      </c>
      <c r="G4864" s="27"/>
    </row>
    <row r="4865" hidden="1">
      <c r="A4865" s="21"/>
      <c r="B4865" s="21" t="s">
        <v>5529</v>
      </c>
      <c r="D4865" s="25">
        <v>0.0</v>
      </c>
      <c r="E4865" s="27"/>
      <c r="F4865" s="25">
        <v>3.97</v>
      </c>
      <c r="G4865" s="27"/>
    </row>
    <row r="4866" hidden="1">
      <c r="A4866" s="21"/>
      <c r="B4866" s="21" t="s">
        <v>5530</v>
      </c>
      <c r="D4866" s="25">
        <v>0.0</v>
      </c>
      <c r="E4866" s="27"/>
      <c r="F4866" s="25">
        <v>0.0</v>
      </c>
      <c r="G4866" s="27"/>
    </row>
    <row r="4867" hidden="1">
      <c r="A4867" s="21"/>
      <c r="B4867" s="21" t="s">
        <v>5531</v>
      </c>
      <c r="D4867" s="25">
        <v>0.0</v>
      </c>
      <c r="E4867" s="27"/>
      <c r="F4867" s="25">
        <v>0.0</v>
      </c>
      <c r="G4867" s="27"/>
    </row>
    <row r="4868" hidden="1">
      <c r="A4868" s="21"/>
      <c r="B4868" s="21" t="s">
        <v>5532</v>
      </c>
      <c r="D4868" s="25">
        <v>0.0</v>
      </c>
      <c r="E4868" s="27"/>
      <c r="F4868" s="25">
        <v>0.0</v>
      </c>
      <c r="G4868" s="27"/>
    </row>
    <row r="4869" hidden="1">
      <c r="A4869" s="21"/>
      <c r="B4869" s="21" t="s">
        <v>5533</v>
      </c>
      <c r="D4869" s="25">
        <v>0.0</v>
      </c>
      <c r="E4869" s="27"/>
      <c r="F4869" s="25">
        <v>0.0</v>
      </c>
      <c r="G4869" s="27"/>
    </row>
    <row r="4870" hidden="1">
      <c r="A4870" s="21"/>
      <c r="B4870" s="21" t="s">
        <v>5534</v>
      </c>
      <c r="D4870" s="25">
        <v>0.0</v>
      </c>
      <c r="E4870" s="27"/>
      <c r="F4870" s="25">
        <v>0.0</v>
      </c>
      <c r="G4870" s="27"/>
    </row>
    <row r="4871" hidden="1">
      <c r="A4871" s="21"/>
      <c r="B4871" s="21" t="s">
        <v>5535</v>
      </c>
      <c r="D4871" s="25">
        <v>0.0</v>
      </c>
      <c r="E4871" s="27"/>
      <c r="F4871" s="25">
        <v>0.0</v>
      </c>
      <c r="G4871" s="27"/>
    </row>
    <row r="4872" hidden="1">
      <c r="A4872" s="21"/>
      <c r="B4872" s="21" t="s">
        <v>5536</v>
      </c>
      <c r="D4872" s="25">
        <v>0.0</v>
      </c>
      <c r="E4872" s="27"/>
      <c r="F4872" s="25">
        <v>0.0</v>
      </c>
      <c r="G4872" s="27"/>
    </row>
    <row r="4873" hidden="1">
      <c r="A4873" s="21"/>
      <c r="B4873" s="21" t="s">
        <v>5537</v>
      </c>
      <c r="D4873" s="25">
        <v>0.0</v>
      </c>
      <c r="E4873" s="27"/>
      <c r="F4873" s="25">
        <v>0.0</v>
      </c>
      <c r="G4873" s="27"/>
    </row>
    <row r="4874" hidden="1">
      <c r="A4874" s="21"/>
      <c r="B4874" s="21" t="s">
        <v>5538</v>
      </c>
      <c r="D4874" s="25">
        <v>0.0</v>
      </c>
      <c r="E4874" s="27"/>
      <c r="F4874" s="25">
        <v>0.0</v>
      </c>
      <c r="G4874" s="27"/>
    </row>
    <row r="4875" hidden="1">
      <c r="A4875" s="21"/>
      <c r="B4875" s="21" t="s">
        <v>5539</v>
      </c>
      <c r="D4875" s="25">
        <v>0.0</v>
      </c>
      <c r="E4875" s="27"/>
      <c r="F4875" s="25">
        <v>0.0</v>
      </c>
      <c r="G4875" s="27"/>
    </row>
    <row r="4876" hidden="1">
      <c r="A4876" s="21"/>
      <c r="B4876" s="21" t="s">
        <v>5540</v>
      </c>
      <c r="D4876" s="25">
        <v>0.0</v>
      </c>
      <c r="E4876" s="27"/>
      <c r="F4876" s="25">
        <v>0.0</v>
      </c>
      <c r="G4876" s="27"/>
    </row>
    <row r="4877" hidden="1">
      <c r="A4877" s="21"/>
      <c r="B4877" s="21" t="s">
        <v>5541</v>
      </c>
      <c r="D4877" s="25">
        <v>0.0</v>
      </c>
      <c r="E4877" s="27"/>
      <c r="F4877" s="25">
        <v>0.0</v>
      </c>
      <c r="G4877" s="27"/>
    </row>
    <row r="4878" hidden="1">
      <c r="A4878" s="21"/>
      <c r="B4878" s="21" t="s">
        <v>5542</v>
      </c>
      <c r="D4878" s="25">
        <v>0.0</v>
      </c>
      <c r="E4878" s="27"/>
      <c r="F4878" s="25">
        <v>0.0</v>
      </c>
      <c r="G4878" s="27"/>
    </row>
    <row r="4879" hidden="1">
      <c r="A4879" s="21"/>
      <c r="B4879" s="21" t="s">
        <v>5543</v>
      </c>
      <c r="D4879" s="25">
        <v>0.0</v>
      </c>
      <c r="E4879" s="27"/>
      <c r="F4879" s="25">
        <v>0.0</v>
      </c>
      <c r="G4879" s="27"/>
    </row>
    <row r="4880" hidden="1">
      <c r="A4880" s="21"/>
      <c r="B4880" s="21" t="s">
        <v>5544</v>
      </c>
      <c r="D4880" s="25">
        <v>0.0</v>
      </c>
      <c r="E4880" s="27"/>
      <c r="F4880" s="25">
        <v>0.0</v>
      </c>
      <c r="G4880" s="27"/>
    </row>
    <row r="4881" hidden="1">
      <c r="A4881" s="21"/>
      <c r="B4881" s="21" t="s">
        <v>5545</v>
      </c>
      <c r="D4881" s="25">
        <v>0.0</v>
      </c>
      <c r="E4881" s="27"/>
      <c r="F4881" s="25">
        <v>0.0</v>
      </c>
      <c r="G4881" s="27"/>
    </row>
    <row r="4882" hidden="1">
      <c r="A4882" s="21"/>
      <c r="B4882" s="21" t="s">
        <v>5546</v>
      </c>
      <c r="D4882" s="25">
        <v>0.0</v>
      </c>
      <c r="E4882" s="27"/>
      <c r="F4882" s="25">
        <v>0.0</v>
      </c>
      <c r="G4882" s="27"/>
    </row>
    <row r="4883" hidden="1">
      <c r="A4883" s="21"/>
      <c r="B4883" s="21" t="s">
        <v>5547</v>
      </c>
      <c r="D4883" s="25">
        <v>0.0</v>
      </c>
      <c r="E4883" s="27"/>
      <c r="F4883" s="25">
        <v>0.0</v>
      </c>
      <c r="G4883" s="27"/>
    </row>
    <row r="4884" hidden="1">
      <c r="A4884" s="21"/>
      <c r="B4884" s="21" t="s">
        <v>5548</v>
      </c>
      <c r="D4884" s="25">
        <v>0.0</v>
      </c>
      <c r="E4884" s="27"/>
      <c r="F4884" s="25">
        <v>0.0</v>
      </c>
      <c r="G4884" s="27"/>
    </row>
    <row r="4885" hidden="1">
      <c r="A4885" s="21"/>
      <c r="B4885" s="21" t="s">
        <v>5549</v>
      </c>
      <c r="D4885" s="25">
        <v>0.0</v>
      </c>
      <c r="E4885" s="27"/>
      <c r="F4885" s="25">
        <v>0.0</v>
      </c>
      <c r="G4885" s="27"/>
    </row>
    <row r="4886" hidden="1">
      <c r="A4886" s="21"/>
      <c r="B4886" s="21" t="s">
        <v>5550</v>
      </c>
      <c r="D4886" s="25">
        <v>0.0</v>
      </c>
      <c r="E4886" s="27"/>
      <c r="F4886" s="25">
        <v>0.0</v>
      </c>
      <c r="G4886" s="27"/>
    </row>
    <row r="4887" hidden="1">
      <c r="A4887" s="21"/>
      <c r="B4887" s="21" t="s">
        <v>5551</v>
      </c>
      <c r="D4887" s="25">
        <v>0.0</v>
      </c>
      <c r="E4887" s="27"/>
      <c r="F4887" s="25">
        <v>0.0</v>
      </c>
      <c r="G4887" s="27"/>
    </row>
    <row r="4888" hidden="1">
      <c r="A4888" s="21"/>
      <c r="B4888" s="21" t="s">
        <v>5552</v>
      </c>
      <c r="D4888" s="25">
        <v>0.0</v>
      </c>
      <c r="E4888" s="27"/>
      <c r="F4888" s="25">
        <v>0.0</v>
      </c>
      <c r="G4888" s="27"/>
    </row>
    <row r="4889" hidden="1">
      <c r="A4889" s="21"/>
      <c r="B4889" s="21" t="s">
        <v>5553</v>
      </c>
      <c r="D4889" s="25">
        <v>0.0</v>
      </c>
      <c r="E4889" s="27"/>
      <c r="F4889" s="25">
        <v>0.0</v>
      </c>
      <c r="G4889" s="27"/>
    </row>
    <row r="4890" hidden="1">
      <c r="A4890" s="21"/>
      <c r="B4890" s="21" t="s">
        <v>5554</v>
      </c>
      <c r="D4890" s="25">
        <v>0.0</v>
      </c>
      <c r="E4890" s="27"/>
      <c r="F4890" s="25">
        <v>0.0</v>
      </c>
      <c r="G4890" s="27"/>
    </row>
    <row r="4891" hidden="1">
      <c r="A4891" s="21"/>
      <c r="B4891" s="21" t="s">
        <v>5555</v>
      </c>
      <c r="D4891" s="25">
        <v>0.0</v>
      </c>
      <c r="E4891" s="27"/>
      <c r="F4891" s="25">
        <v>0.0</v>
      </c>
      <c r="G4891" s="27"/>
    </row>
    <row r="4892" hidden="1">
      <c r="A4892" s="21"/>
      <c r="B4892" s="21" t="s">
        <v>5556</v>
      </c>
      <c r="D4892" s="25">
        <v>0.0</v>
      </c>
      <c r="E4892" s="27"/>
      <c r="F4892" s="25">
        <v>0.0</v>
      </c>
      <c r="G4892" s="27"/>
    </row>
    <row r="4893" hidden="1">
      <c r="A4893" s="21"/>
      <c r="B4893" s="21" t="s">
        <v>5557</v>
      </c>
      <c r="D4893" s="25">
        <v>0.0</v>
      </c>
      <c r="E4893" s="27"/>
      <c r="F4893" s="25">
        <v>0.0</v>
      </c>
      <c r="G4893" s="27"/>
    </row>
    <row r="4894" hidden="1">
      <c r="A4894" s="21"/>
      <c r="B4894" s="21" t="s">
        <v>5558</v>
      </c>
      <c r="D4894" s="25">
        <v>0.0</v>
      </c>
      <c r="E4894" s="27"/>
      <c r="F4894" s="25">
        <v>0.0</v>
      </c>
      <c r="G4894" s="27"/>
    </row>
    <row r="4895" hidden="1">
      <c r="A4895" s="21"/>
      <c r="B4895" s="21" t="s">
        <v>5559</v>
      </c>
      <c r="D4895" s="25">
        <v>0.0</v>
      </c>
      <c r="E4895" s="27"/>
      <c r="F4895" s="25">
        <v>0.0</v>
      </c>
      <c r="G4895" s="27"/>
    </row>
    <row r="4896" hidden="1">
      <c r="A4896" s="21"/>
      <c r="B4896" s="21" t="s">
        <v>5560</v>
      </c>
      <c r="D4896" s="25">
        <v>0.0</v>
      </c>
      <c r="E4896" s="27"/>
      <c r="F4896" s="25">
        <v>0.0</v>
      </c>
      <c r="G4896" s="27"/>
    </row>
    <row r="4897" hidden="1">
      <c r="A4897" s="21"/>
      <c r="B4897" s="21" t="s">
        <v>5561</v>
      </c>
      <c r="D4897" s="25">
        <v>0.0</v>
      </c>
      <c r="E4897" s="27"/>
      <c r="F4897" s="25">
        <v>0.0</v>
      </c>
      <c r="G4897" s="27"/>
    </row>
    <row r="4898" hidden="1">
      <c r="A4898" s="21"/>
      <c r="B4898" s="21" t="s">
        <v>5562</v>
      </c>
      <c r="D4898" s="25">
        <v>0.0</v>
      </c>
      <c r="E4898" s="27"/>
      <c r="F4898" s="25">
        <v>0.0</v>
      </c>
      <c r="G4898" s="27"/>
    </row>
    <row r="4899" hidden="1">
      <c r="A4899" s="21"/>
      <c r="B4899" s="21" t="s">
        <v>5563</v>
      </c>
      <c r="D4899" s="25">
        <v>0.0</v>
      </c>
      <c r="E4899" s="27"/>
      <c r="F4899" s="25">
        <v>0.0</v>
      </c>
      <c r="G4899" s="27"/>
    </row>
    <row r="4900" hidden="1">
      <c r="A4900" s="21"/>
      <c r="B4900" s="21" t="s">
        <v>5564</v>
      </c>
      <c r="D4900" s="25">
        <v>0.0</v>
      </c>
      <c r="E4900" s="27"/>
      <c r="F4900" s="25">
        <v>0.0</v>
      </c>
      <c r="G4900" s="27"/>
    </row>
    <row r="4901" hidden="1">
      <c r="A4901" s="21"/>
      <c r="B4901" s="21" t="s">
        <v>5565</v>
      </c>
      <c r="D4901" s="25">
        <v>0.0</v>
      </c>
      <c r="E4901" s="27"/>
      <c r="F4901" s="25">
        <v>0.0</v>
      </c>
      <c r="G4901" s="27"/>
    </row>
    <row r="4902" hidden="1">
      <c r="A4902" s="21"/>
      <c r="B4902" s="21" t="s">
        <v>5566</v>
      </c>
      <c r="D4902" s="25">
        <v>0.0</v>
      </c>
      <c r="E4902" s="27"/>
      <c r="F4902" s="25">
        <v>0.0</v>
      </c>
      <c r="G4902" s="27"/>
    </row>
    <row r="4903" hidden="1">
      <c r="A4903" s="21"/>
      <c r="B4903" s="21" t="s">
        <v>5567</v>
      </c>
      <c r="D4903" s="25">
        <v>0.0</v>
      </c>
      <c r="E4903" s="27"/>
      <c r="F4903" s="25">
        <v>0.0</v>
      </c>
      <c r="G4903" s="27"/>
    </row>
    <row r="4904" hidden="1">
      <c r="A4904" s="21"/>
      <c r="B4904" s="21" t="s">
        <v>5568</v>
      </c>
      <c r="D4904" s="25">
        <v>0.0</v>
      </c>
      <c r="E4904" s="27"/>
      <c r="F4904" s="25">
        <v>0.0</v>
      </c>
      <c r="G4904" s="27"/>
    </row>
    <row r="4905" hidden="1">
      <c r="A4905" s="21"/>
      <c r="B4905" s="21" t="s">
        <v>5569</v>
      </c>
      <c r="D4905" s="25">
        <v>0.0</v>
      </c>
      <c r="E4905" s="27"/>
      <c r="F4905" s="25">
        <v>0.0</v>
      </c>
      <c r="G4905" s="27"/>
    </row>
    <row r="4906" hidden="1">
      <c r="A4906" s="21"/>
      <c r="B4906" s="21" t="s">
        <v>5570</v>
      </c>
      <c r="D4906" s="25">
        <v>0.0</v>
      </c>
      <c r="E4906" s="27"/>
      <c r="F4906" s="25">
        <v>0.0</v>
      </c>
      <c r="G4906" s="27"/>
    </row>
    <row r="4907" hidden="1">
      <c r="A4907" s="21"/>
      <c r="B4907" s="21" t="s">
        <v>5571</v>
      </c>
      <c r="D4907" s="25">
        <v>0.0</v>
      </c>
      <c r="E4907" s="27"/>
      <c r="F4907" s="25">
        <v>0.0</v>
      </c>
      <c r="G4907" s="27"/>
    </row>
    <row r="4908" hidden="1">
      <c r="A4908" s="21"/>
      <c r="B4908" s="21" t="s">
        <v>5572</v>
      </c>
      <c r="D4908" s="25">
        <v>0.0</v>
      </c>
      <c r="E4908" s="27"/>
      <c r="F4908" s="25">
        <v>0.0</v>
      </c>
      <c r="G4908" s="27"/>
    </row>
    <row r="4909" hidden="1">
      <c r="A4909" s="21"/>
      <c r="B4909" s="21" t="s">
        <v>5573</v>
      </c>
      <c r="D4909" s="25">
        <v>0.0</v>
      </c>
      <c r="E4909" s="27"/>
      <c r="F4909" s="25">
        <v>0.0</v>
      </c>
      <c r="G4909" s="27"/>
    </row>
    <row r="4910" hidden="1">
      <c r="A4910" s="21"/>
      <c r="B4910" s="21" t="s">
        <v>5574</v>
      </c>
      <c r="D4910" s="25">
        <v>0.0</v>
      </c>
      <c r="E4910" s="27"/>
      <c r="F4910" s="25">
        <v>0.0</v>
      </c>
      <c r="G4910" s="27"/>
    </row>
    <row r="4911" hidden="1">
      <c r="A4911" s="21"/>
      <c r="B4911" s="21" t="s">
        <v>5575</v>
      </c>
      <c r="D4911" s="25">
        <v>0.0</v>
      </c>
      <c r="E4911" s="27"/>
      <c r="F4911" s="25">
        <v>0.0</v>
      </c>
      <c r="G4911" s="27"/>
    </row>
    <row r="4912" hidden="1">
      <c r="A4912" s="21"/>
      <c r="B4912" s="21" t="s">
        <v>5576</v>
      </c>
      <c r="D4912" s="25">
        <v>0.0</v>
      </c>
      <c r="E4912" s="27"/>
      <c r="F4912" s="25">
        <v>0.0</v>
      </c>
      <c r="G4912" s="27"/>
    </row>
    <row r="4913" hidden="1">
      <c r="A4913" s="21"/>
      <c r="B4913" s="21" t="s">
        <v>5577</v>
      </c>
      <c r="D4913" s="25">
        <v>0.0</v>
      </c>
      <c r="E4913" s="27"/>
      <c r="F4913" s="25">
        <v>0.0</v>
      </c>
      <c r="G4913" s="27"/>
    </row>
    <row r="4914" hidden="1">
      <c r="A4914" s="21"/>
      <c r="B4914" s="21" t="s">
        <v>5578</v>
      </c>
      <c r="D4914" s="25">
        <v>0.0</v>
      </c>
      <c r="E4914" s="27"/>
      <c r="F4914" s="25">
        <v>0.0</v>
      </c>
      <c r="G4914" s="27"/>
    </row>
    <row r="4915" hidden="1">
      <c r="A4915" s="21"/>
      <c r="B4915" s="21" t="s">
        <v>5579</v>
      </c>
      <c r="D4915" s="25">
        <v>0.0</v>
      </c>
      <c r="E4915" s="27"/>
      <c r="F4915" s="25">
        <v>0.0</v>
      </c>
      <c r="G4915" s="27"/>
    </row>
    <row r="4916" hidden="1">
      <c r="A4916" s="21"/>
      <c r="B4916" s="21" t="s">
        <v>5580</v>
      </c>
      <c r="D4916" s="25">
        <v>0.0</v>
      </c>
      <c r="E4916" s="27"/>
      <c r="F4916" s="25">
        <v>0.0</v>
      </c>
      <c r="G4916" s="27"/>
    </row>
    <row r="4917" hidden="1">
      <c r="A4917" s="21"/>
      <c r="B4917" s="21" t="s">
        <v>5581</v>
      </c>
      <c r="D4917" s="25">
        <v>0.0</v>
      </c>
      <c r="E4917" s="27"/>
      <c r="F4917" s="25">
        <v>0.0</v>
      </c>
      <c r="G4917" s="27"/>
    </row>
    <row r="4918" hidden="1">
      <c r="A4918" s="21"/>
      <c r="B4918" s="21" t="s">
        <v>5582</v>
      </c>
      <c r="D4918" s="25">
        <v>0.0</v>
      </c>
      <c r="E4918" s="27"/>
      <c r="F4918" s="25">
        <v>0.0</v>
      </c>
      <c r="G4918" s="27"/>
    </row>
    <row r="4919" hidden="1">
      <c r="A4919" s="21"/>
      <c r="B4919" s="21" t="s">
        <v>5583</v>
      </c>
      <c r="D4919" s="25">
        <v>0.0</v>
      </c>
      <c r="E4919" s="27"/>
      <c r="F4919" s="25">
        <v>0.0</v>
      </c>
      <c r="G4919" s="27"/>
    </row>
    <row r="4920" hidden="1">
      <c r="A4920" s="21"/>
      <c r="B4920" s="21" t="s">
        <v>5584</v>
      </c>
      <c r="D4920" s="25">
        <v>0.0</v>
      </c>
      <c r="E4920" s="27"/>
      <c r="F4920" s="25">
        <v>0.0</v>
      </c>
      <c r="G4920" s="27"/>
    </row>
    <row r="4921" hidden="1">
      <c r="A4921" s="21"/>
      <c r="B4921" s="21" t="s">
        <v>5585</v>
      </c>
      <c r="D4921" s="25">
        <v>0.0</v>
      </c>
      <c r="E4921" s="27"/>
      <c r="F4921" s="25">
        <v>0.0</v>
      </c>
      <c r="G4921" s="27"/>
    </row>
    <row r="4922" hidden="1">
      <c r="A4922" s="21"/>
      <c r="B4922" s="21" t="s">
        <v>5586</v>
      </c>
      <c r="D4922" s="25">
        <v>0.0</v>
      </c>
      <c r="E4922" s="27"/>
      <c r="F4922" s="25">
        <v>0.0</v>
      </c>
      <c r="G4922" s="27"/>
    </row>
    <row r="4923" hidden="1">
      <c r="A4923" s="21"/>
      <c r="B4923" s="21" t="s">
        <v>5587</v>
      </c>
      <c r="D4923" s="25">
        <v>0.0</v>
      </c>
      <c r="E4923" s="27"/>
      <c r="F4923" s="25">
        <v>0.0</v>
      </c>
      <c r="G4923" s="27"/>
    </row>
    <row r="4924" hidden="1">
      <c r="A4924" s="21"/>
      <c r="B4924" s="21" t="s">
        <v>5588</v>
      </c>
      <c r="D4924" s="25">
        <v>0.0</v>
      </c>
      <c r="E4924" s="27"/>
      <c r="F4924" s="25">
        <v>0.0</v>
      </c>
      <c r="G4924" s="27"/>
    </row>
    <row r="4925" hidden="1">
      <c r="A4925" s="21"/>
      <c r="B4925" s="21" t="s">
        <v>5589</v>
      </c>
      <c r="D4925" s="25">
        <v>0.0</v>
      </c>
      <c r="E4925" s="27"/>
      <c r="F4925" s="25">
        <v>0.0</v>
      </c>
      <c r="G4925" s="27"/>
    </row>
    <row r="4926" hidden="1">
      <c r="A4926" s="21"/>
      <c r="B4926" s="21" t="s">
        <v>5590</v>
      </c>
      <c r="D4926" s="25">
        <v>0.0</v>
      </c>
      <c r="E4926" s="27"/>
      <c r="F4926" s="25">
        <v>0.0</v>
      </c>
      <c r="G4926" s="27"/>
    </row>
    <row r="4927" hidden="1">
      <c r="A4927" s="21"/>
      <c r="B4927" s="21" t="s">
        <v>5591</v>
      </c>
      <c r="D4927" s="25">
        <v>0.0</v>
      </c>
      <c r="E4927" s="27"/>
      <c r="F4927" s="25">
        <v>0.0</v>
      </c>
      <c r="G4927" s="27"/>
    </row>
    <row r="4928" hidden="1">
      <c r="A4928" s="21"/>
      <c r="B4928" s="21" t="s">
        <v>5592</v>
      </c>
      <c r="D4928" s="25">
        <v>0.0</v>
      </c>
      <c r="E4928" s="27"/>
      <c r="F4928" s="25">
        <v>0.0</v>
      </c>
      <c r="G4928" s="27"/>
    </row>
    <row r="4929" hidden="1">
      <c r="A4929" s="21"/>
      <c r="B4929" s="21" t="s">
        <v>5593</v>
      </c>
      <c r="D4929" s="25">
        <v>0.0</v>
      </c>
      <c r="E4929" s="27"/>
      <c r="F4929" s="25">
        <v>0.0</v>
      </c>
      <c r="G4929" s="27"/>
    </row>
    <row r="4930" hidden="1">
      <c r="A4930" s="21"/>
      <c r="B4930" s="21" t="s">
        <v>5594</v>
      </c>
      <c r="D4930" s="25">
        <v>0.0</v>
      </c>
      <c r="E4930" s="27"/>
      <c r="F4930" s="25">
        <v>0.0</v>
      </c>
      <c r="G4930" s="27"/>
    </row>
    <row r="4931" hidden="1">
      <c r="A4931" s="21"/>
      <c r="B4931" s="21" t="s">
        <v>5595</v>
      </c>
      <c r="D4931" s="25">
        <v>0.0</v>
      </c>
      <c r="E4931" s="27"/>
      <c r="F4931" s="25">
        <v>0.0</v>
      </c>
      <c r="G4931" s="27"/>
    </row>
    <row r="4932" hidden="1">
      <c r="A4932" s="21"/>
      <c r="B4932" s="21" t="s">
        <v>5596</v>
      </c>
      <c r="D4932" s="25">
        <v>0.0</v>
      </c>
      <c r="E4932" s="27"/>
      <c r="F4932" s="25">
        <v>0.0</v>
      </c>
      <c r="G4932" s="27"/>
    </row>
    <row r="4933" hidden="1">
      <c r="A4933" s="21"/>
      <c r="B4933" s="21" t="s">
        <v>5597</v>
      </c>
      <c r="D4933" s="25">
        <v>0.0</v>
      </c>
      <c r="E4933" s="27"/>
      <c r="F4933" s="25">
        <v>0.0</v>
      </c>
      <c r="G4933" s="27"/>
    </row>
    <row r="4934" hidden="1">
      <c r="A4934" s="21"/>
      <c r="B4934" s="21" t="s">
        <v>5598</v>
      </c>
      <c r="D4934" s="25">
        <v>0.0</v>
      </c>
      <c r="E4934" s="27"/>
      <c r="F4934" s="25">
        <v>0.0</v>
      </c>
      <c r="G4934" s="27"/>
    </row>
    <row r="4935" hidden="1">
      <c r="A4935" s="21"/>
      <c r="B4935" s="21" t="s">
        <v>5599</v>
      </c>
      <c r="D4935" s="25">
        <v>0.0</v>
      </c>
      <c r="E4935" s="27"/>
      <c r="F4935" s="25">
        <v>0.0</v>
      </c>
      <c r="G4935" s="27"/>
    </row>
    <row r="4936" hidden="1">
      <c r="A4936" s="21"/>
      <c r="B4936" s="21" t="s">
        <v>5600</v>
      </c>
      <c r="D4936" s="25">
        <v>0.0</v>
      </c>
      <c r="E4936" s="27"/>
      <c r="F4936" s="25">
        <v>0.0</v>
      </c>
      <c r="G4936" s="27"/>
    </row>
    <row r="4937" hidden="1">
      <c r="A4937" s="21"/>
      <c r="B4937" s="21" t="s">
        <v>5601</v>
      </c>
      <c r="D4937" s="25">
        <v>0.0</v>
      </c>
      <c r="E4937" s="27"/>
      <c r="F4937" s="25">
        <v>0.0</v>
      </c>
      <c r="G4937" s="27"/>
    </row>
    <row r="4938" hidden="1">
      <c r="A4938" s="21"/>
      <c r="B4938" s="21" t="s">
        <v>5602</v>
      </c>
      <c r="D4938" s="25">
        <v>0.0</v>
      </c>
      <c r="E4938" s="27"/>
      <c r="F4938" s="25">
        <v>0.0</v>
      </c>
      <c r="G4938" s="27"/>
    </row>
    <row r="4939" hidden="1">
      <c r="A4939" s="21"/>
      <c r="B4939" s="21" t="s">
        <v>5603</v>
      </c>
      <c r="D4939" s="25">
        <v>0.0</v>
      </c>
      <c r="E4939" s="27"/>
      <c r="F4939" s="25">
        <v>0.0</v>
      </c>
      <c r="G4939" s="27"/>
    </row>
    <row r="4940" hidden="1">
      <c r="A4940" s="21"/>
      <c r="B4940" s="21" t="s">
        <v>5604</v>
      </c>
      <c r="D4940" s="25">
        <v>0.0</v>
      </c>
      <c r="E4940" s="27"/>
      <c r="F4940" s="25">
        <v>0.0</v>
      </c>
      <c r="G4940" s="27"/>
    </row>
    <row r="4941" hidden="1">
      <c r="A4941" s="21"/>
      <c r="B4941" s="21" t="s">
        <v>5605</v>
      </c>
      <c r="D4941" s="25">
        <v>0.0</v>
      </c>
      <c r="E4941" s="27"/>
      <c r="F4941" s="25">
        <v>0.0</v>
      </c>
      <c r="G4941" s="27"/>
    </row>
    <row r="4942" hidden="1">
      <c r="A4942" s="21"/>
      <c r="B4942" s="21" t="s">
        <v>5606</v>
      </c>
      <c r="D4942" s="25">
        <v>0.0</v>
      </c>
      <c r="E4942" s="27"/>
      <c r="F4942" s="25">
        <v>0.0</v>
      </c>
      <c r="G4942" s="27"/>
    </row>
    <row r="4943" hidden="1">
      <c r="A4943" s="21"/>
      <c r="B4943" s="21" t="s">
        <v>5607</v>
      </c>
      <c r="D4943" s="25">
        <v>0.0</v>
      </c>
      <c r="E4943" s="27"/>
      <c r="F4943" s="25">
        <v>0.0</v>
      </c>
      <c r="G4943" s="27"/>
    </row>
    <row r="4944" hidden="1">
      <c r="A4944" s="21"/>
      <c r="B4944" s="21" t="s">
        <v>5608</v>
      </c>
      <c r="D4944" s="25">
        <v>0.0</v>
      </c>
      <c r="E4944" s="27"/>
      <c r="F4944" s="25">
        <v>0.0</v>
      </c>
      <c r="G4944" s="27"/>
    </row>
    <row r="4945" hidden="1">
      <c r="A4945" s="21"/>
      <c r="B4945" s="21" t="s">
        <v>5609</v>
      </c>
      <c r="D4945" s="25">
        <v>0.0</v>
      </c>
      <c r="E4945" s="27"/>
      <c r="F4945" s="25">
        <v>0.0</v>
      </c>
      <c r="G4945" s="27"/>
    </row>
    <row r="4946" hidden="1">
      <c r="A4946" s="21"/>
      <c r="B4946" s="21" t="s">
        <v>5610</v>
      </c>
      <c r="D4946" s="25">
        <v>0.0</v>
      </c>
      <c r="E4946" s="27"/>
      <c r="F4946" s="25">
        <v>0.0</v>
      </c>
      <c r="G4946" s="27"/>
    </row>
    <row r="4947" hidden="1">
      <c r="A4947" s="21"/>
      <c r="B4947" s="21" t="s">
        <v>5611</v>
      </c>
      <c r="D4947" s="25">
        <v>0.0</v>
      </c>
      <c r="E4947" s="27"/>
      <c r="F4947" s="25">
        <v>0.0</v>
      </c>
      <c r="G4947" s="27"/>
    </row>
    <row r="4948" hidden="1">
      <c r="A4948" s="21"/>
      <c r="B4948" s="21" t="s">
        <v>5612</v>
      </c>
      <c r="D4948" s="25">
        <v>0.0</v>
      </c>
      <c r="E4948" s="27"/>
      <c r="F4948" s="25">
        <v>0.0</v>
      </c>
      <c r="G4948" s="27"/>
    </row>
    <row r="4949" hidden="1">
      <c r="A4949" s="21"/>
      <c r="B4949" s="21" t="s">
        <v>5613</v>
      </c>
      <c r="D4949" s="25">
        <v>0.0</v>
      </c>
      <c r="E4949" s="27"/>
      <c r="F4949" s="25">
        <v>0.0</v>
      </c>
      <c r="G4949" s="27"/>
    </row>
    <row r="4950" hidden="1">
      <c r="A4950" s="21"/>
      <c r="B4950" s="21" t="s">
        <v>5614</v>
      </c>
      <c r="D4950" s="25">
        <v>0.0</v>
      </c>
      <c r="E4950" s="27"/>
      <c r="F4950" s="25">
        <v>0.0</v>
      </c>
      <c r="G4950" s="27"/>
    </row>
    <row r="4951" hidden="1">
      <c r="A4951" s="21"/>
      <c r="B4951" s="21" t="s">
        <v>5615</v>
      </c>
      <c r="D4951" s="25">
        <v>0.0</v>
      </c>
      <c r="E4951" s="27"/>
      <c r="F4951" s="25">
        <v>0.0</v>
      </c>
      <c r="G4951" s="27"/>
    </row>
    <row r="4952" hidden="1">
      <c r="A4952" s="21"/>
      <c r="B4952" s="21" t="s">
        <v>5616</v>
      </c>
      <c r="D4952" s="25">
        <v>0.0</v>
      </c>
      <c r="E4952" s="27"/>
      <c r="F4952" s="25">
        <v>0.0</v>
      </c>
      <c r="G4952" s="27"/>
    </row>
    <row r="4953" hidden="1">
      <c r="A4953" s="21"/>
      <c r="B4953" s="21" t="s">
        <v>5617</v>
      </c>
      <c r="D4953" s="25">
        <v>0.0</v>
      </c>
      <c r="E4953" s="27"/>
      <c r="F4953" s="25">
        <v>0.0</v>
      </c>
      <c r="G4953" s="27"/>
    </row>
    <row r="4954" hidden="1">
      <c r="A4954" s="21"/>
      <c r="B4954" s="21" t="s">
        <v>5618</v>
      </c>
      <c r="D4954" s="25">
        <v>0.0</v>
      </c>
      <c r="E4954" s="27"/>
      <c r="F4954" s="25">
        <v>0.0</v>
      </c>
      <c r="G4954" s="27"/>
    </row>
    <row r="4955" hidden="1">
      <c r="A4955" s="21"/>
      <c r="B4955" s="21" t="s">
        <v>5619</v>
      </c>
      <c r="D4955" s="25">
        <v>0.0</v>
      </c>
      <c r="E4955" s="27"/>
      <c r="F4955" s="25">
        <v>0.0</v>
      </c>
      <c r="G4955" s="27"/>
    </row>
    <row r="4956" hidden="1">
      <c r="A4956" s="21"/>
      <c r="B4956" s="21" t="s">
        <v>5620</v>
      </c>
      <c r="D4956" s="25">
        <v>0.0</v>
      </c>
      <c r="E4956" s="27"/>
      <c r="F4956" s="25">
        <v>0.0</v>
      </c>
      <c r="G4956" s="27"/>
    </row>
    <row r="4957" hidden="1">
      <c r="A4957" s="21"/>
      <c r="B4957" s="21" t="s">
        <v>5621</v>
      </c>
      <c r="D4957" s="25">
        <v>0.0</v>
      </c>
      <c r="E4957" s="27"/>
      <c r="F4957" s="25">
        <v>0.0</v>
      </c>
      <c r="G4957" s="27"/>
    </row>
    <row r="4958" hidden="1">
      <c r="A4958" s="21"/>
      <c r="B4958" s="21" t="s">
        <v>5622</v>
      </c>
      <c r="D4958" s="25">
        <v>0.0</v>
      </c>
      <c r="E4958" s="27"/>
      <c r="F4958" s="25">
        <v>0.0</v>
      </c>
      <c r="G4958" s="27"/>
    </row>
    <row r="4959" hidden="1">
      <c r="A4959" s="21"/>
      <c r="B4959" s="21" t="s">
        <v>5623</v>
      </c>
      <c r="D4959" s="25">
        <v>0.0</v>
      </c>
      <c r="E4959" s="27"/>
      <c r="F4959" s="25">
        <v>0.0</v>
      </c>
      <c r="G4959" s="27"/>
    </row>
    <row r="4960" hidden="1">
      <c r="A4960" s="21"/>
      <c r="B4960" s="21" t="s">
        <v>5624</v>
      </c>
      <c r="D4960" s="25">
        <v>0.0</v>
      </c>
      <c r="E4960" s="27"/>
      <c r="F4960" s="25">
        <v>0.0</v>
      </c>
      <c r="G4960" s="27"/>
    </row>
    <row r="4961" hidden="1">
      <c r="A4961" s="21"/>
      <c r="B4961" s="21" t="s">
        <v>5625</v>
      </c>
      <c r="D4961" s="25">
        <v>0.0</v>
      </c>
      <c r="E4961" s="27"/>
      <c r="F4961" s="25">
        <v>0.0</v>
      </c>
      <c r="G4961" s="27"/>
    </row>
    <row r="4962" hidden="1">
      <c r="A4962" s="21"/>
      <c r="B4962" s="21" t="s">
        <v>5626</v>
      </c>
      <c r="D4962" s="25">
        <v>0.0</v>
      </c>
      <c r="E4962" s="27"/>
      <c r="F4962" s="25">
        <v>0.0</v>
      </c>
      <c r="G4962" s="27"/>
    </row>
    <row r="4963" hidden="1">
      <c r="A4963" s="21"/>
      <c r="B4963" s="21" t="s">
        <v>5627</v>
      </c>
      <c r="D4963" s="25">
        <v>0.0</v>
      </c>
      <c r="E4963" s="27"/>
      <c r="F4963" s="25">
        <v>0.0</v>
      </c>
      <c r="G4963" s="27"/>
    </row>
    <row r="4964" hidden="1">
      <c r="A4964" s="21"/>
      <c r="B4964" s="21" t="s">
        <v>5628</v>
      </c>
      <c r="D4964" s="25">
        <v>0.0</v>
      </c>
      <c r="E4964" s="27"/>
      <c r="F4964" s="25">
        <v>0.0</v>
      </c>
      <c r="G4964" s="27"/>
    </row>
    <row r="4965" hidden="1">
      <c r="A4965" s="21"/>
      <c r="B4965" s="21" t="s">
        <v>5629</v>
      </c>
      <c r="D4965" s="25">
        <v>0.0</v>
      </c>
      <c r="E4965" s="27"/>
      <c r="F4965" s="25">
        <v>0.0</v>
      </c>
      <c r="G4965" s="27"/>
    </row>
    <row r="4966" hidden="1">
      <c r="A4966" s="21"/>
      <c r="B4966" s="21" t="s">
        <v>5630</v>
      </c>
      <c r="D4966" s="25">
        <v>0.0</v>
      </c>
      <c r="E4966" s="27"/>
      <c r="F4966" s="25">
        <v>0.0</v>
      </c>
      <c r="G4966" s="27"/>
    </row>
    <row r="4967" hidden="1">
      <c r="A4967" s="21"/>
      <c r="B4967" s="21" t="s">
        <v>5631</v>
      </c>
      <c r="D4967" s="25">
        <v>0.0</v>
      </c>
      <c r="E4967" s="27"/>
      <c r="F4967" s="25">
        <v>0.0</v>
      </c>
      <c r="G4967" s="27"/>
    </row>
    <row r="4968" hidden="1">
      <c r="A4968" s="21"/>
      <c r="B4968" s="21" t="s">
        <v>5632</v>
      </c>
      <c r="D4968" s="25">
        <v>0.0</v>
      </c>
      <c r="E4968" s="27"/>
      <c r="F4968" s="25">
        <v>0.0</v>
      </c>
      <c r="G4968" s="27"/>
    </row>
    <row r="4969" hidden="1">
      <c r="A4969" s="21"/>
      <c r="B4969" s="21" t="s">
        <v>5633</v>
      </c>
      <c r="D4969" s="25">
        <v>0.0</v>
      </c>
      <c r="E4969" s="27"/>
      <c r="F4969" s="25">
        <v>0.0</v>
      </c>
      <c r="G4969" s="27"/>
    </row>
    <row r="4970" hidden="1">
      <c r="A4970" s="21"/>
      <c r="B4970" s="21" t="s">
        <v>5634</v>
      </c>
      <c r="D4970" s="25">
        <v>0.0</v>
      </c>
      <c r="E4970" s="27"/>
      <c r="F4970" s="25">
        <v>0.0</v>
      </c>
      <c r="G4970" s="27"/>
    </row>
    <row r="4971" hidden="1">
      <c r="A4971" s="21"/>
      <c r="B4971" s="21" t="s">
        <v>5635</v>
      </c>
      <c r="D4971" s="25">
        <v>0.0</v>
      </c>
      <c r="E4971" s="27"/>
      <c r="F4971" s="25">
        <v>0.0</v>
      </c>
      <c r="G4971" s="27"/>
    </row>
    <row r="4972" hidden="1">
      <c r="A4972" s="21"/>
      <c r="B4972" s="21" t="s">
        <v>5636</v>
      </c>
      <c r="D4972" s="25">
        <v>0.0</v>
      </c>
      <c r="E4972" s="27"/>
      <c r="F4972" s="25">
        <v>0.0</v>
      </c>
      <c r="G4972" s="27"/>
    </row>
    <row r="4973" hidden="1">
      <c r="A4973" s="21"/>
      <c r="B4973" s="21" t="s">
        <v>5637</v>
      </c>
      <c r="D4973" s="25">
        <v>0.0</v>
      </c>
      <c r="E4973" s="27"/>
      <c r="F4973" s="25">
        <v>0.0</v>
      </c>
      <c r="G4973" s="27"/>
    </row>
    <row r="4974" hidden="1">
      <c r="A4974" s="21"/>
      <c r="B4974" s="21" t="s">
        <v>5638</v>
      </c>
      <c r="D4974" s="25">
        <v>0.0</v>
      </c>
      <c r="E4974" s="27"/>
      <c r="F4974" s="25">
        <v>0.0</v>
      </c>
      <c r="G4974" s="27"/>
    </row>
    <row r="4975" hidden="1">
      <c r="A4975" s="21"/>
      <c r="B4975" s="21" t="s">
        <v>5639</v>
      </c>
      <c r="D4975" s="25">
        <v>0.0</v>
      </c>
      <c r="E4975" s="27"/>
      <c r="F4975" s="25">
        <v>0.0</v>
      </c>
      <c r="G4975" s="27"/>
    </row>
    <row r="4976" hidden="1">
      <c r="A4976" s="21"/>
      <c r="B4976" s="21" t="s">
        <v>5640</v>
      </c>
      <c r="D4976" s="25">
        <v>0.0</v>
      </c>
      <c r="E4976" s="27"/>
      <c r="F4976" s="25">
        <v>0.0</v>
      </c>
      <c r="G4976" s="27"/>
    </row>
    <row r="4977" hidden="1">
      <c r="A4977" s="21"/>
      <c r="B4977" s="21" t="s">
        <v>5641</v>
      </c>
      <c r="D4977" s="25">
        <v>0.0</v>
      </c>
      <c r="E4977" s="27"/>
      <c r="F4977" s="25">
        <v>0.0</v>
      </c>
      <c r="G4977" s="27"/>
    </row>
    <row r="4978" hidden="1">
      <c r="A4978" s="21"/>
      <c r="B4978" s="21" t="s">
        <v>5642</v>
      </c>
      <c r="D4978" s="25">
        <v>0.0</v>
      </c>
      <c r="E4978" s="27"/>
      <c r="F4978" s="25">
        <v>0.0</v>
      </c>
      <c r="G4978" s="27"/>
    </row>
    <row r="4979" hidden="1">
      <c r="A4979" s="21"/>
      <c r="B4979" s="21" t="s">
        <v>5643</v>
      </c>
      <c r="D4979" s="25">
        <v>0.0</v>
      </c>
      <c r="E4979" s="27"/>
      <c r="F4979" s="25">
        <v>3.37</v>
      </c>
      <c r="G4979" s="27"/>
    </row>
    <row r="4980" hidden="1">
      <c r="A4980" s="21"/>
      <c r="B4980" s="21" t="s">
        <v>5644</v>
      </c>
      <c r="D4980" s="25">
        <v>0.0</v>
      </c>
      <c r="E4980" s="27"/>
      <c r="F4980" s="25">
        <v>0.0</v>
      </c>
      <c r="G4980" s="27"/>
    </row>
    <row r="4981" hidden="1">
      <c r="A4981" s="21"/>
      <c r="B4981" s="21" t="s">
        <v>5645</v>
      </c>
      <c r="D4981" s="25">
        <v>0.0</v>
      </c>
      <c r="E4981" s="27"/>
      <c r="F4981" s="25">
        <v>3.95</v>
      </c>
      <c r="G4981" s="27"/>
    </row>
    <row r="4982" hidden="1">
      <c r="A4982" s="21"/>
      <c r="B4982" s="21" t="s">
        <v>5646</v>
      </c>
      <c r="D4982" s="25">
        <v>0.0</v>
      </c>
      <c r="E4982" s="27"/>
      <c r="F4982" s="25">
        <v>0.0</v>
      </c>
      <c r="G4982" s="27"/>
    </row>
    <row r="4983" hidden="1">
      <c r="A4983" s="21"/>
      <c r="B4983" s="21" t="s">
        <v>5647</v>
      </c>
      <c r="D4983" s="25">
        <v>0.0</v>
      </c>
      <c r="E4983" s="27"/>
      <c r="F4983" s="25">
        <v>0.0</v>
      </c>
      <c r="G4983" s="27"/>
    </row>
    <row r="4984" hidden="1">
      <c r="A4984" s="21"/>
      <c r="B4984" s="21" t="s">
        <v>407</v>
      </c>
      <c r="D4984" s="25">
        <v>0.0</v>
      </c>
      <c r="E4984" s="27"/>
      <c r="F4984" s="25">
        <v>0.0</v>
      </c>
      <c r="G4984" s="27"/>
    </row>
    <row r="4985" hidden="1">
      <c r="A4985" s="21"/>
      <c r="B4985" s="21" t="s">
        <v>5648</v>
      </c>
      <c r="D4985" s="25">
        <v>0.0</v>
      </c>
      <c r="E4985" s="27"/>
      <c r="F4985" s="25">
        <v>0.0</v>
      </c>
      <c r="G4985" s="27"/>
    </row>
    <row r="4986" hidden="1">
      <c r="A4986" s="21"/>
      <c r="B4986" s="21" t="s">
        <v>5649</v>
      </c>
      <c r="D4986" s="25">
        <v>0.0</v>
      </c>
      <c r="E4986" s="27"/>
      <c r="F4986" s="25">
        <v>0.0</v>
      </c>
      <c r="G4986" s="27"/>
    </row>
    <row r="4987" hidden="1">
      <c r="A4987" s="21"/>
      <c r="B4987" s="21" t="s">
        <v>5650</v>
      </c>
      <c r="D4987" s="25">
        <v>0.0</v>
      </c>
      <c r="E4987" s="27"/>
      <c r="F4987" s="25">
        <v>0.0</v>
      </c>
      <c r="G4987" s="27"/>
    </row>
    <row r="4988" hidden="1">
      <c r="A4988" s="21"/>
      <c r="B4988" s="21" t="s">
        <v>5651</v>
      </c>
      <c r="D4988" s="25">
        <v>0.0</v>
      </c>
      <c r="E4988" s="27"/>
      <c r="F4988" s="25">
        <v>0.0</v>
      </c>
      <c r="G4988" s="27"/>
    </row>
    <row r="4989" hidden="1">
      <c r="A4989" s="21"/>
      <c r="B4989" s="21" t="s">
        <v>5652</v>
      </c>
      <c r="D4989" s="25">
        <v>0.0</v>
      </c>
      <c r="E4989" s="27"/>
      <c r="F4989" s="25">
        <v>0.0</v>
      </c>
      <c r="G4989" s="27"/>
    </row>
    <row r="4990" hidden="1">
      <c r="A4990" s="21"/>
      <c r="B4990" s="21" t="s">
        <v>5653</v>
      </c>
      <c r="D4990" s="25">
        <v>0.0</v>
      </c>
      <c r="E4990" s="27"/>
      <c r="F4990" s="25">
        <v>0.0</v>
      </c>
      <c r="G4990" s="27"/>
    </row>
    <row r="4991" hidden="1">
      <c r="A4991" s="21"/>
      <c r="B4991" s="21" t="s">
        <v>5654</v>
      </c>
      <c r="D4991" s="25">
        <v>0.0</v>
      </c>
      <c r="E4991" s="27"/>
      <c r="F4991" s="25">
        <v>0.93</v>
      </c>
      <c r="G4991" s="27"/>
    </row>
    <row r="4992" hidden="1">
      <c r="A4992" s="21"/>
      <c r="B4992" s="21" t="s">
        <v>5655</v>
      </c>
      <c r="D4992" s="25">
        <v>0.0</v>
      </c>
      <c r="E4992" s="27"/>
      <c r="F4992" s="25">
        <v>0.0</v>
      </c>
      <c r="G4992" s="27"/>
    </row>
    <row r="4993" hidden="1">
      <c r="A4993" s="21"/>
      <c r="B4993" s="21" t="s">
        <v>5656</v>
      </c>
      <c r="D4993" s="25">
        <v>0.0</v>
      </c>
      <c r="E4993" s="27"/>
      <c r="F4993" s="25">
        <v>0.0</v>
      </c>
      <c r="G4993" s="27"/>
    </row>
    <row r="4994" hidden="1">
      <c r="A4994" s="21"/>
      <c r="B4994" s="21" t="s">
        <v>5657</v>
      </c>
      <c r="D4994" s="25">
        <v>0.0</v>
      </c>
      <c r="E4994" s="27"/>
      <c r="F4994" s="25">
        <v>0.0</v>
      </c>
      <c r="G4994" s="27"/>
    </row>
    <row r="4995" hidden="1">
      <c r="A4995" s="21"/>
      <c r="B4995" s="21" t="s">
        <v>5658</v>
      </c>
      <c r="D4995" s="25">
        <v>0.0</v>
      </c>
      <c r="E4995" s="27"/>
      <c r="F4995" s="25">
        <v>0.0</v>
      </c>
      <c r="G4995" s="27"/>
    </row>
    <row r="4996" hidden="1">
      <c r="A4996" s="21"/>
      <c r="B4996" s="21" t="s">
        <v>5659</v>
      </c>
      <c r="D4996" s="25">
        <v>0.0</v>
      </c>
      <c r="E4996" s="27"/>
      <c r="F4996" s="25">
        <v>0.0</v>
      </c>
      <c r="G4996" s="27"/>
    </row>
    <row r="4997" hidden="1">
      <c r="A4997" s="21"/>
      <c r="B4997" s="21" t="s">
        <v>5660</v>
      </c>
      <c r="D4997" s="25">
        <v>0.0</v>
      </c>
      <c r="E4997" s="27"/>
      <c r="F4997" s="25">
        <v>0.0</v>
      </c>
      <c r="G4997" s="27"/>
    </row>
    <row r="4998" hidden="1">
      <c r="A4998" s="21"/>
      <c r="B4998" s="21" t="s">
        <v>5661</v>
      </c>
      <c r="D4998" s="25">
        <v>0.0</v>
      </c>
      <c r="E4998" s="27"/>
      <c r="F4998" s="25">
        <v>0.0</v>
      </c>
      <c r="G4998" s="27"/>
    </row>
    <row r="4999" hidden="1">
      <c r="A4999" s="21"/>
      <c r="B4999" s="21" t="s">
        <v>5662</v>
      </c>
      <c r="D4999" s="25">
        <v>0.0</v>
      </c>
      <c r="E4999" s="27"/>
      <c r="F4999" s="25">
        <v>0.0</v>
      </c>
      <c r="G4999" s="27"/>
    </row>
    <row r="5000" hidden="1">
      <c r="A5000" s="21"/>
      <c r="B5000" s="21" t="s">
        <v>5663</v>
      </c>
      <c r="D5000" s="25">
        <v>0.0</v>
      </c>
      <c r="E5000" s="27"/>
      <c r="F5000" s="25">
        <v>0.0</v>
      </c>
      <c r="G5000" s="27"/>
    </row>
    <row r="5001" hidden="1">
      <c r="A5001" s="21"/>
      <c r="B5001" s="21" t="s">
        <v>5664</v>
      </c>
      <c r="D5001" s="25">
        <v>0.0</v>
      </c>
      <c r="E5001" s="27"/>
      <c r="F5001" s="25">
        <v>0.0</v>
      </c>
      <c r="G5001" s="27"/>
    </row>
    <row r="5002" hidden="1">
      <c r="A5002" s="21"/>
      <c r="B5002" s="21" t="s">
        <v>5665</v>
      </c>
      <c r="D5002" s="25">
        <v>0.0</v>
      </c>
      <c r="E5002" s="27"/>
      <c r="F5002" s="25">
        <v>0.0</v>
      </c>
      <c r="G5002" s="27"/>
    </row>
    <row r="5003" hidden="1">
      <c r="A5003" s="21"/>
      <c r="B5003" s="21" t="s">
        <v>5666</v>
      </c>
      <c r="D5003" s="25">
        <v>0.0</v>
      </c>
      <c r="E5003" s="27"/>
      <c r="F5003" s="25">
        <v>0.0</v>
      </c>
      <c r="G5003" s="27"/>
    </row>
    <row r="5004" hidden="1">
      <c r="A5004" s="21"/>
      <c r="B5004" s="21" t="s">
        <v>5667</v>
      </c>
      <c r="D5004" s="25">
        <v>0.0</v>
      </c>
      <c r="E5004" s="27"/>
      <c r="F5004" s="25">
        <v>0.0</v>
      </c>
      <c r="G5004" s="27"/>
    </row>
    <row r="5005" hidden="1">
      <c r="A5005" s="21"/>
      <c r="B5005" s="21" t="s">
        <v>5668</v>
      </c>
      <c r="D5005" s="25">
        <v>0.0</v>
      </c>
      <c r="E5005" s="27"/>
      <c r="F5005" s="25">
        <v>0.0</v>
      </c>
      <c r="G5005" s="27"/>
    </row>
    <row r="5006" hidden="1">
      <c r="A5006" s="21"/>
      <c r="B5006" s="21" t="s">
        <v>5669</v>
      </c>
      <c r="D5006" s="25">
        <v>0.0</v>
      </c>
      <c r="E5006" s="27"/>
      <c r="F5006" s="25">
        <v>1.32</v>
      </c>
      <c r="G5006" s="27"/>
    </row>
    <row r="5007" hidden="1">
      <c r="A5007" s="21"/>
      <c r="B5007" s="21" t="s">
        <v>5670</v>
      </c>
      <c r="D5007" s="25">
        <v>0.0</v>
      </c>
      <c r="E5007" s="27"/>
      <c r="F5007" s="25">
        <v>0.0</v>
      </c>
      <c r="G5007" s="27"/>
    </row>
    <row r="5008" hidden="1">
      <c r="A5008" s="21"/>
      <c r="B5008" s="21" t="s">
        <v>5671</v>
      </c>
      <c r="D5008" s="25">
        <v>0.0</v>
      </c>
      <c r="E5008" s="27"/>
      <c r="F5008" s="25">
        <v>0.0</v>
      </c>
      <c r="G5008" s="27"/>
    </row>
    <row r="5009" hidden="1">
      <c r="A5009" s="21"/>
      <c r="B5009" s="21" t="s">
        <v>5672</v>
      </c>
      <c r="D5009" s="25">
        <v>0.0</v>
      </c>
      <c r="E5009" s="27"/>
      <c r="F5009" s="25">
        <v>0.0</v>
      </c>
      <c r="G5009" s="27"/>
    </row>
    <row r="5010" hidden="1">
      <c r="A5010" s="21"/>
      <c r="B5010" s="21" t="s">
        <v>5673</v>
      </c>
      <c r="D5010" s="25">
        <v>0.0</v>
      </c>
      <c r="E5010" s="27"/>
      <c r="F5010" s="25">
        <v>0.0</v>
      </c>
      <c r="G5010" s="27"/>
    </row>
    <row r="5011" hidden="1">
      <c r="A5011" s="21"/>
      <c r="B5011" s="21" t="s">
        <v>5674</v>
      </c>
      <c r="D5011" s="25">
        <v>0.0</v>
      </c>
      <c r="E5011" s="27"/>
      <c r="F5011" s="25">
        <v>0.0</v>
      </c>
      <c r="G5011" s="27"/>
    </row>
    <row r="5012" hidden="1">
      <c r="A5012" s="21"/>
      <c r="B5012" s="21" t="s">
        <v>5675</v>
      </c>
      <c r="D5012" s="25">
        <v>0.0</v>
      </c>
      <c r="E5012" s="27"/>
      <c r="F5012" s="25">
        <v>2.95</v>
      </c>
      <c r="G5012" s="27"/>
    </row>
    <row r="5013" hidden="1">
      <c r="A5013" s="21"/>
      <c r="B5013" s="21" t="s">
        <v>5676</v>
      </c>
      <c r="D5013" s="25">
        <v>0.0</v>
      </c>
      <c r="E5013" s="27"/>
      <c r="F5013" s="25">
        <v>0.0</v>
      </c>
      <c r="G5013" s="27"/>
    </row>
    <row r="5014" hidden="1">
      <c r="A5014" s="21"/>
      <c r="B5014" s="21" t="s">
        <v>5677</v>
      </c>
      <c r="D5014" s="25">
        <v>0.0</v>
      </c>
      <c r="E5014" s="27"/>
      <c r="F5014" s="25">
        <v>0.0</v>
      </c>
      <c r="G5014" s="27"/>
    </row>
    <row r="5015" hidden="1">
      <c r="A5015" s="21"/>
      <c r="B5015" s="21" t="s">
        <v>5678</v>
      </c>
      <c r="D5015" s="25">
        <v>0.0</v>
      </c>
      <c r="E5015" s="27"/>
      <c r="F5015" s="25">
        <v>0.0</v>
      </c>
      <c r="G5015" s="27"/>
    </row>
    <row r="5016" hidden="1">
      <c r="A5016" s="21"/>
      <c r="B5016" s="21" t="s">
        <v>5679</v>
      </c>
      <c r="D5016" s="25">
        <v>0.0</v>
      </c>
      <c r="E5016" s="27"/>
      <c r="F5016" s="25">
        <v>0.0</v>
      </c>
      <c r="G5016" s="27"/>
    </row>
    <row r="5017" hidden="1">
      <c r="A5017" s="21"/>
      <c r="B5017" s="21" t="s">
        <v>5680</v>
      </c>
      <c r="D5017" s="25">
        <v>0.0</v>
      </c>
      <c r="E5017" s="27"/>
      <c r="F5017" s="25">
        <v>0.0</v>
      </c>
      <c r="G5017" s="27"/>
    </row>
    <row r="5018" hidden="1">
      <c r="A5018" s="21"/>
      <c r="B5018" s="21" t="s">
        <v>5681</v>
      </c>
      <c r="D5018" s="25">
        <v>0.0</v>
      </c>
      <c r="E5018" s="27"/>
      <c r="F5018" s="25">
        <v>0.0</v>
      </c>
      <c r="G5018" s="27"/>
    </row>
    <row r="5019" hidden="1">
      <c r="A5019" s="21"/>
      <c r="B5019" s="21" t="s">
        <v>5682</v>
      </c>
      <c r="D5019" s="25">
        <v>0.0</v>
      </c>
      <c r="E5019" s="27"/>
      <c r="F5019" s="25">
        <v>0.0</v>
      </c>
      <c r="G5019" s="27"/>
    </row>
    <row r="5020" hidden="1">
      <c r="A5020" s="21"/>
      <c r="B5020" s="21" t="s">
        <v>5683</v>
      </c>
      <c r="D5020" s="25">
        <v>0.0</v>
      </c>
      <c r="E5020" s="27"/>
      <c r="F5020" s="25">
        <v>0.0</v>
      </c>
      <c r="G5020" s="27"/>
    </row>
    <row r="5021" hidden="1">
      <c r="A5021" s="21"/>
      <c r="B5021" s="21" t="s">
        <v>5684</v>
      </c>
      <c r="D5021" s="25">
        <v>0.0</v>
      </c>
      <c r="E5021" s="27"/>
      <c r="F5021" s="25">
        <v>0.0</v>
      </c>
      <c r="G5021" s="27"/>
    </row>
    <row r="5022" hidden="1">
      <c r="A5022" s="21"/>
      <c r="B5022" s="21" t="s">
        <v>5685</v>
      </c>
      <c r="D5022" s="25">
        <v>0.0</v>
      </c>
      <c r="E5022" s="27"/>
      <c r="F5022" s="25">
        <v>0.0</v>
      </c>
      <c r="G5022" s="27"/>
    </row>
    <row r="5023" hidden="1">
      <c r="A5023" s="21"/>
      <c r="B5023" s="21" t="s">
        <v>5686</v>
      </c>
      <c r="D5023" s="25">
        <v>0.0</v>
      </c>
      <c r="E5023" s="27"/>
      <c r="F5023" s="25">
        <v>3.95</v>
      </c>
      <c r="G5023" s="27"/>
    </row>
    <row r="5024" hidden="1">
      <c r="A5024" s="21"/>
      <c r="B5024" s="21" t="s">
        <v>5687</v>
      </c>
      <c r="D5024" s="25">
        <v>0.0</v>
      </c>
      <c r="E5024" s="27"/>
      <c r="F5024" s="25">
        <v>0.0</v>
      </c>
      <c r="G5024" s="27"/>
    </row>
    <row r="5025" hidden="1">
      <c r="A5025" s="21"/>
      <c r="B5025" s="21" t="s">
        <v>5688</v>
      </c>
      <c r="D5025" s="25">
        <v>0.0</v>
      </c>
      <c r="E5025" s="27"/>
      <c r="F5025" s="25">
        <v>0.0</v>
      </c>
      <c r="G5025" s="27"/>
    </row>
    <row r="5026" hidden="1">
      <c r="A5026" s="21"/>
      <c r="B5026" s="21" t="s">
        <v>5689</v>
      </c>
      <c r="D5026" s="25">
        <v>0.0</v>
      </c>
      <c r="E5026" s="27"/>
      <c r="F5026" s="25">
        <v>0.0</v>
      </c>
      <c r="G5026" s="27"/>
    </row>
    <row r="5027" hidden="1">
      <c r="A5027" s="21"/>
      <c r="B5027" s="21" t="s">
        <v>5690</v>
      </c>
      <c r="D5027" s="25">
        <v>0.0</v>
      </c>
      <c r="E5027" s="27"/>
      <c r="F5027" s="25">
        <v>0.0</v>
      </c>
      <c r="G5027" s="27"/>
    </row>
    <row r="5028" hidden="1">
      <c r="A5028" s="21"/>
      <c r="B5028" s="21" t="s">
        <v>5691</v>
      </c>
      <c r="D5028" s="25">
        <v>0.0</v>
      </c>
      <c r="E5028" s="27"/>
      <c r="F5028" s="25">
        <v>0.0</v>
      </c>
      <c r="G5028" s="27"/>
    </row>
    <row r="5029" hidden="1">
      <c r="A5029" s="21"/>
      <c r="B5029" s="21" t="s">
        <v>5692</v>
      </c>
      <c r="D5029" s="25">
        <v>0.0</v>
      </c>
      <c r="E5029" s="27"/>
      <c r="F5029" s="25">
        <v>0.0</v>
      </c>
      <c r="G5029" s="27"/>
    </row>
    <row r="5030" hidden="1">
      <c r="A5030" s="21"/>
      <c r="B5030" s="21" t="s">
        <v>5693</v>
      </c>
      <c r="D5030" s="25">
        <v>0.0</v>
      </c>
      <c r="E5030" s="27"/>
      <c r="F5030" s="25">
        <v>0.0</v>
      </c>
      <c r="G5030" s="27"/>
    </row>
    <row r="5031" hidden="1">
      <c r="A5031" s="21"/>
      <c r="B5031" s="21" t="s">
        <v>5694</v>
      </c>
      <c r="D5031" s="25">
        <v>0.0</v>
      </c>
      <c r="E5031" s="27"/>
      <c r="F5031" s="25">
        <v>0.0</v>
      </c>
      <c r="G5031" s="27"/>
    </row>
    <row r="5032" hidden="1">
      <c r="A5032" s="21"/>
      <c r="B5032" s="21" t="s">
        <v>5695</v>
      </c>
      <c r="D5032" s="25">
        <v>0.0</v>
      </c>
      <c r="E5032" s="27"/>
      <c r="F5032" s="25">
        <v>0.0</v>
      </c>
      <c r="G5032" s="27"/>
    </row>
    <row r="5033" hidden="1">
      <c r="A5033" s="21"/>
      <c r="B5033" s="21" t="s">
        <v>5696</v>
      </c>
      <c r="D5033" s="25">
        <v>0.0</v>
      </c>
      <c r="E5033" s="27"/>
      <c r="F5033" s="25">
        <v>0.0</v>
      </c>
      <c r="G5033" s="27"/>
    </row>
    <row r="5034" hidden="1">
      <c r="A5034" s="21"/>
      <c r="B5034" s="21" t="s">
        <v>5697</v>
      </c>
      <c r="D5034" s="25">
        <v>0.0</v>
      </c>
      <c r="E5034" s="27"/>
      <c r="F5034" s="25">
        <v>2.9</v>
      </c>
      <c r="G5034" s="27"/>
    </row>
    <row r="5035" hidden="1">
      <c r="A5035" s="21"/>
      <c r="B5035" s="21" t="s">
        <v>5698</v>
      </c>
      <c r="D5035" s="25">
        <v>0.0</v>
      </c>
      <c r="E5035" s="27"/>
      <c r="F5035" s="25">
        <v>0.0</v>
      </c>
      <c r="G5035" s="27"/>
    </row>
    <row r="5036" hidden="1">
      <c r="A5036" s="21"/>
      <c r="B5036" s="21" t="s">
        <v>5699</v>
      </c>
      <c r="D5036" s="25">
        <v>0.0</v>
      </c>
      <c r="E5036" s="27"/>
      <c r="F5036" s="25">
        <v>0.0</v>
      </c>
      <c r="G5036" s="27"/>
    </row>
    <row r="5037" hidden="1">
      <c r="A5037" s="21"/>
      <c r="B5037" s="21" t="s">
        <v>5700</v>
      </c>
      <c r="D5037" s="25">
        <v>0.0</v>
      </c>
      <c r="E5037" s="27"/>
      <c r="F5037" s="25">
        <v>0.0</v>
      </c>
      <c r="G5037" s="27"/>
    </row>
    <row r="5038" hidden="1">
      <c r="A5038" s="21"/>
      <c r="B5038" s="21" t="s">
        <v>5701</v>
      </c>
      <c r="D5038" s="25">
        <v>0.0</v>
      </c>
      <c r="E5038" s="27"/>
      <c r="F5038" s="25">
        <v>0.0</v>
      </c>
      <c r="G5038" s="27"/>
    </row>
    <row r="5039" hidden="1">
      <c r="A5039" s="21"/>
      <c r="B5039" s="21" t="s">
        <v>5702</v>
      </c>
      <c r="D5039" s="25">
        <v>0.0</v>
      </c>
      <c r="E5039" s="27"/>
      <c r="F5039" s="25">
        <v>0.0</v>
      </c>
      <c r="G5039" s="27"/>
    </row>
    <row r="5040" hidden="1">
      <c r="A5040" s="21"/>
      <c r="B5040" s="21" t="s">
        <v>5703</v>
      </c>
      <c r="D5040" s="25">
        <v>0.0</v>
      </c>
      <c r="E5040" s="27"/>
      <c r="F5040" s="25">
        <v>0.0</v>
      </c>
      <c r="G5040" s="27"/>
    </row>
    <row r="5041" hidden="1">
      <c r="A5041" s="21"/>
      <c r="B5041" s="21" t="s">
        <v>5704</v>
      </c>
      <c r="D5041" s="25">
        <v>0.0</v>
      </c>
      <c r="E5041" s="27"/>
      <c r="F5041" s="25">
        <v>0.0</v>
      </c>
      <c r="G5041" s="27"/>
    </row>
    <row r="5042" hidden="1">
      <c r="A5042" s="21"/>
      <c r="B5042" s="21" t="s">
        <v>5705</v>
      </c>
      <c r="D5042" s="25">
        <v>0.0</v>
      </c>
      <c r="E5042" s="27"/>
      <c r="F5042" s="25">
        <v>0.0</v>
      </c>
      <c r="G5042" s="27"/>
    </row>
    <row r="5043" hidden="1">
      <c r="A5043" s="21"/>
      <c r="B5043" s="21" t="s">
        <v>5706</v>
      </c>
      <c r="D5043" s="25">
        <v>0.0</v>
      </c>
      <c r="E5043" s="27"/>
      <c r="F5043" s="25">
        <v>0.0</v>
      </c>
      <c r="G5043" s="27"/>
    </row>
    <row r="5044" hidden="1">
      <c r="A5044" s="21"/>
      <c r="B5044" s="21" t="s">
        <v>5707</v>
      </c>
      <c r="D5044" s="25">
        <v>0.0</v>
      </c>
      <c r="E5044" s="27"/>
      <c r="F5044" s="25">
        <v>0.0</v>
      </c>
      <c r="G5044" s="27"/>
    </row>
    <row r="5045" hidden="1">
      <c r="A5045" s="21"/>
      <c r="B5045" s="21" t="s">
        <v>5708</v>
      </c>
      <c r="D5045" s="25">
        <v>0.0</v>
      </c>
      <c r="E5045" s="27"/>
      <c r="F5045" s="25">
        <v>2.08</v>
      </c>
      <c r="G5045" s="27"/>
    </row>
    <row r="5046" hidden="1">
      <c r="A5046" s="21"/>
      <c r="B5046" s="21" t="s">
        <v>5709</v>
      </c>
      <c r="D5046" s="25">
        <v>0.0</v>
      </c>
      <c r="E5046" s="27"/>
      <c r="F5046" s="25">
        <v>0.0</v>
      </c>
      <c r="G5046" s="27"/>
    </row>
    <row r="5047" hidden="1">
      <c r="A5047" s="21"/>
      <c r="B5047" s="21" t="s">
        <v>5710</v>
      </c>
      <c r="D5047" s="25">
        <v>0.0</v>
      </c>
      <c r="E5047" s="27"/>
      <c r="F5047" s="25">
        <v>0.0</v>
      </c>
      <c r="G5047" s="27"/>
    </row>
    <row r="5048" hidden="1">
      <c r="A5048" s="21"/>
      <c r="B5048" s="21" t="s">
        <v>5711</v>
      </c>
      <c r="D5048" s="25">
        <v>0.0</v>
      </c>
      <c r="E5048" s="27"/>
      <c r="F5048" s="25">
        <v>0.0</v>
      </c>
      <c r="G5048" s="27"/>
    </row>
    <row r="5049" hidden="1">
      <c r="A5049" s="21"/>
      <c r="B5049" s="21" t="s">
        <v>5712</v>
      </c>
      <c r="D5049" s="25">
        <v>0.0</v>
      </c>
      <c r="E5049" s="27"/>
      <c r="F5049" s="25">
        <v>0.0</v>
      </c>
      <c r="G5049" s="27"/>
    </row>
    <row r="5050" hidden="1">
      <c r="A5050" s="21"/>
      <c r="B5050" s="21" t="s">
        <v>5713</v>
      </c>
      <c r="D5050" s="25">
        <v>0.0</v>
      </c>
      <c r="E5050" s="27"/>
      <c r="F5050" s="25">
        <v>0.0</v>
      </c>
      <c r="G5050" s="27"/>
    </row>
    <row r="5051" hidden="1">
      <c r="A5051" s="21"/>
      <c r="B5051" s="21" t="s">
        <v>5714</v>
      </c>
      <c r="D5051" s="25">
        <v>0.0</v>
      </c>
      <c r="E5051" s="27"/>
      <c r="F5051" s="25">
        <v>0.0</v>
      </c>
      <c r="G5051" s="27"/>
    </row>
    <row r="5052" hidden="1">
      <c r="A5052" s="21"/>
      <c r="B5052" s="21" t="s">
        <v>5715</v>
      </c>
      <c r="D5052" s="25">
        <v>0.0</v>
      </c>
      <c r="E5052" s="27"/>
      <c r="F5052" s="25">
        <v>0.0</v>
      </c>
      <c r="G5052" s="27"/>
    </row>
    <row r="5053" hidden="1">
      <c r="A5053" s="21"/>
      <c r="B5053" s="21" t="s">
        <v>5716</v>
      </c>
      <c r="D5053" s="25">
        <v>0.0</v>
      </c>
      <c r="E5053" s="27"/>
      <c r="F5053" s="25">
        <v>0.0</v>
      </c>
      <c r="G5053" s="27"/>
    </row>
    <row r="5054" hidden="1">
      <c r="A5054" s="21"/>
      <c r="B5054" s="21" t="s">
        <v>5717</v>
      </c>
      <c r="D5054" s="25">
        <v>0.0</v>
      </c>
      <c r="E5054" s="27"/>
      <c r="F5054" s="25">
        <v>0.0</v>
      </c>
      <c r="G5054" s="27"/>
    </row>
    <row r="5055" hidden="1">
      <c r="A5055" s="21"/>
      <c r="B5055" s="21" t="s">
        <v>5718</v>
      </c>
      <c r="D5055" s="25">
        <v>0.0</v>
      </c>
      <c r="E5055" s="27"/>
      <c r="F5055" s="25">
        <v>0.0</v>
      </c>
      <c r="G5055" s="27"/>
    </row>
    <row r="5056" hidden="1">
      <c r="A5056" s="21"/>
      <c r="B5056" s="21" t="s">
        <v>5719</v>
      </c>
      <c r="D5056" s="25">
        <v>0.0</v>
      </c>
      <c r="E5056" s="27"/>
      <c r="F5056" s="25">
        <v>0.0</v>
      </c>
      <c r="G5056" s="27"/>
    </row>
    <row r="5057" hidden="1">
      <c r="A5057" s="21"/>
      <c r="B5057" s="21" t="s">
        <v>5720</v>
      </c>
      <c r="D5057" s="25">
        <v>0.0</v>
      </c>
      <c r="E5057" s="27"/>
      <c r="F5057" s="25">
        <v>0.0</v>
      </c>
      <c r="G5057" s="27"/>
    </row>
    <row r="5058" hidden="1">
      <c r="A5058" s="21"/>
      <c r="B5058" s="21" t="s">
        <v>5721</v>
      </c>
      <c r="D5058" s="25">
        <v>0.0</v>
      </c>
      <c r="E5058" s="27"/>
      <c r="F5058" s="25">
        <v>0.0</v>
      </c>
      <c r="G5058" s="27"/>
    </row>
    <row r="5059" hidden="1">
      <c r="A5059" s="21"/>
      <c r="B5059" s="21" t="s">
        <v>5722</v>
      </c>
      <c r="D5059" s="25">
        <v>0.0</v>
      </c>
      <c r="E5059" s="27"/>
      <c r="F5059" s="25">
        <v>0.0</v>
      </c>
      <c r="G5059" s="27"/>
    </row>
    <row r="5060" hidden="1">
      <c r="A5060" s="21"/>
      <c r="B5060" s="21" t="s">
        <v>5723</v>
      </c>
      <c r="D5060" s="25">
        <v>0.0</v>
      </c>
      <c r="E5060" s="27"/>
      <c r="F5060" s="25">
        <v>0.0</v>
      </c>
      <c r="G5060" s="27"/>
    </row>
    <row r="5061" hidden="1">
      <c r="A5061" s="21"/>
      <c r="B5061" s="21" t="s">
        <v>5724</v>
      </c>
      <c r="D5061" s="25">
        <v>0.0</v>
      </c>
      <c r="E5061" s="27"/>
      <c r="F5061" s="25">
        <v>0.0</v>
      </c>
      <c r="G5061" s="27"/>
    </row>
    <row r="5062" hidden="1">
      <c r="A5062" s="21"/>
      <c r="B5062" s="21" t="s">
        <v>5725</v>
      </c>
      <c r="D5062" s="25">
        <v>0.0</v>
      </c>
      <c r="E5062" s="27"/>
      <c r="F5062" s="25">
        <v>0.0</v>
      </c>
      <c r="G5062" s="27"/>
    </row>
    <row r="5063" hidden="1">
      <c r="A5063" s="21"/>
      <c r="B5063" s="21" t="s">
        <v>5726</v>
      </c>
      <c r="D5063" s="25">
        <v>0.0</v>
      </c>
      <c r="E5063" s="27"/>
      <c r="F5063" s="25">
        <v>0.0</v>
      </c>
      <c r="G5063" s="27"/>
    </row>
    <row r="5064" hidden="1">
      <c r="A5064" s="21"/>
      <c r="B5064" s="21" t="s">
        <v>5727</v>
      </c>
      <c r="D5064" s="25">
        <v>0.0</v>
      </c>
      <c r="E5064" s="27"/>
      <c r="F5064" s="25">
        <v>0.0</v>
      </c>
      <c r="G5064" s="27"/>
    </row>
    <row r="5065" hidden="1">
      <c r="A5065" s="21"/>
      <c r="B5065" s="21" t="s">
        <v>5728</v>
      </c>
      <c r="D5065" s="25">
        <v>0.0</v>
      </c>
      <c r="E5065" s="27"/>
      <c r="F5065" s="25">
        <v>0.0</v>
      </c>
      <c r="G5065" s="27"/>
    </row>
    <row r="5066" hidden="1">
      <c r="A5066" s="21"/>
      <c r="B5066" s="21" t="s">
        <v>5729</v>
      </c>
      <c r="D5066" s="25">
        <v>0.0</v>
      </c>
      <c r="E5066" s="27"/>
      <c r="F5066" s="25">
        <v>0.0</v>
      </c>
      <c r="G5066" s="27"/>
    </row>
    <row r="5067" hidden="1">
      <c r="A5067" s="21"/>
      <c r="B5067" s="21" t="s">
        <v>5730</v>
      </c>
      <c r="D5067" s="25">
        <v>0.0</v>
      </c>
      <c r="E5067" s="27"/>
      <c r="F5067" s="25">
        <v>0.0</v>
      </c>
      <c r="G5067" s="27"/>
    </row>
    <row r="5068" hidden="1">
      <c r="A5068" s="21"/>
      <c r="B5068" s="21" t="s">
        <v>5731</v>
      </c>
      <c r="D5068" s="25">
        <v>0.0</v>
      </c>
      <c r="E5068" s="27"/>
      <c r="F5068" s="25">
        <v>0.0</v>
      </c>
      <c r="G5068" s="27"/>
    </row>
    <row r="5069" hidden="1">
      <c r="A5069" s="21"/>
      <c r="B5069" s="21" t="s">
        <v>5732</v>
      </c>
      <c r="D5069" s="25">
        <v>0.0</v>
      </c>
      <c r="E5069" s="27"/>
      <c r="F5069" s="25">
        <v>0.0</v>
      </c>
      <c r="G5069" s="27"/>
    </row>
    <row r="5070" hidden="1">
      <c r="A5070" s="21"/>
      <c r="B5070" s="21" t="s">
        <v>5733</v>
      </c>
      <c r="D5070" s="25">
        <v>0.0</v>
      </c>
      <c r="E5070" s="27"/>
      <c r="F5070" s="25">
        <v>0.0</v>
      </c>
      <c r="G5070" s="27"/>
    </row>
    <row r="5071" hidden="1">
      <c r="A5071" s="21"/>
      <c r="B5071" s="21" t="s">
        <v>5734</v>
      </c>
      <c r="D5071" s="25">
        <v>0.0</v>
      </c>
      <c r="E5071" s="27"/>
      <c r="F5071" s="25">
        <v>0.0</v>
      </c>
      <c r="G5071" s="27"/>
    </row>
    <row r="5072" hidden="1">
      <c r="A5072" s="21"/>
      <c r="B5072" s="21" t="s">
        <v>5735</v>
      </c>
      <c r="D5072" s="25">
        <v>0.0</v>
      </c>
      <c r="E5072" s="27"/>
      <c r="F5072" s="25">
        <v>0.0</v>
      </c>
      <c r="G5072" s="27"/>
    </row>
    <row r="5073" hidden="1">
      <c r="A5073" s="21"/>
      <c r="B5073" s="21" t="s">
        <v>5736</v>
      </c>
      <c r="D5073" s="25">
        <v>0.0</v>
      </c>
      <c r="E5073" s="27"/>
      <c r="F5073" s="25">
        <v>0.0</v>
      </c>
      <c r="G5073" s="27"/>
    </row>
    <row r="5074" hidden="1">
      <c r="A5074" s="21"/>
      <c r="B5074" s="21" t="s">
        <v>5737</v>
      </c>
      <c r="D5074" s="25">
        <v>0.0</v>
      </c>
      <c r="E5074" s="27"/>
      <c r="F5074" s="25">
        <v>0.0</v>
      </c>
      <c r="G5074" s="27"/>
    </row>
    <row r="5075" hidden="1">
      <c r="A5075" s="21"/>
      <c r="B5075" s="21" t="s">
        <v>5738</v>
      </c>
      <c r="D5075" s="25">
        <v>0.0</v>
      </c>
      <c r="E5075" s="27"/>
      <c r="F5075" s="25">
        <v>0.0</v>
      </c>
      <c r="G5075" s="27"/>
    </row>
    <row r="5076" hidden="1">
      <c r="A5076" s="21"/>
      <c r="B5076" s="21" t="s">
        <v>5739</v>
      </c>
      <c r="D5076" s="25">
        <v>0.0</v>
      </c>
      <c r="E5076" s="27"/>
      <c r="F5076" s="25">
        <v>0.0</v>
      </c>
      <c r="G5076" s="27"/>
    </row>
    <row r="5077" hidden="1">
      <c r="A5077" s="21"/>
      <c r="B5077" s="21" t="s">
        <v>5740</v>
      </c>
      <c r="D5077" s="25">
        <v>0.0</v>
      </c>
      <c r="E5077" s="27"/>
      <c r="F5077" s="25">
        <v>0.0</v>
      </c>
      <c r="G5077" s="27"/>
    </row>
    <row r="5078" hidden="1">
      <c r="A5078" s="21"/>
      <c r="B5078" s="21" t="s">
        <v>5741</v>
      </c>
      <c r="D5078" s="25">
        <v>0.0</v>
      </c>
      <c r="E5078" s="27"/>
      <c r="F5078" s="25">
        <v>0.0</v>
      </c>
      <c r="G5078" s="27"/>
    </row>
    <row r="5079" hidden="1">
      <c r="A5079" s="21"/>
      <c r="B5079" s="21" t="s">
        <v>5742</v>
      </c>
      <c r="D5079" s="25">
        <v>0.0</v>
      </c>
      <c r="E5079" s="27"/>
      <c r="F5079" s="25">
        <v>0.0</v>
      </c>
      <c r="G5079" s="27"/>
    </row>
    <row r="5080" hidden="1">
      <c r="A5080" s="21"/>
      <c r="B5080" s="21" t="s">
        <v>5743</v>
      </c>
      <c r="D5080" s="25">
        <v>0.0</v>
      </c>
      <c r="E5080" s="27"/>
      <c r="F5080" s="25">
        <v>0.0</v>
      </c>
      <c r="G5080" s="27"/>
    </row>
    <row r="5081" hidden="1">
      <c r="A5081" s="21"/>
      <c r="B5081" s="21" t="s">
        <v>5744</v>
      </c>
      <c r="D5081" s="25">
        <v>0.0</v>
      </c>
      <c r="E5081" s="27"/>
      <c r="F5081" s="25">
        <v>0.0</v>
      </c>
      <c r="G5081" s="27"/>
    </row>
    <row r="5082" hidden="1">
      <c r="A5082" s="21"/>
      <c r="B5082" s="21" t="s">
        <v>5745</v>
      </c>
      <c r="D5082" s="25">
        <v>0.0</v>
      </c>
      <c r="E5082" s="27"/>
      <c r="F5082" s="25">
        <v>0.0</v>
      </c>
      <c r="G5082" s="27"/>
    </row>
    <row r="5083" hidden="1">
      <c r="A5083" s="21"/>
      <c r="B5083" s="21" t="s">
        <v>5746</v>
      </c>
      <c r="D5083" s="25">
        <v>0.0</v>
      </c>
      <c r="E5083" s="27"/>
      <c r="F5083" s="25">
        <v>0.0</v>
      </c>
      <c r="G5083" s="27"/>
    </row>
    <row r="5084" hidden="1">
      <c r="A5084" s="21"/>
      <c r="B5084" s="21" t="s">
        <v>5747</v>
      </c>
      <c r="D5084" s="25">
        <v>0.0</v>
      </c>
      <c r="E5084" s="27"/>
      <c r="F5084" s="25">
        <v>0.0</v>
      </c>
      <c r="G5084" s="27"/>
    </row>
    <row r="5085" hidden="1">
      <c r="A5085" s="21"/>
      <c r="B5085" s="21" t="s">
        <v>5748</v>
      </c>
      <c r="D5085" s="25">
        <v>0.0</v>
      </c>
      <c r="E5085" s="27"/>
      <c r="F5085" s="25">
        <v>0.0</v>
      </c>
      <c r="G5085" s="27"/>
    </row>
    <row r="5086" hidden="1">
      <c r="A5086" s="21"/>
      <c r="B5086" s="21" t="s">
        <v>5749</v>
      </c>
      <c r="D5086" s="25">
        <v>0.0</v>
      </c>
      <c r="E5086" s="27"/>
      <c r="F5086" s="25">
        <v>0.0</v>
      </c>
      <c r="G5086" s="27"/>
    </row>
    <row r="5087" hidden="1">
      <c r="A5087" s="21"/>
      <c r="B5087" s="21" t="s">
        <v>5750</v>
      </c>
      <c r="D5087" s="25">
        <v>0.0</v>
      </c>
      <c r="E5087" s="27"/>
      <c r="F5087" s="25">
        <v>0.0</v>
      </c>
      <c r="G5087" s="27"/>
    </row>
    <row r="5088" hidden="1">
      <c r="A5088" s="21"/>
      <c r="B5088" s="21" t="s">
        <v>5751</v>
      </c>
      <c r="D5088" s="25">
        <v>0.0</v>
      </c>
      <c r="E5088" s="27"/>
      <c r="F5088" s="25">
        <v>0.0</v>
      </c>
      <c r="G5088" s="27"/>
    </row>
    <row r="5089" hidden="1">
      <c r="A5089" s="21"/>
      <c r="B5089" s="21" t="s">
        <v>5752</v>
      </c>
      <c r="D5089" s="25">
        <v>0.0</v>
      </c>
      <c r="E5089" s="27"/>
      <c r="F5089" s="25">
        <v>0.0</v>
      </c>
      <c r="G5089" s="27"/>
    </row>
    <row r="5090" hidden="1">
      <c r="A5090" s="21"/>
      <c r="B5090" s="21" t="s">
        <v>5753</v>
      </c>
      <c r="D5090" s="25">
        <v>0.0</v>
      </c>
      <c r="E5090" s="27"/>
      <c r="F5090" s="25">
        <v>0.0</v>
      </c>
      <c r="G5090" s="27"/>
    </row>
    <row r="5091" hidden="1">
      <c r="A5091" s="21"/>
      <c r="B5091" s="21" t="s">
        <v>5754</v>
      </c>
      <c r="D5091" s="25">
        <v>0.0</v>
      </c>
      <c r="E5091" s="27"/>
      <c r="F5091" s="25">
        <v>0.0</v>
      </c>
      <c r="G5091" s="27"/>
    </row>
    <row r="5092" hidden="1">
      <c r="A5092" s="21"/>
      <c r="B5092" s="21" t="s">
        <v>5755</v>
      </c>
      <c r="D5092" s="25">
        <v>0.0</v>
      </c>
      <c r="E5092" s="27"/>
      <c r="F5092" s="25">
        <v>0.0</v>
      </c>
      <c r="G5092" s="27"/>
    </row>
    <row r="5093" hidden="1">
      <c r="A5093" s="21"/>
      <c r="B5093" s="21" t="s">
        <v>5756</v>
      </c>
      <c r="D5093" s="25">
        <v>0.0</v>
      </c>
      <c r="E5093" s="27"/>
      <c r="F5093" s="25">
        <v>0.0</v>
      </c>
      <c r="G5093" s="27"/>
    </row>
    <row r="5094" hidden="1">
      <c r="A5094" s="21"/>
      <c r="B5094" s="21" t="s">
        <v>5757</v>
      </c>
      <c r="D5094" s="25">
        <v>0.0</v>
      </c>
      <c r="E5094" s="27"/>
      <c r="F5094" s="25">
        <v>0.0</v>
      </c>
      <c r="G5094" s="27"/>
    </row>
    <row r="5095" hidden="1">
      <c r="A5095" s="21"/>
      <c r="B5095" s="21" t="s">
        <v>5758</v>
      </c>
      <c r="D5095" s="25">
        <v>0.0</v>
      </c>
      <c r="E5095" s="27"/>
      <c r="F5095" s="25">
        <v>0.0</v>
      </c>
      <c r="G5095" s="27"/>
    </row>
    <row r="5096" hidden="1">
      <c r="A5096" s="21"/>
      <c r="B5096" s="21" t="s">
        <v>5759</v>
      </c>
      <c r="D5096" s="25">
        <v>0.0</v>
      </c>
      <c r="E5096" s="27"/>
      <c r="F5096" s="25">
        <v>0.0</v>
      </c>
      <c r="G5096" s="27"/>
    </row>
    <row r="5097" hidden="1">
      <c r="A5097" s="21"/>
      <c r="B5097" s="21" t="s">
        <v>5760</v>
      </c>
      <c r="D5097" s="25">
        <v>0.0</v>
      </c>
      <c r="E5097" s="27"/>
      <c r="F5097" s="25">
        <v>0.0</v>
      </c>
      <c r="G5097" s="27"/>
    </row>
    <row r="5098" hidden="1">
      <c r="A5098" s="21"/>
      <c r="B5098" s="21" t="s">
        <v>5761</v>
      </c>
      <c r="D5098" s="25">
        <v>0.0</v>
      </c>
      <c r="E5098" s="27"/>
      <c r="F5098" s="25">
        <v>0.0</v>
      </c>
      <c r="G5098" s="27"/>
    </row>
    <row r="5099" hidden="1">
      <c r="A5099" s="21"/>
      <c r="B5099" s="21" t="s">
        <v>5762</v>
      </c>
      <c r="D5099" s="25">
        <v>0.0</v>
      </c>
      <c r="E5099" s="27"/>
      <c r="F5099" s="25">
        <v>0.0</v>
      </c>
      <c r="G5099" s="27"/>
    </row>
    <row r="5100" hidden="1">
      <c r="A5100" s="21"/>
      <c r="B5100" s="21" t="s">
        <v>5763</v>
      </c>
      <c r="D5100" s="25">
        <v>0.0</v>
      </c>
      <c r="E5100" s="27"/>
      <c r="F5100" s="25">
        <v>0.0</v>
      </c>
      <c r="G5100" s="27"/>
    </row>
    <row r="5101" hidden="1">
      <c r="A5101" s="21"/>
      <c r="B5101" s="21" t="s">
        <v>5764</v>
      </c>
      <c r="D5101" s="25">
        <v>0.0</v>
      </c>
      <c r="E5101" s="27"/>
      <c r="F5101" s="25">
        <v>0.0</v>
      </c>
      <c r="G5101" s="27"/>
    </row>
    <row r="5102" hidden="1">
      <c r="A5102" s="21"/>
      <c r="B5102" s="21" t="s">
        <v>5765</v>
      </c>
      <c r="D5102" s="25">
        <v>0.0</v>
      </c>
      <c r="E5102" s="27"/>
      <c r="F5102" s="25">
        <v>0.0</v>
      </c>
      <c r="G5102" s="27"/>
    </row>
    <row r="5103" hidden="1">
      <c r="A5103" s="21"/>
      <c r="B5103" s="21" t="s">
        <v>5766</v>
      </c>
      <c r="D5103" s="25">
        <v>0.0</v>
      </c>
      <c r="E5103" s="27"/>
      <c r="F5103" s="25">
        <v>0.0</v>
      </c>
      <c r="G5103" s="27"/>
    </row>
    <row r="5104" hidden="1">
      <c r="A5104" s="21"/>
      <c r="B5104" s="21" t="s">
        <v>5767</v>
      </c>
      <c r="D5104" s="25">
        <v>0.0</v>
      </c>
      <c r="E5104" s="27"/>
      <c r="F5104" s="25">
        <v>0.27</v>
      </c>
      <c r="G5104" s="27"/>
    </row>
    <row r="5105" hidden="1">
      <c r="A5105" s="21"/>
      <c r="B5105" s="21" t="s">
        <v>5768</v>
      </c>
      <c r="D5105" s="25">
        <v>0.0</v>
      </c>
      <c r="E5105" s="27"/>
      <c r="F5105" s="25">
        <v>0.0</v>
      </c>
      <c r="G5105" s="27"/>
    </row>
    <row r="5106" hidden="1">
      <c r="A5106" s="21"/>
      <c r="B5106" s="21" t="s">
        <v>5769</v>
      </c>
      <c r="D5106" s="25">
        <v>0.0</v>
      </c>
      <c r="E5106" s="27"/>
      <c r="F5106" s="25">
        <v>0.0</v>
      </c>
      <c r="G5106" s="27"/>
    </row>
    <row r="5107" hidden="1">
      <c r="A5107" s="21"/>
      <c r="B5107" s="21" t="s">
        <v>5770</v>
      </c>
      <c r="D5107" s="25">
        <v>0.0</v>
      </c>
      <c r="E5107" s="27"/>
      <c r="F5107" s="25">
        <v>0.0</v>
      </c>
      <c r="G5107" s="27"/>
    </row>
    <row r="5108" hidden="1">
      <c r="A5108" s="21"/>
      <c r="B5108" s="21" t="s">
        <v>5771</v>
      </c>
      <c r="D5108" s="25">
        <v>0.0</v>
      </c>
      <c r="E5108" s="27"/>
      <c r="F5108" s="25">
        <v>0.0</v>
      </c>
      <c r="G5108" s="27"/>
    </row>
    <row r="5109" hidden="1">
      <c r="A5109" s="21"/>
      <c r="B5109" s="21" t="s">
        <v>5772</v>
      </c>
      <c r="D5109" s="25">
        <v>0.0</v>
      </c>
      <c r="E5109" s="27"/>
      <c r="F5109" s="25">
        <v>0.0</v>
      </c>
      <c r="G5109" s="27"/>
    </row>
    <row r="5110" hidden="1">
      <c r="A5110" s="21"/>
      <c r="B5110" s="21" t="s">
        <v>5773</v>
      </c>
      <c r="D5110" s="25">
        <v>0.0</v>
      </c>
      <c r="E5110" s="27"/>
      <c r="F5110" s="25">
        <v>0.0</v>
      </c>
      <c r="G5110" s="27"/>
    </row>
    <row r="5111" hidden="1">
      <c r="A5111" s="21"/>
      <c r="B5111" s="21" t="s">
        <v>5774</v>
      </c>
      <c r="D5111" s="25">
        <v>0.0</v>
      </c>
      <c r="E5111" s="27"/>
      <c r="F5111" s="25">
        <v>0.0</v>
      </c>
      <c r="G5111" s="27"/>
    </row>
    <row r="5112" hidden="1">
      <c r="A5112" s="21"/>
      <c r="B5112" s="21" t="s">
        <v>5775</v>
      </c>
      <c r="D5112" s="25">
        <v>0.0</v>
      </c>
      <c r="E5112" s="27"/>
      <c r="F5112" s="25">
        <v>0.0</v>
      </c>
      <c r="G5112" s="27"/>
    </row>
    <row r="5113" hidden="1">
      <c r="A5113" s="21"/>
      <c r="B5113" s="21" t="s">
        <v>5776</v>
      </c>
      <c r="D5113" s="25">
        <v>0.0</v>
      </c>
      <c r="E5113" s="27"/>
      <c r="F5113" s="25">
        <v>0.0</v>
      </c>
      <c r="G5113" s="27"/>
    </row>
    <row r="5114" hidden="1">
      <c r="A5114" s="21"/>
      <c r="B5114" s="21" t="s">
        <v>5777</v>
      </c>
      <c r="D5114" s="25">
        <v>0.0</v>
      </c>
      <c r="E5114" s="27"/>
      <c r="F5114" s="25">
        <v>0.0</v>
      </c>
      <c r="G5114" s="27"/>
    </row>
    <row r="5115" hidden="1">
      <c r="A5115" s="21"/>
      <c r="B5115" s="21" t="s">
        <v>5778</v>
      </c>
      <c r="D5115" s="25">
        <v>0.0</v>
      </c>
      <c r="E5115" s="27"/>
      <c r="F5115" s="25">
        <v>0.0</v>
      </c>
      <c r="G5115" s="27"/>
    </row>
    <row r="5116" hidden="1">
      <c r="A5116" s="21"/>
      <c r="B5116" s="21" t="s">
        <v>5779</v>
      </c>
      <c r="D5116" s="25">
        <v>0.0</v>
      </c>
      <c r="E5116" s="27"/>
      <c r="F5116" s="25">
        <v>0.0</v>
      </c>
      <c r="G5116" s="27"/>
    </row>
    <row r="5117" hidden="1">
      <c r="A5117" s="21"/>
      <c r="B5117" s="21" t="s">
        <v>5780</v>
      </c>
      <c r="D5117" s="25">
        <v>0.0</v>
      </c>
      <c r="E5117" s="27"/>
      <c r="F5117" s="25">
        <v>0.0</v>
      </c>
      <c r="G5117" s="27"/>
    </row>
    <row r="5118" hidden="1">
      <c r="A5118" s="21"/>
      <c r="B5118" s="21" t="s">
        <v>5781</v>
      </c>
      <c r="D5118" s="25">
        <v>0.0</v>
      </c>
      <c r="E5118" s="27"/>
      <c r="F5118" s="25">
        <v>0.0</v>
      </c>
      <c r="G5118" s="27"/>
    </row>
    <row r="5119" hidden="1">
      <c r="A5119" s="21"/>
      <c r="B5119" s="21" t="s">
        <v>5782</v>
      </c>
      <c r="D5119" s="25">
        <v>0.0</v>
      </c>
      <c r="E5119" s="27"/>
      <c r="F5119" s="25">
        <v>0.0</v>
      </c>
      <c r="G5119" s="27"/>
    </row>
    <row r="5120" hidden="1">
      <c r="A5120" s="21"/>
      <c r="B5120" s="21" t="s">
        <v>5783</v>
      </c>
      <c r="D5120" s="25">
        <v>0.0</v>
      </c>
      <c r="E5120" s="27"/>
      <c r="F5120" s="25">
        <v>0.0</v>
      </c>
      <c r="G5120" s="27"/>
    </row>
    <row r="5121" hidden="1">
      <c r="A5121" s="21"/>
      <c r="B5121" s="21" t="s">
        <v>5784</v>
      </c>
      <c r="D5121" s="25">
        <v>0.0</v>
      </c>
      <c r="E5121" s="27"/>
      <c r="F5121" s="25">
        <v>0.0</v>
      </c>
      <c r="G5121" s="27"/>
    </row>
    <row r="5122" hidden="1">
      <c r="A5122" s="21"/>
      <c r="B5122" s="21" t="s">
        <v>5785</v>
      </c>
      <c r="D5122" s="25">
        <v>0.0</v>
      </c>
      <c r="E5122" s="27"/>
      <c r="F5122" s="25">
        <v>0.0</v>
      </c>
      <c r="G5122" s="27"/>
    </row>
    <row r="5123" hidden="1">
      <c r="A5123" s="21"/>
      <c r="B5123" s="21" t="s">
        <v>5786</v>
      </c>
      <c r="D5123" s="25">
        <v>0.0</v>
      </c>
      <c r="E5123" s="27"/>
      <c r="F5123" s="25">
        <v>0.0</v>
      </c>
      <c r="G5123" s="27"/>
    </row>
    <row r="5124" hidden="1">
      <c r="A5124" s="21"/>
      <c r="B5124" s="21" t="s">
        <v>5787</v>
      </c>
      <c r="D5124" s="25">
        <v>0.0</v>
      </c>
      <c r="E5124" s="27"/>
      <c r="F5124" s="25">
        <v>0.0</v>
      </c>
      <c r="G5124" s="27"/>
    </row>
    <row r="5125" hidden="1">
      <c r="A5125" s="21"/>
      <c r="B5125" s="21" t="s">
        <v>5788</v>
      </c>
      <c r="D5125" s="25">
        <v>0.0</v>
      </c>
      <c r="E5125" s="27"/>
      <c r="F5125" s="25">
        <v>0.0</v>
      </c>
      <c r="G5125" s="27"/>
    </row>
    <row r="5126" hidden="1">
      <c r="A5126" s="21"/>
      <c r="B5126" s="21" t="s">
        <v>5789</v>
      </c>
      <c r="D5126" s="25">
        <v>0.0</v>
      </c>
      <c r="E5126" s="27"/>
      <c r="F5126" s="25">
        <v>0.0</v>
      </c>
      <c r="G5126" s="27"/>
    </row>
    <row r="5127" hidden="1">
      <c r="A5127" s="21"/>
      <c r="B5127" s="21" t="s">
        <v>5790</v>
      </c>
      <c r="D5127" s="25">
        <v>0.0</v>
      </c>
      <c r="E5127" s="27"/>
      <c r="F5127" s="25">
        <v>0.0</v>
      </c>
      <c r="G5127" s="27"/>
    </row>
    <row r="5128" hidden="1">
      <c r="A5128" s="21"/>
      <c r="B5128" s="21" t="s">
        <v>5791</v>
      </c>
      <c r="D5128" s="25">
        <v>0.0</v>
      </c>
      <c r="E5128" s="27"/>
      <c r="F5128" s="25">
        <v>0.0</v>
      </c>
      <c r="G5128" s="27"/>
    </row>
    <row r="5129" hidden="1">
      <c r="A5129" s="21"/>
      <c r="B5129" s="21" t="s">
        <v>5792</v>
      </c>
      <c r="D5129" s="25">
        <v>0.0</v>
      </c>
      <c r="E5129" s="27"/>
      <c r="F5129" s="25">
        <v>0.0</v>
      </c>
      <c r="G5129" s="27"/>
    </row>
    <row r="5130" hidden="1">
      <c r="A5130" s="21"/>
      <c r="B5130" s="21" t="s">
        <v>5793</v>
      </c>
      <c r="D5130" s="25">
        <v>0.0</v>
      </c>
      <c r="E5130" s="27"/>
      <c r="F5130" s="25">
        <v>0.0</v>
      </c>
      <c r="G5130" s="27"/>
    </row>
    <row r="5131" hidden="1">
      <c r="A5131" s="21"/>
      <c r="B5131" s="21" t="s">
        <v>5794</v>
      </c>
      <c r="D5131" s="25">
        <v>0.0</v>
      </c>
      <c r="E5131" s="27"/>
      <c r="F5131" s="25">
        <v>0.0</v>
      </c>
      <c r="G5131" s="27"/>
    </row>
    <row r="5132" hidden="1">
      <c r="A5132" s="21"/>
      <c r="B5132" s="21" t="s">
        <v>5795</v>
      </c>
      <c r="D5132" s="25">
        <v>0.0</v>
      </c>
      <c r="E5132" s="27"/>
      <c r="F5132" s="25">
        <v>0.0</v>
      </c>
      <c r="G5132" s="27"/>
    </row>
    <row r="5133" hidden="1">
      <c r="A5133" s="21"/>
      <c r="B5133" s="21" t="s">
        <v>5796</v>
      </c>
      <c r="D5133" s="25">
        <v>0.0</v>
      </c>
      <c r="E5133" s="27"/>
      <c r="F5133" s="25">
        <v>0.0</v>
      </c>
      <c r="G5133" s="27"/>
    </row>
    <row r="5134" hidden="1">
      <c r="A5134" s="21"/>
      <c r="B5134" s="21" t="s">
        <v>5797</v>
      </c>
      <c r="D5134" s="25">
        <v>0.0</v>
      </c>
      <c r="E5134" s="27"/>
      <c r="F5134" s="25">
        <v>0.0</v>
      </c>
      <c r="G5134" s="27"/>
    </row>
    <row r="5135" hidden="1">
      <c r="A5135" s="21"/>
      <c r="B5135" s="21" t="s">
        <v>5798</v>
      </c>
      <c r="D5135" s="25">
        <v>0.0</v>
      </c>
      <c r="E5135" s="27"/>
      <c r="F5135" s="25">
        <v>0.0</v>
      </c>
      <c r="G5135" s="27"/>
    </row>
    <row r="5136" hidden="1">
      <c r="A5136" s="21"/>
      <c r="B5136" s="21" t="s">
        <v>5799</v>
      </c>
      <c r="D5136" s="25">
        <v>0.0</v>
      </c>
      <c r="E5136" s="27"/>
      <c r="F5136" s="25">
        <v>0.0</v>
      </c>
      <c r="G5136" s="27"/>
    </row>
    <row r="5137" hidden="1">
      <c r="A5137" s="21"/>
      <c r="B5137" s="21" t="s">
        <v>5800</v>
      </c>
      <c r="D5137" s="25">
        <v>0.0</v>
      </c>
      <c r="E5137" s="27"/>
      <c r="F5137" s="25">
        <v>0.0</v>
      </c>
      <c r="G5137" s="27"/>
    </row>
    <row r="5138" hidden="1">
      <c r="A5138" s="21"/>
      <c r="B5138" s="21" t="s">
        <v>5801</v>
      </c>
      <c r="D5138" s="25">
        <v>0.0</v>
      </c>
      <c r="E5138" s="27"/>
      <c r="F5138" s="25">
        <v>0.0</v>
      </c>
      <c r="G5138" s="27"/>
    </row>
    <row r="5139" hidden="1">
      <c r="A5139" s="21"/>
      <c r="B5139" s="21" t="s">
        <v>5802</v>
      </c>
      <c r="D5139" s="25">
        <v>0.0</v>
      </c>
      <c r="E5139" s="27"/>
      <c r="F5139" s="25">
        <v>0.0</v>
      </c>
      <c r="G5139" s="27"/>
    </row>
    <row r="5140" hidden="1">
      <c r="A5140" s="21"/>
      <c r="B5140" s="21" t="s">
        <v>5803</v>
      </c>
      <c r="D5140" s="25">
        <v>0.0</v>
      </c>
      <c r="E5140" s="27"/>
      <c r="F5140" s="25">
        <v>0.0</v>
      </c>
      <c r="G5140" s="27"/>
    </row>
    <row r="5141" hidden="1">
      <c r="A5141" s="21"/>
      <c r="B5141" s="21" t="s">
        <v>5804</v>
      </c>
      <c r="D5141" s="25">
        <v>0.0</v>
      </c>
      <c r="E5141" s="27"/>
      <c r="F5141" s="25">
        <v>0.0</v>
      </c>
      <c r="G5141" s="27"/>
    </row>
    <row r="5142" hidden="1">
      <c r="A5142" s="21"/>
      <c r="B5142" s="21" t="s">
        <v>5805</v>
      </c>
      <c r="D5142" s="25">
        <v>0.0</v>
      </c>
      <c r="E5142" s="27"/>
      <c r="F5142" s="25">
        <v>0.0</v>
      </c>
      <c r="G5142" s="27"/>
    </row>
    <row r="5143" hidden="1">
      <c r="A5143" s="21"/>
      <c r="B5143" s="21" t="s">
        <v>5806</v>
      </c>
      <c r="D5143" s="25">
        <v>0.0</v>
      </c>
      <c r="E5143" s="27"/>
      <c r="F5143" s="25">
        <v>8.54</v>
      </c>
      <c r="G5143" s="27"/>
    </row>
    <row r="5144" hidden="1">
      <c r="A5144" s="21"/>
      <c r="B5144" s="21" t="s">
        <v>5807</v>
      </c>
      <c r="D5144" s="25">
        <v>0.0</v>
      </c>
      <c r="E5144" s="27"/>
      <c r="F5144" s="25">
        <v>0.0</v>
      </c>
      <c r="G5144" s="27"/>
    </row>
    <row r="5145" hidden="1">
      <c r="A5145" s="21"/>
      <c r="B5145" s="21" t="s">
        <v>5808</v>
      </c>
      <c r="D5145" s="25">
        <v>0.0</v>
      </c>
      <c r="E5145" s="27"/>
      <c r="F5145" s="25">
        <v>0.0</v>
      </c>
      <c r="G5145" s="27"/>
    </row>
    <row r="5146" hidden="1">
      <c r="A5146" s="21"/>
      <c r="B5146" s="21" t="s">
        <v>5809</v>
      </c>
      <c r="D5146" s="25">
        <v>0.0</v>
      </c>
      <c r="E5146" s="27"/>
      <c r="F5146" s="25">
        <v>0.0</v>
      </c>
      <c r="G5146" s="27"/>
    </row>
    <row r="5147" hidden="1">
      <c r="A5147" s="21"/>
      <c r="B5147" s="21" t="s">
        <v>5810</v>
      </c>
      <c r="D5147" s="25">
        <v>0.0</v>
      </c>
      <c r="E5147" s="27"/>
      <c r="F5147" s="25">
        <v>0.0</v>
      </c>
      <c r="G5147" s="27"/>
    </row>
    <row r="5148" hidden="1">
      <c r="A5148" s="21"/>
      <c r="B5148" s="21" t="s">
        <v>5811</v>
      </c>
      <c r="D5148" s="25">
        <v>0.0</v>
      </c>
      <c r="E5148" s="27"/>
      <c r="F5148" s="25">
        <v>0.0</v>
      </c>
      <c r="G5148" s="27"/>
    </row>
    <row r="5149" hidden="1">
      <c r="A5149" s="21"/>
      <c r="B5149" s="21" t="s">
        <v>5812</v>
      </c>
      <c r="D5149" s="25">
        <v>0.0</v>
      </c>
      <c r="E5149" s="27"/>
      <c r="F5149" s="25">
        <v>0.0</v>
      </c>
      <c r="G5149" s="27"/>
    </row>
    <row r="5150" hidden="1">
      <c r="A5150" s="21"/>
      <c r="B5150" s="21" t="s">
        <v>5813</v>
      </c>
      <c r="D5150" s="25">
        <v>0.0</v>
      </c>
      <c r="E5150" s="27"/>
      <c r="F5150" s="25">
        <v>0.0</v>
      </c>
      <c r="G5150" s="27"/>
    </row>
    <row r="5151" hidden="1">
      <c r="A5151" s="21"/>
      <c r="B5151" s="21" t="s">
        <v>5814</v>
      </c>
      <c r="D5151" s="25">
        <v>0.0</v>
      </c>
      <c r="E5151" s="27"/>
      <c r="F5151" s="25">
        <v>0.0</v>
      </c>
      <c r="G5151" s="27"/>
    </row>
    <row r="5152" hidden="1">
      <c r="A5152" s="21"/>
      <c r="B5152" s="21" t="s">
        <v>5815</v>
      </c>
      <c r="D5152" s="25">
        <v>0.0</v>
      </c>
      <c r="E5152" s="27"/>
      <c r="F5152" s="25">
        <v>0.0</v>
      </c>
      <c r="G5152" s="27"/>
    </row>
    <row r="5153" hidden="1">
      <c r="A5153" s="21"/>
      <c r="B5153" s="21" t="s">
        <v>5816</v>
      </c>
      <c r="D5153" s="25">
        <v>0.0</v>
      </c>
      <c r="E5153" s="27"/>
      <c r="F5153" s="25">
        <v>0.0</v>
      </c>
      <c r="G5153" s="27"/>
    </row>
    <row r="5154" hidden="1">
      <c r="A5154" s="21"/>
      <c r="B5154" s="21" t="s">
        <v>5817</v>
      </c>
      <c r="D5154" s="25">
        <v>0.0</v>
      </c>
      <c r="E5154" s="27"/>
      <c r="F5154" s="25">
        <v>0.0</v>
      </c>
      <c r="G5154" s="27"/>
    </row>
    <row r="5155" hidden="1">
      <c r="A5155" s="21"/>
      <c r="B5155" s="21" t="s">
        <v>5818</v>
      </c>
      <c r="D5155" s="25">
        <v>0.0</v>
      </c>
      <c r="E5155" s="27"/>
      <c r="F5155" s="25">
        <v>0.0</v>
      </c>
      <c r="G5155" s="27"/>
    </row>
    <row r="5156" hidden="1">
      <c r="A5156" s="21"/>
      <c r="B5156" s="21" t="s">
        <v>5819</v>
      </c>
      <c r="D5156" s="25">
        <v>0.0</v>
      </c>
      <c r="E5156" s="27"/>
      <c r="F5156" s="25">
        <v>0.0</v>
      </c>
      <c r="G5156" s="27"/>
    </row>
    <row r="5157" hidden="1">
      <c r="A5157" s="21"/>
      <c r="B5157" s="21" t="s">
        <v>5820</v>
      </c>
      <c r="D5157" s="25">
        <v>0.0</v>
      </c>
      <c r="E5157" s="27"/>
      <c r="F5157" s="25">
        <v>0.0</v>
      </c>
      <c r="G5157" s="27"/>
    </row>
    <row r="5158" hidden="1">
      <c r="A5158" s="21"/>
      <c r="B5158" s="21" t="s">
        <v>5821</v>
      </c>
      <c r="D5158" s="25">
        <v>0.0</v>
      </c>
      <c r="E5158" s="27"/>
      <c r="F5158" s="25">
        <v>0.0</v>
      </c>
      <c r="G5158" s="27"/>
    </row>
    <row r="5159" hidden="1">
      <c r="A5159" s="21"/>
      <c r="B5159" s="21" t="s">
        <v>5822</v>
      </c>
      <c r="D5159" s="25">
        <v>0.0</v>
      </c>
      <c r="E5159" s="27"/>
      <c r="F5159" s="25">
        <v>0.0</v>
      </c>
      <c r="G5159" s="27"/>
    </row>
    <row r="5160" hidden="1">
      <c r="A5160" s="21"/>
      <c r="B5160" s="21" t="s">
        <v>5823</v>
      </c>
      <c r="D5160" s="25">
        <v>0.0</v>
      </c>
      <c r="E5160" s="27"/>
      <c r="F5160" s="25">
        <v>0.0</v>
      </c>
      <c r="G5160" s="27"/>
    </row>
    <row r="5161" hidden="1">
      <c r="A5161" s="21"/>
      <c r="B5161" s="21" t="s">
        <v>5824</v>
      </c>
      <c r="D5161" s="25">
        <v>0.0</v>
      </c>
      <c r="E5161" s="27"/>
      <c r="F5161" s="25">
        <v>0.0</v>
      </c>
      <c r="G5161" s="27"/>
    </row>
    <row r="5162" hidden="1">
      <c r="A5162" s="21"/>
      <c r="B5162" s="21" t="s">
        <v>5825</v>
      </c>
      <c r="D5162" s="25">
        <v>0.0</v>
      </c>
      <c r="E5162" s="27"/>
      <c r="F5162" s="25">
        <v>0.0</v>
      </c>
      <c r="G5162" s="27"/>
    </row>
    <row r="5163" hidden="1">
      <c r="A5163" s="21"/>
      <c r="B5163" s="21" t="s">
        <v>5826</v>
      </c>
      <c r="D5163" s="25">
        <v>0.0</v>
      </c>
      <c r="E5163" s="27"/>
      <c r="F5163" s="25">
        <v>0.0</v>
      </c>
      <c r="G5163" s="27"/>
    </row>
    <row r="5164" hidden="1">
      <c r="A5164" s="21"/>
      <c r="B5164" s="21" t="s">
        <v>5827</v>
      </c>
      <c r="D5164" s="25">
        <v>0.0</v>
      </c>
      <c r="E5164" s="27"/>
      <c r="F5164" s="25">
        <v>0.0</v>
      </c>
      <c r="G5164" s="27"/>
    </row>
    <row r="5165" hidden="1">
      <c r="A5165" s="21"/>
      <c r="B5165" s="21" t="s">
        <v>5828</v>
      </c>
      <c r="D5165" s="25">
        <v>0.0</v>
      </c>
      <c r="E5165" s="27"/>
      <c r="F5165" s="25">
        <v>0.0</v>
      </c>
      <c r="G5165" s="27"/>
    </row>
    <row r="5166" hidden="1">
      <c r="A5166" s="21"/>
      <c r="B5166" s="21" t="s">
        <v>5829</v>
      </c>
      <c r="D5166" s="25">
        <v>0.0</v>
      </c>
      <c r="E5166" s="27"/>
      <c r="F5166" s="25">
        <v>0.0</v>
      </c>
      <c r="G5166" s="27"/>
    </row>
    <row r="5167" hidden="1">
      <c r="A5167" s="21"/>
      <c r="B5167" s="21" t="s">
        <v>5830</v>
      </c>
      <c r="D5167" s="25">
        <v>0.0</v>
      </c>
      <c r="E5167" s="27"/>
      <c r="F5167" s="25">
        <v>0.0</v>
      </c>
      <c r="G5167" s="27"/>
    </row>
    <row r="5168" hidden="1">
      <c r="A5168" s="21"/>
      <c r="B5168" s="21" t="s">
        <v>5831</v>
      </c>
      <c r="D5168" s="25">
        <v>0.0</v>
      </c>
      <c r="E5168" s="27"/>
      <c r="F5168" s="25">
        <v>0.0</v>
      </c>
      <c r="G5168" s="27"/>
    </row>
    <row r="5169" hidden="1">
      <c r="A5169" s="21"/>
      <c r="B5169" s="21" t="s">
        <v>5832</v>
      </c>
      <c r="D5169" s="25">
        <v>0.0</v>
      </c>
      <c r="E5169" s="27"/>
      <c r="F5169" s="25">
        <v>0.0</v>
      </c>
      <c r="G5169" s="27"/>
    </row>
    <row r="5170" hidden="1">
      <c r="A5170" s="21"/>
      <c r="B5170" s="21" t="s">
        <v>805</v>
      </c>
      <c r="D5170" s="25">
        <v>0.0</v>
      </c>
      <c r="E5170" s="27"/>
      <c r="F5170" s="25">
        <v>0.0</v>
      </c>
      <c r="G5170" s="27"/>
    </row>
    <row r="5171" hidden="1">
      <c r="A5171" s="21"/>
      <c r="B5171" s="21" t="s">
        <v>806</v>
      </c>
      <c r="D5171" s="25">
        <v>0.0</v>
      </c>
      <c r="E5171" s="27"/>
      <c r="F5171" s="25">
        <v>0.0</v>
      </c>
      <c r="G5171" s="27"/>
    </row>
    <row r="5172" hidden="1">
      <c r="A5172" s="21"/>
      <c r="B5172" s="21" t="s">
        <v>807</v>
      </c>
      <c r="D5172" s="25">
        <v>0.0</v>
      </c>
      <c r="E5172" s="27"/>
      <c r="F5172" s="25">
        <v>0.0</v>
      </c>
      <c r="G5172" s="27"/>
    </row>
    <row r="5173" hidden="1">
      <c r="A5173" s="21"/>
      <c r="B5173" s="21" t="s">
        <v>5833</v>
      </c>
      <c r="D5173" s="25">
        <v>0.0</v>
      </c>
      <c r="E5173" s="27"/>
      <c r="F5173" s="25">
        <v>0.0</v>
      </c>
      <c r="G5173" s="27"/>
    </row>
    <row r="5174" hidden="1">
      <c r="A5174" s="21"/>
      <c r="B5174" s="21" t="s">
        <v>5834</v>
      </c>
      <c r="D5174" s="25">
        <v>0.0</v>
      </c>
      <c r="E5174" s="27"/>
      <c r="F5174" s="25">
        <v>0.0</v>
      </c>
      <c r="G5174" s="27"/>
    </row>
    <row r="5175" hidden="1">
      <c r="A5175" s="21"/>
      <c r="B5175" s="21" t="s">
        <v>5835</v>
      </c>
      <c r="D5175" s="25">
        <v>0.0</v>
      </c>
      <c r="E5175" s="27"/>
      <c r="F5175" s="25">
        <v>0.0</v>
      </c>
      <c r="G5175" s="27"/>
    </row>
    <row r="5176" hidden="1">
      <c r="A5176" s="21"/>
      <c r="B5176" s="21" t="s">
        <v>5836</v>
      </c>
      <c r="D5176" s="25">
        <v>0.0</v>
      </c>
      <c r="E5176" s="27"/>
      <c r="F5176" s="25">
        <v>0.0</v>
      </c>
      <c r="G5176" s="27"/>
    </row>
    <row r="5177" hidden="1">
      <c r="A5177" s="21"/>
      <c r="B5177" s="21" t="s">
        <v>5837</v>
      </c>
      <c r="D5177" s="25">
        <v>0.0</v>
      </c>
      <c r="E5177" s="27"/>
      <c r="F5177" s="25">
        <v>0.0</v>
      </c>
      <c r="G5177" s="27"/>
    </row>
    <row r="5178" hidden="1">
      <c r="A5178" s="21"/>
      <c r="B5178" s="21" t="s">
        <v>5838</v>
      </c>
      <c r="D5178" s="25">
        <v>0.0</v>
      </c>
      <c r="E5178" s="27"/>
      <c r="F5178" s="25">
        <v>0.0</v>
      </c>
      <c r="G5178" s="27"/>
    </row>
    <row r="5179" hidden="1">
      <c r="A5179" s="21"/>
      <c r="B5179" s="21" t="s">
        <v>5839</v>
      </c>
      <c r="D5179" s="25">
        <v>0.0</v>
      </c>
      <c r="E5179" s="27"/>
      <c r="F5179" s="25">
        <v>0.0</v>
      </c>
      <c r="G5179" s="27"/>
    </row>
    <row r="5180" hidden="1">
      <c r="A5180" s="21"/>
      <c r="B5180" s="21" t="s">
        <v>5840</v>
      </c>
      <c r="D5180" s="25">
        <v>0.0</v>
      </c>
      <c r="E5180" s="27"/>
      <c r="F5180" s="25">
        <v>0.0</v>
      </c>
      <c r="G5180" s="27"/>
    </row>
    <row r="5181" hidden="1">
      <c r="A5181" s="21"/>
      <c r="B5181" s="21" t="s">
        <v>5841</v>
      </c>
      <c r="D5181" s="25">
        <v>0.0</v>
      </c>
      <c r="E5181" s="27"/>
      <c r="F5181" s="25">
        <v>0.0</v>
      </c>
      <c r="G5181" s="27"/>
    </row>
    <row r="5182" hidden="1">
      <c r="A5182" s="21"/>
      <c r="B5182" s="21" t="s">
        <v>5842</v>
      </c>
      <c r="D5182" s="25">
        <v>0.0</v>
      </c>
      <c r="E5182" s="27"/>
      <c r="F5182" s="25">
        <v>0.0</v>
      </c>
      <c r="G5182" s="27"/>
    </row>
    <row r="5183" hidden="1">
      <c r="A5183" s="21"/>
      <c r="B5183" s="21" t="s">
        <v>5843</v>
      </c>
      <c r="D5183" s="25">
        <v>0.0</v>
      </c>
      <c r="E5183" s="27"/>
      <c r="F5183" s="25">
        <v>0.0</v>
      </c>
      <c r="G5183" s="27"/>
    </row>
    <row r="5184" hidden="1">
      <c r="A5184" s="21"/>
      <c r="B5184" s="21" t="s">
        <v>5844</v>
      </c>
      <c r="D5184" s="25">
        <v>0.0</v>
      </c>
      <c r="E5184" s="27"/>
      <c r="F5184" s="25">
        <v>0.0</v>
      </c>
      <c r="G5184" s="27"/>
    </row>
    <row r="5185" hidden="1">
      <c r="A5185" s="21"/>
      <c r="B5185" s="21" t="s">
        <v>5845</v>
      </c>
      <c r="D5185" s="25">
        <v>0.0</v>
      </c>
      <c r="E5185" s="27"/>
      <c r="F5185" s="25">
        <v>0.0</v>
      </c>
      <c r="G5185" s="27"/>
    </row>
    <row r="5186" hidden="1">
      <c r="A5186" s="21"/>
      <c r="B5186" s="21" t="s">
        <v>5846</v>
      </c>
      <c r="D5186" s="25">
        <v>0.0</v>
      </c>
      <c r="E5186" s="27"/>
      <c r="F5186" s="25">
        <v>0.0</v>
      </c>
      <c r="G5186" s="27"/>
    </row>
    <row r="5187" hidden="1">
      <c r="A5187" s="21"/>
      <c r="B5187" s="21" t="s">
        <v>5847</v>
      </c>
      <c r="D5187" s="25">
        <v>0.0</v>
      </c>
      <c r="E5187" s="27"/>
      <c r="F5187" s="25">
        <v>0.0</v>
      </c>
      <c r="G5187" s="27"/>
    </row>
    <row r="5188" hidden="1">
      <c r="A5188" s="21"/>
      <c r="B5188" s="21" t="s">
        <v>5848</v>
      </c>
      <c r="D5188" s="25">
        <v>0.0</v>
      </c>
      <c r="E5188" s="27"/>
      <c r="F5188" s="25">
        <v>0.0</v>
      </c>
      <c r="G5188" s="27"/>
    </row>
    <row r="5189" hidden="1">
      <c r="A5189" s="21"/>
      <c r="B5189" s="21" t="s">
        <v>5849</v>
      </c>
      <c r="D5189" s="25">
        <v>0.0</v>
      </c>
      <c r="E5189" s="27"/>
      <c r="F5189" s="25">
        <v>0.0</v>
      </c>
      <c r="G5189" s="27"/>
    </row>
    <row r="5190" hidden="1">
      <c r="A5190" s="21"/>
      <c r="B5190" s="21" t="s">
        <v>5850</v>
      </c>
      <c r="D5190" s="25">
        <v>0.0</v>
      </c>
      <c r="E5190" s="27"/>
      <c r="F5190" s="25">
        <v>0.0</v>
      </c>
      <c r="G5190" s="27"/>
    </row>
    <row r="5191" hidden="1">
      <c r="A5191" s="21"/>
      <c r="B5191" s="21" t="s">
        <v>5851</v>
      </c>
      <c r="D5191" s="25">
        <v>0.0</v>
      </c>
      <c r="E5191" s="27"/>
      <c r="F5191" s="25">
        <v>0.0</v>
      </c>
      <c r="G5191" s="27"/>
    </row>
    <row r="5192" hidden="1">
      <c r="A5192" s="21"/>
      <c r="B5192" s="21" t="s">
        <v>5852</v>
      </c>
      <c r="D5192" s="25">
        <v>0.0</v>
      </c>
      <c r="E5192" s="27"/>
      <c r="F5192" s="25">
        <v>0.57</v>
      </c>
      <c r="G5192" s="27"/>
    </row>
    <row r="5193" hidden="1">
      <c r="A5193" s="21"/>
      <c r="B5193" s="21" t="s">
        <v>5853</v>
      </c>
      <c r="D5193" s="25">
        <v>0.0</v>
      </c>
      <c r="E5193" s="27"/>
      <c r="F5193" s="25">
        <v>0.0</v>
      </c>
      <c r="G5193" s="27"/>
    </row>
    <row r="5194" hidden="1">
      <c r="A5194" s="21"/>
      <c r="B5194" s="21" t="s">
        <v>5854</v>
      </c>
      <c r="D5194" s="25">
        <v>0.0</v>
      </c>
      <c r="E5194" s="27"/>
      <c r="F5194" s="25">
        <v>0.0</v>
      </c>
      <c r="G5194" s="27"/>
    </row>
    <row r="5195" hidden="1">
      <c r="A5195" s="21"/>
      <c r="B5195" s="21" t="s">
        <v>5855</v>
      </c>
      <c r="D5195" s="25">
        <v>0.0</v>
      </c>
      <c r="E5195" s="27"/>
      <c r="F5195" s="25">
        <v>0.0</v>
      </c>
      <c r="G5195" s="27"/>
    </row>
    <row r="5196" hidden="1">
      <c r="A5196" s="21"/>
      <c r="B5196" s="21" t="s">
        <v>5856</v>
      </c>
      <c r="D5196" s="25">
        <v>0.0</v>
      </c>
      <c r="E5196" s="27"/>
      <c r="F5196" s="25">
        <v>0.0</v>
      </c>
      <c r="G5196" s="27"/>
    </row>
    <row r="5197" hidden="1">
      <c r="A5197" s="21"/>
      <c r="B5197" s="21" t="s">
        <v>5857</v>
      </c>
      <c r="D5197" s="25">
        <v>0.0</v>
      </c>
      <c r="E5197" s="27"/>
      <c r="F5197" s="25">
        <v>0.0</v>
      </c>
      <c r="G5197" s="27"/>
    </row>
    <row r="5198" hidden="1">
      <c r="A5198" s="21"/>
      <c r="B5198" s="21" t="s">
        <v>5858</v>
      </c>
      <c r="D5198" s="25">
        <v>0.0</v>
      </c>
      <c r="E5198" s="27"/>
      <c r="F5198" s="25">
        <v>0.0</v>
      </c>
      <c r="G5198" s="27"/>
    </row>
    <row r="5199" hidden="1">
      <c r="A5199" s="21"/>
      <c r="B5199" s="21" t="s">
        <v>5859</v>
      </c>
      <c r="D5199" s="25">
        <v>0.0</v>
      </c>
      <c r="E5199" s="27"/>
      <c r="F5199" s="25">
        <v>0.0</v>
      </c>
      <c r="G5199" s="27"/>
    </row>
    <row r="5200" hidden="1">
      <c r="A5200" s="21"/>
      <c r="B5200" s="21" t="s">
        <v>5860</v>
      </c>
      <c r="D5200" s="25">
        <v>0.0</v>
      </c>
      <c r="E5200" s="27"/>
      <c r="F5200" s="25">
        <v>0.0</v>
      </c>
      <c r="G5200" s="27"/>
    </row>
    <row r="5201" hidden="1">
      <c r="A5201" s="21"/>
      <c r="B5201" s="21" t="s">
        <v>5861</v>
      </c>
      <c r="D5201" s="25">
        <v>0.0</v>
      </c>
      <c r="E5201" s="27"/>
      <c r="F5201" s="25">
        <v>0.0</v>
      </c>
      <c r="G5201" s="27"/>
    </row>
    <row r="5202" hidden="1">
      <c r="A5202" s="21"/>
      <c r="B5202" s="21" t="s">
        <v>5862</v>
      </c>
      <c r="D5202" s="25">
        <v>0.0</v>
      </c>
      <c r="E5202" s="27"/>
      <c r="F5202" s="25">
        <v>0.0</v>
      </c>
      <c r="G5202" s="27"/>
    </row>
    <row r="5203" hidden="1">
      <c r="A5203" s="21"/>
      <c r="B5203" s="21" t="s">
        <v>5863</v>
      </c>
      <c r="D5203" s="25">
        <v>0.0</v>
      </c>
      <c r="E5203" s="27"/>
      <c r="F5203" s="25">
        <v>0.0</v>
      </c>
      <c r="G5203" s="27"/>
    </row>
    <row r="5204" hidden="1">
      <c r="A5204" s="21"/>
      <c r="B5204" s="21" t="s">
        <v>5864</v>
      </c>
      <c r="D5204" s="25">
        <v>0.0</v>
      </c>
      <c r="E5204" s="27"/>
      <c r="F5204" s="25">
        <v>0.0</v>
      </c>
      <c r="G5204" s="27"/>
    </row>
    <row r="5205" hidden="1">
      <c r="A5205" s="21"/>
      <c r="B5205" s="21" t="s">
        <v>5865</v>
      </c>
      <c r="D5205" s="25">
        <v>0.0</v>
      </c>
      <c r="E5205" s="27"/>
      <c r="F5205" s="25">
        <v>0.0</v>
      </c>
      <c r="G5205" s="27"/>
    </row>
    <row r="5206" hidden="1">
      <c r="A5206" s="21"/>
      <c r="B5206" s="21" t="s">
        <v>5866</v>
      </c>
      <c r="D5206" s="25">
        <v>0.0</v>
      </c>
      <c r="E5206" s="27"/>
      <c r="F5206" s="25">
        <v>0.0</v>
      </c>
      <c r="G5206" s="27"/>
    </row>
    <row r="5207" hidden="1">
      <c r="A5207" s="21"/>
      <c r="B5207" s="21" t="s">
        <v>5867</v>
      </c>
      <c r="D5207" s="25">
        <v>0.0</v>
      </c>
      <c r="E5207" s="27"/>
      <c r="F5207" s="25">
        <v>0.0</v>
      </c>
      <c r="G5207" s="27"/>
    </row>
    <row r="5208" hidden="1">
      <c r="A5208" s="21"/>
      <c r="B5208" s="21" t="s">
        <v>5868</v>
      </c>
      <c r="D5208" s="25">
        <v>0.0</v>
      </c>
      <c r="E5208" s="27"/>
      <c r="F5208" s="25">
        <v>0.0</v>
      </c>
      <c r="G5208" s="27"/>
    </row>
    <row r="5209" hidden="1">
      <c r="A5209" s="21"/>
      <c r="B5209" s="21" t="s">
        <v>5869</v>
      </c>
      <c r="D5209" s="25">
        <v>0.0</v>
      </c>
      <c r="E5209" s="27"/>
      <c r="F5209" s="25">
        <v>0.0</v>
      </c>
      <c r="G5209" s="27"/>
    </row>
    <row r="5210" hidden="1">
      <c r="A5210" s="21"/>
      <c r="B5210" s="21" t="s">
        <v>5870</v>
      </c>
      <c r="D5210" s="25">
        <v>0.0</v>
      </c>
      <c r="E5210" s="27"/>
      <c r="F5210" s="25">
        <v>0.0</v>
      </c>
      <c r="G5210" s="27"/>
    </row>
    <row r="5211" hidden="1">
      <c r="A5211" s="21"/>
      <c r="B5211" s="21" t="s">
        <v>5871</v>
      </c>
      <c r="D5211" s="25">
        <v>0.0</v>
      </c>
      <c r="E5211" s="27"/>
      <c r="F5211" s="25">
        <v>0.0</v>
      </c>
      <c r="G5211" s="27"/>
    </row>
    <row r="5212" hidden="1">
      <c r="A5212" s="21"/>
      <c r="B5212" s="21" t="s">
        <v>5872</v>
      </c>
      <c r="D5212" s="25">
        <v>0.0</v>
      </c>
      <c r="E5212" s="27"/>
      <c r="F5212" s="25">
        <v>0.0</v>
      </c>
      <c r="G5212" s="27"/>
    </row>
    <row r="5213" hidden="1">
      <c r="A5213" s="21"/>
      <c r="B5213" s="21" t="s">
        <v>5873</v>
      </c>
      <c r="D5213" s="25">
        <v>0.0</v>
      </c>
      <c r="E5213" s="27"/>
      <c r="F5213" s="25">
        <v>0.0</v>
      </c>
      <c r="G5213" s="27"/>
    </row>
    <row r="5214" hidden="1">
      <c r="A5214" s="21"/>
      <c r="B5214" s="21" t="s">
        <v>5874</v>
      </c>
      <c r="D5214" s="25">
        <v>0.0</v>
      </c>
      <c r="E5214" s="27"/>
      <c r="F5214" s="25">
        <v>0.0</v>
      </c>
      <c r="G5214" s="27"/>
    </row>
    <row r="5215" hidden="1">
      <c r="A5215" s="21"/>
      <c r="B5215" s="21" t="s">
        <v>5875</v>
      </c>
      <c r="D5215" s="25">
        <v>0.0</v>
      </c>
      <c r="E5215" s="27"/>
      <c r="F5215" s="25">
        <v>0.0</v>
      </c>
      <c r="G5215" s="27"/>
    </row>
    <row r="5216" hidden="1">
      <c r="A5216" s="21"/>
      <c r="B5216" s="21" t="s">
        <v>5876</v>
      </c>
      <c r="D5216" s="25">
        <v>0.0</v>
      </c>
      <c r="E5216" s="27"/>
      <c r="F5216" s="25">
        <v>0.0</v>
      </c>
      <c r="G5216" s="27"/>
    </row>
    <row r="5217" hidden="1">
      <c r="A5217" s="21"/>
      <c r="B5217" s="21" t="s">
        <v>5877</v>
      </c>
      <c r="D5217" s="25">
        <v>0.0</v>
      </c>
      <c r="E5217" s="27"/>
      <c r="F5217" s="25">
        <v>0.0</v>
      </c>
      <c r="G5217" s="27"/>
    </row>
    <row r="5218" hidden="1">
      <c r="A5218" s="21"/>
      <c r="B5218" s="21" t="s">
        <v>5878</v>
      </c>
      <c r="D5218" s="25">
        <v>0.0</v>
      </c>
      <c r="E5218" s="27"/>
      <c r="F5218" s="25">
        <v>0.0</v>
      </c>
      <c r="G5218" s="27"/>
    </row>
    <row r="5219" hidden="1">
      <c r="A5219" s="21"/>
      <c r="B5219" s="21" t="s">
        <v>5879</v>
      </c>
      <c r="D5219" s="25">
        <v>0.0</v>
      </c>
      <c r="E5219" s="27"/>
      <c r="F5219" s="25">
        <v>0.0</v>
      </c>
      <c r="G5219" s="27"/>
    </row>
    <row r="5220" hidden="1">
      <c r="A5220" s="21"/>
      <c r="B5220" s="21" t="s">
        <v>5880</v>
      </c>
      <c r="D5220" s="25">
        <v>0.0</v>
      </c>
      <c r="E5220" s="27"/>
      <c r="F5220" s="25">
        <v>0.0</v>
      </c>
      <c r="G5220" s="27"/>
    </row>
    <row r="5221" hidden="1">
      <c r="A5221" s="21"/>
      <c r="B5221" s="21" t="s">
        <v>5881</v>
      </c>
      <c r="D5221" s="25">
        <v>0.0</v>
      </c>
      <c r="E5221" s="27"/>
      <c r="F5221" s="25">
        <v>0.0</v>
      </c>
      <c r="G5221" s="27"/>
    </row>
    <row r="5222" hidden="1">
      <c r="A5222" s="21"/>
      <c r="B5222" s="21" t="s">
        <v>5882</v>
      </c>
      <c r="D5222" s="25">
        <v>0.0</v>
      </c>
      <c r="E5222" s="27"/>
      <c r="F5222" s="25">
        <v>0.0</v>
      </c>
      <c r="G5222" s="27"/>
    </row>
    <row r="5223" hidden="1">
      <c r="A5223" s="21"/>
      <c r="B5223" s="21" t="s">
        <v>5883</v>
      </c>
      <c r="D5223" s="25">
        <v>0.0</v>
      </c>
      <c r="E5223" s="27"/>
      <c r="F5223" s="25">
        <v>0.0</v>
      </c>
      <c r="G5223" s="27"/>
    </row>
    <row r="5224" hidden="1">
      <c r="A5224" s="21"/>
      <c r="B5224" s="21" t="s">
        <v>5884</v>
      </c>
      <c r="D5224" s="25">
        <v>0.0</v>
      </c>
      <c r="E5224" s="27"/>
      <c r="F5224" s="25">
        <v>0.0</v>
      </c>
      <c r="G5224" s="27"/>
    </row>
    <row r="5225" hidden="1">
      <c r="A5225" s="21"/>
      <c r="B5225" s="21" t="s">
        <v>5885</v>
      </c>
      <c r="D5225" s="25">
        <v>0.0</v>
      </c>
      <c r="E5225" s="27"/>
      <c r="F5225" s="25">
        <v>0.0</v>
      </c>
      <c r="G5225" s="27"/>
    </row>
    <row r="5226" hidden="1">
      <c r="A5226" s="21"/>
      <c r="B5226" s="21" t="s">
        <v>5886</v>
      </c>
      <c r="D5226" s="25">
        <v>0.0</v>
      </c>
      <c r="E5226" s="27"/>
      <c r="F5226" s="25">
        <v>0.0</v>
      </c>
      <c r="G5226" s="27"/>
    </row>
    <row r="5227" hidden="1">
      <c r="A5227" s="21"/>
      <c r="B5227" s="21" t="s">
        <v>5887</v>
      </c>
      <c r="D5227" s="25">
        <v>0.0</v>
      </c>
      <c r="E5227" s="27"/>
      <c r="F5227" s="25">
        <v>0.0</v>
      </c>
      <c r="G5227" s="27"/>
    </row>
    <row r="5228" hidden="1">
      <c r="A5228" s="21"/>
      <c r="B5228" s="21" t="s">
        <v>5888</v>
      </c>
      <c r="D5228" s="25">
        <v>0.0</v>
      </c>
      <c r="E5228" s="27"/>
      <c r="F5228" s="25">
        <v>0.0</v>
      </c>
      <c r="G5228" s="27"/>
    </row>
    <row r="5229" hidden="1">
      <c r="A5229" s="21"/>
      <c r="B5229" s="21" t="s">
        <v>5889</v>
      </c>
      <c r="D5229" s="25">
        <v>0.0</v>
      </c>
      <c r="E5229" s="27"/>
      <c r="F5229" s="25">
        <v>0.0</v>
      </c>
      <c r="G5229" s="27"/>
    </row>
    <row r="5230" hidden="1">
      <c r="A5230" s="21"/>
      <c r="B5230" s="21" t="s">
        <v>5890</v>
      </c>
      <c r="D5230" s="25">
        <v>0.0</v>
      </c>
      <c r="E5230" s="27"/>
      <c r="F5230" s="25">
        <v>0.0</v>
      </c>
      <c r="G5230" s="27"/>
    </row>
    <row r="5231" hidden="1">
      <c r="A5231" s="21"/>
      <c r="B5231" s="21" t="s">
        <v>5891</v>
      </c>
      <c r="D5231" s="25">
        <v>0.0</v>
      </c>
      <c r="E5231" s="27"/>
      <c r="F5231" s="25">
        <v>0.0</v>
      </c>
      <c r="G5231" s="27"/>
    </row>
    <row r="5232" hidden="1">
      <c r="A5232" s="21"/>
      <c r="B5232" s="21" t="s">
        <v>5892</v>
      </c>
      <c r="D5232" s="25">
        <v>0.0</v>
      </c>
      <c r="E5232" s="27"/>
      <c r="F5232" s="25">
        <v>0.0</v>
      </c>
      <c r="G5232" s="27"/>
    </row>
    <row r="5233" hidden="1">
      <c r="A5233" s="21"/>
      <c r="B5233" s="21" t="s">
        <v>5893</v>
      </c>
      <c r="D5233" s="25">
        <v>0.0</v>
      </c>
      <c r="E5233" s="27"/>
      <c r="F5233" s="25">
        <v>0.0</v>
      </c>
      <c r="G5233" s="27"/>
    </row>
    <row r="5234" hidden="1">
      <c r="A5234" s="21"/>
      <c r="B5234" s="21" t="s">
        <v>5894</v>
      </c>
      <c r="D5234" s="25">
        <v>0.0</v>
      </c>
      <c r="E5234" s="27"/>
      <c r="F5234" s="25">
        <v>0.0</v>
      </c>
      <c r="G5234" s="27"/>
    </row>
    <row r="5235" hidden="1">
      <c r="A5235" s="21"/>
      <c r="B5235" s="21" t="s">
        <v>5895</v>
      </c>
      <c r="D5235" s="25">
        <v>0.0</v>
      </c>
      <c r="E5235" s="27"/>
      <c r="F5235" s="25">
        <v>0.0</v>
      </c>
      <c r="G5235" s="27"/>
    </row>
    <row r="5236" hidden="1">
      <c r="A5236" s="21"/>
      <c r="B5236" s="21" t="s">
        <v>5896</v>
      </c>
      <c r="D5236" s="25">
        <v>0.0</v>
      </c>
      <c r="E5236" s="27"/>
      <c r="F5236" s="25">
        <v>0.0</v>
      </c>
      <c r="G5236" s="27"/>
    </row>
    <row r="5237" hidden="1">
      <c r="A5237" s="21"/>
      <c r="B5237" s="21" t="s">
        <v>5897</v>
      </c>
      <c r="D5237" s="25">
        <v>0.0</v>
      </c>
      <c r="E5237" s="27"/>
      <c r="F5237" s="25">
        <v>0.0</v>
      </c>
      <c r="G5237" s="27"/>
    </row>
    <row r="5238" hidden="1">
      <c r="A5238" s="21"/>
      <c r="B5238" s="21" t="s">
        <v>5898</v>
      </c>
      <c r="D5238" s="25">
        <v>0.0</v>
      </c>
      <c r="E5238" s="27"/>
      <c r="F5238" s="25">
        <v>0.0</v>
      </c>
      <c r="G5238" s="27"/>
    </row>
    <row r="5239" hidden="1">
      <c r="A5239" s="21"/>
      <c r="B5239" s="21" t="s">
        <v>5899</v>
      </c>
      <c r="D5239" s="25">
        <v>0.0</v>
      </c>
      <c r="E5239" s="27"/>
      <c r="F5239" s="25">
        <v>0.0</v>
      </c>
      <c r="G5239" s="27"/>
    </row>
    <row r="5240" hidden="1">
      <c r="A5240" s="21"/>
      <c r="B5240" s="21" t="s">
        <v>5900</v>
      </c>
      <c r="D5240" s="25">
        <v>0.0</v>
      </c>
      <c r="E5240" s="27"/>
      <c r="F5240" s="25">
        <v>0.0</v>
      </c>
      <c r="G5240" s="27"/>
    </row>
    <row r="5241" hidden="1">
      <c r="A5241" s="21"/>
      <c r="B5241" s="21" t="s">
        <v>5901</v>
      </c>
      <c r="D5241" s="25">
        <v>0.0</v>
      </c>
      <c r="E5241" s="27"/>
      <c r="F5241" s="25">
        <v>0.0</v>
      </c>
      <c r="G5241" s="27"/>
    </row>
    <row r="5242" hidden="1">
      <c r="A5242" s="21"/>
      <c r="B5242" s="21" t="s">
        <v>5902</v>
      </c>
      <c r="D5242" s="25">
        <v>0.0</v>
      </c>
      <c r="E5242" s="27"/>
      <c r="F5242" s="25">
        <v>0.0</v>
      </c>
      <c r="G5242" s="27"/>
    </row>
    <row r="5243" hidden="1">
      <c r="A5243" s="21"/>
      <c r="B5243" s="21" t="s">
        <v>5903</v>
      </c>
      <c r="D5243" s="25">
        <v>0.0</v>
      </c>
      <c r="E5243" s="27"/>
      <c r="F5243" s="25">
        <v>0.0</v>
      </c>
      <c r="G5243" s="27"/>
    </row>
    <row r="5244" hidden="1">
      <c r="A5244" s="21"/>
      <c r="B5244" s="21" t="s">
        <v>5904</v>
      </c>
      <c r="D5244" s="25">
        <v>0.0</v>
      </c>
      <c r="E5244" s="27"/>
      <c r="F5244" s="25">
        <v>0.0</v>
      </c>
      <c r="G5244" s="27"/>
    </row>
    <row r="5245" hidden="1">
      <c r="A5245" s="21"/>
      <c r="B5245" s="21" t="s">
        <v>5905</v>
      </c>
      <c r="D5245" s="25">
        <v>0.0</v>
      </c>
      <c r="E5245" s="27"/>
      <c r="F5245" s="25">
        <v>0.89</v>
      </c>
      <c r="G5245" s="27"/>
    </row>
    <row r="5246" hidden="1">
      <c r="A5246" s="21"/>
      <c r="B5246" s="21" t="s">
        <v>5906</v>
      </c>
      <c r="D5246" s="25">
        <v>0.0</v>
      </c>
      <c r="E5246" s="27"/>
      <c r="F5246" s="25">
        <v>0.0</v>
      </c>
      <c r="G5246" s="27"/>
    </row>
    <row r="5247" hidden="1">
      <c r="A5247" s="21"/>
      <c r="B5247" s="21" t="s">
        <v>5907</v>
      </c>
      <c r="D5247" s="25">
        <v>0.0</v>
      </c>
      <c r="E5247" s="27"/>
      <c r="F5247" s="25">
        <v>0.0</v>
      </c>
      <c r="G5247" s="27"/>
    </row>
    <row r="5248" hidden="1">
      <c r="A5248" s="21"/>
      <c r="B5248" s="21" t="s">
        <v>5908</v>
      </c>
      <c r="D5248" s="25">
        <v>0.0</v>
      </c>
      <c r="E5248" s="27"/>
      <c r="F5248" s="25">
        <v>0.0</v>
      </c>
      <c r="G5248" s="27"/>
    </row>
    <row r="5249" hidden="1">
      <c r="A5249" s="21"/>
      <c r="B5249" s="21" t="s">
        <v>5909</v>
      </c>
      <c r="D5249" s="25">
        <v>0.0</v>
      </c>
      <c r="E5249" s="27"/>
      <c r="F5249" s="25">
        <v>0.0</v>
      </c>
      <c r="G5249" s="27"/>
    </row>
    <row r="5250" hidden="1">
      <c r="A5250" s="21"/>
      <c r="B5250" s="21" t="s">
        <v>5910</v>
      </c>
      <c r="D5250" s="25">
        <v>0.0</v>
      </c>
      <c r="E5250" s="27"/>
      <c r="F5250" s="25">
        <v>0.0</v>
      </c>
      <c r="G5250" s="27"/>
    </row>
    <row r="5251" hidden="1">
      <c r="A5251" s="21"/>
      <c r="B5251" s="21" t="s">
        <v>5911</v>
      </c>
      <c r="D5251" s="25">
        <v>0.0</v>
      </c>
      <c r="E5251" s="27"/>
      <c r="F5251" s="25">
        <v>0.0</v>
      </c>
      <c r="G5251" s="27"/>
    </row>
    <row r="5252" hidden="1">
      <c r="A5252" s="21"/>
      <c r="B5252" s="21" t="s">
        <v>5912</v>
      </c>
      <c r="D5252" s="25">
        <v>0.0</v>
      </c>
      <c r="E5252" s="27"/>
      <c r="F5252" s="25">
        <v>0.0</v>
      </c>
      <c r="G5252" s="27"/>
    </row>
    <row r="5253" hidden="1">
      <c r="A5253" s="21"/>
      <c r="B5253" s="21" t="s">
        <v>5913</v>
      </c>
      <c r="D5253" s="25">
        <v>0.0</v>
      </c>
      <c r="E5253" s="27"/>
      <c r="F5253" s="25">
        <v>0.0</v>
      </c>
      <c r="G5253" s="27"/>
    </row>
    <row r="5254" hidden="1">
      <c r="A5254" s="21"/>
      <c r="B5254" s="21" t="s">
        <v>5914</v>
      </c>
      <c r="D5254" s="25">
        <v>0.0</v>
      </c>
      <c r="E5254" s="27"/>
      <c r="F5254" s="25">
        <v>0.0</v>
      </c>
      <c r="G5254" s="27"/>
    </row>
    <row r="5255" hidden="1">
      <c r="A5255" s="21"/>
      <c r="B5255" s="21" t="s">
        <v>5915</v>
      </c>
      <c r="D5255" s="25">
        <v>0.0</v>
      </c>
      <c r="E5255" s="27"/>
      <c r="F5255" s="25">
        <v>0.0</v>
      </c>
      <c r="G5255" s="27"/>
    </row>
    <row r="5256" hidden="1">
      <c r="A5256" s="21"/>
      <c r="B5256" s="21" t="s">
        <v>5916</v>
      </c>
      <c r="D5256" s="25">
        <v>0.0</v>
      </c>
      <c r="E5256" s="27"/>
      <c r="F5256" s="25">
        <v>0.0</v>
      </c>
      <c r="G5256" s="27"/>
    </row>
    <row r="5257" hidden="1">
      <c r="A5257" s="21"/>
      <c r="B5257" s="21" t="s">
        <v>5917</v>
      </c>
      <c r="D5257" s="25">
        <v>0.0</v>
      </c>
      <c r="E5257" s="27"/>
      <c r="F5257" s="25">
        <v>0.0</v>
      </c>
      <c r="G5257" s="27"/>
    </row>
    <row r="5258" hidden="1">
      <c r="A5258" s="21"/>
      <c r="B5258" s="21" t="s">
        <v>5918</v>
      </c>
      <c r="D5258" s="25">
        <v>0.0</v>
      </c>
      <c r="E5258" s="27"/>
      <c r="F5258" s="25">
        <v>0.0</v>
      </c>
      <c r="G5258" s="27"/>
    </row>
    <row r="5259" hidden="1">
      <c r="A5259" s="21"/>
      <c r="B5259" s="21" t="s">
        <v>5919</v>
      </c>
      <c r="D5259" s="25">
        <v>0.0</v>
      </c>
      <c r="E5259" s="27"/>
      <c r="F5259" s="25">
        <v>0.0</v>
      </c>
      <c r="G5259" s="27"/>
    </row>
    <row r="5260" hidden="1">
      <c r="A5260" s="21"/>
      <c r="B5260" s="21" t="s">
        <v>5920</v>
      </c>
      <c r="D5260" s="25">
        <v>0.0</v>
      </c>
      <c r="E5260" s="27"/>
      <c r="F5260" s="25">
        <v>0.0</v>
      </c>
      <c r="G5260" s="27"/>
    </row>
    <row r="5261" hidden="1">
      <c r="A5261" s="21"/>
      <c r="B5261" s="21" t="s">
        <v>5921</v>
      </c>
      <c r="D5261" s="25">
        <v>0.0</v>
      </c>
      <c r="E5261" s="27"/>
      <c r="F5261" s="25">
        <v>0.0</v>
      </c>
      <c r="G5261" s="27"/>
    </row>
    <row r="5262" hidden="1">
      <c r="A5262" s="21"/>
      <c r="B5262" s="21" t="s">
        <v>5922</v>
      </c>
      <c r="D5262" s="25">
        <v>0.0</v>
      </c>
      <c r="E5262" s="27"/>
      <c r="F5262" s="25">
        <v>0.0</v>
      </c>
      <c r="G5262" s="27"/>
    </row>
    <row r="5263" hidden="1">
      <c r="A5263" s="21"/>
      <c r="B5263" s="21" t="s">
        <v>5923</v>
      </c>
      <c r="D5263" s="25">
        <v>0.0</v>
      </c>
      <c r="E5263" s="27"/>
      <c r="F5263" s="25">
        <v>0.0</v>
      </c>
      <c r="G5263" s="27"/>
    </row>
    <row r="5264" hidden="1">
      <c r="A5264" s="21"/>
      <c r="B5264" s="21" t="s">
        <v>5924</v>
      </c>
      <c r="D5264" s="25">
        <v>0.0</v>
      </c>
      <c r="E5264" s="27"/>
      <c r="F5264" s="25">
        <v>0.0</v>
      </c>
      <c r="G5264" s="27"/>
    </row>
    <row r="5265" hidden="1">
      <c r="A5265" s="21"/>
      <c r="B5265" s="21" t="s">
        <v>5925</v>
      </c>
      <c r="D5265" s="25">
        <v>0.0</v>
      </c>
      <c r="E5265" s="27"/>
      <c r="F5265" s="25">
        <v>0.0</v>
      </c>
      <c r="G5265" s="27"/>
    </row>
    <row r="5266" hidden="1">
      <c r="A5266" s="21"/>
      <c r="B5266" s="21" t="s">
        <v>5926</v>
      </c>
      <c r="D5266" s="25">
        <v>0.0</v>
      </c>
      <c r="E5266" s="27"/>
      <c r="F5266" s="25">
        <v>0.0</v>
      </c>
      <c r="G5266" s="27"/>
    </row>
    <row r="5267" hidden="1">
      <c r="A5267" s="21"/>
      <c r="B5267" s="21" t="s">
        <v>5927</v>
      </c>
      <c r="D5267" s="25">
        <v>0.0</v>
      </c>
      <c r="E5267" s="27"/>
      <c r="F5267" s="25">
        <v>0.0</v>
      </c>
      <c r="G5267" s="27"/>
    </row>
    <row r="5268" hidden="1">
      <c r="A5268" s="21"/>
      <c r="B5268" s="21" t="s">
        <v>5928</v>
      </c>
      <c r="D5268" s="25">
        <v>0.0</v>
      </c>
      <c r="E5268" s="27"/>
      <c r="F5268" s="25">
        <v>0.0</v>
      </c>
      <c r="G5268" s="27"/>
    </row>
    <row r="5269" hidden="1">
      <c r="A5269" s="21"/>
      <c r="B5269" s="21" t="s">
        <v>5929</v>
      </c>
      <c r="D5269" s="25">
        <v>0.0</v>
      </c>
      <c r="E5269" s="27"/>
      <c r="F5269" s="25">
        <v>0.0</v>
      </c>
      <c r="G5269" s="27"/>
    </row>
    <row r="5270" hidden="1">
      <c r="A5270" s="21"/>
      <c r="B5270" s="21" t="s">
        <v>5930</v>
      </c>
      <c r="D5270" s="25">
        <v>0.0</v>
      </c>
      <c r="E5270" s="27"/>
      <c r="F5270" s="25">
        <v>0.0</v>
      </c>
      <c r="G5270" s="27"/>
    </row>
    <row r="5271" hidden="1">
      <c r="A5271" s="21"/>
      <c r="B5271" s="21" t="s">
        <v>5931</v>
      </c>
      <c r="D5271" s="25">
        <v>0.0</v>
      </c>
      <c r="E5271" s="27"/>
      <c r="F5271" s="25">
        <v>0.0</v>
      </c>
      <c r="G5271" s="27"/>
    </row>
    <row r="5272" hidden="1">
      <c r="A5272" s="21"/>
      <c r="B5272" s="21" t="s">
        <v>5932</v>
      </c>
      <c r="D5272" s="25">
        <v>0.0</v>
      </c>
      <c r="E5272" s="27"/>
      <c r="F5272" s="25">
        <v>0.0</v>
      </c>
      <c r="G5272" s="27"/>
    </row>
    <row r="5273" hidden="1">
      <c r="A5273" s="21"/>
      <c r="B5273" s="21" t="s">
        <v>5933</v>
      </c>
      <c r="D5273" s="25">
        <v>0.0</v>
      </c>
      <c r="E5273" s="27"/>
      <c r="F5273" s="25">
        <v>0.0</v>
      </c>
      <c r="G5273" s="27"/>
    </row>
    <row r="5274" hidden="1">
      <c r="A5274" s="21"/>
      <c r="B5274" s="21" t="s">
        <v>5934</v>
      </c>
      <c r="D5274" s="25">
        <v>0.0</v>
      </c>
      <c r="E5274" s="27"/>
      <c r="F5274" s="25">
        <v>0.0</v>
      </c>
      <c r="G5274" s="27"/>
    </row>
    <row r="5275" hidden="1">
      <c r="A5275" s="21"/>
      <c r="B5275" s="21" t="s">
        <v>5935</v>
      </c>
      <c r="D5275" s="25">
        <v>0.0</v>
      </c>
      <c r="E5275" s="27"/>
      <c r="F5275" s="25">
        <v>0.0</v>
      </c>
      <c r="G5275" s="27"/>
    </row>
    <row r="5276" hidden="1">
      <c r="A5276" s="21"/>
      <c r="B5276" s="21" t="s">
        <v>5936</v>
      </c>
      <c r="D5276" s="25">
        <v>0.0</v>
      </c>
      <c r="E5276" s="27"/>
      <c r="F5276" s="25">
        <v>0.0</v>
      </c>
      <c r="G5276" s="27"/>
    </row>
    <row r="5277" hidden="1">
      <c r="A5277" s="21"/>
      <c r="B5277" s="21" t="s">
        <v>5937</v>
      </c>
      <c r="D5277" s="25">
        <v>0.0</v>
      </c>
      <c r="E5277" s="27"/>
      <c r="F5277" s="25">
        <v>0.0</v>
      </c>
      <c r="G5277" s="27"/>
    </row>
    <row r="5278" hidden="1">
      <c r="A5278" s="21"/>
      <c r="B5278" s="21" t="s">
        <v>5938</v>
      </c>
      <c r="D5278" s="25">
        <v>0.0</v>
      </c>
      <c r="E5278" s="27"/>
      <c r="F5278" s="25">
        <v>0.0</v>
      </c>
      <c r="G5278" s="27"/>
    </row>
    <row r="5279" hidden="1">
      <c r="A5279" s="21"/>
      <c r="B5279" s="21" t="s">
        <v>5939</v>
      </c>
      <c r="D5279" s="25">
        <v>0.0</v>
      </c>
      <c r="E5279" s="27"/>
      <c r="F5279" s="25">
        <v>0.0</v>
      </c>
      <c r="G5279" s="27"/>
    </row>
    <row r="5280" hidden="1">
      <c r="A5280" s="21"/>
      <c r="B5280" s="21" t="s">
        <v>5940</v>
      </c>
      <c r="D5280" s="25">
        <v>0.0</v>
      </c>
      <c r="E5280" s="27"/>
      <c r="F5280" s="25">
        <v>0.0</v>
      </c>
      <c r="G5280" s="27"/>
    </row>
    <row r="5281" hidden="1">
      <c r="A5281" s="21"/>
      <c r="B5281" s="21" t="s">
        <v>5941</v>
      </c>
      <c r="D5281" s="25">
        <v>0.0</v>
      </c>
      <c r="E5281" s="27"/>
      <c r="F5281" s="25">
        <v>0.0</v>
      </c>
      <c r="G5281" s="27"/>
    </row>
    <row r="5282" hidden="1">
      <c r="A5282" s="21"/>
      <c r="B5282" s="21" t="s">
        <v>5942</v>
      </c>
      <c r="D5282" s="25">
        <v>0.0</v>
      </c>
      <c r="E5282" s="27"/>
      <c r="F5282" s="25">
        <v>0.0</v>
      </c>
      <c r="G5282" s="27"/>
    </row>
    <row r="5283" hidden="1">
      <c r="A5283" s="21"/>
      <c r="B5283" s="21" t="s">
        <v>5943</v>
      </c>
      <c r="D5283" s="25">
        <v>0.0</v>
      </c>
      <c r="E5283" s="27"/>
      <c r="F5283" s="25">
        <v>0.0</v>
      </c>
      <c r="G5283" s="27"/>
    </row>
    <row r="5284" hidden="1">
      <c r="A5284" s="21"/>
      <c r="B5284" s="21" t="s">
        <v>5944</v>
      </c>
      <c r="D5284" s="25">
        <v>0.0</v>
      </c>
      <c r="E5284" s="27"/>
      <c r="F5284" s="25">
        <v>0.0</v>
      </c>
      <c r="G5284" s="27"/>
    </row>
    <row r="5285" hidden="1">
      <c r="A5285" s="21"/>
      <c r="B5285" s="21" t="s">
        <v>5945</v>
      </c>
      <c r="D5285" s="25">
        <v>0.0</v>
      </c>
      <c r="E5285" s="27"/>
      <c r="F5285" s="25">
        <v>0.0</v>
      </c>
      <c r="G5285" s="27"/>
    </row>
    <row r="5286" hidden="1">
      <c r="A5286" s="21"/>
      <c r="B5286" s="21" t="s">
        <v>5946</v>
      </c>
      <c r="D5286" s="25">
        <v>0.0</v>
      </c>
      <c r="E5286" s="27"/>
      <c r="F5286" s="25">
        <v>0.0</v>
      </c>
      <c r="G5286" s="27"/>
    </row>
    <row r="5287" hidden="1">
      <c r="A5287" s="21"/>
      <c r="B5287" s="21" t="s">
        <v>5947</v>
      </c>
      <c r="D5287" s="25">
        <v>0.0</v>
      </c>
      <c r="E5287" s="27"/>
      <c r="F5287" s="25">
        <v>0.0</v>
      </c>
      <c r="G5287" s="27"/>
    </row>
    <row r="5288" hidden="1">
      <c r="A5288" s="21"/>
      <c r="B5288" s="21" t="s">
        <v>5948</v>
      </c>
      <c r="D5288" s="25">
        <v>0.0</v>
      </c>
      <c r="E5288" s="27"/>
      <c r="F5288" s="25">
        <v>0.0</v>
      </c>
      <c r="G5288" s="27"/>
    </row>
    <row r="5289" hidden="1">
      <c r="A5289" s="21"/>
      <c r="B5289" s="21" t="s">
        <v>5949</v>
      </c>
      <c r="D5289" s="25">
        <v>0.0</v>
      </c>
      <c r="E5289" s="27"/>
      <c r="F5289" s="25">
        <v>0.0</v>
      </c>
      <c r="G5289" s="27"/>
    </row>
    <row r="5290" hidden="1">
      <c r="A5290" s="21"/>
      <c r="B5290" s="21" t="s">
        <v>5950</v>
      </c>
      <c r="D5290" s="25">
        <v>0.0</v>
      </c>
      <c r="E5290" s="27"/>
      <c r="F5290" s="25">
        <v>0.0</v>
      </c>
      <c r="G5290" s="27"/>
    </row>
    <row r="5291" hidden="1">
      <c r="A5291" s="21"/>
      <c r="B5291" s="21" t="s">
        <v>5951</v>
      </c>
      <c r="D5291" s="25">
        <v>0.0</v>
      </c>
      <c r="E5291" s="27"/>
      <c r="F5291" s="25">
        <v>0.0</v>
      </c>
      <c r="G5291" s="27"/>
    </row>
    <row r="5292" hidden="1">
      <c r="A5292" s="21"/>
      <c r="B5292" s="21" t="s">
        <v>5952</v>
      </c>
      <c r="D5292" s="25">
        <v>0.0</v>
      </c>
      <c r="E5292" s="27"/>
      <c r="F5292" s="25">
        <v>0.0</v>
      </c>
      <c r="G5292" s="27"/>
    </row>
    <row r="5293" hidden="1">
      <c r="A5293" s="21"/>
      <c r="B5293" s="21" t="s">
        <v>5953</v>
      </c>
      <c r="D5293" s="25">
        <v>0.0</v>
      </c>
      <c r="E5293" s="27"/>
      <c r="F5293" s="25">
        <v>0.0</v>
      </c>
      <c r="G5293" s="27"/>
    </row>
    <row r="5294" hidden="1">
      <c r="A5294" s="21"/>
      <c r="B5294" s="21" t="s">
        <v>5954</v>
      </c>
      <c r="D5294" s="25">
        <v>0.0</v>
      </c>
      <c r="E5294" s="27"/>
      <c r="F5294" s="25">
        <v>0.0</v>
      </c>
      <c r="G5294" s="27"/>
    </row>
    <row r="5295" hidden="1">
      <c r="A5295" s="21"/>
      <c r="B5295" s="21" t="s">
        <v>5955</v>
      </c>
      <c r="D5295" s="25">
        <v>0.0</v>
      </c>
      <c r="E5295" s="27"/>
      <c r="F5295" s="25">
        <v>0.0</v>
      </c>
      <c r="G5295" s="27"/>
    </row>
    <row r="5296" hidden="1">
      <c r="A5296" s="21"/>
      <c r="B5296" s="21" t="s">
        <v>5956</v>
      </c>
      <c r="D5296" s="25">
        <v>0.0</v>
      </c>
      <c r="E5296" s="27"/>
      <c r="F5296" s="25">
        <v>0.0</v>
      </c>
      <c r="G5296" s="27"/>
    </row>
    <row r="5297" hidden="1">
      <c r="A5297" s="21"/>
      <c r="B5297" s="21" t="s">
        <v>5957</v>
      </c>
      <c r="D5297" s="25">
        <v>0.0</v>
      </c>
      <c r="E5297" s="27"/>
      <c r="F5297" s="25">
        <v>0.0</v>
      </c>
      <c r="G5297" s="27"/>
    </row>
    <row r="5298" hidden="1">
      <c r="A5298" s="21"/>
      <c r="B5298" s="21" t="s">
        <v>5958</v>
      </c>
      <c r="D5298" s="25">
        <v>0.0</v>
      </c>
      <c r="E5298" s="27"/>
      <c r="F5298" s="25">
        <v>0.0</v>
      </c>
      <c r="G5298" s="27"/>
    </row>
    <row r="5299" hidden="1">
      <c r="A5299" s="21"/>
      <c r="B5299" s="21" t="s">
        <v>5959</v>
      </c>
      <c r="D5299" s="25">
        <v>0.0</v>
      </c>
      <c r="E5299" s="27"/>
      <c r="F5299" s="25">
        <v>0.0</v>
      </c>
      <c r="G5299" s="27"/>
    </row>
    <row r="5300" hidden="1">
      <c r="A5300" s="21"/>
      <c r="B5300" s="21" t="s">
        <v>808</v>
      </c>
      <c r="D5300" s="25">
        <v>0.0</v>
      </c>
      <c r="E5300" s="27"/>
      <c r="F5300" s="25">
        <v>0.0</v>
      </c>
      <c r="G5300" s="27"/>
    </row>
    <row r="5301" hidden="1">
      <c r="A5301" s="21"/>
      <c r="B5301" s="21" t="s">
        <v>809</v>
      </c>
      <c r="D5301" s="25">
        <v>0.0</v>
      </c>
      <c r="E5301" s="27"/>
      <c r="F5301" s="25">
        <v>0.0</v>
      </c>
      <c r="G5301" s="27"/>
    </row>
    <row r="5302" hidden="1">
      <c r="A5302" s="21"/>
      <c r="B5302" s="21" t="s">
        <v>810</v>
      </c>
      <c r="D5302" s="25">
        <v>0.0</v>
      </c>
      <c r="E5302" s="27"/>
      <c r="F5302" s="25">
        <v>0.0</v>
      </c>
      <c r="G5302" s="27"/>
    </row>
    <row r="5303" hidden="1">
      <c r="A5303" s="21"/>
      <c r="B5303" s="21" t="s">
        <v>811</v>
      </c>
      <c r="D5303" s="25">
        <v>0.0</v>
      </c>
      <c r="E5303" s="27"/>
      <c r="F5303" s="25">
        <v>0.0</v>
      </c>
      <c r="G5303" s="27"/>
    </row>
    <row r="5304" hidden="1">
      <c r="A5304" s="21"/>
      <c r="B5304" s="21" t="s">
        <v>812</v>
      </c>
      <c r="D5304" s="25">
        <v>0.0</v>
      </c>
      <c r="E5304" s="27"/>
      <c r="F5304" s="25">
        <v>0.0</v>
      </c>
      <c r="G5304" s="27"/>
    </row>
    <row r="5305" hidden="1">
      <c r="A5305" s="21"/>
      <c r="B5305" s="21" t="s">
        <v>813</v>
      </c>
      <c r="D5305" s="25">
        <v>0.0</v>
      </c>
      <c r="E5305" s="27"/>
      <c r="F5305" s="25">
        <v>0.0</v>
      </c>
      <c r="G5305" s="27"/>
    </row>
    <row r="5306" hidden="1">
      <c r="A5306" s="21"/>
      <c r="B5306" s="21" t="s">
        <v>814</v>
      </c>
      <c r="D5306" s="25">
        <v>0.0</v>
      </c>
      <c r="E5306" s="27"/>
      <c r="F5306" s="25">
        <v>0.0</v>
      </c>
      <c r="G5306" s="27"/>
    </row>
    <row r="5307" hidden="1">
      <c r="A5307" s="21"/>
      <c r="B5307" s="21" t="s">
        <v>815</v>
      </c>
      <c r="D5307" s="25">
        <v>0.0</v>
      </c>
      <c r="E5307" s="27"/>
      <c r="F5307" s="25">
        <v>0.0</v>
      </c>
      <c r="G5307" s="27"/>
    </row>
    <row r="5308" hidden="1">
      <c r="A5308" s="21"/>
      <c r="B5308" s="21" t="s">
        <v>816</v>
      </c>
      <c r="D5308" s="25">
        <v>0.0</v>
      </c>
      <c r="E5308" s="27"/>
      <c r="F5308" s="25">
        <v>0.0</v>
      </c>
      <c r="G5308" s="27"/>
    </row>
    <row r="5309" hidden="1">
      <c r="A5309" s="21"/>
      <c r="B5309" s="21" t="s">
        <v>817</v>
      </c>
      <c r="D5309" s="25">
        <v>0.0</v>
      </c>
      <c r="E5309" s="27"/>
      <c r="F5309" s="25">
        <v>0.0</v>
      </c>
      <c r="G5309" s="27"/>
    </row>
    <row r="5310" hidden="1">
      <c r="A5310" s="21"/>
      <c r="B5310" s="21" t="s">
        <v>818</v>
      </c>
      <c r="D5310" s="25">
        <v>0.0</v>
      </c>
      <c r="E5310" s="27"/>
      <c r="F5310" s="25">
        <v>0.0</v>
      </c>
      <c r="G5310" s="27"/>
    </row>
    <row r="5311" hidden="1">
      <c r="A5311" s="21"/>
      <c r="B5311" s="21" t="s">
        <v>819</v>
      </c>
      <c r="D5311" s="25">
        <v>0.0</v>
      </c>
      <c r="E5311" s="27"/>
      <c r="F5311" s="25">
        <v>0.0</v>
      </c>
      <c r="G5311" s="27"/>
    </row>
    <row r="5312" hidden="1">
      <c r="A5312" s="21"/>
      <c r="B5312" s="21" t="s">
        <v>820</v>
      </c>
      <c r="D5312" s="25">
        <v>0.0</v>
      </c>
      <c r="E5312" s="27"/>
      <c r="F5312" s="25">
        <v>0.0</v>
      </c>
      <c r="G5312" s="27"/>
    </row>
    <row r="5313" hidden="1">
      <c r="A5313" s="21"/>
      <c r="B5313" s="21" t="s">
        <v>821</v>
      </c>
      <c r="D5313" s="25">
        <v>0.0</v>
      </c>
      <c r="E5313" s="27"/>
      <c r="F5313" s="25">
        <v>0.0</v>
      </c>
      <c r="G5313" s="27"/>
    </row>
    <row r="5314" hidden="1">
      <c r="A5314" s="21"/>
      <c r="B5314" s="21" t="s">
        <v>822</v>
      </c>
      <c r="D5314" s="25">
        <v>0.0</v>
      </c>
      <c r="E5314" s="27"/>
      <c r="F5314" s="25">
        <v>0.0</v>
      </c>
      <c r="G5314" s="27"/>
    </row>
    <row r="5315" hidden="1">
      <c r="A5315" s="21"/>
      <c r="B5315" s="21" t="s">
        <v>823</v>
      </c>
      <c r="D5315" s="25">
        <v>0.0</v>
      </c>
      <c r="E5315" s="27"/>
      <c r="F5315" s="25">
        <v>0.0</v>
      </c>
      <c r="G5315" s="27"/>
    </row>
    <row r="5316" hidden="1">
      <c r="A5316" s="21"/>
      <c r="B5316" s="21" t="s">
        <v>824</v>
      </c>
      <c r="D5316" s="25">
        <v>0.0</v>
      </c>
      <c r="E5316" s="27"/>
      <c r="F5316" s="25">
        <v>0.0</v>
      </c>
      <c r="G5316" s="27"/>
    </row>
    <row r="5317" hidden="1">
      <c r="A5317" s="21"/>
      <c r="B5317" s="21" t="s">
        <v>825</v>
      </c>
      <c r="D5317" s="25">
        <v>0.0</v>
      </c>
      <c r="E5317" s="27"/>
      <c r="F5317" s="25">
        <v>0.0</v>
      </c>
      <c r="G5317" s="27"/>
    </row>
    <row r="5318" hidden="1">
      <c r="A5318" s="21"/>
      <c r="B5318" s="21" t="s">
        <v>826</v>
      </c>
      <c r="D5318" s="25">
        <v>0.0</v>
      </c>
      <c r="E5318" s="27"/>
      <c r="F5318" s="25">
        <v>0.0</v>
      </c>
      <c r="G5318" s="27"/>
    </row>
    <row r="5319" hidden="1">
      <c r="A5319" s="21"/>
      <c r="B5319" s="21" t="s">
        <v>827</v>
      </c>
      <c r="D5319" s="25">
        <v>0.0</v>
      </c>
      <c r="E5319" s="27"/>
      <c r="F5319" s="25">
        <v>0.0</v>
      </c>
      <c r="G5319" s="27"/>
    </row>
    <row r="5320" hidden="1">
      <c r="A5320" s="21"/>
      <c r="B5320" s="21" t="s">
        <v>828</v>
      </c>
      <c r="D5320" s="25">
        <v>0.0</v>
      </c>
      <c r="E5320" s="27"/>
      <c r="F5320" s="25">
        <v>0.0</v>
      </c>
      <c r="G5320" s="27"/>
    </row>
    <row r="5321" hidden="1">
      <c r="A5321" s="21"/>
      <c r="B5321" s="21" t="s">
        <v>829</v>
      </c>
      <c r="D5321" s="25">
        <v>0.0</v>
      </c>
      <c r="E5321" s="27"/>
      <c r="F5321" s="25">
        <v>0.0</v>
      </c>
      <c r="G5321" s="27"/>
    </row>
    <row r="5322" hidden="1">
      <c r="A5322" s="21"/>
      <c r="B5322" s="21" t="s">
        <v>830</v>
      </c>
      <c r="D5322" s="25">
        <v>0.0</v>
      </c>
      <c r="E5322" s="27"/>
      <c r="F5322" s="25">
        <v>0.0</v>
      </c>
      <c r="G5322" s="27"/>
    </row>
    <row r="5323" hidden="1">
      <c r="A5323" s="21"/>
      <c r="B5323" s="21" t="s">
        <v>831</v>
      </c>
      <c r="D5323" s="25">
        <v>0.0</v>
      </c>
      <c r="E5323" s="27"/>
      <c r="F5323" s="25">
        <v>0.0</v>
      </c>
      <c r="G5323" s="27"/>
    </row>
    <row r="5324" hidden="1">
      <c r="A5324" s="21"/>
      <c r="B5324" s="21" t="s">
        <v>832</v>
      </c>
      <c r="D5324" s="25">
        <v>0.0</v>
      </c>
      <c r="E5324" s="27"/>
      <c r="F5324" s="25">
        <v>0.0</v>
      </c>
      <c r="G5324" s="27"/>
    </row>
    <row r="5325" hidden="1">
      <c r="A5325" s="21"/>
      <c r="B5325" s="21" t="s">
        <v>833</v>
      </c>
      <c r="D5325" s="25">
        <v>0.0</v>
      </c>
      <c r="E5325" s="27"/>
      <c r="F5325" s="25">
        <v>0.0</v>
      </c>
      <c r="G5325" s="27"/>
    </row>
    <row r="5326" hidden="1">
      <c r="A5326" s="21"/>
      <c r="B5326" s="21" t="s">
        <v>834</v>
      </c>
      <c r="D5326" s="25">
        <v>0.0</v>
      </c>
      <c r="E5326" s="27"/>
      <c r="F5326" s="25">
        <v>0.0</v>
      </c>
      <c r="G5326" s="27"/>
    </row>
    <row r="5327" hidden="1">
      <c r="A5327" s="21"/>
      <c r="B5327" s="21" t="s">
        <v>835</v>
      </c>
      <c r="D5327" s="25">
        <v>0.0</v>
      </c>
      <c r="E5327" s="27"/>
      <c r="F5327" s="25">
        <v>0.0</v>
      </c>
      <c r="G5327" s="27"/>
    </row>
    <row r="5328" hidden="1">
      <c r="A5328" s="21"/>
      <c r="B5328" s="21" t="s">
        <v>836</v>
      </c>
      <c r="D5328" s="25">
        <v>0.0</v>
      </c>
      <c r="E5328" s="27"/>
      <c r="F5328" s="25">
        <v>0.0</v>
      </c>
      <c r="G5328" s="27"/>
    </row>
    <row r="5329" hidden="1">
      <c r="A5329" s="21"/>
      <c r="B5329" s="21" t="s">
        <v>837</v>
      </c>
      <c r="D5329" s="25">
        <v>0.0</v>
      </c>
      <c r="E5329" s="27"/>
      <c r="F5329" s="25">
        <v>0.0</v>
      </c>
      <c r="G5329" s="27"/>
    </row>
    <row r="5330" hidden="1">
      <c r="A5330" s="21"/>
      <c r="B5330" s="21" t="s">
        <v>838</v>
      </c>
      <c r="D5330" s="25">
        <v>0.0</v>
      </c>
      <c r="E5330" s="27"/>
      <c r="F5330" s="25">
        <v>0.0</v>
      </c>
      <c r="G5330" s="27"/>
    </row>
    <row r="5331" hidden="1">
      <c r="A5331" s="21"/>
      <c r="B5331" s="21" t="s">
        <v>839</v>
      </c>
      <c r="D5331" s="25">
        <v>0.0</v>
      </c>
      <c r="E5331" s="27"/>
      <c r="F5331" s="25">
        <v>0.0</v>
      </c>
      <c r="G5331" s="27"/>
    </row>
    <row r="5332" hidden="1">
      <c r="A5332" s="21"/>
      <c r="B5332" s="21" t="s">
        <v>840</v>
      </c>
      <c r="D5332" s="25">
        <v>0.0</v>
      </c>
      <c r="E5332" s="27"/>
      <c r="F5332" s="25">
        <v>0.0</v>
      </c>
      <c r="G5332" s="27"/>
    </row>
    <row r="5333" hidden="1">
      <c r="A5333" s="21"/>
      <c r="B5333" s="21" t="s">
        <v>841</v>
      </c>
      <c r="D5333" s="25">
        <v>0.0</v>
      </c>
      <c r="E5333" s="27"/>
      <c r="F5333" s="25">
        <v>0.0</v>
      </c>
      <c r="G5333" s="27"/>
    </row>
    <row r="5334" hidden="1">
      <c r="A5334" s="21"/>
      <c r="B5334" s="21" t="s">
        <v>842</v>
      </c>
      <c r="D5334" s="25">
        <v>0.0</v>
      </c>
      <c r="E5334" s="27"/>
      <c r="F5334" s="25">
        <v>0.0</v>
      </c>
      <c r="G5334" s="27"/>
    </row>
    <row r="5335" hidden="1">
      <c r="A5335" s="21"/>
      <c r="B5335" s="21" t="s">
        <v>843</v>
      </c>
      <c r="D5335" s="25">
        <v>0.0</v>
      </c>
      <c r="E5335" s="27"/>
      <c r="F5335" s="25">
        <v>0.0</v>
      </c>
      <c r="G5335" s="27"/>
    </row>
    <row r="5336" hidden="1">
      <c r="A5336" s="21"/>
      <c r="B5336" s="21" t="s">
        <v>5960</v>
      </c>
      <c r="D5336" s="25">
        <v>0.0</v>
      </c>
      <c r="E5336" s="27"/>
      <c r="F5336" s="25">
        <v>0.0</v>
      </c>
      <c r="G5336" s="27"/>
    </row>
    <row r="5337" hidden="1">
      <c r="A5337" s="21"/>
      <c r="B5337" s="21" t="s">
        <v>844</v>
      </c>
      <c r="D5337" s="25">
        <v>0.0</v>
      </c>
      <c r="E5337" s="27"/>
      <c r="F5337" s="25">
        <v>0.0</v>
      </c>
      <c r="G5337" s="27"/>
    </row>
    <row r="5338" hidden="1">
      <c r="A5338" s="21"/>
      <c r="B5338" s="21" t="s">
        <v>845</v>
      </c>
      <c r="D5338" s="25">
        <v>0.0</v>
      </c>
      <c r="E5338" s="27"/>
      <c r="F5338" s="25">
        <v>0.0</v>
      </c>
      <c r="G5338" s="27"/>
    </row>
    <row r="5339" hidden="1">
      <c r="A5339" s="21"/>
      <c r="B5339" s="21" t="s">
        <v>846</v>
      </c>
      <c r="D5339" s="25">
        <v>0.0</v>
      </c>
      <c r="E5339" s="27"/>
      <c r="F5339" s="25">
        <v>0.0</v>
      </c>
      <c r="G5339" s="27"/>
    </row>
    <row r="5340" hidden="1">
      <c r="A5340" s="21"/>
      <c r="B5340" s="21" t="s">
        <v>847</v>
      </c>
      <c r="D5340" s="25">
        <v>0.0</v>
      </c>
      <c r="E5340" s="27"/>
      <c r="F5340" s="25">
        <v>0.0</v>
      </c>
      <c r="G5340" s="27"/>
    </row>
    <row r="5341" hidden="1">
      <c r="A5341" s="21"/>
      <c r="B5341" s="21" t="s">
        <v>848</v>
      </c>
      <c r="D5341" s="25">
        <v>0.0</v>
      </c>
      <c r="E5341" s="27"/>
      <c r="F5341" s="25">
        <v>0.0</v>
      </c>
      <c r="G5341" s="27"/>
    </row>
    <row r="5342" hidden="1">
      <c r="A5342" s="21"/>
      <c r="B5342" s="21" t="s">
        <v>849</v>
      </c>
      <c r="D5342" s="25">
        <v>0.0</v>
      </c>
      <c r="E5342" s="27"/>
      <c r="F5342" s="25">
        <v>0.0</v>
      </c>
      <c r="G5342" s="27"/>
    </row>
    <row r="5343" hidden="1">
      <c r="A5343" s="21"/>
      <c r="B5343" s="21" t="s">
        <v>850</v>
      </c>
      <c r="D5343" s="25">
        <v>0.0</v>
      </c>
      <c r="E5343" s="27"/>
      <c r="F5343" s="25">
        <v>0.0</v>
      </c>
      <c r="G5343" s="27"/>
    </row>
    <row r="5344" hidden="1">
      <c r="A5344" s="21"/>
      <c r="B5344" s="21" t="s">
        <v>851</v>
      </c>
      <c r="D5344" s="25">
        <v>0.0</v>
      </c>
      <c r="E5344" s="27"/>
      <c r="F5344" s="25">
        <v>0.0</v>
      </c>
      <c r="G5344" s="27"/>
    </row>
    <row r="5345" hidden="1">
      <c r="A5345" s="21"/>
      <c r="B5345" s="21" t="s">
        <v>5961</v>
      </c>
      <c r="D5345" s="25">
        <v>0.0</v>
      </c>
      <c r="E5345" s="27"/>
      <c r="F5345" s="25">
        <v>0.0</v>
      </c>
      <c r="G5345" s="27"/>
    </row>
    <row r="5346" hidden="1">
      <c r="A5346" s="21"/>
      <c r="B5346" s="21" t="s">
        <v>5962</v>
      </c>
      <c r="D5346" s="25">
        <v>0.0</v>
      </c>
      <c r="E5346" s="27"/>
      <c r="F5346" s="25">
        <v>0.0</v>
      </c>
      <c r="G5346" s="27"/>
    </row>
    <row r="5347" hidden="1">
      <c r="A5347" s="21"/>
      <c r="B5347" s="21" t="s">
        <v>5963</v>
      </c>
      <c r="D5347" s="25">
        <v>0.0</v>
      </c>
      <c r="E5347" s="27"/>
      <c r="F5347" s="25">
        <v>0.0</v>
      </c>
      <c r="G5347" s="27"/>
    </row>
    <row r="5348" hidden="1">
      <c r="A5348" s="21"/>
      <c r="B5348" s="21" t="s">
        <v>5964</v>
      </c>
      <c r="D5348" s="25">
        <v>0.0</v>
      </c>
      <c r="E5348" s="27"/>
      <c r="F5348" s="25">
        <v>0.0</v>
      </c>
      <c r="G5348" s="27"/>
    </row>
    <row r="5349" hidden="1">
      <c r="A5349" s="21"/>
      <c r="B5349" s="21" t="s">
        <v>5965</v>
      </c>
      <c r="D5349" s="25">
        <v>0.0</v>
      </c>
      <c r="E5349" s="27"/>
      <c r="F5349" s="25">
        <v>0.0</v>
      </c>
      <c r="G5349" s="27"/>
    </row>
    <row r="5350" hidden="1">
      <c r="A5350" s="21"/>
      <c r="B5350" s="21" t="s">
        <v>5966</v>
      </c>
      <c r="D5350" s="25">
        <v>0.0</v>
      </c>
      <c r="E5350" s="27"/>
      <c r="F5350" s="25">
        <v>0.0</v>
      </c>
      <c r="G5350" s="27"/>
    </row>
    <row r="5351" hidden="1">
      <c r="A5351" s="21"/>
      <c r="B5351" s="21" t="s">
        <v>5967</v>
      </c>
      <c r="D5351" s="25">
        <v>0.0</v>
      </c>
      <c r="E5351" s="27"/>
      <c r="F5351" s="25">
        <v>0.0</v>
      </c>
      <c r="G5351" s="27"/>
    </row>
    <row r="5352" hidden="1">
      <c r="A5352" s="21"/>
      <c r="B5352" s="21" t="s">
        <v>5968</v>
      </c>
      <c r="D5352" s="25">
        <v>0.0</v>
      </c>
      <c r="E5352" s="27"/>
      <c r="F5352" s="25">
        <v>0.0</v>
      </c>
      <c r="G5352" s="27"/>
    </row>
    <row r="5353" hidden="1">
      <c r="A5353" s="21"/>
      <c r="B5353" s="21" t="s">
        <v>5969</v>
      </c>
      <c r="D5353" s="25">
        <v>0.0</v>
      </c>
      <c r="E5353" s="27"/>
      <c r="F5353" s="25">
        <v>0.0</v>
      </c>
      <c r="G5353" s="27"/>
    </row>
    <row r="5354" hidden="1">
      <c r="A5354" s="21"/>
      <c r="B5354" s="21" t="s">
        <v>5970</v>
      </c>
      <c r="D5354" s="25">
        <v>0.0</v>
      </c>
      <c r="E5354" s="27"/>
      <c r="F5354" s="25">
        <v>0.0</v>
      </c>
      <c r="G5354" s="27"/>
    </row>
    <row r="5355" hidden="1">
      <c r="A5355" s="21"/>
      <c r="B5355" s="21" t="s">
        <v>5971</v>
      </c>
      <c r="D5355" s="25">
        <v>0.0</v>
      </c>
      <c r="E5355" s="27"/>
      <c r="F5355" s="25">
        <v>0.0</v>
      </c>
      <c r="G5355" s="27"/>
    </row>
    <row r="5356" hidden="1">
      <c r="A5356" s="21"/>
      <c r="B5356" s="21" t="s">
        <v>5972</v>
      </c>
      <c r="D5356" s="25">
        <v>0.0</v>
      </c>
      <c r="E5356" s="27"/>
      <c r="F5356" s="25">
        <v>0.0</v>
      </c>
      <c r="G5356" s="27"/>
    </row>
    <row r="5357" hidden="1">
      <c r="A5357" s="21"/>
      <c r="B5357" s="21" t="s">
        <v>5973</v>
      </c>
      <c r="D5357" s="25">
        <v>0.0</v>
      </c>
      <c r="E5357" s="27"/>
      <c r="F5357" s="25">
        <v>0.0</v>
      </c>
      <c r="G5357" s="27"/>
    </row>
    <row r="5358" hidden="1">
      <c r="A5358" s="21"/>
      <c r="B5358" s="21" t="s">
        <v>5974</v>
      </c>
      <c r="D5358" s="25">
        <v>0.0</v>
      </c>
      <c r="E5358" s="27"/>
      <c r="F5358" s="25">
        <v>0.0</v>
      </c>
      <c r="G5358" s="27"/>
    </row>
    <row r="5359" hidden="1">
      <c r="A5359" s="21"/>
      <c r="B5359" s="21" t="s">
        <v>5975</v>
      </c>
      <c r="D5359" s="25">
        <v>0.0</v>
      </c>
      <c r="E5359" s="27"/>
      <c r="F5359" s="25">
        <v>0.0</v>
      </c>
      <c r="G5359" s="27"/>
    </row>
    <row r="5360" hidden="1">
      <c r="A5360" s="21"/>
      <c r="B5360" s="21" t="s">
        <v>5976</v>
      </c>
      <c r="D5360" s="25">
        <v>0.0</v>
      </c>
      <c r="E5360" s="27"/>
      <c r="F5360" s="25">
        <v>0.0</v>
      </c>
      <c r="G5360" s="27"/>
    </row>
    <row r="5361" hidden="1">
      <c r="A5361" s="21"/>
      <c r="B5361" s="21" t="s">
        <v>5977</v>
      </c>
      <c r="D5361" s="25">
        <v>0.0</v>
      </c>
      <c r="E5361" s="27"/>
      <c r="F5361" s="25">
        <v>0.0</v>
      </c>
      <c r="G5361" s="27"/>
    </row>
    <row r="5362" hidden="1">
      <c r="A5362" s="21"/>
      <c r="B5362" s="21" t="s">
        <v>5978</v>
      </c>
      <c r="D5362" s="25">
        <v>0.0</v>
      </c>
      <c r="E5362" s="27"/>
      <c r="F5362" s="25">
        <v>0.0</v>
      </c>
      <c r="G5362" s="27"/>
    </row>
    <row r="5363" hidden="1">
      <c r="A5363" s="21"/>
      <c r="B5363" s="21" t="s">
        <v>5979</v>
      </c>
      <c r="D5363" s="25">
        <v>0.0</v>
      </c>
      <c r="E5363" s="27"/>
      <c r="F5363" s="25">
        <v>0.0</v>
      </c>
      <c r="G5363" s="27"/>
    </row>
    <row r="5364" hidden="1">
      <c r="A5364" s="21"/>
      <c r="B5364" s="21" t="s">
        <v>5980</v>
      </c>
      <c r="D5364" s="25">
        <v>0.0</v>
      </c>
      <c r="E5364" s="27"/>
      <c r="F5364" s="25">
        <v>0.0</v>
      </c>
      <c r="G5364" s="27"/>
    </row>
    <row r="5365" hidden="1">
      <c r="A5365" s="21"/>
      <c r="B5365" s="21" t="s">
        <v>5981</v>
      </c>
      <c r="D5365" s="25">
        <v>0.0</v>
      </c>
      <c r="E5365" s="27"/>
      <c r="F5365" s="25">
        <v>0.0</v>
      </c>
      <c r="G5365" s="27"/>
    </row>
    <row r="5366" hidden="1">
      <c r="A5366" s="21"/>
      <c r="B5366" s="21" t="s">
        <v>5982</v>
      </c>
      <c r="D5366" s="25">
        <v>0.0</v>
      </c>
      <c r="E5366" s="27"/>
      <c r="F5366" s="25">
        <v>0.0</v>
      </c>
      <c r="G5366" s="27"/>
    </row>
  </sheetData>
  <autoFilter ref="$A$1:$G$5366">
    <filterColumn colId="0">
      <filters>
        <filter val="yes"/>
      </filters>
    </filterColumn>
  </autoFilter>
  <mergeCells count="4919">
    <mergeCell ref="B2849:C2849"/>
    <mergeCell ref="B2850:C2850"/>
    <mergeCell ref="B2851:C2851"/>
    <mergeCell ref="B2852:C2852"/>
    <mergeCell ref="B2853:C2853"/>
    <mergeCell ref="B2854:C2854"/>
    <mergeCell ref="B2855:C2855"/>
    <mergeCell ref="B2856:C2856"/>
    <mergeCell ref="B2857:C2857"/>
    <mergeCell ref="B2858:C2858"/>
    <mergeCell ref="B2859:C2859"/>
    <mergeCell ref="B2860:C2860"/>
    <mergeCell ref="B2861:C2861"/>
    <mergeCell ref="B2862:C2862"/>
    <mergeCell ref="B2863:C2863"/>
    <mergeCell ref="B2864:C2864"/>
    <mergeCell ref="B2865:C2865"/>
    <mergeCell ref="B2866:C2866"/>
    <mergeCell ref="B2867:C2867"/>
    <mergeCell ref="B2868:C2868"/>
    <mergeCell ref="B2869:C2869"/>
    <mergeCell ref="B2870:C2870"/>
    <mergeCell ref="B2871:C2871"/>
    <mergeCell ref="B2872:C2872"/>
    <mergeCell ref="B2873:C2873"/>
    <mergeCell ref="B2874:C2874"/>
    <mergeCell ref="B2875:C2875"/>
    <mergeCell ref="B2876:C2876"/>
    <mergeCell ref="B2877:C2877"/>
    <mergeCell ref="B2878:C2878"/>
    <mergeCell ref="B2879:C2879"/>
    <mergeCell ref="B2880:C2880"/>
    <mergeCell ref="B2881:C2881"/>
    <mergeCell ref="B2882:C2882"/>
    <mergeCell ref="B2883:C2883"/>
    <mergeCell ref="B2884:C2884"/>
    <mergeCell ref="B2885:C2885"/>
    <mergeCell ref="B2886:C2886"/>
    <mergeCell ref="B2887:C2887"/>
    <mergeCell ref="B2888:C2888"/>
    <mergeCell ref="B2889:C2889"/>
    <mergeCell ref="B2890:C2890"/>
    <mergeCell ref="B2891:C2891"/>
    <mergeCell ref="B2892:C2892"/>
    <mergeCell ref="B2893:C2893"/>
    <mergeCell ref="B2894:C2894"/>
    <mergeCell ref="B2895:C2895"/>
    <mergeCell ref="B2896:C2896"/>
    <mergeCell ref="B2897:C2897"/>
    <mergeCell ref="B2898:C2898"/>
    <mergeCell ref="B2899:C2899"/>
    <mergeCell ref="B2900:C2900"/>
    <mergeCell ref="B2901:C2901"/>
    <mergeCell ref="B2902:C2902"/>
    <mergeCell ref="B2903:C2903"/>
    <mergeCell ref="B2904:C2904"/>
    <mergeCell ref="B2905:C2905"/>
    <mergeCell ref="B2906:C2906"/>
    <mergeCell ref="B2907:C2907"/>
    <mergeCell ref="B2908:C2908"/>
    <mergeCell ref="B2909:C2909"/>
    <mergeCell ref="B2910:C2910"/>
    <mergeCell ref="B2911:C2911"/>
    <mergeCell ref="B2912:C2912"/>
    <mergeCell ref="B2913:C2913"/>
    <mergeCell ref="B2914:C2914"/>
    <mergeCell ref="B2915:C2915"/>
    <mergeCell ref="B2916:C2916"/>
    <mergeCell ref="B2917:C2917"/>
    <mergeCell ref="B2918:C2918"/>
    <mergeCell ref="B2919:C2919"/>
    <mergeCell ref="B2920:C2920"/>
    <mergeCell ref="B2921:C2921"/>
    <mergeCell ref="B2922:C2922"/>
    <mergeCell ref="B2923:C2923"/>
    <mergeCell ref="B2924:C2924"/>
    <mergeCell ref="B2925:C2925"/>
    <mergeCell ref="B2926:C2926"/>
    <mergeCell ref="B2927:C2927"/>
    <mergeCell ref="B2928:C2928"/>
    <mergeCell ref="B2929:C2929"/>
    <mergeCell ref="B2930:C2930"/>
    <mergeCell ref="B2931:C2931"/>
    <mergeCell ref="B2932:C2932"/>
    <mergeCell ref="B2933:C2933"/>
    <mergeCell ref="B2934:C2934"/>
    <mergeCell ref="B2935:C2935"/>
    <mergeCell ref="B2936:C2936"/>
    <mergeCell ref="B2937:C2937"/>
    <mergeCell ref="B2938:C2938"/>
    <mergeCell ref="B2939:C2939"/>
    <mergeCell ref="B2940:C2940"/>
    <mergeCell ref="B2941:C2941"/>
    <mergeCell ref="B2942:C2942"/>
    <mergeCell ref="B2943:C2943"/>
    <mergeCell ref="B2944:C2944"/>
    <mergeCell ref="B2945:C2945"/>
    <mergeCell ref="B2946:C2946"/>
    <mergeCell ref="B2947:C2947"/>
    <mergeCell ref="B2948:C2948"/>
    <mergeCell ref="B2949:C2949"/>
    <mergeCell ref="B2950:C2950"/>
    <mergeCell ref="B2951:C2951"/>
    <mergeCell ref="B2952:C2952"/>
    <mergeCell ref="B2953:C2953"/>
    <mergeCell ref="B2954:C2954"/>
    <mergeCell ref="B2955:C2955"/>
    <mergeCell ref="B2956:C2956"/>
    <mergeCell ref="B2957:C2957"/>
    <mergeCell ref="B2958:C2958"/>
    <mergeCell ref="B2959:C2959"/>
    <mergeCell ref="B2960:C2960"/>
    <mergeCell ref="B2961:C2961"/>
    <mergeCell ref="B2962:C2962"/>
    <mergeCell ref="B2963:C2963"/>
    <mergeCell ref="B2964:C2964"/>
    <mergeCell ref="B2965:C2965"/>
    <mergeCell ref="B2966:C2966"/>
    <mergeCell ref="B2967:C2967"/>
    <mergeCell ref="B2968:C2968"/>
    <mergeCell ref="B2969:C2969"/>
    <mergeCell ref="B2970:C2970"/>
    <mergeCell ref="B2971:C2971"/>
    <mergeCell ref="B2972:C2972"/>
    <mergeCell ref="B2973:C2973"/>
    <mergeCell ref="B2974:C2974"/>
    <mergeCell ref="B2975:C2975"/>
    <mergeCell ref="B2976:C2976"/>
    <mergeCell ref="B2977:C2977"/>
    <mergeCell ref="B2978:C2978"/>
    <mergeCell ref="B2979:C2979"/>
    <mergeCell ref="B2980:C2980"/>
    <mergeCell ref="B2981:C2981"/>
    <mergeCell ref="B2982:C2982"/>
    <mergeCell ref="B2983:C2983"/>
    <mergeCell ref="B2984:C2984"/>
    <mergeCell ref="B2985:C2985"/>
    <mergeCell ref="B2986:C2986"/>
    <mergeCell ref="B2987:C2987"/>
    <mergeCell ref="B2988:C2988"/>
    <mergeCell ref="B2989:C2989"/>
    <mergeCell ref="B2990:C2990"/>
    <mergeCell ref="B2991:C2991"/>
    <mergeCell ref="B2992:C2992"/>
    <mergeCell ref="B2993:C2993"/>
    <mergeCell ref="B2994:C2994"/>
    <mergeCell ref="B2995:C2995"/>
    <mergeCell ref="B2996:C2996"/>
    <mergeCell ref="B2997:C2997"/>
    <mergeCell ref="B2998:C2998"/>
    <mergeCell ref="B2999:C2999"/>
    <mergeCell ref="B3000:C3000"/>
    <mergeCell ref="B3001:C3001"/>
    <mergeCell ref="B3002:C3002"/>
    <mergeCell ref="B3003:C3003"/>
    <mergeCell ref="B3004:C3004"/>
    <mergeCell ref="B3005:C3005"/>
    <mergeCell ref="B3006:C3006"/>
    <mergeCell ref="B3007:C3007"/>
    <mergeCell ref="B3008:C3008"/>
    <mergeCell ref="B3009:C3009"/>
    <mergeCell ref="B3010:C3010"/>
    <mergeCell ref="B3011:C3011"/>
    <mergeCell ref="B3012:C3012"/>
    <mergeCell ref="B3013:C3013"/>
    <mergeCell ref="B3014:C3014"/>
    <mergeCell ref="B3015:C3015"/>
    <mergeCell ref="B3016:C3016"/>
    <mergeCell ref="B3017:C3017"/>
    <mergeCell ref="B3018:C3018"/>
    <mergeCell ref="B3019:C3019"/>
    <mergeCell ref="B3020:C3020"/>
    <mergeCell ref="B3021:C3021"/>
    <mergeCell ref="B3022:C3022"/>
    <mergeCell ref="B3023:C3023"/>
    <mergeCell ref="B3024:C3024"/>
    <mergeCell ref="B3025:C3025"/>
    <mergeCell ref="B3026:C3026"/>
    <mergeCell ref="B3027:C3027"/>
    <mergeCell ref="B3028:C3028"/>
    <mergeCell ref="B3029:C3029"/>
    <mergeCell ref="B3030:C3030"/>
    <mergeCell ref="B3031:C3031"/>
    <mergeCell ref="B3032:C3032"/>
    <mergeCell ref="B3033:C3033"/>
    <mergeCell ref="B3034:C3034"/>
    <mergeCell ref="B3035:C3035"/>
    <mergeCell ref="B3036:C3036"/>
    <mergeCell ref="B3037:C3037"/>
    <mergeCell ref="B3038:C3038"/>
    <mergeCell ref="B3039:C3039"/>
    <mergeCell ref="B3040:C3040"/>
    <mergeCell ref="B3041:C3041"/>
    <mergeCell ref="B3042:C3042"/>
    <mergeCell ref="B3043:C3043"/>
    <mergeCell ref="B3044:C3044"/>
    <mergeCell ref="B3045:C3045"/>
    <mergeCell ref="B3046:C3046"/>
    <mergeCell ref="B3047:C3047"/>
    <mergeCell ref="B3048:C3048"/>
    <mergeCell ref="B3049:C3049"/>
    <mergeCell ref="B3050:C3050"/>
    <mergeCell ref="B3051:C3051"/>
    <mergeCell ref="B3052:C3052"/>
    <mergeCell ref="B3053:C3053"/>
    <mergeCell ref="B3054:C3054"/>
    <mergeCell ref="B3055:C3055"/>
    <mergeCell ref="B3056:C3056"/>
    <mergeCell ref="B3057:C3057"/>
    <mergeCell ref="B3058:C3058"/>
    <mergeCell ref="B3059:C3059"/>
    <mergeCell ref="B3060:C3060"/>
    <mergeCell ref="B3061:C3061"/>
    <mergeCell ref="B3062:C3062"/>
    <mergeCell ref="B3063:C3063"/>
    <mergeCell ref="B3064:C3064"/>
    <mergeCell ref="B3065:C3065"/>
    <mergeCell ref="B3066:C3066"/>
    <mergeCell ref="B3067:C3067"/>
    <mergeCell ref="B3068:C3068"/>
    <mergeCell ref="B3069:C3069"/>
    <mergeCell ref="B3070:C3070"/>
    <mergeCell ref="B3071:C3071"/>
    <mergeCell ref="B3072:C3072"/>
    <mergeCell ref="B3073:C3073"/>
    <mergeCell ref="B3074:C3074"/>
    <mergeCell ref="B3075:C3075"/>
    <mergeCell ref="B3076:C3076"/>
    <mergeCell ref="B3077:C3077"/>
    <mergeCell ref="B3078:C3078"/>
    <mergeCell ref="B3079:C3079"/>
    <mergeCell ref="B3080:C3080"/>
    <mergeCell ref="B3081:C3081"/>
    <mergeCell ref="B3082:C3082"/>
    <mergeCell ref="B3083:C3083"/>
    <mergeCell ref="B3084:C3084"/>
    <mergeCell ref="B3085:C3085"/>
    <mergeCell ref="B3086:C3086"/>
    <mergeCell ref="B3087:C3087"/>
    <mergeCell ref="B3088:C3088"/>
    <mergeCell ref="B3089:C3089"/>
    <mergeCell ref="B3090:C3090"/>
    <mergeCell ref="B3091:C3091"/>
    <mergeCell ref="B3092:C3092"/>
    <mergeCell ref="B3093:C3093"/>
    <mergeCell ref="B3094:C3094"/>
    <mergeCell ref="B3095:C3095"/>
    <mergeCell ref="B3096:C3096"/>
    <mergeCell ref="B3097:C3097"/>
    <mergeCell ref="B3098:C3098"/>
    <mergeCell ref="B3099:C3099"/>
    <mergeCell ref="B3100:C3100"/>
    <mergeCell ref="B3101:C3101"/>
    <mergeCell ref="B3102:C3102"/>
    <mergeCell ref="B3103:C3103"/>
    <mergeCell ref="B3104:C3104"/>
    <mergeCell ref="B3105:C3105"/>
    <mergeCell ref="B3106:C3106"/>
    <mergeCell ref="B3107:C3107"/>
    <mergeCell ref="B3108:C3108"/>
    <mergeCell ref="B3109:C3109"/>
    <mergeCell ref="B3110:C3110"/>
    <mergeCell ref="B3111:C3111"/>
    <mergeCell ref="B3112:C3112"/>
    <mergeCell ref="B3113:C3113"/>
    <mergeCell ref="B3114:C3114"/>
    <mergeCell ref="B3115:C3115"/>
    <mergeCell ref="B3116:C3116"/>
    <mergeCell ref="B3117:C3117"/>
    <mergeCell ref="B3118:C3118"/>
    <mergeCell ref="B3119:C3119"/>
    <mergeCell ref="B3120:C3120"/>
    <mergeCell ref="B3121:C3121"/>
    <mergeCell ref="B3122:C3122"/>
    <mergeCell ref="B3123:C3123"/>
    <mergeCell ref="B3124:C3124"/>
    <mergeCell ref="B3125:C3125"/>
    <mergeCell ref="B3126:C3126"/>
    <mergeCell ref="B3127:C3127"/>
    <mergeCell ref="B3128:C3128"/>
    <mergeCell ref="B3129:C3129"/>
    <mergeCell ref="B3130:C3130"/>
    <mergeCell ref="B3131:C3131"/>
    <mergeCell ref="B3132:C3132"/>
    <mergeCell ref="B3133:C3133"/>
    <mergeCell ref="B3134:C3134"/>
    <mergeCell ref="B3135:C3135"/>
    <mergeCell ref="B3136:C3136"/>
    <mergeCell ref="B3137:C3137"/>
    <mergeCell ref="B3138:C3138"/>
    <mergeCell ref="B3139:C3139"/>
    <mergeCell ref="B3140:C3140"/>
    <mergeCell ref="B3141:C3141"/>
    <mergeCell ref="B3142:C3142"/>
    <mergeCell ref="B3143:C3143"/>
    <mergeCell ref="B3144:C3144"/>
    <mergeCell ref="B3145:C3145"/>
    <mergeCell ref="B3146:C3146"/>
    <mergeCell ref="B3147:C3147"/>
    <mergeCell ref="B3148:C3148"/>
    <mergeCell ref="B3149:C3149"/>
    <mergeCell ref="B3150:C3150"/>
    <mergeCell ref="B3151:C3151"/>
    <mergeCell ref="B3152:C3152"/>
    <mergeCell ref="B3153:C3153"/>
    <mergeCell ref="B3154:C3154"/>
    <mergeCell ref="B3155:C3155"/>
    <mergeCell ref="B3156:C3156"/>
    <mergeCell ref="B3157:C3157"/>
    <mergeCell ref="B3158:C3158"/>
    <mergeCell ref="B3159:C3159"/>
    <mergeCell ref="B3160:C3160"/>
    <mergeCell ref="B3161:C3161"/>
    <mergeCell ref="B3162:C3162"/>
    <mergeCell ref="B3163:C3163"/>
    <mergeCell ref="B3164:C3164"/>
    <mergeCell ref="B3165:C3165"/>
    <mergeCell ref="B3166:C3166"/>
    <mergeCell ref="B3167:C3167"/>
    <mergeCell ref="B3168:C3168"/>
    <mergeCell ref="B3169:C3169"/>
    <mergeCell ref="B3170:C3170"/>
    <mergeCell ref="B3171:C3171"/>
    <mergeCell ref="B3172:C3172"/>
    <mergeCell ref="B3173:C3173"/>
    <mergeCell ref="B3174:C3174"/>
    <mergeCell ref="B3175:C3175"/>
    <mergeCell ref="B3176:C3176"/>
    <mergeCell ref="B3177:C3177"/>
    <mergeCell ref="B3178:C3178"/>
    <mergeCell ref="B3179:C3179"/>
    <mergeCell ref="B3180:C3180"/>
    <mergeCell ref="B3181:C3181"/>
    <mergeCell ref="B3182:C3182"/>
    <mergeCell ref="B3183:C3183"/>
    <mergeCell ref="B3184:C3184"/>
    <mergeCell ref="B3185:C3185"/>
    <mergeCell ref="B3186:C3186"/>
    <mergeCell ref="B3187:C3187"/>
    <mergeCell ref="B3188:C3188"/>
    <mergeCell ref="B3189:C3189"/>
    <mergeCell ref="B3190:C3190"/>
    <mergeCell ref="B3191:C3191"/>
    <mergeCell ref="B3192:C3192"/>
    <mergeCell ref="B3193:C3193"/>
    <mergeCell ref="B3194:C3194"/>
    <mergeCell ref="B3195:C3195"/>
    <mergeCell ref="B3196:C3196"/>
    <mergeCell ref="B3197:C3197"/>
    <mergeCell ref="B3198:C3198"/>
    <mergeCell ref="B3199:C3199"/>
    <mergeCell ref="B3200:C3200"/>
    <mergeCell ref="B3201:C3201"/>
    <mergeCell ref="B3202:C3202"/>
    <mergeCell ref="B3203:C3203"/>
    <mergeCell ref="B3204:C3204"/>
    <mergeCell ref="B3205:C3205"/>
    <mergeCell ref="B3206:C3206"/>
    <mergeCell ref="B3207:C3207"/>
    <mergeCell ref="B3208:C3208"/>
    <mergeCell ref="B3209:C3209"/>
    <mergeCell ref="B3210:C3210"/>
    <mergeCell ref="B3211:C3211"/>
    <mergeCell ref="B3212:C3212"/>
    <mergeCell ref="B3213:C3213"/>
    <mergeCell ref="B3214:C3214"/>
    <mergeCell ref="B3215:C3215"/>
    <mergeCell ref="B3216:C3216"/>
    <mergeCell ref="B3217:C3217"/>
    <mergeCell ref="B3218:C3218"/>
    <mergeCell ref="B3219:C3219"/>
    <mergeCell ref="B3220:C3220"/>
    <mergeCell ref="B3221:C3221"/>
    <mergeCell ref="B3222:C3222"/>
    <mergeCell ref="B3223:C3223"/>
    <mergeCell ref="B3224:C3224"/>
    <mergeCell ref="B3225:C3225"/>
    <mergeCell ref="B3226:C3226"/>
    <mergeCell ref="B3227:C3227"/>
    <mergeCell ref="B3228:C3228"/>
    <mergeCell ref="B3229:C3229"/>
    <mergeCell ref="B3230:C3230"/>
    <mergeCell ref="B3231:C3231"/>
    <mergeCell ref="B3232:C3232"/>
    <mergeCell ref="B3233:C3233"/>
    <mergeCell ref="B3234:C3234"/>
    <mergeCell ref="B3235:C3235"/>
    <mergeCell ref="B3236:C3236"/>
    <mergeCell ref="B3237:C3237"/>
    <mergeCell ref="B3238:C3238"/>
    <mergeCell ref="B3239:C3239"/>
    <mergeCell ref="B3240:C3240"/>
    <mergeCell ref="B3241:C3241"/>
    <mergeCell ref="B3242:C3242"/>
    <mergeCell ref="B3243:C3243"/>
    <mergeCell ref="B3244:C3244"/>
    <mergeCell ref="B3245:C3245"/>
    <mergeCell ref="B3246:C3246"/>
    <mergeCell ref="B3247:C3247"/>
    <mergeCell ref="B3248:C3248"/>
    <mergeCell ref="B3249:C3249"/>
    <mergeCell ref="B3250:C3250"/>
    <mergeCell ref="B3251:C3251"/>
    <mergeCell ref="B3252:C3252"/>
    <mergeCell ref="B3253:C3253"/>
    <mergeCell ref="B3254:C3254"/>
    <mergeCell ref="B3255:C3255"/>
    <mergeCell ref="B3256:C3256"/>
    <mergeCell ref="B3257:C3257"/>
    <mergeCell ref="B3258:C3258"/>
    <mergeCell ref="B3259:C3259"/>
    <mergeCell ref="B3260:C3260"/>
    <mergeCell ref="B3261:C3261"/>
    <mergeCell ref="B3262:C3262"/>
    <mergeCell ref="B3263:C3263"/>
    <mergeCell ref="B3264:C3264"/>
    <mergeCell ref="B3265:C3265"/>
    <mergeCell ref="B3266:C3266"/>
    <mergeCell ref="B3267:C3267"/>
    <mergeCell ref="B3268:C3268"/>
    <mergeCell ref="B3269:C3269"/>
    <mergeCell ref="B3270:C3270"/>
    <mergeCell ref="B3271:C3271"/>
    <mergeCell ref="B3272:C3272"/>
    <mergeCell ref="B3273:C3273"/>
    <mergeCell ref="B3274:C3274"/>
    <mergeCell ref="B3275:C3275"/>
    <mergeCell ref="B3276:C3276"/>
    <mergeCell ref="B3277:C3277"/>
    <mergeCell ref="B3278:C3278"/>
    <mergeCell ref="B3279:C3279"/>
    <mergeCell ref="B3280:C3280"/>
    <mergeCell ref="B3281:C3281"/>
    <mergeCell ref="B3282:C3282"/>
    <mergeCell ref="B3283:C3283"/>
    <mergeCell ref="B3284:C3284"/>
    <mergeCell ref="B3285:C3285"/>
    <mergeCell ref="B3286:C3286"/>
    <mergeCell ref="B3287:C3287"/>
    <mergeCell ref="B3288:C3288"/>
    <mergeCell ref="B3289:C3289"/>
    <mergeCell ref="B3290:C3290"/>
    <mergeCell ref="B3291:C3291"/>
    <mergeCell ref="B3292:C3292"/>
    <mergeCell ref="B3293:C3293"/>
    <mergeCell ref="B3294:C3294"/>
    <mergeCell ref="B3295:C3295"/>
    <mergeCell ref="B3296:C3296"/>
    <mergeCell ref="B3297:C3297"/>
    <mergeCell ref="B3298:C3298"/>
    <mergeCell ref="B3299:C3299"/>
    <mergeCell ref="B3300:C3300"/>
    <mergeCell ref="B3301:C3301"/>
    <mergeCell ref="B3302:C3302"/>
    <mergeCell ref="B3303:C3303"/>
    <mergeCell ref="B3304:C3304"/>
    <mergeCell ref="B3305:C3305"/>
    <mergeCell ref="B3306:C3306"/>
    <mergeCell ref="B3307:C3307"/>
    <mergeCell ref="B3308:C3308"/>
    <mergeCell ref="B3309:C3309"/>
    <mergeCell ref="B3310:C3310"/>
    <mergeCell ref="B3311:C3311"/>
    <mergeCell ref="B3312:C3312"/>
    <mergeCell ref="B3313:C3313"/>
    <mergeCell ref="B3314:C3314"/>
    <mergeCell ref="B3315:C3315"/>
    <mergeCell ref="B3316:C3316"/>
    <mergeCell ref="B3317:C3317"/>
    <mergeCell ref="B3318:C3318"/>
    <mergeCell ref="B3319:C3319"/>
    <mergeCell ref="B3320:C3320"/>
    <mergeCell ref="B3321:C3321"/>
    <mergeCell ref="B3322:C3322"/>
    <mergeCell ref="B3323:C3323"/>
    <mergeCell ref="B3324:C3324"/>
    <mergeCell ref="B3325:C3325"/>
    <mergeCell ref="B3326:C3326"/>
    <mergeCell ref="B3327:C3327"/>
    <mergeCell ref="B3328:C3328"/>
    <mergeCell ref="B3329:C3329"/>
    <mergeCell ref="B3330:C3330"/>
    <mergeCell ref="B3331:C3331"/>
    <mergeCell ref="B3332:C3332"/>
    <mergeCell ref="B3333:C3333"/>
    <mergeCell ref="B3334:C3334"/>
    <mergeCell ref="B3335:C3335"/>
    <mergeCell ref="B3336:C3336"/>
    <mergeCell ref="B3337:C3337"/>
    <mergeCell ref="B3338:C3338"/>
    <mergeCell ref="B3339:C3339"/>
    <mergeCell ref="B3340:C3340"/>
    <mergeCell ref="B3341:C3341"/>
    <mergeCell ref="B3342:C3342"/>
    <mergeCell ref="B3343:C3343"/>
    <mergeCell ref="B3344:C3344"/>
    <mergeCell ref="B3345:C3345"/>
    <mergeCell ref="B3346:C3346"/>
    <mergeCell ref="B3347:C3347"/>
    <mergeCell ref="B3348:C3348"/>
    <mergeCell ref="B3349:C3349"/>
    <mergeCell ref="B3350:C3350"/>
    <mergeCell ref="B3351:C3351"/>
    <mergeCell ref="B3352:C3352"/>
    <mergeCell ref="B3353:C3353"/>
    <mergeCell ref="B3354:C3354"/>
    <mergeCell ref="B3355:C3355"/>
    <mergeCell ref="B3356:C3356"/>
    <mergeCell ref="B3357:C3357"/>
    <mergeCell ref="B3358:C3358"/>
    <mergeCell ref="B3359:C3359"/>
    <mergeCell ref="B3360:C3360"/>
    <mergeCell ref="B3361:C3361"/>
    <mergeCell ref="B3362:C3362"/>
    <mergeCell ref="B3363:C3363"/>
    <mergeCell ref="B3364:C3364"/>
    <mergeCell ref="B3365:C3365"/>
    <mergeCell ref="B3366:C3366"/>
    <mergeCell ref="B3367:C3367"/>
    <mergeCell ref="B3368:C3368"/>
    <mergeCell ref="B3369:C3369"/>
    <mergeCell ref="B3370:C3370"/>
    <mergeCell ref="B3371:C3371"/>
    <mergeCell ref="B3372:C3372"/>
    <mergeCell ref="B3373:C3373"/>
    <mergeCell ref="B3374:C3374"/>
    <mergeCell ref="B3375:C3375"/>
    <mergeCell ref="B3376:C3376"/>
    <mergeCell ref="B3377:C3377"/>
    <mergeCell ref="B3378:C3378"/>
    <mergeCell ref="B3379:C3379"/>
    <mergeCell ref="B3380:C3380"/>
    <mergeCell ref="B3381:C3381"/>
    <mergeCell ref="B3382:C3382"/>
    <mergeCell ref="B3383:C3383"/>
    <mergeCell ref="B3384:C3384"/>
    <mergeCell ref="B3385:C3385"/>
    <mergeCell ref="B3386:C3386"/>
    <mergeCell ref="B3387:C3387"/>
    <mergeCell ref="B3388:C3388"/>
    <mergeCell ref="B3389:C3389"/>
    <mergeCell ref="B3390:C3390"/>
    <mergeCell ref="B3391:C3391"/>
    <mergeCell ref="B3392:C3392"/>
    <mergeCell ref="B3393:C3393"/>
    <mergeCell ref="B3394:C3394"/>
    <mergeCell ref="B3395:C3395"/>
    <mergeCell ref="B3396:C3396"/>
    <mergeCell ref="B3397:C3397"/>
    <mergeCell ref="B3398:C3398"/>
    <mergeCell ref="B3399:C3399"/>
    <mergeCell ref="B3400:C3400"/>
    <mergeCell ref="B3401:C3401"/>
    <mergeCell ref="B3402:C3402"/>
    <mergeCell ref="B3403:C3403"/>
    <mergeCell ref="B3404:C3404"/>
    <mergeCell ref="B3405:C3405"/>
    <mergeCell ref="B3406:C3406"/>
    <mergeCell ref="B3407:C3407"/>
    <mergeCell ref="B3408:C3408"/>
    <mergeCell ref="B3409:C3409"/>
    <mergeCell ref="B3410:C3410"/>
    <mergeCell ref="B3411:C3411"/>
    <mergeCell ref="B3412:C3412"/>
    <mergeCell ref="B3413:C3413"/>
    <mergeCell ref="B3414:C3414"/>
    <mergeCell ref="B3415:C3415"/>
    <mergeCell ref="B3416:C3416"/>
    <mergeCell ref="B3417:C3417"/>
    <mergeCell ref="B3418:C3418"/>
    <mergeCell ref="B3419:C3419"/>
    <mergeCell ref="B3420:C3420"/>
    <mergeCell ref="B3421:C3421"/>
    <mergeCell ref="B3422:C3422"/>
    <mergeCell ref="B3423:C3423"/>
    <mergeCell ref="B3424:C3424"/>
    <mergeCell ref="B3425:C3425"/>
    <mergeCell ref="B3426:C3426"/>
    <mergeCell ref="B3427:C3427"/>
    <mergeCell ref="B3428:C3428"/>
    <mergeCell ref="B3429:C3429"/>
    <mergeCell ref="B3430:C3430"/>
    <mergeCell ref="B3431:C3431"/>
    <mergeCell ref="B3432:C3432"/>
    <mergeCell ref="B3433:C3433"/>
    <mergeCell ref="B3434:C3434"/>
    <mergeCell ref="B3435:C3435"/>
    <mergeCell ref="B3436:C3436"/>
    <mergeCell ref="B3437:C3437"/>
    <mergeCell ref="B3438:C3438"/>
    <mergeCell ref="B3439:C3439"/>
    <mergeCell ref="B3440:C3440"/>
    <mergeCell ref="B3441:C3441"/>
    <mergeCell ref="B3442:C3442"/>
    <mergeCell ref="B3443:C3443"/>
    <mergeCell ref="B3444:C3444"/>
    <mergeCell ref="B3445:C3445"/>
    <mergeCell ref="B3446:C3446"/>
    <mergeCell ref="B3447:C3447"/>
    <mergeCell ref="B3448:C3448"/>
    <mergeCell ref="B3449:C3449"/>
    <mergeCell ref="B3450:C3450"/>
    <mergeCell ref="B3451:C3451"/>
    <mergeCell ref="B3452:C3452"/>
    <mergeCell ref="B3453:C3453"/>
    <mergeCell ref="B3454:C3454"/>
    <mergeCell ref="B3455:C3455"/>
    <mergeCell ref="B3456:C3456"/>
    <mergeCell ref="B3457:C3457"/>
    <mergeCell ref="B3458:C3458"/>
    <mergeCell ref="B3459:C3459"/>
    <mergeCell ref="B3460:C3460"/>
    <mergeCell ref="B3461:C3461"/>
    <mergeCell ref="B3462:C3462"/>
    <mergeCell ref="B3463:C3463"/>
    <mergeCell ref="B3464:C3464"/>
    <mergeCell ref="B3465:C3465"/>
    <mergeCell ref="B3466:C3466"/>
    <mergeCell ref="B3467:C3467"/>
    <mergeCell ref="B3468:C3468"/>
    <mergeCell ref="B3469:C3469"/>
    <mergeCell ref="B3470:C3470"/>
    <mergeCell ref="B3471:C3471"/>
    <mergeCell ref="B3472:C3472"/>
    <mergeCell ref="B3473:C3473"/>
    <mergeCell ref="B3474:C3474"/>
    <mergeCell ref="B3475:C3475"/>
    <mergeCell ref="B3476:C3476"/>
    <mergeCell ref="B3477:C3477"/>
    <mergeCell ref="B3478:C3478"/>
    <mergeCell ref="B3479:C3479"/>
    <mergeCell ref="B3480:C3480"/>
    <mergeCell ref="B3481:C3481"/>
    <mergeCell ref="B3482:C3482"/>
    <mergeCell ref="B3483:C3483"/>
    <mergeCell ref="B3484:C3484"/>
    <mergeCell ref="B3485:C3485"/>
    <mergeCell ref="B3486:C3486"/>
    <mergeCell ref="B3487:C3487"/>
    <mergeCell ref="B3488:C3488"/>
    <mergeCell ref="B3489:C3489"/>
    <mergeCell ref="B3490:C3490"/>
    <mergeCell ref="B3491:C3491"/>
    <mergeCell ref="B3492:C3492"/>
    <mergeCell ref="B3493:C3493"/>
    <mergeCell ref="B3494:C3494"/>
    <mergeCell ref="B3495:C3495"/>
    <mergeCell ref="B3496:C3496"/>
    <mergeCell ref="B3497:C3497"/>
    <mergeCell ref="B3498:C3498"/>
    <mergeCell ref="B3499:C3499"/>
    <mergeCell ref="B3500:C3500"/>
    <mergeCell ref="B3501:C3501"/>
    <mergeCell ref="B3502:C3502"/>
    <mergeCell ref="B3503:C3503"/>
    <mergeCell ref="B3504:C3504"/>
    <mergeCell ref="B3505:C3505"/>
    <mergeCell ref="B3506:C3506"/>
    <mergeCell ref="B3507:C3507"/>
    <mergeCell ref="B3508:C3508"/>
    <mergeCell ref="B3509:C3509"/>
    <mergeCell ref="B3510:C3510"/>
    <mergeCell ref="B3511:C3511"/>
    <mergeCell ref="B3512:C3512"/>
    <mergeCell ref="B3513:C3513"/>
    <mergeCell ref="B3514:C3514"/>
    <mergeCell ref="B3515:C3515"/>
    <mergeCell ref="B3516:C3516"/>
    <mergeCell ref="B3517:C3517"/>
    <mergeCell ref="B3518:C3518"/>
    <mergeCell ref="B3519:C3519"/>
    <mergeCell ref="B3520:C3520"/>
    <mergeCell ref="B3521:C3521"/>
    <mergeCell ref="B3522:C3522"/>
    <mergeCell ref="B3523:C3523"/>
    <mergeCell ref="B3524:C3524"/>
    <mergeCell ref="B3525:C3525"/>
    <mergeCell ref="B3526:C3526"/>
    <mergeCell ref="B3527:C3527"/>
    <mergeCell ref="B3528:C3528"/>
    <mergeCell ref="B3529:C3529"/>
    <mergeCell ref="B3530:C3530"/>
    <mergeCell ref="B3531:C3531"/>
    <mergeCell ref="B3532:C3532"/>
    <mergeCell ref="B3533:C3533"/>
    <mergeCell ref="B3534:C3534"/>
    <mergeCell ref="B3535:C3535"/>
    <mergeCell ref="B3536:C3536"/>
    <mergeCell ref="B3537:C3537"/>
    <mergeCell ref="B3538:C3538"/>
    <mergeCell ref="B3539:C3539"/>
    <mergeCell ref="B3540:C3540"/>
    <mergeCell ref="B3541:C3541"/>
    <mergeCell ref="B3542:C3542"/>
    <mergeCell ref="B3543:C3543"/>
    <mergeCell ref="B3544:C3544"/>
    <mergeCell ref="B3545:C3545"/>
    <mergeCell ref="B3546:C3546"/>
    <mergeCell ref="B3547:C3547"/>
    <mergeCell ref="B3548:C3548"/>
    <mergeCell ref="B3549:C3549"/>
    <mergeCell ref="B3550:C3550"/>
    <mergeCell ref="B3551:C3551"/>
    <mergeCell ref="B3552:C3552"/>
    <mergeCell ref="B3553:C3553"/>
    <mergeCell ref="B3554:C3554"/>
    <mergeCell ref="B3555:C3555"/>
    <mergeCell ref="B3556:C3556"/>
    <mergeCell ref="B3557:C3557"/>
    <mergeCell ref="B3558:C3558"/>
    <mergeCell ref="B3559:C3559"/>
    <mergeCell ref="B3560:C3560"/>
    <mergeCell ref="B3561:C3561"/>
    <mergeCell ref="B3562:C3562"/>
    <mergeCell ref="B3563:C3563"/>
    <mergeCell ref="B3564:C3564"/>
    <mergeCell ref="B3565:C3565"/>
    <mergeCell ref="B3566:C3566"/>
    <mergeCell ref="B3567:C3567"/>
    <mergeCell ref="B3568:C3568"/>
    <mergeCell ref="B3569:C3569"/>
    <mergeCell ref="B3570:C3570"/>
    <mergeCell ref="B3571:C3571"/>
    <mergeCell ref="B3572:C3572"/>
    <mergeCell ref="B3573:C3573"/>
    <mergeCell ref="B3574:C3574"/>
    <mergeCell ref="B3575:C3575"/>
    <mergeCell ref="B3576:C3576"/>
    <mergeCell ref="B3577:C3577"/>
    <mergeCell ref="B3578:C3578"/>
    <mergeCell ref="B3579:C3579"/>
    <mergeCell ref="B3580:C3580"/>
    <mergeCell ref="B3581:C3581"/>
    <mergeCell ref="B3582:C3582"/>
    <mergeCell ref="B3583:C3583"/>
    <mergeCell ref="B3584:C3584"/>
    <mergeCell ref="B3585:C3585"/>
    <mergeCell ref="B3586:C3586"/>
    <mergeCell ref="B3587:C3587"/>
    <mergeCell ref="B3588:C3588"/>
    <mergeCell ref="B3589:C3589"/>
    <mergeCell ref="B3590:C3590"/>
    <mergeCell ref="B3591:C3591"/>
    <mergeCell ref="B3592:C3592"/>
    <mergeCell ref="B3593:C3593"/>
    <mergeCell ref="B3594:C3594"/>
    <mergeCell ref="B3595:C3595"/>
    <mergeCell ref="B3596:C3596"/>
    <mergeCell ref="B3597:C3597"/>
    <mergeCell ref="B3598:C3598"/>
    <mergeCell ref="B3599:C3599"/>
    <mergeCell ref="B3600:C3600"/>
    <mergeCell ref="B3601:C3601"/>
    <mergeCell ref="B3602:C3602"/>
    <mergeCell ref="B3603:C3603"/>
    <mergeCell ref="B3604:C3604"/>
    <mergeCell ref="B3605:C3605"/>
    <mergeCell ref="B3606:C3606"/>
    <mergeCell ref="B3607:C3607"/>
    <mergeCell ref="B3608:C3608"/>
    <mergeCell ref="B3609:C3609"/>
    <mergeCell ref="B3610:C3610"/>
    <mergeCell ref="B3611:C3611"/>
    <mergeCell ref="B3612:C3612"/>
    <mergeCell ref="B3613:C3613"/>
    <mergeCell ref="B3614:C3614"/>
    <mergeCell ref="B3615:C3615"/>
    <mergeCell ref="B3616:C3616"/>
    <mergeCell ref="B3617:C3617"/>
    <mergeCell ref="B3618:C3618"/>
    <mergeCell ref="B3619:C3619"/>
    <mergeCell ref="B3620:C3620"/>
    <mergeCell ref="B3621:C3621"/>
    <mergeCell ref="B3622:C3622"/>
    <mergeCell ref="B3623:C3623"/>
    <mergeCell ref="B3624:C3624"/>
    <mergeCell ref="B3625:C3625"/>
    <mergeCell ref="B3626:C3626"/>
    <mergeCell ref="B3627:C3627"/>
    <mergeCell ref="B3628:C3628"/>
    <mergeCell ref="B3629:C3629"/>
    <mergeCell ref="B3630:C3630"/>
    <mergeCell ref="B3631:C3631"/>
    <mergeCell ref="B3632:C3632"/>
    <mergeCell ref="B3633:C3633"/>
    <mergeCell ref="B3634:C3634"/>
    <mergeCell ref="B3635:C3635"/>
    <mergeCell ref="B3636:C3636"/>
    <mergeCell ref="B3637:C3637"/>
    <mergeCell ref="B3638:C3638"/>
    <mergeCell ref="B3639:C3639"/>
    <mergeCell ref="B3640:C3640"/>
    <mergeCell ref="B3641:C3641"/>
    <mergeCell ref="B3642:C3642"/>
    <mergeCell ref="B3643:C3643"/>
    <mergeCell ref="B3644:C3644"/>
    <mergeCell ref="B3645:C3645"/>
    <mergeCell ref="B3646:C3646"/>
    <mergeCell ref="B3647:C3647"/>
    <mergeCell ref="B3648:C3648"/>
    <mergeCell ref="B3649:C3649"/>
    <mergeCell ref="B3650:C3650"/>
    <mergeCell ref="B3651:C3651"/>
    <mergeCell ref="B3652:C3652"/>
    <mergeCell ref="B3653:C3653"/>
    <mergeCell ref="B3654:C3654"/>
    <mergeCell ref="B3655:C3655"/>
    <mergeCell ref="B3656:C3656"/>
    <mergeCell ref="B3657:C3657"/>
    <mergeCell ref="B3658:C3658"/>
    <mergeCell ref="B3659:C3659"/>
    <mergeCell ref="B3660:C3660"/>
    <mergeCell ref="B3661:C3661"/>
    <mergeCell ref="B3662:C3662"/>
    <mergeCell ref="B3663:C3663"/>
    <mergeCell ref="B3664:C3664"/>
    <mergeCell ref="B3665:C3665"/>
    <mergeCell ref="B3666:C3666"/>
    <mergeCell ref="B3667:C3667"/>
    <mergeCell ref="B3668:C3668"/>
    <mergeCell ref="B3669:C3669"/>
    <mergeCell ref="B3670:C3670"/>
    <mergeCell ref="B3671:C3671"/>
    <mergeCell ref="B3672:C3672"/>
    <mergeCell ref="B3673:C3673"/>
    <mergeCell ref="B3674:C3674"/>
    <mergeCell ref="B3675:C3675"/>
    <mergeCell ref="B3676:C3676"/>
    <mergeCell ref="B3677:C3677"/>
    <mergeCell ref="B3678:C3678"/>
    <mergeCell ref="B3679:C3679"/>
    <mergeCell ref="B3680:C3680"/>
    <mergeCell ref="B3681:C3681"/>
    <mergeCell ref="B3682:C3682"/>
    <mergeCell ref="B3683:C3683"/>
    <mergeCell ref="B3684:C3684"/>
    <mergeCell ref="B3685:C3685"/>
    <mergeCell ref="B3686:C3686"/>
    <mergeCell ref="B3687:C3687"/>
    <mergeCell ref="B3688:C3688"/>
    <mergeCell ref="B3689:C3689"/>
    <mergeCell ref="B3690:C3690"/>
    <mergeCell ref="B3691:C3691"/>
    <mergeCell ref="B3692:C3692"/>
    <mergeCell ref="B3693:C3693"/>
    <mergeCell ref="B3694:C3694"/>
    <mergeCell ref="B3695:C3695"/>
    <mergeCell ref="B3696:C3696"/>
    <mergeCell ref="B3697:C3697"/>
    <mergeCell ref="B3698:C3698"/>
    <mergeCell ref="B3699:C3699"/>
    <mergeCell ref="B3700:C3700"/>
    <mergeCell ref="B3701:C3701"/>
    <mergeCell ref="B3702:C3702"/>
    <mergeCell ref="B3703:C3703"/>
    <mergeCell ref="B3704:C3704"/>
    <mergeCell ref="B3705:C3705"/>
    <mergeCell ref="B3706:C3706"/>
    <mergeCell ref="B3707:C3707"/>
    <mergeCell ref="B3708:C3708"/>
    <mergeCell ref="B3709:C3709"/>
    <mergeCell ref="B3710:C3710"/>
    <mergeCell ref="B3711:C3711"/>
    <mergeCell ref="B3712:C3712"/>
    <mergeCell ref="B3713:C3713"/>
    <mergeCell ref="B3714:C3714"/>
    <mergeCell ref="B3715:C3715"/>
    <mergeCell ref="B3716:C3716"/>
    <mergeCell ref="B3717:C3717"/>
    <mergeCell ref="B3718:C3718"/>
    <mergeCell ref="B3719:C3719"/>
    <mergeCell ref="B3720:C3720"/>
    <mergeCell ref="B3721:C3721"/>
    <mergeCell ref="B3722:C3722"/>
    <mergeCell ref="B3723:C3723"/>
    <mergeCell ref="B3724:C3724"/>
    <mergeCell ref="B3725:C3725"/>
    <mergeCell ref="B3726:C3726"/>
    <mergeCell ref="B3727:C3727"/>
    <mergeCell ref="B3728:C3728"/>
    <mergeCell ref="B3729:C3729"/>
    <mergeCell ref="B3730:C3730"/>
    <mergeCell ref="B3731:C3731"/>
    <mergeCell ref="B3732:C3732"/>
    <mergeCell ref="B3733:C3733"/>
    <mergeCell ref="B3734:C3734"/>
    <mergeCell ref="B3735:C3735"/>
    <mergeCell ref="B3736:C3736"/>
    <mergeCell ref="B3737:C3737"/>
    <mergeCell ref="B3738:C3738"/>
    <mergeCell ref="B3739:C3739"/>
    <mergeCell ref="B3740:C3740"/>
    <mergeCell ref="B3741:C3741"/>
    <mergeCell ref="B3742:C3742"/>
    <mergeCell ref="B3743:C3743"/>
    <mergeCell ref="B3744:C3744"/>
    <mergeCell ref="B3745:C3745"/>
    <mergeCell ref="B3746:C3746"/>
    <mergeCell ref="B3747:C3747"/>
    <mergeCell ref="B3748:C3748"/>
    <mergeCell ref="B3749:C3749"/>
    <mergeCell ref="B3750:C3750"/>
    <mergeCell ref="B3751:C3751"/>
    <mergeCell ref="B3752:C3752"/>
    <mergeCell ref="B3753:C3753"/>
    <mergeCell ref="B3754:C3754"/>
    <mergeCell ref="B3755:C3755"/>
    <mergeCell ref="B3756:C3756"/>
    <mergeCell ref="B3757:C3757"/>
    <mergeCell ref="B3758:C3758"/>
    <mergeCell ref="B3759:C3759"/>
    <mergeCell ref="B3760:C3760"/>
    <mergeCell ref="B3761:C3761"/>
    <mergeCell ref="B3762:C3762"/>
    <mergeCell ref="B3763:C3763"/>
    <mergeCell ref="B3764:C3764"/>
    <mergeCell ref="B3765:C3765"/>
    <mergeCell ref="B3766:C3766"/>
    <mergeCell ref="B3767:C3767"/>
    <mergeCell ref="B3768:C3768"/>
    <mergeCell ref="B3769:C3769"/>
    <mergeCell ref="B3770:C3770"/>
    <mergeCell ref="B3771:C3771"/>
    <mergeCell ref="B3772:C3772"/>
    <mergeCell ref="B3773:C3773"/>
    <mergeCell ref="B3774:C3774"/>
    <mergeCell ref="B3775:C3775"/>
    <mergeCell ref="B3776:C3776"/>
    <mergeCell ref="B3777:C3777"/>
    <mergeCell ref="B3778:C3778"/>
    <mergeCell ref="B3779:C3779"/>
    <mergeCell ref="B3780:C3780"/>
    <mergeCell ref="B3781:C3781"/>
    <mergeCell ref="B3782:C3782"/>
    <mergeCell ref="B3783:C3783"/>
    <mergeCell ref="B3784:C3784"/>
    <mergeCell ref="B3785:C3785"/>
    <mergeCell ref="B3786:C3786"/>
    <mergeCell ref="B3787:C3787"/>
    <mergeCell ref="B3788:C3788"/>
    <mergeCell ref="B3789:C3789"/>
    <mergeCell ref="B3790:C3790"/>
    <mergeCell ref="B3791:C3791"/>
    <mergeCell ref="B3792:C3792"/>
    <mergeCell ref="B3793:C3793"/>
    <mergeCell ref="B3794:C3794"/>
    <mergeCell ref="B3795:C3795"/>
    <mergeCell ref="B3796:C3796"/>
    <mergeCell ref="B3797:C3797"/>
    <mergeCell ref="B3798:C3798"/>
    <mergeCell ref="B3799:C3799"/>
    <mergeCell ref="B3800:C3800"/>
    <mergeCell ref="B3801:C3801"/>
    <mergeCell ref="B3802:C3802"/>
    <mergeCell ref="B3803:C3803"/>
    <mergeCell ref="B3804:C3804"/>
    <mergeCell ref="B3805:C3805"/>
    <mergeCell ref="B3806:C3806"/>
    <mergeCell ref="B3807:C3807"/>
    <mergeCell ref="B3808:C3808"/>
    <mergeCell ref="B3809:C3809"/>
    <mergeCell ref="B3810:C3810"/>
    <mergeCell ref="B3811:C3811"/>
    <mergeCell ref="B3812:C3812"/>
    <mergeCell ref="B3813:C3813"/>
    <mergeCell ref="B3814:C3814"/>
    <mergeCell ref="B3815:C3815"/>
    <mergeCell ref="B3816:C3816"/>
    <mergeCell ref="B3817:C3817"/>
    <mergeCell ref="B3818:C3818"/>
    <mergeCell ref="B3819:C3819"/>
    <mergeCell ref="B3820:C3820"/>
    <mergeCell ref="B3821:C3821"/>
    <mergeCell ref="B3822:C3822"/>
    <mergeCell ref="B3823:C3823"/>
    <mergeCell ref="B3824:C3824"/>
    <mergeCell ref="B3825:C3825"/>
    <mergeCell ref="B3826:C3826"/>
    <mergeCell ref="B3827:C3827"/>
    <mergeCell ref="B3828:C3828"/>
    <mergeCell ref="B3829:C3829"/>
    <mergeCell ref="B3830:C3830"/>
    <mergeCell ref="B3831:C3831"/>
    <mergeCell ref="B3832:C3832"/>
    <mergeCell ref="B3833:C3833"/>
    <mergeCell ref="B3834:C3834"/>
    <mergeCell ref="B3835:C3835"/>
    <mergeCell ref="B3836:C3836"/>
    <mergeCell ref="B3837:C3837"/>
    <mergeCell ref="B3838:C3838"/>
    <mergeCell ref="B3839:C3839"/>
    <mergeCell ref="B3840:C3840"/>
    <mergeCell ref="B3841:C3841"/>
    <mergeCell ref="B3842:C3842"/>
    <mergeCell ref="B3843:C3843"/>
    <mergeCell ref="B3844:C3844"/>
    <mergeCell ref="B3845:C3845"/>
    <mergeCell ref="B3846:C3846"/>
    <mergeCell ref="B3847:C3847"/>
    <mergeCell ref="B3848:C3848"/>
    <mergeCell ref="B3849:C3849"/>
    <mergeCell ref="B3850:C3850"/>
    <mergeCell ref="B3851:C3851"/>
    <mergeCell ref="B3852:C3852"/>
    <mergeCell ref="B3853:C3853"/>
    <mergeCell ref="B3854:C3854"/>
    <mergeCell ref="B3855:C3855"/>
    <mergeCell ref="B3856:C3856"/>
    <mergeCell ref="B3857:C3857"/>
    <mergeCell ref="B3858:C3858"/>
    <mergeCell ref="B3859:C3859"/>
    <mergeCell ref="B3860:C3860"/>
    <mergeCell ref="B3861:C3861"/>
    <mergeCell ref="B3862:C3862"/>
    <mergeCell ref="B3863:C3863"/>
    <mergeCell ref="B3864:C3864"/>
    <mergeCell ref="B3865:C3865"/>
    <mergeCell ref="B3866:C3866"/>
    <mergeCell ref="B3867:C3867"/>
    <mergeCell ref="B3868:C3868"/>
    <mergeCell ref="B3869:C3869"/>
    <mergeCell ref="B3870:C3870"/>
    <mergeCell ref="B3871:C3871"/>
    <mergeCell ref="B3872:C3872"/>
    <mergeCell ref="B3873:C3873"/>
    <mergeCell ref="B3874:C3874"/>
    <mergeCell ref="B3875:C3875"/>
    <mergeCell ref="B3876:C3876"/>
    <mergeCell ref="B3877:C3877"/>
    <mergeCell ref="B3878:C3878"/>
    <mergeCell ref="B3879:C3879"/>
    <mergeCell ref="B3880:C3880"/>
    <mergeCell ref="B3881:C3881"/>
    <mergeCell ref="B3882:C3882"/>
    <mergeCell ref="B3883:C3883"/>
    <mergeCell ref="B3884:C3884"/>
    <mergeCell ref="B3885:C3885"/>
    <mergeCell ref="B3886:C3886"/>
    <mergeCell ref="B3887:C3887"/>
    <mergeCell ref="B3888:C3888"/>
    <mergeCell ref="B3889:C3889"/>
    <mergeCell ref="B3890:C3890"/>
    <mergeCell ref="B3891:C3891"/>
    <mergeCell ref="B3892:C3892"/>
    <mergeCell ref="B3893:C3893"/>
    <mergeCell ref="B3894:C3894"/>
    <mergeCell ref="B3895:C3895"/>
    <mergeCell ref="B3896:C3896"/>
    <mergeCell ref="B3897:C3897"/>
    <mergeCell ref="B3898:C3898"/>
    <mergeCell ref="B3899:C3899"/>
    <mergeCell ref="B3900:C3900"/>
    <mergeCell ref="B3901:C3901"/>
    <mergeCell ref="B3902:C3902"/>
    <mergeCell ref="B3903:C3903"/>
    <mergeCell ref="B3904:C3904"/>
    <mergeCell ref="B3905:C3905"/>
    <mergeCell ref="B3906:C3906"/>
    <mergeCell ref="B3907:C3907"/>
    <mergeCell ref="B3908:C3908"/>
    <mergeCell ref="B3909:C3909"/>
    <mergeCell ref="B3910:C3910"/>
    <mergeCell ref="B3911:C3911"/>
    <mergeCell ref="B3912:C3912"/>
    <mergeCell ref="B3913:C3913"/>
    <mergeCell ref="B3914:C3914"/>
    <mergeCell ref="B3915:C3915"/>
    <mergeCell ref="B3916:C3916"/>
    <mergeCell ref="B3917:C3917"/>
    <mergeCell ref="B3918:C3918"/>
    <mergeCell ref="B3919:C3919"/>
    <mergeCell ref="B3920:C3920"/>
    <mergeCell ref="B3921:C3921"/>
    <mergeCell ref="B3922:C3922"/>
    <mergeCell ref="B3923:C3923"/>
    <mergeCell ref="B3924:C3924"/>
    <mergeCell ref="B3925:C3925"/>
    <mergeCell ref="B3926:C3926"/>
    <mergeCell ref="B3927:C3927"/>
    <mergeCell ref="B3928:C3928"/>
    <mergeCell ref="B3929:C3929"/>
    <mergeCell ref="B3930:C3930"/>
    <mergeCell ref="B3931:C3931"/>
    <mergeCell ref="B3932:C3932"/>
    <mergeCell ref="B3933:C3933"/>
    <mergeCell ref="B3934:C3934"/>
    <mergeCell ref="B3935:C3935"/>
    <mergeCell ref="B3936:C3936"/>
    <mergeCell ref="B3937:C3937"/>
    <mergeCell ref="B3938:C3938"/>
    <mergeCell ref="B3939:C3939"/>
    <mergeCell ref="B3940:C3940"/>
    <mergeCell ref="B3941:C3941"/>
    <mergeCell ref="B3942:C3942"/>
    <mergeCell ref="B3943:C3943"/>
    <mergeCell ref="B3944:C3944"/>
    <mergeCell ref="B3945:C3945"/>
    <mergeCell ref="B3946:C3946"/>
    <mergeCell ref="B3947:C3947"/>
    <mergeCell ref="B3948:C3948"/>
    <mergeCell ref="B3949:C3949"/>
    <mergeCell ref="B3950:C3950"/>
    <mergeCell ref="B3951:C3951"/>
    <mergeCell ref="B3952:C3952"/>
    <mergeCell ref="B3953:C3953"/>
    <mergeCell ref="B3954:C3954"/>
    <mergeCell ref="B3955:C3955"/>
    <mergeCell ref="B3956:C3956"/>
    <mergeCell ref="B3957:C3957"/>
    <mergeCell ref="B3958:C3958"/>
    <mergeCell ref="B3959:C3959"/>
    <mergeCell ref="B3960:C3960"/>
    <mergeCell ref="B3961:C3961"/>
    <mergeCell ref="B3962:C3962"/>
    <mergeCell ref="B3963:C3963"/>
    <mergeCell ref="B3964:C3964"/>
    <mergeCell ref="B3965:C3965"/>
    <mergeCell ref="B3966:C3966"/>
    <mergeCell ref="B3967:C3967"/>
    <mergeCell ref="B3968:C3968"/>
    <mergeCell ref="B3969:C3969"/>
    <mergeCell ref="B3970:C3970"/>
    <mergeCell ref="B3971:C3971"/>
    <mergeCell ref="B3972:C3972"/>
    <mergeCell ref="B3973:C3973"/>
    <mergeCell ref="B3974:C3974"/>
    <mergeCell ref="B3975:C3975"/>
    <mergeCell ref="B3976:C3976"/>
    <mergeCell ref="B3977:C3977"/>
    <mergeCell ref="B3978:C3978"/>
    <mergeCell ref="B3979:C3979"/>
    <mergeCell ref="B3980:C3980"/>
    <mergeCell ref="B3981:C3981"/>
    <mergeCell ref="B3982:C3982"/>
    <mergeCell ref="B3983:C3983"/>
    <mergeCell ref="B3984:C3984"/>
    <mergeCell ref="B3985:C3985"/>
    <mergeCell ref="B3986:C3986"/>
    <mergeCell ref="B3987:C3987"/>
    <mergeCell ref="B3988:C3988"/>
    <mergeCell ref="B3989:C3989"/>
    <mergeCell ref="B3990:C3990"/>
    <mergeCell ref="B3991:C3991"/>
    <mergeCell ref="B3992:C3992"/>
    <mergeCell ref="B3993:C3993"/>
    <mergeCell ref="B3994:C3994"/>
    <mergeCell ref="B3995:C3995"/>
    <mergeCell ref="B3996:C3996"/>
    <mergeCell ref="B3997:C3997"/>
    <mergeCell ref="B3998:C3998"/>
    <mergeCell ref="B3999:C3999"/>
    <mergeCell ref="B4000:C4000"/>
    <mergeCell ref="B4001:C4001"/>
    <mergeCell ref="B4002:C4002"/>
    <mergeCell ref="B4003:C4003"/>
    <mergeCell ref="B4004:C4004"/>
    <mergeCell ref="B4005:C4005"/>
    <mergeCell ref="B4006:C4006"/>
    <mergeCell ref="B4007:C4007"/>
    <mergeCell ref="B4008:C4008"/>
    <mergeCell ref="B4009:C4009"/>
    <mergeCell ref="B4010:C4010"/>
    <mergeCell ref="B4011:C4011"/>
    <mergeCell ref="B4012:C4012"/>
    <mergeCell ref="B4013:C4013"/>
    <mergeCell ref="B4014:C4014"/>
    <mergeCell ref="B4015:C4015"/>
    <mergeCell ref="B4016:C4016"/>
    <mergeCell ref="B4017:C4017"/>
    <mergeCell ref="B4018:C4018"/>
    <mergeCell ref="B4019:C4019"/>
    <mergeCell ref="B4020:C4020"/>
    <mergeCell ref="B4021:C4021"/>
    <mergeCell ref="B4022:C4022"/>
    <mergeCell ref="B4023:C4023"/>
    <mergeCell ref="B4024:C4024"/>
    <mergeCell ref="B4025:C4025"/>
    <mergeCell ref="B4026:C4026"/>
    <mergeCell ref="B4027:C4027"/>
    <mergeCell ref="B4028:C4028"/>
    <mergeCell ref="B4029:C4029"/>
    <mergeCell ref="B4030:C4030"/>
    <mergeCell ref="B4031:C4031"/>
    <mergeCell ref="B4032:C4032"/>
    <mergeCell ref="B4033:C4033"/>
    <mergeCell ref="B4034:C4034"/>
    <mergeCell ref="B4035:C4035"/>
    <mergeCell ref="B4036:C4036"/>
    <mergeCell ref="B4037:C4037"/>
    <mergeCell ref="B4038:C4038"/>
    <mergeCell ref="B4039:C4039"/>
    <mergeCell ref="B4040:C4040"/>
    <mergeCell ref="B4041:C4041"/>
    <mergeCell ref="B4042:C4042"/>
    <mergeCell ref="B4043:C4043"/>
    <mergeCell ref="B4044:C4044"/>
    <mergeCell ref="B4045:C4045"/>
    <mergeCell ref="B4046:C4046"/>
    <mergeCell ref="B4047:C4047"/>
    <mergeCell ref="B4048:C4048"/>
    <mergeCell ref="B4049:C4049"/>
    <mergeCell ref="B4050:C4050"/>
    <mergeCell ref="B4051:C4051"/>
    <mergeCell ref="B4052:C4052"/>
    <mergeCell ref="B4053:C4053"/>
    <mergeCell ref="B4054:C4054"/>
    <mergeCell ref="B4055:C4055"/>
    <mergeCell ref="B4056:C4056"/>
    <mergeCell ref="B4057:C4057"/>
    <mergeCell ref="B4058:C4058"/>
    <mergeCell ref="B4059:C4059"/>
    <mergeCell ref="B4060:C4060"/>
    <mergeCell ref="B4061:C4061"/>
    <mergeCell ref="B4062:C4062"/>
    <mergeCell ref="B4063:C4063"/>
    <mergeCell ref="B4064:C4064"/>
    <mergeCell ref="B4065:C4065"/>
    <mergeCell ref="B4066:C4066"/>
    <mergeCell ref="B4067:C4067"/>
    <mergeCell ref="B4068:C4068"/>
    <mergeCell ref="B4069:C4069"/>
    <mergeCell ref="B4070:C4070"/>
    <mergeCell ref="B4071:C4071"/>
    <mergeCell ref="B4072:C4072"/>
    <mergeCell ref="B4073:C4073"/>
    <mergeCell ref="B4074:C4074"/>
    <mergeCell ref="B4075:C4075"/>
    <mergeCell ref="B4076:C4076"/>
    <mergeCell ref="B4077:C4077"/>
    <mergeCell ref="B4078:C4078"/>
    <mergeCell ref="B4079:C4079"/>
    <mergeCell ref="B4080:C4080"/>
    <mergeCell ref="B4081:C4081"/>
    <mergeCell ref="B4082:C4082"/>
    <mergeCell ref="B4083:C4083"/>
    <mergeCell ref="B4084:C4084"/>
    <mergeCell ref="B4085:C4085"/>
    <mergeCell ref="B4086:C4086"/>
    <mergeCell ref="B4087:C4087"/>
    <mergeCell ref="B4088:C4088"/>
    <mergeCell ref="B4089:C4089"/>
    <mergeCell ref="B4090:C4090"/>
    <mergeCell ref="B4091:C4091"/>
    <mergeCell ref="B4092:C4092"/>
    <mergeCell ref="B4093:C4093"/>
    <mergeCell ref="B4094:C4094"/>
    <mergeCell ref="B4095:C4095"/>
    <mergeCell ref="B4096:C4096"/>
    <mergeCell ref="B4097:C4097"/>
    <mergeCell ref="B4098:C4098"/>
    <mergeCell ref="B4099:C4099"/>
    <mergeCell ref="B4100:C4100"/>
    <mergeCell ref="B4101:C4101"/>
    <mergeCell ref="B4102:C4102"/>
    <mergeCell ref="B4103:C4103"/>
    <mergeCell ref="B4104:C4104"/>
    <mergeCell ref="B4105:C4105"/>
    <mergeCell ref="B4106:C4106"/>
    <mergeCell ref="B4107:C4107"/>
    <mergeCell ref="B4108:C4108"/>
    <mergeCell ref="B4109:C4109"/>
    <mergeCell ref="B4110:C4110"/>
    <mergeCell ref="B4111:C4111"/>
    <mergeCell ref="B4112:C4112"/>
    <mergeCell ref="B4113:C4113"/>
    <mergeCell ref="B4114:C4114"/>
    <mergeCell ref="B4115:C4115"/>
    <mergeCell ref="B4116:C4116"/>
    <mergeCell ref="B4117:C4117"/>
    <mergeCell ref="B4118:C4118"/>
    <mergeCell ref="B4119:C4119"/>
    <mergeCell ref="B4120:C4120"/>
    <mergeCell ref="B4121:C4121"/>
    <mergeCell ref="B4122:C4122"/>
    <mergeCell ref="B4123:C4123"/>
    <mergeCell ref="B4124:C4124"/>
    <mergeCell ref="B4125:C4125"/>
    <mergeCell ref="B4126:C4126"/>
    <mergeCell ref="B4127:C4127"/>
    <mergeCell ref="B4128:C4128"/>
    <mergeCell ref="B4129:C4129"/>
    <mergeCell ref="B4130:C4130"/>
    <mergeCell ref="B4131:C4131"/>
    <mergeCell ref="B4132:C4132"/>
    <mergeCell ref="B4133:C4133"/>
    <mergeCell ref="B4134:C4134"/>
    <mergeCell ref="B4135:C4135"/>
    <mergeCell ref="B4136:C4136"/>
    <mergeCell ref="B4137:C4137"/>
    <mergeCell ref="B4138:C4138"/>
    <mergeCell ref="B4139:C4139"/>
    <mergeCell ref="B4140:C4140"/>
    <mergeCell ref="B4141:C4141"/>
    <mergeCell ref="B4142:C4142"/>
    <mergeCell ref="B4143:C4143"/>
    <mergeCell ref="B4144:C4144"/>
    <mergeCell ref="B4145:C4145"/>
    <mergeCell ref="B4146:C4146"/>
    <mergeCell ref="B4147:C4147"/>
    <mergeCell ref="B4148:C4148"/>
    <mergeCell ref="B4149:C4149"/>
    <mergeCell ref="B4150:C4150"/>
    <mergeCell ref="B4151:C4151"/>
    <mergeCell ref="B4152:C4152"/>
    <mergeCell ref="B4153:C4153"/>
    <mergeCell ref="B4154:C4154"/>
    <mergeCell ref="B4155:C4155"/>
    <mergeCell ref="B4156:C4156"/>
    <mergeCell ref="B4157:C4157"/>
    <mergeCell ref="B4158:C4158"/>
    <mergeCell ref="B4159:C4159"/>
    <mergeCell ref="B4160:C4160"/>
    <mergeCell ref="B4161:C4161"/>
    <mergeCell ref="B4162:C4162"/>
    <mergeCell ref="B4163:C4163"/>
    <mergeCell ref="B4164:C4164"/>
    <mergeCell ref="B4165:C4165"/>
    <mergeCell ref="B4166:C4166"/>
    <mergeCell ref="B4167:C4167"/>
    <mergeCell ref="B4168:C4168"/>
    <mergeCell ref="B4169:C4169"/>
    <mergeCell ref="B4170:C4170"/>
    <mergeCell ref="B4171:C4171"/>
    <mergeCell ref="B4172:C4172"/>
    <mergeCell ref="B4173:C4173"/>
    <mergeCell ref="B4174:C4174"/>
    <mergeCell ref="B4175:C4175"/>
    <mergeCell ref="B4176:C4176"/>
    <mergeCell ref="B4177:C4177"/>
    <mergeCell ref="B4178:C4178"/>
    <mergeCell ref="B4179:C4179"/>
    <mergeCell ref="B4180:C4180"/>
    <mergeCell ref="B4181:C4181"/>
    <mergeCell ref="B4182:C4182"/>
    <mergeCell ref="B4183:C4183"/>
    <mergeCell ref="B4184:C4184"/>
    <mergeCell ref="B4185:C4185"/>
    <mergeCell ref="B4186:C4186"/>
    <mergeCell ref="B4187:C4187"/>
    <mergeCell ref="B4188:C4188"/>
    <mergeCell ref="B4189:C4189"/>
    <mergeCell ref="B4190:C4190"/>
    <mergeCell ref="B4191:C4191"/>
    <mergeCell ref="B4192:C4192"/>
    <mergeCell ref="B4193:C4193"/>
    <mergeCell ref="B4194:C4194"/>
    <mergeCell ref="B4195:C4195"/>
    <mergeCell ref="B4196:C4196"/>
    <mergeCell ref="B4197:C4197"/>
    <mergeCell ref="B4198:C4198"/>
    <mergeCell ref="B4199:C4199"/>
    <mergeCell ref="B4200:C4200"/>
    <mergeCell ref="B4201:C4201"/>
    <mergeCell ref="B4202:C4202"/>
    <mergeCell ref="B4203:C4203"/>
    <mergeCell ref="B4204:C4204"/>
    <mergeCell ref="B4205:C4205"/>
    <mergeCell ref="B4206:C4206"/>
    <mergeCell ref="B4207:C4207"/>
    <mergeCell ref="B4208:C4208"/>
    <mergeCell ref="B4209:C4209"/>
    <mergeCell ref="B4210:C4210"/>
    <mergeCell ref="B4211:C4211"/>
    <mergeCell ref="B4212:C4212"/>
    <mergeCell ref="B4213:C4213"/>
    <mergeCell ref="B4214:C4214"/>
    <mergeCell ref="B4215:C4215"/>
    <mergeCell ref="B4216:C4216"/>
    <mergeCell ref="B4217:C4217"/>
    <mergeCell ref="B4218:C4218"/>
    <mergeCell ref="B4219:C4219"/>
    <mergeCell ref="B4220:C4220"/>
    <mergeCell ref="B4221:C4221"/>
    <mergeCell ref="B4222:C4222"/>
    <mergeCell ref="B4223:C4223"/>
    <mergeCell ref="B4224:C4224"/>
    <mergeCell ref="B4225:C4225"/>
    <mergeCell ref="B4226:C4226"/>
    <mergeCell ref="B4227:C4227"/>
    <mergeCell ref="B4228:C4228"/>
    <mergeCell ref="B4229:C4229"/>
    <mergeCell ref="B4230:C4230"/>
    <mergeCell ref="B4231:C4231"/>
    <mergeCell ref="B4232:C4232"/>
    <mergeCell ref="B4233:C4233"/>
    <mergeCell ref="B4234:C4234"/>
    <mergeCell ref="B4235:C4235"/>
    <mergeCell ref="B4236:C4236"/>
    <mergeCell ref="B4237:C4237"/>
    <mergeCell ref="B4238:C4238"/>
    <mergeCell ref="B4239:C4239"/>
    <mergeCell ref="B4240:C4240"/>
    <mergeCell ref="B4241:C4241"/>
    <mergeCell ref="B4242:C4242"/>
    <mergeCell ref="B4243:C4243"/>
    <mergeCell ref="B4244:C4244"/>
    <mergeCell ref="B4245:C4245"/>
    <mergeCell ref="B4246:C4246"/>
    <mergeCell ref="B4247:C4247"/>
    <mergeCell ref="B4248:C4248"/>
    <mergeCell ref="B4249:C4249"/>
    <mergeCell ref="B4250:C4250"/>
    <mergeCell ref="B4251:C4251"/>
    <mergeCell ref="B4252:C4252"/>
    <mergeCell ref="B4253:C4253"/>
    <mergeCell ref="B4254:C4254"/>
    <mergeCell ref="B4255:C4255"/>
    <mergeCell ref="B4256:C4256"/>
    <mergeCell ref="B4257:C4257"/>
    <mergeCell ref="B4258:C4258"/>
    <mergeCell ref="B4259:C4259"/>
    <mergeCell ref="B4260:C4260"/>
    <mergeCell ref="B4261:C4261"/>
    <mergeCell ref="B4262:C4262"/>
    <mergeCell ref="B4263:C4263"/>
    <mergeCell ref="B4264:C4264"/>
    <mergeCell ref="B4265:C4265"/>
    <mergeCell ref="B4266:C4266"/>
    <mergeCell ref="B4267:C4267"/>
    <mergeCell ref="B4268:C4268"/>
    <mergeCell ref="B4269:C4269"/>
    <mergeCell ref="B4270:C4270"/>
    <mergeCell ref="B4271:C4271"/>
    <mergeCell ref="B4272:C4272"/>
    <mergeCell ref="B4273:C4273"/>
    <mergeCell ref="B4274:C4274"/>
    <mergeCell ref="B4275:C4275"/>
    <mergeCell ref="B4276:C4276"/>
    <mergeCell ref="B4277:C4277"/>
    <mergeCell ref="B4278:C4278"/>
    <mergeCell ref="B4279:C4279"/>
    <mergeCell ref="B4280:C4280"/>
    <mergeCell ref="B4281:C4281"/>
    <mergeCell ref="B4282:C4282"/>
    <mergeCell ref="B4283:C4283"/>
    <mergeCell ref="B4284:C4284"/>
    <mergeCell ref="B4285:C4285"/>
    <mergeCell ref="B4286:C4286"/>
    <mergeCell ref="B4287:C4287"/>
    <mergeCell ref="B4288:C4288"/>
    <mergeCell ref="B4289:C4289"/>
    <mergeCell ref="B4290:C4290"/>
    <mergeCell ref="B4291:C4291"/>
    <mergeCell ref="B4292:C4292"/>
    <mergeCell ref="B4293:C4293"/>
    <mergeCell ref="B4294:C4294"/>
    <mergeCell ref="B4295:C4295"/>
    <mergeCell ref="B4296:C4296"/>
    <mergeCell ref="B4297:C4297"/>
    <mergeCell ref="B4298:C4298"/>
    <mergeCell ref="B4299:C4299"/>
    <mergeCell ref="B4300:C4300"/>
    <mergeCell ref="B4301:C4301"/>
    <mergeCell ref="B4302:C4302"/>
    <mergeCell ref="B4303:C4303"/>
    <mergeCell ref="B4304:C4304"/>
    <mergeCell ref="B4305:C4305"/>
    <mergeCell ref="B4306:C4306"/>
    <mergeCell ref="B4307:C4307"/>
    <mergeCell ref="B4308:C4308"/>
    <mergeCell ref="B4309:C4309"/>
    <mergeCell ref="B4310:C4310"/>
    <mergeCell ref="B4311:C4311"/>
    <mergeCell ref="B4312:C4312"/>
    <mergeCell ref="B4313:C4313"/>
    <mergeCell ref="B4314:C4314"/>
    <mergeCell ref="B4315:C4315"/>
    <mergeCell ref="B4316:C4316"/>
    <mergeCell ref="B4317:C4317"/>
    <mergeCell ref="B4318:C4318"/>
    <mergeCell ref="B4319:C4319"/>
    <mergeCell ref="B4320:C4320"/>
    <mergeCell ref="B4321:C4321"/>
    <mergeCell ref="B4322:C4322"/>
    <mergeCell ref="B4323:C4323"/>
    <mergeCell ref="B4324:C4324"/>
    <mergeCell ref="B4325:C4325"/>
    <mergeCell ref="B4326:C4326"/>
    <mergeCell ref="B4327:C4327"/>
    <mergeCell ref="B4328:C4328"/>
    <mergeCell ref="B4329:C4329"/>
    <mergeCell ref="B4330:C4330"/>
    <mergeCell ref="B4331:C4331"/>
    <mergeCell ref="B4332:C4332"/>
    <mergeCell ref="B4333:C4333"/>
    <mergeCell ref="B4334:C4334"/>
    <mergeCell ref="B4335:C4335"/>
    <mergeCell ref="B4336:C4336"/>
    <mergeCell ref="B4337:C4337"/>
    <mergeCell ref="B4338:C4338"/>
    <mergeCell ref="B4339:C4339"/>
    <mergeCell ref="B4340:C4340"/>
    <mergeCell ref="B4341:C4341"/>
    <mergeCell ref="B4342:C4342"/>
    <mergeCell ref="B4343:C4343"/>
    <mergeCell ref="B4344:C4344"/>
    <mergeCell ref="B4345:C4345"/>
    <mergeCell ref="B4346:C4346"/>
    <mergeCell ref="B4347:C4347"/>
    <mergeCell ref="B4348:C4348"/>
    <mergeCell ref="B4349:C4349"/>
    <mergeCell ref="B4350:C4350"/>
    <mergeCell ref="B4351:C4351"/>
    <mergeCell ref="B4352:C4352"/>
    <mergeCell ref="B4353:C4353"/>
    <mergeCell ref="B4354:C4354"/>
    <mergeCell ref="B4355:C4355"/>
    <mergeCell ref="B4356:C4356"/>
    <mergeCell ref="B4357:C4357"/>
    <mergeCell ref="B4358:C4358"/>
    <mergeCell ref="B4359:C4359"/>
    <mergeCell ref="B4360:C4360"/>
    <mergeCell ref="B4361:C4361"/>
    <mergeCell ref="B4362:C4362"/>
    <mergeCell ref="B4363:C4363"/>
    <mergeCell ref="B4364:C4364"/>
    <mergeCell ref="B4365:C4365"/>
    <mergeCell ref="B4366:C4366"/>
    <mergeCell ref="B4367:C4367"/>
    <mergeCell ref="B4368:C4368"/>
    <mergeCell ref="B4369:C4369"/>
    <mergeCell ref="B4370:C4370"/>
    <mergeCell ref="B4371:C4371"/>
    <mergeCell ref="B4372:C4372"/>
    <mergeCell ref="B4373:C4373"/>
    <mergeCell ref="B4374:C4374"/>
    <mergeCell ref="B4375:C4375"/>
    <mergeCell ref="B4376:C4376"/>
    <mergeCell ref="B4377:C4377"/>
    <mergeCell ref="B4378:C4378"/>
    <mergeCell ref="B4379:C4379"/>
    <mergeCell ref="B4380:C4380"/>
    <mergeCell ref="B4381:C4381"/>
    <mergeCell ref="B4382:C4382"/>
    <mergeCell ref="B4383:C4383"/>
    <mergeCell ref="B4384:C4384"/>
    <mergeCell ref="B4385:C4385"/>
    <mergeCell ref="B4386:C4386"/>
    <mergeCell ref="B4387:C4387"/>
    <mergeCell ref="B4388:C4388"/>
    <mergeCell ref="B4389:C4389"/>
    <mergeCell ref="B4390:C4390"/>
    <mergeCell ref="B4391:C4391"/>
    <mergeCell ref="B4392:C4392"/>
    <mergeCell ref="B4393:C4393"/>
    <mergeCell ref="B4394:C4394"/>
    <mergeCell ref="B4395:C4395"/>
    <mergeCell ref="B4396:C4396"/>
    <mergeCell ref="B4397:C4397"/>
    <mergeCell ref="B4398:C4398"/>
    <mergeCell ref="B4399:C4399"/>
    <mergeCell ref="B4400:C4400"/>
    <mergeCell ref="B4401:C4401"/>
    <mergeCell ref="B4402:C4402"/>
    <mergeCell ref="B4403:C4403"/>
    <mergeCell ref="B4404:C4404"/>
    <mergeCell ref="B4405:C4405"/>
    <mergeCell ref="B4406:C4406"/>
    <mergeCell ref="B4407:C4407"/>
    <mergeCell ref="B4408:C4408"/>
    <mergeCell ref="B4409:C4409"/>
    <mergeCell ref="B4410:C4410"/>
    <mergeCell ref="B4411:C4411"/>
    <mergeCell ref="B4412:C4412"/>
    <mergeCell ref="B4413:C4413"/>
    <mergeCell ref="B4414:C4414"/>
    <mergeCell ref="B4415:C4415"/>
    <mergeCell ref="B4416:C4416"/>
    <mergeCell ref="B4417:C4417"/>
    <mergeCell ref="B4418:C4418"/>
    <mergeCell ref="B4419:C4419"/>
    <mergeCell ref="B4420:C4420"/>
    <mergeCell ref="B4421:C4421"/>
    <mergeCell ref="B4422:C4422"/>
    <mergeCell ref="B4423:C4423"/>
    <mergeCell ref="B4424:C4424"/>
    <mergeCell ref="B4425:C4425"/>
    <mergeCell ref="B4426:C4426"/>
    <mergeCell ref="B4427:C4427"/>
    <mergeCell ref="B4428:C4428"/>
    <mergeCell ref="B4429:C4429"/>
    <mergeCell ref="B4430:C4430"/>
    <mergeCell ref="B4431:C4431"/>
    <mergeCell ref="B4432:C4432"/>
    <mergeCell ref="B4433:C4433"/>
    <mergeCell ref="B4434:C4434"/>
    <mergeCell ref="B4435:C4435"/>
    <mergeCell ref="B4436:C4436"/>
    <mergeCell ref="B4437:C4437"/>
    <mergeCell ref="B4438:C4438"/>
    <mergeCell ref="B4439:C4439"/>
    <mergeCell ref="B4440:C4440"/>
    <mergeCell ref="B4441:C4441"/>
    <mergeCell ref="B4442:C4442"/>
    <mergeCell ref="B4443:C4443"/>
    <mergeCell ref="B4444:C4444"/>
    <mergeCell ref="B4445:C4445"/>
    <mergeCell ref="B4446:C4446"/>
    <mergeCell ref="B4447:C4447"/>
    <mergeCell ref="B4448:C4448"/>
    <mergeCell ref="B4449:C4449"/>
    <mergeCell ref="B4450:C4450"/>
    <mergeCell ref="B4451:C4451"/>
    <mergeCell ref="B4452:C4452"/>
    <mergeCell ref="B4453:C4453"/>
    <mergeCell ref="B4454:C4454"/>
    <mergeCell ref="B4455:C4455"/>
    <mergeCell ref="B4456:C4456"/>
    <mergeCell ref="B4457:C4457"/>
    <mergeCell ref="B4458:C4458"/>
    <mergeCell ref="B4459:C4459"/>
    <mergeCell ref="B4460:C4460"/>
    <mergeCell ref="B4461:C4461"/>
    <mergeCell ref="B4462:C4462"/>
    <mergeCell ref="B4463:C4463"/>
    <mergeCell ref="B4464:C4464"/>
    <mergeCell ref="B4465:C4465"/>
    <mergeCell ref="B4466:C4466"/>
    <mergeCell ref="B4467:C4467"/>
    <mergeCell ref="B4468:C4468"/>
    <mergeCell ref="B4469:C4469"/>
    <mergeCell ref="B4470:C4470"/>
    <mergeCell ref="B4471:C4471"/>
    <mergeCell ref="B4472:C4472"/>
    <mergeCell ref="B4473:C4473"/>
    <mergeCell ref="B4474:C4474"/>
    <mergeCell ref="B4475:C4475"/>
    <mergeCell ref="B4476:C4476"/>
    <mergeCell ref="B4477:C4477"/>
    <mergeCell ref="B4478:C4478"/>
    <mergeCell ref="B4479:C4479"/>
    <mergeCell ref="B4480:C4480"/>
    <mergeCell ref="B4481:C4481"/>
    <mergeCell ref="B4482:C4482"/>
    <mergeCell ref="B4483:C4483"/>
    <mergeCell ref="B4484:C4484"/>
    <mergeCell ref="B4485:C4485"/>
    <mergeCell ref="B4486:C4486"/>
    <mergeCell ref="B4487:C4487"/>
    <mergeCell ref="B4488:C4488"/>
    <mergeCell ref="B4489:C4489"/>
    <mergeCell ref="B4490:C4490"/>
    <mergeCell ref="B4491:C4491"/>
    <mergeCell ref="B4492:C4492"/>
    <mergeCell ref="B4493:C4493"/>
    <mergeCell ref="B4494:C4494"/>
    <mergeCell ref="B4495:C4495"/>
    <mergeCell ref="B4496:C4496"/>
    <mergeCell ref="B4497:C4497"/>
    <mergeCell ref="B4498:C4498"/>
    <mergeCell ref="B4499:C4499"/>
    <mergeCell ref="B4500:C4500"/>
    <mergeCell ref="B4501:C4501"/>
    <mergeCell ref="B4502:C4502"/>
    <mergeCell ref="B4503:C4503"/>
    <mergeCell ref="B4504:C4504"/>
    <mergeCell ref="B4505:C4505"/>
    <mergeCell ref="B4506:C4506"/>
    <mergeCell ref="B4507:C4507"/>
    <mergeCell ref="B4508:C4508"/>
    <mergeCell ref="B4509:C4509"/>
    <mergeCell ref="B4510:C4510"/>
    <mergeCell ref="B4511:C4511"/>
    <mergeCell ref="B4512:C4512"/>
    <mergeCell ref="B4513:C4513"/>
    <mergeCell ref="B4514:C4514"/>
    <mergeCell ref="B4515:C4515"/>
    <mergeCell ref="B4516:C4516"/>
    <mergeCell ref="B4517:C4517"/>
    <mergeCell ref="B4518:C4518"/>
    <mergeCell ref="B4519:C4519"/>
    <mergeCell ref="B4520:C4520"/>
    <mergeCell ref="B4521:C4521"/>
    <mergeCell ref="B4522:C4522"/>
    <mergeCell ref="B4523:C4523"/>
    <mergeCell ref="B4524:C4524"/>
    <mergeCell ref="B4525:C4525"/>
    <mergeCell ref="B4526:C4526"/>
    <mergeCell ref="B4527:C4527"/>
    <mergeCell ref="B4528:C4528"/>
    <mergeCell ref="B4529:C4529"/>
    <mergeCell ref="B4530:C4530"/>
    <mergeCell ref="B4531:C4531"/>
    <mergeCell ref="B4532:C4532"/>
    <mergeCell ref="B4533:C4533"/>
    <mergeCell ref="B4534:C4534"/>
    <mergeCell ref="B4535:C4535"/>
    <mergeCell ref="B4536:C4536"/>
    <mergeCell ref="B4537:C4537"/>
    <mergeCell ref="B4538:C4538"/>
    <mergeCell ref="B4539:C4539"/>
    <mergeCell ref="B4540:C4540"/>
    <mergeCell ref="B4541:C4541"/>
    <mergeCell ref="B4542:C4542"/>
    <mergeCell ref="B4543:C4543"/>
    <mergeCell ref="B4544:C4544"/>
    <mergeCell ref="B4545:C4545"/>
    <mergeCell ref="B4546:C4546"/>
    <mergeCell ref="B4547:C4547"/>
    <mergeCell ref="B4548:C4548"/>
    <mergeCell ref="B4549:C4549"/>
    <mergeCell ref="B4550:C4550"/>
    <mergeCell ref="B4551:C4551"/>
    <mergeCell ref="B4552:C4552"/>
    <mergeCell ref="B4553:C4553"/>
    <mergeCell ref="B4554:C4554"/>
    <mergeCell ref="B4555:C4555"/>
    <mergeCell ref="B4556:C4556"/>
    <mergeCell ref="B4557:C4557"/>
    <mergeCell ref="B4558:C4558"/>
    <mergeCell ref="B4559:C4559"/>
    <mergeCell ref="B4560:C4560"/>
    <mergeCell ref="B4561:C4561"/>
    <mergeCell ref="B4562:C4562"/>
    <mergeCell ref="B4563:C4563"/>
    <mergeCell ref="B4564:C4564"/>
    <mergeCell ref="B4565:C4565"/>
    <mergeCell ref="B4566:C4566"/>
    <mergeCell ref="B4567:C4567"/>
    <mergeCell ref="B4568:C4568"/>
    <mergeCell ref="B4569:C4569"/>
    <mergeCell ref="B4570:C4570"/>
    <mergeCell ref="B4571:C4571"/>
    <mergeCell ref="B4572:C4572"/>
    <mergeCell ref="B4573:C4573"/>
    <mergeCell ref="B4574:C4574"/>
    <mergeCell ref="B4575:C4575"/>
    <mergeCell ref="B4576:C4576"/>
    <mergeCell ref="B4577:C4577"/>
    <mergeCell ref="B4578:C4578"/>
    <mergeCell ref="B4579:C4579"/>
    <mergeCell ref="B4580:C4580"/>
    <mergeCell ref="B4581:C4581"/>
    <mergeCell ref="B4582:C4582"/>
    <mergeCell ref="B4583:C4583"/>
    <mergeCell ref="B4584:C4584"/>
    <mergeCell ref="B4585:C4585"/>
    <mergeCell ref="B4586:C4586"/>
    <mergeCell ref="B4587:C4587"/>
    <mergeCell ref="B4588:C4588"/>
    <mergeCell ref="B4589:C4589"/>
    <mergeCell ref="B4590:C4590"/>
    <mergeCell ref="B4591:C4591"/>
    <mergeCell ref="B4592:C4592"/>
    <mergeCell ref="B4593:C4593"/>
    <mergeCell ref="B4594:C4594"/>
    <mergeCell ref="B4595:C4595"/>
    <mergeCell ref="B4596:C4596"/>
    <mergeCell ref="B4597:C4597"/>
    <mergeCell ref="B4598:C4598"/>
    <mergeCell ref="B4599:C4599"/>
    <mergeCell ref="B4600:C4600"/>
    <mergeCell ref="B4601:C4601"/>
    <mergeCell ref="B4602:C4602"/>
    <mergeCell ref="B4603:C4603"/>
    <mergeCell ref="B4604:C4604"/>
    <mergeCell ref="B4605:C4605"/>
    <mergeCell ref="B4606:C4606"/>
    <mergeCell ref="B4607:C4607"/>
    <mergeCell ref="B4608:C4608"/>
    <mergeCell ref="B4609:C4609"/>
    <mergeCell ref="B4610:C4610"/>
    <mergeCell ref="B4611:C4611"/>
    <mergeCell ref="B4612:C4612"/>
    <mergeCell ref="B4613:C4613"/>
    <mergeCell ref="B4614:C4614"/>
    <mergeCell ref="B4615:C4615"/>
    <mergeCell ref="B4616:C4616"/>
    <mergeCell ref="B4617:C4617"/>
    <mergeCell ref="B4618:C4618"/>
    <mergeCell ref="B4619:C4619"/>
    <mergeCell ref="B4620:C4620"/>
    <mergeCell ref="B4621:C4621"/>
    <mergeCell ref="B4622:C4622"/>
    <mergeCell ref="B4623:C4623"/>
    <mergeCell ref="B4624:C4624"/>
    <mergeCell ref="B4625:C4625"/>
    <mergeCell ref="B4626:C4626"/>
    <mergeCell ref="B4627:C4627"/>
    <mergeCell ref="B4628:C4628"/>
    <mergeCell ref="B4629:C4629"/>
    <mergeCell ref="B4630:C4630"/>
    <mergeCell ref="B4631:C4631"/>
    <mergeCell ref="B4632:C4632"/>
    <mergeCell ref="B4633:C4633"/>
    <mergeCell ref="B4634:C4634"/>
    <mergeCell ref="B4635:C4635"/>
    <mergeCell ref="B4636:C4636"/>
    <mergeCell ref="B4637:C4637"/>
    <mergeCell ref="B4638:C4638"/>
    <mergeCell ref="B4639:C4639"/>
    <mergeCell ref="B4640:C4640"/>
    <mergeCell ref="B4641:C4641"/>
    <mergeCell ref="B4642:C4642"/>
    <mergeCell ref="B4643:C4643"/>
    <mergeCell ref="B4644:C4644"/>
    <mergeCell ref="B4645:C4645"/>
    <mergeCell ref="B4646:C4646"/>
    <mergeCell ref="B4647:C4647"/>
    <mergeCell ref="B4648:C4648"/>
    <mergeCell ref="B4649:C4649"/>
    <mergeCell ref="B4650:C4650"/>
    <mergeCell ref="B4651:C4651"/>
    <mergeCell ref="B4652:C4652"/>
    <mergeCell ref="B4653:C4653"/>
    <mergeCell ref="B4654:C4654"/>
    <mergeCell ref="B4655:C4655"/>
    <mergeCell ref="B4656:C4656"/>
    <mergeCell ref="B4657:C4657"/>
    <mergeCell ref="B4658:C4658"/>
    <mergeCell ref="B4659:C4659"/>
    <mergeCell ref="B4660:C4660"/>
    <mergeCell ref="B4661:C4661"/>
    <mergeCell ref="B4662:C4662"/>
    <mergeCell ref="B4663:C4663"/>
    <mergeCell ref="B4664:C4664"/>
    <mergeCell ref="B4665:C4665"/>
    <mergeCell ref="B4666:C4666"/>
    <mergeCell ref="B4667:C4667"/>
    <mergeCell ref="B4668:C4668"/>
    <mergeCell ref="B4669:C4669"/>
    <mergeCell ref="B4670:C4670"/>
    <mergeCell ref="B4671:C4671"/>
    <mergeCell ref="B4672:C4672"/>
    <mergeCell ref="B4673:C4673"/>
    <mergeCell ref="B4674:C4674"/>
    <mergeCell ref="B4675:C4675"/>
    <mergeCell ref="B4676:C4676"/>
    <mergeCell ref="B4677:C4677"/>
    <mergeCell ref="B4678:C4678"/>
    <mergeCell ref="B4679:C4679"/>
    <mergeCell ref="B4680:C4680"/>
    <mergeCell ref="B4681:C4681"/>
    <mergeCell ref="B4682:C4682"/>
    <mergeCell ref="B4683:C4683"/>
    <mergeCell ref="B4684:C4684"/>
    <mergeCell ref="B4685:C4685"/>
    <mergeCell ref="B4686:C4686"/>
    <mergeCell ref="B4687:C4687"/>
    <mergeCell ref="B4688:C4688"/>
    <mergeCell ref="B4689:C4689"/>
    <mergeCell ref="B4690:C4690"/>
    <mergeCell ref="B4691:C4691"/>
    <mergeCell ref="B4692:C4692"/>
    <mergeCell ref="B4693:C4693"/>
    <mergeCell ref="B4694:C4694"/>
    <mergeCell ref="B4695:C4695"/>
    <mergeCell ref="B4696:C4696"/>
    <mergeCell ref="B4697:C4697"/>
    <mergeCell ref="B4698:C4698"/>
    <mergeCell ref="B4699:C4699"/>
    <mergeCell ref="B4700:C4700"/>
    <mergeCell ref="B4701:C4701"/>
    <mergeCell ref="B4702:C4702"/>
    <mergeCell ref="B4703:C4703"/>
    <mergeCell ref="B4704:C4704"/>
    <mergeCell ref="B4705:C4705"/>
    <mergeCell ref="B4706:C4706"/>
    <mergeCell ref="B4707:C4707"/>
    <mergeCell ref="B4708:C4708"/>
    <mergeCell ref="B4709:C4709"/>
    <mergeCell ref="B4710:C4710"/>
    <mergeCell ref="B4711:C4711"/>
    <mergeCell ref="B4712:C4712"/>
    <mergeCell ref="B4713:C4713"/>
    <mergeCell ref="B4714:C4714"/>
    <mergeCell ref="B4715:C4715"/>
    <mergeCell ref="B4716:C4716"/>
    <mergeCell ref="B4717:C4717"/>
    <mergeCell ref="B4718:C4718"/>
    <mergeCell ref="B4719:C4719"/>
    <mergeCell ref="B4720:C4720"/>
    <mergeCell ref="B4721:C4721"/>
    <mergeCell ref="B4722:C4722"/>
    <mergeCell ref="B4723:C4723"/>
    <mergeCell ref="B4724:C4724"/>
    <mergeCell ref="B4725:C4725"/>
    <mergeCell ref="B4726:C4726"/>
    <mergeCell ref="B4727:C4727"/>
    <mergeCell ref="B4728:C4728"/>
    <mergeCell ref="B4729:C4729"/>
    <mergeCell ref="B4730:C4730"/>
    <mergeCell ref="B4731:C4731"/>
    <mergeCell ref="B4732:C4732"/>
    <mergeCell ref="B4733:C4733"/>
    <mergeCell ref="B4734:C4734"/>
    <mergeCell ref="B4735:C4735"/>
    <mergeCell ref="B4736:C4736"/>
    <mergeCell ref="B4737:C4737"/>
    <mergeCell ref="B4738:C4738"/>
    <mergeCell ref="B4739:C4739"/>
    <mergeCell ref="B4740:C4740"/>
    <mergeCell ref="B4741:C4741"/>
    <mergeCell ref="B4742:C4742"/>
    <mergeCell ref="B4743:C4743"/>
    <mergeCell ref="B4744:C4744"/>
    <mergeCell ref="B4745:C4745"/>
    <mergeCell ref="B4746:C4746"/>
    <mergeCell ref="B4747:C4747"/>
    <mergeCell ref="B4748:C4748"/>
    <mergeCell ref="B4749:C4749"/>
    <mergeCell ref="B4750:C4750"/>
    <mergeCell ref="B4751:C4751"/>
    <mergeCell ref="B4752:C4752"/>
    <mergeCell ref="B4753:C4753"/>
    <mergeCell ref="B4754:C4754"/>
    <mergeCell ref="B4755:C4755"/>
    <mergeCell ref="B4756:C4756"/>
    <mergeCell ref="B4757:C4757"/>
    <mergeCell ref="B4758:C4758"/>
    <mergeCell ref="B4759:C4759"/>
    <mergeCell ref="B4760:C4760"/>
    <mergeCell ref="B4761:C4761"/>
    <mergeCell ref="B4762:C4762"/>
    <mergeCell ref="B4763:C4763"/>
    <mergeCell ref="B4764:C4764"/>
    <mergeCell ref="B4765:C4765"/>
    <mergeCell ref="B4766:C4766"/>
    <mergeCell ref="B4767:C4767"/>
    <mergeCell ref="B4768:C4768"/>
    <mergeCell ref="B4769:C4769"/>
    <mergeCell ref="B4770:C4770"/>
    <mergeCell ref="B4771:C4771"/>
    <mergeCell ref="B4772:C4772"/>
    <mergeCell ref="B4773:C4773"/>
    <mergeCell ref="B4774:C4774"/>
    <mergeCell ref="B4775:C4775"/>
    <mergeCell ref="B4776:C4776"/>
    <mergeCell ref="B4777:C4777"/>
    <mergeCell ref="B4778:C4778"/>
    <mergeCell ref="B4779:C4779"/>
    <mergeCell ref="B4780:C4780"/>
    <mergeCell ref="B4781:C4781"/>
    <mergeCell ref="B4782:C4782"/>
    <mergeCell ref="B4783:C4783"/>
    <mergeCell ref="B4784:C4784"/>
    <mergeCell ref="B4785:C4785"/>
    <mergeCell ref="B4786:C4786"/>
    <mergeCell ref="B4787:C4787"/>
    <mergeCell ref="B4788:C4788"/>
    <mergeCell ref="B4789:C4789"/>
    <mergeCell ref="B4790:C4790"/>
    <mergeCell ref="B4791:C4791"/>
    <mergeCell ref="B4792:C4792"/>
    <mergeCell ref="B4793:C4793"/>
    <mergeCell ref="B4794:C4794"/>
    <mergeCell ref="B4795:C4795"/>
    <mergeCell ref="B4796:C4796"/>
    <mergeCell ref="B4797:C4797"/>
    <mergeCell ref="B4798:C4798"/>
    <mergeCell ref="B4799:C4799"/>
    <mergeCell ref="B4800:C4800"/>
    <mergeCell ref="B4801:C4801"/>
    <mergeCell ref="B4802:C4802"/>
    <mergeCell ref="B4803:C4803"/>
    <mergeCell ref="B4804:C4804"/>
    <mergeCell ref="B4805:C4805"/>
    <mergeCell ref="B4806:C4806"/>
    <mergeCell ref="B4807:C4807"/>
    <mergeCell ref="B4808:C4808"/>
    <mergeCell ref="B4809:C4809"/>
    <mergeCell ref="B4810:C4810"/>
    <mergeCell ref="B4811:C4811"/>
    <mergeCell ref="B4812:C4812"/>
    <mergeCell ref="B4813:C4813"/>
    <mergeCell ref="B4814:C4814"/>
    <mergeCell ref="B4815:C4815"/>
    <mergeCell ref="B4816:C4816"/>
    <mergeCell ref="B4817:C4817"/>
    <mergeCell ref="B4818:C4818"/>
    <mergeCell ref="B4819:C4819"/>
    <mergeCell ref="B4820:C4820"/>
    <mergeCell ref="B4821:C4821"/>
    <mergeCell ref="B4822:C4822"/>
    <mergeCell ref="B4823:C4823"/>
    <mergeCell ref="B4824:C4824"/>
    <mergeCell ref="B4825:C4825"/>
    <mergeCell ref="B4826:C4826"/>
    <mergeCell ref="B4827:C4827"/>
    <mergeCell ref="B4828:C4828"/>
    <mergeCell ref="B4829:C4829"/>
    <mergeCell ref="B4830:C4830"/>
    <mergeCell ref="B4831:C4831"/>
    <mergeCell ref="B4832:C4832"/>
    <mergeCell ref="B4833:C4833"/>
    <mergeCell ref="B4834:C4834"/>
    <mergeCell ref="B4835:C4835"/>
    <mergeCell ref="B4836:C4836"/>
    <mergeCell ref="B4837:C4837"/>
    <mergeCell ref="B4838:C4838"/>
    <mergeCell ref="B4839:C4839"/>
    <mergeCell ref="B4840:C4840"/>
    <mergeCell ref="B4841:C4841"/>
    <mergeCell ref="B4842:C4842"/>
    <mergeCell ref="B4843:C4843"/>
    <mergeCell ref="B4844:C4844"/>
    <mergeCell ref="B4845:C4845"/>
    <mergeCell ref="B4846:C4846"/>
    <mergeCell ref="B4847:C4847"/>
    <mergeCell ref="B4848:C4848"/>
    <mergeCell ref="B4849:C4849"/>
    <mergeCell ref="B4850:C4850"/>
    <mergeCell ref="B4851:C4851"/>
    <mergeCell ref="B4852:C4852"/>
    <mergeCell ref="B4853:C4853"/>
    <mergeCell ref="B4854:C4854"/>
    <mergeCell ref="B4855:C4855"/>
    <mergeCell ref="B4856:C4856"/>
    <mergeCell ref="B4857:C4857"/>
    <mergeCell ref="B4858:C4858"/>
    <mergeCell ref="B4859:C4859"/>
    <mergeCell ref="B4860:C4860"/>
    <mergeCell ref="B4861:C4861"/>
    <mergeCell ref="B4862:C4862"/>
    <mergeCell ref="B4863:C4863"/>
    <mergeCell ref="B4864:C4864"/>
    <mergeCell ref="B4865:C4865"/>
    <mergeCell ref="B4866:C4866"/>
    <mergeCell ref="B4867:C4867"/>
    <mergeCell ref="B4868:C4868"/>
    <mergeCell ref="B4869:C4869"/>
    <mergeCell ref="B4870:C4870"/>
    <mergeCell ref="B4871:C4871"/>
    <mergeCell ref="B4872:C4872"/>
    <mergeCell ref="B4873:C4873"/>
    <mergeCell ref="B4874:C4874"/>
    <mergeCell ref="B4875:C4875"/>
    <mergeCell ref="B4876:C4876"/>
    <mergeCell ref="B4877:C4877"/>
    <mergeCell ref="B4878:C4878"/>
    <mergeCell ref="B4879:C4879"/>
    <mergeCell ref="B4880:C4880"/>
    <mergeCell ref="B4881:C4881"/>
    <mergeCell ref="B4882:C4882"/>
    <mergeCell ref="B4883:C4883"/>
    <mergeCell ref="B4884:C4884"/>
    <mergeCell ref="B4885:C4885"/>
    <mergeCell ref="B4886:C4886"/>
    <mergeCell ref="B4887:C4887"/>
    <mergeCell ref="B4888:C4888"/>
    <mergeCell ref="B4889:C4889"/>
    <mergeCell ref="B4890:C4890"/>
    <mergeCell ref="B4891:C4891"/>
    <mergeCell ref="B4892:C4892"/>
    <mergeCell ref="B4893:C4893"/>
    <mergeCell ref="B4894:C4894"/>
    <mergeCell ref="B4895:C4895"/>
    <mergeCell ref="B4896:C4896"/>
    <mergeCell ref="B4897:C4897"/>
    <mergeCell ref="B4898:C4898"/>
    <mergeCell ref="B4899:C4899"/>
    <mergeCell ref="B4900:C4900"/>
    <mergeCell ref="B4901:C4901"/>
    <mergeCell ref="B4902:C4902"/>
    <mergeCell ref="B4903:C4903"/>
    <mergeCell ref="B4904:C4904"/>
    <mergeCell ref="B4905:C4905"/>
    <mergeCell ref="B4906:C4906"/>
    <mergeCell ref="B5250:C5250"/>
    <mergeCell ref="B5251:C5251"/>
    <mergeCell ref="B5252:C5252"/>
    <mergeCell ref="B5253:C5253"/>
    <mergeCell ref="B5254:C5254"/>
    <mergeCell ref="B5255:C5255"/>
    <mergeCell ref="B5256:C5256"/>
    <mergeCell ref="B5257:C5257"/>
    <mergeCell ref="B5258:C5258"/>
    <mergeCell ref="B5259:C5259"/>
    <mergeCell ref="B5260:C5260"/>
    <mergeCell ref="B5261:C5261"/>
    <mergeCell ref="B5262:C5262"/>
    <mergeCell ref="B5263:C5263"/>
    <mergeCell ref="B5264:C5264"/>
    <mergeCell ref="B5265:C5265"/>
    <mergeCell ref="B5266:C5266"/>
    <mergeCell ref="B5267:C5267"/>
    <mergeCell ref="B5268:C5268"/>
    <mergeCell ref="B5269:C5269"/>
    <mergeCell ref="B5270:C5270"/>
    <mergeCell ref="B5271:C5271"/>
    <mergeCell ref="B5272:C5272"/>
    <mergeCell ref="B5273:C5273"/>
    <mergeCell ref="B5274:C5274"/>
    <mergeCell ref="B5275:C5275"/>
    <mergeCell ref="B5276:C5276"/>
    <mergeCell ref="B5277:C5277"/>
    <mergeCell ref="B5278:C5278"/>
    <mergeCell ref="B5279:C5279"/>
    <mergeCell ref="B5280:C5280"/>
    <mergeCell ref="B5281:C5281"/>
    <mergeCell ref="B5282:C5282"/>
    <mergeCell ref="B5283:C5283"/>
    <mergeCell ref="B5284:C5284"/>
    <mergeCell ref="B5285:C5285"/>
    <mergeCell ref="B5286:C5286"/>
    <mergeCell ref="B5287:C5287"/>
    <mergeCell ref="B5288:C5288"/>
    <mergeCell ref="B5289:C5289"/>
    <mergeCell ref="B5290:C5290"/>
    <mergeCell ref="B5291:C5291"/>
    <mergeCell ref="B5292:C5292"/>
    <mergeCell ref="B5293:C5293"/>
    <mergeCell ref="B5294:C5294"/>
    <mergeCell ref="B5295:C5295"/>
    <mergeCell ref="B5296:C5296"/>
    <mergeCell ref="B5297:C5297"/>
    <mergeCell ref="B5298:C5298"/>
    <mergeCell ref="B5348:C5348"/>
    <mergeCell ref="B5349:C5349"/>
    <mergeCell ref="B5350:C5350"/>
    <mergeCell ref="B5351:C5351"/>
    <mergeCell ref="B5352:C5352"/>
    <mergeCell ref="B5353:C5353"/>
    <mergeCell ref="B5354:C5354"/>
    <mergeCell ref="B5362:C5362"/>
    <mergeCell ref="B5363:C5363"/>
    <mergeCell ref="B5364:C5364"/>
    <mergeCell ref="B5365:C5365"/>
    <mergeCell ref="B5366:C5366"/>
    <mergeCell ref="B5355:C5355"/>
    <mergeCell ref="B5356:C5356"/>
    <mergeCell ref="B5357:C5357"/>
    <mergeCell ref="B5358:C5358"/>
    <mergeCell ref="B5359:C5359"/>
    <mergeCell ref="B5360:C5360"/>
    <mergeCell ref="B5361:C5361"/>
    <mergeCell ref="B5299:C5299"/>
    <mergeCell ref="B5300:C5300"/>
    <mergeCell ref="B5301:C5301"/>
    <mergeCell ref="B5302:C5302"/>
    <mergeCell ref="B5303:C5303"/>
    <mergeCell ref="B5304:C5304"/>
    <mergeCell ref="B5305:C5305"/>
    <mergeCell ref="B5306:C5306"/>
    <mergeCell ref="B5307:C5307"/>
    <mergeCell ref="B5308:C5308"/>
    <mergeCell ref="B5309:C5309"/>
    <mergeCell ref="B5310:C5310"/>
    <mergeCell ref="B5311:C5311"/>
    <mergeCell ref="B5312:C5312"/>
    <mergeCell ref="B5313:C5313"/>
    <mergeCell ref="B5314:C5314"/>
    <mergeCell ref="B5315:C5315"/>
    <mergeCell ref="B5316:C5316"/>
    <mergeCell ref="B5317:C5317"/>
    <mergeCell ref="B5318:C5318"/>
    <mergeCell ref="B5319:C5319"/>
    <mergeCell ref="B5320:C5320"/>
    <mergeCell ref="B5321:C5321"/>
    <mergeCell ref="B5322:C5322"/>
    <mergeCell ref="B5323:C5323"/>
    <mergeCell ref="B5324:C5324"/>
    <mergeCell ref="B5325:C5325"/>
    <mergeCell ref="B5326:C5326"/>
    <mergeCell ref="B5327:C5327"/>
    <mergeCell ref="B5328:C5328"/>
    <mergeCell ref="B5329:C5329"/>
    <mergeCell ref="B5330:C5330"/>
    <mergeCell ref="B5331:C5331"/>
    <mergeCell ref="B5332:C5332"/>
    <mergeCell ref="B5333:C5333"/>
    <mergeCell ref="B5334:C5334"/>
    <mergeCell ref="B5335:C5335"/>
    <mergeCell ref="B5336:C5336"/>
    <mergeCell ref="B5337:C5337"/>
    <mergeCell ref="B5338:C5338"/>
    <mergeCell ref="B5339:C5339"/>
    <mergeCell ref="B5340:C5340"/>
    <mergeCell ref="B5341:C5341"/>
    <mergeCell ref="B5342:C5342"/>
    <mergeCell ref="B5343:C5343"/>
    <mergeCell ref="B5344:C5344"/>
    <mergeCell ref="B5345:C5345"/>
    <mergeCell ref="B5346:C5346"/>
    <mergeCell ref="B5347:C5347"/>
    <mergeCell ref="B4907:C4907"/>
    <mergeCell ref="B4908:C4908"/>
    <mergeCell ref="B4909:C4909"/>
    <mergeCell ref="B4910:C4910"/>
    <mergeCell ref="B4911:C4911"/>
    <mergeCell ref="B4912:C4912"/>
    <mergeCell ref="B4913:C4913"/>
    <mergeCell ref="B4914:C4914"/>
    <mergeCell ref="B4915:C4915"/>
    <mergeCell ref="B4916:C4916"/>
    <mergeCell ref="B4917:C4917"/>
    <mergeCell ref="B4918:C4918"/>
    <mergeCell ref="B4919:C4919"/>
    <mergeCell ref="B4920:C4920"/>
    <mergeCell ref="B4921:C4921"/>
    <mergeCell ref="B4922:C4922"/>
    <mergeCell ref="B4923:C4923"/>
    <mergeCell ref="B4924:C4924"/>
    <mergeCell ref="B4925:C4925"/>
    <mergeCell ref="B4926:C4926"/>
    <mergeCell ref="B4927:C4927"/>
    <mergeCell ref="B4928:C4928"/>
    <mergeCell ref="B4929:C4929"/>
    <mergeCell ref="B4930:C4930"/>
    <mergeCell ref="B4931:C4931"/>
    <mergeCell ref="B4932:C4932"/>
    <mergeCell ref="B4933:C4933"/>
    <mergeCell ref="B4934:C4934"/>
    <mergeCell ref="B4935:C4935"/>
    <mergeCell ref="B4936:C4936"/>
    <mergeCell ref="B4937:C4937"/>
    <mergeCell ref="B4938:C4938"/>
    <mergeCell ref="B4939:C4939"/>
    <mergeCell ref="B4940:C4940"/>
    <mergeCell ref="B4941:C4941"/>
    <mergeCell ref="B4942:C4942"/>
    <mergeCell ref="B4943:C4943"/>
    <mergeCell ref="B4944:C4944"/>
    <mergeCell ref="B4945:C4945"/>
    <mergeCell ref="B4946:C4946"/>
    <mergeCell ref="B4947:C4947"/>
    <mergeCell ref="B4948:C4948"/>
    <mergeCell ref="B4949:C4949"/>
    <mergeCell ref="B4950:C4950"/>
    <mergeCell ref="B4951:C4951"/>
    <mergeCell ref="B4952:C4952"/>
    <mergeCell ref="B4953:C4953"/>
    <mergeCell ref="B4954:C4954"/>
    <mergeCell ref="B4955:C4955"/>
    <mergeCell ref="B4956:C4956"/>
    <mergeCell ref="B4957:C4957"/>
    <mergeCell ref="B4958:C4958"/>
    <mergeCell ref="B4959:C4959"/>
    <mergeCell ref="B4960:C4960"/>
    <mergeCell ref="B4961:C4961"/>
    <mergeCell ref="B4962:C4962"/>
    <mergeCell ref="B4963:C4963"/>
    <mergeCell ref="B4964:C4964"/>
    <mergeCell ref="B4965:C4965"/>
    <mergeCell ref="B4966:C4966"/>
    <mergeCell ref="B4967:C4967"/>
    <mergeCell ref="B4968:C4968"/>
    <mergeCell ref="B4969:C4969"/>
    <mergeCell ref="B4970:C4970"/>
    <mergeCell ref="B4971:C4971"/>
    <mergeCell ref="B4972:C4972"/>
    <mergeCell ref="B4973:C4973"/>
    <mergeCell ref="B4974:C4974"/>
    <mergeCell ref="B4975:C4975"/>
    <mergeCell ref="B4976:C4976"/>
    <mergeCell ref="B4977:C4977"/>
    <mergeCell ref="B4978:C4978"/>
    <mergeCell ref="B4979:C4979"/>
    <mergeCell ref="B4980:C4980"/>
    <mergeCell ref="B4981:C4981"/>
    <mergeCell ref="B4982:C4982"/>
    <mergeCell ref="B4983:C4983"/>
    <mergeCell ref="B4984:C4984"/>
    <mergeCell ref="B4985:C4985"/>
    <mergeCell ref="B4986:C4986"/>
    <mergeCell ref="B4987:C4987"/>
    <mergeCell ref="B4988:C4988"/>
    <mergeCell ref="B4989:C4989"/>
    <mergeCell ref="B4990:C4990"/>
    <mergeCell ref="B4991:C4991"/>
    <mergeCell ref="B4992:C4992"/>
    <mergeCell ref="B4993:C4993"/>
    <mergeCell ref="B4994:C4994"/>
    <mergeCell ref="B4995:C4995"/>
    <mergeCell ref="B4996:C4996"/>
    <mergeCell ref="B4997:C4997"/>
    <mergeCell ref="B4998:C4998"/>
    <mergeCell ref="B4999:C4999"/>
    <mergeCell ref="B5000:C5000"/>
    <mergeCell ref="B5001:C5001"/>
    <mergeCell ref="B5002:C5002"/>
    <mergeCell ref="B5003:C5003"/>
    <mergeCell ref="B5004:C5004"/>
    <mergeCell ref="B5005:C5005"/>
    <mergeCell ref="B5006:C5006"/>
    <mergeCell ref="B5007:C5007"/>
    <mergeCell ref="B5008:C5008"/>
    <mergeCell ref="B5009:C5009"/>
    <mergeCell ref="B5010:C5010"/>
    <mergeCell ref="B5011:C5011"/>
    <mergeCell ref="B5012:C5012"/>
    <mergeCell ref="B5013:C5013"/>
    <mergeCell ref="B5014:C5014"/>
    <mergeCell ref="B5015:C5015"/>
    <mergeCell ref="B5016:C5016"/>
    <mergeCell ref="B5017:C5017"/>
    <mergeCell ref="B5018:C5018"/>
    <mergeCell ref="B5019:C5019"/>
    <mergeCell ref="B5020:C5020"/>
    <mergeCell ref="B5021:C5021"/>
    <mergeCell ref="B5022:C5022"/>
    <mergeCell ref="B5023:C5023"/>
    <mergeCell ref="B5024:C5024"/>
    <mergeCell ref="B5025:C5025"/>
    <mergeCell ref="B5026:C5026"/>
    <mergeCell ref="B5027:C5027"/>
    <mergeCell ref="B5028:C5028"/>
    <mergeCell ref="B5029:C5029"/>
    <mergeCell ref="B5030:C5030"/>
    <mergeCell ref="B5031:C5031"/>
    <mergeCell ref="B5032:C5032"/>
    <mergeCell ref="B5033:C5033"/>
    <mergeCell ref="B5034:C5034"/>
    <mergeCell ref="B5035:C5035"/>
    <mergeCell ref="B5036:C5036"/>
    <mergeCell ref="B5037:C5037"/>
    <mergeCell ref="B5038:C5038"/>
    <mergeCell ref="B5039:C5039"/>
    <mergeCell ref="B5040:C5040"/>
    <mergeCell ref="B5041:C5041"/>
    <mergeCell ref="B5042:C5042"/>
    <mergeCell ref="B5043:C5043"/>
    <mergeCell ref="B5044:C5044"/>
    <mergeCell ref="B5045:C5045"/>
    <mergeCell ref="B5046:C5046"/>
    <mergeCell ref="B5047:C5047"/>
    <mergeCell ref="B5048:C5048"/>
    <mergeCell ref="B5049:C5049"/>
    <mergeCell ref="B5050:C5050"/>
    <mergeCell ref="B5051:C5051"/>
    <mergeCell ref="B5052:C5052"/>
    <mergeCell ref="B5053:C5053"/>
    <mergeCell ref="B5054:C5054"/>
    <mergeCell ref="B5055:C5055"/>
    <mergeCell ref="B5056:C5056"/>
    <mergeCell ref="B5057:C5057"/>
    <mergeCell ref="B5058:C5058"/>
    <mergeCell ref="B5059:C5059"/>
    <mergeCell ref="B5060:C5060"/>
    <mergeCell ref="B5061:C5061"/>
    <mergeCell ref="B5062:C5062"/>
    <mergeCell ref="B5063:C5063"/>
    <mergeCell ref="B5064:C5064"/>
    <mergeCell ref="B5065:C5065"/>
    <mergeCell ref="B5066:C5066"/>
    <mergeCell ref="B5067:C5067"/>
    <mergeCell ref="B5068:C5068"/>
    <mergeCell ref="B5069:C5069"/>
    <mergeCell ref="B5070:C5070"/>
    <mergeCell ref="B5071:C5071"/>
    <mergeCell ref="B5072:C5072"/>
    <mergeCell ref="B5073:C5073"/>
    <mergeCell ref="B5074:C5074"/>
    <mergeCell ref="B5075:C5075"/>
    <mergeCell ref="B5076:C5076"/>
    <mergeCell ref="B5077:C5077"/>
    <mergeCell ref="B5078:C5078"/>
    <mergeCell ref="B5079:C5079"/>
    <mergeCell ref="B5080:C5080"/>
    <mergeCell ref="B5081:C5081"/>
    <mergeCell ref="B5082:C5082"/>
    <mergeCell ref="B5083:C5083"/>
    <mergeCell ref="B5084:C5084"/>
    <mergeCell ref="B5085:C5085"/>
    <mergeCell ref="B5086:C5086"/>
    <mergeCell ref="B5087:C5087"/>
    <mergeCell ref="B5088:C5088"/>
    <mergeCell ref="B5089:C5089"/>
    <mergeCell ref="B5090:C5090"/>
    <mergeCell ref="B5091:C5091"/>
    <mergeCell ref="B5092:C5092"/>
    <mergeCell ref="B5093:C5093"/>
    <mergeCell ref="B5094:C5094"/>
    <mergeCell ref="B5095:C5095"/>
    <mergeCell ref="B5096:C5096"/>
    <mergeCell ref="B5097:C5097"/>
    <mergeCell ref="B5098:C5098"/>
    <mergeCell ref="B5099:C5099"/>
    <mergeCell ref="B5100:C5100"/>
    <mergeCell ref="B5101:C5101"/>
    <mergeCell ref="B5102:C5102"/>
    <mergeCell ref="B5103:C5103"/>
    <mergeCell ref="B5104:C5104"/>
    <mergeCell ref="B5105:C5105"/>
    <mergeCell ref="B5106:C5106"/>
    <mergeCell ref="B5107:C5107"/>
    <mergeCell ref="B5108:C5108"/>
    <mergeCell ref="B5109:C5109"/>
    <mergeCell ref="B5110:C5110"/>
    <mergeCell ref="B5111:C5111"/>
    <mergeCell ref="B5112:C5112"/>
    <mergeCell ref="B5113:C5113"/>
    <mergeCell ref="B5114:C5114"/>
    <mergeCell ref="B5115:C5115"/>
    <mergeCell ref="B5116:C5116"/>
    <mergeCell ref="B5117:C5117"/>
    <mergeCell ref="B5118:C5118"/>
    <mergeCell ref="B5119:C5119"/>
    <mergeCell ref="B5120:C5120"/>
    <mergeCell ref="B5121:C5121"/>
    <mergeCell ref="B5122:C5122"/>
    <mergeCell ref="B5123:C5123"/>
    <mergeCell ref="B5124:C5124"/>
    <mergeCell ref="B5125:C5125"/>
    <mergeCell ref="B5126:C5126"/>
    <mergeCell ref="B5127:C5127"/>
    <mergeCell ref="B5128:C5128"/>
    <mergeCell ref="B5129:C5129"/>
    <mergeCell ref="B5130:C5130"/>
    <mergeCell ref="B5131:C5131"/>
    <mergeCell ref="B5132:C5132"/>
    <mergeCell ref="B5133:C5133"/>
    <mergeCell ref="B5134:C5134"/>
    <mergeCell ref="B5135:C5135"/>
    <mergeCell ref="B5136:C5136"/>
    <mergeCell ref="B5137:C5137"/>
    <mergeCell ref="B5138:C5138"/>
    <mergeCell ref="B5139:C5139"/>
    <mergeCell ref="B5140:C5140"/>
    <mergeCell ref="B5141:C5141"/>
    <mergeCell ref="B5142:C5142"/>
    <mergeCell ref="B5143:C5143"/>
    <mergeCell ref="B5144:C5144"/>
    <mergeCell ref="B5145:C5145"/>
    <mergeCell ref="B5146:C5146"/>
    <mergeCell ref="B5147:C5147"/>
    <mergeCell ref="B5148:C5148"/>
    <mergeCell ref="B5149:C5149"/>
    <mergeCell ref="B5150:C5150"/>
    <mergeCell ref="B5151:C5151"/>
    <mergeCell ref="B5152:C5152"/>
    <mergeCell ref="B5153:C5153"/>
    <mergeCell ref="B5154:C5154"/>
    <mergeCell ref="B5155:C5155"/>
    <mergeCell ref="B5156:C5156"/>
    <mergeCell ref="B5157:C5157"/>
    <mergeCell ref="B5158:C5158"/>
    <mergeCell ref="B5159:C5159"/>
    <mergeCell ref="B5160:C5160"/>
    <mergeCell ref="B5161:C5161"/>
    <mergeCell ref="B5162:C5162"/>
    <mergeCell ref="B5163:C5163"/>
    <mergeCell ref="B5164:C5164"/>
    <mergeCell ref="B5165:C5165"/>
    <mergeCell ref="B5166:C5166"/>
    <mergeCell ref="B5167:C5167"/>
    <mergeCell ref="B5168:C5168"/>
    <mergeCell ref="B5169:C5169"/>
    <mergeCell ref="B5170:C5170"/>
    <mergeCell ref="B5171:C5171"/>
    <mergeCell ref="B5172:C5172"/>
    <mergeCell ref="B5173:C5173"/>
    <mergeCell ref="B5174:C5174"/>
    <mergeCell ref="B5175:C5175"/>
    <mergeCell ref="B5176:C5176"/>
    <mergeCell ref="B5177:C5177"/>
    <mergeCell ref="B5178:C5178"/>
    <mergeCell ref="B5179:C5179"/>
    <mergeCell ref="B5180:C5180"/>
    <mergeCell ref="B5181:C5181"/>
    <mergeCell ref="B5182:C5182"/>
    <mergeCell ref="B5183:C5183"/>
    <mergeCell ref="B5184:C5184"/>
    <mergeCell ref="B5185:C5185"/>
    <mergeCell ref="B5186:C5186"/>
    <mergeCell ref="B5187:C5187"/>
    <mergeCell ref="B5188:C5188"/>
    <mergeCell ref="B5189:C5189"/>
    <mergeCell ref="B5190:C5190"/>
    <mergeCell ref="B5191:C5191"/>
    <mergeCell ref="B5192:C5192"/>
    <mergeCell ref="B5193:C5193"/>
    <mergeCell ref="B5194:C5194"/>
    <mergeCell ref="B5195:C5195"/>
    <mergeCell ref="B5196:C5196"/>
    <mergeCell ref="B5197:C5197"/>
    <mergeCell ref="B5198:C5198"/>
    <mergeCell ref="B5199:C5199"/>
    <mergeCell ref="B5200:C5200"/>
    <mergeCell ref="B5201:C5201"/>
    <mergeCell ref="B5202:C5202"/>
    <mergeCell ref="B5203:C5203"/>
    <mergeCell ref="B5204:C5204"/>
    <mergeCell ref="B5205:C5205"/>
    <mergeCell ref="B5206:C5206"/>
    <mergeCell ref="B5207:C5207"/>
    <mergeCell ref="B5208:C5208"/>
    <mergeCell ref="B5209:C5209"/>
    <mergeCell ref="B5210:C5210"/>
    <mergeCell ref="B5211:C5211"/>
    <mergeCell ref="B5212:C5212"/>
    <mergeCell ref="B5213:C5213"/>
    <mergeCell ref="B5214:C5214"/>
    <mergeCell ref="B5215:C5215"/>
    <mergeCell ref="B5216:C5216"/>
    <mergeCell ref="B5217:C5217"/>
    <mergeCell ref="B5218:C5218"/>
    <mergeCell ref="B5219:C5219"/>
    <mergeCell ref="B5220:C5220"/>
    <mergeCell ref="B5221:C5221"/>
    <mergeCell ref="B5222:C5222"/>
    <mergeCell ref="B5223:C5223"/>
    <mergeCell ref="B5224:C5224"/>
    <mergeCell ref="B5225:C5225"/>
    <mergeCell ref="B5226:C5226"/>
    <mergeCell ref="B5227:C5227"/>
    <mergeCell ref="B5228:C5228"/>
    <mergeCell ref="B5229:C5229"/>
    <mergeCell ref="B5230:C5230"/>
    <mergeCell ref="B5231:C5231"/>
    <mergeCell ref="B5232:C5232"/>
    <mergeCell ref="B5233:C5233"/>
    <mergeCell ref="B5234:C5234"/>
    <mergeCell ref="B5235:C5235"/>
    <mergeCell ref="B5236:C5236"/>
    <mergeCell ref="B5237:C5237"/>
    <mergeCell ref="B5238:C5238"/>
    <mergeCell ref="B5239:C5239"/>
    <mergeCell ref="B5240:C5240"/>
    <mergeCell ref="B5241:C5241"/>
    <mergeCell ref="B5242:C5242"/>
    <mergeCell ref="B5243:C5243"/>
    <mergeCell ref="B5244:C5244"/>
    <mergeCell ref="B5245:C5245"/>
    <mergeCell ref="B5246:C5246"/>
    <mergeCell ref="B5247:C5247"/>
    <mergeCell ref="B5248:C5248"/>
    <mergeCell ref="B5249:C5249"/>
    <mergeCell ref="B50:C50"/>
    <mergeCell ref="B60:C60"/>
    <mergeCell ref="B64:C64"/>
    <mergeCell ref="B303:C303"/>
    <mergeCell ref="B315:C315"/>
    <mergeCell ref="B324:C324"/>
    <mergeCell ref="B343:C343"/>
    <mergeCell ref="B349:C349"/>
    <mergeCell ref="B352:C352"/>
    <mergeCell ref="B360:C360"/>
    <mergeCell ref="B364:C364"/>
    <mergeCell ref="B366:C366"/>
    <mergeCell ref="B368:C368"/>
    <mergeCell ref="B372:C372"/>
    <mergeCell ref="B387:C387"/>
    <mergeCell ref="B395:C395"/>
    <mergeCell ref="B397:C397"/>
    <mergeCell ref="B399:C399"/>
    <mergeCell ref="B401:C401"/>
    <mergeCell ref="B404:C404"/>
    <mergeCell ref="B405:C405"/>
    <mergeCell ref="B406:C406"/>
    <mergeCell ref="B407:C407"/>
    <mergeCell ref="B408:C408"/>
    <mergeCell ref="B416:C416"/>
    <mergeCell ref="B424:C424"/>
    <mergeCell ref="B425:C425"/>
    <mergeCell ref="B429:C429"/>
    <mergeCell ref="B433:C433"/>
    <mergeCell ref="B434:C434"/>
    <mergeCell ref="B437:C437"/>
    <mergeCell ref="B440:C440"/>
    <mergeCell ref="B442:C442"/>
    <mergeCell ref="B443:C443"/>
    <mergeCell ref="B444:C444"/>
    <mergeCell ref="B446:C446"/>
    <mergeCell ref="B448:C448"/>
    <mergeCell ref="B449:C449"/>
    <mergeCell ref="B450:C450"/>
    <mergeCell ref="B451:C451"/>
    <mergeCell ref="B453:C453"/>
    <mergeCell ref="B454:C454"/>
    <mergeCell ref="B455:C455"/>
    <mergeCell ref="B458:C458"/>
    <mergeCell ref="B460:C460"/>
    <mergeCell ref="B464:C464"/>
    <mergeCell ref="B465:C465"/>
    <mergeCell ref="B466:C466"/>
    <mergeCell ref="B473:C473"/>
    <mergeCell ref="B474:C474"/>
    <mergeCell ref="B476:C476"/>
    <mergeCell ref="B478:C478"/>
    <mergeCell ref="B479:C479"/>
    <mergeCell ref="B480:C480"/>
    <mergeCell ref="B481:C481"/>
    <mergeCell ref="B484:C484"/>
    <mergeCell ref="B485:C485"/>
    <mergeCell ref="B486:C486"/>
    <mergeCell ref="B488:C488"/>
    <mergeCell ref="B489:C489"/>
    <mergeCell ref="B492:C492"/>
    <mergeCell ref="B495:C495"/>
    <mergeCell ref="B496:C496"/>
    <mergeCell ref="B497:C497"/>
    <mergeCell ref="B498:C498"/>
    <mergeCell ref="B499:C499"/>
    <mergeCell ref="B502:C502"/>
    <mergeCell ref="B503:C503"/>
    <mergeCell ref="B504:C504"/>
    <mergeCell ref="B505:C505"/>
    <mergeCell ref="B506:C506"/>
    <mergeCell ref="B509:C509"/>
    <mergeCell ref="B511:C511"/>
    <mergeCell ref="B512:C512"/>
    <mergeCell ref="B513:C513"/>
    <mergeCell ref="B515:C515"/>
    <mergeCell ref="B516:C516"/>
    <mergeCell ref="B517:C517"/>
    <mergeCell ref="B518:C518"/>
    <mergeCell ref="B521:C521"/>
    <mergeCell ref="B522:C522"/>
    <mergeCell ref="B523:C523"/>
    <mergeCell ref="B524:C524"/>
    <mergeCell ref="B525:C525"/>
    <mergeCell ref="B526:C526"/>
    <mergeCell ref="B527:C527"/>
    <mergeCell ref="B528:C528"/>
    <mergeCell ref="B529:C529"/>
    <mergeCell ref="B530:C530"/>
    <mergeCell ref="B531:C531"/>
    <mergeCell ref="B532:C532"/>
    <mergeCell ref="B533:C533"/>
    <mergeCell ref="B534:C534"/>
    <mergeCell ref="B535:C535"/>
    <mergeCell ref="B536:C536"/>
    <mergeCell ref="B537:C537"/>
    <mergeCell ref="B538:C538"/>
    <mergeCell ref="B539:C539"/>
    <mergeCell ref="B540:C540"/>
    <mergeCell ref="B541:C541"/>
    <mergeCell ref="B542:C542"/>
    <mergeCell ref="B543:C543"/>
    <mergeCell ref="B544:C544"/>
    <mergeCell ref="B545:C545"/>
    <mergeCell ref="B546:C546"/>
    <mergeCell ref="B547:C547"/>
    <mergeCell ref="B548:C548"/>
    <mergeCell ref="B549:C549"/>
    <mergeCell ref="B550:C550"/>
    <mergeCell ref="B551:C551"/>
    <mergeCell ref="B552:C552"/>
    <mergeCell ref="B553:C553"/>
    <mergeCell ref="B554:C554"/>
    <mergeCell ref="B555:C555"/>
    <mergeCell ref="B556:C556"/>
    <mergeCell ref="B557:C557"/>
    <mergeCell ref="B558:C558"/>
    <mergeCell ref="B559:C559"/>
    <mergeCell ref="B560:C560"/>
    <mergeCell ref="B561:C561"/>
    <mergeCell ref="B562:C562"/>
    <mergeCell ref="B563:C563"/>
    <mergeCell ref="B564:C564"/>
    <mergeCell ref="B565:C565"/>
    <mergeCell ref="B566:C566"/>
    <mergeCell ref="B567:C567"/>
    <mergeCell ref="B568:C568"/>
    <mergeCell ref="B569:C569"/>
    <mergeCell ref="B570:C570"/>
    <mergeCell ref="B571:C571"/>
    <mergeCell ref="B572:C572"/>
    <mergeCell ref="B573:C573"/>
    <mergeCell ref="B574:C574"/>
    <mergeCell ref="B575:C575"/>
    <mergeCell ref="B576:C576"/>
    <mergeCell ref="B577:C577"/>
    <mergeCell ref="B578:C578"/>
    <mergeCell ref="B579:C579"/>
    <mergeCell ref="B580:C580"/>
    <mergeCell ref="B581:C581"/>
    <mergeCell ref="B582:C582"/>
    <mergeCell ref="B583:C583"/>
    <mergeCell ref="B584:C584"/>
    <mergeCell ref="B585:C585"/>
    <mergeCell ref="B586:C586"/>
    <mergeCell ref="B587:C587"/>
    <mergeCell ref="B588:C588"/>
    <mergeCell ref="B589:C589"/>
    <mergeCell ref="B590:C590"/>
    <mergeCell ref="B591:C591"/>
    <mergeCell ref="B592:C592"/>
    <mergeCell ref="B593:C593"/>
    <mergeCell ref="B594:C594"/>
    <mergeCell ref="B595:C595"/>
    <mergeCell ref="B596:C596"/>
    <mergeCell ref="B597:C597"/>
    <mergeCell ref="B598:C598"/>
    <mergeCell ref="B599:C599"/>
    <mergeCell ref="B600:C600"/>
    <mergeCell ref="B601:C601"/>
    <mergeCell ref="B602:C602"/>
    <mergeCell ref="B603:C603"/>
    <mergeCell ref="B604:C604"/>
    <mergeCell ref="B605:C605"/>
    <mergeCell ref="B606:C606"/>
    <mergeCell ref="B607:C607"/>
    <mergeCell ref="B608:C608"/>
    <mergeCell ref="B609:C609"/>
    <mergeCell ref="B610:C610"/>
    <mergeCell ref="B611:C611"/>
    <mergeCell ref="B612:C612"/>
    <mergeCell ref="B613:C613"/>
    <mergeCell ref="B614:C614"/>
    <mergeCell ref="B615:C615"/>
    <mergeCell ref="B616:C616"/>
    <mergeCell ref="B617:C617"/>
    <mergeCell ref="B618:C618"/>
    <mergeCell ref="B619:C619"/>
    <mergeCell ref="B620:C620"/>
    <mergeCell ref="B621:C621"/>
    <mergeCell ref="B622:C622"/>
    <mergeCell ref="B623:C623"/>
    <mergeCell ref="B624:C624"/>
    <mergeCell ref="B625:C625"/>
    <mergeCell ref="B626:C626"/>
    <mergeCell ref="B627:C627"/>
    <mergeCell ref="B628:C628"/>
    <mergeCell ref="B629:C629"/>
    <mergeCell ref="B630:C630"/>
    <mergeCell ref="B631:C631"/>
    <mergeCell ref="B632:C632"/>
    <mergeCell ref="B633:C633"/>
    <mergeCell ref="B634:C634"/>
    <mergeCell ref="B635:C635"/>
    <mergeCell ref="B636:C636"/>
    <mergeCell ref="B637:C637"/>
    <mergeCell ref="B638:C638"/>
    <mergeCell ref="B639:C639"/>
    <mergeCell ref="B640:C640"/>
    <mergeCell ref="B641:C641"/>
    <mergeCell ref="B642:C642"/>
    <mergeCell ref="B643:C643"/>
    <mergeCell ref="B644:C644"/>
    <mergeCell ref="B645:C645"/>
    <mergeCell ref="B646:C646"/>
    <mergeCell ref="B647:C647"/>
    <mergeCell ref="B648:C648"/>
    <mergeCell ref="B649:C649"/>
    <mergeCell ref="B650:C650"/>
    <mergeCell ref="B651:C651"/>
    <mergeCell ref="B652:C652"/>
    <mergeCell ref="B653:C653"/>
    <mergeCell ref="B654:C654"/>
    <mergeCell ref="B655:C655"/>
    <mergeCell ref="B656:C656"/>
    <mergeCell ref="B657:C657"/>
    <mergeCell ref="B658:C658"/>
    <mergeCell ref="B659:C659"/>
    <mergeCell ref="B660:C660"/>
    <mergeCell ref="B661:C661"/>
    <mergeCell ref="B662:C662"/>
    <mergeCell ref="B663:C663"/>
    <mergeCell ref="B664:C664"/>
    <mergeCell ref="B665:C665"/>
    <mergeCell ref="B666:C666"/>
    <mergeCell ref="B667:C667"/>
    <mergeCell ref="B668:C668"/>
    <mergeCell ref="B669:C669"/>
    <mergeCell ref="B670:C670"/>
    <mergeCell ref="B671:C671"/>
    <mergeCell ref="B672:C672"/>
    <mergeCell ref="B673:C673"/>
    <mergeCell ref="B674:C674"/>
    <mergeCell ref="B675:C675"/>
    <mergeCell ref="B676:C676"/>
    <mergeCell ref="B677:C677"/>
    <mergeCell ref="B678:C678"/>
    <mergeCell ref="B679:C679"/>
    <mergeCell ref="B680:C680"/>
    <mergeCell ref="B681:C681"/>
    <mergeCell ref="B682:C682"/>
    <mergeCell ref="B683:C683"/>
    <mergeCell ref="B684:C684"/>
    <mergeCell ref="B685:C685"/>
    <mergeCell ref="B686:C686"/>
    <mergeCell ref="B687:C687"/>
    <mergeCell ref="B688:C688"/>
    <mergeCell ref="B689:C689"/>
    <mergeCell ref="B690:C690"/>
    <mergeCell ref="B691:C691"/>
    <mergeCell ref="B692:C692"/>
    <mergeCell ref="B693:C693"/>
    <mergeCell ref="B694:C694"/>
    <mergeCell ref="B695:C695"/>
    <mergeCell ref="B696:C696"/>
    <mergeCell ref="B697:C697"/>
    <mergeCell ref="B698:C698"/>
    <mergeCell ref="B699:C699"/>
    <mergeCell ref="B700:C700"/>
    <mergeCell ref="B701:C701"/>
    <mergeCell ref="B702:C702"/>
    <mergeCell ref="B703:C703"/>
    <mergeCell ref="B704:C704"/>
    <mergeCell ref="B705:C705"/>
    <mergeCell ref="B706:C706"/>
    <mergeCell ref="B707:C707"/>
    <mergeCell ref="B708:C708"/>
    <mergeCell ref="B709:C709"/>
    <mergeCell ref="B710:C710"/>
    <mergeCell ref="B711:C711"/>
    <mergeCell ref="B712:C712"/>
    <mergeCell ref="B713:C713"/>
    <mergeCell ref="B714:C714"/>
    <mergeCell ref="B715:C715"/>
    <mergeCell ref="B716:C716"/>
    <mergeCell ref="B717:C717"/>
    <mergeCell ref="B718:C718"/>
    <mergeCell ref="B719:C719"/>
    <mergeCell ref="B720:C720"/>
    <mergeCell ref="B721:C721"/>
    <mergeCell ref="B722:C722"/>
    <mergeCell ref="B723:C723"/>
    <mergeCell ref="B724:C724"/>
    <mergeCell ref="B725:C725"/>
    <mergeCell ref="B726:C726"/>
    <mergeCell ref="B727:C727"/>
    <mergeCell ref="B728:C728"/>
    <mergeCell ref="B729:C729"/>
    <mergeCell ref="B730:C730"/>
    <mergeCell ref="B731:C731"/>
    <mergeCell ref="B732:C732"/>
    <mergeCell ref="B733:C733"/>
    <mergeCell ref="B734:C734"/>
    <mergeCell ref="B735:C735"/>
    <mergeCell ref="B736:C736"/>
    <mergeCell ref="B737:C737"/>
    <mergeCell ref="B738:C738"/>
    <mergeCell ref="B739:C739"/>
    <mergeCell ref="B740:C740"/>
    <mergeCell ref="B741:C741"/>
    <mergeCell ref="B742:C742"/>
    <mergeCell ref="B743:C743"/>
    <mergeCell ref="B744:C744"/>
    <mergeCell ref="B745:C745"/>
    <mergeCell ref="B746:C746"/>
    <mergeCell ref="B747:C747"/>
    <mergeCell ref="B748:C748"/>
    <mergeCell ref="B749:C749"/>
    <mergeCell ref="B750:C750"/>
    <mergeCell ref="B751:C751"/>
    <mergeCell ref="B752:C752"/>
    <mergeCell ref="B753:C753"/>
    <mergeCell ref="B754:C754"/>
    <mergeCell ref="B755:C755"/>
    <mergeCell ref="B756:C756"/>
    <mergeCell ref="B757:C757"/>
    <mergeCell ref="B758:C758"/>
    <mergeCell ref="B759:C759"/>
    <mergeCell ref="B760:C760"/>
    <mergeCell ref="B761:C761"/>
    <mergeCell ref="B762:C762"/>
    <mergeCell ref="B763:C763"/>
    <mergeCell ref="B764:C764"/>
    <mergeCell ref="B765:C765"/>
    <mergeCell ref="B766:C766"/>
    <mergeCell ref="B767:C767"/>
    <mergeCell ref="B768:C768"/>
    <mergeCell ref="B769:C769"/>
    <mergeCell ref="B770:C770"/>
    <mergeCell ref="B771:C771"/>
    <mergeCell ref="B772:C772"/>
    <mergeCell ref="B773:C773"/>
    <mergeCell ref="B774:C774"/>
    <mergeCell ref="B775:C775"/>
    <mergeCell ref="B776:C776"/>
    <mergeCell ref="B777:C777"/>
    <mergeCell ref="B778:C778"/>
    <mergeCell ref="B779:C779"/>
    <mergeCell ref="B780:C780"/>
    <mergeCell ref="B781:C781"/>
    <mergeCell ref="B782:C782"/>
    <mergeCell ref="B783:C783"/>
    <mergeCell ref="B784:C784"/>
    <mergeCell ref="B785:C785"/>
    <mergeCell ref="B786:C786"/>
    <mergeCell ref="B787:C787"/>
    <mergeCell ref="B788:C788"/>
    <mergeCell ref="B789:C789"/>
    <mergeCell ref="B790:C790"/>
    <mergeCell ref="B791:C791"/>
    <mergeCell ref="B792:C792"/>
    <mergeCell ref="B793:C793"/>
    <mergeCell ref="B794:C794"/>
    <mergeCell ref="B795:C795"/>
    <mergeCell ref="B796:C796"/>
    <mergeCell ref="B797:C797"/>
    <mergeCell ref="B798:C798"/>
    <mergeCell ref="B799:C799"/>
    <mergeCell ref="B800:C800"/>
    <mergeCell ref="B801:C801"/>
    <mergeCell ref="B802:C802"/>
    <mergeCell ref="B803:C803"/>
    <mergeCell ref="B804:C804"/>
    <mergeCell ref="B805:C805"/>
    <mergeCell ref="B806:C806"/>
    <mergeCell ref="B807:C807"/>
    <mergeCell ref="B808:C808"/>
    <mergeCell ref="B809:C809"/>
    <mergeCell ref="B810:C810"/>
    <mergeCell ref="B811:C811"/>
    <mergeCell ref="B812:C812"/>
    <mergeCell ref="B813:C813"/>
    <mergeCell ref="B814:C814"/>
    <mergeCell ref="B815:C815"/>
    <mergeCell ref="B816:C816"/>
    <mergeCell ref="B817:C817"/>
    <mergeCell ref="B818:C818"/>
    <mergeCell ref="B819:C819"/>
    <mergeCell ref="B820:C820"/>
    <mergeCell ref="B821:C821"/>
    <mergeCell ref="B822:C822"/>
    <mergeCell ref="B823:C823"/>
    <mergeCell ref="B824:C824"/>
    <mergeCell ref="B825:C825"/>
    <mergeCell ref="B826:C826"/>
    <mergeCell ref="B827:C827"/>
    <mergeCell ref="B828:C828"/>
    <mergeCell ref="B829:C829"/>
    <mergeCell ref="B830:C830"/>
    <mergeCell ref="B831:C831"/>
    <mergeCell ref="B832:C832"/>
    <mergeCell ref="B833:C833"/>
    <mergeCell ref="B834:C834"/>
    <mergeCell ref="B835:C835"/>
    <mergeCell ref="B836:C836"/>
    <mergeCell ref="B837:C837"/>
    <mergeCell ref="B838:C838"/>
    <mergeCell ref="B839:C839"/>
    <mergeCell ref="B840:C840"/>
    <mergeCell ref="B841:C841"/>
    <mergeCell ref="B842:C842"/>
    <mergeCell ref="B843:C843"/>
    <mergeCell ref="B844:C844"/>
    <mergeCell ref="B845:C845"/>
    <mergeCell ref="B846:C846"/>
    <mergeCell ref="B847:C847"/>
    <mergeCell ref="B848:C848"/>
    <mergeCell ref="B849:C849"/>
    <mergeCell ref="B850:C850"/>
    <mergeCell ref="B851:C851"/>
    <mergeCell ref="B852:C852"/>
    <mergeCell ref="B853:C853"/>
    <mergeCell ref="B854:C854"/>
    <mergeCell ref="B855:C855"/>
    <mergeCell ref="B856:C856"/>
    <mergeCell ref="B857:C857"/>
    <mergeCell ref="B858:C858"/>
    <mergeCell ref="B859:C859"/>
    <mergeCell ref="B860:C860"/>
    <mergeCell ref="B861:C861"/>
    <mergeCell ref="B862:C862"/>
    <mergeCell ref="B863:C863"/>
    <mergeCell ref="B864:C864"/>
    <mergeCell ref="B865:C865"/>
    <mergeCell ref="B866:C866"/>
    <mergeCell ref="B867:C867"/>
    <mergeCell ref="B868:C868"/>
    <mergeCell ref="B869:C869"/>
    <mergeCell ref="B870:C870"/>
    <mergeCell ref="B871:C871"/>
    <mergeCell ref="B872:C872"/>
    <mergeCell ref="B873:C873"/>
    <mergeCell ref="B874:C874"/>
    <mergeCell ref="B875:C875"/>
    <mergeCell ref="B876:C876"/>
    <mergeCell ref="B877:C877"/>
    <mergeCell ref="B878:C878"/>
    <mergeCell ref="B879:C879"/>
    <mergeCell ref="B880:C880"/>
    <mergeCell ref="B881:C881"/>
    <mergeCell ref="B882:C882"/>
    <mergeCell ref="B883:C883"/>
    <mergeCell ref="B884:C884"/>
    <mergeCell ref="B885:C885"/>
    <mergeCell ref="B886:C886"/>
    <mergeCell ref="B887:C887"/>
    <mergeCell ref="B888:C888"/>
    <mergeCell ref="B889:C889"/>
    <mergeCell ref="B890:C890"/>
    <mergeCell ref="B891:C891"/>
    <mergeCell ref="B892:C892"/>
    <mergeCell ref="B893:C893"/>
    <mergeCell ref="B894:C894"/>
    <mergeCell ref="B895:C895"/>
    <mergeCell ref="B896:C896"/>
    <mergeCell ref="B897:C897"/>
    <mergeCell ref="B898:C898"/>
    <mergeCell ref="B899:C899"/>
    <mergeCell ref="B900:C900"/>
    <mergeCell ref="B901:C901"/>
    <mergeCell ref="B902:C902"/>
    <mergeCell ref="B903:C903"/>
    <mergeCell ref="B904:C904"/>
    <mergeCell ref="B905:C905"/>
    <mergeCell ref="B906:C906"/>
    <mergeCell ref="B907:C907"/>
    <mergeCell ref="B908:C908"/>
    <mergeCell ref="B909:C909"/>
    <mergeCell ref="B910:C910"/>
    <mergeCell ref="B911:C911"/>
    <mergeCell ref="B912:C912"/>
    <mergeCell ref="B913:C913"/>
    <mergeCell ref="B914:C914"/>
    <mergeCell ref="B915:C915"/>
    <mergeCell ref="B916:C916"/>
    <mergeCell ref="B917:C917"/>
    <mergeCell ref="B918:C918"/>
    <mergeCell ref="B919:C919"/>
    <mergeCell ref="B920:C920"/>
    <mergeCell ref="B921:C921"/>
    <mergeCell ref="B922:C922"/>
    <mergeCell ref="B923:C923"/>
    <mergeCell ref="B924:C924"/>
    <mergeCell ref="B925:C925"/>
    <mergeCell ref="B926:C926"/>
    <mergeCell ref="B927:C927"/>
    <mergeCell ref="B928:C928"/>
    <mergeCell ref="B929:C929"/>
    <mergeCell ref="B930:C930"/>
    <mergeCell ref="B931:C931"/>
    <mergeCell ref="B932:C932"/>
    <mergeCell ref="B933:C933"/>
    <mergeCell ref="B934:C934"/>
    <mergeCell ref="B935:C935"/>
    <mergeCell ref="B936:C936"/>
    <mergeCell ref="B937:C937"/>
    <mergeCell ref="B938:C938"/>
    <mergeCell ref="B939:C939"/>
    <mergeCell ref="B940:C940"/>
    <mergeCell ref="B941:C941"/>
    <mergeCell ref="B942:C942"/>
    <mergeCell ref="B943:C943"/>
    <mergeCell ref="B944:C944"/>
    <mergeCell ref="B945:C945"/>
    <mergeCell ref="B946:C946"/>
    <mergeCell ref="B947:C947"/>
    <mergeCell ref="B948:C948"/>
    <mergeCell ref="B949:C949"/>
    <mergeCell ref="B950:C950"/>
    <mergeCell ref="B951:C951"/>
    <mergeCell ref="B952:C952"/>
    <mergeCell ref="B953:C953"/>
    <mergeCell ref="B954:C954"/>
    <mergeCell ref="B955:C955"/>
    <mergeCell ref="B956:C956"/>
    <mergeCell ref="B957:C957"/>
    <mergeCell ref="B958:C958"/>
    <mergeCell ref="B959:C959"/>
    <mergeCell ref="B960:C960"/>
    <mergeCell ref="B961:C961"/>
    <mergeCell ref="B962:C962"/>
    <mergeCell ref="B963:C963"/>
    <mergeCell ref="B964:C964"/>
    <mergeCell ref="B965:C965"/>
    <mergeCell ref="B966:C966"/>
    <mergeCell ref="B967:C967"/>
    <mergeCell ref="B968:C968"/>
    <mergeCell ref="B969:C969"/>
    <mergeCell ref="B970:C970"/>
    <mergeCell ref="B971:C971"/>
    <mergeCell ref="B972:C972"/>
    <mergeCell ref="B973:C973"/>
    <mergeCell ref="B974:C974"/>
    <mergeCell ref="B975:C975"/>
    <mergeCell ref="B976:C976"/>
    <mergeCell ref="B977:C977"/>
    <mergeCell ref="B978:C978"/>
    <mergeCell ref="B979:C979"/>
    <mergeCell ref="B980:C980"/>
    <mergeCell ref="B981:C981"/>
    <mergeCell ref="B982:C982"/>
    <mergeCell ref="B983:C983"/>
    <mergeCell ref="B984:C984"/>
    <mergeCell ref="B985:C985"/>
    <mergeCell ref="B986:C986"/>
    <mergeCell ref="B987:C987"/>
    <mergeCell ref="B988:C988"/>
    <mergeCell ref="B989:C989"/>
    <mergeCell ref="B990:C990"/>
    <mergeCell ref="B991:C991"/>
    <mergeCell ref="B992:C992"/>
    <mergeCell ref="B993:C993"/>
    <mergeCell ref="B994:C994"/>
    <mergeCell ref="B995:C995"/>
    <mergeCell ref="B996:C996"/>
    <mergeCell ref="B997:C997"/>
    <mergeCell ref="B998:C998"/>
    <mergeCell ref="B999:C999"/>
    <mergeCell ref="B1000:C1000"/>
    <mergeCell ref="B1001:C1001"/>
    <mergeCell ref="B1002:C1002"/>
    <mergeCell ref="B1003:C1003"/>
    <mergeCell ref="B1004:C1004"/>
    <mergeCell ref="B1005:C1005"/>
    <mergeCell ref="B1006:C1006"/>
    <mergeCell ref="B1007:C1007"/>
    <mergeCell ref="B1008:C1008"/>
    <mergeCell ref="B1009:C1009"/>
    <mergeCell ref="B1010:C1010"/>
    <mergeCell ref="B1011:C1011"/>
    <mergeCell ref="B1012:C1012"/>
    <mergeCell ref="B1013:C1013"/>
    <mergeCell ref="B1014:C1014"/>
    <mergeCell ref="B1015:C1015"/>
    <mergeCell ref="B1016:C1016"/>
    <mergeCell ref="B1017:C1017"/>
    <mergeCell ref="B1018:C1018"/>
    <mergeCell ref="B1019:C1019"/>
    <mergeCell ref="B1020:C1020"/>
    <mergeCell ref="B1021:C1021"/>
    <mergeCell ref="B1022:C1022"/>
    <mergeCell ref="B1023:C1023"/>
    <mergeCell ref="B1024:C1024"/>
    <mergeCell ref="B1025:C1025"/>
    <mergeCell ref="B1026:C1026"/>
    <mergeCell ref="B1027:C1027"/>
    <mergeCell ref="B1028:C1028"/>
    <mergeCell ref="B1029:C1029"/>
    <mergeCell ref="B1030:C1030"/>
    <mergeCell ref="B1031:C1031"/>
    <mergeCell ref="B1032:C1032"/>
    <mergeCell ref="B1033:C1033"/>
    <mergeCell ref="B1034:C1034"/>
    <mergeCell ref="B1035:C1035"/>
    <mergeCell ref="B1036:C1036"/>
    <mergeCell ref="B1037:C1037"/>
    <mergeCell ref="B1038:C1038"/>
    <mergeCell ref="B1039:C1039"/>
    <mergeCell ref="B1040:C1040"/>
    <mergeCell ref="B1041:C1041"/>
    <mergeCell ref="B1042:C1042"/>
    <mergeCell ref="B1043:C1043"/>
    <mergeCell ref="B1044:C1044"/>
    <mergeCell ref="B1045:C1045"/>
    <mergeCell ref="B1046:C1046"/>
    <mergeCell ref="B1047:C1047"/>
    <mergeCell ref="B1048:C1048"/>
    <mergeCell ref="B1049:C1049"/>
    <mergeCell ref="B1050:C1050"/>
    <mergeCell ref="B1051:C1051"/>
    <mergeCell ref="B1052:C1052"/>
    <mergeCell ref="B1053:C1053"/>
    <mergeCell ref="B1054:C1054"/>
    <mergeCell ref="B1055:C1055"/>
    <mergeCell ref="B1056:C1056"/>
    <mergeCell ref="B1057:C1057"/>
    <mergeCell ref="B1058:C1058"/>
    <mergeCell ref="B1059:C1059"/>
    <mergeCell ref="B1060:C1060"/>
    <mergeCell ref="B1061:C1061"/>
    <mergeCell ref="B1062:C1062"/>
    <mergeCell ref="B1063:C1063"/>
    <mergeCell ref="B1064:C1064"/>
    <mergeCell ref="B1065:C1065"/>
    <mergeCell ref="B1066:C1066"/>
    <mergeCell ref="B1067:C1067"/>
    <mergeCell ref="B1068:C1068"/>
    <mergeCell ref="B1069:C1069"/>
    <mergeCell ref="B1070:C1070"/>
    <mergeCell ref="B1071:C1071"/>
    <mergeCell ref="B1072:C1072"/>
    <mergeCell ref="B1073:C1073"/>
    <mergeCell ref="B1074:C1074"/>
    <mergeCell ref="B1075:C1075"/>
    <mergeCell ref="B1076:C1076"/>
    <mergeCell ref="B1077:C1077"/>
    <mergeCell ref="B1078:C1078"/>
    <mergeCell ref="B1079:C1079"/>
    <mergeCell ref="B1080:C1080"/>
    <mergeCell ref="B1081:C1081"/>
    <mergeCell ref="B1082:C1082"/>
    <mergeCell ref="B1083:C1083"/>
    <mergeCell ref="B1084:C1084"/>
    <mergeCell ref="B1085:C1085"/>
    <mergeCell ref="B1086:C1086"/>
    <mergeCell ref="B1087:C1087"/>
    <mergeCell ref="B1088:C1088"/>
    <mergeCell ref="B1089:C1089"/>
    <mergeCell ref="B1090:C1090"/>
    <mergeCell ref="B1091:C1091"/>
    <mergeCell ref="B1092:C1092"/>
    <mergeCell ref="B1093:C1093"/>
    <mergeCell ref="B1094:C1094"/>
    <mergeCell ref="B1095:C1095"/>
    <mergeCell ref="B1096:C1096"/>
    <mergeCell ref="B1097:C1097"/>
    <mergeCell ref="B1098:C1098"/>
    <mergeCell ref="B1099:C1099"/>
    <mergeCell ref="B1100:C1100"/>
    <mergeCell ref="B1101:C1101"/>
    <mergeCell ref="B1102:C1102"/>
    <mergeCell ref="B1103:C1103"/>
    <mergeCell ref="B1104:C1104"/>
    <mergeCell ref="B1105:C1105"/>
    <mergeCell ref="B1106:C1106"/>
    <mergeCell ref="B1107:C1107"/>
    <mergeCell ref="B1108:C1108"/>
    <mergeCell ref="B1109:C1109"/>
    <mergeCell ref="B1110:C1110"/>
    <mergeCell ref="B1111:C1111"/>
    <mergeCell ref="B1112:C1112"/>
    <mergeCell ref="B1113:C1113"/>
    <mergeCell ref="B1114:C1114"/>
    <mergeCell ref="B1115:C1115"/>
    <mergeCell ref="B1116:C1116"/>
    <mergeCell ref="B1117:C1117"/>
    <mergeCell ref="B1118:C1118"/>
    <mergeCell ref="B1119:C1119"/>
    <mergeCell ref="B1120:C1120"/>
    <mergeCell ref="B1121:C1121"/>
    <mergeCell ref="B1122:C1122"/>
    <mergeCell ref="B1123:C1123"/>
    <mergeCell ref="B1124:C1124"/>
    <mergeCell ref="B1125:C1125"/>
    <mergeCell ref="B1126:C1126"/>
    <mergeCell ref="B1127:C1127"/>
    <mergeCell ref="B1128:C1128"/>
    <mergeCell ref="B1129:C1129"/>
    <mergeCell ref="B1130:C1130"/>
    <mergeCell ref="B1131:C1131"/>
    <mergeCell ref="B1132:C1132"/>
    <mergeCell ref="B1133:C1133"/>
    <mergeCell ref="B1134:C1134"/>
    <mergeCell ref="B1135:C1135"/>
    <mergeCell ref="B1136:C1136"/>
    <mergeCell ref="B1137:C1137"/>
    <mergeCell ref="B1138:C1138"/>
    <mergeCell ref="B1139:C1139"/>
    <mergeCell ref="B1140:C1140"/>
    <mergeCell ref="B1141:C1141"/>
    <mergeCell ref="B1142:C1142"/>
    <mergeCell ref="B1143:C1143"/>
    <mergeCell ref="B1144:C1144"/>
    <mergeCell ref="B1145:C1145"/>
    <mergeCell ref="B1146:C1146"/>
    <mergeCell ref="B1147:C1147"/>
    <mergeCell ref="B1148:C1148"/>
    <mergeCell ref="B1149:C1149"/>
    <mergeCell ref="B1150:C1150"/>
    <mergeCell ref="B1151:C1151"/>
    <mergeCell ref="B1152:C1152"/>
    <mergeCell ref="B1153:C1153"/>
    <mergeCell ref="B1154:C1154"/>
    <mergeCell ref="B1155:C1155"/>
    <mergeCell ref="B1156:C1156"/>
    <mergeCell ref="B1157:C1157"/>
    <mergeCell ref="B1158:C1158"/>
    <mergeCell ref="B1159:C1159"/>
    <mergeCell ref="B1160:C1160"/>
    <mergeCell ref="B1161:C1161"/>
    <mergeCell ref="B1162:C1162"/>
    <mergeCell ref="B1163:C1163"/>
    <mergeCell ref="B1164:C1164"/>
    <mergeCell ref="B1165:C1165"/>
    <mergeCell ref="B1166:C1166"/>
    <mergeCell ref="B1167:C1167"/>
    <mergeCell ref="B1168:C1168"/>
    <mergeCell ref="B1169:C1169"/>
    <mergeCell ref="B1170:C1170"/>
    <mergeCell ref="B1171:C1171"/>
    <mergeCell ref="B1172:C1172"/>
    <mergeCell ref="B1173:C1173"/>
    <mergeCell ref="B1174:C1174"/>
    <mergeCell ref="B1175:C1175"/>
    <mergeCell ref="B1176:C1176"/>
    <mergeCell ref="B1177:C1177"/>
    <mergeCell ref="B1178:C1178"/>
    <mergeCell ref="B1179:C1179"/>
    <mergeCell ref="B1180:C1180"/>
    <mergeCell ref="B1181:C1181"/>
    <mergeCell ref="B1182:C1182"/>
    <mergeCell ref="B1183:C1183"/>
    <mergeCell ref="B1184:C1184"/>
    <mergeCell ref="B1185:C1185"/>
    <mergeCell ref="B1186:C1186"/>
    <mergeCell ref="B1187:C1187"/>
    <mergeCell ref="B1188:C1188"/>
    <mergeCell ref="B1189:C1189"/>
    <mergeCell ref="B1190:C1190"/>
    <mergeCell ref="B1191:C1191"/>
    <mergeCell ref="B1192:C1192"/>
    <mergeCell ref="B1193:C1193"/>
    <mergeCell ref="B1194:C1194"/>
    <mergeCell ref="B1195:C1195"/>
    <mergeCell ref="B1196:C1196"/>
    <mergeCell ref="B1197:C1197"/>
    <mergeCell ref="B1198:C1198"/>
    <mergeCell ref="B1199:C1199"/>
    <mergeCell ref="B1200:C1200"/>
    <mergeCell ref="B1201:C1201"/>
    <mergeCell ref="B1202:C1202"/>
    <mergeCell ref="B1203:C1203"/>
    <mergeCell ref="B1204:C1204"/>
    <mergeCell ref="B1205:C1205"/>
    <mergeCell ref="B1206:C1206"/>
    <mergeCell ref="B1207:C1207"/>
    <mergeCell ref="B1208:C1208"/>
    <mergeCell ref="B1209:C1209"/>
    <mergeCell ref="B1210:C1210"/>
    <mergeCell ref="B1211:C1211"/>
    <mergeCell ref="B1212:C1212"/>
    <mergeCell ref="B1213:C1213"/>
    <mergeCell ref="B1214:C1214"/>
    <mergeCell ref="B1215:C1215"/>
    <mergeCell ref="B1216:C1216"/>
    <mergeCell ref="B1217:C1217"/>
    <mergeCell ref="B1218:C1218"/>
    <mergeCell ref="B1219:C1219"/>
    <mergeCell ref="B1220:C1220"/>
    <mergeCell ref="B1221:C1221"/>
    <mergeCell ref="B1222:C1222"/>
    <mergeCell ref="B1223:C1223"/>
    <mergeCell ref="B1224:C1224"/>
    <mergeCell ref="B1225:C1225"/>
    <mergeCell ref="B1226:C1226"/>
    <mergeCell ref="B1227:C1227"/>
    <mergeCell ref="B1228:C1228"/>
    <mergeCell ref="B1229:C1229"/>
    <mergeCell ref="B1230:C1230"/>
    <mergeCell ref="B1231:C1231"/>
    <mergeCell ref="B1232:C1232"/>
    <mergeCell ref="B1233:C1233"/>
    <mergeCell ref="B1234:C1234"/>
    <mergeCell ref="B1235:C1235"/>
    <mergeCell ref="B1236:C1236"/>
    <mergeCell ref="B1237:C1237"/>
    <mergeCell ref="B1238:C1238"/>
    <mergeCell ref="B1239:C1239"/>
    <mergeCell ref="B1240:C1240"/>
    <mergeCell ref="B1241:C1241"/>
    <mergeCell ref="B1242:C1242"/>
    <mergeCell ref="B1243:C1243"/>
    <mergeCell ref="B1244:C1244"/>
    <mergeCell ref="B1245:C1245"/>
    <mergeCell ref="B1246:C1246"/>
    <mergeCell ref="B1247:C1247"/>
    <mergeCell ref="B1248:C1248"/>
    <mergeCell ref="B1249:C1249"/>
    <mergeCell ref="B1250:C1250"/>
    <mergeCell ref="B1251:C1251"/>
    <mergeCell ref="B1252:C1252"/>
    <mergeCell ref="B1253:C1253"/>
    <mergeCell ref="B1254:C1254"/>
    <mergeCell ref="B1255:C1255"/>
    <mergeCell ref="B1256:C1256"/>
    <mergeCell ref="B1257:C1257"/>
    <mergeCell ref="B1258:C1258"/>
    <mergeCell ref="B1259:C1259"/>
    <mergeCell ref="B1260:C1260"/>
    <mergeCell ref="B1261:C1261"/>
    <mergeCell ref="B1262:C1262"/>
    <mergeCell ref="B1263:C1263"/>
    <mergeCell ref="B1264:C1264"/>
    <mergeCell ref="B1265:C1265"/>
    <mergeCell ref="B1266:C1266"/>
    <mergeCell ref="B1267:C1267"/>
    <mergeCell ref="B1268:C1268"/>
    <mergeCell ref="B1269:C1269"/>
    <mergeCell ref="B1270:C1270"/>
    <mergeCell ref="B1271:C1271"/>
    <mergeCell ref="B1272:C1272"/>
    <mergeCell ref="B1273:C1273"/>
    <mergeCell ref="B1274:C1274"/>
    <mergeCell ref="B1275:C1275"/>
    <mergeCell ref="B1276:C1276"/>
    <mergeCell ref="B1277:C1277"/>
    <mergeCell ref="B1278:C1278"/>
    <mergeCell ref="B1279:C1279"/>
    <mergeCell ref="B1280:C1280"/>
    <mergeCell ref="B1281:C1281"/>
    <mergeCell ref="B1282:C1282"/>
    <mergeCell ref="B1283:C1283"/>
    <mergeCell ref="B1284:C1284"/>
    <mergeCell ref="B1285:C1285"/>
    <mergeCell ref="B1286:C1286"/>
    <mergeCell ref="B1287:C1287"/>
    <mergeCell ref="B1288:C1288"/>
    <mergeCell ref="B1289:C1289"/>
    <mergeCell ref="B1290:C1290"/>
    <mergeCell ref="B1291:C1291"/>
    <mergeCell ref="B1292:C1292"/>
    <mergeCell ref="B1293:C1293"/>
    <mergeCell ref="B1294:C1294"/>
    <mergeCell ref="B1295:C1295"/>
    <mergeCell ref="B1296:C1296"/>
    <mergeCell ref="B1297:C1297"/>
    <mergeCell ref="B1298:C1298"/>
    <mergeCell ref="B1299:C1299"/>
    <mergeCell ref="B1300:C1300"/>
    <mergeCell ref="B1301:C1301"/>
    <mergeCell ref="B1302:C1302"/>
    <mergeCell ref="B1303:C1303"/>
    <mergeCell ref="B1304:C1304"/>
    <mergeCell ref="B1305:C1305"/>
    <mergeCell ref="B1306:C1306"/>
    <mergeCell ref="B1307:C1307"/>
    <mergeCell ref="B1308:C1308"/>
    <mergeCell ref="B1309:C1309"/>
    <mergeCell ref="B1310:C1310"/>
    <mergeCell ref="B1311:C1311"/>
    <mergeCell ref="B1312:C1312"/>
    <mergeCell ref="B1313:C1313"/>
    <mergeCell ref="B1314:C1314"/>
    <mergeCell ref="B1315:C1315"/>
    <mergeCell ref="B1316:C1316"/>
    <mergeCell ref="B1317:C1317"/>
    <mergeCell ref="B1318:C1318"/>
    <mergeCell ref="B1319:C1319"/>
    <mergeCell ref="B1320:C1320"/>
    <mergeCell ref="B1321:C1321"/>
    <mergeCell ref="B1322:C1322"/>
    <mergeCell ref="B1323:C1323"/>
    <mergeCell ref="B1324:C1324"/>
    <mergeCell ref="B1325:C1325"/>
    <mergeCell ref="B1326:C1326"/>
    <mergeCell ref="B1327:C1327"/>
    <mergeCell ref="B1328:C1328"/>
    <mergeCell ref="B1329:C1329"/>
    <mergeCell ref="B1330:C1330"/>
    <mergeCell ref="B1331:C1331"/>
    <mergeCell ref="B1332:C1332"/>
    <mergeCell ref="B1333:C1333"/>
    <mergeCell ref="B1334:C1334"/>
    <mergeCell ref="B1335:C1335"/>
    <mergeCell ref="B1336:C1336"/>
    <mergeCell ref="B1337:C1337"/>
    <mergeCell ref="B1338:C1338"/>
    <mergeCell ref="B1339:C1339"/>
    <mergeCell ref="B1340:C1340"/>
    <mergeCell ref="B1341:C1341"/>
    <mergeCell ref="B1342:C1342"/>
    <mergeCell ref="B1343:C1343"/>
    <mergeCell ref="B1344:C1344"/>
    <mergeCell ref="B1345:C1345"/>
    <mergeCell ref="B1346:C1346"/>
    <mergeCell ref="B1347:C1347"/>
    <mergeCell ref="B1348:C1348"/>
    <mergeCell ref="B1349:C1349"/>
    <mergeCell ref="B1350:C1350"/>
    <mergeCell ref="B1351:C1351"/>
    <mergeCell ref="B1352:C1352"/>
    <mergeCell ref="B1353:C1353"/>
    <mergeCell ref="B1354:C1354"/>
    <mergeCell ref="B1355:C1355"/>
    <mergeCell ref="B1356:C1356"/>
    <mergeCell ref="B1357:C1357"/>
    <mergeCell ref="B1358:C1358"/>
    <mergeCell ref="B1359:C1359"/>
    <mergeCell ref="B1360:C1360"/>
    <mergeCell ref="B1361:C1361"/>
    <mergeCell ref="B1362:C1362"/>
    <mergeCell ref="B1363:C1363"/>
    <mergeCell ref="B1364:C1364"/>
    <mergeCell ref="B1365:C1365"/>
    <mergeCell ref="B1366:C1366"/>
    <mergeCell ref="B1367:C1367"/>
    <mergeCell ref="B1368:C1368"/>
    <mergeCell ref="B1369:C1369"/>
    <mergeCell ref="B1370:C1370"/>
    <mergeCell ref="B1371:C1371"/>
    <mergeCell ref="B1372:C1372"/>
    <mergeCell ref="B1373:C1373"/>
    <mergeCell ref="B1374:C1374"/>
    <mergeCell ref="B1375:C1375"/>
    <mergeCell ref="B1376:C1376"/>
    <mergeCell ref="B1377:C1377"/>
    <mergeCell ref="B1378:C1378"/>
    <mergeCell ref="B1379:C1379"/>
    <mergeCell ref="B1380:C1380"/>
    <mergeCell ref="B1381:C1381"/>
    <mergeCell ref="B1382:C1382"/>
    <mergeCell ref="B1383:C1383"/>
    <mergeCell ref="B1384:C1384"/>
    <mergeCell ref="B1385:C1385"/>
    <mergeCell ref="B1386:C1386"/>
    <mergeCell ref="B1387:C1387"/>
    <mergeCell ref="B1388:C1388"/>
    <mergeCell ref="B1389:C1389"/>
    <mergeCell ref="B1390:C1390"/>
    <mergeCell ref="B1391:C1391"/>
    <mergeCell ref="B1392:C1392"/>
    <mergeCell ref="B1393:C1393"/>
    <mergeCell ref="B1394:C1394"/>
    <mergeCell ref="B1395:C1395"/>
    <mergeCell ref="B1396:C1396"/>
    <mergeCell ref="B1397:C1397"/>
    <mergeCell ref="B1398:C1398"/>
    <mergeCell ref="B1399:C1399"/>
    <mergeCell ref="B1400:C1400"/>
    <mergeCell ref="B1401:C1401"/>
    <mergeCell ref="B1402:C1402"/>
    <mergeCell ref="B1403:C1403"/>
    <mergeCell ref="B1404:C1404"/>
    <mergeCell ref="B1405:C1405"/>
    <mergeCell ref="B1406:C1406"/>
    <mergeCell ref="B1407:C1407"/>
    <mergeCell ref="B1408:C1408"/>
    <mergeCell ref="B1409:C1409"/>
    <mergeCell ref="B1410:C1410"/>
    <mergeCell ref="B1411:C1411"/>
    <mergeCell ref="B1412:C1412"/>
    <mergeCell ref="B1413:C1413"/>
    <mergeCell ref="B1414:C1414"/>
    <mergeCell ref="B1415:C1415"/>
    <mergeCell ref="B1416:C1416"/>
    <mergeCell ref="B1417:C1417"/>
    <mergeCell ref="B1418:C1418"/>
    <mergeCell ref="B1419:C1419"/>
    <mergeCell ref="B1420:C1420"/>
    <mergeCell ref="B1421:C1421"/>
    <mergeCell ref="B1422:C1422"/>
    <mergeCell ref="B1423:C1423"/>
    <mergeCell ref="B1424:C1424"/>
    <mergeCell ref="B1425:C1425"/>
    <mergeCell ref="B1426:C1426"/>
    <mergeCell ref="B1427:C1427"/>
    <mergeCell ref="B1428:C1428"/>
    <mergeCell ref="B1429:C1429"/>
    <mergeCell ref="B1430:C1430"/>
    <mergeCell ref="B1431:C1431"/>
    <mergeCell ref="B1432:C1432"/>
    <mergeCell ref="B1433:C1433"/>
    <mergeCell ref="B1434:C1434"/>
    <mergeCell ref="B1435:C1435"/>
    <mergeCell ref="B1436:C1436"/>
    <mergeCell ref="B1437:C1437"/>
    <mergeCell ref="B1438:C1438"/>
    <mergeCell ref="B1439:C1439"/>
    <mergeCell ref="B1440:C1440"/>
    <mergeCell ref="B1441:C1441"/>
    <mergeCell ref="B1442:C1442"/>
    <mergeCell ref="B1443:C1443"/>
    <mergeCell ref="B1444:C1444"/>
    <mergeCell ref="B1445:C1445"/>
    <mergeCell ref="B1446:C1446"/>
    <mergeCell ref="B1447:C1447"/>
    <mergeCell ref="B1448:C1448"/>
    <mergeCell ref="B1449:C1449"/>
    <mergeCell ref="B1450:C1450"/>
    <mergeCell ref="B1451:C1451"/>
    <mergeCell ref="B1452:C1452"/>
    <mergeCell ref="B1453:C1453"/>
    <mergeCell ref="B1454:C1454"/>
    <mergeCell ref="B1455:C1455"/>
    <mergeCell ref="B1456:C1456"/>
    <mergeCell ref="B1457:C1457"/>
    <mergeCell ref="B1458:C1458"/>
    <mergeCell ref="B1459:C1459"/>
    <mergeCell ref="B1460:C1460"/>
    <mergeCell ref="B1461:C1461"/>
    <mergeCell ref="B1462:C1462"/>
    <mergeCell ref="B1463:C1463"/>
    <mergeCell ref="B1464:C1464"/>
    <mergeCell ref="B1465:C1465"/>
    <mergeCell ref="B1466:C1466"/>
    <mergeCell ref="B1467:C1467"/>
    <mergeCell ref="B1468:C1468"/>
    <mergeCell ref="B1469:C1469"/>
    <mergeCell ref="B1470:C1470"/>
    <mergeCell ref="B1471:C1471"/>
    <mergeCell ref="B1472:C1472"/>
    <mergeCell ref="B1473:C1473"/>
    <mergeCell ref="B1474:C1474"/>
    <mergeCell ref="B1475:C1475"/>
    <mergeCell ref="B1476:C1476"/>
    <mergeCell ref="B1477:C1477"/>
    <mergeCell ref="B1478:C1478"/>
    <mergeCell ref="B1479:C1479"/>
    <mergeCell ref="B1480:C1480"/>
    <mergeCell ref="B1481:C1481"/>
    <mergeCell ref="B1482:C1482"/>
    <mergeCell ref="B1483:C1483"/>
    <mergeCell ref="B1484:C1484"/>
    <mergeCell ref="B1485:C1485"/>
    <mergeCell ref="B1486:C1486"/>
    <mergeCell ref="B1487:C1487"/>
    <mergeCell ref="B1488:C1488"/>
    <mergeCell ref="B1489:C1489"/>
    <mergeCell ref="B1490:C1490"/>
    <mergeCell ref="B1491:C1491"/>
    <mergeCell ref="B1492:C1492"/>
    <mergeCell ref="B1493:C1493"/>
    <mergeCell ref="B1494:C1494"/>
    <mergeCell ref="B1495:C1495"/>
    <mergeCell ref="B1496:C1496"/>
    <mergeCell ref="B1497:C1497"/>
    <mergeCell ref="B1498:C1498"/>
    <mergeCell ref="B1499:C1499"/>
    <mergeCell ref="B1500:C1500"/>
    <mergeCell ref="B1501:C1501"/>
    <mergeCell ref="B1502:C1502"/>
    <mergeCell ref="B1503:C1503"/>
    <mergeCell ref="B1504:C1504"/>
    <mergeCell ref="B1505:C1505"/>
    <mergeCell ref="B1506:C1506"/>
    <mergeCell ref="B1507:C1507"/>
    <mergeCell ref="B1508:C1508"/>
    <mergeCell ref="B1509:C1509"/>
    <mergeCell ref="B1510:C1510"/>
    <mergeCell ref="B1511:C1511"/>
    <mergeCell ref="B1512:C1512"/>
    <mergeCell ref="B1513:C1513"/>
    <mergeCell ref="B1514:C1514"/>
    <mergeCell ref="B1515:C1515"/>
    <mergeCell ref="B1516:C1516"/>
    <mergeCell ref="B1517:C1517"/>
    <mergeCell ref="B1518:C1518"/>
    <mergeCell ref="B1519:C1519"/>
    <mergeCell ref="B1520:C1520"/>
    <mergeCell ref="B1521:C1521"/>
    <mergeCell ref="B1522:C1522"/>
    <mergeCell ref="B1523:C1523"/>
    <mergeCell ref="B1524:C1524"/>
    <mergeCell ref="B1525:C1525"/>
    <mergeCell ref="B1526:C1526"/>
    <mergeCell ref="B1527:C1527"/>
    <mergeCell ref="B1528:C1528"/>
    <mergeCell ref="B1529:C1529"/>
    <mergeCell ref="B1530:C1530"/>
    <mergeCell ref="B1531:C1531"/>
    <mergeCell ref="B1532:C1532"/>
    <mergeCell ref="B1533:C1533"/>
    <mergeCell ref="B1534:C1534"/>
    <mergeCell ref="B1535:C1535"/>
    <mergeCell ref="B1536:C1536"/>
    <mergeCell ref="B1537:C1537"/>
    <mergeCell ref="B1538:C1538"/>
    <mergeCell ref="B1539:C1539"/>
    <mergeCell ref="B1540:C1540"/>
    <mergeCell ref="B1541:C1541"/>
    <mergeCell ref="B1542:C1542"/>
    <mergeCell ref="B1543:C1543"/>
    <mergeCell ref="B1544:C1544"/>
    <mergeCell ref="B1545:C1545"/>
    <mergeCell ref="B1546:C1546"/>
    <mergeCell ref="B1547:C1547"/>
    <mergeCell ref="B1548:C1548"/>
    <mergeCell ref="B1549:C1549"/>
    <mergeCell ref="B1550:C1550"/>
    <mergeCell ref="B1551:C1551"/>
    <mergeCell ref="B1552:C1552"/>
    <mergeCell ref="B1553:C1553"/>
    <mergeCell ref="B1554:C1554"/>
    <mergeCell ref="B1555:C1555"/>
    <mergeCell ref="B1556:C1556"/>
    <mergeCell ref="B1557:C1557"/>
    <mergeCell ref="B1558:C1558"/>
    <mergeCell ref="B1559:C1559"/>
    <mergeCell ref="B1560:C1560"/>
    <mergeCell ref="B1561:C1561"/>
    <mergeCell ref="B1562:C1562"/>
    <mergeCell ref="B1563:C1563"/>
    <mergeCell ref="B1564:C1564"/>
    <mergeCell ref="B1565:C1565"/>
    <mergeCell ref="B1566:C1566"/>
    <mergeCell ref="B1567:C1567"/>
    <mergeCell ref="B1568:C1568"/>
    <mergeCell ref="B1569:C1569"/>
    <mergeCell ref="B1570:C1570"/>
    <mergeCell ref="B1571:C1571"/>
    <mergeCell ref="B1572:C1572"/>
    <mergeCell ref="B1573:C1573"/>
    <mergeCell ref="B1574:C1574"/>
    <mergeCell ref="B1575:C1575"/>
    <mergeCell ref="B1576:C1576"/>
    <mergeCell ref="B1577:C1577"/>
    <mergeCell ref="B1578:C1578"/>
    <mergeCell ref="B1579:C1579"/>
    <mergeCell ref="B1580:C1580"/>
    <mergeCell ref="B1581:C1581"/>
    <mergeCell ref="B1582:C1582"/>
    <mergeCell ref="B1583:C1583"/>
    <mergeCell ref="B1584:C1584"/>
    <mergeCell ref="B1585:C1585"/>
    <mergeCell ref="B1586:C1586"/>
    <mergeCell ref="B1587:C1587"/>
    <mergeCell ref="B1588:C1588"/>
    <mergeCell ref="B1589:C1589"/>
    <mergeCell ref="B1590:C1590"/>
    <mergeCell ref="B1591:C1591"/>
    <mergeCell ref="B1592:C1592"/>
    <mergeCell ref="B1593:C1593"/>
    <mergeCell ref="B1594:C1594"/>
    <mergeCell ref="B1595:C1595"/>
    <mergeCell ref="B1596:C1596"/>
    <mergeCell ref="B1597:C1597"/>
    <mergeCell ref="B1598:C1598"/>
    <mergeCell ref="B1599:C1599"/>
    <mergeCell ref="B1600:C1600"/>
    <mergeCell ref="B1601:C1601"/>
    <mergeCell ref="B1602:C1602"/>
    <mergeCell ref="B1603:C1603"/>
    <mergeCell ref="B1604:C1604"/>
    <mergeCell ref="B1605:C1605"/>
    <mergeCell ref="B1606:C1606"/>
    <mergeCell ref="B1607:C1607"/>
    <mergeCell ref="B1608:C1608"/>
    <mergeCell ref="B1609:C1609"/>
    <mergeCell ref="B1610:C1610"/>
    <mergeCell ref="B1611:C1611"/>
    <mergeCell ref="B1612:C1612"/>
    <mergeCell ref="B1613:C1613"/>
    <mergeCell ref="B1614:C1614"/>
    <mergeCell ref="B1615:C1615"/>
    <mergeCell ref="B1616:C1616"/>
    <mergeCell ref="B1617:C1617"/>
    <mergeCell ref="B1618:C1618"/>
    <mergeCell ref="B1619:C1619"/>
    <mergeCell ref="B1620:C1620"/>
    <mergeCell ref="B1621:C1621"/>
    <mergeCell ref="B1622:C1622"/>
    <mergeCell ref="B1623:C1623"/>
    <mergeCell ref="B1624:C1624"/>
    <mergeCell ref="B1625:C1625"/>
    <mergeCell ref="B1626:C1626"/>
    <mergeCell ref="B1627:C1627"/>
    <mergeCell ref="B1628:C1628"/>
    <mergeCell ref="B1629:C1629"/>
    <mergeCell ref="B1630:C1630"/>
    <mergeCell ref="B1631:C1631"/>
    <mergeCell ref="B1632:C1632"/>
    <mergeCell ref="B1633:C1633"/>
    <mergeCell ref="B1634:C1634"/>
    <mergeCell ref="B1635:C1635"/>
    <mergeCell ref="B1636:C1636"/>
    <mergeCell ref="B1637:C1637"/>
    <mergeCell ref="B1638:C1638"/>
    <mergeCell ref="B1639:C1639"/>
    <mergeCell ref="B1640:C1640"/>
    <mergeCell ref="B1641:C1641"/>
    <mergeCell ref="B1642:C1642"/>
    <mergeCell ref="B1643:C1643"/>
    <mergeCell ref="B1644:C1644"/>
    <mergeCell ref="B1645:C1645"/>
    <mergeCell ref="B1646:C1646"/>
    <mergeCell ref="B1647:C1647"/>
    <mergeCell ref="B1648:C1648"/>
    <mergeCell ref="B1649:C1649"/>
    <mergeCell ref="B1650:C1650"/>
    <mergeCell ref="B1651:C1651"/>
    <mergeCell ref="B1652:C1652"/>
    <mergeCell ref="B1653:C1653"/>
    <mergeCell ref="B1654:C1654"/>
    <mergeCell ref="B1655:C1655"/>
    <mergeCell ref="B1656:C1656"/>
    <mergeCell ref="B1657:C1657"/>
    <mergeCell ref="B1658:C1658"/>
    <mergeCell ref="B1659:C1659"/>
    <mergeCell ref="B1660:C1660"/>
    <mergeCell ref="B1661:C1661"/>
    <mergeCell ref="B1662:C1662"/>
    <mergeCell ref="B1663:C1663"/>
    <mergeCell ref="B1664:C1664"/>
    <mergeCell ref="B1665:C1665"/>
    <mergeCell ref="B1666:C1666"/>
    <mergeCell ref="B1667:C1667"/>
    <mergeCell ref="B1668:C1668"/>
    <mergeCell ref="B1669:C1669"/>
    <mergeCell ref="B1670:C1670"/>
    <mergeCell ref="B1671:C1671"/>
    <mergeCell ref="B1672:C1672"/>
    <mergeCell ref="B1673:C1673"/>
    <mergeCell ref="B1674:C1674"/>
    <mergeCell ref="B1675:C1675"/>
    <mergeCell ref="B1676:C1676"/>
    <mergeCell ref="B1677:C1677"/>
    <mergeCell ref="B1678:C1678"/>
    <mergeCell ref="B1679:C1679"/>
    <mergeCell ref="B1680:C1680"/>
    <mergeCell ref="B1681:C1681"/>
    <mergeCell ref="B1682:C1682"/>
    <mergeCell ref="B1683:C1683"/>
    <mergeCell ref="B1684:C1684"/>
    <mergeCell ref="B1685:C1685"/>
    <mergeCell ref="B1686:C1686"/>
    <mergeCell ref="B1687:C1687"/>
    <mergeCell ref="B1688:C1688"/>
    <mergeCell ref="B1689:C1689"/>
    <mergeCell ref="B1690:C1690"/>
    <mergeCell ref="B1691:C1691"/>
    <mergeCell ref="B1692:C1692"/>
    <mergeCell ref="B1693:C1693"/>
    <mergeCell ref="B1694:C1694"/>
    <mergeCell ref="B1695:C1695"/>
    <mergeCell ref="B1696:C1696"/>
    <mergeCell ref="B1697:C1697"/>
    <mergeCell ref="B1698:C1698"/>
    <mergeCell ref="B1699:C1699"/>
    <mergeCell ref="B1700:C1700"/>
    <mergeCell ref="B1701:C1701"/>
    <mergeCell ref="B1702:C1702"/>
    <mergeCell ref="B1703:C1703"/>
    <mergeCell ref="B1704:C1704"/>
    <mergeCell ref="B1705:C1705"/>
    <mergeCell ref="B1706:C1706"/>
    <mergeCell ref="B1707:C1707"/>
    <mergeCell ref="B1708:C1708"/>
    <mergeCell ref="B1709:C1709"/>
    <mergeCell ref="B1710:C1710"/>
    <mergeCell ref="B1711:C1711"/>
    <mergeCell ref="B1712:C1712"/>
    <mergeCell ref="B1713:C1713"/>
    <mergeCell ref="B1714:C1714"/>
    <mergeCell ref="B1715:C1715"/>
    <mergeCell ref="B1716:C1716"/>
    <mergeCell ref="B1717:C1717"/>
    <mergeCell ref="B1718:C1718"/>
    <mergeCell ref="B1719:C1719"/>
    <mergeCell ref="B1720:C1720"/>
    <mergeCell ref="B1721:C1721"/>
    <mergeCell ref="B1722:C1722"/>
    <mergeCell ref="B1723:C1723"/>
    <mergeCell ref="B1724:C1724"/>
    <mergeCell ref="B1725:C1725"/>
    <mergeCell ref="B1726:C1726"/>
    <mergeCell ref="B1727:C1727"/>
    <mergeCell ref="B1728:C1728"/>
    <mergeCell ref="B1729:C1729"/>
    <mergeCell ref="B1730:C1730"/>
    <mergeCell ref="B1731:C1731"/>
    <mergeCell ref="B1732:C1732"/>
    <mergeCell ref="B1733:C1733"/>
    <mergeCell ref="B1734:C1734"/>
    <mergeCell ref="B1735:C1735"/>
    <mergeCell ref="B1736:C1736"/>
    <mergeCell ref="B1737:C1737"/>
    <mergeCell ref="B1738:C1738"/>
    <mergeCell ref="B1739:C1739"/>
    <mergeCell ref="B1740:C1740"/>
    <mergeCell ref="B1741:C1741"/>
    <mergeCell ref="B1742:C1742"/>
    <mergeCell ref="B1743:C1743"/>
    <mergeCell ref="B1744:C1744"/>
    <mergeCell ref="B1745:C1745"/>
    <mergeCell ref="B1746:C1746"/>
    <mergeCell ref="B1747:C1747"/>
    <mergeCell ref="B1748:C1748"/>
    <mergeCell ref="B1749:C1749"/>
    <mergeCell ref="B1750:C1750"/>
    <mergeCell ref="B1751:C1751"/>
    <mergeCell ref="B1752:C1752"/>
    <mergeCell ref="B1753:C1753"/>
    <mergeCell ref="B1754:C1754"/>
    <mergeCell ref="B1755:C1755"/>
    <mergeCell ref="B1756:C1756"/>
    <mergeCell ref="B1757:C1757"/>
    <mergeCell ref="B1758:C1758"/>
    <mergeCell ref="B1759:C1759"/>
    <mergeCell ref="B1760:C1760"/>
    <mergeCell ref="B1761:C1761"/>
    <mergeCell ref="B1762:C1762"/>
    <mergeCell ref="B1763:C1763"/>
    <mergeCell ref="B1764:C1764"/>
    <mergeCell ref="B1765:C1765"/>
    <mergeCell ref="B1766:C1766"/>
    <mergeCell ref="B1767:C1767"/>
    <mergeCell ref="B1768:C1768"/>
    <mergeCell ref="B1769:C1769"/>
    <mergeCell ref="B1770:C1770"/>
    <mergeCell ref="B1771:C1771"/>
    <mergeCell ref="B1772:C1772"/>
    <mergeCell ref="B1773:C1773"/>
    <mergeCell ref="B1774:C1774"/>
    <mergeCell ref="B1775:C1775"/>
    <mergeCell ref="B1776:C1776"/>
    <mergeCell ref="B1777:C1777"/>
    <mergeCell ref="B1778:C1778"/>
    <mergeCell ref="B1779:C1779"/>
    <mergeCell ref="B1780:C1780"/>
    <mergeCell ref="B1781:C1781"/>
    <mergeCell ref="B1782:C1782"/>
    <mergeCell ref="B1783:C1783"/>
    <mergeCell ref="B1784:C1784"/>
    <mergeCell ref="B1785:C1785"/>
    <mergeCell ref="B1786:C1786"/>
    <mergeCell ref="B1787:C1787"/>
    <mergeCell ref="B1788:C1788"/>
    <mergeCell ref="B1789:C1789"/>
    <mergeCell ref="B1790:C1790"/>
    <mergeCell ref="B1791:C1791"/>
    <mergeCell ref="B1792:C1792"/>
    <mergeCell ref="B1793:C1793"/>
    <mergeCell ref="B1794:C1794"/>
    <mergeCell ref="B1795:C1795"/>
    <mergeCell ref="B1796:C1796"/>
    <mergeCell ref="B1797:C1797"/>
    <mergeCell ref="B1798:C1798"/>
    <mergeCell ref="B1799:C1799"/>
    <mergeCell ref="B1800:C1800"/>
    <mergeCell ref="B1801:C1801"/>
    <mergeCell ref="B1802:C1802"/>
    <mergeCell ref="B1803:C1803"/>
    <mergeCell ref="B1804:C1804"/>
    <mergeCell ref="B1811:C1811"/>
    <mergeCell ref="B1812:C1812"/>
    <mergeCell ref="B1813:C1813"/>
    <mergeCell ref="B1814:C1814"/>
    <mergeCell ref="B1815:C1815"/>
    <mergeCell ref="B1816:C1816"/>
    <mergeCell ref="B1817:C1817"/>
    <mergeCell ref="B1818:C1818"/>
    <mergeCell ref="B1819:C1819"/>
    <mergeCell ref="B1820:C1820"/>
    <mergeCell ref="B1821:C1821"/>
    <mergeCell ref="B1822:C1822"/>
    <mergeCell ref="B1823:C1823"/>
    <mergeCell ref="B1824:C1824"/>
    <mergeCell ref="B1825:C1825"/>
    <mergeCell ref="B1826:C1826"/>
    <mergeCell ref="B1827:C1827"/>
    <mergeCell ref="B1828:C1828"/>
    <mergeCell ref="B1829:C1829"/>
    <mergeCell ref="B1830:C1830"/>
    <mergeCell ref="B1831:C1831"/>
    <mergeCell ref="B1832:C1832"/>
    <mergeCell ref="B1833:C1833"/>
    <mergeCell ref="B1834:C1834"/>
    <mergeCell ref="B1835:C1835"/>
    <mergeCell ref="B1836:C1836"/>
    <mergeCell ref="B1837:C1837"/>
    <mergeCell ref="B1838:C1838"/>
    <mergeCell ref="B1839:C1839"/>
    <mergeCell ref="B1840:C1840"/>
    <mergeCell ref="B1841:C1841"/>
    <mergeCell ref="B1842:C1842"/>
    <mergeCell ref="B1843:C1843"/>
    <mergeCell ref="B1844:C1844"/>
    <mergeCell ref="B1845:C1845"/>
    <mergeCell ref="B1846:C1846"/>
    <mergeCell ref="B1847:C1847"/>
    <mergeCell ref="B1848:C1848"/>
    <mergeCell ref="B1849:C1849"/>
    <mergeCell ref="B1850:C1850"/>
    <mergeCell ref="B1851:C1851"/>
    <mergeCell ref="B1852:C1852"/>
    <mergeCell ref="B1853:C1853"/>
    <mergeCell ref="B1854:C1854"/>
    <mergeCell ref="B1855:C1855"/>
    <mergeCell ref="B1856:C1856"/>
    <mergeCell ref="B1857:C1857"/>
    <mergeCell ref="B1858:C1858"/>
    <mergeCell ref="B1859:C1859"/>
    <mergeCell ref="B1860:C1860"/>
    <mergeCell ref="B1861:C1861"/>
    <mergeCell ref="B1862:C1862"/>
    <mergeCell ref="B1863:C1863"/>
    <mergeCell ref="B1864:C1864"/>
    <mergeCell ref="B1865:C1865"/>
    <mergeCell ref="B1866:C1866"/>
    <mergeCell ref="B1867:C1867"/>
    <mergeCell ref="B1868:C1868"/>
    <mergeCell ref="B1869:C1869"/>
    <mergeCell ref="B1870:C1870"/>
    <mergeCell ref="B1871:C1871"/>
    <mergeCell ref="B1872:C1872"/>
    <mergeCell ref="B1873:C1873"/>
    <mergeCell ref="B1874:C1874"/>
    <mergeCell ref="B1875:C1875"/>
    <mergeCell ref="B1876:C1876"/>
    <mergeCell ref="B1877:C1877"/>
    <mergeCell ref="B1878:C1878"/>
    <mergeCell ref="B1879:C1879"/>
    <mergeCell ref="B1880:C1880"/>
    <mergeCell ref="B1881:C1881"/>
    <mergeCell ref="B1882:C1882"/>
    <mergeCell ref="B1883:C1883"/>
    <mergeCell ref="B1884:C1884"/>
    <mergeCell ref="B1885:C1885"/>
    <mergeCell ref="B1886:C1886"/>
    <mergeCell ref="B1887:C1887"/>
    <mergeCell ref="B1888:C1888"/>
    <mergeCell ref="B1889:C1889"/>
    <mergeCell ref="B1890:C1890"/>
    <mergeCell ref="B1891:C1891"/>
    <mergeCell ref="B1892:C1892"/>
    <mergeCell ref="B1893:C1893"/>
    <mergeCell ref="B1894:C1894"/>
    <mergeCell ref="B1895:C1895"/>
    <mergeCell ref="B1896:C1896"/>
    <mergeCell ref="B1897:C1897"/>
    <mergeCell ref="B1898:C1898"/>
    <mergeCell ref="B1899:C1899"/>
    <mergeCell ref="B1900:C1900"/>
    <mergeCell ref="B1901:C1901"/>
    <mergeCell ref="B1902:C1902"/>
    <mergeCell ref="B1903:C1903"/>
    <mergeCell ref="B1904:C1904"/>
    <mergeCell ref="B1905:C1905"/>
    <mergeCell ref="B1906:C1906"/>
    <mergeCell ref="B1907:C1907"/>
    <mergeCell ref="B1908:C1908"/>
    <mergeCell ref="B1909:C1909"/>
    <mergeCell ref="B1910:C1910"/>
    <mergeCell ref="B1911:C1911"/>
    <mergeCell ref="B1912:C1912"/>
    <mergeCell ref="B1913:C1913"/>
    <mergeCell ref="B1914:C1914"/>
    <mergeCell ref="B1915:C1915"/>
    <mergeCell ref="B1916:C1916"/>
    <mergeCell ref="B1917:C1917"/>
    <mergeCell ref="B1918:C1918"/>
    <mergeCell ref="B1919:C1919"/>
    <mergeCell ref="B1920:C1920"/>
    <mergeCell ref="B1921:C1921"/>
    <mergeCell ref="B1922:C1922"/>
    <mergeCell ref="B1923:C1923"/>
    <mergeCell ref="B1924:C1924"/>
    <mergeCell ref="B1925:C1925"/>
    <mergeCell ref="B1926:C1926"/>
    <mergeCell ref="B1927:C1927"/>
    <mergeCell ref="B1928:C1928"/>
    <mergeCell ref="B1929:C1929"/>
    <mergeCell ref="B1930:C1930"/>
    <mergeCell ref="B1931:C1931"/>
    <mergeCell ref="B1932:C1932"/>
    <mergeCell ref="B1933:C1933"/>
    <mergeCell ref="B1934:C1934"/>
    <mergeCell ref="B1935:C1935"/>
    <mergeCell ref="B1936:C1936"/>
    <mergeCell ref="B1937:C1937"/>
    <mergeCell ref="B1938:C1938"/>
    <mergeCell ref="B1939:C1939"/>
    <mergeCell ref="B1940:C1940"/>
    <mergeCell ref="B1941:C1941"/>
    <mergeCell ref="B1942:C1942"/>
    <mergeCell ref="B1943:C1943"/>
    <mergeCell ref="B1944:C1944"/>
    <mergeCell ref="B1945:C1945"/>
    <mergeCell ref="B1946:C1946"/>
    <mergeCell ref="B1947:C1947"/>
    <mergeCell ref="B1948:C1948"/>
    <mergeCell ref="B1949:C1949"/>
    <mergeCell ref="B1950:C1950"/>
    <mergeCell ref="B1951:C1951"/>
    <mergeCell ref="B1952:C1952"/>
    <mergeCell ref="B1953:C1953"/>
    <mergeCell ref="B1954:C1954"/>
    <mergeCell ref="B1955:C1955"/>
    <mergeCell ref="B1956:C1956"/>
    <mergeCell ref="B1957:C1957"/>
    <mergeCell ref="B1958:C1958"/>
    <mergeCell ref="B1959:C1959"/>
    <mergeCell ref="B1960:C1960"/>
    <mergeCell ref="B1961:C1961"/>
    <mergeCell ref="B1962:C1962"/>
    <mergeCell ref="B1963:C1963"/>
    <mergeCell ref="B1964:C1964"/>
    <mergeCell ref="B1965:C1965"/>
    <mergeCell ref="B1966:C1966"/>
    <mergeCell ref="B1967:C1967"/>
    <mergeCell ref="B1968:C1968"/>
    <mergeCell ref="B1969:C1969"/>
    <mergeCell ref="B1970:C1970"/>
    <mergeCell ref="B1971:C1971"/>
    <mergeCell ref="B1972:C1972"/>
    <mergeCell ref="B1973:C1973"/>
    <mergeCell ref="B1974:C1974"/>
    <mergeCell ref="B1975:C1975"/>
    <mergeCell ref="B1976:C1976"/>
    <mergeCell ref="B1977:C1977"/>
    <mergeCell ref="B1978:C1978"/>
    <mergeCell ref="B1979:C1979"/>
    <mergeCell ref="B1980:C1980"/>
    <mergeCell ref="B1981:C1981"/>
    <mergeCell ref="B1982:C1982"/>
    <mergeCell ref="B1983:C1983"/>
    <mergeCell ref="B1984:C1984"/>
    <mergeCell ref="B1985:C1985"/>
    <mergeCell ref="B1986:C1986"/>
    <mergeCell ref="B1987:C1987"/>
    <mergeCell ref="B1988:C1988"/>
    <mergeCell ref="B1989:C1989"/>
    <mergeCell ref="B1990:C1990"/>
    <mergeCell ref="B1991:C1991"/>
    <mergeCell ref="B1992:C1992"/>
    <mergeCell ref="B1993:C1993"/>
    <mergeCell ref="B1994:C1994"/>
    <mergeCell ref="B1995:C1995"/>
    <mergeCell ref="B1996:C1996"/>
    <mergeCell ref="B1997:C1997"/>
    <mergeCell ref="B1998:C1998"/>
    <mergeCell ref="B1999:C1999"/>
    <mergeCell ref="B2000:C2000"/>
    <mergeCell ref="B2001:C2001"/>
    <mergeCell ref="B2002:C2002"/>
    <mergeCell ref="B2003:C2003"/>
    <mergeCell ref="B2004:C2004"/>
    <mergeCell ref="B2005:C2005"/>
    <mergeCell ref="B2006:C2006"/>
    <mergeCell ref="B2007:C2007"/>
    <mergeCell ref="B2008:C2008"/>
    <mergeCell ref="B2009:C2009"/>
    <mergeCell ref="B2010:C2010"/>
    <mergeCell ref="B2011:C2011"/>
    <mergeCell ref="B2012:C2012"/>
    <mergeCell ref="B2013:C2013"/>
    <mergeCell ref="B2014:C2014"/>
    <mergeCell ref="B2015:C2015"/>
    <mergeCell ref="B2016:C2016"/>
    <mergeCell ref="B2017:C2017"/>
    <mergeCell ref="B2018:C2018"/>
    <mergeCell ref="B2019:C2019"/>
    <mergeCell ref="B2020:C2020"/>
    <mergeCell ref="B2021:C2021"/>
    <mergeCell ref="B2022:C2022"/>
    <mergeCell ref="B2023:C2023"/>
    <mergeCell ref="B2024:C2024"/>
    <mergeCell ref="B2025:C2025"/>
    <mergeCell ref="B2026:C2026"/>
    <mergeCell ref="B2027:C2027"/>
    <mergeCell ref="B2028:C2028"/>
    <mergeCell ref="B2029:C2029"/>
    <mergeCell ref="B2030:C2030"/>
    <mergeCell ref="B2031:C2031"/>
    <mergeCell ref="B2032:C2032"/>
    <mergeCell ref="B2033:C2033"/>
    <mergeCell ref="B2034:C2034"/>
    <mergeCell ref="B2035:C2035"/>
    <mergeCell ref="B2036:C2036"/>
    <mergeCell ref="B2037:C2037"/>
    <mergeCell ref="B2038:C2038"/>
    <mergeCell ref="B2039:C2039"/>
    <mergeCell ref="B2040:C2040"/>
    <mergeCell ref="B2041:C2041"/>
    <mergeCell ref="B2042:C2042"/>
    <mergeCell ref="B2043:C2043"/>
    <mergeCell ref="B2044:C2044"/>
    <mergeCell ref="B2045:C2045"/>
    <mergeCell ref="B2046:C2046"/>
    <mergeCell ref="B2047:C2047"/>
    <mergeCell ref="B2048:C2048"/>
    <mergeCell ref="B2049:C2049"/>
    <mergeCell ref="B2050:C2050"/>
    <mergeCell ref="B2051:C2051"/>
    <mergeCell ref="B2052:C2052"/>
    <mergeCell ref="B2053:C2053"/>
    <mergeCell ref="B2054:C2054"/>
    <mergeCell ref="B2055:C2055"/>
    <mergeCell ref="B2056:C2056"/>
    <mergeCell ref="B2057:C2057"/>
    <mergeCell ref="B2058:C2058"/>
    <mergeCell ref="B2059:C2059"/>
    <mergeCell ref="B2060:C2060"/>
    <mergeCell ref="B2061:C2061"/>
    <mergeCell ref="B2062:C2062"/>
    <mergeCell ref="B2063:C2063"/>
    <mergeCell ref="B2064:C2064"/>
    <mergeCell ref="B2065:C2065"/>
    <mergeCell ref="B2066:C2066"/>
    <mergeCell ref="B2067:C2067"/>
    <mergeCell ref="B2068:C2068"/>
    <mergeCell ref="B2069:C2069"/>
    <mergeCell ref="B2070:C2070"/>
    <mergeCell ref="B2071:C2071"/>
    <mergeCell ref="B2072:C2072"/>
    <mergeCell ref="B2073:C2073"/>
    <mergeCell ref="B2074:C2074"/>
    <mergeCell ref="B2075:C2075"/>
    <mergeCell ref="B2076:C2076"/>
    <mergeCell ref="B2077:C2077"/>
    <mergeCell ref="B2078:C2078"/>
    <mergeCell ref="B2079:C2079"/>
    <mergeCell ref="B2080:C2080"/>
    <mergeCell ref="B2081:C2081"/>
    <mergeCell ref="B2082:C2082"/>
    <mergeCell ref="B2083:C2083"/>
    <mergeCell ref="B2084:C2084"/>
    <mergeCell ref="B2085:C2085"/>
    <mergeCell ref="B2086:C2086"/>
    <mergeCell ref="B2087:C2087"/>
    <mergeCell ref="B2088:C2088"/>
    <mergeCell ref="B2089:C2089"/>
    <mergeCell ref="B2090:C2090"/>
    <mergeCell ref="B2091:C2091"/>
    <mergeCell ref="B2092:C2092"/>
    <mergeCell ref="B2093:C2093"/>
    <mergeCell ref="B2094:C2094"/>
    <mergeCell ref="B2095:C2095"/>
    <mergeCell ref="B2096:C2096"/>
    <mergeCell ref="B2097:C2097"/>
    <mergeCell ref="B2098:C2098"/>
    <mergeCell ref="B2099:C2099"/>
    <mergeCell ref="B2100:C2100"/>
    <mergeCell ref="B2101:C2101"/>
    <mergeCell ref="B2102:C2102"/>
    <mergeCell ref="B2103:C2103"/>
    <mergeCell ref="B2104:C2104"/>
    <mergeCell ref="B2105:C2105"/>
    <mergeCell ref="B2106:C2106"/>
    <mergeCell ref="B2107:C2107"/>
    <mergeCell ref="B2108:C2108"/>
    <mergeCell ref="B2109:C2109"/>
    <mergeCell ref="B2110:C2110"/>
    <mergeCell ref="B2111:C2111"/>
    <mergeCell ref="B2112:C2112"/>
    <mergeCell ref="B2113:C2113"/>
    <mergeCell ref="B2114:C2114"/>
    <mergeCell ref="B2115:C2115"/>
    <mergeCell ref="B2116:C2116"/>
    <mergeCell ref="B2117:C2117"/>
    <mergeCell ref="B2118:C2118"/>
    <mergeCell ref="B2119:C2119"/>
    <mergeCell ref="B2120:C2120"/>
    <mergeCell ref="B2121:C2121"/>
    <mergeCell ref="B2122:C2122"/>
    <mergeCell ref="B2123:C2123"/>
    <mergeCell ref="B2124:C2124"/>
    <mergeCell ref="B2125:C2125"/>
    <mergeCell ref="B2126:C2126"/>
    <mergeCell ref="B2127:C2127"/>
    <mergeCell ref="B2128:C2128"/>
    <mergeCell ref="B2129:C2129"/>
    <mergeCell ref="B2130:C2130"/>
    <mergeCell ref="B2131:C2131"/>
    <mergeCell ref="B2132:C2132"/>
    <mergeCell ref="B2133:C2133"/>
    <mergeCell ref="B2134:C2134"/>
    <mergeCell ref="B2135:C2135"/>
    <mergeCell ref="B2136:C2136"/>
    <mergeCell ref="B2137:C2137"/>
    <mergeCell ref="B2138:C2138"/>
    <mergeCell ref="B2139:C2139"/>
    <mergeCell ref="B2140:C2140"/>
    <mergeCell ref="B2141:C2141"/>
    <mergeCell ref="B2142:C2142"/>
    <mergeCell ref="B2143:C2143"/>
    <mergeCell ref="B2144:C2144"/>
    <mergeCell ref="B2145:C2145"/>
    <mergeCell ref="B2146:C2146"/>
    <mergeCell ref="B2147:C2147"/>
    <mergeCell ref="B2148:C2148"/>
    <mergeCell ref="B2149:C2149"/>
    <mergeCell ref="B2150:C2150"/>
    <mergeCell ref="B2151:C2151"/>
    <mergeCell ref="B2152:C2152"/>
    <mergeCell ref="B2153:C2153"/>
    <mergeCell ref="B2154:C2154"/>
    <mergeCell ref="B2155:C2155"/>
    <mergeCell ref="B2156:C2156"/>
    <mergeCell ref="B2157:C2157"/>
    <mergeCell ref="B2158:C2158"/>
    <mergeCell ref="B2159:C2159"/>
    <mergeCell ref="B2160:C2160"/>
    <mergeCell ref="B2161:C2161"/>
    <mergeCell ref="B2162:C2162"/>
    <mergeCell ref="B2163:C2163"/>
    <mergeCell ref="B2164:C2164"/>
    <mergeCell ref="B2165:C2165"/>
    <mergeCell ref="B2166:C2166"/>
    <mergeCell ref="B2167:C2167"/>
    <mergeCell ref="B2168:C2168"/>
    <mergeCell ref="B2169:C2169"/>
    <mergeCell ref="B2170:C2170"/>
    <mergeCell ref="B2171:C2171"/>
    <mergeCell ref="B2172:C2172"/>
    <mergeCell ref="B2173:C2173"/>
    <mergeCell ref="B2174:C2174"/>
    <mergeCell ref="B2175:C2175"/>
    <mergeCell ref="B2176:C2176"/>
    <mergeCell ref="B2177:C2177"/>
    <mergeCell ref="B2178:C2178"/>
    <mergeCell ref="B2179:C2179"/>
    <mergeCell ref="B2180:C2180"/>
    <mergeCell ref="B2181:C2181"/>
    <mergeCell ref="B2182:C2182"/>
    <mergeCell ref="B2183:C2183"/>
    <mergeCell ref="B2184:C2184"/>
    <mergeCell ref="B2185:C2185"/>
    <mergeCell ref="B2186:C2186"/>
    <mergeCell ref="B2187:C2187"/>
    <mergeCell ref="B2188:C2188"/>
    <mergeCell ref="B2189:C2189"/>
    <mergeCell ref="B2190:C2190"/>
    <mergeCell ref="B2191:C2191"/>
    <mergeCell ref="B2192:C2192"/>
    <mergeCell ref="B2193:C2193"/>
    <mergeCell ref="B2194:C2194"/>
    <mergeCell ref="B2195:C2195"/>
    <mergeCell ref="B2196:C2196"/>
    <mergeCell ref="B2197:C2197"/>
    <mergeCell ref="B2198:C2198"/>
    <mergeCell ref="B2199:C2199"/>
    <mergeCell ref="B2200:C2200"/>
    <mergeCell ref="B2201:C2201"/>
    <mergeCell ref="B2202:C2202"/>
    <mergeCell ref="B2203:C2203"/>
    <mergeCell ref="B2204:C2204"/>
    <mergeCell ref="B2205:C2205"/>
    <mergeCell ref="B2206:C2206"/>
    <mergeCell ref="B2207:C2207"/>
    <mergeCell ref="B2208:C2208"/>
    <mergeCell ref="B2209:C2209"/>
    <mergeCell ref="B2210:C2210"/>
    <mergeCell ref="B2211:C2211"/>
    <mergeCell ref="B2212:C2212"/>
    <mergeCell ref="B2213:C2213"/>
    <mergeCell ref="B2214:C2214"/>
    <mergeCell ref="B2215:C2215"/>
    <mergeCell ref="B2216:C2216"/>
    <mergeCell ref="B2217:C2217"/>
    <mergeCell ref="B2218:C2218"/>
    <mergeCell ref="B2219:C2219"/>
    <mergeCell ref="B2220:C2220"/>
    <mergeCell ref="B2221:C2221"/>
    <mergeCell ref="B2222:C2222"/>
    <mergeCell ref="B2223:C2223"/>
    <mergeCell ref="B2224:C2224"/>
    <mergeCell ref="B2225:C2225"/>
    <mergeCell ref="B2226:C2226"/>
    <mergeCell ref="B2227:C2227"/>
    <mergeCell ref="B2228:C2228"/>
    <mergeCell ref="B2229:C2229"/>
    <mergeCell ref="B2230:C2230"/>
    <mergeCell ref="B2231:C2231"/>
    <mergeCell ref="B2232:C2232"/>
    <mergeCell ref="B2233:C2233"/>
    <mergeCell ref="B2234:C2234"/>
    <mergeCell ref="B2235:C2235"/>
    <mergeCell ref="B2236:C2236"/>
    <mergeCell ref="B2237:C2237"/>
    <mergeCell ref="B2238:C2238"/>
    <mergeCell ref="B2239:C2239"/>
    <mergeCell ref="B2240:C2240"/>
    <mergeCell ref="B2241:C2241"/>
    <mergeCell ref="B2242:C2242"/>
    <mergeCell ref="B2243:C2243"/>
    <mergeCell ref="B2244:C2244"/>
    <mergeCell ref="B2245:C2245"/>
    <mergeCell ref="B2246:C2246"/>
    <mergeCell ref="B2247:C2247"/>
    <mergeCell ref="B2248:C2248"/>
    <mergeCell ref="B2249:C2249"/>
    <mergeCell ref="B2250:C2250"/>
    <mergeCell ref="B2251:C2251"/>
    <mergeCell ref="B2252:C2252"/>
    <mergeCell ref="B2253:C2253"/>
    <mergeCell ref="B2254:C2254"/>
    <mergeCell ref="B2255:C2255"/>
    <mergeCell ref="B2256:C2256"/>
    <mergeCell ref="B2257:C2257"/>
    <mergeCell ref="B2258:C2258"/>
    <mergeCell ref="B2259:C2259"/>
    <mergeCell ref="B2260:C2260"/>
    <mergeCell ref="B2261:C2261"/>
    <mergeCell ref="B2262:C2262"/>
    <mergeCell ref="B2263:C2263"/>
    <mergeCell ref="B2264:C2264"/>
    <mergeCell ref="B2265:C2265"/>
    <mergeCell ref="B2266:C2266"/>
    <mergeCell ref="B2267:C2267"/>
    <mergeCell ref="B2268:C2268"/>
    <mergeCell ref="B2269:C2269"/>
    <mergeCell ref="B2270:C2270"/>
    <mergeCell ref="B2271:C2271"/>
    <mergeCell ref="B2272:C2272"/>
    <mergeCell ref="B2273:C2273"/>
    <mergeCell ref="B2274:C2274"/>
    <mergeCell ref="B2275:C2275"/>
    <mergeCell ref="B2276:C2276"/>
    <mergeCell ref="B2277:C2277"/>
    <mergeCell ref="B2278:C2278"/>
    <mergeCell ref="B2279:C2279"/>
    <mergeCell ref="B2280:C2280"/>
    <mergeCell ref="B2281:C2281"/>
    <mergeCell ref="B2282:C2282"/>
    <mergeCell ref="B2283:C2283"/>
    <mergeCell ref="B2284:C2284"/>
    <mergeCell ref="B2285:C2285"/>
    <mergeCell ref="B2286:C2286"/>
    <mergeCell ref="B2287:C2287"/>
    <mergeCell ref="B2288:C2288"/>
    <mergeCell ref="B2289:C2289"/>
    <mergeCell ref="B2290:C2290"/>
    <mergeCell ref="B2291:C2291"/>
    <mergeCell ref="B2292:C2292"/>
    <mergeCell ref="B2293:C2293"/>
    <mergeCell ref="B2294:C2294"/>
    <mergeCell ref="B2295:C2295"/>
    <mergeCell ref="B2296:C2296"/>
    <mergeCell ref="B2297:C2297"/>
    <mergeCell ref="B2298:C2298"/>
    <mergeCell ref="B2299:C2299"/>
    <mergeCell ref="B2300:C2300"/>
    <mergeCell ref="B2301:C2301"/>
    <mergeCell ref="B2302:C2302"/>
    <mergeCell ref="B2303:C2303"/>
    <mergeCell ref="B2304:C2304"/>
    <mergeCell ref="B2305:C2305"/>
    <mergeCell ref="B2306:C2306"/>
    <mergeCell ref="B2307:C2307"/>
    <mergeCell ref="B2308:C2308"/>
    <mergeCell ref="B2309:C2309"/>
    <mergeCell ref="B2310:C2310"/>
    <mergeCell ref="B2311:C2311"/>
    <mergeCell ref="B2312:C2312"/>
    <mergeCell ref="B2313:C2313"/>
    <mergeCell ref="B2314:C2314"/>
    <mergeCell ref="B2315:C2315"/>
    <mergeCell ref="B2316:C2316"/>
    <mergeCell ref="B2317:C2317"/>
    <mergeCell ref="B2318:C2318"/>
    <mergeCell ref="B2319:C2319"/>
    <mergeCell ref="B2320:C2320"/>
    <mergeCell ref="B2321:C2321"/>
    <mergeCell ref="B2322:C2322"/>
    <mergeCell ref="B2323:C2323"/>
    <mergeCell ref="B2324:C2324"/>
    <mergeCell ref="B2325:C2325"/>
    <mergeCell ref="B2326:C2326"/>
    <mergeCell ref="B2327:C2327"/>
    <mergeCell ref="B2328:C2328"/>
    <mergeCell ref="B2329:C2329"/>
    <mergeCell ref="B2330:C2330"/>
    <mergeCell ref="B2331:C2331"/>
    <mergeCell ref="B2332:C2332"/>
    <mergeCell ref="B2333:C2333"/>
    <mergeCell ref="B2334:C2334"/>
    <mergeCell ref="B2335:C2335"/>
    <mergeCell ref="B2336:C2336"/>
    <mergeCell ref="B2337:C2337"/>
    <mergeCell ref="B2338:C2338"/>
    <mergeCell ref="B2339:C2339"/>
    <mergeCell ref="B2340:C2340"/>
    <mergeCell ref="B2341:C2341"/>
    <mergeCell ref="B2342:C2342"/>
    <mergeCell ref="B2343:C2343"/>
    <mergeCell ref="B2344:C2344"/>
    <mergeCell ref="B2345:C2345"/>
    <mergeCell ref="B2346:C2346"/>
    <mergeCell ref="B2347:C2347"/>
    <mergeCell ref="B2348:C2348"/>
    <mergeCell ref="B2349:C2349"/>
    <mergeCell ref="B2350:C2350"/>
    <mergeCell ref="B2351:C2351"/>
    <mergeCell ref="B2352:C2352"/>
    <mergeCell ref="B2353:C2353"/>
    <mergeCell ref="B2354:C2354"/>
    <mergeCell ref="B2355:C2355"/>
    <mergeCell ref="B2356:C2356"/>
    <mergeCell ref="B2357:C2357"/>
    <mergeCell ref="B2358:C2358"/>
    <mergeCell ref="B2359:C2359"/>
    <mergeCell ref="B2360:C2360"/>
    <mergeCell ref="B2361:C2361"/>
    <mergeCell ref="B2362:C2362"/>
    <mergeCell ref="B2363:C2363"/>
    <mergeCell ref="B2364:C2364"/>
    <mergeCell ref="B2365:C2365"/>
    <mergeCell ref="B2366:C2366"/>
    <mergeCell ref="B2367:C2367"/>
    <mergeCell ref="B2368:C2368"/>
    <mergeCell ref="B2369:C2369"/>
    <mergeCell ref="B2370:C2370"/>
    <mergeCell ref="B2371:C2371"/>
    <mergeCell ref="B2372:C2372"/>
    <mergeCell ref="B2373:C2373"/>
    <mergeCell ref="B2374:C2374"/>
    <mergeCell ref="B2375:C2375"/>
    <mergeCell ref="B2376:C2376"/>
    <mergeCell ref="B2377:C2377"/>
    <mergeCell ref="B2378:C2378"/>
    <mergeCell ref="B2379:C2379"/>
    <mergeCell ref="B2380:C2380"/>
    <mergeCell ref="B2381:C2381"/>
    <mergeCell ref="B2382:C2382"/>
    <mergeCell ref="B2383:C2383"/>
    <mergeCell ref="B2384:C2384"/>
    <mergeCell ref="B2385:C2385"/>
    <mergeCell ref="B2386:C2386"/>
    <mergeCell ref="B2387:C2387"/>
    <mergeCell ref="B2388:C2388"/>
    <mergeCell ref="B2389:C2389"/>
    <mergeCell ref="B2390:C2390"/>
    <mergeCell ref="B2391:C2391"/>
    <mergeCell ref="B2392:C2392"/>
    <mergeCell ref="B2393:C2393"/>
    <mergeCell ref="B2394:C2394"/>
    <mergeCell ref="B2395:C2395"/>
    <mergeCell ref="B2396:C2396"/>
    <mergeCell ref="B2397:C2397"/>
    <mergeCell ref="B2398:C2398"/>
    <mergeCell ref="B2399:C2399"/>
    <mergeCell ref="B2400:C2400"/>
    <mergeCell ref="B2401:C2401"/>
    <mergeCell ref="B2402:C2402"/>
    <mergeCell ref="B2403:C2403"/>
    <mergeCell ref="B2404:C2404"/>
    <mergeCell ref="B2405:C2405"/>
    <mergeCell ref="B2406:C2406"/>
    <mergeCell ref="B2407:C2407"/>
    <mergeCell ref="B2408:C2408"/>
    <mergeCell ref="B2409:C2409"/>
    <mergeCell ref="B2410:C2410"/>
    <mergeCell ref="B2411:C2411"/>
    <mergeCell ref="B2412:C2412"/>
    <mergeCell ref="B2413:C2413"/>
    <mergeCell ref="B2414:C2414"/>
    <mergeCell ref="B2415:C2415"/>
    <mergeCell ref="B2416:C2416"/>
    <mergeCell ref="B2417:C2417"/>
    <mergeCell ref="B2418:C2418"/>
    <mergeCell ref="B2419:C2419"/>
    <mergeCell ref="B2420:C2420"/>
    <mergeCell ref="B2421:C2421"/>
    <mergeCell ref="B2422:C2422"/>
    <mergeCell ref="B2423:C2423"/>
    <mergeCell ref="B2424:C2424"/>
    <mergeCell ref="B2425:C2425"/>
    <mergeCell ref="B2426:C2426"/>
    <mergeCell ref="B2427:C2427"/>
    <mergeCell ref="B2428:C2428"/>
    <mergeCell ref="B2429:C2429"/>
    <mergeCell ref="B2430:C2430"/>
    <mergeCell ref="B2431:C2431"/>
    <mergeCell ref="B2432:C2432"/>
    <mergeCell ref="B2433:C2433"/>
    <mergeCell ref="B2434:C2434"/>
    <mergeCell ref="B2435:C2435"/>
    <mergeCell ref="B2436:C2436"/>
    <mergeCell ref="B2437:C2437"/>
    <mergeCell ref="B2438:C2438"/>
    <mergeCell ref="B2439:C2439"/>
    <mergeCell ref="B2440:C2440"/>
    <mergeCell ref="B2441:C2441"/>
    <mergeCell ref="B2442:C2442"/>
    <mergeCell ref="B2443:C2443"/>
    <mergeCell ref="B2444:C2444"/>
    <mergeCell ref="B2445:C2445"/>
    <mergeCell ref="B2446:C2446"/>
    <mergeCell ref="B2447:C2447"/>
    <mergeCell ref="B2448:C2448"/>
    <mergeCell ref="B2449:C2449"/>
    <mergeCell ref="B2450:C2450"/>
    <mergeCell ref="B2451:C2451"/>
    <mergeCell ref="B2452:C2452"/>
    <mergeCell ref="B2453:C2453"/>
    <mergeCell ref="B2454:C2454"/>
    <mergeCell ref="B2455:C2455"/>
    <mergeCell ref="B2456:C2456"/>
    <mergeCell ref="B2457:C2457"/>
    <mergeCell ref="B2458:C2458"/>
    <mergeCell ref="B2459:C2459"/>
    <mergeCell ref="B2460:C2460"/>
    <mergeCell ref="B2461:C2461"/>
    <mergeCell ref="B2462:C2462"/>
    <mergeCell ref="B2463:C2463"/>
    <mergeCell ref="B2464:C2464"/>
    <mergeCell ref="B2465:C2465"/>
    <mergeCell ref="B2466:C2466"/>
    <mergeCell ref="B2467:C2467"/>
    <mergeCell ref="B2468:C2468"/>
    <mergeCell ref="B2469:C2469"/>
    <mergeCell ref="B2470:C2470"/>
    <mergeCell ref="B2471:C2471"/>
    <mergeCell ref="B2472:C2472"/>
    <mergeCell ref="B2473:C2473"/>
    <mergeCell ref="B2474:C2474"/>
    <mergeCell ref="B2475:C2475"/>
    <mergeCell ref="B2476:C2476"/>
    <mergeCell ref="B2477:C2477"/>
    <mergeCell ref="B2478:C2478"/>
    <mergeCell ref="B2479:C2479"/>
    <mergeCell ref="B2480:C2480"/>
    <mergeCell ref="B2481:C2481"/>
    <mergeCell ref="B2482:C2482"/>
    <mergeCell ref="B2483:C2483"/>
    <mergeCell ref="B2484:C2484"/>
    <mergeCell ref="B2485:C2485"/>
    <mergeCell ref="B2486:C2486"/>
    <mergeCell ref="B2487:C2487"/>
    <mergeCell ref="B2488:C2488"/>
    <mergeCell ref="B2489:C2489"/>
    <mergeCell ref="B2490:C2490"/>
    <mergeCell ref="B2491:C2491"/>
    <mergeCell ref="B2492:C2492"/>
    <mergeCell ref="B2493:C2493"/>
    <mergeCell ref="B2494:C2494"/>
    <mergeCell ref="B2495:C2495"/>
    <mergeCell ref="B2496:C2496"/>
    <mergeCell ref="B2497:C2497"/>
    <mergeCell ref="B2498:C2498"/>
    <mergeCell ref="B2499:C2499"/>
    <mergeCell ref="B2500:C2500"/>
    <mergeCell ref="B2501:C2501"/>
    <mergeCell ref="B2502:C2502"/>
    <mergeCell ref="B2503:C2503"/>
    <mergeCell ref="B2504:C2504"/>
    <mergeCell ref="B2505:C2505"/>
    <mergeCell ref="B2506:C2506"/>
    <mergeCell ref="B2507:C2507"/>
    <mergeCell ref="B2508:C2508"/>
    <mergeCell ref="B2509:C2509"/>
    <mergeCell ref="B2510:C2510"/>
    <mergeCell ref="B2511:C2511"/>
    <mergeCell ref="B2512:C2512"/>
    <mergeCell ref="B2513:C2513"/>
    <mergeCell ref="B2514:C2514"/>
    <mergeCell ref="B2515:C2515"/>
    <mergeCell ref="B2516:C2516"/>
    <mergeCell ref="B2517:C2517"/>
    <mergeCell ref="B2518:C2518"/>
    <mergeCell ref="B2519:C2519"/>
    <mergeCell ref="B2520:C2520"/>
    <mergeCell ref="B2521:C2521"/>
    <mergeCell ref="B2522:C2522"/>
    <mergeCell ref="B2523:C2523"/>
    <mergeCell ref="B2524:C2524"/>
    <mergeCell ref="B2525:C2525"/>
    <mergeCell ref="B2526:C2526"/>
    <mergeCell ref="B2527:C2527"/>
    <mergeCell ref="B2528:C2528"/>
    <mergeCell ref="B2529:C2529"/>
    <mergeCell ref="B2530:C2530"/>
    <mergeCell ref="B2531:C2531"/>
    <mergeCell ref="B2532:C2532"/>
    <mergeCell ref="B2533:C2533"/>
    <mergeCell ref="B2534:C2534"/>
    <mergeCell ref="B2535:C2535"/>
    <mergeCell ref="B2536:C2536"/>
    <mergeCell ref="B2537:C2537"/>
    <mergeCell ref="B2538:C2538"/>
    <mergeCell ref="B2539:C2539"/>
    <mergeCell ref="B2540:C2540"/>
    <mergeCell ref="B2541:C2541"/>
    <mergeCell ref="B2542:C2542"/>
    <mergeCell ref="B2543:C2543"/>
    <mergeCell ref="B2544:C2544"/>
    <mergeCell ref="B2545:C2545"/>
    <mergeCell ref="B2546:C2546"/>
    <mergeCell ref="B2547:C2547"/>
    <mergeCell ref="B2548:C2548"/>
    <mergeCell ref="B2549:C2549"/>
    <mergeCell ref="B2550:C2550"/>
    <mergeCell ref="B2551:C2551"/>
    <mergeCell ref="B2552:C2552"/>
    <mergeCell ref="B2553:C2553"/>
    <mergeCell ref="B2554:C2554"/>
    <mergeCell ref="B2555:C2555"/>
    <mergeCell ref="B2556:C2556"/>
    <mergeCell ref="B2557:C2557"/>
    <mergeCell ref="B2558:C2558"/>
    <mergeCell ref="B2559:C2559"/>
    <mergeCell ref="B2560:C2560"/>
    <mergeCell ref="B2561:C2561"/>
    <mergeCell ref="B2562:C2562"/>
    <mergeCell ref="B2563:C2563"/>
    <mergeCell ref="B2564:C2564"/>
    <mergeCell ref="B2565:C2565"/>
    <mergeCell ref="B2566:C2566"/>
    <mergeCell ref="B2567:C2567"/>
    <mergeCell ref="B2568:C2568"/>
    <mergeCell ref="B2569:C2569"/>
    <mergeCell ref="B2570:C2570"/>
    <mergeCell ref="B2571:C2571"/>
    <mergeCell ref="B2572:C2572"/>
    <mergeCell ref="B2573:C2573"/>
    <mergeCell ref="B2574:C2574"/>
    <mergeCell ref="B2575:C2575"/>
    <mergeCell ref="B2576:C2576"/>
    <mergeCell ref="B2577:C2577"/>
    <mergeCell ref="B2578:C2578"/>
    <mergeCell ref="B2579:C2579"/>
    <mergeCell ref="B2580:C2580"/>
    <mergeCell ref="B2581:C2581"/>
    <mergeCell ref="B2582:C2582"/>
    <mergeCell ref="B2583:C2583"/>
    <mergeCell ref="B2584:C2584"/>
    <mergeCell ref="B2585:C2585"/>
    <mergeCell ref="B2586:C2586"/>
    <mergeCell ref="B2587:C2587"/>
    <mergeCell ref="B2588:C2588"/>
    <mergeCell ref="B2589:C2589"/>
    <mergeCell ref="B2590:C2590"/>
    <mergeCell ref="B2591:C2591"/>
    <mergeCell ref="B2592:C2592"/>
    <mergeCell ref="B2593:C2593"/>
    <mergeCell ref="B2594:C2594"/>
    <mergeCell ref="B2595:C2595"/>
    <mergeCell ref="B2596:C2596"/>
    <mergeCell ref="B2597:C2597"/>
    <mergeCell ref="B2598:C2598"/>
    <mergeCell ref="B2599:C2599"/>
    <mergeCell ref="B2600:C2600"/>
    <mergeCell ref="B2601:C2601"/>
    <mergeCell ref="B2602:C2602"/>
    <mergeCell ref="B2603:C2603"/>
    <mergeCell ref="B2604:C2604"/>
    <mergeCell ref="B2605:C2605"/>
    <mergeCell ref="B2606:C2606"/>
    <mergeCell ref="B2607:C2607"/>
    <mergeCell ref="B2608:C2608"/>
    <mergeCell ref="B2609:C2609"/>
    <mergeCell ref="B2610:C2610"/>
    <mergeCell ref="B2611:C2611"/>
    <mergeCell ref="B2612:C2612"/>
    <mergeCell ref="B2613:C2613"/>
    <mergeCell ref="B2614:C2614"/>
    <mergeCell ref="B2615:C2615"/>
    <mergeCell ref="B2616:C2616"/>
    <mergeCell ref="B2617:C2617"/>
    <mergeCell ref="B2618:C2618"/>
    <mergeCell ref="B2619:C2619"/>
    <mergeCell ref="B2620:C2620"/>
    <mergeCell ref="B2621:C2621"/>
    <mergeCell ref="B2622:C2622"/>
    <mergeCell ref="B2623:C2623"/>
    <mergeCell ref="B2624:C2624"/>
    <mergeCell ref="B2625:C2625"/>
    <mergeCell ref="B2626:C2626"/>
    <mergeCell ref="B2627:C2627"/>
    <mergeCell ref="B2628:C2628"/>
    <mergeCell ref="B2629:C2629"/>
    <mergeCell ref="B2630:C2630"/>
    <mergeCell ref="B2631:C2631"/>
    <mergeCell ref="B2632:C2632"/>
    <mergeCell ref="B2633:C2633"/>
    <mergeCell ref="B2634:C2634"/>
    <mergeCell ref="B2635:C2635"/>
    <mergeCell ref="B2636:C2636"/>
    <mergeCell ref="B2637:C2637"/>
    <mergeCell ref="B2638:C2638"/>
    <mergeCell ref="B2639:C2639"/>
    <mergeCell ref="B2640:C2640"/>
    <mergeCell ref="B2641:C2641"/>
    <mergeCell ref="B2642:C2642"/>
    <mergeCell ref="B2643:C2643"/>
    <mergeCell ref="B2644:C2644"/>
    <mergeCell ref="B2645:C2645"/>
    <mergeCell ref="B2646:C2646"/>
    <mergeCell ref="B2647:C2647"/>
    <mergeCell ref="B2648:C2648"/>
    <mergeCell ref="B2649:C2649"/>
    <mergeCell ref="B2650:C2650"/>
    <mergeCell ref="B2651:C2651"/>
    <mergeCell ref="B2652:C2652"/>
    <mergeCell ref="B2653:C2653"/>
    <mergeCell ref="B2654:C2654"/>
    <mergeCell ref="B2655:C2655"/>
    <mergeCell ref="B2656:C2656"/>
    <mergeCell ref="B2657:C2657"/>
    <mergeCell ref="B2658:C2658"/>
    <mergeCell ref="B2659:C2659"/>
    <mergeCell ref="B2660:C2660"/>
    <mergeCell ref="B2661:C2661"/>
    <mergeCell ref="B2662:C2662"/>
    <mergeCell ref="B2663:C2663"/>
    <mergeCell ref="B2664:C2664"/>
    <mergeCell ref="B2665:C2665"/>
    <mergeCell ref="B2666:C2666"/>
    <mergeCell ref="B2667:C2667"/>
    <mergeCell ref="B2668:C2668"/>
    <mergeCell ref="B2669:C2669"/>
    <mergeCell ref="B2670:C2670"/>
    <mergeCell ref="B2671:C2671"/>
    <mergeCell ref="B2672:C2672"/>
    <mergeCell ref="B2673:C2673"/>
    <mergeCell ref="B2674:C2674"/>
    <mergeCell ref="B2675:C2675"/>
    <mergeCell ref="B2676:C2676"/>
    <mergeCell ref="B2677:C2677"/>
    <mergeCell ref="B2678:C2678"/>
    <mergeCell ref="B2679:C2679"/>
    <mergeCell ref="B2680:C2680"/>
    <mergeCell ref="B2681:C2681"/>
    <mergeCell ref="B2682:C2682"/>
    <mergeCell ref="B2683:C2683"/>
    <mergeCell ref="B2684:C2684"/>
    <mergeCell ref="B2685:C2685"/>
    <mergeCell ref="B2686:C2686"/>
    <mergeCell ref="B2687:C2687"/>
    <mergeCell ref="B2688:C2688"/>
    <mergeCell ref="B2689:C2689"/>
    <mergeCell ref="B2690:C2690"/>
    <mergeCell ref="B2691:C2691"/>
    <mergeCell ref="B2692:C2692"/>
    <mergeCell ref="B2693:C2693"/>
    <mergeCell ref="B2694:C2694"/>
    <mergeCell ref="B2695:C2695"/>
    <mergeCell ref="B2696:C2696"/>
    <mergeCell ref="B2697:C2697"/>
    <mergeCell ref="B2698:C2698"/>
    <mergeCell ref="B2699:C2699"/>
    <mergeCell ref="B2700:C2700"/>
    <mergeCell ref="B2701:C2701"/>
    <mergeCell ref="B2702:C2702"/>
    <mergeCell ref="B2703:C2703"/>
    <mergeCell ref="B2704:C2704"/>
    <mergeCell ref="B2705:C2705"/>
    <mergeCell ref="B2706:C2706"/>
    <mergeCell ref="B2707:C2707"/>
    <mergeCell ref="B2708:C2708"/>
    <mergeCell ref="B2709:C2709"/>
    <mergeCell ref="B2710:C2710"/>
    <mergeCell ref="B2711:C2711"/>
    <mergeCell ref="B2712:C2712"/>
    <mergeCell ref="B2713:C2713"/>
    <mergeCell ref="B2714:C2714"/>
    <mergeCell ref="B2715:C2715"/>
    <mergeCell ref="B2716:C2716"/>
    <mergeCell ref="B2717:C2717"/>
    <mergeCell ref="B2718:C2718"/>
    <mergeCell ref="B2719:C2719"/>
    <mergeCell ref="B2720:C2720"/>
    <mergeCell ref="B2721:C2721"/>
    <mergeCell ref="B2722:C2722"/>
    <mergeCell ref="B2723:C2723"/>
    <mergeCell ref="B2724:C2724"/>
    <mergeCell ref="B2725:C2725"/>
    <mergeCell ref="B2726:C2726"/>
    <mergeCell ref="B2727:C2727"/>
    <mergeCell ref="B2728:C2728"/>
    <mergeCell ref="B2729:C2729"/>
    <mergeCell ref="B2730:C2730"/>
    <mergeCell ref="B2731:C2731"/>
    <mergeCell ref="B2732:C2732"/>
    <mergeCell ref="B2733:C2733"/>
    <mergeCell ref="B2734:C2734"/>
    <mergeCell ref="B2735:C2735"/>
    <mergeCell ref="B2736:C2736"/>
    <mergeCell ref="B2737:C2737"/>
    <mergeCell ref="B2738:C2738"/>
    <mergeCell ref="B2739:C2739"/>
    <mergeCell ref="B2740:C2740"/>
    <mergeCell ref="B2741:C2741"/>
    <mergeCell ref="B2742:C2742"/>
    <mergeCell ref="B2743:C2743"/>
    <mergeCell ref="B2744:C2744"/>
    <mergeCell ref="B2745:C2745"/>
    <mergeCell ref="B2746:C2746"/>
    <mergeCell ref="B2747:C2747"/>
    <mergeCell ref="B2748:C2748"/>
    <mergeCell ref="B2749:C2749"/>
    <mergeCell ref="B2750:C2750"/>
    <mergeCell ref="B2751:C2751"/>
    <mergeCell ref="B2752:C2752"/>
    <mergeCell ref="B2753:C2753"/>
    <mergeCell ref="B2754:C2754"/>
    <mergeCell ref="B2755:C2755"/>
    <mergeCell ref="B2756:C2756"/>
    <mergeCell ref="B2757:C2757"/>
    <mergeCell ref="B2758:C2758"/>
    <mergeCell ref="B2759:C2759"/>
    <mergeCell ref="B2760:C2760"/>
    <mergeCell ref="B2761:C2761"/>
    <mergeCell ref="B2762:C2762"/>
    <mergeCell ref="B2763:C2763"/>
    <mergeCell ref="B2764:C2764"/>
    <mergeCell ref="B2765:C2765"/>
    <mergeCell ref="B2766:C2766"/>
    <mergeCell ref="B2767:C2767"/>
    <mergeCell ref="B2768:C2768"/>
    <mergeCell ref="B2769:C2769"/>
    <mergeCell ref="B2770:C2770"/>
    <mergeCell ref="B2771:C2771"/>
    <mergeCell ref="B2772:C2772"/>
    <mergeCell ref="B2773:C2773"/>
    <mergeCell ref="B2774:C2774"/>
    <mergeCell ref="B2775:C2775"/>
    <mergeCell ref="B2776:C2776"/>
    <mergeCell ref="B2777:C2777"/>
    <mergeCell ref="B2778:C2778"/>
    <mergeCell ref="B2779:C2779"/>
    <mergeCell ref="B2780:C2780"/>
    <mergeCell ref="B2781:C2781"/>
    <mergeCell ref="B2782:C2782"/>
    <mergeCell ref="B2783:C2783"/>
    <mergeCell ref="B2784:C2784"/>
    <mergeCell ref="B2785:C2785"/>
    <mergeCell ref="B2786:C2786"/>
    <mergeCell ref="B2787:C2787"/>
    <mergeCell ref="B2788:C2788"/>
    <mergeCell ref="B2789:C2789"/>
    <mergeCell ref="B2790:C2790"/>
    <mergeCell ref="B2791:C2791"/>
    <mergeCell ref="B2792:C2792"/>
    <mergeCell ref="B2793:C2793"/>
    <mergeCell ref="B2794:C2794"/>
    <mergeCell ref="B2795:C2795"/>
    <mergeCell ref="B2796:C2796"/>
    <mergeCell ref="B2797:C2797"/>
    <mergeCell ref="B2798:C2798"/>
    <mergeCell ref="B2799:C2799"/>
    <mergeCell ref="B2800:C2800"/>
    <mergeCell ref="B2801:C2801"/>
    <mergeCell ref="B2802:C2802"/>
    <mergeCell ref="B2803:C2803"/>
    <mergeCell ref="B2804:C2804"/>
    <mergeCell ref="B2805:C2805"/>
    <mergeCell ref="B2806:C2806"/>
    <mergeCell ref="B2807:C2807"/>
    <mergeCell ref="B2808:C2808"/>
    <mergeCell ref="B2809:C2809"/>
    <mergeCell ref="B2810:C2810"/>
    <mergeCell ref="B2811:C2811"/>
    <mergeCell ref="B2812:C2812"/>
    <mergeCell ref="B2813:C2813"/>
    <mergeCell ref="B2814:C2814"/>
    <mergeCell ref="B2815:C2815"/>
    <mergeCell ref="B2816:C2816"/>
    <mergeCell ref="B2817:C2817"/>
    <mergeCell ref="B2818:C2818"/>
    <mergeCell ref="B2819:C2819"/>
    <mergeCell ref="B2820:C2820"/>
    <mergeCell ref="B2821:C2821"/>
    <mergeCell ref="B2822:C2822"/>
    <mergeCell ref="B2823:C2823"/>
    <mergeCell ref="B2824:C2824"/>
    <mergeCell ref="B2825:C2825"/>
    <mergeCell ref="B2826:C2826"/>
    <mergeCell ref="B2827:C2827"/>
    <mergeCell ref="B2828:C2828"/>
    <mergeCell ref="B2829:C2829"/>
    <mergeCell ref="B2830:C2830"/>
    <mergeCell ref="B2831:C2831"/>
    <mergeCell ref="B2832:C2832"/>
    <mergeCell ref="B2833:C2833"/>
    <mergeCell ref="B2834:C2834"/>
    <mergeCell ref="B2835:C2835"/>
    <mergeCell ref="B2836:C2836"/>
    <mergeCell ref="B2837:C2837"/>
    <mergeCell ref="B2838:C2838"/>
    <mergeCell ref="B2839:C2839"/>
    <mergeCell ref="B2840:C2840"/>
    <mergeCell ref="B2841:C2841"/>
    <mergeCell ref="B2842:C2842"/>
    <mergeCell ref="B2843:C2843"/>
    <mergeCell ref="B2844:C2844"/>
    <mergeCell ref="B2845:C2845"/>
    <mergeCell ref="B2846:C2846"/>
    <mergeCell ref="B2847:C2847"/>
    <mergeCell ref="B2848:C284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1.38"/>
    <col customWidth="1" min="3" max="3" width="30.25"/>
    <col customWidth="1" min="7" max="7" width="130.25"/>
  </cols>
  <sheetData>
    <row r="1">
      <c r="A1" s="21"/>
      <c r="B1" s="21"/>
      <c r="C1" s="21"/>
      <c r="D1" s="21"/>
      <c r="E1" s="21"/>
      <c r="F1" s="21"/>
      <c r="G1" s="21"/>
      <c r="H1" s="1"/>
    </row>
    <row r="2">
      <c r="A2" s="28" t="s">
        <v>266</v>
      </c>
      <c r="B2" s="21" t="s">
        <v>1</v>
      </c>
      <c r="C2" s="21" t="s">
        <v>79</v>
      </c>
      <c r="D2" s="21" t="s">
        <v>80</v>
      </c>
      <c r="E2" s="21" t="s">
        <v>82</v>
      </c>
      <c r="F2" s="21" t="s">
        <v>83</v>
      </c>
      <c r="G2" s="21" t="s">
        <v>84</v>
      </c>
      <c r="H2" s="1" t="s">
        <v>5983</v>
      </c>
    </row>
    <row r="3">
      <c r="A3" s="28" t="s">
        <v>267</v>
      </c>
      <c r="B3" s="21" t="s">
        <v>104</v>
      </c>
      <c r="C3" s="21" t="s">
        <v>87</v>
      </c>
      <c r="D3" s="25">
        <v>9900.0</v>
      </c>
      <c r="E3" s="25">
        <v>55.0</v>
      </c>
      <c r="F3" s="25">
        <v>6.51</v>
      </c>
      <c r="G3" s="21" t="s">
        <v>88</v>
      </c>
    </row>
    <row r="4" hidden="1">
      <c r="A4" s="21"/>
      <c r="B4" s="21" t="s">
        <v>852</v>
      </c>
      <c r="C4" s="21" t="s">
        <v>90</v>
      </c>
      <c r="D4" s="25">
        <v>6600.0</v>
      </c>
      <c r="E4" s="25">
        <v>29.0</v>
      </c>
      <c r="F4" s="25">
        <v>5.85</v>
      </c>
      <c r="G4" s="21" t="s">
        <v>212</v>
      </c>
    </row>
    <row r="5" hidden="1">
      <c r="A5" s="21"/>
      <c r="B5" s="21" t="s">
        <v>853</v>
      </c>
      <c r="C5" s="21" t="s">
        <v>99</v>
      </c>
      <c r="D5" s="25">
        <v>4400.0</v>
      </c>
      <c r="E5" s="25">
        <v>33.0</v>
      </c>
      <c r="F5" s="25">
        <v>1.07</v>
      </c>
      <c r="G5" s="21" t="s">
        <v>854</v>
      </c>
    </row>
    <row r="6">
      <c r="A6" s="28" t="s">
        <v>267</v>
      </c>
      <c r="B6" s="21" t="s">
        <v>113</v>
      </c>
      <c r="C6" s="21" t="s">
        <v>87</v>
      </c>
      <c r="D6" s="25">
        <v>2900.0</v>
      </c>
      <c r="E6" s="25">
        <v>32.0</v>
      </c>
      <c r="F6" s="25">
        <v>5.59</v>
      </c>
      <c r="G6" s="21" t="s">
        <v>114</v>
      </c>
    </row>
    <row r="7">
      <c r="A7" s="32" t="s">
        <v>267</v>
      </c>
      <c r="B7" s="29" t="s">
        <v>116</v>
      </c>
      <c r="C7" s="29" t="s">
        <v>117</v>
      </c>
      <c r="D7" s="33">
        <v>1900.0</v>
      </c>
      <c r="E7" s="33">
        <v>17.0</v>
      </c>
      <c r="F7" s="33">
        <v>3.7</v>
      </c>
      <c r="G7" s="29" t="s">
        <v>118</v>
      </c>
      <c r="H7" s="1" t="s">
        <v>5984</v>
      </c>
    </row>
    <row r="8">
      <c r="A8" s="28" t="s">
        <v>267</v>
      </c>
      <c r="B8" s="21" t="s">
        <v>120</v>
      </c>
      <c r="C8" s="21" t="s">
        <v>87</v>
      </c>
      <c r="D8" s="25">
        <v>1600.0</v>
      </c>
      <c r="E8" s="25">
        <v>29.0</v>
      </c>
      <c r="F8" s="25">
        <v>3.89</v>
      </c>
      <c r="G8" s="21" t="s">
        <v>121</v>
      </c>
    </row>
    <row r="9">
      <c r="A9" s="28" t="s">
        <v>267</v>
      </c>
      <c r="B9" s="21" t="s">
        <v>123</v>
      </c>
      <c r="C9" s="21" t="s">
        <v>87</v>
      </c>
      <c r="D9" s="25">
        <v>1600.0</v>
      </c>
      <c r="E9" s="25">
        <v>34.0</v>
      </c>
      <c r="F9" s="25">
        <v>5.59</v>
      </c>
      <c r="G9" s="21" t="s">
        <v>124</v>
      </c>
    </row>
    <row r="10">
      <c r="A10" s="28" t="s">
        <v>267</v>
      </c>
      <c r="B10" s="21" t="s">
        <v>126</v>
      </c>
      <c r="C10" s="21" t="s">
        <v>87</v>
      </c>
      <c r="D10" s="25">
        <v>1300.0</v>
      </c>
      <c r="E10" s="25">
        <v>52.0</v>
      </c>
      <c r="F10" s="25">
        <v>5.59</v>
      </c>
      <c r="G10" s="21" t="s">
        <v>127</v>
      </c>
    </row>
    <row r="11">
      <c r="A11" s="28" t="s">
        <v>267</v>
      </c>
      <c r="B11" s="21" t="s">
        <v>129</v>
      </c>
      <c r="C11" s="21" t="s">
        <v>117</v>
      </c>
      <c r="D11" s="25">
        <v>1300.0</v>
      </c>
      <c r="E11" s="25">
        <v>28.0</v>
      </c>
      <c r="F11" s="25">
        <v>1.1</v>
      </c>
      <c r="G11" s="21" t="s">
        <v>130</v>
      </c>
    </row>
    <row r="12">
      <c r="A12" s="28" t="s">
        <v>277</v>
      </c>
      <c r="B12" s="21" t="s">
        <v>132</v>
      </c>
      <c r="C12" s="21" t="s">
        <v>117</v>
      </c>
      <c r="D12" s="25">
        <v>1000.0</v>
      </c>
      <c r="E12" s="25">
        <v>11.0</v>
      </c>
      <c r="F12" s="25">
        <v>1.0</v>
      </c>
      <c r="G12" s="21" t="s">
        <v>133</v>
      </c>
    </row>
    <row r="13">
      <c r="A13" s="28" t="s">
        <v>267</v>
      </c>
      <c r="B13" s="21" t="s">
        <v>135</v>
      </c>
      <c r="C13" s="21" t="s">
        <v>87</v>
      </c>
      <c r="D13" s="25">
        <v>880.0</v>
      </c>
      <c r="E13" s="25">
        <v>33.0</v>
      </c>
      <c r="F13" s="25">
        <v>4.69</v>
      </c>
      <c r="G13" s="21" t="s">
        <v>136</v>
      </c>
    </row>
    <row r="14" hidden="1">
      <c r="A14" s="21"/>
      <c r="B14" s="21" t="s">
        <v>419</v>
      </c>
      <c r="C14" s="21" t="s">
        <v>117</v>
      </c>
      <c r="D14" s="25">
        <v>880.0</v>
      </c>
      <c r="E14" s="25">
        <v>19.0</v>
      </c>
      <c r="F14" s="25">
        <v>0.0</v>
      </c>
      <c r="G14" s="21" t="s">
        <v>420</v>
      </c>
    </row>
    <row r="15">
      <c r="A15" s="32" t="s">
        <v>267</v>
      </c>
      <c r="B15" s="29" t="s">
        <v>138</v>
      </c>
      <c r="C15" s="29" t="s">
        <v>90</v>
      </c>
      <c r="D15" s="33">
        <v>720.0</v>
      </c>
      <c r="E15" s="33">
        <v>24.0</v>
      </c>
      <c r="F15" s="33">
        <v>3.83</v>
      </c>
      <c r="G15" s="29" t="s">
        <v>139</v>
      </c>
    </row>
    <row r="16">
      <c r="A16" s="28" t="s">
        <v>267</v>
      </c>
      <c r="B16" s="21" t="s">
        <v>140</v>
      </c>
      <c r="C16" s="21" t="s">
        <v>117</v>
      </c>
      <c r="D16" s="25">
        <v>720.0</v>
      </c>
      <c r="E16" s="25">
        <v>24.0</v>
      </c>
      <c r="F16" s="25">
        <v>2.72</v>
      </c>
      <c r="G16" s="21" t="s">
        <v>141</v>
      </c>
    </row>
    <row r="17" hidden="1">
      <c r="A17" s="21"/>
      <c r="B17" s="21" t="s">
        <v>855</v>
      </c>
      <c r="C17" s="21" t="s">
        <v>90</v>
      </c>
      <c r="D17" s="25">
        <v>590.0</v>
      </c>
      <c r="E17" s="25">
        <v>10.0</v>
      </c>
      <c r="F17" s="25">
        <v>6.93</v>
      </c>
      <c r="G17" s="21" t="s">
        <v>856</v>
      </c>
    </row>
    <row r="18" hidden="1">
      <c r="A18" s="21"/>
      <c r="B18" s="21" t="s">
        <v>167</v>
      </c>
      <c r="C18" s="21" t="s">
        <v>99</v>
      </c>
      <c r="D18" s="25">
        <v>590.0</v>
      </c>
      <c r="E18" s="25">
        <v>37.0</v>
      </c>
      <c r="F18" s="25">
        <v>0.93</v>
      </c>
      <c r="G18" s="21" t="s">
        <v>168</v>
      </c>
    </row>
    <row r="19">
      <c r="A19" s="28" t="s">
        <v>267</v>
      </c>
      <c r="B19" s="21" t="s">
        <v>143</v>
      </c>
      <c r="C19" s="21" t="s">
        <v>87</v>
      </c>
      <c r="D19" s="25">
        <v>590.0</v>
      </c>
      <c r="E19" s="25">
        <v>21.0</v>
      </c>
      <c r="F19" s="25">
        <v>3.71</v>
      </c>
      <c r="G19" s="21" t="s">
        <v>144</v>
      </c>
    </row>
    <row r="20">
      <c r="A20" s="28" t="s">
        <v>267</v>
      </c>
      <c r="B20" s="21" t="s">
        <v>146</v>
      </c>
      <c r="C20" s="21" t="s">
        <v>87</v>
      </c>
      <c r="D20" s="25">
        <v>590.0</v>
      </c>
      <c r="E20" s="25">
        <v>34.0</v>
      </c>
      <c r="F20" s="25">
        <v>3.02</v>
      </c>
      <c r="G20" s="21" t="s">
        <v>147</v>
      </c>
    </row>
    <row r="21" hidden="1">
      <c r="A21" s="21"/>
      <c r="B21" s="21" t="s">
        <v>857</v>
      </c>
      <c r="C21" s="21" t="s">
        <v>87</v>
      </c>
      <c r="D21" s="25">
        <v>480.0</v>
      </c>
      <c r="E21" s="25">
        <v>20.0</v>
      </c>
      <c r="F21" s="25">
        <v>3.82</v>
      </c>
      <c r="G21" s="21" t="s">
        <v>858</v>
      </c>
    </row>
    <row r="22" hidden="1">
      <c r="A22" s="21"/>
      <c r="B22" s="21" t="s">
        <v>859</v>
      </c>
      <c r="C22" s="21" t="s">
        <v>99</v>
      </c>
      <c r="D22" s="25">
        <v>480.0</v>
      </c>
      <c r="E22" s="25">
        <v>32.0</v>
      </c>
      <c r="F22" s="25">
        <v>0.48</v>
      </c>
      <c r="G22" s="21" t="s">
        <v>860</v>
      </c>
    </row>
    <row r="23" hidden="1">
      <c r="A23" s="21"/>
      <c r="B23" s="21" t="s">
        <v>861</v>
      </c>
      <c r="C23" s="21" t="s">
        <v>90</v>
      </c>
      <c r="D23" s="25">
        <v>480.0</v>
      </c>
      <c r="E23" s="25">
        <v>33.0</v>
      </c>
      <c r="F23" s="25">
        <v>8.54</v>
      </c>
      <c r="G23" s="21" t="s">
        <v>862</v>
      </c>
    </row>
    <row r="24" hidden="1">
      <c r="A24" s="21"/>
      <c r="B24" s="21" t="s">
        <v>863</v>
      </c>
      <c r="C24" s="21" t="s">
        <v>99</v>
      </c>
      <c r="D24" s="25">
        <v>480.0</v>
      </c>
      <c r="E24" s="25">
        <v>28.0</v>
      </c>
      <c r="F24" s="25">
        <v>1.32</v>
      </c>
      <c r="G24" s="21" t="s">
        <v>864</v>
      </c>
    </row>
    <row r="25" hidden="1">
      <c r="A25" s="21"/>
      <c r="B25" s="21" t="s">
        <v>865</v>
      </c>
      <c r="C25" s="21" t="s">
        <v>87</v>
      </c>
      <c r="D25" s="25">
        <v>480.0</v>
      </c>
      <c r="E25" s="25">
        <v>23.0</v>
      </c>
      <c r="F25" s="25">
        <v>0.65</v>
      </c>
      <c r="G25" s="21" t="s">
        <v>866</v>
      </c>
    </row>
    <row r="26" hidden="1">
      <c r="A26" s="21"/>
      <c r="B26" s="21" t="s">
        <v>867</v>
      </c>
      <c r="C26" s="21" t="s">
        <v>99</v>
      </c>
      <c r="D26" s="25">
        <v>480.0</v>
      </c>
      <c r="E26" s="25">
        <v>41.0</v>
      </c>
      <c r="F26" s="25">
        <v>0.42</v>
      </c>
      <c r="G26" s="21" t="s">
        <v>868</v>
      </c>
    </row>
    <row r="27" hidden="1">
      <c r="A27" s="21"/>
      <c r="B27" s="21" t="s">
        <v>869</v>
      </c>
      <c r="C27" s="21" t="s">
        <v>99</v>
      </c>
      <c r="D27" s="25">
        <v>480.0</v>
      </c>
      <c r="E27" s="25">
        <v>30.0</v>
      </c>
      <c r="F27" s="25">
        <v>1.25</v>
      </c>
      <c r="G27" s="21" t="s">
        <v>870</v>
      </c>
    </row>
    <row r="28" hidden="1">
      <c r="A28" s="21"/>
      <c r="B28" s="21" t="s">
        <v>421</v>
      </c>
      <c r="C28" s="21" t="s">
        <v>117</v>
      </c>
      <c r="D28" s="25">
        <v>480.0</v>
      </c>
      <c r="E28" s="25">
        <v>17.0</v>
      </c>
      <c r="F28" s="25">
        <v>2.83</v>
      </c>
      <c r="G28" s="21" t="s">
        <v>130</v>
      </c>
    </row>
    <row r="29" hidden="1">
      <c r="A29" s="21"/>
      <c r="B29" s="21" t="s">
        <v>422</v>
      </c>
      <c r="C29" s="21" t="s">
        <v>117</v>
      </c>
      <c r="D29" s="25">
        <v>480.0</v>
      </c>
      <c r="E29" s="25">
        <v>35.0</v>
      </c>
      <c r="F29" s="25">
        <v>1.22</v>
      </c>
      <c r="G29" s="21" t="s">
        <v>423</v>
      </c>
    </row>
    <row r="30" hidden="1">
      <c r="A30" s="21"/>
      <c r="B30" s="21" t="s">
        <v>424</v>
      </c>
      <c r="C30" s="21" t="s">
        <v>117</v>
      </c>
      <c r="D30" s="25">
        <v>480.0</v>
      </c>
      <c r="E30" s="25">
        <v>21.0</v>
      </c>
      <c r="F30" s="25">
        <v>1.1</v>
      </c>
      <c r="G30" s="21" t="s">
        <v>425</v>
      </c>
    </row>
    <row r="31" hidden="1">
      <c r="A31" s="21"/>
      <c r="B31" s="21" t="s">
        <v>169</v>
      </c>
      <c r="C31" s="21" t="s">
        <v>117</v>
      </c>
      <c r="D31" s="25">
        <v>480.0</v>
      </c>
      <c r="E31" s="25">
        <v>17.0</v>
      </c>
      <c r="F31" s="25">
        <v>3.22</v>
      </c>
      <c r="G31" s="21" t="s">
        <v>170</v>
      </c>
    </row>
    <row r="32" hidden="1">
      <c r="A32" s="21"/>
      <c r="B32" s="21" t="s">
        <v>871</v>
      </c>
      <c r="C32" s="21" t="s">
        <v>117</v>
      </c>
      <c r="D32" s="25">
        <v>480.0</v>
      </c>
      <c r="E32" s="25">
        <v>28.0</v>
      </c>
      <c r="F32" s="25">
        <v>3.5</v>
      </c>
      <c r="G32" s="21" t="s">
        <v>872</v>
      </c>
    </row>
    <row r="33" hidden="1">
      <c r="A33" s="21"/>
      <c r="B33" s="21" t="s">
        <v>873</v>
      </c>
      <c r="C33" s="21" t="s">
        <v>87</v>
      </c>
      <c r="D33" s="25">
        <v>390.0</v>
      </c>
      <c r="E33" s="25">
        <v>37.0</v>
      </c>
      <c r="F33" s="25">
        <v>5.2</v>
      </c>
      <c r="G33" s="21" t="s">
        <v>874</v>
      </c>
    </row>
    <row r="34" hidden="1">
      <c r="A34" s="21"/>
      <c r="B34" s="21" t="s">
        <v>875</v>
      </c>
      <c r="C34" s="21" t="s">
        <v>87</v>
      </c>
      <c r="D34" s="25">
        <v>390.0</v>
      </c>
      <c r="E34" s="25">
        <v>35.0</v>
      </c>
      <c r="F34" s="25">
        <v>6.07</v>
      </c>
      <c r="G34" s="21" t="s">
        <v>876</v>
      </c>
    </row>
    <row r="35" hidden="1">
      <c r="A35" s="21"/>
      <c r="B35" s="21" t="s">
        <v>877</v>
      </c>
      <c r="C35" s="21" t="s">
        <v>87</v>
      </c>
      <c r="D35" s="25">
        <v>390.0</v>
      </c>
      <c r="E35" s="25">
        <v>36.0</v>
      </c>
      <c r="F35" s="25">
        <v>7.28</v>
      </c>
      <c r="G35" s="21" t="s">
        <v>147</v>
      </c>
    </row>
    <row r="36" hidden="1">
      <c r="A36" s="21"/>
      <c r="B36" s="21" t="s">
        <v>878</v>
      </c>
      <c r="C36" s="21" t="s">
        <v>87</v>
      </c>
      <c r="D36" s="25">
        <v>390.0</v>
      </c>
      <c r="E36" s="25">
        <v>23.0</v>
      </c>
      <c r="F36" s="25">
        <v>3.08</v>
      </c>
      <c r="G36" s="21" t="s">
        <v>879</v>
      </c>
    </row>
    <row r="37" hidden="1">
      <c r="A37" s="21"/>
      <c r="B37" s="21" t="s">
        <v>426</v>
      </c>
      <c r="C37" s="21" t="s">
        <v>117</v>
      </c>
      <c r="D37" s="25">
        <v>390.0</v>
      </c>
      <c r="E37" s="25">
        <v>22.0</v>
      </c>
      <c r="F37" s="25">
        <v>0.69</v>
      </c>
      <c r="G37" s="21" t="s">
        <v>427</v>
      </c>
    </row>
    <row r="38">
      <c r="A38" s="28" t="s">
        <v>267</v>
      </c>
      <c r="B38" s="21" t="s">
        <v>149</v>
      </c>
      <c r="C38" s="21" t="s">
        <v>87</v>
      </c>
      <c r="D38" s="25">
        <v>390.0</v>
      </c>
      <c r="E38" s="25">
        <v>27.0</v>
      </c>
      <c r="F38" s="25">
        <v>4.37</v>
      </c>
      <c r="G38" s="21" t="s">
        <v>106</v>
      </c>
    </row>
    <row r="39" hidden="1">
      <c r="A39" s="21"/>
      <c r="B39" s="21" t="s">
        <v>880</v>
      </c>
      <c r="C39" s="21" t="s">
        <v>117</v>
      </c>
      <c r="D39" s="25">
        <v>320.0</v>
      </c>
      <c r="E39" s="25">
        <v>22.0</v>
      </c>
      <c r="F39" s="25">
        <v>4.66</v>
      </c>
      <c r="G39" s="21" t="s">
        <v>881</v>
      </c>
    </row>
    <row r="40" hidden="1">
      <c r="A40" s="21"/>
      <c r="B40" s="21" t="s">
        <v>882</v>
      </c>
      <c r="C40" s="21" t="s">
        <v>99</v>
      </c>
      <c r="D40" s="25">
        <v>320.0</v>
      </c>
      <c r="E40" s="25">
        <v>36.0</v>
      </c>
      <c r="F40" s="25">
        <v>1.11</v>
      </c>
      <c r="G40" s="21" t="s">
        <v>186</v>
      </c>
    </row>
    <row r="41" hidden="1">
      <c r="A41" s="21"/>
      <c r="B41" s="21" t="s">
        <v>883</v>
      </c>
      <c r="C41" s="21" t="s">
        <v>87</v>
      </c>
      <c r="D41" s="25">
        <v>320.0</v>
      </c>
      <c r="E41" s="25">
        <v>39.0</v>
      </c>
      <c r="F41" s="25">
        <v>5.18</v>
      </c>
      <c r="G41" s="21" t="s">
        <v>884</v>
      </c>
    </row>
    <row r="42" hidden="1">
      <c r="A42" s="21"/>
      <c r="B42" s="21" t="s">
        <v>885</v>
      </c>
      <c r="C42" s="21" t="s">
        <v>90</v>
      </c>
      <c r="D42" s="25">
        <v>320.0</v>
      </c>
      <c r="E42" s="25">
        <v>18.0</v>
      </c>
      <c r="F42" s="25">
        <v>3.41</v>
      </c>
      <c r="G42" s="21" t="s">
        <v>886</v>
      </c>
    </row>
    <row r="43" hidden="1">
      <c r="A43" s="21"/>
      <c r="B43" s="21" t="s">
        <v>887</v>
      </c>
      <c r="C43" s="21" t="s">
        <v>117</v>
      </c>
      <c r="D43" s="25">
        <v>320.0</v>
      </c>
      <c r="E43" s="25">
        <v>6.0</v>
      </c>
      <c r="F43" s="25">
        <v>3.83</v>
      </c>
      <c r="G43" s="21" t="s">
        <v>429</v>
      </c>
    </row>
    <row r="44" hidden="1">
      <c r="A44" s="21"/>
      <c r="B44" s="21" t="s">
        <v>888</v>
      </c>
      <c r="C44" s="21" t="s">
        <v>87</v>
      </c>
      <c r="D44" s="25">
        <v>260.0</v>
      </c>
      <c r="E44" s="25">
        <v>36.0</v>
      </c>
      <c r="F44" s="25">
        <v>10.74</v>
      </c>
      <c r="G44" s="21" t="s">
        <v>147</v>
      </c>
    </row>
    <row r="45" hidden="1">
      <c r="A45" s="21"/>
      <c r="B45" s="21" t="s">
        <v>889</v>
      </c>
      <c r="C45" s="21" t="s">
        <v>99</v>
      </c>
      <c r="D45" s="25">
        <v>260.0</v>
      </c>
      <c r="E45" s="25">
        <v>21.0</v>
      </c>
      <c r="F45" s="25">
        <v>0.46</v>
      </c>
      <c r="G45" s="21" t="s">
        <v>890</v>
      </c>
    </row>
    <row r="46" hidden="1">
      <c r="A46" s="21"/>
      <c r="B46" s="21" t="s">
        <v>428</v>
      </c>
      <c r="C46" s="21" t="s">
        <v>117</v>
      </c>
      <c r="D46" s="25">
        <v>260.0</v>
      </c>
      <c r="E46" s="25">
        <v>24.0</v>
      </c>
      <c r="F46" s="25">
        <v>2.48</v>
      </c>
      <c r="G46" s="21" t="s">
        <v>429</v>
      </c>
    </row>
    <row r="47" hidden="1">
      <c r="A47" s="21"/>
      <c r="B47" s="21" t="s">
        <v>891</v>
      </c>
      <c r="C47" s="21" t="s">
        <v>117</v>
      </c>
      <c r="D47" s="25">
        <v>260.0</v>
      </c>
      <c r="E47" s="25">
        <v>22.0</v>
      </c>
      <c r="F47" s="25">
        <v>3.04</v>
      </c>
      <c r="G47" s="21" t="s">
        <v>461</v>
      </c>
    </row>
    <row r="48" hidden="1">
      <c r="A48" s="21"/>
      <c r="B48" s="21" t="s">
        <v>892</v>
      </c>
      <c r="C48" s="21" t="s">
        <v>117</v>
      </c>
      <c r="D48" s="25">
        <v>260.0</v>
      </c>
      <c r="E48" s="25">
        <v>3.0</v>
      </c>
      <c r="F48" s="25">
        <v>3.61</v>
      </c>
      <c r="G48" s="21" t="s">
        <v>893</v>
      </c>
    </row>
    <row r="49" hidden="1">
      <c r="A49" s="21"/>
      <c r="B49" s="21" t="s">
        <v>430</v>
      </c>
      <c r="C49" s="21" t="s">
        <v>117</v>
      </c>
      <c r="D49" s="25">
        <v>260.0</v>
      </c>
      <c r="E49" s="25">
        <v>9.0</v>
      </c>
      <c r="F49" s="25">
        <v>3.74</v>
      </c>
      <c r="G49" s="21" t="s">
        <v>431</v>
      </c>
    </row>
    <row r="50" hidden="1">
      <c r="A50" s="21"/>
      <c r="B50" s="21" t="s">
        <v>432</v>
      </c>
      <c r="C50" s="21" t="s">
        <v>117</v>
      </c>
      <c r="D50" s="25">
        <v>260.0</v>
      </c>
      <c r="E50" s="25">
        <v>5.0</v>
      </c>
      <c r="F50" s="25">
        <v>1.21</v>
      </c>
      <c r="G50" s="21" t="s">
        <v>433</v>
      </c>
    </row>
    <row r="51" hidden="1">
      <c r="A51" s="21"/>
      <c r="B51" s="21" t="s">
        <v>894</v>
      </c>
      <c r="D51" s="25">
        <v>260.0</v>
      </c>
      <c r="E51" s="27"/>
      <c r="F51" s="25">
        <v>0.0</v>
      </c>
      <c r="G51" s="27"/>
    </row>
    <row r="52" hidden="1">
      <c r="A52" s="21"/>
      <c r="B52" s="21" t="s">
        <v>895</v>
      </c>
      <c r="C52" s="21" t="s">
        <v>117</v>
      </c>
      <c r="D52" s="25">
        <v>260.0</v>
      </c>
      <c r="E52" s="25">
        <v>26.0</v>
      </c>
      <c r="F52" s="25">
        <v>2.91</v>
      </c>
      <c r="G52" s="21" t="s">
        <v>866</v>
      </c>
    </row>
    <row r="53" hidden="1">
      <c r="A53" s="21"/>
      <c r="B53" s="21" t="s">
        <v>896</v>
      </c>
      <c r="C53" s="21" t="s">
        <v>87</v>
      </c>
      <c r="D53" s="25">
        <v>210.0</v>
      </c>
      <c r="E53" s="25">
        <v>35.0</v>
      </c>
      <c r="F53" s="25">
        <v>6.75</v>
      </c>
      <c r="G53" s="21" t="s">
        <v>897</v>
      </c>
    </row>
    <row r="54" hidden="1">
      <c r="A54" s="21"/>
      <c r="B54" s="21" t="s">
        <v>898</v>
      </c>
      <c r="C54" s="21" t="s">
        <v>117</v>
      </c>
      <c r="D54" s="25">
        <v>210.0</v>
      </c>
      <c r="E54" s="25">
        <v>6.0</v>
      </c>
      <c r="F54" s="25">
        <v>3.83</v>
      </c>
      <c r="G54" s="21" t="s">
        <v>899</v>
      </c>
    </row>
    <row r="55" hidden="1">
      <c r="A55" s="21"/>
      <c r="B55" s="21" t="s">
        <v>900</v>
      </c>
      <c r="C55" s="21" t="s">
        <v>87</v>
      </c>
      <c r="D55" s="25">
        <v>210.0</v>
      </c>
      <c r="E55" s="25">
        <v>30.0</v>
      </c>
      <c r="F55" s="25">
        <v>6.28</v>
      </c>
      <c r="G55" s="21" t="s">
        <v>901</v>
      </c>
    </row>
    <row r="56" hidden="1">
      <c r="A56" s="21"/>
      <c r="B56" s="21" t="s">
        <v>902</v>
      </c>
      <c r="C56" s="21" t="s">
        <v>87</v>
      </c>
      <c r="D56" s="25">
        <v>210.0</v>
      </c>
      <c r="E56" s="25">
        <v>40.0</v>
      </c>
      <c r="F56" s="25">
        <v>9.24</v>
      </c>
      <c r="G56" s="21" t="s">
        <v>903</v>
      </c>
    </row>
    <row r="57" hidden="1">
      <c r="A57" s="21"/>
      <c r="B57" s="21" t="s">
        <v>904</v>
      </c>
      <c r="C57" s="21" t="s">
        <v>87</v>
      </c>
      <c r="D57" s="25">
        <v>210.0</v>
      </c>
      <c r="E57" s="25">
        <v>33.0</v>
      </c>
      <c r="F57" s="25">
        <v>3.87</v>
      </c>
      <c r="G57" s="21" t="s">
        <v>905</v>
      </c>
    </row>
    <row r="58" hidden="1">
      <c r="A58" s="21"/>
      <c r="B58" s="21" t="s">
        <v>906</v>
      </c>
      <c r="C58" s="21" t="s">
        <v>87</v>
      </c>
      <c r="D58" s="25">
        <v>210.0</v>
      </c>
      <c r="E58" s="25">
        <v>12.0</v>
      </c>
      <c r="F58" s="25">
        <v>0.8</v>
      </c>
      <c r="G58" s="21" t="s">
        <v>294</v>
      </c>
    </row>
    <row r="59" hidden="1">
      <c r="A59" s="21"/>
      <c r="B59" s="21" t="s">
        <v>907</v>
      </c>
      <c r="C59" s="21" t="s">
        <v>99</v>
      </c>
      <c r="D59" s="25">
        <v>210.0</v>
      </c>
      <c r="E59" s="25">
        <v>20.0</v>
      </c>
      <c r="F59" s="25">
        <v>1.03</v>
      </c>
      <c r="G59" s="21" t="s">
        <v>908</v>
      </c>
    </row>
    <row r="60" hidden="1">
      <c r="A60" s="21"/>
      <c r="B60" s="21" t="s">
        <v>909</v>
      </c>
      <c r="C60" s="21" t="s">
        <v>160</v>
      </c>
      <c r="D60" s="25">
        <v>210.0</v>
      </c>
      <c r="E60" s="25">
        <v>11.0</v>
      </c>
      <c r="F60" s="25">
        <v>3.83</v>
      </c>
      <c r="G60" s="21" t="s">
        <v>461</v>
      </c>
    </row>
    <row r="61" hidden="1">
      <c r="A61" s="21"/>
      <c r="B61" s="21" t="s">
        <v>910</v>
      </c>
      <c r="D61" s="25">
        <v>210.0</v>
      </c>
      <c r="E61" s="25">
        <v>26.0</v>
      </c>
      <c r="F61" s="25">
        <v>1.26</v>
      </c>
      <c r="G61" s="21" t="s">
        <v>911</v>
      </c>
    </row>
    <row r="62" hidden="1">
      <c r="A62" s="21"/>
      <c r="B62" s="21" t="s">
        <v>912</v>
      </c>
      <c r="C62" s="21" t="s">
        <v>87</v>
      </c>
      <c r="D62" s="25">
        <v>210.0</v>
      </c>
      <c r="E62" s="25">
        <v>32.0</v>
      </c>
      <c r="F62" s="25">
        <v>0.8</v>
      </c>
      <c r="G62" s="21" t="s">
        <v>881</v>
      </c>
    </row>
    <row r="63" hidden="1">
      <c r="A63" s="21"/>
      <c r="B63" s="21" t="s">
        <v>434</v>
      </c>
      <c r="C63" s="21" t="s">
        <v>117</v>
      </c>
      <c r="D63" s="25">
        <v>210.0</v>
      </c>
      <c r="E63" s="25">
        <v>12.0</v>
      </c>
      <c r="F63" s="25">
        <v>0.97</v>
      </c>
      <c r="G63" s="21" t="s">
        <v>435</v>
      </c>
    </row>
    <row r="64" hidden="1">
      <c r="A64" s="21"/>
      <c r="B64" s="21" t="s">
        <v>436</v>
      </c>
      <c r="C64" s="21" t="s">
        <v>117</v>
      </c>
      <c r="D64" s="25">
        <v>210.0</v>
      </c>
      <c r="E64" s="25">
        <v>0.0</v>
      </c>
      <c r="F64" s="25">
        <v>3.6</v>
      </c>
      <c r="G64" s="21" t="s">
        <v>437</v>
      </c>
    </row>
    <row r="65" hidden="1">
      <c r="A65" s="21"/>
      <c r="B65" s="21" t="s">
        <v>438</v>
      </c>
      <c r="D65" s="25">
        <v>210.0</v>
      </c>
      <c r="E65" s="25">
        <v>24.0</v>
      </c>
      <c r="F65" s="25">
        <v>3.8</v>
      </c>
      <c r="G65" s="21" t="s">
        <v>439</v>
      </c>
    </row>
    <row r="66" hidden="1">
      <c r="A66" s="21"/>
      <c r="B66" s="21" t="s">
        <v>913</v>
      </c>
      <c r="C66" s="21" t="s">
        <v>87</v>
      </c>
      <c r="D66" s="25">
        <v>210.0</v>
      </c>
      <c r="E66" s="25">
        <v>25.0</v>
      </c>
      <c r="F66" s="25">
        <v>2.66</v>
      </c>
      <c r="G66" s="21" t="s">
        <v>914</v>
      </c>
    </row>
    <row r="67" hidden="1">
      <c r="A67" s="21"/>
      <c r="B67" s="21" t="s">
        <v>915</v>
      </c>
      <c r="C67" s="21" t="s">
        <v>117</v>
      </c>
      <c r="D67" s="25">
        <v>210.0</v>
      </c>
      <c r="E67" s="25">
        <v>29.0</v>
      </c>
      <c r="F67" s="25">
        <v>3.83</v>
      </c>
      <c r="G67" s="21" t="s">
        <v>916</v>
      </c>
    </row>
    <row r="68" hidden="1">
      <c r="A68" s="21"/>
      <c r="B68" s="21" t="s">
        <v>917</v>
      </c>
      <c r="C68" s="21" t="s">
        <v>87</v>
      </c>
      <c r="D68" s="25">
        <v>210.0</v>
      </c>
      <c r="E68" s="25">
        <v>38.0</v>
      </c>
      <c r="F68" s="25">
        <v>3.48</v>
      </c>
      <c r="G68" s="21" t="s">
        <v>876</v>
      </c>
    </row>
    <row r="69" hidden="1">
      <c r="A69" s="21"/>
      <c r="B69" s="21" t="s">
        <v>918</v>
      </c>
      <c r="C69" s="21" t="s">
        <v>117</v>
      </c>
      <c r="D69" s="25">
        <v>210.0</v>
      </c>
      <c r="E69" s="25">
        <v>37.0</v>
      </c>
      <c r="F69" s="25">
        <v>3.48</v>
      </c>
      <c r="G69" s="21" t="s">
        <v>919</v>
      </c>
    </row>
    <row r="70" hidden="1">
      <c r="A70" s="21"/>
      <c r="B70" s="21" t="s">
        <v>920</v>
      </c>
      <c r="C70" s="21" t="s">
        <v>87</v>
      </c>
      <c r="D70" s="25">
        <v>210.0</v>
      </c>
      <c r="E70" s="25">
        <v>43.0</v>
      </c>
      <c r="F70" s="25">
        <v>3.48</v>
      </c>
      <c r="G70" s="21" t="s">
        <v>921</v>
      </c>
    </row>
    <row r="71" hidden="1">
      <c r="A71" s="21"/>
      <c r="B71" s="21" t="s">
        <v>922</v>
      </c>
      <c r="C71" s="21" t="s">
        <v>99</v>
      </c>
      <c r="D71" s="25">
        <v>210.0</v>
      </c>
      <c r="E71" s="25">
        <v>25.0</v>
      </c>
      <c r="F71" s="25">
        <v>3.71</v>
      </c>
      <c r="G71" s="21" t="s">
        <v>923</v>
      </c>
    </row>
    <row r="72" hidden="1">
      <c r="A72" s="21"/>
      <c r="B72" s="21" t="s">
        <v>153</v>
      </c>
      <c r="C72" s="21" t="s">
        <v>87</v>
      </c>
      <c r="D72" s="25">
        <v>170.0</v>
      </c>
      <c r="E72" s="25">
        <v>21.0</v>
      </c>
      <c r="F72" s="25">
        <v>3.95</v>
      </c>
      <c r="G72" s="21" t="s">
        <v>874</v>
      </c>
    </row>
    <row r="73" hidden="1">
      <c r="A73" s="21"/>
      <c r="B73" s="21" t="s">
        <v>924</v>
      </c>
      <c r="C73" s="21" t="s">
        <v>160</v>
      </c>
      <c r="D73" s="25">
        <v>170.0</v>
      </c>
      <c r="E73" s="25">
        <v>36.0</v>
      </c>
      <c r="F73" s="25">
        <v>1.07</v>
      </c>
      <c r="G73" s="21" t="s">
        <v>925</v>
      </c>
    </row>
    <row r="74" hidden="1">
      <c r="A74" s="21"/>
      <c r="B74" s="21" t="s">
        <v>926</v>
      </c>
      <c r="C74" s="21" t="s">
        <v>87</v>
      </c>
      <c r="D74" s="25">
        <v>170.0</v>
      </c>
      <c r="E74" s="25">
        <v>26.0</v>
      </c>
      <c r="F74" s="25">
        <v>6.85</v>
      </c>
      <c r="G74" s="21" t="s">
        <v>147</v>
      </c>
    </row>
    <row r="75" hidden="1">
      <c r="A75" s="21"/>
      <c r="B75" s="21" t="s">
        <v>927</v>
      </c>
      <c r="C75" s="21" t="s">
        <v>87</v>
      </c>
      <c r="D75" s="25">
        <v>170.0</v>
      </c>
      <c r="E75" s="25">
        <v>45.0</v>
      </c>
      <c r="F75" s="25">
        <v>5.98</v>
      </c>
      <c r="G75" s="21" t="s">
        <v>212</v>
      </c>
    </row>
    <row r="76" hidden="1">
      <c r="A76" s="21"/>
      <c r="B76" s="21" t="s">
        <v>928</v>
      </c>
      <c r="C76" s="21" t="s">
        <v>90</v>
      </c>
      <c r="D76" s="25">
        <v>170.0</v>
      </c>
      <c r="E76" s="25">
        <v>40.0</v>
      </c>
      <c r="F76" s="25">
        <v>7.8</v>
      </c>
      <c r="G76" s="21" t="s">
        <v>929</v>
      </c>
    </row>
    <row r="77" hidden="1">
      <c r="A77" s="21"/>
      <c r="B77" s="21" t="s">
        <v>930</v>
      </c>
      <c r="C77" s="21" t="s">
        <v>87</v>
      </c>
      <c r="D77" s="25">
        <v>170.0</v>
      </c>
      <c r="E77" s="25">
        <v>27.0</v>
      </c>
      <c r="F77" s="25">
        <v>6.24</v>
      </c>
      <c r="G77" s="21" t="s">
        <v>931</v>
      </c>
    </row>
    <row r="78" hidden="1">
      <c r="A78" s="21"/>
      <c r="B78" s="21" t="s">
        <v>932</v>
      </c>
      <c r="C78" s="21" t="s">
        <v>87</v>
      </c>
      <c r="D78" s="25">
        <v>170.0</v>
      </c>
      <c r="E78" s="25">
        <v>40.0</v>
      </c>
      <c r="F78" s="25">
        <v>5.7</v>
      </c>
      <c r="G78" s="21" t="s">
        <v>897</v>
      </c>
    </row>
    <row r="79" hidden="1">
      <c r="A79" s="21"/>
      <c r="B79" s="21" t="s">
        <v>933</v>
      </c>
      <c r="C79" s="21" t="s">
        <v>87</v>
      </c>
      <c r="D79" s="25">
        <v>170.0</v>
      </c>
      <c r="E79" s="25">
        <v>10.0</v>
      </c>
      <c r="F79" s="25">
        <v>5.85</v>
      </c>
      <c r="G79" s="21" t="s">
        <v>934</v>
      </c>
    </row>
    <row r="80" hidden="1">
      <c r="A80" s="21"/>
      <c r="B80" s="21" t="s">
        <v>935</v>
      </c>
      <c r="C80" s="21" t="s">
        <v>90</v>
      </c>
      <c r="D80" s="25">
        <v>170.0</v>
      </c>
      <c r="E80" s="25">
        <v>27.0</v>
      </c>
      <c r="F80" s="25">
        <v>0.86</v>
      </c>
      <c r="G80" s="21" t="s">
        <v>936</v>
      </c>
    </row>
    <row r="81" hidden="1">
      <c r="A81" s="21"/>
      <c r="B81" s="21" t="s">
        <v>937</v>
      </c>
      <c r="C81" s="21" t="s">
        <v>99</v>
      </c>
      <c r="D81" s="25">
        <v>170.0</v>
      </c>
      <c r="E81" s="25">
        <v>26.0</v>
      </c>
      <c r="F81" s="25">
        <v>0.91</v>
      </c>
      <c r="G81" s="21" t="s">
        <v>938</v>
      </c>
    </row>
    <row r="82" hidden="1">
      <c r="A82" s="21"/>
      <c r="B82" s="21" t="s">
        <v>939</v>
      </c>
      <c r="C82" s="21" t="s">
        <v>160</v>
      </c>
      <c r="D82" s="25">
        <v>170.0</v>
      </c>
      <c r="E82" s="25">
        <v>14.0</v>
      </c>
      <c r="F82" s="25">
        <v>3.83</v>
      </c>
      <c r="G82" s="21" t="s">
        <v>899</v>
      </c>
    </row>
    <row r="83" hidden="1">
      <c r="A83" s="21"/>
      <c r="B83" s="21" t="s">
        <v>940</v>
      </c>
      <c r="C83" s="21" t="s">
        <v>117</v>
      </c>
      <c r="D83" s="25">
        <v>170.0</v>
      </c>
      <c r="E83" s="25">
        <v>4.0</v>
      </c>
      <c r="F83" s="25">
        <v>3.83</v>
      </c>
      <c r="G83" s="21" t="s">
        <v>429</v>
      </c>
    </row>
    <row r="84" hidden="1">
      <c r="A84" s="21"/>
      <c r="B84" s="21" t="s">
        <v>440</v>
      </c>
      <c r="C84" s="21" t="s">
        <v>117</v>
      </c>
      <c r="D84" s="25">
        <v>170.0</v>
      </c>
      <c r="E84" s="25">
        <v>37.0</v>
      </c>
      <c r="F84" s="25">
        <v>0.74</v>
      </c>
      <c r="G84" s="21" t="s">
        <v>441</v>
      </c>
    </row>
    <row r="85" hidden="1">
      <c r="A85" s="21"/>
      <c r="B85" s="21" t="s">
        <v>442</v>
      </c>
      <c r="C85" s="21" t="s">
        <v>117</v>
      </c>
      <c r="D85" s="25">
        <v>170.0</v>
      </c>
      <c r="E85" s="25">
        <v>25.0</v>
      </c>
      <c r="F85" s="25">
        <v>1.0</v>
      </c>
      <c r="G85" s="21" t="s">
        <v>130</v>
      </c>
    </row>
    <row r="86" hidden="1">
      <c r="A86" s="21"/>
      <c r="B86" s="21" t="s">
        <v>443</v>
      </c>
      <c r="C86" s="21" t="s">
        <v>117</v>
      </c>
      <c r="D86" s="25">
        <v>170.0</v>
      </c>
      <c r="E86" s="25">
        <v>0.0</v>
      </c>
      <c r="F86" s="25">
        <v>1.21</v>
      </c>
      <c r="G86" s="21" t="s">
        <v>444</v>
      </c>
    </row>
    <row r="87" hidden="1">
      <c r="A87" s="21"/>
      <c r="B87" s="21" t="s">
        <v>445</v>
      </c>
      <c r="C87" s="21" t="s">
        <v>117</v>
      </c>
      <c r="D87" s="25">
        <v>170.0</v>
      </c>
      <c r="E87" s="25">
        <v>22.0</v>
      </c>
      <c r="F87" s="25">
        <v>1.03</v>
      </c>
      <c r="G87" s="21" t="s">
        <v>446</v>
      </c>
    </row>
    <row r="88" hidden="1">
      <c r="A88" s="21"/>
      <c r="B88" s="21" t="s">
        <v>447</v>
      </c>
      <c r="C88" s="21" t="s">
        <v>117</v>
      </c>
      <c r="D88" s="25">
        <v>170.0</v>
      </c>
      <c r="E88" s="25">
        <v>34.0</v>
      </c>
      <c r="F88" s="25">
        <v>0.86</v>
      </c>
      <c r="G88" s="21" t="s">
        <v>429</v>
      </c>
    </row>
    <row r="89" hidden="1">
      <c r="A89" s="21"/>
      <c r="B89" s="21" t="s">
        <v>941</v>
      </c>
      <c r="C89" s="21" t="s">
        <v>90</v>
      </c>
      <c r="D89" s="25">
        <v>170.0</v>
      </c>
      <c r="E89" s="25">
        <v>36.0</v>
      </c>
      <c r="F89" s="25">
        <v>5.8</v>
      </c>
      <c r="G89" s="21" t="s">
        <v>905</v>
      </c>
    </row>
    <row r="90" hidden="1">
      <c r="A90" s="21"/>
      <c r="B90" s="21" t="s">
        <v>942</v>
      </c>
      <c r="C90" s="21" t="s">
        <v>87</v>
      </c>
      <c r="D90" s="25">
        <v>170.0</v>
      </c>
      <c r="E90" s="25">
        <v>46.0</v>
      </c>
      <c r="F90" s="25">
        <v>5.21</v>
      </c>
      <c r="G90" s="21" t="s">
        <v>943</v>
      </c>
    </row>
    <row r="91" hidden="1">
      <c r="A91" s="21"/>
      <c r="B91" s="21" t="s">
        <v>944</v>
      </c>
      <c r="C91" s="21" t="s">
        <v>99</v>
      </c>
      <c r="D91" s="25">
        <v>170.0</v>
      </c>
      <c r="E91" s="25">
        <v>41.0</v>
      </c>
      <c r="F91" s="25">
        <v>0.39</v>
      </c>
      <c r="G91" s="21" t="s">
        <v>945</v>
      </c>
    </row>
    <row r="92" hidden="1">
      <c r="A92" s="21"/>
      <c r="B92" s="21" t="s">
        <v>946</v>
      </c>
      <c r="C92" s="21" t="s">
        <v>87</v>
      </c>
      <c r="D92" s="25">
        <v>140.0</v>
      </c>
      <c r="E92" s="25">
        <v>10.0</v>
      </c>
      <c r="F92" s="25">
        <v>10.53</v>
      </c>
      <c r="G92" s="21" t="s">
        <v>188</v>
      </c>
    </row>
    <row r="93" hidden="1">
      <c r="A93" s="21"/>
      <c r="B93" s="21" t="s">
        <v>947</v>
      </c>
      <c r="C93" s="21" t="s">
        <v>87</v>
      </c>
      <c r="D93" s="25">
        <v>140.0</v>
      </c>
      <c r="E93" s="25">
        <v>6.0</v>
      </c>
      <c r="F93" s="25">
        <v>7.17</v>
      </c>
      <c r="G93" s="21" t="s">
        <v>948</v>
      </c>
    </row>
    <row r="94" hidden="1">
      <c r="A94" s="21"/>
      <c r="B94" s="21" t="s">
        <v>949</v>
      </c>
      <c r="C94" s="21" t="s">
        <v>87</v>
      </c>
      <c r="D94" s="25">
        <v>140.0</v>
      </c>
      <c r="E94" s="25">
        <v>19.0</v>
      </c>
      <c r="F94" s="25">
        <v>6.42</v>
      </c>
      <c r="G94" s="21" t="s">
        <v>950</v>
      </c>
    </row>
    <row r="95" hidden="1">
      <c r="A95" s="21"/>
      <c r="B95" s="21" t="s">
        <v>257</v>
      </c>
      <c r="C95" s="21" t="s">
        <v>87</v>
      </c>
      <c r="D95" s="25">
        <v>140.0</v>
      </c>
      <c r="E95" s="25">
        <v>36.0</v>
      </c>
      <c r="F95" s="25">
        <v>7.94</v>
      </c>
      <c r="G95" s="21" t="s">
        <v>259</v>
      </c>
    </row>
    <row r="96" hidden="1">
      <c r="A96" s="21"/>
      <c r="B96" s="21" t="s">
        <v>951</v>
      </c>
      <c r="C96" s="21" t="s">
        <v>87</v>
      </c>
      <c r="D96" s="25">
        <v>140.0</v>
      </c>
      <c r="E96" s="25">
        <v>0.0</v>
      </c>
      <c r="F96" s="25">
        <v>4.38</v>
      </c>
      <c r="G96" s="21" t="s">
        <v>155</v>
      </c>
    </row>
    <row r="97" hidden="1">
      <c r="A97" s="21"/>
      <c r="B97" s="21" t="s">
        <v>952</v>
      </c>
      <c r="C97" s="21" t="s">
        <v>87</v>
      </c>
      <c r="D97" s="25">
        <v>140.0</v>
      </c>
      <c r="E97" s="25">
        <v>25.0</v>
      </c>
      <c r="F97" s="25">
        <v>7.51</v>
      </c>
      <c r="G97" s="21" t="s">
        <v>147</v>
      </c>
    </row>
    <row r="98" hidden="1">
      <c r="A98" s="21"/>
      <c r="B98" s="21" t="s">
        <v>953</v>
      </c>
      <c r="C98" s="21" t="s">
        <v>87</v>
      </c>
      <c r="D98" s="25">
        <v>140.0</v>
      </c>
      <c r="E98" s="25">
        <v>16.0</v>
      </c>
      <c r="F98" s="25">
        <v>10.67</v>
      </c>
      <c r="G98" s="21" t="s">
        <v>886</v>
      </c>
    </row>
    <row r="99" hidden="1">
      <c r="A99" s="21"/>
      <c r="B99" s="21" t="s">
        <v>448</v>
      </c>
      <c r="C99" s="21" t="s">
        <v>117</v>
      </c>
      <c r="D99" s="25">
        <v>140.0</v>
      </c>
      <c r="E99" s="25">
        <v>22.0</v>
      </c>
      <c r="F99" s="25">
        <v>2.27</v>
      </c>
      <c r="G99" s="21" t="s">
        <v>170</v>
      </c>
    </row>
    <row r="100" hidden="1">
      <c r="A100" s="21"/>
      <c r="B100" s="21" t="s">
        <v>954</v>
      </c>
      <c r="C100" s="21" t="s">
        <v>117</v>
      </c>
      <c r="D100" s="25">
        <v>140.0</v>
      </c>
      <c r="E100" s="25">
        <v>25.0</v>
      </c>
      <c r="F100" s="25">
        <v>2.78</v>
      </c>
      <c r="G100" s="21" t="s">
        <v>955</v>
      </c>
    </row>
    <row r="101" hidden="1">
      <c r="A101" s="21"/>
      <c r="B101" s="21" t="s">
        <v>956</v>
      </c>
      <c r="C101" s="21" t="s">
        <v>87</v>
      </c>
      <c r="D101" s="25">
        <v>140.0</v>
      </c>
      <c r="E101" s="25">
        <v>44.0</v>
      </c>
      <c r="F101" s="25">
        <v>4.39</v>
      </c>
      <c r="G101" s="21" t="s">
        <v>957</v>
      </c>
    </row>
    <row r="102" hidden="1">
      <c r="A102" s="21"/>
      <c r="B102" s="21" t="s">
        <v>958</v>
      </c>
      <c r="C102" s="21" t="s">
        <v>959</v>
      </c>
      <c r="D102" s="25">
        <v>140.0</v>
      </c>
      <c r="E102" s="25">
        <v>39.0</v>
      </c>
      <c r="F102" s="25">
        <v>4.46</v>
      </c>
      <c r="G102" s="21" t="s">
        <v>897</v>
      </c>
    </row>
    <row r="103" hidden="1">
      <c r="A103" s="21"/>
      <c r="B103" s="21" t="s">
        <v>449</v>
      </c>
      <c r="C103" s="21" t="s">
        <v>117</v>
      </c>
      <c r="D103" s="25">
        <v>140.0</v>
      </c>
      <c r="E103" s="25">
        <v>2.0</v>
      </c>
      <c r="F103" s="25">
        <v>1.09</v>
      </c>
      <c r="G103" s="21" t="s">
        <v>450</v>
      </c>
    </row>
    <row r="104" hidden="1">
      <c r="A104" s="21"/>
      <c r="B104" s="21" t="s">
        <v>451</v>
      </c>
      <c r="C104" s="21" t="s">
        <v>117</v>
      </c>
      <c r="D104" s="25">
        <v>140.0</v>
      </c>
      <c r="E104" s="25">
        <v>0.0</v>
      </c>
      <c r="F104" s="25">
        <v>3.23</v>
      </c>
      <c r="G104" s="21" t="s">
        <v>130</v>
      </c>
    </row>
    <row r="105" hidden="1">
      <c r="A105" s="21"/>
      <c r="B105" s="21" t="s">
        <v>960</v>
      </c>
      <c r="C105" s="21" t="s">
        <v>90</v>
      </c>
      <c r="D105" s="25">
        <v>140.0</v>
      </c>
      <c r="E105" s="25">
        <v>27.0</v>
      </c>
      <c r="F105" s="25">
        <v>0.87</v>
      </c>
      <c r="G105" s="21" t="s">
        <v>961</v>
      </c>
    </row>
    <row r="106" hidden="1">
      <c r="A106" s="21"/>
      <c r="B106" s="21" t="s">
        <v>452</v>
      </c>
      <c r="C106" s="21" t="s">
        <v>117</v>
      </c>
      <c r="D106" s="25">
        <v>140.0</v>
      </c>
      <c r="E106" s="25">
        <v>23.0</v>
      </c>
      <c r="F106" s="25">
        <v>2.84</v>
      </c>
      <c r="G106" s="21" t="s">
        <v>453</v>
      </c>
    </row>
    <row r="107" hidden="1">
      <c r="A107" s="21"/>
      <c r="B107" s="21" t="s">
        <v>962</v>
      </c>
      <c r="C107" s="21" t="s">
        <v>87</v>
      </c>
      <c r="D107" s="25">
        <v>110.0</v>
      </c>
      <c r="E107" s="25">
        <v>28.0</v>
      </c>
      <c r="F107" s="25">
        <v>7.18</v>
      </c>
      <c r="G107" s="21" t="s">
        <v>283</v>
      </c>
    </row>
    <row r="108" hidden="1">
      <c r="A108" s="21"/>
      <c r="B108" s="21" t="s">
        <v>963</v>
      </c>
      <c r="C108" s="21" t="s">
        <v>99</v>
      </c>
      <c r="D108" s="25">
        <v>110.0</v>
      </c>
      <c r="E108" s="25">
        <v>29.0</v>
      </c>
      <c r="F108" s="25">
        <v>0.69</v>
      </c>
      <c r="G108" s="21" t="s">
        <v>964</v>
      </c>
    </row>
    <row r="109" hidden="1">
      <c r="A109" s="21"/>
      <c r="B109" s="21" t="s">
        <v>965</v>
      </c>
      <c r="C109" s="21" t="s">
        <v>87</v>
      </c>
      <c r="D109" s="25">
        <v>110.0</v>
      </c>
      <c r="E109" s="25">
        <v>25.0</v>
      </c>
      <c r="F109" s="25">
        <v>6.49</v>
      </c>
      <c r="G109" s="21" t="s">
        <v>966</v>
      </c>
    </row>
    <row r="110" hidden="1">
      <c r="A110" s="21"/>
      <c r="B110" s="21" t="s">
        <v>967</v>
      </c>
      <c r="C110" s="21" t="s">
        <v>87</v>
      </c>
      <c r="D110" s="25">
        <v>110.0</v>
      </c>
      <c r="E110" s="25">
        <v>12.0</v>
      </c>
      <c r="F110" s="25">
        <v>6.6</v>
      </c>
      <c r="G110" s="21" t="s">
        <v>968</v>
      </c>
    </row>
    <row r="111" hidden="1">
      <c r="A111" s="21"/>
      <c r="B111" s="21" t="s">
        <v>969</v>
      </c>
      <c r="C111" s="21" t="s">
        <v>87</v>
      </c>
      <c r="D111" s="25">
        <v>110.0</v>
      </c>
      <c r="E111" s="25">
        <v>29.0</v>
      </c>
      <c r="F111" s="25">
        <v>6.85</v>
      </c>
      <c r="G111" s="21" t="s">
        <v>970</v>
      </c>
    </row>
    <row r="112" hidden="1">
      <c r="A112" s="21"/>
      <c r="B112" s="21" t="s">
        <v>971</v>
      </c>
      <c r="C112" s="21" t="s">
        <v>87</v>
      </c>
      <c r="D112" s="25">
        <v>110.0</v>
      </c>
      <c r="E112" s="25">
        <v>6.0</v>
      </c>
      <c r="F112" s="25">
        <v>7.3</v>
      </c>
      <c r="G112" s="21" t="s">
        <v>972</v>
      </c>
    </row>
    <row r="113" hidden="1">
      <c r="A113" s="21"/>
      <c r="B113" s="21" t="s">
        <v>973</v>
      </c>
      <c r="C113" s="21" t="s">
        <v>87</v>
      </c>
      <c r="D113" s="25">
        <v>110.0</v>
      </c>
      <c r="E113" s="25">
        <v>19.0</v>
      </c>
      <c r="F113" s="25">
        <v>6.98</v>
      </c>
      <c r="G113" s="21" t="s">
        <v>188</v>
      </c>
    </row>
    <row r="114" hidden="1">
      <c r="A114" s="21"/>
      <c r="B114" s="21" t="s">
        <v>974</v>
      </c>
      <c r="C114" s="21" t="s">
        <v>87</v>
      </c>
      <c r="D114" s="25">
        <v>110.0</v>
      </c>
      <c r="E114" s="25">
        <v>13.0</v>
      </c>
      <c r="F114" s="25">
        <v>17.36</v>
      </c>
      <c r="G114" s="21" t="s">
        <v>155</v>
      </c>
    </row>
    <row r="115" hidden="1">
      <c r="A115" s="21"/>
      <c r="B115" s="21" t="s">
        <v>975</v>
      </c>
      <c r="C115" s="21" t="s">
        <v>87</v>
      </c>
      <c r="D115" s="25">
        <v>110.0</v>
      </c>
      <c r="E115" s="25">
        <v>43.0</v>
      </c>
      <c r="F115" s="25">
        <v>4.69</v>
      </c>
      <c r="G115" s="21" t="s">
        <v>976</v>
      </c>
    </row>
    <row r="116" hidden="1">
      <c r="A116" s="21"/>
      <c r="B116" s="21" t="s">
        <v>977</v>
      </c>
      <c r="C116" s="21" t="s">
        <v>160</v>
      </c>
      <c r="D116" s="25">
        <v>110.0</v>
      </c>
      <c r="E116" s="25">
        <v>0.0</v>
      </c>
      <c r="F116" s="25">
        <v>2.3</v>
      </c>
      <c r="G116" s="21" t="s">
        <v>978</v>
      </c>
    </row>
    <row r="117" hidden="1">
      <c r="A117" s="21"/>
      <c r="B117" s="21" t="s">
        <v>979</v>
      </c>
      <c r="C117" s="21" t="s">
        <v>87</v>
      </c>
      <c r="D117" s="25">
        <v>110.0</v>
      </c>
      <c r="E117" s="25">
        <v>32.0</v>
      </c>
      <c r="F117" s="25">
        <v>8.19</v>
      </c>
      <c r="G117" s="21" t="s">
        <v>106</v>
      </c>
    </row>
    <row r="118" hidden="1">
      <c r="A118" s="21"/>
      <c r="B118" s="21" t="s">
        <v>980</v>
      </c>
      <c r="C118" s="21" t="s">
        <v>99</v>
      </c>
      <c r="D118" s="25">
        <v>110.0</v>
      </c>
      <c r="E118" s="25">
        <v>25.0</v>
      </c>
      <c r="F118" s="25">
        <v>0.69</v>
      </c>
      <c r="G118" s="21" t="s">
        <v>981</v>
      </c>
    </row>
    <row r="119" hidden="1">
      <c r="A119" s="21"/>
      <c r="B119" s="21" t="s">
        <v>982</v>
      </c>
      <c r="C119" s="21" t="s">
        <v>87</v>
      </c>
      <c r="D119" s="25">
        <v>110.0</v>
      </c>
      <c r="E119" s="25">
        <v>16.0</v>
      </c>
      <c r="F119" s="25">
        <v>6.81</v>
      </c>
      <c r="G119" s="21" t="s">
        <v>903</v>
      </c>
    </row>
    <row r="120" hidden="1">
      <c r="A120" s="21"/>
      <c r="B120" s="21" t="s">
        <v>983</v>
      </c>
      <c r="C120" s="21" t="s">
        <v>87</v>
      </c>
      <c r="D120" s="25">
        <v>110.0</v>
      </c>
      <c r="E120" s="25">
        <v>38.0</v>
      </c>
      <c r="F120" s="25">
        <v>5.21</v>
      </c>
      <c r="G120" s="21" t="s">
        <v>147</v>
      </c>
    </row>
    <row r="121" hidden="1">
      <c r="A121" s="21"/>
      <c r="B121" s="21" t="s">
        <v>984</v>
      </c>
      <c r="C121" s="21" t="s">
        <v>87</v>
      </c>
      <c r="D121" s="25">
        <v>110.0</v>
      </c>
      <c r="E121" s="25">
        <v>22.0</v>
      </c>
      <c r="F121" s="25">
        <v>6.06</v>
      </c>
      <c r="G121" s="21" t="s">
        <v>985</v>
      </c>
    </row>
    <row r="122" hidden="1">
      <c r="A122" s="21"/>
      <c r="B122" s="21" t="s">
        <v>986</v>
      </c>
      <c r="C122" s="21" t="s">
        <v>87</v>
      </c>
      <c r="D122" s="25">
        <v>110.0</v>
      </c>
      <c r="E122" s="25">
        <v>10.0</v>
      </c>
      <c r="F122" s="25">
        <v>9.38</v>
      </c>
      <c r="G122" s="21" t="s">
        <v>897</v>
      </c>
    </row>
    <row r="123" hidden="1">
      <c r="A123" s="21"/>
      <c r="B123" s="21" t="s">
        <v>987</v>
      </c>
      <c r="C123" s="21" t="s">
        <v>87</v>
      </c>
      <c r="D123" s="25">
        <v>110.0</v>
      </c>
      <c r="E123" s="25">
        <v>13.0</v>
      </c>
      <c r="F123" s="25">
        <v>9.38</v>
      </c>
      <c r="G123" s="21" t="s">
        <v>988</v>
      </c>
    </row>
    <row r="124" hidden="1">
      <c r="A124" s="21"/>
      <c r="B124" s="21" t="s">
        <v>989</v>
      </c>
      <c r="C124" s="21" t="s">
        <v>117</v>
      </c>
      <c r="D124" s="25">
        <v>110.0</v>
      </c>
      <c r="E124" s="25">
        <v>11.0</v>
      </c>
      <c r="F124" s="25">
        <v>3.12</v>
      </c>
      <c r="G124" s="21" t="s">
        <v>170</v>
      </c>
    </row>
    <row r="125" hidden="1">
      <c r="A125" s="21"/>
      <c r="B125" s="21" t="s">
        <v>990</v>
      </c>
      <c r="C125" s="21" t="s">
        <v>87</v>
      </c>
      <c r="D125" s="25">
        <v>110.0</v>
      </c>
      <c r="E125" s="25">
        <v>0.0</v>
      </c>
      <c r="F125" s="25">
        <v>0.0</v>
      </c>
      <c r="G125" s="21" t="s">
        <v>903</v>
      </c>
    </row>
    <row r="126" hidden="1">
      <c r="A126" s="21"/>
      <c r="B126" s="21" t="s">
        <v>991</v>
      </c>
      <c r="C126" s="21" t="s">
        <v>87</v>
      </c>
      <c r="D126" s="25">
        <v>110.0</v>
      </c>
      <c r="E126" s="25">
        <v>17.0</v>
      </c>
      <c r="F126" s="25">
        <v>6.45</v>
      </c>
      <c r="G126" s="21" t="s">
        <v>147</v>
      </c>
    </row>
    <row r="127" hidden="1">
      <c r="A127" s="21"/>
      <c r="B127" s="21" t="s">
        <v>992</v>
      </c>
      <c r="C127" s="21" t="s">
        <v>87</v>
      </c>
      <c r="D127" s="25">
        <v>110.0</v>
      </c>
      <c r="E127" s="25">
        <v>5.0</v>
      </c>
      <c r="F127" s="25">
        <v>6.79</v>
      </c>
      <c r="G127" s="21" t="s">
        <v>993</v>
      </c>
    </row>
    <row r="128" hidden="1">
      <c r="A128" s="21"/>
      <c r="B128" s="21" t="s">
        <v>994</v>
      </c>
      <c r="C128" s="21" t="s">
        <v>87</v>
      </c>
      <c r="D128" s="25">
        <v>110.0</v>
      </c>
      <c r="E128" s="25">
        <v>17.0</v>
      </c>
      <c r="F128" s="25">
        <v>7.34</v>
      </c>
      <c r="G128" s="21" t="s">
        <v>995</v>
      </c>
    </row>
    <row r="129" hidden="1">
      <c r="A129" s="21"/>
      <c r="B129" s="21" t="s">
        <v>996</v>
      </c>
      <c r="C129" s="21" t="s">
        <v>87</v>
      </c>
      <c r="D129" s="25">
        <v>110.0</v>
      </c>
      <c r="E129" s="25">
        <v>0.0</v>
      </c>
      <c r="F129" s="25">
        <v>6.83</v>
      </c>
      <c r="G129" s="21" t="s">
        <v>259</v>
      </c>
    </row>
    <row r="130" hidden="1">
      <c r="A130" s="21"/>
      <c r="B130" s="21" t="s">
        <v>997</v>
      </c>
      <c r="C130" s="21" t="s">
        <v>87</v>
      </c>
      <c r="D130" s="25">
        <v>110.0</v>
      </c>
      <c r="E130" s="25">
        <v>42.0</v>
      </c>
      <c r="F130" s="25">
        <v>7.68</v>
      </c>
      <c r="G130" s="21" t="s">
        <v>998</v>
      </c>
    </row>
    <row r="131" hidden="1">
      <c r="A131" s="21"/>
      <c r="B131" s="21" t="s">
        <v>999</v>
      </c>
      <c r="C131" s="21" t="s">
        <v>87</v>
      </c>
      <c r="D131" s="25">
        <v>110.0</v>
      </c>
      <c r="E131" s="25">
        <v>16.0</v>
      </c>
      <c r="F131" s="25">
        <v>1.76</v>
      </c>
      <c r="G131" s="21" t="s">
        <v>1000</v>
      </c>
    </row>
    <row r="132" hidden="1">
      <c r="A132" s="21"/>
      <c r="B132" s="21" t="s">
        <v>454</v>
      </c>
      <c r="C132" s="21" t="s">
        <v>117</v>
      </c>
      <c r="D132" s="25">
        <v>110.0</v>
      </c>
      <c r="E132" s="25">
        <v>17.0</v>
      </c>
      <c r="F132" s="25">
        <v>3.11</v>
      </c>
      <c r="G132" s="21" t="s">
        <v>455</v>
      </c>
    </row>
    <row r="133" hidden="1">
      <c r="A133" s="21"/>
      <c r="B133" s="21" t="s">
        <v>1001</v>
      </c>
      <c r="C133" s="21" t="s">
        <v>87</v>
      </c>
      <c r="D133" s="25">
        <v>110.0</v>
      </c>
      <c r="E133" s="25">
        <v>35.0</v>
      </c>
      <c r="F133" s="25">
        <v>5.18</v>
      </c>
      <c r="G133" s="21" t="s">
        <v>144</v>
      </c>
    </row>
    <row r="134" hidden="1">
      <c r="A134" s="21"/>
      <c r="B134" s="21" t="s">
        <v>1002</v>
      </c>
      <c r="C134" s="21" t="s">
        <v>87</v>
      </c>
      <c r="D134" s="25">
        <v>110.0</v>
      </c>
      <c r="E134" s="25">
        <v>27.0</v>
      </c>
      <c r="F134" s="25">
        <v>2.76</v>
      </c>
      <c r="G134" s="21" t="s">
        <v>1003</v>
      </c>
    </row>
    <row r="135" hidden="1">
      <c r="A135" s="21"/>
      <c r="B135" s="21" t="s">
        <v>1004</v>
      </c>
      <c r="C135" s="21" t="s">
        <v>117</v>
      </c>
      <c r="D135" s="25">
        <v>110.0</v>
      </c>
      <c r="E135" s="25">
        <v>39.0</v>
      </c>
      <c r="F135" s="25">
        <v>3.11</v>
      </c>
      <c r="G135" s="21" t="s">
        <v>1005</v>
      </c>
    </row>
    <row r="136" hidden="1">
      <c r="A136" s="21"/>
      <c r="B136" s="21" t="s">
        <v>1006</v>
      </c>
      <c r="C136" s="21" t="s">
        <v>90</v>
      </c>
      <c r="D136" s="25">
        <v>110.0</v>
      </c>
      <c r="E136" s="25">
        <v>23.0</v>
      </c>
      <c r="F136" s="25">
        <v>5.8</v>
      </c>
      <c r="G136" s="21" t="s">
        <v>1007</v>
      </c>
    </row>
    <row r="137" hidden="1">
      <c r="A137" s="21"/>
      <c r="B137" s="21" t="s">
        <v>1008</v>
      </c>
      <c r="C137" s="21" t="s">
        <v>99</v>
      </c>
      <c r="D137" s="25">
        <v>110.0</v>
      </c>
      <c r="E137" s="25">
        <v>43.0</v>
      </c>
      <c r="F137" s="25">
        <v>0.39</v>
      </c>
      <c r="G137" s="21" t="s">
        <v>1009</v>
      </c>
    </row>
    <row r="138" hidden="1">
      <c r="A138" s="21"/>
      <c r="B138" s="21" t="s">
        <v>1010</v>
      </c>
      <c r="C138" s="21" t="s">
        <v>99</v>
      </c>
      <c r="D138" s="25">
        <v>110.0</v>
      </c>
      <c r="E138" s="25">
        <v>23.0</v>
      </c>
      <c r="F138" s="25">
        <v>0.64</v>
      </c>
      <c r="G138" s="21" t="s">
        <v>1011</v>
      </c>
    </row>
    <row r="139" hidden="1">
      <c r="A139" s="21"/>
      <c r="B139" s="21" t="s">
        <v>1012</v>
      </c>
      <c r="C139" s="21" t="s">
        <v>87</v>
      </c>
      <c r="D139" s="25">
        <v>90.0</v>
      </c>
      <c r="E139" s="25">
        <v>7.0</v>
      </c>
      <c r="F139" s="25">
        <v>2.55</v>
      </c>
      <c r="G139" s="21" t="s">
        <v>188</v>
      </c>
    </row>
    <row r="140" hidden="1">
      <c r="A140" s="21"/>
      <c r="B140" s="21" t="s">
        <v>1013</v>
      </c>
      <c r="C140" s="21" t="s">
        <v>87</v>
      </c>
      <c r="D140" s="25">
        <v>90.0</v>
      </c>
      <c r="E140" s="25">
        <v>20.0</v>
      </c>
      <c r="F140" s="25">
        <v>6.6</v>
      </c>
      <c r="G140" s="21" t="s">
        <v>1014</v>
      </c>
    </row>
    <row r="141" hidden="1">
      <c r="A141" s="21"/>
      <c r="B141" s="21" t="s">
        <v>1015</v>
      </c>
      <c r="C141" s="21" t="s">
        <v>117</v>
      </c>
      <c r="D141" s="25">
        <v>90.0</v>
      </c>
      <c r="E141" s="25">
        <v>23.0</v>
      </c>
      <c r="F141" s="25">
        <v>6.03</v>
      </c>
      <c r="G141" s="21" t="s">
        <v>1016</v>
      </c>
    </row>
    <row r="142" hidden="1">
      <c r="A142" s="21"/>
      <c r="B142" s="21" t="s">
        <v>1017</v>
      </c>
      <c r="C142" s="21" t="s">
        <v>87</v>
      </c>
      <c r="D142" s="25">
        <v>90.0</v>
      </c>
      <c r="E142" s="25">
        <v>9.0</v>
      </c>
      <c r="F142" s="25">
        <v>6.03</v>
      </c>
      <c r="G142" s="21" t="s">
        <v>1018</v>
      </c>
    </row>
    <row r="143" hidden="1">
      <c r="A143" s="21"/>
      <c r="B143" s="21" t="s">
        <v>1019</v>
      </c>
      <c r="C143" s="21" t="s">
        <v>90</v>
      </c>
      <c r="D143" s="25">
        <v>90.0</v>
      </c>
      <c r="E143" s="25">
        <v>32.0</v>
      </c>
      <c r="F143" s="25">
        <v>1.51</v>
      </c>
      <c r="G143" s="21" t="s">
        <v>854</v>
      </c>
    </row>
    <row r="144" hidden="1">
      <c r="A144" s="21"/>
      <c r="B144" s="21" t="s">
        <v>1020</v>
      </c>
      <c r="C144" s="21" t="s">
        <v>87</v>
      </c>
      <c r="D144" s="25">
        <v>90.0</v>
      </c>
      <c r="E144" s="25">
        <v>16.0</v>
      </c>
      <c r="F144" s="25">
        <v>6.14</v>
      </c>
      <c r="G144" s="21" t="s">
        <v>1021</v>
      </c>
    </row>
    <row r="145" hidden="1">
      <c r="A145" s="21"/>
      <c r="B145" s="21" t="s">
        <v>1022</v>
      </c>
      <c r="C145" s="21" t="s">
        <v>87</v>
      </c>
      <c r="D145" s="25">
        <v>90.0</v>
      </c>
      <c r="E145" s="25">
        <v>11.0</v>
      </c>
      <c r="F145" s="25">
        <v>5.37</v>
      </c>
      <c r="G145" s="21" t="s">
        <v>155</v>
      </c>
    </row>
    <row r="146" hidden="1">
      <c r="A146" s="21"/>
      <c r="B146" s="21" t="s">
        <v>1023</v>
      </c>
      <c r="C146" s="21" t="s">
        <v>87</v>
      </c>
      <c r="D146" s="25">
        <v>90.0</v>
      </c>
      <c r="E146" s="25">
        <v>44.0</v>
      </c>
      <c r="F146" s="25">
        <v>3.93</v>
      </c>
      <c r="G146" s="21" t="s">
        <v>988</v>
      </c>
    </row>
    <row r="147" hidden="1">
      <c r="A147" s="21"/>
      <c r="B147" s="21" t="s">
        <v>1024</v>
      </c>
      <c r="C147" s="21" t="s">
        <v>87</v>
      </c>
      <c r="D147" s="25">
        <v>90.0</v>
      </c>
      <c r="E147" s="25">
        <v>19.0</v>
      </c>
      <c r="F147" s="25">
        <v>5.21</v>
      </c>
      <c r="G147" s="21" t="s">
        <v>155</v>
      </c>
    </row>
    <row r="148" hidden="1">
      <c r="A148" s="21"/>
      <c r="B148" s="21" t="s">
        <v>1025</v>
      </c>
      <c r="C148" s="21" t="s">
        <v>87</v>
      </c>
      <c r="D148" s="25">
        <v>90.0</v>
      </c>
      <c r="E148" s="25">
        <v>27.0</v>
      </c>
      <c r="F148" s="25">
        <v>3.96</v>
      </c>
      <c r="G148" s="21" t="s">
        <v>147</v>
      </c>
    </row>
    <row r="149" hidden="1">
      <c r="A149" s="21"/>
      <c r="B149" s="21" t="s">
        <v>1026</v>
      </c>
      <c r="C149" s="21" t="s">
        <v>87</v>
      </c>
      <c r="D149" s="25">
        <v>90.0</v>
      </c>
      <c r="E149" s="25">
        <v>0.0</v>
      </c>
      <c r="F149" s="25">
        <v>5.74</v>
      </c>
      <c r="G149" s="21" t="s">
        <v>1027</v>
      </c>
    </row>
    <row r="150" hidden="1">
      <c r="A150" s="21"/>
      <c r="B150" s="21" t="s">
        <v>1028</v>
      </c>
      <c r="C150" s="21" t="s">
        <v>87</v>
      </c>
      <c r="D150" s="25">
        <v>90.0</v>
      </c>
      <c r="E150" s="25">
        <v>6.0</v>
      </c>
      <c r="F150" s="25">
        <v>12.26</v>
      </c>
      <c r="G150" s="21" t="s">
        <v>1029</v>
      </c>
    </row>
    <row r="151" hidden="1">
      <c r="A151" s="21"/>
      <c r="B151" s="21" t="s">
        <v>1030</v>
      </c>
      <c r="C151" s="21" t="s">
        <v>87</v>
      </c>
      <c r="D151" s="25">
        <v>90.0</v>
      </c>
      <c r="E151" s="25">
        <v>3.0</v>
      </c>
      <c r="F151" s="25">
        <v>5.75</v>
      </c>
      <c r="G151" s="21" t="s">
        <v>972</v>
      </c>
    </row>
    <row r="152" hidden="1">
      <c r="A152" s="21"/>
      <c r="B152" s="21" t="s">
        <v>1031</v>
      </c>
      <c r="C152" s="21" t="s">
        <v>87</v>
      </c>
      <c r="D152" s="25">
        <v>90.0</v>
      </c>
      <c r="E152" s="25">
        <v>17.0</v>
      </c>
      <c r="F152" s="25">
        <v>8.35</v>
      </c>
      <c r="G152" s="21" t="s">
        <v>212</v>
      </c>
    </row>
    <row r="153" hidden="1">
      <c r="A153" s="21"/>
      <c r="B153" s="21" t="s">
        <v>1032</v>
      </c>
      <c r="C153" s="21" t="s">
        <v>87</v>
      </c>
      <c r="D153" s="25">
        <v>90.0</v>
      </c>
      <c r="E153" s="25">
        <v>11.0</v>
      </c>
      <c r="F153" s="25">
        <v>0.0</v>
      </c>
      <c r="G153" s="21" t="s">
        <v>1033</v>
      </c>
    </row>
    <row r="154" hidden="1">
      <c r="A154" s="21"/>
      <c r="B154" s="21" t="s">
        <v>1034</v>
      </c>
      <c r="C154" s="21" t="s">
        <v>117</v>
      </c>
      <c r="D154" s="25">
        <v>90.0</v>
      </c>
      <c r="E154" s="25">
        <v>0.0</v>
      </c>
      <c r="F154" s="25">
        <v>0.0</v>
      </c>
      <c r="G154" s="21" t="s">
        <v>1035</v>
      </c>
    </row>
    <row r="155" hidden="1">
      <c r="A155" s="21"/>
      <c r="B155" s="21" t="s">
        <v>1036</v>
      </c>
      <c r="C155" s="21" t="s">
        <v>87</v>
      </c>
      <c r="D155" s="25">
        <v>90.0</v>
      </c>
      <c r="E155" s="25">
        <v>38.0</v>
      </c>
      <c r="F155" s="25">
        <v>0.0</v>
      </c>
      <c r="G155" s="21" t="s">
        <v>1037</v>
      </c>
    </row>
    <row r="156" hidden="1">
      <c r="A156" s="21"/>
      <c r="B156" s="21" t="s">
        <v>1038</v>
      </c>
      <c r="C156" s="21" t="s">
        <v>87</v>
      </c>
      <c r="D156" s="25">
        <v>90.0</v>
      </c>
      <c r="E156" s="25">
        <v>5.0</v>
      </c>
      <c r="F156" s="25">
        <v>0.0</v>
      </c>
      <c r="G156" s="21" t="s">
        <v>1039</v>
      </c>
    </row>
    <row r="157" hidden="1">
      <c r="A157" s="21"/>
      <c r="B157" s="21" t="s">
        <v>1040</v>
      </c>
      <c r="C157" s="21" t="s">
        <v>87</v>
      </c>
      <c r="D157" s="25">
        <v>90.0</v>
      </c>
      <c r="E157" s="25">
        <v>7.0</v>
      </c>
      <c r="F157" s="25">
        <v>3.37</v>
      </c>
      <c r="G157" s="21" t="s">
        <v>1041</v>
      </c>
    </row>
    <row r="158" hidden="1">
      <c r="A158" s="21"/>
      <c r="B158" s="21" t="s">
        <v>1042</v>
      </c>
      <c r="C158" s="21" t="s">
        <v>90</v>
      </c>
      <c r="D158" s="25">
        <v>90.0</v>
      </c>
      <c r="E158" s="25">
        <v>17.0</v>
      </c>
      <c r="F158" s="25">
        <v>6.11</v>
      </c>
      <c r="G158" s="21" t="s">
        <v>259</v>
      </c>
    </row>
    <row r="159" hidden="1">
      <c r="A159" s="21"/>
      <c r="B159" s="21" t="s">
        <v>1043</v>
      </c>
      <c r="C159" s="21" t="s">
        <v>87</v>
      </c>
      <c r="D159" s="25">
        <v>90.0</v>
      </c>
      <c r="E159" s="25">
        <v>30.0</v>
      </c>
      <c r="F159" s="25">
        <v>5.4</v>
      </c>
      <c r="G159" s="21" t="s">
        <v>124</v>
      </c>
    </row>
    <row r="160" hidden="1">
      <c r="A160" s="21"/>
      <c r="B160" s="21" t="s">
        <v>1044</v>
      </c>
      <c r="C160" s="21" t="s">
        <v>90</v>
      </c>
      <c r="D160" s="25">
        <v>90.0</v>
      </c>
      <c r="E160" s="25">
        <v>20.0</v>
      </c>
      <c r="F160" s="25">
        <v>3.77</v>
      </c>
      <c r="G160" s="21" t="s">
        <v>1045</v>
      </c>
    </row>
    <row r="161" hidden="1">
      <c r="A161" s="21"/>
      <c r="B161" s="21" t="s">
        <v>1046</v>
      </c>
      <c r="C161" s="21" t="s">
        <v>99</v>
      </c>
      <c r="D161" s="25">
        <v>90.0</v>
      </c>
      <c r="E161" s="25">
        <v>26.0</v>
      </c>
      <c r="F161" s="25">
        <v>0.86</v>
      </c>
      <c r="G161" s="21" t="s">
        <v>936</v>
      </c>
    </row>
    <row r="162" hidden="1">
      <c r="A162" s="21"/>
      <c r="B162" s="21" t="s">
        <v>456</v>
      </c>
      <c r="C162" s="21" t="s">
        <v>117</v>
      </c>
      <c r="D162" s="25">
        <v>90.0</v>
      </c>
      <c r="E162" s="25">
        <v>14.0</v>
      </c>
      <c r="F162" s="25">
        <v>0.0</v>
      </c>
      <c r="G162" s="21" t="s">
        <v>457</v>
      </c>
    </row>
    <row r="163" hidden="1">
      <c r="A163" s="21"/>
      <c r="B163" s="21" t="s">
        <v>1047</v>
      </c>
      <c r="C163" s="21" t="s">
        <v>160</v>
      </c>
      <c r="D163" s="25">
        <v>90.0</v>
      </c>
      <c r="E163" s="25">
        <v>14.0</v>
      </c>
      <c r="F163" s="25">
        <v>3.93</v>
      </c>
      <c r="G163" s="21" t="s">
        <v>1048</v>
      </c>
    </row>
    <row r="164" hidden="1">
      <c r="A164" s="21"/>
      <c r="B164" s="21" t="s">
        <v>1049</v>
      </c>
      <c r="C164" s="21" t="s">
        <v>1050</v>
      </c>
      <c r="D164" s="25">
        <v>90.0</v>
      </c>
      <c r="E164" s="25">
        <v>24.0</v>
      </c>
      <c r="F164" s="25">
        <v>7.21</v>
      </c>
      <c r="G164" s="21" t="s">
        <v>147</v>
      </c>
    </row>
    <row r="165" hidden="1">
      <c r="A165" s="21"/>
      <c r="B165" s="21" t="s">
        <v>1051</v>
      </c>
      <c r="C165" s="21" t="s">
        <v>87</v>
      </c>
      <c r="D165" s="25">
        <v>90.0</v>
      </c>
      <c r="E165" s="25">
        <v>5.0</v>
      </c>
      <c r="F165" s="25">
        <v>0.0</v>
      </c>
      <c r="G165" s="21" t="s">
        <v>1052</v>
      </c>
    </row>
    <row r="166" hidden="1">
      <c r="A166" s="21"/>
      <c r="B166" s="21" t="s">
        <v>1053</v>
      </c>
      <c r="C166" s="21" t="s">
        <v>160</v>
      </c>
      <c r="D166" s="25">
        <v>90.0</v>
      </c>
      <c r="E166" s="25">
        <v>32.0</v>
      </c>
      <c r="F166" s="25">
        <v>1.15</v>
      </c>
      <c r="G166" s="21" t="s">
        <v>1054</v>
      </c>
    </row>
    <row r="167" hidden="1">
      <c r="A167" s="21"/>
      <c r="B167" s="21" t="s">
        <v>1055</v>
      </c>
      <c r="C167" s="21" t="s">
        <v>87</v>
      </c>
      <c r="D167" s="25">
        <v>90.0</v>
      </c>
      <c r="E167" s="25">
        <v>29.0</v>
      </c>
      <c r="F167" s="25">
        <v>0.54</v>
      </c>
      <c r="G167" s="21" t="s">
        <v>1056</v>
      </c>
    </row>
    <row r="168" hidden="1">
      <c r="A168" s="21"/>
      <c r="B168" s="21" t="s">
        <v>1057</v>
      </c>
      <c r="C168" s="21" t="s">
        <v>99</v>
      </c>
      <c r="D168" s="25">
        <v>90.0</v>
      </c>
      <c r="E168" s="25">
        <v>33.0</v>
      </c>
      <c r="F168" s="25">
        <v>0.48</v>
      </c>
      <c r="G168" s="21" t="s">
        <v>908</v>
      </c>
    </row>
    <row r="169" hidden="1">
      <c r="A169" s="21"/>
      <c r="B169" s="21" t="s">
        <v>1058</v>
      </c>
      <c r="C169" s="21" t="s">
        <v>117</v>
      </c>
      <c r="D169" s="25">
        <v>90.0</v>
      </c>
      <c r="E169" s="25">
        <v>17.0</v>
      </c>
      <c r="F169" s="25">
        <v>0.93</v>
      </c>
      <c r="G169" s="21" t="s">
        <v>1059</v>
      </c>
    </row>
    <row r="170" hidden="1">
      <c r="A170" s="21"/>
      <c r="B170" s="21" t="s">
        <v>1060</v>
      </c>
      <c r="C170" s="21" t="s">
        <v>90</v>
      </c>
      <c r="D170" s="25">
        <v>90.0</v>
      </c>
      <c r="E170" s="25">
        <v>35.0</v>
      </c>
      <c r="F170" s="25">
        <v>5.8</v>
      </c>
      <c r="G170" s="21" t="s">
        <v>259</v>
      </c>
    </row>
    <row r="171" hidden="1">
      <c r="A171" s="21"/>
      <c r="B171" s="21" t="s">
        <v>1061</v>
      </c>
      <c r="C171" s="21" t="s">
        <v>87</v>
      </c>
      <c r="D171" s="25">
        <v>90.0</v>
      </c>
      <c r="E171" s="25">
        <v>18.0</v>
      </c>
      <c r="F171" s="25">
        <v>7.17</v>
      </c>
      <c r="G171" s="21" t="s">
        <v>188</v>
      </c>
    </row>
    <row r="172" hidden="1">
      <c r="A172" s="21"/>
      <c r="B172" s="21" t="s">
        <v>1062</v>
      </c>
      <c r="C172" s="21" t="s">
        <v>160</v>
      </c>
      <c r="D172" s="25">
        <v>90.0</v>
      </c>
      <c r="E172" s="25">
        <v>19.0</v>
      </c>
      <c r="F172" s="25">
        <v>0.0</v>
      </c>
      <c r="G172" s="21" t="s">
        <v>1063</v>
      </c>
    </row>
    <row r="173" hidden="1">
      <c r="A173" s="21"/>
      <c r="B173" s="21" t="s">
        <v>1064</v>
      </c>
      <c r="C173" s="21" t="s">
        <v>1065</v>
      </c>
      <c r="D173" s="25">
        <v>90.0</v>
      </c>
      <c r="E173" s="25">
        <v>32.0</v>
      </c>
      <c r="F173" s="25">
        <v>3.64</v>
      </c>
      <c r="G173" s="21" t="s">
        <v>1066</v>
      </c>
    </row>
    <row r="174" hidden="1">
      <c r="A174" s="21"/>
      <c r="B174" s="21" t="s">
        <v>1067</v>
      </c>
      <c r="C174" s="21" t="s">
        <v>117</v>
      </c>
      <c r="D174" s="25">
        <v>70.0</v>
      </c>
      <c r="E174" s="25">
        <v>7.0</v>
      </c>
      <c r="F174" s="25">
        <v>0.0</v>
      </c>
      <c r="G174" s="21" t="s">
        <v>1068</v>
      </c>
    </row>
    <row r="175" hidden="1">
      <c r="A175" s="21"/>
      <c r="B175" s="21" t="s">
        <v>1069</v>
      </c>
      <c r="C175" s="21" t="s">
        <v>87</v>
      </c>
      <c r="D175" s="25">
        <v>70.0</v>
      </c>
      <c r="E175" s="25">
        <v>25.0</v>
      </c>
      <c r="F175" s="25">
        <v>5.58</v>
      </c>
      <c r="G175" s="21" t="s">
        <v>147</v>
      </c>
    </row>
    <row r="176" hidden="1">
      <c r="A176" s="21"/>
      <c r="B176" s="21" t="s">
        <v>1070</v>
      </c>
      <c r="C176" s="21" t="s">
        <v>87</v>
      </c>
      <c r="D176" s="25">
        <v>70.0</v>
      </c>
      <c r="E176" s="25">
        <v>25.0</v>
      </c>
      <c r="F176" s="25">
        <v>8.35</v>
      </c>
      <c r="G176" s="21" t="s">
        <v>1071</v>
      </c>
    </row>
    <row r="177" hidden="1">
      <c r="A177" s="21"/>
      <c r="B177" s="21" t="s">
        <v>1072</v>
      </c>
      <c r="C177" s="21" t="s">
        <v>160</v>
      </c>
      <c r="D177" s="25">
        <v>70.0</v>
      </c>
      <c r="E177" s="25">
        <v>11.0</v>
      </c>
      <c r="F177" s="25">
        <v>0.0</v>
      </c>
      <c r="G177" s="21" t="s">
        <v>1073</v>
      </c>
    </row>
    <row r="178" hidden="1">
      <c r="A178" s="21"/>
      <c r="B178" s="21" t="s">
        <v>1074</v>
      </c>
      <c r="C178" s="21" t="s">
        <v>87</v>
      </c>
      <c r="D178" s="25">
        <v>70.0</v>
      </c>
      <c r="E178" s="25">
        <v>13.0</v>
      </c>
      <c r="F178" s="25">
        <v>0.0</v>
      </c>
      <c r="G178" s="21" t="s">
        <v>1075</v>
      </c>
    </row>
    <row r="179" hidden="1">
      <c r="A179" s="21"/>
      <c r="B179" s="21" t="s">
        <v>1076</v>
      </c>
      <c r="C179" s="21" t="s">
        <v>90</v>
      </c>
      <c r="D179" s="25">
        <v>70.0</v>
      </c>
      <c r="E179" s="25">
        <v>22.0</v>
      </c>
      <c r="F179" s="25">
        <v>0.42</v>
      </c>
      <c r="G179" s="21" t="s">
        <v>1077</v>
      </c>
    </row>
    <row r="180" hidden="1">
      <c r="A180" s="21"/>
      <c r="B180" s="21" t="s">
        <v>1078</v>
      </c>
      <c r="C180" s="21" t="s">
        <v>117</v>
      </c>
      <c r="D180" s="25">
        <v>70.0</v>
      </c>
      <c r="E180" s="25">
        <v>36.0</v>
      </c>
      <c r="F180" s="25">
        <v>0.93</v>
      </c>
      <c r="G180" s="21" t="s">
        <v>1079</v>
      </c>
    </row>
    <row r="181" hidden="1">
      <c r="A181" s="21"/>
      <c r="B181" s="21" t="s">
        <v>1080</v>
      </c>
      <c r="C181" s="21" t="s">
        <v>160</v>
      </c>
      <c r="D181" s="25">
        <v>70.0</v>
      </c>
      <c r="E181" s="25">
        <v>0.0</v>
      </c>
      <c r="F181" s="25">
        <v>2.02</v>
      </c>
      <c r="G181" s="21" t="s">
        <v>1081</v>
      </c>
    </row>
    <row r="182" hidden="1">
      <c r="A182" s="21"/>
      <c r="B182" s="21" t="s">
        <v>1082</v>
      </c>
      <c r="C182" s="21" t="s">
        <v>99</v>
      </c>
      <c r="D182" s="25">
        <v>70.0</v>
      </c>
      <c r="E182" s="25">
        <v>24.0</v>
      </c>
      <c r="F182" s="25">
        <v>0.9</v>
      </c>
      <c r="G182" s="21" t="s">
        <v>1083</v>
      </c>
    </row>
    <row r="183" hidden="1">
      <c r="A183" s="21"/>
      <c r="B183" s="21" t="s">
        <v>1084</v>
      </c>
      <c r="C183" s="21" t="s">
        <v>117</v>
      </c>
      <c r="D183" s="25">
        <v>70.0</v>
      </c>
      <c r="E183" s="25">
        <v>2.0</v>
      </c>
      <c r="F183" s="25">
        <v>3.41</v>
      </c>
      <c r="G183" s="21" t="s">
        <v>1085</v>
      </c>
    </row>
    <row r="184" hidden="1">
      <c r="A184" s="21"/>
      <c r="B184" s="21" t="s">
        <v>1086</v>
      </c>
      <c r="C184" s="21" t="s">
        <v>117</v>
      </c>
      <c r="D184" s="25">
        <v>70.0</v>
      </c>
      <c r="E184" s="25">
        <v>8.0</v>
      </c>
      <c r="F184" s="25">
        <v>0.0</v>
      </c>
      <c r="G184" s="21" t="s">
        <v>1087</v>
      </c>
    </row>
    <row r="185" hidden="1">
      <c r="A185" s="21"/>
      <c r="B185" s="21" t="s">
        <v>1088</v>
      </c>
      <c r="C185" s="21" t="s">
        <v>87</v>
      </c>
      <c r="D185" s="25">
        <v>70.0</v>
      </c>
      <c r="E185" s="25">
        <v>22.0</v>
      </c>
      <c r="F185" s="25">
        <v>0.0</v>
      </c>
      <c r="G185" s="21" t="s">
        <v>1089</v>
      </c>
    </row>
    <row r="186" hidden="1">
      <c r="A186" s="21"/>
      <c r="B186" s="21" t="s">
        <v>1090</v>
      </c>
      <c r="C186" s="21" t="s">
        <v>87</v>
      </c>
      <c r="D186" s="25">
        <v>70.0</v>
      </c>
      <c r="E186" s="25">
        <v>30.0</v>
      </c>
      <c r="F186" s="25">
        <v>7.28</v>
      </c>
      <c r="G186" s="21" t="s">
        <v>188</v>
      </c>
    </row>
    <row r="187" hidden="1">
      <c r="A187" s="21"/>
      <c r="B187" s="21" t="s">
        <v>1091</v>
      </c>
      <c r="C187" s="21" t="s">
        <v>117</v>
      </c>
      <c r="D187" s="25">
        <v>70.0</v>
      </c>
      <c r="E187" s="25">
        <v>15.0</v>
      </c>
      <c r="F187" s="25">
        <v>0.0</v>
      </c>
      <c r="G187" s="21" t="s">
        <v>893</v>
      </c>
    </row>
    <row r="188" hidden="1">
      <c r="A188" s="21"/>
      <c r="B188" s="21" t="s">
        <v>1092</v>
      </c>
      <c r="C188" s="21" t="s">
        <v>87</v>
      </c>
      <c r="D188" s="25">
        <v>70.0</v>
      </c>
      <c r="E188" s="25">
        <v>41.0</v>
      </c>
      <c r="F188" s="25">
        <v>4.11</v>
      </c>
      <c r="G188" s="21" t="s">
        <v>1093</v>
      </c>
    </row>
    <row r="189" hidden="1">
      <c r="A189" s="21"/>
      <c r="B189" s="21" t="s">
        <v>1094</v>
      </c>
      <c r="C189" s="21" t="s">
        <v>87</v>
      </c>
      <c r="D189" s="25">
        <v>70.0</v>
      </c>
      <c r="E189" s="25">
        <v>35.0</v>
      </c>
      <c r="F189" s="25">
        <v>3.32</v>
      </c>
      <c r="G189" s="21" t="s">
        <v>1095</v>
      </c>
    </row>
    <row r="190" hidden="1">
      <c r="A190" s="21"/>
      <c r="B190" s="21" t="s">
        <v>1096</v>
      </c>
      <c r="C190" s="21" t="s">
        <v>87</v>
      </c>
      <c r="D190" s="25">
        <v>70.0</v>
      </c>
      <c r="E190" s="25">
        <v>10.0</v>
      </c>
      <c r="F190" s="25">
        <v>7.95</v>
      </c>
      <c r="G190" s="21" t="s">
        <v>259</v>
      </c>
    </row>
    <row r="191" hidden="1">
      <c r="A191" s="21"/>
      <c r="B191" s="21" t="s">
        <v>1097</v>
      </c>
      <c r="C191" s="21" t="s">
        <v>87</v>
      </c>
      <c r="D191" s="25">
        <v>70.0</v>
      </c>
      <c r="E191" s="25">
        <v>9.0</v>
      </c>
      <c r="F191" s="25">
        <v>5.67</v>
      </c>
      <c r="G191" s="21" t="s">
        <v>259</v>
      </c>
    </row>
    <row r="192" hidden="1">
      <c r="A192" s="21"/>
      <c r="B192" s="21" t="s">
        <v>1098</v>
      </c>
      <c r="C192" s="21" t="s">
        <v>87</v>
      </c>
      <c r="D192" s="25">
        <v>70.0</v>
      </c>
      <c r="E192" s="25">
        <v>8.0</v>
      </c>
      <c r="F192" s="25">
        <v>7.78</v>
      </c>
      <c r="G192" s="21" t="s">
        <v>212</v>
      </c>
    </row>
    <row r="193" hidden="1">
      <c r="A193" s="21"/>
      <c r="B193" s="21" t="s">
        <v>1099</v>
      </c>
      <c r="C193" s="21" t="s">
        <v>87</v>
      </c>
      <c r="D193" s="25">
        <v>70.0</v>
      </c>
      <c r="E193" s="25">
        <v>7.0</v>
      </c>
      <c r="F193" s="25">
        <v>5.01</v>
      </c>
      <c r="G193" s="21" t="s">
        <v>147</v>
      </c>
    </row>
    <row r="194" hidden="1">
      <c r="A194" s="21"/>
      <c r="B194" s="21" t="s">
        <v>1100</v>
      </c>
      <c r="C194" s="21" t="s">
        <v>87</v>
      </c>
      <c r="D194" s="25">
        <v>70.0</v>
      </c>
      <c r="E194" s="25">
        <v>36.0</v>
      </c>
      <c r="F194" s="25">
        <v>8.52</v>
      </c>
      <c r="G194" s="21" t="s">
        <v>1033</v>
      </c>
    </row>
    <row r="195" hidden="1">
      <c r="A195" s="21"/>
      <c r="B195" s="21" t="s">
        <v>1101</v>
      </c>
      <c r="C195" s="21" t="s">
        <v>87</v>
      </c>
      <c r="D195" s="25">
        <v>70.0</v>
      </c>
      <c r="E195" s="25">
        <v>34.0</v>
      </c>
      <c r="F195" s="25">
        <v>4.39</v>
      </c>
      <c r="G195" s="21" t="s">
        <v>1102</v>
      </c>
    </row>
    <row r="196" hidden="1">
      <c r="A196" s="21"/>
      <c r="B196" s="21" t="s">
        <v>1103</v>
      </c>
      <c r="C196" s="21" t="s">
        <v>87</v>
      </c>
      <c r="D196" s="25">
        <v>70.0</v>
      </c>
      <c r="E196" s="25">
        <v>9.0</v>
      </c>
      <c r="F196" s="25">
        <v>5.44</v>
      </c>
      <c r="G196" s="21" t="s">
        <v>1104</v>
      </c>
    </row>
    <row r="197" hidden="1">
      <c r="A197" s="21"/>
      <c r="B197" s="21" t="s">
        <v>1105</v>
      </c>
      <c r="C197" s="21" t="s">
        <v>87</v>
      </c>
      <c r="D197" s="25">
        <v>70.0</v>
      </c>
      <c r="E197" s="25">
        <v>19.0</v>
      </c>
      <c r="F197" s="25">
        <v>5.33</v>
      </c>
      <c r="G197" s="21" t="s">
        <v>1106</v>
      </c>
    </row>
    <row r="198" hidden="1">
      <c r="A198" s="21"/>
      <c r="B198" s="21" t="s">
        <v>1107</v>
      </c>
      <c r="C198" s="21" t="s">
        <v>87</v>
      </c>
      <c r="D198" s="25">
        <v>70.0</v>
      </c>
      <c r="E198" s="25">
        <v>24.0</v>
      </c>
      <c r="F198" s="25">
        <v>6.28</v>
      </c>
      <c r="G198" s="21" t="s">
        <v>155</v>
      </c>
    </row>
    <row r="199" hidden="1">
      <c r="A199" s="21"/>
      <c r="B199" s="21" t="s">
        <v>1108</v>
      </c>
      <c r="C199" s="21" t="s">
        <v>117</v>
      </c>
      <c r="D199" s="25">
        <v>70.0</v>
      </c>
      <c r="E199" s="25">
        <v>14.0</v>
      </c>
      <c r="F199" s="25">
        <v>3.41</v>
      </c>
      <c r="G199" s="21" t="s">
        <v>1109</v>
      </c>
    </row>
    <row r="200" hidden="1">
      <c r="A200" s="21"/>
      <c r="B200" s="21" t="s">
        <v>1110</v>
      </c>
      <c r="C200" s="21" t="s">
        <v>99</v>
      </c>
      <c r="D200" s="25">
        <v>70.0</v>
      </c>
      <c r="E200" s="25">
        <v>0.0</v>
      </c>
      <c r="F200" s="25">
        <v>3.7</v>
      </c>
      <c r="G200" s="21" t="s">
        <v>1111</v>
      </c>
    </row>
    <row r="201" hidden="1">
      <c r="A201" s="21"/>
      <c r="B201" s="21" t="s">
        <v>1112</v>
      </c>
      <c r="C201" s="21" t="s">
        <v>117</v>
      </c>
      <c r="D201" s="25">
        <v>70.0</v>
      </c>
      <c r="E201" s="25">
        <v>39.0</v>
      </c>
      <c r="F201" s="25">
        <v>3.12</v>
      </c>
      <c r="G201" s="21" t="s">
        <v>429</v>
      </c>
    </row>
    <row r="202" hidden="1">
      <c r="A202" s="21"/>
      <c r="B202" s="21" t="s">
        <v>1113</v>
      </c>
      <c r="C202" s="21" t="s">
        <v>87</v>
      </c>
      <c r="D202" s="25">
        <v>70.0</v>
      </c>
      <c r="E202" s="25">
        <v>20.0</v>
      </c>
      <c r="F202" s="25">
        <v>10.75</v>
      </c>
      <c r="G202" s="21" t="s">
        <v>147</v>
      </c>
    </row>
    <row r="203" hidden="1">
      <c r="A203" s="21"/>
      <c r="B203" s="21" t="s">
        <v>1114</v>
      </c>
      <c r="C203" s="21" t="s">
        <v>87</v>
      </c>
      <c r="D203" s="25">
        <v>70.0</v>
      </c>
      <c r="E203" s="25">
        <v>16.0</v>
      </c>
      <c r="F203" s="25">
        <v>10.75</v>
      </c>
      <c r="G203" s="21" t="s">
        <v>155</v>
      </c>
    </row>
    <row r="204" hidden="1">
      <c r="A204" s="21"/>
      <c r="B204" s="21" t="s">
        <v>1115</v>
      </c>
      <c r="C204" s="21" t="s">
        <v>87</v>
      </c>
      <c r="D204" s="25">
        <v>70.0</v>
      </c>
      <c r="E204" s="25">
        <v>30.0</v>
      </c>
      <c r="F204" s="25">
        <v>5.78</v>
      </c>
      <c r="G204" s="21" t="s">
        <v>1116</v>
      </c>
    </row>
    <row r="205" hidden="1">
      <c r="A205" s="21"/>
      <c r="B205" s="21" t="s">
        <v>1117</v>
      </c>
      <c r="C205" s="21" t="s">
        <v>87</v>
      </c>
      <c r="D205" s="25">
        <v>70.0</v>
      </c>
      <c r="E205" s="25">
        <v>0.0</v>
      </c>
      <c r="F205" s="25">
        <v>8.69</v>
      </c>
      <c r="G205" s="21" t="s">
        <v>901</v>
      </c>
    </row>
    <row r="206" hidden="1">
      <c r="A206" s="21"/>
      <c r="B206" s="21" t="s">
        <v>1118</v>
      </c>
      <c r="C206" s="21" t="s">
        <v>87</v>
      </c>
      <c r="D206" s="25">
        <v>70.0</v>
      </c>
      <c r="E206" s="25">
        <v>26.0</v>
      </c>
      <c r="F206" s="25">
        <v>1.45</v>
      </c>
      <c r="G206" s="21" t="s">
        <v>1119</v>
      </c>
    </row>
    <row r="207" hidden="1">
      <c r="A207" s="21"/>
      <c r="B207" s="21" t="s">
        <v>1120</v>
      </c>
      <c r="C207" s="21" t="s">
        <v>87</v>
      </c>
      <c r="D207" s="25">
        <v>70.0</v>
      </c>
      <c r="E207" s="25">
        <v>16.0</v>
      </c>
      <c r="F207" s="25">
        <v>0.0</v>
      </c>
      <c r="G207" s="21" t="s">
        <v>886</v>
      </c>
    </row>
    <row r="208" hidden="1">
      <c r="A208" s="21"/>
      <c r="B208" s="21" t="s">
        <v>1121</v>
      </c>
      <c r="C208" s="21" t="s">
        <v>99</v>
      </c>
      <c r="D208" s="25">
        <v>70.0</v>
      </c>
      <c r="E208" s="25">
        <v>0.0</v>
      </c>
      <c r="F208" s="25">
        <v>2.85</v>
      </c>
      <c r="G208" s="21" t="s">
        <v>1122</v>
      </c>
    </row>
    <row r="209" hidden="1">
      <c r="A209" s="21"/>
      <c r="B209" s="21" t="s">
        <v>1123</v>
      </c>
      <c r="C209" s="21" t="s">
        <v>87</v>
      </c>
      <c r="D209" s="25">
        <v>70.0</v>
      </c>
      <c r="E209" s="25">
        <v>23.0</v>
      </c>
      <c r="F209" s="25">
        <v>5.17</v>
      </c>
      <c r="G209" s="21" t="s">
        <v>1124</v>
      </c>
    </row>
    <row r="210" hidden="1">
      <c r="A210" s="21"/>
      <c r="B210" s="21" t="s">
        <v>1125</v>
      </c>
      <c r="C210" s="21" t="s">
        <v>87</v>
      </c>
      <c r="D210" s="25">
        <v>70.0</v>
      </c>
      <c r="E210" s="25">
        <v>9.0</v>
      </c>
      <c r="F210" s="25">
        <v>6.47</v>
      </c>
      <c r="G210" s="21" t="s">
        <v>476</v>
      </c>
    </row>
    <row r="211" hidden="1">
      <c r="A211" s="21"/>
      <c r="B211" s="21" t="s">
        <v>1126</v>
      </c>
      <c r="C211" s="21" t="s">
        <v>87</v>
      </c>
      <c r="D211" s="25">
        <v>70.0</v>
      </c>
      <c r="E211" s="25">
        <v>0.0</v>
      </c>
      <c r="F211" s="25">
        <v>0.0</v>
      </c>
      <c r="G211" s="21" t="s">
        <v>1127</v>
      </c>
    </row>
    <row r="212" hidden="1">
      <c r="A212" s="21"/>
      <c r="B212" s="21" t="s">
        <v>1128</v>
      </c>
      <c r="C212" s="21" t="s">
        <v>117</v>
      </c>
      <c r="D212" s="25">
        <v>70.0</v>
      </c>
      <c r="E212" s="25">
        <v>0.0</v>
      </c>
      <c r="F212" s="25">
        <v>0.0</v>
      </c>
      <c r="G212" s="21" t="s">
        <v>218</v>
      </c>
    </row>
    <row r="213" hidden="1">
      <c r="A213" s="21"/>
      <c r="B213" s="21" t="s">
        <v>1129</v>
      </c>
      <c r="C213" s="21" t="s">
        <v>87</v>
      </c>
      <c r="D213" s="25">
        <v>70.0</v>
      </c>
      <c r="E213" s="25">
        <v>18.0</v>
      </c>
      <c r="F213" s="25">
        <v>4.13</v>
      </c>
      <c r="G213" s="21" t="s">
        <v>276</v>
      </c>
    </row>
    <row r="214" hidden="1">
      <c r="A214" s="21"/>
      <c r="B214" s="21" t="s">
        <v>1130</v>
      </c>
      <c r="C214" s="21" t="s">
        <v>87</v>
      </c>
      <c r="D214" s="25">
        <v>70.0</v>
      </c>
      <c r="E214" s="25">
        <v>24.0</v>
      </c>
      <c r="F214" s="25">
        <v>3.06</v>
      </c>
      <c r="G214" s="21" t="s">
        <v>1131</v>
      </c>
    </row>
    <row r="215" hidden="1">
      <c r="A215" s="21"/>
      <c r="B215" s="21" t="s">
        <v>1132</v>
      </c>
      <c r="C215" s="21" t="s">
        <v>87</v>
      </c>
      <c r="D215" s="25">
        <v>70.0</v>
      </c>
      <c r="E215" s="25">
        <v>41.0</v>
      </c>
      <c r="F215" s="25">
        <v>1.22</v>
      </c>
      <c r="G215" s="21" t="s">
        <v>429</v>
      </c>
    </row>
    <row r="216" hidden="1">
      <c r="A216" s="21"/>
      <c r="B216" s="21" t="s">
        <v>1133</v>
      </c>
      <c r="C216" s="21" t="s">
        <v>959</v>
      </c>
      <c r="D216" s="25">
        <v>70.0</v>
      </c>
      <c r="E216" s="25">
        <v>31.0</v>
      </c>
      <c r="F216" s="25">
        <v>6.76</v>
      </c>
      <c r="G216" s="21" t="s">
        <v>106</v>
      </c>
    </row>
    <row r="217" hidden="1">
      <c r="A217" s="21"/>
      <c r="B217" s="21" t="s">
        <v>1134</v>
      </c>
      <c r="C217" s="21" t="s">
        <v>117</v>
      </c>
      <c r="D217" s="25">
        <v>70.0</v>
      </c>
      <c r="E217" s="25">
        <v>3.0</v>
      </c>
      <c r="F217" s="25">
        <v>2.89</v>
      </c>
      <c r="G217" s="21" t="s">
        <v>437</v>
      </c>
    </row>
    <row r="218" hidden="1">
      <c r="A218" s="21"/>
      <c r="B218" s="21" t="s">
        <v>1135</v>
      </c>
      <c r="C218" s="21" t="s">
        <v>87</v>
      </c>
      <c r="D218" s="25">
        <v>70.0</v>
      </c>
      <c r="E218" s="25">
        <v>6.0</v>
      </c>
      <c r="F218" s="25">
        <v>0.74</v>
      </c>
      <c r="G218" s="21" t="s">
        <v>1136</v>
      </c>
    </row>
    <row r="219" hidden="1">
      <c r="A219" s="21"/>
      <c r="B219" s="21" t="s">
        <v>1137</v>
      </c>
      <c r="C219" s="21" t="s">
        <v>87</v>
      </c>
      <c r="D219" s="25">
        <v>70.0</v>
      </c>
      <c r="E219" s="25">
        <v>43.0</v>
      </c>
      <c r="F219" s="25">
        <v>7.4</v>
      </c>
      <c r="G219" s="21" t="s">
        <v>1138</v>
      </c>
    </row>
    <row r="220" hidden="1">
      <c r="A220" s="21"/>
      <c r="B220" s="21" t="s">
        <v>1139</v>
      </c>
      <c r="C220" s="21" t="s">
        <v>117</v>
      </c>
      <c r="D220" s="25">
        <v>70.0</v>
      </c>
      <c r="E220" s="25">
        <v>8.0</v>
      </c>
      <c r="F220" s="25">
        <v>4.84</v>
      </c>
      <c r="G220" s="21" t="s">
        <v>1140</v>
      </c>
    </row>
    <row r="221" hidden="1">
      <c r="A221" s="21"/>
      <c r="B221" s="21" t="s">
        <v>1141</v>
      </c>
      <c r="C221" s="21" t="s">
        <v>117</v>
      </c>
      <c r="D221" s="25">
        <v>70.0</v>
      </c>
      <c r="E221" s="25">
        <v>18.0</v>
      </c>
      <c r="F221" s="25">
        <v>3.7</v>
      </c>
      <c r="G221" s="21" t="s">
        <v>1142</v>
      </c>
    </row>
    <row r="222" hidden="1">
      <c r="A222" s="21"/>
      <c r="B222" s="21" t="s">
        <v>1143</v>
      </c>
      <c r="C222" s="21" t="s">
        <v>117</v>
      </c>
      <c r="D222" s="25">
        <v>70.0</v>
      </c>
      <c r="E222" s="25">
        <v>12.0</v>
      </c>
      <c r="F222" s="25">
        <v>5.87</v>
      </c>
      <c r="G222" s="21" t="s">
        <v>1144</v>
      </c>
    </row>
    <row r="223" hidden="1">
      <c r="A223" s="21"/>
      <c r="B223" s="21" t="s">
        <v>1145</v>
      </c>
      <c r="C223" s="21" t="s">
        <v>99</v>
      </c>
      <c r="D223" s="25">
        <v>70.0</v>
      </c>
      <c r="E223" s="25">
        <v>31.0</v>
      </c>
      <c r="F223" s="25">
        <v>0.9</v>
      </c>
      <c r="G223" s="21" t="s">
        <v>1146</v>
      </c>
    </row>
    <row r="224" hidden="1">
      <c r="A224" s="21"/>
      <c r="B224" s="21" t="s">
        <v>1147</v>
      </c>
      <c r="C224" s="21" t="s">
        <v>87</v>
      </c>
      <c r="D224" s="25">
        <v>70.0</v>
      </c>
      <c r="E224" s="25">
        <v>27.0</v>
      </c>
      <c r="F224" s="25">
        <v>2.02</v>
      </c>
      <c r="G224" s="21" t="s">
        <v>1148</v>
      </c>
    </row>
    <row r="225" hidden="1">
      <c r="A225" s="21"/>
      <c r="B225" s="21" t="s">
        <v>1149</v>
      </c>
      <c r="C225" s="21" t="s">
        <v>87</v>
      </c>
      <c r="D225" s="25">
        <v>70.0</v>
      </c>
      <c r="E225" s="25">
        <v>32.0</v>
      </c>
      <c r="F225" s="25">
        <v>5.66</v>
      </c>
      <c r="G225" s="21" t="s">
        <v>1150</v>
      </c>
    </row>
    <row r="226" hidden="1">
      <c r="A226" s="21"/>
      <c r="B226" s="21" t="s">
        <v>1151</v>
      </c>
      <c r="C226" s="21" t="s">
        <v>160</v>
      </c>
      <c r="D226" s="25">
        <v>70.0</v>
      </c>
      <c r="E226" s="25">
        <v>0.0</v>
      </c>
      <c r="F226" s="25">
        <v>0.0</v>
      </c>
      <c r="G226" s="21" t="s">
        <v>1152</v>
      </c>
    </row>
    <row r="227" hidden="1">
      <c r="A227" s="21"/>
      <c r="B227" s="21" t="s">
        <v>458</v>
      </c>
      <c r="C227" s="21" t="s">
        <v>117</v>
      </c>
      <c r="D227" s="25">
        <v>70.0</v>
      </c>
      <c r="E227" s="25">
        <v>6.0</v>
      </c>
      <c r="F227" s="25">
        <v>3.57</v>
      </c>
      <c r="G227" s="21" t="s">
        <v>218</v>
      </c>
    </row>
    <row r="228" hidden="1">
      <c r="A228" s="21"/>
      <c r="B228" s="21" t="s">
        <v>459</v>
      </c>
      <c r="C228" s="21" t="s">
        <v>117</v>
      </c>
      <c r="D228" s="25">
        <v>70.0</v>
      </c>
      <c r="E228" s="25">
        <v>7.0</v>
      </c>
      <c r="F228" s="25">
        <v>0.69</v>
      </c>
      <c r="G228" s="21" t="s">
        <v>130</v>
      </c>
    </row>
    <row r="229" hidden="1">
      <c r="A229" s="21"/>
      <c r="B229" s="21" t="s">
        <v>460</v>
      </c>
      <c r="C229" s="21" t="s">
        <v>117</v>
      </c>
      <c r="D229" s="25">
        <v>70.0</v>
      </c>
      <c r="E229" s="25">
        <v>40.0</v>
      </c>
      <c r="F229" s="25">
        <v>1.13</v>
      </c>
      <c r="G229" s="21" t="s">
        <v>461</v>
      </c>
    </row>
    <row r="230" hidden="1">
      <c r="A230" s="21"/>
      <c r="B230" s="21" t="s">
        <v>1153</v>
      </c>
      <c r="C230" s="21" t="s">
        <v>87</v>
      </c>
      <c r="D230" s="25">
        <v>70.0</v>
      </c>
      <c r="E230" s="25">
        <v>11.0</v>
      </c>
      <c r="F230" s="25">
        <v>5.37</v>
      </c>
      <c r="G230" s="21" t="s">
        <v>155</v>
      </c>
    </row>
    <row r="231" hidden="1">
      <c r="A231" s="21"/>
      <c r="B231" s="21" t="s">
        <v>1154</v>
      </c>
      <c r="C231" s="21" t="s">
        <v>1065</v>
      </c>
      <c r="D231" s="25">
        <v>70.0</v>
      </c>
      <c r="E231" s="25">
        <v>21.0</v>
      </c>
      <c r="F231" s="25">
        <v>1.19</v>
      </c>
      <c r="G231" s="21" t="s">
        <v>1155</v>
      </c>
    </row>
    <row r="232" hidden="1">
      <c r="A232" s="21"/>
      <c r="B232" s="21" t="s">
        <v>1156</v>
      </c>
      <c r="C232" s="21" t="s">
        <v>117</v>
      </c>
      <c r="D232" s="25">
        <v>70.0</v>
      </c>
      <c r="E232" s="25">
        <v>10.0</v>
      </c>
      <c r="F232" s="25">
        <v>5.32</v>
      </c>
      <c r="G232" s="21" t="s">
        <v>476</v>
      </c>
    </row>
    <row r="233" hidden="1">
      <c r="A233" s="21"/>
      <c r="B233" s="21" t="s">
        <v>1157</v>
      </c>
      <c r="C233" s="21" t="s">
        <v>87</v>
      </c>
      <c r="D233" s="25">
        <v>70.0</v>
      </c>
      <c r="E233" s="25">
        <v>0.0</v>
      </c>
      <c r="F233" s="25">
        <v>0.0</v>
      </c>
      <c r="G233" s="21" t="s">
        <v>1158</v>
      </c>
    </row>
    <row r="234" hidden="1">
      <c r="A234" s="21"/>
      <c r="B234" s="21" t="s">
        <v>1159</v>
      </c>
      <c r="C234" s="21" t="s">
        <v>160</v>
      </c>
      <c r="D234" s="25">
        <v>70.0</v>
      </c>
      <c r="E234" s="25">
        <v>0.0</v>
      </c>
      <c r="F234" s="25">
        <v>0.0</v>
      </c>
      <c r="G234" s="21" t="s">
        <v>1160</v>
      </c>
    </row>
    <row r="235" hidden="1">
      <c r="A235" s="21"/>
      <c r="B235" s="21" t="s">
        <v>1161</v>
      </c>
      <c r="C235" s="21" t="s">
        <v>87</v>
      </c>
      <c r="D235" s="25">
        <v>70.0</v>
      </c>
      <c r="E235" s="25">
        <v>22.0</v>
      </c>
      <c r="F235" s="25">
        <v>3.03</v>
      </c>
      <c r="G235" s="21" t="s">
        <v>1162</v>
      </c>
    </row>
    <row r="236" hidden="1">
      <c r="A236" s="21"/>
      <c r="B236" s="21" t="s">
        <v>1163</v>
      </c>
      <c r="C236" s="21" t="s">
        <v>99</v>
      </c>
      <c r="D236" s="25">
        <v>70.0</v>
      </c>
      <c r="E236" s="25">
        <v>3.0</v>
      </c>
      <c r="F236" s="25">
        <v>5.74</v>
      </c>
      <c r="G236" s="21" t="s">
        <v>1155</v>
      </c>
    </row>
    <row r="237" hidden="1">
      <c r="A237" s="21"/>
      <c r="B237" s="21" t="s">
        <v>1164</v>
      </c>
      <c r="C237" s="21" t="s">
        <v>117</v>
      </c>
      <c r="D237" s="25">
        <v>70.0</v>
      </c>
      <c r="E237" s="25">
        <v>20.0</v>
      </c>
      <c r="F237" s="25">
        <v>3.53</v>
      </c>
      <c r="G237" s="21" t="s">
        <v>429</v>
      </c>
    </row>
    <row r="238" hidden="1">
      <c r="A238" s="21"/>
      <c r="B238" s="21" t="s">
        <v>1165</v>
      </c>
      <c r="C238" s="21" t="s">
        <v>90</v>
      </c>
      <c r="D238" s="25">
        <v>70.0</v>
      </c>
      <c r="E238" s="25">
        <v>19.0</v>
      </c>
      <c r="F238" s="25">
        <v>5.42</v>
      </c>
      <c r="G238" s="21" t="s">
        <v>259</v>
      </c>
    </row>
    <row r="239" hidden="1">
      <c r="A239" s="21"/>
      <c r="B239" s="21" t="s">
        <v>1166</v>
      </c>
      <c r="C239" s="21" t="s">
        <v>87</v>
      </c>
      <c r="D239" s="25">
        <v>70.0</v>
      </c>
      <c r="E239" s="25">
        <v>35.0</v>
      </c>
      <c r="F239" s="25">
        <v>4.38</v>
      </c>
      <c r="G239" s="21" t="s">
        <v>988</v>
      </c>
    </row>
    <row r="240" hidden="1">
      <c r="A240" s="21"/>
      <c r="B240" s="21" t="s">
        <v>1167</v>
      </c>
      <c r="C240" s="21" t="s">
        <v>99</v>
      </c>
      <c r="D240" s="25">
        <v>70.0</v>
      </c>
      <c r="E240" s="25">
        <v>20.0</v>
      </c>
      <c r="F240" s="25">
        <v>1.89</v>
      </c>
      <c r="G240" s="21" t="s">
        <v>1168</v>
      </c>
    </row>
    <row r="241" hidden="1">
      <c r="A241" s="21"/>
      <c r="B241" s="21" t="s">
        <v>1169</v>
      </c>
      <c r="C241" s="21" t="s">
        <v>117</v>
      </c>
      <c r="D241" s="25">
        <v>70.0</v>
      </c>
      <c r="E241" s="25">
        <v>27.0</v>
      </c>
      <c r="F241" s="25">
        <v>3.26</v>
      </c>
      <c r="G241" s="21" t="s">
        <v>1170</v>
      </c>
    </row>
    <row r="242" hidden="1">
      <c r="A242" s="21"/>
      <c r="B242" s="21" t="s">
        <v>1171</v>
      </c>
      <c r="C242" s="21" t="s">
        <v>117</v>
      </c>
      <c r="D242" s="25">
        <v>70.0</v>
      </c>
      <c r="E242" s="25">
        <v>21.0</v>
      </c>
      <c r="F242" s="25">
        <v>0.93</v>
      </c>
      <c r="G242" s="21" t="s">
        <v>450</v>
      </c>
    </row>
    <row r="243" hidden="1">
      <c r="A243" s="21"/>
      <c r="B243" s="21" t="s">
        <v>1172</v>
      </c>
      <c r="C243" s="21" t="s">
        <v>117</v>
      </c>
      <c r="D243" s="25">
        <v>70.0</v>
      </c>
      <c r="E243" s="25">
        <v>19.0</v>
      </c>
      <c r="F243" s="25">
        <v>0.0</v>
      </c>
      <c r="G243" s="21" t="s">
        <v>476</v>
      </c>
    </row>
    <row r="244" hidden="1">
      <c r="A244" s="21"/>
      <c r="B244" s="21" t="s">
        <v>1173</v>
      </c>
      <c r="C244" s="21" t="s">
        <v>160</v>
      </c>
      <c r="D244" s="25">
        <v>70.0</v>
      </c>
      <c r="E244" s="25">
        <v>18.0</v>
      </c>
      <c r="F244" s="25">
        <v>3.7</v>
      </c>
      <c r="G244" s="21" t="s">
        <v>1174</v>
      </c>
    </row>
    <row r="245" hidden="1">
      <c r="A245" s="21"/>
      <c r="B245" s="21" t="s">
        <v>1175</v>
      </c>
      <c r="C245" s="21" t="s">
        <v>87</v>
      </c>
      <c r="D245" s="25">
        <v>70.0</v>
      </c>
      <c r="E245" s="25">
        <v>28.0</v>
      </c>
      <c r="F245" s="25">
        <v>0.0</v>
      </c>
      <c r="G245" s="21" t="s">
        <v>1176</v>
      </c>
    </row>
    <row r="246" hidden="1">
      <c r="A246" s="21"/>
      <c r="B246" s="21" t="s">
        <v>1177</v>
      </c>
      <c r="C246" s="21" t="s">
        <v>117</v>
      </c>
      <c r="D246" s="25">
        <v>70.0</v>
      </c>
      <c r="E246" s="25">
        <v>2.0</v>
      </c>
      <c r="F246" s="25">
        <v>3.31</v>
      </c>
      <c r="G246" s="21" t="s">
        <v>444</v>
      </c>
    </row>
    <row r="247" hidden="1">
      <c r="A247" s="21"/>
      <c r="B247" s="21" t="s">
        <v>1178</v>
      </c>
      <c r="C247" s="21" t="s">
        <v>99</v>
      </c>
      <c r="D247" s="25">
        <v>70.0</v>
      </c>
      <c r="E247" s="25">
        <v>30.0</v>
      </c>
      <c r="F247" s="25">
        <v>0.54</v>
      </c>
      <c r="G247" s="21" t="s">
        <v>1179</v>
      </c>
    </row>
    <row r="248" hidden="1">
      <c r="A248" s="21"/>
      <c r="B248" s="21" t="s">
        <v>1180</v>
      </c>
      <c r="C248" s="21" t="s">
        <v>87</v>
      </c>
      <c r="D248" s="25">
        <v>70.0</v>
      </c>
      <c r="E248" s="25">
        <v>31.0</v>
      </c>
      <c r="F248" s="25">
        <v>2.76</v>
      </c>
      <c r="G248" s="21" t="s">
        <v>972</v>
      </c>
    </row>
    <row r="249" hidden="1">
      <c r="A249" s="21"/>
      <c r="B249" s="21" t="s">
        <v>1181</v>
      </c>
      <c r="C249" s="21" t="s">
        <v>87</v>
      </c>
      <c r="D249" s="25">
        <v>70.0</v>
      </c>
      <c r="E249" s="25">
        <v>23.0</v>
      </c>
      <c r="F249" s="25">
        <v>3.82</v>
      </c>
      <c r="G249" s="21" t="s">
        <v>1127</v>
      </c>
    </row>
    <row r="250" hidden="1">
      <c r="A250" s="21"/>
      <c r="B250" s="21" t="s">
        <v>1182</v>
      </c>
      <c r="C250" s="21" t="s">
        <v>117</v>
      </c>
      <c r="D250" s="25">
        <v>70.0</v>
      </c>
      <c r="E250" s="25">
        <v>18.0</v>
      </c>
      <c r="F250" s="25">
        <v>0.0</v>
      </c>
      <c r="G250" s="21" t="s">
        <v>1183</v>
      </c>
    </row>
    <row r="251" hidden="1">
      <c r="A251" s="21"/>
      <c r="B251" s="21" t="s">
        <v>1184</v>
      </c>
      <c r="C251" s="21" t="s">
        <v>160</v>
      </c>
      <c r="D251" s="25">
        <v>50.0</v>
      </c>
      <c r="E251" s="25">
        <v>23.0</v>
      </c>
      <c r="F251" s="25">
        <v>1.1</v>
      </c>
      <c r="G251" s="21" t="s">
        <v>111</v>
      </c>
    </row>
    <row r="252" hidden="1">
      <c r="A252" s="21"/>
      <c r="B252" s="21" t="s">
        <v>1185</v>
      </c>
      <c r="C252" s="21" t="s">
        <v>87</v>
      </c>
      <c r="D252" s="25">
        <v>50.0</v>
      </c>
      <c r="E252" s="25">
        <v>1.0</v>
      </c>
      <c r="F252" s="25">
        <v>0.0</v>
      </c>
      <c r="G252" s="21" t="s">
        <v>1027</v>
      </c>
    </row>
    <row r="253" hidden="1">
      <c r="A253" s="21"/>
      <c r="B253" s="21" t="s">
        <v>1186</v>
      </c>
      <c r="C253" s="21" t="s">
        <v>117</v>
      </c>
      <c r="D253" s="25">
        <v>50.0</v>
      </c>
      <c r="E253" s="25">
        <v>0.0</v>
      </c>
      <c r="F253" s="25">
        <v>3.45</v>
      </c>
      <c r="G253" s="21" t="s">
        <v>1187</v>
      </c>
    </row>
    <row r="254" hidden="1">
      <c r="A254" s="21"/>
      <c r="B254" s="21" t="s">
        <v>1188</v>
      </c>
      <c r="C254" s="21" t="s">
        <v>87</v>
      </c>
      <c r="D254" s="25">
        <v>50.0</v>
      </c>
      <c r="E254" s="25">
        <v>7.0</v>
      </c>
      <c r="F254" s="25">
        <v>0.0</v>
      </c>
      <c r="G254" s="21" t="s">
        <v>1063</v>
      </c>
    </row>
    <row r="255" hidden="1">
      <c r="A255" s="21"/>
      <c r="B255" s="21" t="s">
        <v>1189</v>
      </c>
      <c r="C255" s="21" t="s">
        <v>87</v>
      </c>
      <c r="D255" s="25">
        <v>50.0</v>
      </c>
      <c r="E255" s="25">
        <v>28.0</v>
      </c>
      <c r="F255" s="25">
        <v>7.02</v>
      </c>
      <c r="G255" s="21" t="s">
        <v>158</v>
      </c>
    </row>
    <row r="256" hidden="1">
      <c r="A256" s="21"/>
      <c r="B256" s="21" t="s">
        <v>1190</v>
      </c>
      <c r="C256" s="21" t="s">
        <v>87</v>
      </c>
      <c r="D256" s="25">
        <v>50.0</v>
      </c>
      <c r="E256" s="25">
        <v>42.0</v>
      </c>
      <c r="F256" s="25">
        <v>0.0</v>
      </c>
      <c r="G256" s="21" t="s">
        <v>1191</v>
      </c>
    </row>
    <row r="257" hidden="1">
      <c r="A257" s="21"/>
      <c r="B257" s="21" t="s">
        <v>1192</v>
      </c>
      <c r="C257" s="21" t="s">
        <v>87</v>
      </c>
      <c r="D257" s="25">
        <v>50.0</v>
      </c>
      <c r="E257" s="25">
        <v>32.0</v>
      </c>
      <c r="F257" s="25">
        <v>4.76</v>
      </c>
      <c r="G257" s="21" t="s">
        <v>147</v>
      </c>
    </row>
    <row r="258" hidden="1">
      <c r="A258" s="21"/>
      <c r="B258" s="21" t="s">
        <v>1193</v>
      </c>
      <c r="C258" s="21" t="s">
        <v>117</v>
      </c>
      <c r="D258" s="25">
        <v>50.0</v>
      </c>
      <c r="E258" s="25">
        <v>7.0</v>
      </c>
      <c r="F258" s="25">
        <v>0.93</v>
      </c>
      <c r="G258" s="21" t="s">
        <v>450</v>
      </c>
    </row>
    <row r="259" hidden="1">
      <c r="A259" s="21"/>
      <c r="B259" s="21" t="s">
        <v>1194</v>
      </c>
      <c r="C259" s="21" t="s">
        <v>87</v>
      </c>
      <c r="D259" s="25">
        <v>50.0</v>
      </c>
      <c r="E259" s="25">
        <v>0.0</v>
      </c>
      <c r="F259" s="25">
        <v>7.22</v>
      </c>
      <c r="G259" s="21" t="s">
        <v>1195</v>
      </c>
    </row>
    <row r="260" hidden="1">
      <c r="A260" s="21"/>
      <c r="B260" s="21" t="s">
        <v>1196</v>
      </c>
      <c r="C260" s="21" t="s">
        <v>87</v>
      </c>
      <c r="D260" s="25">
        <v>50.0</v>
      </c>
      <c r="E260" s="25">
        <v>2.0</v>
      </c>
      <c r="F260" s="25">
        <v>6.98</v>
      </c>
      <c r="G260" s="21" t="s">
        <v>1197</v>
      </c>
    </row>
    <row r="261" hidden="1">
      <c r="A261" s="21"/>
      <c r="B261" s="21" t="s">
        <v>1198</v>
      </c>
      <c r="C261" s="21" t="s">
        <v>117</v>
      </c>
      <c r="D261" s="25">
        <v>50.0</v>
      </c>
      <c r="E261" s="25">
        <v>2.0</v>
      </c>
      <c r="F261" s="25">
        <v>2.85</v>
      </c>
      <c r="G261" s="21" t="s">
        <v>228</v>
      </c>
    </row>
    <row r="262" hidden="1">
      <c r="A262" s="21"/>
      <c r="B262" s="21" t="s">
        <v>1199</v>
      </c>
      <c r="C262" s="21" t="s">
        <v>90</v>
      </c>
      <c r="D262" s="25">
        <v>50.0</v>
      </c>
      <c r="E262" s="25">
        <v>10.0</v>
      </c>
      <c r="F262" s="25">
        <v>7.8</v>
      </c>
      <c r="G262" s="21" t="s">
        <v>97</v>
      </c>
    </row>
    <row r="263" hidden="1">
      <c r="A263" s="21"/>
      <c r="B263" s="21" t="s">
        <v>1200</v>
      </c>
      <c r="C263" s="21" t="s">
        <v>90</v>
      </c>
      <c r="D263" s="25">
        <v>50.0</v>
      </c>
      <c r="E263" s="25">
        <v>29.0</v>
      </c>
      <c r="F263" s="25">
        <v>7.91</v>
      </c>
      <c r="G263" s="21" t="s">
        <v>259</v>
      </c>
    </row>
    <row r="264" hidden="1">
      <c r="A264" s="21"/>
      <c r="B264" s="21" t="s">
        <v>1201</v>
      </c>
      <c r="C264" s="21" t="s">
        <v>87</v>
      </c>
      <c r="D264" s="25">
        <v>50.0</v>
      </c>
      <c r="E264" s="25">
        <v>17.0</v>
      </c>
      <c r="F264" s="25">
        <v>3.38</v>
      </c>
      <c r="G264" s="21" t="s">
        <v>1195</v>
      </c>
    </row>
    <row r="265" hidden="1">
      <c r="A265" s="21"/>
      <c r="B265" s="21" t="s">
        <v>1202</v>
      </c>
      <c r="C265" s="21" t="s">
        <v>87</v>
      </c>
      <c r="D265" s="25">
        <v>50.0</v>
      </c>
      <c r="E265" s="25">
        <v>33.0</v>
      </c>
      <c r="F265" s="25">
        <v>9.24</v>
      </c>
      <c r="G265" s="21" t="s">
        <v>948</v>
      </c>
    </row>
    <row r="266" hidden="1">
      <c r="A266" s="21"/>
      <c r="B266" s="21" t="s">
        <v>1203</v>
      </c>
      <c r="C266" s="21" t="s">
        <v>90</v>
      </c>
      <c r="D266" s="25">
        <v>50.0</v>
      </c>
      <c r="E266" s="25">
        <v>36.0</v>
      </c>
      <c r="F266" s="25">
        <v>0.75</v>
      </c>
      <c r="G266" s="21" t="s">
        <v>111</v>
      </c>
    </row>
    <row r="267" hidden="1">
      <c r="A267" s="21"/>
      <c r="B267" s="21" t="s">
        <v>1204</v>
      </c>
      <c r="C267" s="21" t="s">
        <v>99</v>
      </c>
      <c r="D267" s="25">
        <v>50.0</v>
      </c>
      <c r="E267" s="25">
        <v>44.0</v>
      </c>
      <c r="F267" s="25">
        <v>0.0</v>
      </c>
      <c r="G267" s="21" t="s">
        <v>1205</v>
      </c>
    </row>
    <row r="268" hidden="1">
      <c r="A268" s="21"/>
      <c r="B268" s="21" t="s">
        <v>1206</v>
      </c>
      <c r="C268" s="21" t="s">
        <v>117</v>
      </c>
      <c r="D268" s="25">
        <v>50.0</v>
      </c>
      <c r="E268" s="25">
        <v>13.0</v>
      </c>
      <c r="F268" s="25">
        <v>0.0</v>
      </c>
      <c r="G268" s="21" t="s">
        <v>1039</v>
      </c>
    </row>
    <row r="269" hidden="1">
      <c r="A269" s="21"/>
      <c r="B269" s="21" t="s">
        <v>1207</v>
      </c>
      <c r="C269" s="21" t="s">
        <v>99</v>
      </c>
      <c r="D269" s="25">
        <v>50.0</v>
      </c>
      <c r="E269" s="25">
        <v>20.0</v>
      </c>
      <c r="F269" s="25">
        <v>0.65</v>
      </c>
      <c r="G269" s="21" t="s">
        <v>1208</v>
      </c>
    </row>
    <row r="270" hidden="1">
      <c r="A270" s="21"/>
      <c r="B270" s="21" t="s">
        <v>1209</v>
      </c>
      <c r="C270" s="21" t="s">
        <v>87</v>
      </c>
      <c r="D270" s="25">
        <v>50.0</v>
      </c>
      <c r="E270" s="25">
        <v>24.0</v>
      </c>
      <c r="F270" s="25">
        <v>8.92</v>
      </c>
      <c r="G270" s="21" t="s">
        <v>948</v>
      </c>
    </row>
    <row r="271" hidden="1">
      <c r="A271" s="21"/>
      <c r="B271" s="21" t="s">
        <v>1210</v>
      </c>
      <c r="C271" s="21" t="s">
        <v>87</v>
      </c>
      <c r="D271" s="25">
        <v>50.0</v>
      </c>
      <c r="E271" s="25">
        <v>33.0</v>
      </c>
      <c r="F271" s="25">
        <v>4.17</v>
      </c>
      <c r="G271" s="21" t="s">
        <v>905</v>
      </c>
    </row>
    <row r="272" hidden="1">
      <c r="A272" s="21"/>
      <c r="B272" s="21" t="s">
        <v>1211</v>
      </c>
      <c r="C272" s="21" t="s">
        <v>87</v>
      </c>
      <c r="D272" s="25">
        <v>50.0</v>
      </c>
      <c r="E272" s="25">
        <v>23.0</v>
      </c>
      <c r="F272" s="25">
        <v>8.8</v>
      </c>
      <c r="G272" s="21" t="s">
        <v>1212</v>
      </c>
    </row>
    <row r="273" hidden="1">
      <c r="A273" s="21"/>
      <c r="B273" s="21" t="s">
        <v>1213</v>
      </c>
      <c r="C273" s="21" t="s">
        <v>117</v>
      </c>
      <c r="D273" s="25">
        <v>50.0</v>
      </c>
      <c r="E273" s="25">
        <v>4.0</v>
      </c>
      <c r="F273" s="25">
        <v>3.58</v>
      </c>
      <c r="G273" s="21" t="s">
        <v>1214</v>
      </c>
    </row>
    <row r="274" hidden="1">
      <c r="A274" s="21"/>
      <c r="B274" s="21" t="s">
        <v>1215</v>
      </c>
      <c r="C274" s="21" t="s">
        <v>117</v>
      </c>
      <c r="D274" s="25">
        <v>50.0</v>
      </c>
      <c r="E274" s="25">
        <v>16.0</v>
      </c>
      <c r="F274" s="25">
        <v>0.0</v>
      </c>
      <c r="G274" s="21" t="s">
        <v>1191</v>
      </c>
    </row>
    <row r="275" hidden="1">
      <c r="A275" s="21"/>
      <c r="B275" s="21" t="s">
        <v>1216</v>
      </c>
      <c r="C275" s="21" t="s">
        <v>87</v>
      </c>
      <c r="D275" s="25">
        <v>50.0</v>
      </c>
      <c r="E275" s="25">
        <v>3.0</v>
      </c>
      <c r="F275" s="25">
        <v>7.51</v>
      </c>
      <c r="G275" s="21" t="s">
        <v>1217</v>
      </c>
    </row>
    <row r="276" hidden="1">
      <c r="A276" s="21"/>
      <c r="B276" s="21" t="s">
        <v>1218</v>
      </c>
      <c r="C276" s="21" t="s">
        <v>90</v>
      </c>
      <c r="D276" s="25">
        <v>50.0</v>
      </c>
      <c r="E276" s="25">
        <v>25.0</v>
      </c>
      <c r="F276" s="25">
        <v>4.74</v>
      </c>
      <c r="G276" s="21" t="s">
        <v>259</v>
      </c>
    </row>
    <row r="277" hidden="1">
      <c r="A277" s="21"/>
      <c r="B277" s="21" t="s">
        <v>1219</v>
      </c>
      <c r="C277" s="21" t="s">
        <v>87</v>
      </c>
      <c r="D277" s="25">
        <v>50.0</v>
      </c>
      <c r="E277" s="25">
        <v>31.0</v>
      </c>
      <c r="F277" s="25">
        <v>5.04</v>
      </c>
      <c r="G277" s="21" t="s">
        <v>1220</v>
      </c>
    </row>
    <row r="278" hidden="1">
      <c r="A278" s="21"/>
      <c r="B278" s="21" t="s">
        <v>1221</v>
      </c>
      <c r="C278" s="21" t="s">
        <v>87</v>
      </c>
      <c r="D278" s="25">
        <v>50.0</v>
      </c>
      <c r="E278" s="25">
        <v>1.0</v>
      </c>
      <c r="F278" s="25">
        <v>3.33</v>
      </c>
      <c r="G278" s="21" t="s">
        <v>155</v>
      </c>
    </row>
    <row r="279" hidden="1">
      <c r="A279" s="21"/>
      <c r="B279" s="21" t="s">
        <v>1222</v>
      </c>
      <c r="C279" s="21" t="s">
        <v>87</v>
      </c>
      <c r="D279" s="25">
        <v>50.0</v>
      </c>
      <c r="E279" s="25">
        <v>4.0</v>
      </c>
      <c r="F279" s="25">
        <v>3.33</v>
      </c>
      <c r="G279" s="21" t="s">
        <v>155</v>
      </c>
    </row>
    <row r="280" hidden="1">
      <c r="A280" s="21"/>
      <c r="B280" s="21" t="s">
        <v>1223</v>
      </c>
      <c r="C280" s="21" t="s">
        <v>87</v>
      </c>
      <c r="D280" s="25">
        <v>50.0</v>
      </c>
      <c r="E280" s="25">
        <v>5.0</v>
      </c>
      <c r="F280" s="25">
        <v>7.53</v>
      </c>
      <c r="G280" s="21" t="s">
        <v>970</v>
      </c>
    </row>
    <row r="281">
      <c r="A281" s="30" t="s">
        <v>277</v>
      </c>
      <c r="B281" s="22" t="s">
        <v>151</v>
      </c>
      <c r="C281" s="22" t="s">
        <v>87</v>
      </c>
      <c r="D281" s="23">
        <v>50.0</v>
      </c>
      <c r="E281" s="23">
        <v>3.0</v>
      </c>
      <c r="F281" s="23">
        <v>0.0</v>
      </c>
      <c r="G281" s="22" t="s">
        <v>152</v>
      </c>
    </row>
    <row r="282" hidden="1">
      <c r="A282" s="21"/>
      <c r="B282" s="21" t="s">
        <v>1224</v>
      </c>
      <c r="C282" s="21" t="s">
        <v>87</v>
      </c>
      <c r="D282" s="25">
        <v>50.0</v>
      </c>
      <c r="E282" s="25">
        <v>2.0</v>
      </c>
      <c r="F282" s="25">
        <v>5.75</v>
      </c>
      <c r="G282" s="21" t="s">
        <v>886</v>
      </c>
    </row>
    <row r="283" hidden="1">
      <c r="A283" s="21"/>
      <c r="B283" s="21" t="s">
        <v>1225</v>
      </c>
      <c r="C283" s="21" t="s">
        <v>87</v>
      </c>
      <c r="D283" s="25">
        <v>50.0</v>
      </c>
      <c r="E283" s="25">
        <v>23.0</v>
      </c>
      <c r="F283" s="25">
        <v>5.97</v>
      </c>
      <c r="G283" s="21" t="s">
        <v>1226</v>
      </c>
    </row>
    <row r="284" hidden="1">
      <c r="A284" s="21"/>
      <c r="B284" s="21" t="s">
        <v>1227</v>
      </c>
      <c r="C284" s="21" t="s">
        <v>160</v>
      </c>
      <c r="D284" s="25">
        <v>50.0</v>
      </c>
      <c r="E284" s="25">
        <v>11.0</v>
      </c>
      <c r="F284" s="25">
        <v>6.27</v>
      </c>
      <c r="G284" s="21" t="s">
        <v>1228</v>
      </c>
    </row>
    <row r="285" hidden="1">
      <c r="A285" s="21"/>
      <c r="B285" s="21" t="s">
        <v>1229</v>
      </c>
      <c r="C285" s="21" t="s">
        <v>160</v>
      </c>
      <c r="D285" s="25">
        <v>50.0</v>
      </c>
      <c r="E285" s="25">
        <v>44.0</v>
      </c>
      <c r="F285" s="25">
        <v>4.31</v>
      </c>
      <c r="G285" s="21" t="s">
        <v>1230</v>
      </c>
    </row>
    <row r="286" hidden="1">
      <c r="A286" s="21"/>
      <c r="B286" s="21" t="s">
        <v>1231</v>
      </c>
      <c r="C286" s="21" t="s">
        <v>117</v>
      </c>
      <c r="D286" s="25">
        <v>50.0</v>
      </c>
      <c r="E286" s="25">
        <v>17.0</v>
      </c>
      <c r="F286" s="25">
        <v>0.0</v>
      </c>
      <c r="G286" s="21" t="s">
        <v>476</v>
      </c>
    </row>
    <row r="287" hidden="1">
      <c r="A287" s="21"/>
      <c r="B287" s="21" t="s">
        <v>1232</v>
      </c>
      <c r="C287" s="21" t="s">
        <v>87</v>
      </c>
      <c r="D287" s="25">
        <v>50.0</v>
      </c>
      <c r="E287" s="25">
        <v>32.0</v>
      </c>
      <c r="F287" s="25">
        <v>11.14</v>
      </c>
      <c r="G287" s="21" t="s">
        <v>188</v>
      </c>
    </row>
    <row r="288" hidden="1">
      <c r="A288" s="21"/>
      <c r="B288" s="21" t="s">
        <v>1233</v>
      </c>
      <c r="C288" s="21" t="s">
        <v>87</v>
      </c>
      <c r="D288" s="25">
        <v>50.0</v>
      </c>
      <c r="E288" s="25">
        <v>38.0</v>
      </c>
      <c r="F288" s="25">
        <v>5.83</v>
      </c>
      <c r="G288" s="21" t="s">
        <v>1234</v>
      </c>
    </row>
    <row r="289" hidden="1">
      <c r="A289" s="21"/>
      <c r="B289" s="21" t="s">
        <v>1235</v>
      </c>
      <c r="C289" s="21" t="s">
        <v>117</v>
      </c>
      <c r="D289" s="25">
        <v>50.0</v>
      </c>
      <c r="E289" s="25">
        <v>22.0</v>
      </c>
      <c r="F289" s="25">
        <v>3.83</v>
      </c>
      <c r="G289" s="21" t="s">
        <v>1236</v>
      </c>
    </row>
    <row r="290" hidden="1">
      <c r="A290" s="21"/>
      <c r="B290" s="21" t="s">
        <v>1237</v>
      </c>
      <c r="C290" s="21" t="s">
        <v>117</v>
      </c>
      <c r="D290" s="25">
        <v>50.0</v>
      </c>
      <c r="E290" s="25">
        <v>8.0</v>
      </c>
      <c r="F290" s="25">
        <v>4.66</v>
      </c>
      <c r="G290" s="21" t="s">
        <v>981</v>
      </c>
    </row>
    <row r="291" hidden="1">
      <c r="A291" s="21"/>
      <c r="B291" s="21" t="s">
        <v>1238</v>
      </c>
      <c r="C291" s="21" t="s">
        <v>90</v>
      </c>
      <c r="D291" s="25">
        <v>50.0</v>
      </c>
      <c r="E291" s="25">
        <v>24.0</v>
      </c>
      <c r="F291" s="25">
        <v>4.74</v>
      </c>
      <c r="G291" s="21" t="s">
        <v>1239</v>
      </c>
    </row>
    <row r="292" hidden="1">
      <c r="A292" s="21"/>
      <c r="B292" s="21" t="s">
        <v>1240</v>
      </c>
      <c r="C292" s="21" t="s">
        <v>87</v>
      </c>
      <c r="D292" s="25">
        <v>50.0</v>
      </c>
      <c r="E292" s="25">
        <v>18.0</v>
      </c>
      <c r="F292" s="25">
        <v>0.92</v>
      </c>
      <c r="G292" s="21" t="s">
        <v>186</v>
      </c>
    </row>
    <row r="293" hidden="1">
      <c r="A293" s="21"/>
      <c r="B293" s="21" t="s">
        <v>1241</v>
      </c>
      <c r="C293" s="21" t="s">
        <v>87</v>
      </c>
      <c r="D293" s="25">
        <v>50.0</v>
      </c>
      <c r="E293" s="25">
        <v>18.0</v>
      </c>
      <c r="F293" s="25">
        <v>6.75</v>
      </c>
      <c r="G293" s="21" t="s">
        <v>897</v>
      </c>
    </row>
    <row r="294" hidden="1">
      <c r="A294" s="21"/>
      <c r="B294" s="21" t="s">
        <v>1242</v>
      </c>
      <c r="C294" s="21" t="s">
        <v>87</v>
      </c>
      <c r="D294" s="25">
        <v>50.0</v>
      </c>
      <c r="E294" s="25">
        <v>25.0</v>
      </c>
      <c r="F294" s="25">
        <v>0.0</v>
      </c>
      <c r="G294" s="21" t="s">
        <v>1243</v>
      </c>
    </row>
    <row r="295" hidden="1">
      <c r="A295" s="21"/>
      <c r="B295" s="21" t="s">
        <v>462</v>
      </c>
      <c r="C295" s="21" t="s">
        <v>117</v>
      </c>
      <c r="D295" s="25">
        <v>50.0</v>
      </c>
      <c r="E295" s="25">
        <v>10.0</v>
      </c>
      <c r="F295" s="25">
        <v>3.43</v>
      </c>
      <c r="G295" s="21" t="s">
        <v>463</v>
      </c>
    </row>
    <row r="296" hidden="1">
      <c r="A296" s="21"/>
      <c r="B296" s="21" t="s">
        <v>464</v>
      </c>
      <c r="C296" s="21" t="s">
        <v>117</v>
      </c>
      <c r="D296" s="25">
        <v>50.0</v>
      </c>
      <c r="E296" s="25">
        <v>23.0</v>
      </c>
      <c r="F296" s="25">
        <v>3.21</v>
      </c>
      <c r="G296" s="21" t="s">
        <v>465</v>
      </c>
    </row>
    <row r="297" hidden="1">
      <c r="A297" s="21"/>
      <c r="B297" s="21" t="s">
        <v>1244</v>
      </c>
      <c r="C297" s="21" t="s">
        <v>87</v>
      </c>
      <c r="D297" s="25">
        <v>50.0</v>
      </c>
      <c r="E297" s="25">
        <v>1.0</v>
      </c>
      <c r="F297" s="25">
        <v>0.0</v>
      </c>
      <c r="G297" s="21" t="s">
        <v>1021</v>
      </c>
    </row>
    <row r="298" hidden="1">
      <c r="A298" s="21"/>
      <c r="B298" s="21" t="s">
        <v>1245</v>
      </c>
      <c r="C298" s="21" t="s">
        <v>87</v>
      </c>
      <c r="D298" s="25">
        <v>50.0</v>
      </c>
      <c r="E298" s="25">
        <v>51.0</v>
      </c>
      <c r="F298" s="25">
        <v>2.56</v>
      </c>
      <c r="G298" s="21" t="s">
        <v>874</v>
      </c>
    </row>
    <row r="299" hidden="1">
      <c r="A299" s="21"/>
      <c r="B299" s="21" t="s">
        <v>1246</v>
      </c>
      <c r="C299" s="21" t="s">
        <v>117</v>
      </c>
      <c r="D299" s="25">
        <v>50.0</v>
      </c>
      <c r="E299" s="25">
        <v>12.0</v>
      </c>
      <c r="F299" s="25">
        <v>3.57</v>
      </c>
      <c r="G299" s="21" t="s">
        <v>429</v>
      </c>
    </row>
    <row r="300" hidden="1">
      <c r="A300" s="21"/>
      <c r="B300" s="21" t="s">
        <v>1247</v>
      </c>
      <c r="C300" s="21" t="s">
        <v>117</v>
      </c>
      <c r="D300" s="25">
        <v>50.0</v>
      </c>
      <c r="E300" s="25">
        <v>15.0</v>
      </c>
      <c r="F300" s="25">
        <v>3.53</v>
      </c>
      <c r="G300" s="21" t="s">
        <v>429</v>
      </c>
    </row>
    <row r="301" hidden="1">
      <c r="A301" s="21"/>
      <c r="B301" s="21" t="s">
        <v>1248</v>
      </c>
      <c r="C301" s="21" t="s">
        <v>87</v>
      </c>
      <c r="D301" s="25">
        <v>50.0</v>
      </c>
      <c r="E301" s="25">
        <v>39.0</v>
      </c>
      <c r="F301" s="25">
        <v>6.28</v>
      </c>
      <c r="G301" s="21" t="s">
        <v>97</v>
      </c>
    </row>
    <row r="302" hidden="1">
      <c r="A302" s="21"/>
      <c r="B302" s="21" t="s">
        <v>1249</v>
      </c>
      <c r="C302" s="21" t="s">
        <v>117</v>
      </c>
      <c r="D302" s="25">
        <v>50.0</v>
      </c>
      <c r="E302" s="25">
        <v>21.0</v>
      </c>
      <c r="F302" s="25">
        <v>0.93</v>
      </c>
      <c r="G302" s="21" t="s">
        <v>1059</v>
      </c>
    </row>
    <row r="303" hidden="1">
      <c r="A303" s="21"/>
      <c r="B303" s="21" t="s">
        <v>466</v>
      </c>
      <c r="C303" s="21" t="s">
        <v>117</v>
      </c>
      <c r="D303" s="25">
        <v>50.0</v>
      </c>
      <c r="E303" s="25">
        <v>40.0</v>
      </c>
      <c r="F303" s="25">
        <v>0.0</v>
      </c>
      <c r="G303" s="21" t="s">
        <v>457</v>
      </c>
    </row>
    <row r="304" hidden="1">
      <c r="A304" s="21"/>
      <c r="B304" s="21" t="s">
        <v>1250</v>
      </c>
      <c r="D304" s="25">
        <v>50.0</v>
      </c>
      <c r="E304" s="27"/>
      <c r="F304" s="25">
        <v>1.26</v>
      </c>
      <c r="G304" s="27"/>
    </row>
    <row r="305" hidden="1">
      <c r="A305" s="21"/>
      <c r="B305" s="21" t="s">
        <v>1251</v>
      </c>
      <c r="C305" s="21" t="s">
        <v>87</v>
      </c>
      <c r="D305" s="25">
        <v>50.0</v>
      </c>
      <c r="E305" s="25">
        <v>37.0</v>
      </c>
      <c r="F305" s="25">
        <v>3.32</v>
      </c>
      <c r="G305" s="21" t="s">
        <v>1148</v>
      </c>
    </row>
    <row r="306" hidden="1">
      <c r="A306" s="21"/>
      <c r="B306" s="21" t="s">
        <v>467</v>
      </c>
      <c r="C306" s="21" t="s">
        <v>117</v>
      </c>
      <c r="D306" s="25">
        <v>50.0</v>
      </c>
      <c r="E306" s="25">
        <v>31.0</v>
      </c>
      <c r="F306" s="25">
        <v>1.13</v>
      </c>
      <c r="G306" s="21" t="s">
        <v>429</v>
      </c>
    </row>
    <row r="307" hidden="1">
      <c r="A307" s="21"/>
      <c r="B307" s="21" t="s">
        <v>468</v>
      </c>
      <c r="C307" s="21" t="s">
        <v>117</v>
      </c>
      <c r="D307" s="25">
        <v>50.0</v>
      </c>
      <c r="E307" s="25">
        <v>0.0</v>
      </c>
      <c r="F307" s="25">
        <v>4.73</v>
      </c>
      <c r="G307" s="21" t="s">
        <v>431</v>
      </c>
    </row>
    <row r="308" hidden="1">
      <c r="A308" s="21"/>
      <c r="B308" s="21" t="s">
        <v>469</v>
      </c>
      <c r="C308" s="21" t="s">
        <v>117</v>
      </c>
      <c r="D308" s="25">
        <v>50.0</v>
      </c>
      <c r="E308" s="25">
        <v>2.0</v>
      </c>
      <c r="F308" s="25">
        <v>0.0</v>
      </c>
      <c r="G308" s="21" t="s">
        <v>470</v>
      </c>
    </row>
    <row r="309" hidden="1">
      <c r="A309" s="21"/>
      <c r="B309" s="21" t="s">
        <v>471</v>
      </c>
      <c r="C309" s="21" t="s">
        <v>117</v>
      </c>
      <c r="D309" s="25">
        <v>50.0</v>
      </c>
      <c r="E309" s="25">
        <v>25.0</v>
      </c>
      <c r="F309" s="25">
        <v>3.99</v>
      </c>
      <c r="G309" s="21" t="s">
        <v>472</v>
      </c>
    </row>
    <row r="310" hidden="1">
      <c r="A310" s="21"/>
      <c r="B310" s="21" t="s">
        <v>473</v>
      </c>
      <c r="C310" s="21" t="s">
        <v>117</v>
      </c>
      <c r="D310" s="25">
        <v>50.0</v>
      </c>
      <c r="E310" s="25">
        <v>14.0</v>
      </c>
      <c r="F310" s="25">
        <v>0.0</v>
      </c>
      <c r="G310" s="21" t="s">
        <v>474</v>
      </c>
    </row>
    <row r="311" hidden="1">
      <c r="A311" s="21"/>
      <c r="B311" s="21" t="s">
        <v>475</v>
      </c>
      <c r="C311" s="21" t="s">
        <v>117</v>
      </c>
      <c r="D311" s="25">
        <v>50.0</v>
      </c>
      <c r="E311" s="25">
        <v>14.0</v>
      </c>
      <c r="F311" s="25">
        <v>4.22</v>
      </c>
      <c r="G311" s="21" t="s">
        <v>476</v>
      </c>
    </row>
    <row r="312" hidden="1">
      <c r="A312" s="21"/>
      <c r="B312" s="21" t="s">
        <v>477</v>
      </c>
      <c r="C312" s="21" t="s">
        <v>117</v>
      </c>
      <c r="D312" s="25">
        <v>50.0</v>
      </c>
      <c r="E312" s="25">
        <v>32.0</v>
      </c>
      <c r="F312" s="25">
        <v>1.22</v>
      </c>
      <c r="G312" s="21" t="s">
        <v>478</v>
      </c>
    </row>
    <row r="313" hidden="1">
      <c r="A313" s="21"/>
      <c r="B313" s="21" t="s">
        <v>479</v>
      </c>
      <c r="C313" s="21" t="s">
        <v>117</v>
      </c>
      <c r="D313" s="25">
        <v>50.0</v>
      </c>
      <c r="E313" s="25">
        <v>5.0</v>
      </c>
      <c r="F313" s="25">
        <v>2.02</v>
      </c>
      <c r="G313" s="21" t="s">
        <v>463</v>
      </c>
    </row>
    <row r="314" hidden="1">
      <c r="A314" s="21"/>
      <c r="B314" s="21" t="s">
        <v>480</v>
      </c>
      <c r="C314" s="21" t="s">
        <v>117</v>
      </c>
      <c r="D314" s="25">
        <v>50.0</v>
      </c>
      <c r="E314" s="25">
        <v>30.0</v>
      </c>
      <c r="F314" s="25">
        <v>1.32</v>
      </c>
      <c r="G314" s="21" t="s">
        <v>431</v>
      </c>
    </row>
    <row r="315" hidden="1">
      <c r="A315" s="21"/>
      <c r="B315" s="21" t="s">
        <v>481</v>
      </c>
      <c r="C315" s="21" t="s">
        <v>117</v>
      </c>
      <c r="D315" s="25">
        <v>50.0</v>
      </c>
      <c r="E315" s="25">
        <v>31.0</v>
      </c>
      <c r="F315" s="25">
        <v>1.13</v>
      </c>
      <c r="G315" s="21" t="s">
        <v>478</v>
      </c>
    </row>
    <row r="316" hidden="1">
      <c r="A316" s="21"/>
      <c r="B316" s="21" t="s">
        <v>482</v>
      </c>
      <c r="D316" s="25">
        <v>50.0</v>
      </c>
      <c r="E316" s="27"/>
      <c r="F316" s="25">
        <v>0.0</v>
      </c>
      <c r="G316" s="27"/>
    </row>
    <row r="317" hidden="1">
      <c r="A317" s="21"/>
      <c r="B317" s="21" t="s">
        <v>1252</v>
      </c>
      <c r="C317" s="21" t="s">
        <v>87</v>
      </c>
      <c r="D317" s="25">
        <v>50.0</v>
      </c>
      <c r="E317" s="25">
        <v>12.0</v>
      </c>
      <c r="F317" s="25">
        <v>5.81</v>
      </c>
      <c r="G317" s="21" t="s">
        <v>1253</v>
      </c>
    </row>
    <row r="318" hidden="1">
      <c r="A318" s="21"/>
      <c r="B318" s="21" t="s">
        <v>1254</v>
      </c>
      <c r="C318" s="21" t="s">
        <v>117</v>
      </c>
      <c r="D318" s="25">
        <v>50.0</v>
      </c>
      <c r="E318" s="25">
        <v>11.0</v>
      </c>
      <c r="F318" s="25">
        <v>0.0</v>
      </c>
      <c r="G318" s="21" t="s">
        <v>1255</v>
      </c>
    </row>
    <row r="319" hidden="1">
      <c r="A319" s="21"/>
      <c r="B319" s="21" t="s">
        <v>1256</v>
      </c>
      <c r="C319" s="21" t="s">
        <v>117</v>
      </c>
      <c r="D319" s="25">
        <v>50.0</v>
      </c>
      <c r="E319" s="25">
        <v>17.0</v>
      </c>
      <c r="F319" s="25">
        <v>2.92</v>
      </c>
      <c r="G319" s="21" t="s">
        <v>1257</v>
      </c>
    </row>
    <row r="320" hidden="1">
      <c r="A320" s="21"/>
      <c r="B320" s="21" t="s">
        <v>1258</v>
      </c>
      <c r="C320" s="21" t="s">
        <v>87</v>
      </c>
      <c r="D320" s="25">
        <v>50.0</v>
      </c>
      <c r="E320" s="25">
        <v>5.0</v>
      </c>
      <c r="F320" s="25">
        <v>0.0</v>
      </c>
      <c r="G320" s="21" t="s">
        <v>1183</v>
      </c>
    </row>
    <row r="321" hidden="1">
      <c r="A321" s="21"/>
      <c r="B321" s="21" t="s">
        <v>1259</v>
      </c>
      <c r="C321" s="21" t="s">
        <v>959</v>
      </c>
      <c r="D321" s="25">
        <v>50.0</v>
      </c>
      <c r="E321" s="25">
        <v>24.0</v>
      </c>
      <c r="F321" s="25">
        <v>7.19</v>
      </c>
      <c r="G321" s="21" t="s">
        <v>1260</v>
      </c>
    </row>
    <row r="322" hidden="1">
      <c r="A322" s="21"/>
      <c r="B322" s="21" t="s">
        <v>1261</v>
      </c>
      <c r="C322" s="21" t="s">
        <v>1065</v>
      </c>
      <c r="D322" s="25">
        <v>50.0</v>
      </c>
      <c r="E322" s="25">
        <v>34.0</v>
      </c>
      <c r="F322" s="25">
        <v>5.02</v>
      </c>
      <c r="G322" s="21" t="s">
        <v>1262</v>
      </c>
    </row>
    <row r="323" hidden="1">
      <c r="A323" s="21"/>
      <c r="B323" s="21" t="s">
        <v>1263</v>
      </c>
      <c r="C323" s="21" t="s">
        <v>87</v>
      </c>
      <c r="D323" s="25">
        <v>50.0</v>
      </c>
      <c r="E323" s="25">
        <v>37.0</v>
      </c>
      <c r="F323" s="25">
        <v>4.62</v>
      </c>
      <c r="G323" s="21" t="s">
        <v>1033</v>
      </c>
    </row>
    <row r="324" hidden="1">
      <c r="A324" s="21"/>
      <c r="B324" s="21" t="s">
        <v>1264</v>
      </c>
      <c r="C324" s="21" t="s">
        <v>87</v>
      </c>
      <c r="D324" s="25">
        <v>50.0</v>
      </c>
      <c r="E324" s="25">
        <v>16.0</v>
      </c>
      <c r="F324" s="25">
        <v>0.0</v>
      </c>
      <c r="G324" s="21" t="s">
        <v>1265</v>
      </c>
    </row>
    <row r="325" hidden="1">
      <c r="A325" s="21"/>
      <c r="B325" s="21" t="s">
        <v>1266</v>
      </c>
      <c r="D325" s="25">
        <v>50.0</v>
      </c>
      <c r="E325" s="27"/>
      <c r="F325" s="25">
        <v>0.0</v>
      </c>
      <c r="G325" s="27"/>
    </row>
    <row r="326" hidden="1">
      <c r="A326" s="21"/>
      <c r="B326" s="21" t="s">
        <v>1267</v>
      </c>
      <c r="C326" s="21" t="s">
        <v>117</v>
      </c>
      <c r="D326" s="25">
        <v>50.0</v>
      </c>
      <c r="E326" s="25">
        <v>17.0</v>
      </c>
      <c r="F326" s="25">
        <v>0.0</v>
      </c>
      <c r="G326" s="21" t="s">
        <v>170</v>
      </c>
    </row>
    <row r="327" hidden="1">
      <c r="A327" s="21"/>
      <c r="B327" s="21" t="s">
        <v>1268</v>
      </c>
      <c r="C327" s="21" t="s">
        <v>117</v>
      </c>
      <c r="D327" s="25">
        <v>50.0</v>
      </c>
      <c r="E327" s="25">
        <v>9.0</v>
      </c>
      <c r="F327" s="25">
        <v>0.0</v>
      </c>
      <c r="G327" s="21" t="s">
        <v>1269</v>
      </c>
    </row>
    <row r="328" hidden="1">
      <c r="A328" s="21"/>
      <c r="B328" s="21" t="s">
        <v>1270</v>
      </c>
      <c r="C328" s="21" t="s">
        <v>117</v>
      </c>
      <c r="D328" s="25">
        <v>50.0</v>
      </c>
      <c r="E328" s="25">
        <v>0.0</v>
      </c>
      <c r="F328" s="25">
        <v>0.0</v>
      </c>
      <c r="G328" s="21" t="s">
        <v>1271</v>
      </c>
    </row>
    <row r="329" hidden="1">
      <c r="A329" s="21"/>
      <c r="B329" s="21" t="s">
        <v>1272</v>
      </c>
      <c r="C329" s="21" t="s">
        <v>117</v>
      </c>
      <c r="D329" s="25">
        <v>50.0</v>
      </c>
      <c r="E329" s="25">
        <v>40.0</v>
      </c>
      <c r="F329" s="25">
        <v>1.48</v>
      </c>
      <c r="G329" s="21" t="s">
        <v>431</v>
      </c>
    </row>
    <row r="330" hidden="1">
      <c r="A330" s="21"/>
      <c r="B330" s="21" t="s">
        <v>1273</v>
      </c>
      <c r="C330" s="21" t="s">
        <v>117</v>
      </c>
      <c r="D330" s="25">
        <v>50.0</v>
      </c>
      <c r="E330" s="25">
        <v>18.0</v>
      </c>
      <c r="F330" s="25">
        <v>0.0</v>
      </c>
      <c r="G330" s="21" t="s">
        <v>1274</v>
      </c>
    </row>
    <row r="331" hidden="1">
      <c r="A331" s="21"/>
      <c r="B331" s="21" t="s">
        <v>1275</v>
      </c>
      <c r="C331" s="21" t="s">
        <v>90</v>
      </c>
      <c r="D331" s="25">
        <v>50.0</v>
      </c>
      <c r="E331" s="25">
        <v>17.0</v>
      </c>
      <c r="F331" s="25">
        <v>5.84</v>
      </c>
      <c r="G331" s="21" t="s">
        <v>259</v>
      </c>
    </row>
    <row r="332" hidden="1">
      <c r="A332" s="21"/>
      <c r="B332" s="21" t="s">
        <v>1276</v>
      </c>
      <c r="C332" s="21" t="s">
        <v>160</v>
      </c>
      <c r="D332" s="25">
        <v>50.0</v>
      </c>
      <c r="E332" s="25">
        <v>28.0</v>
      </c>
      <c r="F332" s="25">
        <v>3.32</v>
      </c>
      <c r="G332" s="21" t="s">
        <v>170</v>
      </c>
    </row>
    <row r="333" hidden="1">
      <c r="A333" s="21"/>
      <c r="B333" s="21" t="s">
        <v>1277</v>
      </c>
      <c r="C333" s="21" t="s">
        <v>117</v>
      </c>
      <c r="D333" s="25">
        <v>50.0</v>
      </c>
      <c r="E333" s="25">
        <v>2.0</v>
      </c>
      <c r="F333" s="25">
        <v>2.02</v>
      </c>
      <c r="G333" s="21" t="s">
        <v>1278</v>
      </c>
    </row>
    <row r="334" hidden="1">
      <c r="A334" s="21"/>
      <c r="B334" s="21" t="s">
        <v>1279</v>
      </c>
      <c r="C334" s="21" t="s">
        <v>117</v>
      </c>
      <c r="D334" s="25">
        <v>50.0</v>
      </c>
      <c r="E334" s="25">
        <v>25.0</v>
      </c>
      <c r="F334" s="25">
        <v>3.26</v>
      </c>
      <c r="G334" s="21" t="s">
        <v>1280</v>
      </c>
    </row>
    <row r="335" hidden="1">
      <c r="A335" s="21"/>
      <c r="B335" s="21" t="s">
        <v>1281</v>
      </c>
      <c r="C335" s="21" t="s">
        <v>87</v>
      </c>
      <c r="D335" s="25">
        <v>50.0</v>
      </c>
      <c r="E335" s="25">
        <v>2.0</v>
      </c>
      <c r="F335" s="25">
        <v>0.0</v>
      </c>
      <c r="G335" s="21" t="s">
        <v>1195</v>
      </c>
    </row>
    <row r="336" hidden="1">
      <c r="A336" s="21"/>
      <c r="B336" s="21" t="s">
        <v>483</v>
      </c>
      <c r="C336" s="21" t="s">
        <v>117</v>
      </c>
      <c r="D336" s="25">
        <v>50.0</v>
      </c>
      <c r="E336" s="25">
        <v>8.0</v>
      </c>
      <c r="F336" s="25">
        <v>0.0</v>
      </c>
      <c r="G336" s="21" t="s">
        <v>420</v>
      </c>
    </row>
    <row r="337" hidden="1">
      <c r="A337" s="21"/>
      <c r="B337" s="21" t="s">
        <v>1282</v>
      </c>
      <c r="C337" s="21" t="s">
        <v>87</v>
      </c>
      <c r="D337" s="25">
        <v>50.0</v>
      </c>
      <c r="E337" s="25">
        <v>31.0</v>
      </c>
      <c r="F337" s="25">
        <v>5.05</v>
      </c>
      <c r="G337" s="21" t="s">
        <v>1283</v>
      </c>
    </row>
    <row r="338" hidden="1">
      <c r="A338" s="21"/>
      <c r="B338" s="21" t="s">
        <v>1284</v>
      </c>
      <c r="C338" s="21" t="s">
        <v>160</v>
      </c>
      <c r="D338" s="25">
        <v>50.0</v>
      </c>
      <c r="E338" s="25">
        <v>32.0</v>
      </c>
      <c r="F338" s="25">
        <v>3.47</v>
      </c>
      <c r="G338" s="21" t="s">
        <v>1285</v>
      </c>
    </row>
    <row r="339" hidden="1">
      <c r="A339" s="21"/>
      <c r="B339" s="21" t="s">
        <v>484</v>
      </c>
      <c r="C339" s="21" t="s">
        <v>87</v>
      </c>
      <c r="D339" s="25">
        <v>50.0</v>
      </c>
      <c r="E339" s="25">
        <v>16.0</v>
      </c>
      <c r="F339" s="25">
        <v>6.5</v>
      </c>
      <c r="G339" s="21" t="s">
        <v>485</v>
      </c>
    </row>
    <row r="340" hidden="1">
      <c r="A340" s="21"/>
      <c r="B340" s="21" t="s">
        <v>1286</v>
      </c>
      <c r="C340" s="21" t="s">
        <v>160</v>
      </c>
      <c r="D340" s="25">
        <v>50.0</v>
      </c>
      <c r="E340" s="25">
        <v>19.0</v>
      </c>
      <c r="F340" s="25">
        <v>0.0</v>
      </c>
      <c r="G340" s="21" t="s">
        <v>1287</v>
      </c>
    </row>
    <row r="341" hidden="1">
      <c r="A341" s="21"/>
      <c r="B341" s="21" t="s">
        <v>486</v>
      </c>
      <c r="C341" s="21" t="s">
        <v>160</v>
      </c>
      <c r="D341" s="25">
        <v>40.0</v>
      </c>
      <c r="E341" s="25">
        <v>44.0</v>
      </c>
      <c r="F341" s="25">
        <v>6.33</v>
      </c>
      <c r="G341" s="21" t="s">
        <v>487</v>
      </c>
    </row>
    <row r="342" hidden="1">
      <c r="A342" s="21"/>
      <c r="B342" s="21" t="s">
        <v>1288</v>
      </c>
      <c r="C342" s="21" t="s">
        <v>90</v>
      </c>
      <c r="D342" s="25">
        <v>40.0</v>
      </c>
      <c r="E342" s="25">
        <v>11.0</v>
      </c>
      <c r="F342" s="25">
        <v>7.1</v>
      </c>
      <c r="G342" s="21" t="s">
        <v>966</v>
      </c>
    </row>
    <row r="343" hidden="1">
      <c r="A343" s="21"/>
      <c r="B343" s="21" t="s">
        <v>1289</v>
      </c>
      <c r="C343" s="21" t="s">
        <v>117</v>
      </c>
      <c r="D343" s="25">
        <v>40.0</v>
      </c>
      <c r="E343" s="25">
        <v>20.0</v>
      </c>
      <c r="F343" s="25">
        <v>0.0</v>
      </c>
      <c r="G343" s="21" t="s">
        <v>1290</v>
      </c>
    </row>
    <row r="344" hidden="1">
      <c r="A344" s="21"/>
      <c r="B344" s="21" t="s">
        <v>1291</v>
      </c>
      <c r="D344" s="25">
        <v>40.0</v>
      </c>
      <c r="E344" s="27"/>
      <c r="F344" s="25">
        <v>5.59</v>
      </c>
      <c r="G344" s="27"/>
    </row>
    <row r="345" hidden="1">
      <c r="A345" s="21"/>
      <c r="B345" s="21" t="s">
        <v>1292</v>
      </c>
      <c r="C345" s="21" t="s">
        <v>87</v>
      </c>
      <c r="D345" s="25">
        <v>40.0</v>
      </c>
      <c r="E345" s="25">
        <v>33.0</v>
      </c>
      <c r="F345" s="25">
        <v>2.61</v>
      </c>
      <c r="G345" s="21" t="s">
        <v>1162</v>
      </c>
    </row>
    <row r="346" hidden="1">
      <c r="A346" s="21"/>
      <c r="B346" s="21" t="s">
        <v>1293</v>
      </c>
      <c r="C346" s="21" t="s">
        <v>87</v>
      </c>
      <c r="D346" s="25">
        <v>40.0</v>
      </c>
      <c r="E346" s="25">
        <v>44.0</v>
      </c>
      <c r="F346" s="25">
        <v>5.47</v>
      </c>
      <c r="G346" s="21" t="s">
        <v>1294</v>
      </c>
    </row>
    <row r="347" hidden="1">
      <c r="A347" s="21"/>
      <c r="B347" s="21" t="s">
        <v>156</v>
      </c>
      <c r="C347" s="21" t="s">
        <v>87</v>
      </c>
      <c r="D347" s="25">
        <v>40.0</v>
      </c>
      <c r="E347" s="25">
        <v>40.0</v>
      </c>
      <c r="F347" s="25">
        <v>6.62</v>
      </c>
      <c r="G347" s="21" t="s">
        <v>1295</v>
      </c>
    </row>
    <row r="348" hidden="1">
      <c r="A348" s="21"/>
      <c r="B348" s="21" t="s">
        <v>1296</v>
      </c>
      <c r="C348" s="21" t="s">
        <v>117</v>
      </c>
      <c r="D348" s="25">
        <v>40.0</v>
      </c>
      <c r="E348" s="25">
        <v>4.0</v>
      </c>
      <c r="F348" s="25">
        <v>3.63</v>
      </c>
      <c r="G348" s="21" t="s">
        <v>254</v>
      </c>
    </row>
    <row r="349" hidden="1">
      <c r="A349" s="21"/>
      <c r="B349" s="21" t="s">
        <v>1297</v>
      </c>
      <c r="C349" s="21" t="s">
        <v>87</v>
      </c>
      <c r="D349" s="25">
        <v>40.0</v>
      </c>
      <c r="E349" s="25">
        <v>18.0</v>
      </c>
      <c r="F349" s="25">
        <v>6.78</v>
      </c>
      <c r="G349" s="21" t="s">
        <v>1298</v>
      </c>
    </row>
    <row r="350" hidden="1">
      <c r="A350" s="21"/>
      <c r="B350" s="21" t="s">
        <v>1299</v>
      </c>
      <c r="D350" s="25">
        <v>40.0</v>
      </c>
      <c r="E350" s="27"/>
      <c r="F350" s="25">
        <v>4.51</v>
      </c>
      <c r="G350" s="27"/>
    </row>
    <row r="351" hidden="1">
      <c r="A351" s="21"/>
      <c r="B351" s="21" t="s">
        <v>1300</v>
      </c>
      <c r="C351" s="21" t="s">
        <v>87</v>
      </c>
      <c r="D351" s="25">
        <v>40.0</v>
      </c>
      <c r="E351" s="25">
        <v>12.0</v>
      </c>
      <c r="F351" s="25">
        <v>6.91</v>
      </c>
      <c r="G351" s="21" t="s">
        <v>1214</v>
      </c>
    </row>
    <row r="352" hidden="1">
      <c r="A352" s="21"/>
      <c r="B352" s="21" t="s">
        <v>1301</v>
      </c>
      <c r="C352" s="21" t="s">
        <v>87</v>
      </c>
      <c r="D352" s="25">
        <v>40.0</v>
      </c>
      <c r="E352" s="25">
        <v>38.0</v>
      </c>
      <c r="F352" s="25">
        <v>9.24</v>
      </c>
      <c r="G352" s="21" t="s">
        <v>1027</v>
      </c>
    </row>
    <row r="353" hidden="1">
      <c r="A353" s="21"/>
      <c r="B353" s="21" t="s">
        <v>1302</v>
      </c>
      <c r="D353" s="25">
        <v>40.0</v>
      </c>
      <c r="E353" s="27"/>
      <c r="F353" s="25">
        <v>5.08</v>
      </c>
      <c r="G353" s="27"/>
    </row>
    <row r="354" hidden="1">
      <c r="A354" s="21"/>
      <c r="B354" s="21" t="s">
        <v>1303</v>
      </c>
      <c r="C354" s="21" t="s">
        <v>117</v>
      </c>
      <c r="D354" s="25">
        <v>40.0</v>
      </c>
      <c r="E354" s="25">
        <v>4.0</v>
      </c>
      <c r="F354" s="25">
        <v>1.0</v>
      </c>
      <c r="G354" s="21" t="s">
        <v>1304</v>
      </c>
    </row>
    <row r="355" hidden="1">
      <c r="A355" s="21"/>
      <c r="B355" s="21" t="s">
        <v>1305</v>
      </c>
      <c r="C355" s="21" t="s">
        <v>87</v>
      </c>
      <c r="D355" s="25">
        <v>40.0</v>
      </c>
      <c r="E355" s="25">
        <v>7.0</v>
      </c>
      <c r="F355" s="25">
        <v>4.51</v>
      </c>
      <c r="G355" s="21" t="s">
        <v>931</v>
      </c>
    </row>
    <row r="356" hidden="1">
      <c r="A356" s="21"/>
      <c r="B356" s="21" t="s">
        <v>1306</v>
      </c>
      <c r="C356" s="21" t="s">
        <v>99</v>
      </c>
      <c r="D356" s="25">
        <v>40.0</v>
      </c>
      <c r="E356" s="25">
        <v>26.0</v>
      </c>
      <c r="F356" s="25">
        <v>0.0</v>
      </c>
      <c r="G356" s="21" t="s">
        <v>1011</v>
      </c>
    </row>
    <row r="357" hidden="1">
      <c r="A357" s="21"/>
      <c r="B357" s="21" t="s">
        <v>1307</v>
      </c>
      <c r="C357" s="21" t="s">
        <v>87</v>
      </c>
      <c r="D357" s="25">
        <v>40.0</v>
      </c>
      <c r="E357" s="25">
        <v>22.0</v>
      </c>
      <c r="F357" s="25">
        <v>0.43</v>
      </c>
      <c r="G357" s="21" t="s">
        <v>170</v>
      </c>
    </row>
    <row r="358">
      <c r="A358" s="30" t="s">
        <v>277</v>
      </c>
      <c r="B358" s="22" t="s">
        <v>154</v>
      </c>
      <c r="C358" s="22" t="s">
        <v>87</v>
      </c>
      <c r="D358" s="23">
        <v>40.0</v>
      </c>
      <c r="E358" s="23">
        <v>13.0</v>
      </c>
      <c r="F358" s="23">
        <v>5.53</v>
      </c>
      <c r="G358" s="22" t="s">
        <v>155</v>
      </c>
    </row>
    <row r="359" hidden="1">
      <c r="A359" s="21"/>
      <c r="B359" s="21" t="s">
        <v>1308</v>
      </c>
      <c r="C359" s="21" t="s">
        <v>87</v>
      </c>
      <c r="D359" s="25">
        <v>40.0</v>
      </c>
      <c r="E359" s="25">
        <v>1.0</v>
      </c>
      <c r="F359" s="25">
        <v>10.3</v>
      </c>
      <c r="G359" s="21" t="s">
        <v>178</v>
      </c>
    </row>
    <row r="360" hidden="1">
      <c r="A360" s="21"/>
      <c r="B360" s="21" t="s">
        <v>1309</v>
      </c>
      <c r="C360" s="21" t="s">
        <v>117</v>
      </c>
      <c r="D360" s="25">
        <v>40.0</v>
      </c>
      <c r="E360" s="25">
        <v>9.0</v>
      </c>
      <c r="F360" s="25">
        <v>5.4</v>
      </c>
      <c r="G360" s="21" t="s">
        <v>1310</v>
      </c>
    </row>
    <row r="361" hidden="1">
      <c r="A361" s="21"/>
      <c r="B361" s="21" t="s">
        <v>1311</v>
      </c>
      <c r="D361" s="25">
        <v>40.0</v>
      </c>
      <c r="E361" s="27"/>
      <c r="F361" s="25">
        <v>0.0</v>
      </c>
      <c r="G361" s="27"/>
    </row>
    <row r="362" hidden="1">
      <c r="A362" s="21"/>
      <c r="B362" s="21" t="s">
        <v>1312</v>
      </c>
      <c r="C362" s="21" t="s">
        <v>87</v>
      </c>
      <c r="D362" s="25">
        <v>40.0</v>
      </c>
      <c r="E362" s="25">
        <v>4.0</v>
      </c>
      <c r="F362" s="25">
        <v>8.52</v>
      </c>
      <c r="G362" s="21" t="s">
        <v>1313</v>
      </c>
    </row>
    <row r="363" hidden="1">
      <c r="A363" s="21"/>
      <c r="B363" s="21" t="s">
        <v>1314</v>
      </c>
      <c r="C363" s="21" t="s">
        <v>87</v>
      </c>
      <c r="D363" s="25">
        <v>40.0</v>
      </c>
      <c r="E363" s="25">
        <v>5.0</v>
      </c>
      <c r="F363" s="25">
        <v>2.56</v>
      </c>
      <c r="G363" s="21" t="s">
        <v>147</v>
      </c>
    </row>
    <row r="364" hidden="1">
      <c r="A364" s="21"/>
      <c r="B364" s="21" t="s">
        <v>1315</v>
      </c>
      <c r="C364" s="21" t="s">
        <v>87</v>
      </c>
      <c r="D364" s="25">
        <v>40.0</v>
      </c>
      <c r="E364" s="25">
        <v>41.0</v>
      </c>
      <c r="F364" s="25">
        <v>1.34</v>
      </c>
      <c r="G364" s="21" t="s">
        <v>147</v>
      </c>
    </row>
    <row r="365" hidden="1">
      <c r="A365" s="21"/>
      <c r="B365" s="21" t="s">
        <v>1316</v>
      </c>
      <c r="D365" s="25">
        <v>40.0</v>
      </c>
      <c r="E365" s="27"/>
      <c r="F365" s="25">
        <v>5.04</v>
      </c>
      <c r="G365" s="27"/>
    </row>
    <row r="366" hidden="1">
      <c r="A366" s="21"/>
      <c r="B366" s="21" t="s">
        <v>1317</v>
      </c>
      <c r="C366" s="21" t="s">
        <v>87</v>
      </c>
      <c r="D366" s="25">
        <v>40.0</v>
      </c>
      <c r="E366" s="25">
        <v>0.0</v>
      </c>
      <c r="F366" s="25">
        <v>3.82</v>
      </c>
      <c r="G366" s="21" t="s">
        <v>966</v>
      </c>
    </row>
    <row r="367" hidden="1">
      <c r="A367" s="21"/>
      <c r="B367" s="21" t="s">
        <v>1318</v>
      </c>
      <c r="D367" s="25">
        <v>40.0</v>
      </c>
      <c r="E367" s="27"/>
      <c r="F367" s="25">
        <v>0.0</v>
      </c>
      <c r="G367" s="27"/>
    </row>
    <row r="368" hidden="1">
      <c r="A368" s="21"/>
      <c r="B368" s="21" t="s">
        <v>1319</v>
      </c>
      <c r="C368" s="21" t="s">
        <v>117</v>
      </c>
      <c r="D368" s="25">
        <v>40.0</v>
      </c>
      <c r="E368" s="25">
        <v>10.0</v>
      </c>
      <c r="F368" s="25">
        <v>0.0</v>
      </c>
      <c r="G368" s="21" t="s">
        <v>174</v>
      </c>
    </row>
    <row r="369" hidden="1">
      <c r="A369" s="21"/>
      <c r="B369" s="21" t="s">
        <v>1320</v>
      </c>
      <c r="D369" s="25">
        <v>40.0</v>
      </c>
      <c r="E369" s="27"/>
      <c r="F369" s="25">
        <v>0.0</v>
      </c>
      <c r="G369" s="27"/>
    </row>
    <row r="370" hidden="1">
      <c r="A370" s="21"/>
      <c r="B370" s="21" t="s">
        <v>1321</v>
      </c>
      <c r="C370" s="21" t="s">
        <v>87</v>
      </c>
      <c r="D370" s="25">
        <v>40.0</v>
      </c>
      <c r="E370" s="25">
        <v>0.0</v>
      </c>
      <c r="F370" s="25">
        <v>6.23</v>
      </c>
      <c r="G370" s="21" t="s">
        <v>886</v>
      </c>
    </row>
    <row r="371" hidden="1">
      <c r="A371" s="21"/>
      <c r="B371" s="21" t="s">
        <v>1322</v>
      </c>
      <c r="C371" s="21" t="s">
        <v>87</v>
      </c>
      <c r="D371" s="25">
        <v>40.0</v>
      </c>
      <c r="E371" s="25">
        <v>9.0</v>
      </c>
      <c r="F371" s="25">
        <v>0.0</v>
      </c>
      <c r="G371" s="21" t="s">
        <v>147</v>
      </c>
    </row>
    <row r="372" hidden="1">
      <c r="A372" s="21"/>
      <c r="B372" s="21" t="s">
        <v>1323</v>
      </c>
      <c r="C372" s="21" t="s">
        <v>87</v>
      </c>
      <c r="D372" s="25">
        <v>40.0</v>
      </c>
      <c r="E372" s="25">
        <v>29.0</v>
      </c>
      <c r="F372" s="25">
        <v>7.15</v>
      </c>
      <c r="G372" s="21" t="s">
        <v>1324</v>
      </c>
    </row>
    <row r="373" hidden="1">
      <c r="A373" s="21"/>
      <c r="B373" s="21" t="s">
        <v>1325</v>
      </c>
      <c r="D373" s="25">
        <v>40.0</v>
      </c>
      <c r="E373" s="27"/>
      <c r="F373" s="25">
        <v>0.0</v>
      </c>
      <c r="G373" s="27"/>
    </row>
    <row r="374" hidden="1">
      <c r="A374" s="21"/>
      <c r="B374" s="21" t="s">
        <v>1326</v>
      </c>
      <c r="C374" s="21" t="s">
        <v>87</v>
      </c>
      <c r="D374" s="25">
        <v>40.0</v>
      </c>
      <c r="E374" s="25">
        <v>18.0</v>
      </c>
      <c r="F374" s="25">
        <v>6.15</v>
      </c>
      <c r="G374" s="21" t="s">
        <v>1327</v>
      </c>
    </row>
    <row r="375" hidden="1">
      <c r="A375" s="21"/>
      <c r="B375" s="21" t="s">
        <v>1328</v>
      </c>
      <c r="C375" s="21" t="s">
        <v>1065</v>
      </c>
      <c r="D375" s="25">
        <v>40.0</v>
      </c>
      <c r="E375" s="25">
        <v>17.0</v>
      </c>
      <c r="F375" s="25">
        <v>7.3</v>
      </c>
      <c r="G375" s="21" t="s">
        <v>1262</v>
      </c>
    </row>
    <row r="376" hidden="1">
      <c r="A376" s="21"/>
      <c r="B376" s="21" t="s">
        <v>1329</v>
      </c>
      <c r="C376" s="21" t="s">
        <v>87</v>
      </c>
      <c r="D376" s="25">
        <v>40.0</v>
      </c>
      <c r="E376" s="25">
        <v>2.0</v>
      </c>
      <c r="F376" s="25">
        <v>0.0</v>
      </c>
      <c r="G376" s="21" t="s">
        <v>1027</v>
      </c>
    </row>
    <row r="377" hidden="1">
      <c r="A377" s="21"/>
      <c r="B377" s="21" t="s">
        <v>488</v>
      </c>
      <c r="C377" s="21" t="s">
        <v>117</v>
      </c>
      <c r="D377" s="25">
        <v>40.0</v>
      </c>
      <c r="E377" s="25">
        <v>23.0</v>
      </c>
      <c r="F377" s="25">
        <v>2.43</v>
      </c>
      <c r="G377" s="21" t="s">
        <v>429</v>
      </c>
    </row>
    <row r="378" hidden="1">
      <c r="A378" s="21"/>
      <c r="B378" s="21" t="s">
        <v>489</v>
      </c>
      <c r="C378" s="21" t="s">
        <v>117</v>
      </c>
      <c r="D378" s="25">
        <v>40.0</v>
      </c>
      <c r="E378" s="25">
        <v>19.0</v>
      </c>
      <c r="F378" s="25">
        <v>0.0</v>
      </c>
      <c r="G378" s="21" t="s">
        <v>463</v>
      </c>
    </row>
    <row r="379" hidden="1">
      <c r="A379" s="21"/>
      <c r="B379" s="21" t="s">
        <v>490</v>
      </c>
      <c r="C379" s="21" t="s">
        <v>117</v>
      </c>
      <c r="D379" s="25">
        <v>40.0</v>
      </c>
      <c r="E379" s="25">
        <v>22.0</v>
      </c>
      <c r="F379" s="25">
        <v>2.06</v>
      </c>
      <c r="G379" s="21" t="s">
        <v>429</v>
      </c>
    </row>
    <row r="380" hidden="1">
      <c r="A380" s="21"/>
      <c r="B380" s="21" t="s">
        <v>491</v>
      </c>
      <c r="C380" s="21" t="s">
        <v>117</v>
      </c>
      <c r="D380" s="25">
        <v>40.0</v>
      </c>
      <c r="E380" s="25">
        <v>27.0</v>
      </c>
      <c r="F380" s="25">
        <v>0.0</v>
      </c>
      <c r="G380" s="21" t="s">
        <v>429</v>
      </c>
    </row>
    <row r="381" hidden="1">
      <c r="A381" s="21"/>
      <c r="B381" s="21" t="s">
        <v>1330</v>
      </c>
      <c r="C381" s="21" t="s">
        <v>117</v>
      </c>
      <c r="D381" s="25">
        <v>40.0</v>
      </c>
      <c r="E381" s="25">
        <v>3.0</v>
      </c>
      <c r="F381" s="25">
        <v>0.0</v>
      </c>
      <c r="G381" s="21" t="s">
        <v>1063</v>
      </c>
    </row>
    <row r="382" hidden="1">
      <c r="A382" s="21"/>
      <c r="B382" s="21" t="s">
        <v>492</v>
      </c>
      <c r="C382" s="21" t="s">
        <v>117</v>
      </c>
      <c r="D382" s="25">
        <v>40.0</v>
      </c>
      <c r="E382" s="25">
        <v>14.0</v>
      </c>
      <c r="F382" s="25">
        <v>2.38</v>
      </c>
      <c r="G382" s="21" t="s">
        <v>493</v>
      </c>
    </row>
    <row r="383" hidden="1">
      <c r="A383" s="21"/>
      <c r="B383" s="21" t="s">
        <v>494</v>
      </c>
      <c r="C383" s="21" t="s">
        <v>117</v>
      </c>
      <c r="D383" s="25">
        <v>40.0</v>
      </c>
      <c r="E383" s="25">
        <v>10.0</v>
      </c>
      <c r="F383" s="25">
        <v>2.38</v>
      </c>
      <c r="G383" s="21" t="s">
        <v>495</v>
      </c>
    </row>
    <row r="384" hidden="1">
      <c r="A384" s="21"/>
      <c r="B384" s="21" t="s">
        <v>1331</v>
      </c>
      <c r="C384" s="21" t="s">
        <v>959</v>
      </c>
      <c r="D384" s="25">
        <v>40.0</v>
      </c>
      <c r="E384" s="25">
        <v>6.0</v>
      </c>
      <c r="F384" s="25">
        <v>0.0</v>
      </c>
      <c r="G384" s="21" t="s">
        <v>1332</v>
      </c>
    </row>
    <row r="385" hidden="1">
      <c r="A385" s="21"/>
      <c r="B385" s="21" t="s">
        <v>1333</v>
      </c>
      <c r="C385" s="21" t="s">
        <v>99</v>
      </c>
      <c r="D385" s="25">
        <v>40.0</v>
      </c>
      <c r="E385" s="25">
        <v>28.0</v>
      </c>
      <c r="F385" s="25">
        <v>0.97</v>
      </c>
      <c r="G385" s="21" t="s">
        <v>1334</v>
      </c>
    </row>
    <row r="386" hidden="1">
      <c r="A386" s="21"/>
      <c r="B386" s="21" t="s">
        <v>1335</v>
      </c>
      <c r="C386" s="21" t="s">
        <v>87</v>
      </c>
      <c r="D386" s="25">
        <v>40.0</v>
      </c>
      <c r="E386" s="25">
        <v>20.0</v>
      </c>
      <c r="F386" s="25">
        <v>6.49</v>
      </c>
      <c r="G386" s="21" t="s">
        <v>1336</v>
      </c>
    </row>
    <row r="387" hidden="1">
      <c r="A387" s="21"/>
      <c r="B387" s="21" t="s">
        <v>1337</v>
      </c>
      <c r="C387" s="21" t="s">
        <v>87</v>
      </c>
      <c r="D387" s="25">
        <v>40.0</v>
      </c>
      <c r="E387" s="25">
        <v>46.0</v>
      </c>
      <c r="F387" s="25">
        <v>0.0</v>
      </c>
      <c r="G387" s="21" t="s">
        <v>1338</v>
      </c>
    </row>
    <row r="388" hidden="1">
      <c r="A388" s="21"/>
      <c r="B388" s="21" t="s">
        <v>1339</v>
      </c>
      <c r="D388" s="25">
        <v>40.0</v>
      </c>
      <c r="E388" s="27"/>
      <c r="F388" s="25">
        <v>0.0</v>
      </c>
      <c r="G388" s="27"/>
    </row>
    <row r="389" hidden="1">
      <c r="A389" s="21"/>
      <c r="B389" s="21" t="s">
        <v>496</v>
      </c>
      <c r="C389" s="21" t="s">
        <v>117</v>
      </c>
      <c r="D389" s="25">
        <v>40.0</v>
      </c>
      <c r="E389" s="25">
        <v>0.0</v>
      </c>
      <c r="F389" s="25">
        <v>0.0</v>
      </c>
      <c r="G389" s="21" t="s">
        <v>431</v>
      </c>
    </row>
    <row r="390" hidden="1">
      <c r="A390" s="21"/>
      <c r="B390" s="21" t="s">
        <v>497</v>
      </c>
      <c r="C390" s="21" t="s">
        <v>117</v>
      </c>
      <c r="D390" s="25">
        <v>40.0</v>
      </c>
      <c r="E390" s="25">
        <v>0.0</v>
      </c>
      <c r="F390" s="25">
        <v>4.02</v>
      </c>
      <c r="G390" s="21" t="s">
        <v>218</v>
      </c>
    </row>
    <row r="391" hidden="1">
      <c r="A391" s="21"/>
      <c r="B391" s="21" t="s">
        <v>498</v>
      </c>
      <c r="C391" s="21" t="s">
        <v>117</v>
      </c>
      <c r="D391" s="25">
        <v>40.0</v>
      </c>
      <c r="E391" s="25">
        <v>34.0</v>
      </c>
      <c r="F391" s="25">
        <v>0.65</v>
      </c>
      <c r="G391" s="21" t="s">
        <v>499</v>
      </c>
    </row>
    <row r="392" hidden="1">
      <c r="A392" s="21"/>
      <c r="B392" s="21" t="s">
        <v>500</v>
      </c>
      <c r="C392" s="21" t="s">
        <v>117</v>
      </c>
      <c r="D392" s="25">
        <v>40.0</v>
      </c>
      <c r="E392" s="25">
        <v>36.0</v>
      </c>
      <c r="F392" s="25">
        <v>0.65</v>
      </c>
      <c r="G392" s="21" t="s">
        <v>429</v>
      </c>
    </row>
    <row r="393" hidden="1">
      <c r="A393" s="21"/>
      <c r="B393" s="21" t="s">
        <v>501</v>
      </c>
      <c r="C393" s="21" t="s">
        <v>117</v>
      </c>
      <c r="D393" s="25">
        <v>40.0</v>
      </c>
      <c r="E393" s="25">
        <v>20.0</v>
      </c>
      <c r="F393" s="25">
        <v>0.0</v>
      </c>
      <c r="G393" s="21" t="s">
        <v>502</v>
      </c>
    </row>
    <row r="394" hidden="1">
      <c r="A394" s="21"/>
      <c r="B394" s="21" t="s">
        <v>503</v>
      </c>
      <c r="C394" s="21" t="s">
        <v>117</v>
      </c>
      <c r="D394" s="25">
        <v>40.0</v>
      </c>
      <c r="E394" s="25">
        <v>29.0</v>
      </c>
      <c r="F394" s="25">
        <v>0.5</v>
      </c>
      <c r="G394" s="21" t="s">
        <v>478</v>
      </c>
    </row>
    <row r="395" hidden="1">
      <c r="A395" s="21"/>
      <c r="B395" s="21" t="s">
        <v>504</v>
      </c>
      <c r="C395" s="21" t="s">
        <v>117</v>
      </c>
      <c r="D395" s="25">
        <v>40.0</v>
      </c>
      <c r="E395" s="25">
        <v>32.0</v>
      </c>
      <c r="F395" s="25">
        <v>0.86</v>
      </c>
      <c r="G395" s="21" t="s">
        <v>505</v>
      </c>
    </row>
    <row r="396" hidden="1">
      <c r="A396" s="21"/>
      <c r="B396" s="21" t="s">
        <v>1340</v>
      </c>
      <c r="D396" s="25">
        <v>40.0</v>
      </c>
      <c r="E396" s="27"/>
      <c r="F396" s="25">
        <v>8.52</v>
      </c>
      <c r="G396" s="27"/>
    </row>
    <row r="397" hidden="1">
      <c r="A397" s="21"/>
      <c r="B397" s="21" t="s">
        <v>1341</v>
      </c>
      <c r="C397" s="21" t="s">
        <v>959</v>
      </c>
      <c r="D397" s="25">
        <v>40.0</v>
      </c>
      <c r="E397" s="25">
        <v>2.0</v>
      </c>
      <c r="F397" s="25">
        <v>4.64</v>
      </c>
      <c r="G397" s="21" t="s">
        <v>212</v>
      </c>
    </row>
    <row r="398" hidden="1">
      <c r="A398" s="21"/>
      <c r="B398" s="21" t="s">
        <v>1342</v>
      </c>
      <c r="D398" s="25">
        <v>40.0</v>
      </c>
      <c r="E398" s="27"/>
      <c r="F398" s="25">
        <v>0.0</v>
      </c>
      <c r="G398" s="27"/>
    </row>
    <row r="399" hidden="1">
      <c r="A399" s="21"/>
      <c r="B399" s="21" t="s">
        <v>1343</v>
      </c>
      <c r="C399" s="21" t="s">
        <v>99</v>
      </c>
      <c r="D399" s="25">
        <v>40.0</v>
      </c>
      <c r="E399" s="25">
        <v>25.0</v>
      </c>
      <c r="F399" s="25">
        <v>0.0</v>
      </c>
      <c r="G399" s="21" t="s">
        <v>1344</v>
      </c>
    </row>
    <row r="400" hidden="1">
      <c r="A400" s="21"/>
      <c r="B400" s="21" t="s">
        <v>1345</v>
      </c>
      <c r="D400" s="25">
        <v>40.0</v>
      </c>
      <c r="E400" s="27"/>
      <c r="F400" s="25">
        <v>0.0</v>
      </c>
      <c r="G400" s="27"/>
    </row>
    <row r="401" hidden="1">
      <c r="A401" s="21"/>
      <c r="B401" s="21" t="s">
        <v>1346</v>
      </c>
      <c r="C401" s="21" t="s">
        <v>117</v>
      </c>
      <c r="D401" s="25">
        <v>40.0</v>
      </c>
      <c r="E401" s="25">
        <v>11.0</v>
      </c>
      <c r="F401" s="25">
        <v>1.2</v>
      </c>
      <c r="G401" s="21" t="s">
        <v>1347</v>
      </c>
    </row>
    <row r="402" hidden="1">
      <c r="A402" s="21"/>
      <c r="B402" s="21" t="s">
        <v>1348</v>
      </c>
      <c r="D402" s="25">
        <v>40.0</v>
      </c>
      <c r="E402" s="27"/>
      <c r="F402" s="25">
        <v>4.0</v>
      </c>
      <c r="G402" s="27"/>
    </row>
    <row r="403" hidden="1">
      <c r="A403" s="21"/>
      <c r="B403" s="21" t="s">
        <v>1349</v>
      </c>
      <c r="C403" s="21" t="s">
        <v>117</v>
      </c>
      <c r="D403" s="25">
        <v>40.0</v>
      </c>
      <c r="E403" s="25">
        <v>28.0</v>
      </c>
      <c r="F403" s="25">
        <v>0.93</v>
      </c>
      <c r="G403" s="21" t="s">
        <v>1059</v>
      </c>
    </row>
    <row r="404" hidden="1">
      <c r="A404" s="21"/>
      <c r="B404" s="21" t="s">
        <v>1350</v>
      </c>
      <c r="C404" s="21" t="s">
        <v>117</v>
      </c>
      <c r="D404" s="25">
        <v>40.0</v>
      </c>
      <c r="E404" s="25">
        <v>25.0</v>
      </c>
      <c r="F404" s="25">
        <v>3.32</v>
      </c>
      <c r="G404" s="21" t="s">
        <v>1351</v>
      </c>
    </row>
    <row r="405" hidden="1">
      <c r="A405" s="21"/>
      <c r="B405" s="21" t="s">
        <v>1352</v>
      </c>
      <c r="D405" s="25">
        <v>40.0</v>
      </c>
      <c r="E405" s="27"/>
      <c r="F405" s="25">
        <v>0.0</v>
      </c>
      <c r="G405" s="27"/>
    </row>
    <row r="406" hidden="1">
      <c r="A406" s="21"/>
      <c r="B406" s="21" t="s">
        <v>1353</v>
      </c>
      <c r="D406" s="25">
        <v>40.0</v>
      </c>
      <c r="E406" s="27"/>
      <c r="F406" s="25">
        <v>0.0</v>
      </c>
      <c r="G406" s="27"/>
    </row>
    <row r="407" hidden="1">
      <c r="A407" s="21"/>
      <c r="B407" s="21" t="s">
        <v>1354</v>
      </c>
      <c r="D407" s="25">
        <v>40.0</v>
      </c>
      <c r="E407" s="27"/>
      <c r="F407" s="25">
        <v>0.0</v>
      </c>
      <c r="G407" s="27"/>
    </row>
    <row r="408" hidden="1">
      <c r="A408" s="21"/>
      <c r="B408" s="21" t="s">
        <v>1355</v>
      </c>
      <c r="D408" s="25">
        <v>40.0</v>
      </c>
      <c r="E408" s="27"/>
      <c r="F408" s="25">
        <v>0.0</v>
      </c>
      <c r="G408" s="27"/>
    </row>
    <row r="409" hidden="1">
      <c r="A409" s="21"/>
      <c r="B409" s="21" t="s">
        <v>1356</v>
      </c>
      <c r="D409" s="25">
        <v>40.0</v>
      </c>
      <c r="E409" s="27"/>
      <c r="F409" s="25">
        <v>0.0</v>
      </c>
      <c r="G409" s="27"/>
    </row>
    <row r="410" hidden="1">
      <c r="A410" s="21"/>
      <c r="B410" s="21" t="s">
        <v>1357</v>
      </c>
      <c r="C410" s="21" t="s">
        <v>117</v>
      </c>
      <c r="D410" s="25">
        <v>40.0</v>
      </c>
      <c r="E410" s="25">
        <v>25.0</v>
      </c>
      <c r="F410" s="25">
        <v>3.35</v>
      </c>
      <c r="G410" s="21" t="s">
        <v>1358</v>
      </c>
    </row>
    <row r="411" hidden="1">
      <c r="A411" s="21"/>
      <c r="B411" s="21" t="s">
        <v>1359</v>
      </c>
      <c r="C411" s="21" t="s">
        <v>87</v>
      </c>
      <c r="D411" s="25">
        <v>40.0</v>
      </c>
      <c r="E411" s="25">
        <v>46.0</v>
      </c>
      <c r="F411" s="25">
        <v>4.38</v>
      </c>
      <c r="G411" s="21" t="s">
        <v>972</v>
      </c>
    </row>
    <row r="412" hidden="1">
      <c r="A412" s="21"/>
      <c r="B412" s="21" t="s">
        <v>1360</v>
      </c>
      <c r="C412" s="21" t="s">
        <v>117</v>
      </c>
      <c r="D412" s="25">
        <v>40.0</v>
      </c>
      <c r="E412" s="25">
        <v>15.0</v>
      </c>
      <c r="F412" s="25">
        <v>3.53</v>
      </c>
      <c r="G412" s="21" t="s">
        <v>1361</v>
      </c>
    </row>
    <row r="413" hidden="1">
      <c r="A413" s="21"/>
      <c r="B413" s="21" t="s">
        <v>1362</v>
      </c>
      <c r="C413" s="21" t="s">
        <v>117</v>
      </c>
      <c r="D413" s="25">
        <v>40.0</v>
      </c>
      <c r="E413" s="25">
        <v>25.0</v>
      </c>
      <c r="F413" s="25">
        <v>0.0</v>
      </c>
      <c r="G413" s="21" t="s">
        <v>1059</v>
      </c>
    </row>
    <row r="414" hidden="1">
      <c r="A414" s="21"/>
      <c r="B414" s="21" t="s">
        <v>1363</v>
      </c>
      <c r="C414" s="21" t="s">
        <v>117</v>
      </c>
      <c r="D414" s="25">
        <v>40.0</v>
      </c>
      <c r="E414" s="25">
        <v>17.0</v>
      </c>
      <c r="F414" s="25">
        <v>3.71</v>
      </c>
      <c r="G414" s="21" t="s">
        <v>1364</v>
      </c>
    </row>
    <row r="415" hidden="1">
      <c r="A415" s="21"/>
      <c r="B415" s="21" t="s">
        <v>1365</v>
      </c>
      <c r="C415" s="21" t="s">
        <v>117</v>
      </c>
      <c r="D415" s="25">
        <v>40.0</v>
      </c>
      <c r="E415" s="25">
        <v>23.0</v>
      </c>
      <c r="F415" s="25">
        <v>0.0</v>
      </c>
      <c r="G415" s="21" t="s">
        <v>139</v>
      </c>
    </row>
    <row r="416" hidden="1">
      <c r="A416" s="21"/>
      <c r="B416" s="21" t="s">
        <v>1366</v>
      </c>
      <c r="C416" s="21" t="s">
        <v>117</v>
      </c>
      <c r="D416" s="25">
        <v>40.0</v>
      </c>
      <c r="E416" s="25">
        <v>15.0</v>
      </c>
      <c r="F416" s="25">
        <v>3.37</v>
      </c>
      <c r="G416" s="21" t="s">
        <v>1367</v>
      </c>
    </row>
    <row r="417" hidden="1">
      <c r="A417" s="21"/>
      <c r="B417" s="21" t="s">
        <v>1368</v>
      </c>
      <c r="D417" s="25">
        <v>40.0</v>
      </c>
      <c r="E417" s="27"/>
      <c r="F417" s="25">
        <v>0.0</v>
      </c>
      <c r="G417" s="27"/>
    </row>
    <row r="418" hidden="1">
      <c r="A418" s="21"/>
      <c r="B418" s="21" t="s">
        <v>1369</v>
      </c>
      <c r="C418" s="21" t="s">
        <v>117</v>
      </c>
      <c r="D418" s="25">
        <v>40.0</v>
      </c>
      <c r="E418" s="25">
        <v>47.0</v>
      </c>
      <c r="F418" s="25">
        <v>4.38</v>
      </c>
      <c r="G418" s="21" t="s">
        <v>1005</v>
      </c>
    </row>
    <row r="419" hidden="1">
      <c r="A419" s="21"/>
      <c r="B419" s="21" t="s">
        <v>506</v>
      </c>
      <c r="C419" s="21" t="s">
        <v>117</v>
      </c>
      <c r="D419" s="25">
        <v>40.0</v>
      </c>
      <c r="E419" s="25">
        <v>14.0</v>
      </c>
      <c r="F419" s="25">
        <v>0.0</v>
      </c>
      <c r="G419" s="21" t="s">
        <v>507</v>
      </c>
    </row>
    <row r="420" hidden="1">
      <c r="A420" s="21"/>
      <c r="B420" s="21" t="s">
        <v>1370</v>
      </c>
      <c r="C420" s="21" t="s">
        <v>87</v>
      </c>
      <c r="D420" s="25">
        <v>40.0</v>
      </c>
      <c r="E420" s="25">
        <v>0.0</v>
      </c>
      <c r="F420" s="25">
        <v>0.0</v>
      </c>
      <c r="G420" s="21" t="s">
        <v>1371</v>
      </c>
    </row>
    <row r="421" hidden="1">
      <c r="A421" s="21"/>
      <c r="B421" s="21" t="s">
        <v>1372</v>
      </c>
      <c r="C421" s="21" t="s">
        <v>87</v>
      </c>
      <c r="D421" s="25">
        <v>40.0</v>
      </c>
      <c r="E421" s="25">
        <v>34.0</v>
      </c>
      <c r="F421" s="25">
        <v>1.24</v>
      </c>
      <c r="G421" s="21" t="s">
        <v>1373</v>
      </c>
    </row>
    <row r="422" hidden="1">
      <c r="A422" s="21"/>
      <c r="B422" s="21" t="s">
        <v>1374</v>
      </c>
      <c r="C422" s="21" t="s">
        <v>117</v>
      </c>
      <c r="D422" s="25">
        <v>40.0</v>
      </c>
      <c r="E422" s="25">
        <v>14.0</v>
      </c>
      <c r="F422" s="25">
        <v>0.0</v>
      </c>
      <c r="G422" s="21" t="s">
        <v>1160</v>
      </c>
    </row>
    <row r="423" hidden="1">
      <c r="A423" s="21"/>
      <c r="B423" s="21" t="s">
        <v>1375</v>
      </c>
      <c r="C423" s="21" t="s">
        <v>87</v>
      </c>
      <c r="D423" s="25">
        <v>40.0</v>
      </c>
      <c r="E423" s="25">
        <v>0.0</v>
      </c>
      <c r="F423" s="25">
        <v>0.0</v>
      </c>
      <c r="G423" s="21" t="s">
        <v>147</v>
      </c>
    </row>
    <row r="424" hidden="1">
      <c r="A424" s="21"/>
      <c r="B424" s="21" t="s">
        <v>508</v>
      </c>
      <c r="C424" s="21" t="s">
        <v>117</v>
      </c>
      <c r="D424" s="25">
        <v>40.0</v>
      </c>
      <c r="E424" s="25">
        <v>14.0</v>
      </c>
      <c r="F424" s="25">
        <v>2.18</v>
      </c>
      <c r="G424" s="21" t="s">
        <v>431</v>
      </c>
    </row>
    <row r="425" hidden="1">
      <c r="A425" s="21"/>
      <c r="B425" s="21" t="s">
        <v>509</v>
      </c>
      <c r="D425" s="25">
        <v>30.0</v>
      </c>
      <c r="E425" s="27"/>
      <c r="F425" s="25">
        <v>0.0</v>
      </c>
      <c r="G425" s="27"/>
    </row>
    <row r="426" hidden="1">
      <c r="A426" s="21"/>
      <c r="B426" s="21" t="s">
        <v>1376</v>
      </c>
      <c r="D426" s="25">
        <v>30.0</v>
      </c>
      <c r="E426" s="27"/>
      <c r="F426" s="25">
        <v>0.0</v>
      </c>
      <c r="G426" s="27"/>
    </row>
    <row r="427" hidden="1">
      <c r="A427" s="21"/>
      <c r="B427" s="21" t="s">
        <v>1377</v>
      </c>
      <c r="C427" s="21" t="s">
        <v>87</v>
      </c>
      <c r="D427" s="25">
        <v>30.0</v>
      </c>
      <c r="E427" s="25">
        <v>23.0</v>
      </c>
      <c r="F427" s="25">
        <v>0.0</v>
      </c>
      <c r="G427" s="21" t="s">
        <v>897</v>
      </c>
    </row>
    <row r="428" hidden="1">
      <c r="A428" s="21"/>
      <c r="B428" s="21" t="s">
        <v>1378</v>
      </c>
      <c r="C428" s="21" t="s">
        <v>117</v>
      </c>
      <c r="D428" s="25">
        <v>30.0</v>
      </c>
      <c r="E428" s="25">
        <v>37.0</v>
      </c>
      <c r="F428" s="25">
        <v>3.31</v>
      </c>
      <c r="G428" s="21" t="s">
        <v>461</v>
      </c>
    </row>
    <row r="429" hidden="1">
      <c r="A429" s="21"/>
      <c r="B429" s="21" t="s">
        <v>1379</v>
      </c>
      <c r="C429" s="21" t="s">
        <v>87</v>
      </c>
      <c r="D429" s="25">
        <v>30.0</v>
      </c>
      <c r="E429" s="25">
        <v>19.0</v>
      </c>
      <c r="F429" s="25">
        <v>2.9</v>
      </c>
      <c r="G429" s="21" t="s">
        <v>1380</v>
      </c>
    </row>
    <row r="430" hidden="1">
      <c r="A430" s="21"/>
      <c r="B430" s="21" t="s">
        <v>1381</v>
      </c>
      <c r="D430" s="25">
        <v>30.0</v>
      </c>
      <c r="E430" s="27"/>
      <c r="F430" s="25">
        <v>7.34</v>
      </c>
      <c r="G430" s="27"/>
    </row>
    <row r="431" hidden="1">
      <c r="A431" s="21"/>
      <c r="B431" s="21" t="s">
        <v>1382</v>
      </c>
      <c r="C431" s="21" t="s">
        <v>90</v>
      </c>
      <c r="D431" s="25">
        <v>30.0</v>
      </c>
      <c r="E431" s="25">
        <v>26.0</v>
      </c>
      <c r="F431" s="25">
        <v>5.83</v>
      </c>
      <c r="G431" s="21" t="s">
        <v>1383</v>
      </c>
    </row>
    <row r="432" hidden="1">
      <c r="A432" s="21"/>
      <c r="B432" s="21" t="s">
        <v>1384</v>
      </c>
      <c r="C432" s="21" t="s">
        <v>87</v>
      </c>
      <c r="D432" s="25">
        <v>30.0</v>
      </c>
      <c r="E432" s="25">
        <v>21.0</v>
      </c>
      <c r="F432" s="25">
        <v>1.1</v>
      </c>
      <c r="G432" s="21" t="s">
        <v>1119</v>
      </c>
    </row>
    <row r="433" hidden="1">
      <c r="A433" s="21"/>
      <c r="B433" s="21" t="s">
        <v>1385</v>
      </c>
      <c r="C433" s="21" t="s">
        <v>90</v>
      </c>
      <c r="D433" s="25">
        <v>30.0</v>
      </c>
      <c r="E433" s="25">
        <v>30.0</v>
      </c>
      <c r="F433" s="25">
        <v>5.85</v>
      </c>
      <c r="G433" s="21" t="s">
        <v>97</v>
      </c>
    </row>
    <row r="434" hidden="1">
      <c r="A434" s="21"/>
      <c r="B434" s="21" t="s">
        <v>1386</v>
      </c>
      <c r="D434" s="25">
        <v>30.0</v>
      </c>
      <c r="E434" s="27"/>
      <c r="F434" s="25">
        <v>7.06</v>
      </c>
      <c r="G434" s="27"/>
    </row>
    <row r="435" hidden="1">
      <c r="A435" s="21"/>
      <c r="B435" s="21" t="s">
        <v>1387</v>
      </c>
      <c r="D435" s="25">
        <v>30.0</v>
      </c>
      <c r="E435" s="27"/>
      <c r="F435" s="25">
        <v>0.0</v>
      </c>
      <c r="G435" s="27"/>
    </row>
    <row r="436" hidden="1">
      <c r="A436" s="21"/>
      <c r="B436" s="21" t="s">
        <v>1388</v>
      </c>
      <c r="C436" s="21" t="s">
        <v>87</v>
      </c>
      <c r="D436" s="25">
        <v>30.0</v>
      </c>
      <c r="E436" s="25">
        <v>9.0</v>
      </c>
      <c r="F436" s="25">
        <v>10.4</v>
      </c>
      <c r="G436" s="21" t="s">
        <v>97</v>
      </c>
    </row>
    <row r="437" hidden="1">
      <c r="A437" s="21"/>
      <c r="B437" s="21" t="s">
        <v>1389</v>
      </c>
      <c r="C437" s="21" t="s">
        <v>87</v>
      </c>
      <c r="D437" s="25">
        <v>30.0</v>
      </c>
      <c r="E437" s="25">
        <v>10.0</v>
      </c>
      <c r="F437" s="25">
        <v>7.22</v>
      </c>
      <c r="G437" s="21" t="s">
        <v>1390</v>
      </c>
    </row>
    <row r="438" hidden="1">
      <c r="A438" s="21"/>
      <c r="B438" s="21" t="s">
        <v>1391</v>
      </c>
      <c r="D438" s="25">
        <v>30.0</v>
      </c>
      <c r="E438" s="27"/>
      <c r="F438" s="25">
        <v>0.0</v>
      </c>
      <c r="G438" s="27"/>
    </row>
    <row r="439" hidden="1">
      <c r="A439" s="21"/>
      <c r="B439" s="21" t="s">
        <v>1392</v>
      </c>
      <c r="C439" s="21" t="s">
        <v>87</v>
      </c>
      <c r="D439" s="25">
        <v>30.0</v>
      </c>
      <c r="E439" s="25">
        <v>18.0</v>
      </c>
      <c r="F439" s="25">
        <v>6.78</v>
      </c>
      <c r="G439" s="21" t="s">
        <v>155</v>
      </c>
    </row>
    <row r="440" hidden="1">
      <c r="A440" s="21"/>
      <c r="B440" s="21" t="s">
        <v>1393</v>
      </c>
      <c r="C440" s="21" t="s">
        <v>87</v>
      </c>
      <c r="D440" s="25">
        <v>30.0</v>
      </c>
      <c r="E440" s="25">
        <v>18.0</v>
      </c>
      <c r="F440" s="25">
        <v>6.78</v>
      </c>
      <c r="G440" s="21" t="s">
        <v>147</v>
      </c>
    </row>
    <row r="441" hidden="1">
      <c r="A441" s="21"/>
      <c r="B441" s="21" t="s">
        <v>1394</v>
      </c>
      <c r="D441" s="25">
        <v>30.0</v>
      </c>
      <c r="E441" s="27"/>
      <c r="F441" s="25">
        <v>4.51</v>
      </c>
      <c r="G441" s="27"/>
    </row>
    <row r="442" hidden="1">
      <c r="A442" s="21"/>
      <c r="B442" s="21" t="s">
        <v>1395</v>
      </c>
      <c r="C442" s="21" t="s">
        <v>87</v>
      </c>
      <c r="D442" s="25">
        <v>30.0</v>
      </c>
      <c r="E442" s="25">
        <v>2.0</v>
      </c>
      <c r="F442" s="25">
        <v>5.86</v>
      </c>
      <c r="G442" s="21" t="s">
        <v>1033</v>
      </c>
    </row>
    <row r="443" hidden="1">
      <c r="A443" s="21"/>
      <c r="B443" s="21" t="s">
        <v>1396</v>
      </c>
      <c r="D443" s="25">
        <v>30.0</v>
      </c>
      <c r="E443" s="27"/>
      <c r="F443" s="25">
        <v>5.86</v>
      </c>
      <c r="G443" s="27"/>
    </row>
    <row r="444" hidden="1">
      <c r="A444" s="21"/>
      <c r="B444" s="21" t="s">
        <v>1397</v>
      </c>
      <c r="D444" s="25">
        <v>30.0</v>
      </c>
      <c r="E444" s="27"/>
      <c r="F444" s="25">
        <v>0.0</v>
      </c>
      <c r="G444" s="27"/>
    </row>
    <row r="445" hidden="1">
      <c r="A445" s="21"/>
      <c r="B445" s="21" t="s">
        <v>1398</v>
      </c>
      <c r="D445" s="25">
        <v>30.0</v>
      </c>
      <c r="E445" s="27"/>
      <c r="F445" s="25">
        <v>4.27</v>
      </c>
      <c r="G445" s="27"/>
    </row>
    <row r="446" hidden="1">
      <c r="A446" s="21"/>
      <c r="B446" s="21" t="s">
        <v>1399</v>
      </c>
      <c r="C446" s="21" t="s">
        <v>160</v>
      </c>
      <c r="D446" s="25">
        <v>30.0</v>
      </c>
      <c r="E446" s="25">
        <v>13.0</v>
      </c>
      <c r="F446" s="25">
        <v>2.72</v>
      </c>
      <c r="G446" s="21" t="s">
        <v>1400</v>
      </c>
    </row>
    <row r="447" hidden="1">
      <c r="A447" s="21"/>
      <c r="B447" s="21" t="s">
        <v>1401</v>
      </c>
      <c r="D447" s="25">
        <v>30.0</v>
      </c>
      <c r="E447" s="27"/>
      <c r="F447" s="25">
        <v>0.0</v>
      </c>
      <c r="G447" s="27"/>
    </row>
    <row r="448" hidden="1">
      <c r="A448" s="21"/>
      <c r="B448" s="21" t="s">
        <v>1402</v>
      </c>
      <c r="C448" s="21" t="s">
        <v>87</v>
      </c>
      <c r="D448" s="25">
        <v>30.0</v>
      </c>
      <c r="E448" s="25">
        <v>13.0</v>
      </c>
      <c r="F448" s="25">
        <v>8.19</v>
      </c>
      <c r="G448" s="21" t="s">
        <v>1037</v>
      </c>
    </row>
    <row r="449" hidden="1">
      <c r="A449" s="21"/>
      <c r="B449" s="21" t="s">
        <v>1403</v>
      </c>
      <c r="D449" s="25">
        <v>30.0</v>
      </c>
      <c r="E449" s="27"/>
      <c r="F449" s="25">
        <v>28.86</v>
      </c>
      <c r="G449" s="27"/>
    </row>
    <row r="450" hidden="1">
      <c r="A450" s="21"/>
      <c r="B450" s="21" t="s">
        <v>1404</v>
      </c>
      <c r="D450" s="25">
        <v>30.0</v>
      </c>
      <c r="E450" s="27"/>
      <c r="F450" s="25">
        <v>8.09</v>
      </c>
      <c r="G450" s="27"/>
    </row>
    <row r="451" hidden="1">
      <c r="A451" s="21"/>
      <c r="B451" s="21" t="s">
        <v>1405</v>
      </c>
      <c r="D451" s="25">
        <v>30.0</v>
      </c>
      <c r="E451" s="27"/>
      <c r="F451" s="25">
        <v>0.0</v>
      </c>
      <c r="G451" s="27"/>
    </row>
    <row r="452" hidden="1">
      <c r="A452" s="21"/>
      <c r="B452" s="21" t="s">
        <v>1406</v>
      </c>
      <c r="D452" s="25">
        <v>30.0</v>
      </c>
      <c r="E452" s="27"/>
      <c r="F452" s="25">
        <v>9.67</v>
      </c>
      <c r="G452" s="27"/>
    </row>
    <row r="453" hidden="1">
      <c r="A453" s="21"/>
      <c r="B453" s="21" t="s">
        <v>1407</v>
      </c>
      <c r="C453" s="21" t="s">
        <v>90</v>
      </c>
      <c r="D453" s="25">
        <v>30.0</v>
      </c>
      <c r="E453" s="25">
        <v>15.0</v>
      </c>
      <c r="F453" s="25">
        <v>0.65</v>
      </c>
      <c r="G453" s="21" t="s">
        <v>936</v>
      </c>
    </row>
    <row r="454" hidden="1">
      <c r="A454" s="21"/>
      <c r="B454" s="21" t="s">
        <v>1408</v>
      </c>
      <c r="D454" s="25">
        <v>30.0</v>
      </c>
      <c r="E454" s="27"/>
      <c r="F454" s="25">
        <v>0.85</v>
      </c>
      <c r="G454" s="27"/>
    </row>
    <row r="455" hidden="1">
      <c r="A455" s="21"/>
      <c r="B455" s="21" t="s">
        <v>1409</v>
      </c>
      <c r="D455" s="25">
        <v>30.0</v>
      </c>
      <c r="E455" s="27"/>
      <c r="F455" s="25">
        <v>0.0</v>
      </c>
      <c r="G455" s="27"/>
    </row>
    <row r="456" hidden="1">
      <c r="A456" s="21"/>
      <c r="B456" s="21" t="s">
        <v>1410</v>
      </c>
      <c r="D456" s="25">
        <v>30.0</v>
      </c>
      <c r="E456" s="27"/>
      <c r="F456" s="25">
        <v>5.22</v>
      </c>
      <c r="G456" s="27"/>
    </row>
    <row r="457" hidden="1">
      <c r="A457" s="21"/>
      <c r="B457" s="21" t="s">
        <v>1411</v>
      </c>
      <c r="C457" s="21" t="s">
        <v>87</v>
      </c>
      <c r="D457" s="25">
        <v>30.0</v>
      </c>
      <c r="E457" s="25">
        <v>0.0</v>
      </c>
      <c r="F457" s="25">
        <v>8.9</v>
      </c>
      <c r="G457" s="21" t="s">
        <v>1027</v>
      </c>
    </row>
    <row r="458" hidden="1">
      <c r="A458" s="21"/>
      <c r="B458" s="21" t="s">
        <v>1412</v>
      </c>
      <c r="C458" s="21" t="s">
        <v>87</v>
      </c>
      <c r="D458" s="25">
        <v>30.0</v>
      </c>
      <c r="E458" s="25">
        <v>3.0</v>
      </c>
      <c r="F458" s="25">
        <v>10.3</v>
      </c>
      <c r="G458" s="21" t="s">
        <v>1413</v>
      </c>
    </row>
    <row r="459" hidden="1">
      <c r="A459" s="21"/>
      <c r="B459" s="21" t="s">
        <v>1414</v>
      </c>
      <c r="D459" s="25">
        <v>30.0</v>
      </c>
      <c r="E459" s="27"/>
      <c r="F459" s="25">
        <v>6.81</v>
      </c>
      <c r="G459" s="27"/>
    </row>
    <row r="460" hidden="1">
      <c r="A460" s="21"/>
      <c r="B460" s="21" t="s">
        <v>1415</v>
      </c>
      <c r="C460" s="21" t="s">
        <v>87</v>
      </c>
      <c r="D460" s="25">
        <v>30.0</v>
      </c>
      <c r="E460" s="25">
        <v>40.0</v>
      </c>
      <c r="F460" s="25">
        <v>6.81</v>
      </c>
      <c r="G460" s="21" t="s">
        <v>1027</v>
      </c>
    </row>
    <row r="461" hidden="1">
      <c r="A461" s="21"/>
      <c r="B461" s="21" t="s">
        <v>1416</v>
      </c>
      <c r="D461" s="25">
        <v>30.0</v>
      </c>
      <c r="E461" s="27"/>
      <c r="F461" s="25">
        <v>0.0</v>
      </c>
      <c r="G461" s="27"/>
    </row>
    <row r="462" hidden="1">
      <c r="A462" s="21"/>
      <c r="B462" s="21" t="s">
        <v>1417</v>
      </c>
      <c r="C462" s="21" t="s">
        <v>87</v>
      </c>
      <c r="D462" s="25">
        <v>30.0</v>
      </c>
      <c r="E462" s="25">
        <v>5.0</v>
      </c>
      <c r="F462" s="25">
        <v>8.12</v>
      </c>
      <c r="G462" s="21" t="s">
        <v>97</v>
      </c>
    </row>
    <row r="463" hidden="1">
      <c r="A463" s="21"/>
      <c r="B463" s="21" t="s">
        <v>1418</v>
      </c>
      <c r="C463" s="21" t="s">
        <v>117</v>
      </c>
      <c r="D463" s="25">
        <v>30.0</v>
      </c>
      <c r="E463" s="25">
        <v>16.0</v>
      </c>
      <c r="F463" s="25">
        <v>6.74</v>
      </c>
      <c r="G463" s="21" t="s">
        <v>1419</v>
      </c>
    </row>
    <row r="464" hidden="1">
      <c r="A464" s="21"/>
      <c r="B464" s="21" t="s">
        <v>1420</v>
      </c>
      <c r="C464" s="21" t="s">
        <v>87</v>
      </c>
      <c r="D464" s="25">
        <v>30.0</v>
      </c>
      <c r="E464" s="25">
        <v>8.0</v>
      </c>
      <c r="F464" s="25">
        <v>5.86</v>
      </c>
      <c r="G464" s="21" t="s">
        <v>212</v>
      </c>
    </row>
    <row r="465" hidden="1">
      <c r="A465" s="21"/>
      <c r="B465" s="21" t="s">
        <v>1421</v>
      </c>
      <c r="D465" s="25">
        <v>30.0</v>
      </c>
      <c r="E465" s="27"/>
      <c r="F465" s="25">
        <v>0.0</v>
      </c>
      <c r="G465" s="27"/>
    </row>
    <row r="466" hidden="1">
      <c r="A466" s="21"/>
      <c r="B466" s="21" t="s">
        <v>1422</v>
      </c>
      <c r="D466" s="25">
        <v>30.0</v>
      </c>
      <c r="E466" s="27"/>
      <c r="F466" s="25">
        <v>0.0</v>
      </c>
      <c r="G466" s="27"/>
    </row>
    <row r="467" hidden="1">
      <c r="A467" s="21"/>
      <c r="B467" s="21" t="s">
        <v>1423</v>
      </c>
      <c r="D467" s="25">
        <v>30.0</v>
      </c>
      <c r="E467" s="27"/>
      <c r="F467" s="25">
        <v>0.0</v>
      </c>
      <c r="G467" s="27"/>
    </row>
    <row r="468" hidden="1">
      <c r="A468" s="21"/>
      <c r="B468" s="21" t="s">
        <v>1424</v>
      </c>
      <c r="C468" s="21" t="s">
        <v>87</v>
      </c>
      <c r="D468" s="25">
        <v>30.0</v>
      </c>
      <c r="E468" s="25">
        <v>9.0</v>
      </c>
      <c r="F468" s="25">
        <v>5.1</v>
      </c>
      <c r="G468" s="21" t="s">
        <v>1425</v>
      </c>
    </row>
    <row r="469" hidden="1">
      <c r="A469" s="21"/>
      <c r="B469" s="21" t="s">
        <v>1426</v>
      </c>
      <c r="C469" s="21" t="s">
        <v>87</v>
      </c>
      <c r="D469" s="25">
        <v>30.0</v>
      </c>
      <c r="E469" s="25">
        <v>22.0</v>
      </c>
      <c r="F469" s="25">
        <v>3.85</v>
      </c>
      <c r="G469" s="21" t="s">
        <v>429</v>
      </c>
    </row>
    <row r="470" hidden="1">
      <c r="A470" s="21"/>
      <c r="B470" s="21" t="s">
        <v>1427</v>
      </c>
      <c r="C470" s="21" t="s">
        <v>87</v>
      </c>
      <c r="D470" s="25">
        <v>30.0</v>
      </c>
      <c r="E470" s="25">
        <v>5.0</v>
      </c>
      <c r="F470" s="25">
        <v>8.1</v>
      </c>
      <c r="G470" s="21" t="s">
        <v>1428</v>
      </c>
    </row>
    <row r="471" hidden="1">
      <c r="A471" s="21"/>
      <c r="B471" s="21" t="s">
        <v>1429</v>
      </c>
      <c r="C471" s="21" t="s">
        <v>87</v>
      </c>
      <c r="D471" s="25">
        <v>30.0</v>
      </c>
      <c r="E471" s="25">
        <v>5.0</v>
      </c>
      <c r="F471" s="25">
        <v>7.88</v>
      </c>
      <c r="G471" s="21" t="s">
        <v>948</v>
      </c>
    </row>
    <row r="472" hidden="1">
      <c r="A472" s="21"/>
      <c r="B472" s="21" t="s">
        <v>1430</v>
      </c>
      <c r="C472" s="21" t="s">
        <v>87</v>
      </c>
      <c r="D472" s="25">
        <v>30.0</v>
      </c>
      <c r="E472" s="25">
        <v>6.0</v>
      </c>
      <c r="F472" s="25">
        <v>10.33</v>
      </c>
      <c r="G472" s="21" t="s">
        <v>1212</v>
      </c>
    </row>
    <row r="473" hidden="1">
      <c r="A473" s="21"/>
      <c r="B473" s="21" t="s">
        <v>1431</v>
      </c>
      <c r="C473" s="21" t="s">
        <v>87</v>
      </c>
      <c r="D473" s="25">
        <v>30.0</v>
      </c>
      <c r="E473" s="25">
        <v>24.0</v>
      </c>
      <c r="F473" s="25">
        <v>10.74</v>
      </c>
      <c r="G473" s="21" t="s">
        <v>970</v>
      </c>
    </row>
    <row r="474" hidden="1">
      <c r="A474" s="21"/>
      <c r="B474" s="21" t="s">
        <v>1432</v>
      </c>
      <c r="D474" s="25">
        <v>30.0</v>
      </c>
      <c r="E474" s="27"/>
      <c r="F474" s="25">
        <v>8.35</v>
      </c>
      <c r="G474" s="27"/>
    </row>
    <row r="475" hidden="1">
      <c r="A475" s="21"/>
      <c r="B475" s="21" t="s">
        <v>1433</v>
      </c>
      <c r="D475" s="25">
        <v>30.0</v>
      </c>
      <c r="E475" s="27"/>
      <c r="F475" s="25">
        <v>0.0</v>
      </c>
      <c r="G475" s="27"/>
    </row>
    <row r="476" hidden="1">
      <c r="A476" s="21"/>
      <c r="B476" s="21" t="s">
        <v>1434</v>
      </c>
      <c r="C476" s="21" t="s">
        <v>87</v>
      </c>
      <c r="D476" s="25">
        <v>30.0</v>
      </c>
      <c r="E476" s="25">
        <v>17.0</v>
      </c>
      <c r="F476" s="25">
        <v>6.83</v>
      </c>
      <c r="G476" s="21" t="s">
        <v>948</v>
      </c>
    </row>
    <row r="477" hidden="1">
      <c r="A477" s="21"/>
      <c r="B477" s="21" t="s">
        <v>1435</v>
      </c>
      <c r="D477" s="25">
        <v>30.0</v>
      </c>
      <c r="E477" s="27"/>
      <c r="F477" s="25">
        <v>0.0</v>
      </c>
      <c r="G477" s="27"/>
    </row>
    <row r="478" hidden="1">
      <c r="A478" s="21"/>
      <c r="B478" s="21" t="s">
        <v>1436</v>
      </c>
      <c r="C478" s="21" t="s">
        <v>87</v>
      </c>
      <c r="D478" s="25">
        <v>30.0</v>
      </c>
      <c r="E478" s="25">
        <v>10.0</v>
      </c>
      <c r="F478" s="25">
        <v>7.74</v>
      </c>
      <c r="G478" s="21" t="s">
        <v>988</v>
      </c>
    </row>
    <row r="479" hidden="1">
      <c r="A479" s="21"/>
      <c r="B479" s="21" t="s">
        <v>1437</v>
      </c>
      <c r="D479" s="25">
        <v>30.0</v>
      </c>
      <c r="E479" s="27"/>
      <c r="F479" s="25">
        <v>0.0</v>
      </c>
      <c r="G479" s="27"/>
    </row>
    <row r="480" hidden="1">
      <c r="A480" s="21"/>
      <c r="B480" s="21" t="s">
        <v>1438</v>
      </c>
      <c r="D480" s="25">
        <v>30.0</v>
      </c>
      <c r="E480" s="27"/>
      <c r="F480" s="25">
        <v>3.93</v>
      </c>
      <c r="G480" s="27"/>
    </row>
    <row r="481" hidden="1">
      <c r="A481" s="21"/>
      <c r="B481" s="21" t="s">
        <v>1439</v>
      </c>
      <c r="D481" s="25">
        <v>30.0</v>
      </c>
      <c r="E481" s="27"/>
      <c r="F481" s="25">
        <v>0.0</v>
      </c>
      <c r="G481" s="27"/>
    </row>
    <row r="482" hidden="1">
      <c r="A482" s="21"/>
      <c r="B482" s="21" t="s">
        <v>1440</v>
      </c>
      <c r="D482" s="25">
        <v>30.0</v>
      </c>
      <c r="E482" s="27"/>
      <c r="F482" s="25">
        <v>0.0</v>
      </c>
      <c r="G482" s="27"/>
    </row>
    <row r="483" hidden="1">
      <c r="A483" s="21"/>
      <c r="B483" s="21" t="s">
        <v>1441</v>
      </c>
      <c r="C483" s="21" t="s">
        <v>117</v>
      </c>
      <c r="D483" s="25">
        <v>30.0</v>
      </c>
      <c r="E483" s="25">
        <v>3.0</v>
      </c>
      <c r="F483" s="25">
        <v>3.08</v>
      </c>
      <c r="G483" s="21" t="s">
        <v>1442</v>
      </c>
    </row>
    <row r="484" hidden="1">
      <c r="A484" s="21"/>
      <c r="B484" s="21" t="s">
        <v>1443</v>
      </c>
      <c r="C484" s="21" t="s">
        <v>87</v>
      </c>
      <c r="D484" s="25">
        <v>30.0</v>
      </c>
      <c r="E484" s="25">
        <v>20.0</v>
      </c>
      <c r="F484" s="25">
        <v>6.91</v>
      </c>
      <c r="G484" s="21" t="s">
        <v>970</v>
      </c>
    </row>
    <row r="485" hidden="1">
      <c r="A485" s="21"/>
      <c r="B485" s="21" t="s">
        <v>1444</v>
      </c>
      <c r="D485" s="25">
        <v>30.0</v>
      </c>
      <c r="E485" s="27"/>
      <c r="F485" s="25">
        <v>0.0</v>
      </c>
      <c r="G485" s="27"/>
    </row>
    <row r="486" hidden="1">
      <c r="A486" s="21"/>
      <c r="B486" s="21" t="s">
        <v>1445</v>
      </c>
      <c r="D486" s="25">
        <v>30.0</v>
      </c>
      <c r="E486" s="27"/>
      <c r="F486" s="25">
        <v>0.93</v>
      </c>
      <c r="G486" s="27"/>
    </row>
    <row r="487" hidden="1">
      <c r="A487" s="21"/>
      <c r="B487" s="21" t="s">
        <v>1446</v>
      </c>
      <c r="D487" s="25">
        <v>30.0</v>
      </c>
      <c r="E487" s="27"/>
      <c r="F487" s="25">
        <v>0.0</v>
      </c>
      <c r="G487" s="27"/>
    </row>
    <row r="488" hidden="1">
      <c r="A488" s="21"/>
      <c r="B488" s="21" t="s">
        <v>1447</v>
      </c>
      <c r="C488" s="21" t="s">
        <v>87</v>
      </c>
      <c r="D488" s="25">
        <v>30.0</v>
      </c>
      <c r="E488" s="25">
        <v>21.0</v>
      </c>
      <c r="F488" s="25">
        <v>2.9</v>
      </c>
      <c r="G488" s="21" t="s">
        <v>1448</v>
      </c>
    </row>
    <row r="489" hidden="1">
      <c r="A489" s="21"/>
      <c r="B489" s="21" t="s">
        <v>1449</v>
      </c>
      <c r="D489" s="25">
        <v>30.0</v>
      </c>
      <c r="E489" s="27"/>
      <c r="F489" s="25">
        <v>0.7</v>
      </c>
      <c r="G489" s="27"/>
    </row>
    <row r="490" hidden="1">
      <c r="A490" s="21"/>
      <c r="B490" s="21" t="s">
        <v>1450</v>
      </c>
      <c r="D490" s="25">
        <v>30.0</v>
      </c>
      <c r="E490" s="27"/>
      <c r="F490" s="25">
        <v>0.0</v>
      </c>
      <c r="G490" s="27"/>
    </row>
    <row r="491" hidden="1">
      <c r="A491" s="21"/>
      <c r="B491" s="21" t="s">
        <v>1451</v>
      </c>
      <c r="C491" s="21" t="s">
        <v>99</v>
      </c>
      <c r="D491" s="25">
        <v>30.0</v>
      </c>
      <c r="E491" s="25">
        <v>29.0</v>
      </c>
      <c r="F491" s="25">
        <v>0.49</v>
      </c>
      <c r="G491" s="21" t="s">
        <v>890</v>
      </c>
    </row>
    <row r="492" hidden="1">
      <c r="A492" s="21"/>
      <c r="B492" s="21" t="s">
        <v>1452</v>
      </c>
      <c r="C492" s="21" t="s">
        <v>90</v>
      </c>
      <c r="D492" s="25">
        <v>30.0</v>
      </c>
      <c r="E492" s="25">
        <v>32.0</v>
      </c>
      <c r="F492" s="25">
        <v>1.9</v>
      </c>
      <c r="G492" s="21" t="s">
        <v>936</v>
      </c>
    </row>
    <row r="493" hidden="1">
      <c r="A493" s="21"/>
      <c r="B493" s="21" t="s">
        <v>510</v>
      </c>
      <c r="D493" s="25">
        <v>30.0</v>
      </c>
      <c r="E493" s="27"/>
      <c r="F493" s="25">
        <v>0.0</v>
      </c>
      <c r="G493" s="27"/>
    </row>
    <row r="494" hidden="1">
      <c r="A494" s="21"/>
      <c r="B494" s="21" t="s">
        <v>511</v>
      </c>
      <c r="C494" s="21" t="s">
        <v>117</v>
      </c>
      <c r="D494" s="25">
        <v>30.0</v>
      </c>
      <c r="E494" s="25">
        <v>31.0</v>
      </c>
      <c r="F494" s="25">
        <v>1.21</v>
      </c>
      <c r="G494" s="21" t="s">
        <v>512</v>
      </c>
    </row>
    <row r="495" hidden="1">
      <c r="A495" s="21"/>
      <c r="B495" s="21" t="s">
        <v>513</v>
      </c>
      <c r="C495" s="21" t="s">
        <v>117</v>
      </c>
      <c r="D495" s="25">
        <v>30.0</v>
      </c>
      <c r="E495" s="25">
        <v>32.0</v>
      </c>
      <c r="F495" s="25">
        <v>0.9</v>
      </c>
      <c r="G495" s="21" t="s">
        <v>431</v>
      </c>
    </row>
    <row r="496" hidden="1">
      <c r="A496" s="21"/>
      <c r="B496" s="21" t="s">
        <v>514</v>
      </c>
      <c r="D496" s="25">
        <v>30.0</v>
      </c>
      <c r="E496" s="27"/>
      <c r="F496" s="25">
        <v>4.71</v>
      </c>
      <c r="G496" s="27"/>
    </row>
    <row r="497" hidden="1">
      <c r="A497" s="21"/>
      <c r="B497" s="21" t="s">
        <v>515</v>
      </c>
      <c r="D497" s="25">
        <v>30.0</v>
      </c>
      <c r="E497" s="27"/>
      <c r="F497" s="25">
        <v>3.5</v>
      </c>
      <c r="G497" s="27"/>
    </row>
    <row r="498" hidden="1">
      <c r="A498" s="21"/>
      <c r="B498" s="21" t="s">
        <v>1453</v>
      </c>
      <c r="D498" s="25">
        <v>30.0</v>
      </c>
      <c r="E498" s="27"/>
      <c r="F498" s="25">
        <v>0.76</v>
      </c>
      <c r="G498" s="27"/>
    </row>
    <row r="499" hidden="1">
      <c r="A499" s="21"/>
      <c r="B499" s="21" t="s">
        <v>1454</v>
      </c>
      <c r="D499" s="25">
        <v>30.0</v>
      </c>
      <c r="E499" s="27"/>
      <c r="F499" s="25">
        <v>0.98</v>
      </c>
      <c r="G499" s="27"/>
    </row>
    <row r="500" hidden="1">
      <c r="A500" s="21"/>
      <c r="B500" s="21" t="s">
        <v>1455</v>
      </c>
      <c r="D500" s="25">
        <v>30.0</v>
      </c>
      <c r="E500" s="27"/>
      <c r="F500" s="25">
        <v>0.0</v>
      </c>
      <c r="G500" s="27"/>
    </row>
    <row r="501" hidden="1">
      <c r="A501" s="21"/>
      <c r="B501" s="21" t="s">
        <v>1456</v>
      </c>
      <c r="C501" s="21" t="s">
        <v>87</v>
      </c>
      <c r="D501" s="25">
        <v>30.0</v>
      </c>
      <c r="E501" s="25">
        <v>15.0</v>
      </c>
      <c r="F501" s="25">
        <v>7.21</v>
      </c>
      <c r="G501" s="21" t="s">
        <v>1457</v>
      </c>
    </row>
    <row r="502" hidden="1">
      <c r="A502" s="21"/>
      <c r="B502" s="21" t="s">
        <v>1458</v>
      </c>
      <c r="C502" s="21" t="s">
        <v>99</v>
      </c>
      <c r="D502" s="25">
        <v>30.0</v>
      </c>
      <c r="E502" s="25">
        <v>24.0</v>
      </c>
      <c r="F502" s="25">
        <v>1.42</v>
      </c>
      <c r="G502" s="21" t="s">
        <v>1459</v>
      </c>
    </row>
    <row r="503" hidden="1">
      <c r="A503" s="21"/>
      <c r="B503" s="21" t="s">
        <v>1460</v>
      </c>
      <c r="D503" s="25">
        <v>30.0</v>
      </c>
      <c r="E503" s="27"/>
      <c r="F503" s="25">
        <v>0.0</v>
      </c>
      <c r="G503" s="27"/>
    </row>
    <row r="504" hidden="1">
      <c r="A504" s="21"/>
      <c r="B504" s="21" t="s">
        <v>1461</v>
      </c>
      <c r="D504" s="25">
        <v>30.0</v>
      </c>
      <c r="E504" s="27"/>
      <c r="F504" s="25">
        <v>0.0</v>
      </c>
      <c r="G504" s="27"/>
    </row>
    <row r="505" hidden="1">
      <c r="A505" s="21"/>
      <c r="B505" s="21" t="s">
        <v>1462</v>
      </c>
      <c r="D505" s="25">
        <v>30.0</v>
      </c>
      <c r="E505" s="27"/>
      <c r="F505" s="25">
        <v>0.0</v>
      </c>
      <c r="G505" s="27"/>
    </row>
    <row r="506" hidden="1">
      <c r="A506" s="21"/>
      <c r="B506" s="21" t="s">
        <v>1463</v>
      </c>
      <c r="D506" s="25">
        <v>30.0</v>
      </c>
      <c r="E506" s="27"/>
      <c r="F506" s="25">
        <v>0.0</v>
      </c>
      <c r="G506" s="27"/>
    </row>
    <row r="507" hidden="1">
      <c r="A507" s="21"/>
      <c r="B507" s="21" t="s">
        <v>1464</v>
      </c>
      <c r="D507" s="25">
        <v>30.0</v>
      </c>
      <c r="E507" s="27"/>
      <c r="F507" s="25">
        <v>0.55</v>
      </c>
      <c r="G507" s="27"/>
    </row>
    <row r="508" hidden="1">
      <c r="A508" s="21"/>
      <c r="B508" s="21" t="s">
        <v>1465</v>
      </c>
      <c r="C508" s="21" t="s">
        <v>87</v>
      </c>
      <c r="D508" s="25">
        <v>30.0</v>
      </c>
      <c r="E508" s="25">
        <v>10.0</v>
      </c>
      <c r="F508" s="25">
        <v>4.41</v>
      </c>
      <c r="G508" s="21" t="s">
        <v>1466</v>
      </c>
    </row>
    <row r="509" hidden="1">
      <c r="A509" s="21"/>
      <c r="B509" s="21" t="s">
        <v>1467</v>
      </c>
      <c r="C509" s="21" t="s">
        <v>117</v>
      </c>
      <c r="D509" s="25">
        <v>30.0</v>
      </c>
      <c r="E509" s="25">
        <v>18.0</v>
      </c>
      <c r="F509" s="25">
        <v>3.12</v>
      </c>
      <c r="G509" s="21" t="s">
        <v>1351</v>
      </c>
    </row>
    <row r="510" hidden="1">
      <c r="A510" s="21"/>
      <c r="B510" s="21" t="s">
        <v>1468</v>
      </c>
      <c r="D510" s="25">
        <v>30.0</v>
      </c>
      <c r="E510" s="27"/>
      <c r="F510" s="25">
        <v>0.95</v>
      </c>
      <c r="G510" s="27"/>
    </row>
    <row r="511" hidden="1">
      <c r="A511" s="21"/>
      <c r="B511" s="21" t="s">
        <v>1469</v>
      </c>
      <c r="C511" s="21" t="s">
        <v>87</v>
      </c>
      <c r="D511" s="25">
        <v>30.0</v>
      </c>
      <c r="E511" s="25">
        <v>27.0</v>
      </c>
      <c r="F511" s="25">
        <v>6.83</v>
      </c>
      <c r="G511" s="21" t="s">
        <v>144</v>
      </c>
    </row>
    <row r="512" hidden="1">
      <c r="A512" s="21"/>
      <c r="B512" s="21" t="s">
        <v>1470</v>
      </c>
      <c r="D512" s="25">
        <v>30.0</v>
      </c>
      <c r="E512" s="27"/>
      <c r="F512" s="25">
        <v>0.0</v>
      </c>
      <c r="G512" s="27"/>
    </row>
    <row r="513" hidden="1">
      <c r="A513" s="21"/>
      <c r="B513" s="21" t="s">
        <v>1471</v>
      </c>
      <c r="D513" s="25">
        <v>30.0</v>
      </c>
      <c r="E513" s="27"/>
      <c r="F513" s="25">
        <v>3.7</v>
      </c>
      <c r="G513" s="27"/>
    </row>
    <row r="514" hidden="1">
      <c r="A514" s="21"/>
      <c r="B514" s="21" t="s">
        <v>1472</v>
      </c>
      <c r="D514" s="25">
        <v>30.0</v>
      </c>
      <c r="E514" s="27"/>
      <c r="F514" s="25">
        <v>0.0</v>
      </c>
      <c r="G514" s="27"/>
    </row>
    <row r="515" hidden="1">
      <c r="A515" s="21"/>
      <c r="B515" s="21" t="s">
        <v>1473</v>
      </c>
      <c r="C515" s="21" t="s">
        <v>117</v>
      </c>
      <c r="D515" s="25">
        <v>30.0</v>
      </c>
      <c r="E515" s="25">
        <v>32.0</v>
      </c>
      <c r="F515" s="25">
        <v>3.57</v>
      </c>
      <c r="G515" s="21" t="s">
        <v>1005</v>
      </c>
    </row>
    <row r="516" hidden="1">
      <c r="A516" s="21"/>
      <c r="B516" s="21" t="s">
        <v>1474</v>
      </c>
      <c r="D516" s="25">
        <v>30.0</v>
      </c>
      <c r="E516" s="27"/>
      <c r="F516" s="25">
        <v>0.0</v>
      </c>
      <c r="G516" s="27"/>
    </row>
    <row r="517" hidden="1">
      <c r="A517" s="21"/>
      <c r="B517" s="21" t="s">
        <v>1475</v>
      </c>
      <c r="D517" s="25">
        <v>30.0</v>
      </c>
      <c r="E517" s="27"/>
      <c r="F517" s="25">
        <v>0.0</v>
      </c>
      <c r="G517" s="27"/>
    </row>
    <row r="518" hidden="1">
      <c r="A518" s="21"/>
      <c r="B518" s="21" t="s">
        <v>1476</v>
      </c>
      <c r="D518" s="25">
        <v>30.0</v>
      </c>
      <c r="E518" s="27"/>
      <c r="F518" s="25">
        <v>0.0</v>
      </c>
      <c r="G518" s="27"/>
    </row>
    <row r="519" hidden="1">
      <c r="A519" s="21"/>
      <c r="B519" s="21" t="s">
        <v>1477</v>
      </c>
      <c r="D519" s="25">
        <v>30.0</v>
      </c>
      <c r="E519" s="27"/>
      <c r="F519" s="25">
        <v>5.59</v>
      </c>
      <c r="G519" s="27"/>
    </row>
    <row r="520" hidden="1">
      <c r="A520" s="21"/>
      <c r="B520" s="21" t="s">
        <v>1478</v>
      </c>
      <c r="C520" s="21" t="s">
        <v>117</v>
      </c>
      <c r="D520" s="25">
        <v>30.0</v>
      </c>
      <c r="E520" s="25">
        <v>10.0</v>
      </c>
      <c r="F520" s="25">
        <v>3.41</v>
      </c>
      <c r="G520" s="21" t="s">
        <v>1479</v>
      </c>
    </row>
    <row r="521" hidden="1">
      <c r="A521" s="21"/>
      <c r="B521" s="21" t="s">
        <v>1480</v>
      </c>
      <c r="C521" s="21" t="s">
        <v>117</v>
      </c>
      <c r="D521" s="25">
        <v>30.0</v>
      </c>
      <c r="E521" s="25">
        <v>7.0</v>
      </c>
      <c r="F521" s="25">
        <v>3.31</v>
      </c>
      <c r="G521" s="21" t="s">
        <v>1481</v>
      </c>
    </row>
    <row r="522" hidden="1">
      <c r="A522" s="21"/>
      <c r="B522" s="21" t="s">
        <v>1482</v>
      </c>
      <c r="D522" s="25">
        <v>30.0</v>
      </c>
      <c r="E522" s="27"/>
      <c r="F522" s="25">
        <v>0.0</v>
      </c>
      <c r="G522" s="27"/>
    </row>
    <row r="523" hidden="1">
      <c r="A523" s="21"/>
      <c r="B523" s="21" t="s">
        <v>1483</v>
      </c>
      <c r="D523" s="25">
        <v>30.0</v>
      </c>
      <c r="E523" s="27"/>
      <c r="F523" s="25">
        <v>0.0</v>
      </c>
      <c r="G523" s="27"/>
    </row>
    <row r="524" hidden="1">
      <c r="A524" s="21"/>
      <c r="B524" s="21" t="s">
        <v>1484</v>
      </c>
      <c r="D524" s="25">
        <v>30.0</v>
      </c>
      <c r="E524" s="27"/>
      <c r="F524" s="25">
        <v>8.35</v>
      </c>
      <c r="G524" s="27"/>
    </row>
    <row r="525" hidden="1">
      <c r="A525" s="21"/>
      <c r="B525" s="21" t="s">
        <v>1485</v>
      </c>
      <c r="D525" s="25">
        <v>30.0</v>
      </c>
      <c r="E525" s="27"/>
      <c r="F525" s="25">
        <v>4.22</v>
      </c>
      <c r="G525" s="27"/>
    </row>
    <row r="526" hidden="1">
      <c r="A526" s="21"/>
      <c r="B526" s="21" t="s">
        <v>1486</v>
      </c>
      <c r="D526" s="25">
        <v>30.0</v>
      </c>
      <c r="E526" s="27"/>
      <c r="F526" s="25">
        <v>0.0</v>
      </c>
      <c r="G526" s="27"/>
    </row>
    <row r="527" hidden="1">
      <c r="A527" s="21"/>
      <c r="B527" s="21" t="s">
        <v>1487</v>
      </c>
      <c r="D527" s="25">
        <v>30.0</v>
      </c>
      <c r="E527" s="27"/>
      <c r="F527" s="25">
        <v>0.0</v>
      </c>
      <c r="G527" s="27"/>
    </row>
    <row r="528" hidden="1">
      <c r="A528" s="21"/>
      <c r="B528" s="21" t="s">
        <v>516</v>
      </c>
      <c r="D528" s="25">
        <v>30.0</v>
      </c>
      <c r="E528" s="25">
        <v>14.0</v>
      </c>
      <c r="F528" s="25">
        <v>2.18</v>
      </c>
      <c r="G528" s="21" t="s">
        <v>517</v>
      </c>
    </row>
    <row r="529" hidden="1">
      <c r="A529" s="21"/>
      <c r="B529" s="21" t="s">
        <v>518</v>
      </c>
      <c r="D529" s="25">
        <v>30.0</v>
      </c>
      <c r="E529" s="27"/>
      <c r="F529" s="25">
        <v>0.0</v>
      </c>
      <c r="G529" s="27"/>
    </row>
    <row r="530" hidden="1">
      <c r="A530" s="21"/>
      <c r="B530" s="21" t="s">
        <v>1488</v>
      </c>
      <c r="D530" s="25">
        <v>30.0</v>
      </c>
      <c r="E530" s="27"/>
      <c r="F530" s="25">
        <v>0.0</v>
      </c>
      <c r="G530" s="27"/>
    </row>
    <row r="531" hidden="1">
      <c r="A531" s="21"/>
      <c r="B531" s="21" t="s">
        <v>1489</v>
      </c>
      <c r="D531" s="25">
        <v>30.0</v>
      </c>
      <c r="E531" s="27"/>
      <c r="F531" s="25">
        <v>0.0</v>
      </c>
      <c r="G531" s="27"/>
    </row>
    <row r="532" hidden="1">
      <c r="A532" s="21"/>
      <c r="B532" s="21" t="s">
        <v>1490</v>
      </c>
      <c r="D532" s="25">
        <v>20.0</v>
      </c>
      <c r="E532" s="27"/>
      <c r="F532" s="25">
        <v>2.22</v>
      </c>
      <c r="G532" s="27"/>
    </row>
    <row r="533" hidden="1">
      <c r="A533" s="21"/>
      <c r="B533" s="21" t="s">
        <v>1491</v>
      </c>
      <c r="D533" s="25">
        <v>20.0</v>
      </c>
      <c r="E533" s="27"/>
      <c r="F533" s="25">
        <v>0.0</v>
      </c>
      <c r="G533" s="27"/>
    </row>
    <row r="534" hidden="1">
      <c r="A534" s="21"/>
      <c r="B534" s="21" t="s">
        <v>1492</v>
      </c>
      <c r="D534" s="25">
        <v>20.0</v>
      </c>
      <c r="E534" s="27"/>
      <c r="F534" s="25">
        <v>0.0</v>
      </c>
      <c r="G534" s="27"/>
    </row>
    <row r="535" hidden="1">
      <c r="A535" s="21"/>
      <c r="B535" s="21" t="s">
        <v>519</v>
      </c>
      <c r="D535" s="25">
        <v>20.0</v>
      </c>
      <c r="E535" s="27"/>
      <c r="F535" s="25">
        <v>0.0</v>
      </c>
      <c r="G535" s="27"/>
    </row>
    <row r="536" hidden="1">
      <c r="A536" s="21"/>
      <c r="B536" s="21" t="s">
        <v>520</v>
      </c>
      <c r="D536" s="25">
        <v>20.0</v>
      </c>
      <c r="E536" s="27"/>
      <c r="F536" s="25">
        <v>0.0</v>
      </c>
      <c r="G536" s="27"/>
    </row>
    <row r="537" hidden="1">
      <c r="A537" s="21"/>
      <c r="B537" s="21" t="s">
        <v>521</v>
      </c>
      <c r="D537" s="25">
        <v>20.0</v>
      </c>
      <c r="E537" s="27"/>
      <c r="F537" s="25">
        <v>0.0</v>
      </c>
      <c r="G537" s="27"/>
    </row>
    <row r="538" hidden="1">
      <c r="A538" s="21"/>
      <c r="B538" s="21" t="s">
        <v>522</v>
      </c>
      <c r="D538" s="25">
        <v>20.0</v>
      </c>
      <c r="E538" s="27"/>
      <c r="F538" s="25">
        <v>3.86</v>
      </c>
      <c r="G538" s="27"/>
    </row>
    <row r="539" hidden="1">
      <c r="A539" s="21"/>
      <c r="B539" s="21" t="s">
        <v>523</v>
      </c>
      <c r="D539" s="25">
        <v>20.0</v>
      </c>
      <c r="E539" s="27"/>
      <c r="F539" s="25">
        <v>10.24</v>
      </c>
      <c r="G539" s="27"/>
    </row>
    <row r="540" hidden="1">
      <c r="A540" s="21"/>
      <c r="B540" s="21" t="s">
        <v>1493</v>
      </c>
      <c r="D540" s="25">
        <v>20.0</v>
      </c>
      <c r="E540" s="27"/>
      <c r="F540" s="25">
        <v>6.69</v>
      </c>
      <c r="G540" s="27"/>
    </row>
    <row r="541" hidden="1">
      <c r="A541" s="21"/>
      <c r="B541" s="21" t="s">
        <v>1494</v>
      </c>
      <c r="D541" s="25">
        <v>20.0</v>
      </c>
      <c r="E541" s="27"/>
      <c r="F541" s="25">
        <v>6.36</v>
      </c>
      <c r="G541" s="27"/>
    </row>
    <row r="542" hidden="1">
      <c r="A542" s="21"/>
      <c r="B542" s="21" t="s">
        <v>1495</v>
      </c>
      <c r="D542" s="25">
        <v>20.0</v>
      </c>
      <c r="E542" s="27"/>
      <c r="F542" s="25">
        <v>6.17</v>
      </c>
      <c r="G542" s="27"/>
    </row>
    <row r="543" hidden="1">
      <c r="A543" s="21"/>
      <c r="B543" s="21" t="s">
        <v>1496</v>
      </c>
      <c r="D543" s="25">
        <v>20.0</v>
      </c>
      <c r="E543" s="27"/>
      <c r="F543" s="25">
        <v>0.0</v>
      </c>
      <c r="G543" s="27"/>
    </row>
    <row r="544" hidden="1">
      <c r="A544" s="21"/>
      <c r="B544" s="21" t="s">
        <v>1497</v>
      </c>
      <c r="D544" s="25">
        <v>20.0</v>
      </c>
      <c r="E544" s="27"/>
      <c r="F544" s="25">
        <v>0.0</v>
      </c>
      <c r="G544" s="27"/>
    </row>
    <row r="545" hidden="1">
      <c r="A545" s="21"/>
      <c r="B545" s="21" t="s">
        <v>1498</v>
      </c>
      <c r="D545" s="25">
        <v>20.0</v>
      </c>
      <c r="E545" s="27"/>
      <c r="F545" s="25">
        <v>5.69</v>
      </c>
      <c r="G545" s="27"/>
    </row>
    <row r="546" hidden="1">
      <c r="A546" s="21"/>
      <c r="B546" s="21" t="s">
        <v>1499</v>
      </c>
      <c r="D546" s="25">
        <v>20.0</v>
      </c>
      <c r="E546" s="27"/>
      <c r="F546" s="25">
        <v>0.0</v>
      </c>
      <c r="G546" s="27"/>
    </row>
    <row r="547" hidden="1">
      <c r="A547" s="21"/>
      <c r="B547" s="21" t="s">
        <v>1500</v>
      </c>
      <c r="D547" s="25">
        <v>20.0</v>
      </c>
      <c r="E547" s="27"/>
      <c r="F547" s="25">
        <v>0.0</v>
      </c>
      <c r="G547" s="27"/>
    </row>
    <row r="548" hidden="1">
      <c r="A548" s="21"/>
      <c r="B548" s="21" t="s">
        <v>1501</v>
      </c>
      <c r="D548" s="25">
        <v>20.0</v>
      </c>
      <c r="E548" s="27"/>
      <c r="F548" s="25">
        <v>4.56</v>
      </c>
      <c r="G548" s="27"/>
    </row>
    <row r="549" hidden="1">
      <c r="A549" s="21"/>
      <c r="B549" s="21" t="s">
        <v>1502</v>
      </c>
      <c r="D549" s="25">
        <v>20.0</v>
      </c>
      <c r="E549" s="27"/>
      <c r="F549" s="25">
        <v>7.6</v>
      </c>
      <c r="G549" s="27"/>
    </row>
    <row r="550" hidden="1">
      <c r="A550" s="21"/>
      <c r="B550" s="21" t="s">
        <v>1503</v>
      </c>
      <c r="D550" s="25">
        <v>20.0</v>
      </c>
      <c r="E550" s="27"/>
      <c r="F550" s="25">
        <v>1.43</v>
      </c>
      <c r="G550" s="27"/>
    </row>
    <row r="551" hidden="1">
      <c r="A551" s="21"/>
      <c r="B551" s="21" t="s">
        <v>1504</v>
      </c>
      <c r="D551" s="25">
        <v>20.0</v>
      </c>
      <c r="E551" s="27"/>
      <c r="F551" s="25">
        <v>0.0</v>
      </c>
      <c r="G551" s="27"/>
    </row>
    <row r="552" hidden="1">
      <c r="A552" s="21"/>
      <c r="B552" s="21" t="s">
        <v>1505</v>
      </c>
      <c r="D552" s="25">
        <v>20.0</v>
      </c>
      <c r="E552" s="27"/>
      <c r="F552" s="25">
        <v>7.41</v>
      </c>
      <c r="G552" s="27"/>
    </row>
    <row r="553" hidden="1">
      <c r="A553" s="21"/>
      <c r="B553" s="21" t="s">
        <v>1506</v>
      </c>
      <c r="D553" s="25">
        <v>20.0</v>
      </c>
      <c r="E553" s="27"/>
      <c r="F553" s="25">
        <v>9.52</v>
      </c>
      <c r="G553" s="27"/>
    </row>
    <row r="554" hidden="1">
      <c r="A554" s="21"/>
      <c r="B554" s="21" t="s">
        <v>1507</v>
      </c>
      <c r="D554" s="25">
        <v>20.0</v>
      </c>
      <c r="E554" s="27"/>
      <c r="F554" s="25">
        <v>5.47</v>
      </c>
      <c r="G554" s="27"/>
    </row>
    <row r="555" hidden="1">
      <c r="A555" s="21"/>
      <c r="B555" s="21" t="s">
        <v>1508</v>
      </c>
      <c r="D555" s="25">
        <v>20.0</v>
      </c>
      <c r="E555" s="27"/>
      <c r="F555" s="25">
        <v>6.88</v>
      </c>
      <c r="G555" s="27"/>
    </row>
    <row r="556" hidden="1">
      <c r="A556" s="21"/>
      <c r="B556" s="21" t="s">
        <v>1509</v>
      </c>
      <c r="D556" s="25">
        <v>20.0</v>
      </c>
      <c r="E556" s="27"/>
      <c r="F556" s="25">
        <v>3.82</v>
      </c>
      <c r="G556" s="27"/>
    </row>
    <row r="557" hidden="1">
      <c r="A557" s="21"/>
      <c r="B557" s="21" t="s">
        <v>1510</v>
      </c>
      <c r="D557" s="25">
        <v>20.0</v>
      </c>
      <c r="E557" s="27"/>
      <c r="F557" s="25">
        <v>3.82</v>
      </c>
      <c r="G557" s="27"/>
    </row>
    <row r="558" hidden="1">
      <c r="A558" s="21"/>
      <c r="B558" s="21" t="s">
        <v>1511</v>
      </c>
      <c r="D558" s="25">
        <v>20.0</v>
      </c>
      <c r="E558" s="27"/>
      <c r="F558" s="25">
        <v>0.0</v>
      </c>
      <c r="G558" s="27"/>
    </row>
    <row r="559" hidden="1">
      <c r="A559" s="21"/>
      <c r="B559" s="21" t="s">
        <v>1512</v>
      </c>
      <c r="D559" s="25">
        <v>20.0</v>
      </c>
      <c r="E559" s="27"/>
      <c r="F559" s="25">
        <v>0.0</v>
      </c>
      <c r="G559" s="27"/>
    </row>
    <row r="560" hidden="1">
      <c r="A560" s="21"/>
      <c r="B560" s="21" t="s">
        <v>1513</v>
      </c>
      <c r="D560" s="25">
        <v>20.0</v>
      </c>
      <c r="E560" s="27"/>
      <c r="F560" s="25">
        <v>5.29</v>
      </c>
      <c r="G560" s="27"/>
    </row>
    <row r="561" hidden="1">
      <c r="A561" s="21"/>
      <c r="B561" s="21" t="s">
        <v>1514</v>
      </c>
      <c r="D561" s="25">
        <v>20.0</v>
      </c>
      <c r="E561" s="27"/>
      <c r="F561" s="25">
        <v>3.5</v>
      </c>
      <c r="G561" s="27"/>
    </row>
    <row r="562" hidden="1">
      <c r="A562" s="21"/>
      <c r="B562" s="21" t="s">
        <v>1515</v>
      </c>
      <c r="D562" s="25">
        <v>20.0</v>
      </c>
      <c r="E562" s="27"/>
      <c r="F562" s="25">
        <v>5.51</v>
      </c>
      <c r="G562" s="27"/>
    </row>
    <row r="563" hidden="1">
      <c r="A563" s="21"/>
      <c r="B563" s="21" t="s">
        <v>1516</v>
      </c>
      <c r="D563" s="25">
        <v>20.0</v>
      </c>
      <c r="E563" s="27"/>
      <c r="F563" s="25">
        <v>0.0</v>
      </c>
      <c r="G563" s="27"/>
    </row>
    <row r="564" hidden="1">
      <c r="A564" s="21"/>
      <c r="B564" s="21" t="s">
        <v>1517</v>
      </c>
      <c r="D564" s="25">
        <v>20.0</v>
      </c>
      <c r="E564" s="27"/>
      <c r="F564" s="25">
        <v>0.0</v>
      </c>
      <c r="G564" s="27"/>
    </row>
    <row r="565" hidden="1">
      <c r="A565" s="21"/>
      <c r="B565" s="21" t="s">
        <v>1518</v>
      </c>
      <c r="D565" s="25">
        <v>20.0</v>
      </c>
      <c r="E565" s="27"/>
      <c r="F565" s="25">
        <v>2.71</v>
      </c>
      <c r="G565" s="27"/>
    </row>
    <row r="566" hidden="1">
      <c r="A566" s="21"/>
      <c r="B566" s="21" t="s">
        <v>1519</v>
      </c>
      <c r="D566" s="25">
        <v>20.0</v>
      </c>
      <c r="E566" s="27"/>
      <c r="F566" s="25">
        <v>4.52</v>
      </c>
      <c r="G566" s="27"/>
    </row>
    <row r="567" hidden="1">
      <c r="A567" s="21"/>
      <c r="B567" s="21" t="s">
        <v>1520</v>
      </c>
      <c r="D567" s="25">
        <v>20.0</v>
      </c>
      <c r="E567" s="27"/>
      <c r="F567" s="25">
        <v>0.0</v>
      </c>
      <c r="G567" s="27"/>
    </row>
    <row r="568" hidden="1">
      <c r="A568" s="21"/>
      <c r="B568" s="21" t="s">
        <v>1521</v>
      </c>
      <c r="D568" s="25">
        <v>20.0</v>
      </c>
      <c r="E568" s="27"/>
      <c r="F568" s="25">
        <v>5.92</v>
      </c>
      <c r="G568" s="27"/>
    </row>
    <row r="569" hidden="1">
      <c r="A569" s="21"/>
      <c r="B569" s="21" t="s">
        <v>1522</v>
      </c>
      <c r="D569" s="25">
        <v>20.0</v>
      </c>
      <c r="E569" s="27"/>
      <c r="F569" s="25">
        <v>0.0</v>
      </c>
      <c r="G569" s="27"/>
    </row>
    <row r="570" hidden="1">
      <c r="A570" s="21"/>
      <c r="B570" s="21" t="s">
        <v>1523</v>
      </c>
      <c r="D570" s="25">
        <v>20.0</v>
      </c>
      <c r="E570" s="27"/>
      <c r="F570" s="25">
        <v>0.0</v>
      </c>
      <c r="G570" s="27"/>
    </row>
    <row r="571" hidden="1">
      <c r="A571" s="21"/>
      <c r="B571" s="21" t="s">
        <v>1524</v>
      </c>
      <c r="D571" s="25">
        <v>20.0</v>
      </c>
      <c r="E571" s="27"/>
      <c r="F571" s="25">
        <v>0.0</v>
      </c>
      <c r="G571" s="27"/>
    </row>
    <row r="572" hidden="1">
      <c r="A572" s="21"/>
      <c r="B572" s="21" t="s">
        <v>1525</v>
      </c>
      <c r="D572" s="25">
        <v>20.0</v>
      </c>
      <c r="E572" s="27"/>
      <c r="F572" s="25">
        <v>1.93</v>
      </c>
      <c r="G572" s="27"/>
    </row>
    <row r="573" hidden="1">
      <c r="A573" s="21"/>
      <c r="B573" s="21" t="s">
        <v>1526</v>
      </c>
      <c r="D573" s="25">
        <v>20.0</v>
      </c>
      <c r="E573" s="27"/>
      <c r="F573" s="25">
        <v>3.07</v>
      </c>
      <c r="G573" s="27"/>
    </row>
    <row r="574" hidden="1">
      <c r="A574" s="21"/>
      <c r="B574" s="21" t="s">
        <v>1527</v>
      </c>
      <c r="D574" s="25">
        <v>20.0</v>
      </c>
      <c r="E574" s="27"/>
      <c r="F574" s="25">
        <v>0.0</v>
      </c>
      <c r="G574" s="27"/>
    </row>
    <row r="575" hidden="1">
      <c r="A575" s="21"/>
      <c r="B575" s="21" t="s">
        <v>1528</v>
      </c>
      <c r="D575" s="25">
        <v>20.0</v>
      </c>
      <c r="E575" s="27"/>
      <c r="F575" s="25">
        <v>3.31</v>
      </c>
      <c r="G575" s="27"/>
    </row>
    <row r="576" hidden="1">
      <c r="A576" s="21"/>
      <c r="B576" s="21" t="s">
        <v>298</v>
      </c>
      <c r="D576" s="25">
        <v>20.0</v>
      </c>
      <c r="E576" s="27"/>
      <c r="F576" s="25">
        <v>0.0</v>
      </c>
      <c r="G576" s="27"/>
    </row>
    <row r="577" hidden="1">
      <c r="A577" s="21"/>
      <c r="B577" s="21" t="s">
        <v>1529</v>
      </c>
      <c r="D577" s="25">
        <v>20.0</v>
      </c>
      <c r="E577" s="27"/>
      <c r="F577" s="25">
        <v>3.39</v>
      </c>
      <c r="G577" s="27"/>
    </row>
    <row r="578" hidden="1">
      <c r="A578" s="21"/>
      <c r="B578" s="21" t="s">
        <v>1530</v>
      </c>
      <c r="D578" s="25">
        <v>20.0</v>
      </c>
      <c r="E578" s="27"/>
      <c r="F578" s="25">
        <v>0.0</v>
      </c>
      <c r="G578" s="27"/>
    </row>
    <row r="579" hidden="1">
      <c r="A579" s="21"/>
      <c r="B579" s="21" t="s">
        <v>1531</v>
      </c>
      <c r="D579" s="25">
        <v>20.0</v>
      </c>
      <c r="E579" s="27"/>
      <c r="F579" s="25">
        <v>10.53</v>
      </c>
      <c r="G579" s="27"/>
    </row>
    <row r="580" hidden="1">
      <c r="A580" s="21"/>
      <c r="B580" s="21" t="s">
        <v>1532</v>
      </c>
      <c r="D580" s="25">
        <v>20.0</v>
      </c>
      <c r="E580" s="27"/>
      <c r="F580" s="25">
        <v>0.0</v>
      </c>
      <c r="G580" s="27"/>
    </row>
    <row r="581" hidden="1">
      <c r="A581" s="21"/>
      <c r="B581" s="21" t="s">
        <v>1533</v>
      </c>
      <c r="D581" s="25">
        <v>20.0</v>
      </c>
      <c r="E581" s="27"/>
      <c r="F581" s="25">
        <v>0.0</v>
      </c>
      <c r="G581" s="27"/>
    </row>
    <row r="582" hidden="1">
      <c r="A582" s="21"/>
      <c r="B582" s="21" t="s">
        <v>1534</v>
      </c>
      <c r="D582" s="25">
        <v>20.0</v>
      </c>
      <c r="E582" s="27"/>
      <c r="F582" s="25">
        <v>4.01</v>
      </c>
      <c r="G582" s="27"/>
    </row>
    <row r="583" hidden="1">
      <c r="A583" s="21"/>
      <c r="B583" s="21" t="s">
        <v>1535</v>
      </c>
      <c r="D583" s="25">
        <v>20.0</v>
      </c>
      <c r="E583" s="27"/>
      <c r="F583" s="25">
        <v>0.0</v>
      </c>
      <c r="G583" s="27"/>
    </row>
    <row r="584" hidden="1">
      <c r="A584" s="21"/>
      <c r="B584" s="21" t="s">
        <v>1536</v>
      </c>
      <c r="D584" s="25">
        <v>20.0</v>
      </c>
      <c r="E584" s="27"/>
      <c r="F584" s="25">
        <v>0.0</v>
      </c>
      <c r="G584" s="27"/>
    </row>
    <row r="585" hidden="1">
      <c r="A585" s="21"/>
      <c r="B585" s="21" t="s">
        <v>1537</v>
      </c>
      <c r="D585" s="25">
        <v>20.0</v>
      </c>
      <c r="E585" s="27"/>
      <c r="F585" s="25">
        <v>0.0</v>
      </c>
      <c r="G585" s="27"/>
    </row>
    <row r="586" hidden="1">
      <c r="A586" s="21"/>
      <c r="B586" s="21" t="s">
        <v>1538</v>
      </c>
      <c r="D586" s="25">
        <v>20.0</v>
      </c>
      <c r="E586" s="27"/>
      <c r="F586" s="25">
        <v>7.41</v>
      </c>
      <c r="G586" s="27"/>
    </row>
    <row r="587" hidden="1">
      <c r="A587" s="21"/>
      <c r="B587" s="21" t="s">
        <v>1539</v>
      </c>
      <c r="D587" s="25">
        <v>20.0</v>
      </c>
      <c r="E587" s="27"/>
      <c r="F587" s="25">
        <v>7.04</v>
      </c>
      <c r="G587" s="27"/>
    </row>
    <row r="588" hidden="1">
      <c r="A588" s="21"/>
      <c r="B588" s="21" t="s">
        <v>1540</v>
      </c>
      <c r="D588" s="25">
        <v>20.0</v>
      </c>
      <c r="E588" s="27"/>
      <c r="F588" s="25">
        <v>7.04</v>
      </c>
      <c r="G588" s="27"/>
    </row>
    <row r="589" hidden="1">
      <c r="A589" s="21"/>
      <c r="B589" s="21" t="s">
        <v>1541</v>
      </c>
      <c r="D589" s="25">
        <v>20.0</v>
      </c>
      <c r="E589" s="27"/>
      <c r="F589" s="25">
        <v>0.0</v>
      </c>
      <c r="G589" s="27"/>
    </row>
    <row r="590" hidden="1">
      <c r="A590" s="21"/>
      <c r="B590" s="21" t="s">
        <v>1542</v>
      </c>
      <c r="D590" s="25">
        <v>20.0</v>
      </c>
      <c r="E590" s="27"/>
      <c r="F590" s="25">
        <v>7.14</v>
      </c>
      <c r="G590" s="27"/>
    </row>
    <row r="591" hidden="1">
      <c r="A591" s="21"/>
      <c r="B591" s="21" t="s">
        <v>1543</v>
      </c>
      <c r="D591" s="25">
        <v>20.0</v>
      </c>
      <c r="E591" s="27"/>
      <c r="F591" s="25">
        <v>0.0</v>
      </c>
      <c r="G591" s="27"/>
    </row>
    <row r="592" hidden="1">
      <c r="A592" s="21"/>
      <c r="B592" s="21" t="s">
        <v>1544</v>
      </c>
      <c r="D592" s="25">
        <v>20.0</v>
      </c>
      <c r="E592" s="27"/>
      <c r="F592" s="25">
        <v>0.0</v>
      </c>
      <c r="G592" s="27"/>
    </row>
    <row r="593" hidden="1">
      <c r="A593" s="21"/>
      <c r="B593" s="21" t="s">
        <v>1545</v>
      </c>
      <c r="D593" s="25">
        <v>20.0</v>
      </c>
      <c r="E593" s="27"/>
      <c r="F593" s="25">
        <v>2.07</v>
      </c>
      <c r="G593" s="27"/>
    </row>
    <row r="594" hidden="1">
      <c r="A594" s="21"/>
      <c r="B594" s="21" t="s">
        <v>1546</v>
      </c>
      <c r="D594" s="25">
        <v>20.0</v>
      </c>
      <c r="E594" s="27"/>
      <c r="F594" s="25">
        <v>2.07</v>
      </c>
      <c r="G594" s="27"/>
    </row>
    <row r="595" hidden="1">
      <c r="A595" s="21"/>
      <c r="B595" s="21" t="s">
        <v>1547</v>
      </c>
      <c r="D595" s="25">
        <v>20.0</v>
      </c>
      <c r="E595" s="27"/>
      <c r="F595" s="25">
        <v>0.0</v>
      </c>
      <c r="G595" s="27"/>
    </row>
    <row r="596" hidden="1">
      <c r="A596" s="21"/>
      <c r="B596" s="21" t="s">
        <v>1548</v>
      </c>
      <c r="D596" s="25">
        <v>20.0</v>
      </c>
      <c r="E596" s="27"/>
      <c r="F596" s="25">
        <v>0.0</v>
      </c>
      <c r="G596" s="27"/>
    </row>
    <row r="597" hidden="1">
      <c r="A597" s="21"/>
      <c r="B597" s="21" t="s">
        <v>1549</v>
      </c>
      <c r="D597" s="25">
        <v>20.0</v>
      </c>
      <c r="E597" s="27"/>
      <c r="F597" s="25">
        <v>4.68</v>
      </c>
      <c r="G597" s="27"/>
    </row>
    <row r="598" hidden="1">
      <c r="A598" s="21"/>
      <c r="B598" s="21" t="s">
        <v>1550</v>
      </c>
      <c r="D598" s="25">
        <v>20.0</v>
      </c>
      <c r="E598" s="27"/>
      <c r="F598" s="25">
        <v>0.0</v>
      </c>
      <c r="G598" s="27"/>
    </row>
    <row r="599" hidden="1">
      <c r="A599" s="21"/>
      <c r="B599" s="21" t="s">
        <v>1551</v>
      </c>
      <c r="D599" s="25">
        <v>20.0</v>
      </c>
      <c r="E599" s="27"/>
      <c r="F599" s="25">
        <v>0.0</v>
      </c>
      <c r="G599" s="27"/>
    </row>
    <row r="600" hidden="1">
      <c r="A600" s="21"/>
      <c r="B600" s="21" t="s">
        <v>1552</v>
      </c>
      <c r="D600" s="25">
        <v>20.0</v>
      </c>
      <c r="E600" s="27"/>
      <c r="F600" s="25">
        <v>0.0</v>
      </c>
      <c r="G600" s="27"/>
    </row>
    <row r="601" hidden="1">
      <c r="A601" s="21"/>
      <c r="B601" s="21" t="s">
        <v>1553</v>
      </c>
      <c r="D601" s="25">
        <v>20.0</v>
      </c>
      <c r="E601" s="27"/>
      <c r="F601" s="25">
        <v>10.91</v>
      </c>
      <c r="G601" s="27"/>
    </row>
    <row r="602" hidden="1">
      <c r="A602" s="21"/>
      <c r="B602" s="21" t="s">
        <v>1554</v>
      </c>
      <c r="D602" s="25">
        <v>20.0</v>
      </c>
      <c r="E602" s="27"/>
      <c r="F602" s="25">
        <v>10.91</v>
      </c>
      <c r="G602" s="27"/>
    </row>
    <row r="603" hidden="1">
      <c r="A603" s="21"/>
      <c r="B603" s="21" t="s">
        <v>1555</v>
      </c>
      <c r="D603" s="25">
        <v>20.0</v>
      </c>
      <c r="E603" s="27"/>
      <c r="F603" s="25">
        <v>0.0</v>
      </c>
      <c r="G603" s="27"/>
    </row>
    <row r="604" hidden="1">
      <c r="A604" s="21"/>
      <c r="B604" s="21" t="s">
        <v>1556</v>
      </c>
      <c r="D604" s="25">
        <v>20.0</v>
      </c>
      <c r="E604" s="27"/>
      <c r="F604" s="25">
        <v>5.65</v>
      </c>
      <c r="G604" s="27"/>
    </row>
    <row r="605" hidden="1">
      <c r="A605" s="21"/>
      <c r="B605" s="21" t="s">
        <v>1557</v>
      </c>
      <c r="D605" s="25">
        <v>20.0</v>
      </c>
      <c r="E605" s="27"/>
      <c r="F605" s="25">
        <v>8.16</v>
      </c>
      <c r="G605" s="27"/>
    </row>
    <row r="606" hidden="1">
      <c r="A606" s="21"/>
      <c r="B606" s="21" t="s">
        <v>1558</v>
      </c>
      <c r="D606" s="25">
        <v>20.0</v>
      </c>
      <c r="E606" s="27"/>
      <c r="F606" s="25">
        <v>0.0</v>
      </c>
      <c r="G606" s="27"/>
    </row>
    <row r="607" hidden="1">
      <c r="A607" s="21"/>
      <c r="B607" s="21" t="s">
        <v>1559</v>
      </c>
      <c r="D607" s="25">
        <v>20.0</v>
      </c>
      <c r="E607" s="27"/>
      <c r="F607" s="25">
        <v>0.0</v>
      </c>
      <c r="G607" s="27"/>
    </row>
    <row r="608" hidden="1">
      <c r="A608" s="21"/>
      <c r="B608" s="21" t="s">
        <v>1560</v>
      </c>
      <c r="D608" s="25">
        <v>20.0</v>
      </c>
      <c r="E608" s="27"/>
      <c r="F608" s="25">
        <v>10.91</v>
      </c>
      <c r="G608" s="27"/>
    </row>
    <row r="609" hidden="1">
      <c r="A609" s="21"/>
      <c r="B609" s="21" t="s">
        <v>1561</v>
      </c>
      <c r="D609" s="25">
        <v>20.0</v>
      </c>
      <c r="E609" s="27"/>
      <c r="F609" s="25">
        <v>4.57</v>
      </c>
      <c r="G609" s="27"/>
    </row>
    <row r="610" hidden="1">
      <c r="A610" s="21"/>
      <c r="B610" s="21" t="s">
        <v>1562</v>
      </c>
      <c r="D610" s="25">
        <v>20.0</v>
      </c>
      <c r="E610" s="27"/>
      <c r="F610" s="25">
        <v>3.5</v>
      </c>
      <c r="G610" s="27"/>
    </row>
    <row r="611" hidden="1">
      <c r="A611" s="21"/>
      <c r="B611" s="21" t="s">
        <v>1563</v>
      </c>
      <c r="D611" s="25">
        <v>20.0</v>
      </c>
      <c r="E611" s="27"/>
      <c r="F611" s="25">
        <v>0.0</v>
      </c>
      <c r="G611" s="27"/>
    </row>
    <row r="612" hidden="1">
      <c r="A612" s="21"/>
      <c r="B612" s="21" t="s">
        <v>1564</v>
      </c>
      <c r="D612" s="25">
        <v>20.0</v>
      </c>
      <c r="E612" s="27"/>
      <c r="F612" s="25">
        <v>0.0</v>
      </c>
      <c r="G612" s="27"/>
    </row>
    <row r="613" hidden="1">
      <c r="A613" s="21"/>
      <c r="B613" s="21" t="s">
        <v>1565</v>
      </c>
      <c r="D613" s="25">
        <v>20.0</v>
      </c>
      <c r="E613" s="27"/>
      <c r="F613" s="25">
        <v>0.0</v>
      </c>
      <c r="G613" s="27"/>
    </row>
    <row r="614" hidden="1">
      <c r="A614" s="21"/>
      <c r="B614" s="21" t="s">
        <v>1566</v>
      </c>
      <c r="D614" s="25">
        <v>20.0</v>
      </c>
      <c r="E614" s="27"/>
      <c r="F614" s="25">
        <v>0.0</v>
      </c>
      <c r="G614" s="27"/>
    </row>
    <row r="615" hidden="1">
      <c r="A615" s="21"/>
      <c r="B615" s="21" t="s">
        <v>1567</v>
      </c>
      <c r="D615" s="25">
        <v>20.0</v>
      </c>
      <c r="E615" s="27"/>
      <c r="F615" s="25">
        <v>0.0</v>
      </c>
      <c r="G615" s="27"/>
    </row>
    <row r="616" hidden="1">
      <c r="A616" s="21"/>
      <c r="B616" s="21" t="s">
        <v>1568</v>
      </c>
      <c r="D616" s="25">
        <v>20.0</v>
      </c>
      <c r="E616" s="27"/>
      <c r="F616" s="25">
        <v>9.88</v>
      </c>
      <c r="G616" s="27"/>
    </row>
    <row r="617" hidden="1">
      <c r="A617" s="21"/>
      <c r="B617" s="21" t="s">
        <v>1569</v>
      </c>
      <c r="D617" s="25">
        <v>20.0</v>
      </c>
      <c r="E617" s="27"/>
      <c r="F617" s="25">
        <v>9.95</v>
      </c>
      <c r="G617" s="27"/>
    </row>
    <row r="618" hidden="1">
      <c r="A618" s="21"/>
      <c r="B618" s="21" t="s">
        <v>1570</v>
      </c>
      <c r="D618" s="25">
        <v>20.0</v>
      </c>
      <c r="E618" s="27"/>
      <c r="F618" s="25">
        <v>0.0</v>
      </c>
      <c r="G618" s="27"/>
    </row>
    <row r="619" hidden="1">
      <c r="A619" s="21"/>
      <c r="B619" s="21" t="s">
        <v>1571</v>
      </c>
      <c r="D619" s="25">
        <v>20.0</v>
      </c>
      <c r="E619" s="27"/>
      <c r="F619" s="25">
        <v>0.0</v>
      </c>
      <c r="G619" s="27"/>
    </row>
    <row r="620" hidden="1">
      <c r="A620" s="21"/>
      <c r="B620" s="21" t="s">
        <v>1572</v>
      </c>
      <c r="D620" s="25">
        <v>20.0</v>
      </c>
      <c r="E620" s="27"/>
      <c r="F620" s="25">
        <v>0.0</v>
      </c>
      <c r="G620" s="27"/>
    </row>
    <row r="621" hidden="1">
      <c r="A621" s="21"/>
      <c r="B621" s="21" t="s">
        <v>1573</v>
      </c>
      <c r="D621" s="25">
        <v>20.0</v>
      </c>
      <c r="E621" s="27"/>
      <c r="F621" s="25">
        <v>0.0</v>
      </c>
      <c r="G621" s="27"/>
    </row>
    <row r="622" hidden="1">
      <c r="A622" s="21"/>
      <c r="B622" s="21" t="s">
        <v>1574</v>
      </c>
      <c r="D622" s="25">
        <v>20.0</v>
      </c>
      <c r="E622" s="27"/>
      <c r="F622" s="25">
        <v>0.0</v>
      </c>
      <c r="G622" s="27"/>
    </row>
    <row r="623" hidden="1">
      <c r="A623" s="21"/>
      <c r="B623" s="21" t="s">
        <v>1575</v>
      </c>
      <c r="D623" s="25">
        <v>20.0</v>
      </c>
      <c r="E623" s="27"/>
      <c r="F623" s="25">
        <v>0.0</v>
      </c>
      <c r="G623" s="27"/>
    </row>
    <row r="624" hidden="1">
      <c r="A624" s="21"/>
      <c r="B624" s="21" t="s">
        <v>1576</v>
      </c>
      <c r="D624" s="25">
        <v>20.0</v>
      </c>
      <c r="E624" s="27"/>
      <c r="F624" s="25">
        <v>0.0</v>
      </c>
      <c r="G624" s="27"/>
    </row>
    <row r="625" hidden="1">
      <c r="A625" s="21"/>
      <c r="B625" s="21" t="s">
        <v>1577</v>
      </c>
      <c r="D625" s="25">
        <v>20.0</v>
      </c>
      <c r="E625" s="27"/>
      <c r="F625" s="25">
        <v>0.0</v>
      </c>
      <c r="G625" s="27"/>
    </row>
    <row r="626" hidden="1">
      <c r="A626" s="21"/>
      <c r="B626" s="21" t="s">
        <v>1578</v>
      </c>
      <c r="D626" s="25">
        <v>20.0</v>
      </c>
      <c r="E626" s="27"/>
      <c r="F626" s="25">
        <v>0.0</v>
      </c>
      <c r="G626" s="27"/>
    </row>
    <row r="627" hidden="1">
      <c r="A627" s="21"/>
      <c r="B627" s="21" t="s">
        <v>1579</v>
      </c>
      <c r="D627" s="25">
        <v>20.0</v>
      </c>
      <c r="E627" s="27"/>
      <c r="F627" s="25">
        <v>0.0</v>
      </c>
      <c r="G627" s="27"/>
    </row>
    <row r="628" hidden="1">
      <c r="A628" s="21"/>
      <c r="B628" s="21" t="s">
        <v>1580</v>
      </c>
      <c r="D628" s="25">
        <v>20.0</v>
      </c>
      <c r="E628" s="27"/>
      <c r="F628" s="25">
        <v>0.0</v>
      </c>
      <c r="G628" s="27"/>
    </row>
    <row r="629" hidden="1">
      <c r="A629" s="21"/>
      <c r="B629" s="21" t="s">
        <v>1581</v>
      </c>
      <c r="D629" s="25">
        <v>20.0</v>
      </c>
      <c r="E629" s="27"/>
      <c r="F629" s="25">
        <v>0.0</v>
      </c>
      <c r="G629" s="27"/>
    </row>
    <row r="630" hidden="1">
      <c r="A630" s="21"/>
      <c r="B630" s="21" t="s">
        <v>1582</v>
      </c>
      <c r="D630" s="25">
        <v>20.0</v>
      </c>
      <c r="E630" s="27"/>
      <c r="F630" s="25">
        <v>0.0</v>
      </c>
      <c r="G630" s="27"/>
    </row>
    <row r="631" hidden="1">
      <c r="A631" s="21"/>
      <c r="B631" s="21" t="s">
        <v>1583</v>
      </c>
      <c r="D631" s="25">
        <v>20.0</v>
      </c>
      <c r="E631" s="27"/>
      <c r="F631" s="25">
        <v>0.0</v>
      </c>
      <c r="G631" s="27"/>
    </row>
    <row r="632" hidden="1">
      <c r="A632" s="21"/>
      <c r="B632" s="21" t="s">
        <v>1584</v>
      </c>
      <c r="D632" s="25">
        <v>20.0</v>
      </c>
      <c r="E632" s="27"/>
      <c r="F632" s="25">
        <v>0.0</v>
      </c>
      <c r="G632" s="27"/>
    </row>
    <row r="633" hidden="1">
      <c r="A633" s="21"/>
      <c r="B633" s="21" t="s">
        <v>1585</v>
      </c>
      <c r="D633" s="25">
        <v>20.0</v>
      </c>
      <c r="E633" s="27"/>
      <c r="F633" s="25">
        <v>0.0</v>
      </c>
      <c r="G633" s="27"/>
    </row>
    <row r="634" hidden="1">
      <c r="A634" s="21"/>
      <c r="B634" s="21" t="s">
        <v>1586</v>
      </c>
      <c r="D634" s="25">
        <v>20.0</v>
      </c>
      <c r="E634" s="27"/>
      <c r="F634" s="25">
        <v>0.0</v>
      </c>
      <c r="G634" s="27"/>
    </row>
    <row r="635" hidden="1">
      <c r="A635" s="21"/>
      <c r="B635" s="21" t="s">
        <v>1587</v>
      </c>
      <c r="D635" s="25">
        <v>20.0</v>
      </c>
      <c r="E635" s="27"/>
      <c r="F635" s="25">
        <v>0.0</v>
      </c>
      <c r="G635" s="27"/>
    </row>
    <row r="636" hidden="1">
      <c r="A636" s="21"/>
      <c r="B636" s="21" t="s">
        <v>1588</v>
      </c>
      <c r="D636" s="25">
        <v>20.0</v>
      </c>
      <c r="E636" s="27"/>
      <c r="F636" s="25">
        <v>7.9</v>
      </c>
      <c r="G636" s="27"/>
    </row>
    <row r="637" hidden="1">
      <c r="A637" s="21"/>
      <c r="B637" s="21" t="s">
        <v>1589</v>
      </c>
      <c r="D637" s="25">
        <v>20.0</v>
      </c>
      <c r="E637" s="27"/>
      <c r="F637" s="25">
        <v>0.0</v>
      </c>
      <c r="G637" s="27"/>
    </row>
    <row r="638" hidden="1">
      <c r="A638" s="21"/>
      <c r="B638" s="21" t="s">
        <v>1590</v>
      </c>
      <c r="D638" s="25">
        <v>20.0</v>
      </c>
      <c r="E638" s="27"/>
      <c r="F638" s="25">
        <v>0.0</v>
      </c>
      <c r="G638" s="27"/>
    </row>
    <row r="639" hidden="1">
      <c r="A639" s="21"/>
      <c r="B639" s="21" t="s">
        <v>1591</v>
      </c>
      <c r="D639" s="25">
        <v>20.0</v>
      </c>
      <c r="E639" s="27"/>
      <c r="F639" s="25">
        <v>0.0</v>
      </c>
      <c r="G639" s="27"/>
    </row>
    <row r="640" hidden="1">
      <c r="A640" s="21"/>
      <c r="B640" s="21" t="s">
        <v>1592</v>
      </c>
      <c r="D640" s="25">
        <v>20.0</v>
      </c>
      <c r="E640" s="27"/>
      <c r="F640" s="25">
        <v>0.0</v>
      </c>
      <c r="G640" s="27"/>
    </row>
    <row r="641" hidden="1">
      <c r="A641" s="21"/>
      <c r="B641" s="21" t="s">
        <v>1593</v>
      </c>
      <c r="D641" s="25">
        <v>20.0</v>
      </c>
      <c r="E641" s="27"/>
      <c r="F641" s="25">
        <v>0.0</v>
      </c>
      <c r="G641" s="27"/>
    </row>
    <row r="642" hidden="1">
      <c r="A642" s="21"/>
      <c r="B642" s="21" t="s">
        <v>1594</v>
      </c>
      <c r="D642" s="25">
        <v>20.0</v>
      </c>
      <c r="E642" s="27"/>
      <c r="F642" s="25">
        <v>0.0</v>
      </c>
      <c r="G642" s="27"/>
    </row>
    <row r="643" hidden="1">
      <c r="A643" s="21"/>
      <c r="B643" s="21" t="s">
        <v>1595</v>
      </c>
      <c r="D643" s="25">
        <v>20.0</v>
      </c>
      <c r="E643" s="27"/>
      <c r="F643" s="25">
        <v>2.55</v>
      </c>
      <c r="G643" s="27"/>
    </row>
    <row r="644" hidden="1">
      <c r="A644" s="21"/>
      <c r="B644" s="21" t="s">
        <v>1596</v>
      </c>
      <c r="D644" s="25">
        <v>20.0</v>
      </c>
      <c r="E644" s="27"/>
      <c r="F644" s="25">
        <v>7.89</v>
      </c>
      <c r="G644" s="27"/>
    </row>
    <row r="645" hidden="1">
      <c r="A645" s="21"/>
      <c r="B645" s="21" t="s">
        <v>1597</v>
      </c>
      <c r="D645" s="25">
        <v>20.0</v>
      </c>
      <c r="E645" s="27"/>
      <c r="F645" s="25">
        <v>4.9</v>
      </c>
      <c r="G645" s="27"/>
    </row>
    <row r="646" hidden="1">
      <c r="A646" s="21"/>
      <c r="B646" s="21" t="s">
        <v>1598</v>
      </c>
      <c r="D646" s="25">
        <v>20.0</v>
      </c>
      <c r="E646" s="27"/>
      <c r="F646" s="25">
        <v>0.0</v>
      </c>
      <c r="G646" s="27"/>
    </row>
    <row r="647" hidden="1">
      <c r="A647" s="21"/>
      <c r="B647" s="21" t="s">
        <v>1599</v>
      </c>
      <c r="D647" s="25">
        <v>20.0</v>
      </c>
      <c r="E647" s="27"/>
      <c r="F647" s="25">
        <v>0.0</v>
      </c>
      <c r="G647" s="27"/>
    </row>
    <row r="648" hidden="1">
      <c r="A648" s="21"/>
      <c r="B648" s="21" t="s">
        <v>1600</v>
      </c>
      <c r="D648" s="25">
        <v>20.0</v>
      </c>
      <c r="E648" s="27"/>
      <c r="F648" s="25">
        <v>0.0</v>
      </c>
      <c r="G648" s="27"/>
    </row>
    <row r="649" hidden="1">
      <c r="A649" s="21"/>
      <c r="B649" s="21" t="s">
        <v>1601</v>
      </c>
      <c r="D649" s="25">
        <v>20.0</v>
      </c>
      <c r="E649" s="27"/>
      <c r="F649" s="25">
        <v>0.0</v>
      </c>
      <c r="G649" s="27"/>
    </row>
    <row r="650" hidden="1">
      <c r="A650" s="21"/>
      <c r="B650" s="21" t="s">
        <v>1602</v>
      </c>
      <c r="D650" s="25">
        <v>20.0</v>
      </c>
      <c r="E650" s="27"/>
      <c r="F650" s="25">
        <v>4.32</v>
      </c>
      <c r="G650" s="27"/>
    </row>
    <row r="651" hidden="1">
      <c r="A651" s="21"/>
      <c r="B651" s="21" t="s">
        <v>1603</v>
      </c>
      <c r="D651" s="25">
        <v>20.0</v>
      </c>
      <c r="E651" s="27"/>
      <c r="F651" s="25">
        <v>9.11</v>
      </c>
      <c r="G651" s="27"/>
    </row>
    <row r="652" hidden="1">
      <c r="A652" s="21"/>
      <c r="B652" s="21" t="s">
        <v>1604</v>
      </c>
      <c r="D652" s="25">
        <v>20.0</v>
      </c>
      <c r="E652" s="27"/>
      <c r="F652" s="25">
        <v>0.0</v>
      </c>
      <c r="G652" s="27"/>
    </row>
    <row r="653" hidden="1">
      <c r="A653" s="21"/>
      <c r="B653" s="21" t="s">
        <v>1605</v>
      </c>
      <c r="D653" s="25">
        <v>20.0</v>
      </c>
      <c r="E653" s="27"/>
      <c r="F653" s="25">
        <v>0.0</v>
      </c>
      <c r="G653" s="27"/>
    </row>
    <row r="654" hidden="1">
      <c r="A654" s="21"/>
      <c r="B654" s="21" t="s">
        <v>1606</v>
      </c>
      <c r="D654" s="25">
        <v>20.0</v>
      </c>
      <c r="E654" s="27"/>
      <c r="F654" s="25">
        <v>10.84</v>
      </c>
      <c r="G654" s="27"/>
    </row>
    <row r="655" hidden="1">
      <c r="A655" s="21"/>
      <c r="B655" s="21" t="s">
        <v>1607</v>
      </c>
      <c r="D655" s="25">
        <v>20.0</v>
      </c>
      <c r="E655" s="27"/>
      <c r="F655" s="25">
        <v>0.0</v>
      </c>
      <c r="G655" s="27"/>
    </row>
    <row r="656" hidden="1">
      <c r="A656" s="21"/>
      <c r="B656" s="21" t="s">
        <v>1608</v>
      </c>
      <c r="D656" s="25">
        <v>20.0</v>
      </c>
      <c r="E656" s="27"/>
      <c r="F656" s="25">
        <v>0.0</v>
      </c>
      <c r="G656" s="27"/>
    </row>
    <row r="657" hidden="1">
      <c r="A657" s="21"/>
      <c r="B657" s="21" t="s">
        <v>1609</v>
      </c>
      <c r="D657" s="25">
        <v>20.0</v>
      </c>
      <c r="E657" s="27"/>
      <c r="F657" s="25">
        <v>0.0</v>
      </c>
      <c r="G657" s="27"/>
    </row>
    <row r="658" hidden="1">
      <c r="A658" s="21"/>
      <c r="B658" s="21" t="s">
        <v>1610</v>
      </c>
      <c r="D658" s="25">
        <v>20.0</v>
      </c>
      <c r="E658" s="27"/>
      <c r="F658" s="25">
        <v>6.47</v>
      </c>
      <c r="G658" s="27"/>
    </row>
    <row r="659" hidden="1">
      <c r="A659" s="21"/>
      <c r="B659" s="21" t="s">
        <v>1611</v>
      </c>
      <c r="D659" s="25">
        <v>20.0</v>
      </c>
      <c r="E659" s="27"/>
      <c r="F659" s="25">
        <v>0.93</v>
      </c>
      <c r="G659" s="27"/>
    </row>
    <row r="660" hidden="1">
      <c r="A660" s="21"/>
      <c r="B660" s="21" t="s">
        <v>1612</v>
      </c>
      <c r="D660" s="25">
        <v>20.0</v>
      </c>
      <c r="E660" s="27"/>
      <c r="F660" s="25">
        <v>0.0</v>
      </c>
      <c r="G660" s="27"/>
    </row>
    <row r="661" hidden="1">
      <c r="A661" s="21"/>
      <c r="B661" s="21" t="s">
        <v>1613</v>
      </c>
      <c r="D661" s="25">
        <v>20.0</v>
      </c>
      <c r="E661" s="27"/>
      <c r="F661" s="25">
        <v>0.0</v>
      </c>
      <c r="G661" s="27"/>
    </row>
    <row r="662" hidden="1">
      <c r="A662" s="21"/>
      <c r="B662" s="21" t="s">
        <v>1614</v>
      </c>
      <c r="D662" s="25">
        <v>20.0</v>
      </c>
      <c r="E662" s="27"/>
      <c r="F662" s="25">
        <v>0.0</v>
      </c>
      <c r="G662" s="27"/>
    </row>
    <row r="663" hidden="1">
      <c r="A663" s="21"/>
      <c r="B663" s="21" t="s">
        <v>1615</v>
      </c>
      <c r="D663" s="25">
        <v>20.0</v>
      </c>
      <c r="E663" s="27"/>
      <c r="F663" s="25">
        <v>0.0</v>
      </c>
      <c r="G663" s="27"/>
    </row>
    <row r="664" hidden="1">
      <c r="A664" s="21"/>
      <c r="B664" s="21" t="s">
        <v>1616</v>
      </c>
      <c r="D664" s="25">
        <v>20.0</v>
      </c>
      <c r="E664" s="27"/>
      <c r="F664" s="25">
        <v>0.0</v>
      </c>
      <c r="G664" s="27"/>
    </row>
    <row r="665" hidden="1">
      <c r="A665" s="21"/>
      <c r="B665" s="21" t="s">
        <v>1617</v>
      </c>
      <c r="D665" s="25">
        <v>20.0</v>
      </c>
      <c r="E665" s="27"/>
      <c r="F665" s="25">
        <v>0.0</v>
      </c>
      <c r="G665" s="27"/>
    </row>
    <row r="666" hidden="1">
      <c r="A666" s="21"/>
      <c r="B666" s="21" t="s">
        <v>1618</v>
      </c>
      <c r="D666" s="25">
        <v>20.0</v>
      </c>
      <c r="E666" s="27"/>
      <c r="F666" s="25">
        <v>0.0</v>
      </c>
      <c r="G666" s="27"/>
    </row>
    <row r="667" hidden="1">
      <c r="A667" s="21"/>
      <c r="B667" s="21" t="s">
        <v>1619</v>
      </c>
      <c r="D667" s="25">
        <v>20.0</v>
      </c>
      <c r="E667" s="27"/>
      <c r="F667" s="25">
        <v>0.74</v>
      </c>
      <c r="G667" s="27"/>
    </row>
    <row r="668" hidden="1">
      <c r="A668" s="21"/>
      <c r="B668" s="21" t="s">
        <v>1620</v>
      </c>
      <c r="D668" s="25">
        <v>20.0</v>
      </c>
      <c r="E668" s="27"/>
      <c r="F668" s="25">
        <v>4.41</v>
      </c>
      <c r="G668" s="27"/>
    </row>
    <row r="669" hidden="1">
      <c r="A669" s="21"/>
      <c r="B669" s="21" t="s">
        <v>1621</v>
      </c>
      <c r="D669" s="25">
        <v>20.0</v>
      </c>
      <c r="E669" s="27"/>
      <c r="F669" s="25">
        <v>7.08</v>
      </c>
      <c r="G669" s="27"/>
    </row>
    <row r="670" hidden="1">
      <c r="A670" s="21"/>
      <c r="B670" s="21" t="s">
        <v>1622</v>
      </c>
      <c r="D670" s="25">
        <v>20.0</v>
      </c>
      <c r="E670" s="27"/>
      <c r="F670" s="25">
        <v>0.0</v>
      </c>
      <c r="G670" s="27"/>
    </row>
    <row r="671" hidden="1">
      <c r="A671" s="21"/>
      <c r="B671" s="21" t="s">
        <v>1623</v>
      </c>
      <c r="D671" s="25">
        <v>20.0</v>
      </c>
      <c r="E671" s="27"/>
      <c r="F671" s="25">
        <v>0.0</v>
      </c>
      <c r="G671" s="27"/>
    </row>
    <row r="672" hidden="1">
      <c r="A672" s="21"/>
      <c r="B672" s="21" t="s">
        <v>1624</v>
      </c>
      <c r="D672" s="25">
        <v>20.0</v>
      </c>
      <c r="E672" s="27"/>
      <c r="F672" s="25">
        <v>0.0</v>
      </c>
      <c r="G672" s="27"/>
    </row>
    <row r="673" hidden="1">
      <c r="A673" s="21"/>
      <c r="B673" s="21" t="s">
        <v>1625</v>
      </c>
      <c r="D673" s="25">
        <v>20.0</v>
      </c>
      <c r="E673" s="27"/>
      <c r="F673" s="25">
        <v>0.0</v>
      </c>
      <c r="G673" s="27"/>
    </row>
    <row r="674" hidden="1">
      <c r="A674" s="21"/>
      <c r="B674" s="21" t="s">
        <v>1626</v>
      </c>
      <c r="D674" s="25">
        <v>20.0</v>
      </c>
      <c r="E674" s="27"/>
      <c r="F674" s="25">
        <v>0.0</v>
      </c>
      <c r="G674" s="27"/>
    </row>
    <row r="675" hidden="1">
      <c r="A675" s="21"/>
      <c r="B675" s="21" t="s">
        <v>1627</v>
      </c>
      <c r="D675" s="25">
        <v>20.0</v>
      </c>
      <c r="E675" s="27"/>
      <c r="F675" s="25">
        <v>0.0</v>
      </c>
      <c r="G675" s="27"/>
    </row>
    <row r="676" hidden="1">
      <c r="A676" s="21"/>
      <c r="B676" s="21" t="s">
        <v>1628</v>
      </c>
      <c r="D676" s="25">
        <v>20.0</v>
      </c>
      <c r="E676" s="27"/>
      <c r="F676" s="25">
        <v>9.99</v>
      </c>
      <c r="G676" s="27"/>
    </row>
    <row r="677" hidden="1">
      <c r="A677" s="21"/>
      <c r="B677" s="21" t="s">
        <v>1629</v>
      </c>
      <c r="D677" s="25">
        <v>20.0</v>
      </c>
      <c r="E677" s="27"/>
      <c r="F677" s="25">
        <v>9.99</v>
      </c>
      <c r="G677" s="27"/>
    </row>
    <row r="678" hidden="1">
      <c r="A678" s="21"/>
      <c r="B678" s="21" t="s">
        <v>1630</v>
      </c>
      <c r="D678" s="25">
        <v>20.0</v>
      </c>
      <c r="E678" s="27"/>
      <c r="F678" s="25">
        <v>0.0</v>
      </c>
      <c r="G678" s="27"/>
    </row>
    <row r="679" hidden="1">
      <c r="A679" s="21"/>
      <c r="B679" s="21" t="s">
        <v>1631</v>
      </c>
      <c r="D679" s="25">
        <v>20.0</v>
      </c>
      <c r="E679" s="27"/>
      <c r="F679" s="25">
        <v>0.0</v>
      </c>
      <c r="G679" s="27"/>
    </row>
    <row r="680" hidden="1">
      <c r="A680" s="21"/>
      <c r="B680" s="21" t="s">
        <v>1632</v>
      </c>
      <c r="D680" s="25">
        <v>20.0</v>
      </c>
      <c r="E680" s="27"/>
      <c r="F680" s="25">
        <v>0.0</v>
      </c>
      <c r="G680" s="27"/>
    </row>
    <row r="681" hidden="1">
      <c r="A681" s="21"/>
      <c r="B681" s="21" t="s">
        <v>1633</v>
      </c>
      <c r="D681" s="25">
        <v>20.0</v>
      </c>
      <c r="E681" s="27"/>
      <c r="F681" s="25">
        <v>6.47</v>
      </c>
      <c r="G681" s="27"/>
    </row>
    <row r="682" hidden="1">
      <c r="A682" s="21"/>
      <c r="B682" s="21" t="s">
        <v>1634</v>
      </c>
      <c r="D682" s="25">
        <v>20.0</v>
      </c>
      <c r="E682" s="27"/>
      <c r="F682" s="25">
        <v>0.0</v>
      </c>
      <c r="G682" s="27"/>
    </row>
    <row r="683" hidden="1">
      <c r="A683" s="21"/>
      <c r="B683" s="21" t="s">
        <v>1635</v>
      </c>
      <c r="D683" s="25">
        <v>20.0</v>
      </c>
      <c r="E683" s="27"/>
      <c r="F683" s="25">
        <v>0.0</v>
      </c>
      <c r="G683" s="27"/>
    </row>
    <row r="684" hidden="1">
      <c r="A684" s="21"/>
      <c r="B684" s="21" t="s">
        <v>1636</v>
      </c>
      <c r="D684" s="25">
        <v>20.0</v>
      </c>
      <c r="E684" s="27"/>
      <c r="F684" s="25">
        <v>6.55</v>
      </c>
      <c r="G684" s="27"/>
    </row>
    <row r="685" hidden="1">
      <c r="A685" s="21"/>
      <c r="B685" s="21" t="s">
        <v>1637</v>
      </c>
      <c r="D685" s="25">
        <v>20.0</v>
      </c>
      <c r="E685" s="27"/>
      <c r="F685" s="25">
        <v>0.0</v>
      </c>
      <c r="G685" s="27"/>
    </row>
    <row r="686" hidden="1">
      <c r="A686" s="21"/>
      <c r="B686" s="21" t="s">
        <v>1638</v>
      </c>
      <c r="D686" s="25">
        <v>20.0</v>
      </c>
      <c r="E686" s="27"/>
      <c r="F686" s="25">
        <v>0.0</v>
      </c>
      <c r="G686" s="27"/>
    </row>
    <row r="687" hidden="1">
      <c r="A687" s="21"/>
      <c r="B687" s="21" t="s">
        <v>1639</v>
      </c>
      <c r="D687" s="25">
        <v>20.0</v>
      </c>
      <c r="E687" s="27"/>
      <c r="F687" s="25">
        <v>0.0</v>
      </c>
      <c r="G687" s="27"/>
    </row>
    <row r="688" hidden="1">
      <c r="A688" s="21"/>
      <c r="B688" s="21" t="s">
        <v>1640</v>
      </c>
      <c r="D688" s="25">
        <v>20.0</v>
      </c>
      <c r="E688" s="27"/>
      <c r="F688" s="25">
        <v>0.0</v>
      </c>
      <c r="G688" s="27"/>
    </row>
    <row r="689" hidden="1">
      <c r="A689" s="21"/>
      <c r="B689" s="21" t="s">
        <v>1641</v>
      </c>
      <c r="D689" s="25">
        <v>20.0</v>
      </c>
      <c r="E689" s="27"/>
      <c r="F689" s="25">
        <v>0.0</v>
      </c>
      <c r="G689" s="27"/>
    </row>
    <row r="690" hidden="1">
      <c r="A690" s="21"/>
      <c r="B690" s="21" t="s">
        <v>1642</v>
      </c>
      <c r="D690" s="25">
        <v>20.0</v>
      </c>
      <c r="E690" s="27"/>
      <c r="F690" s="25">
        <v>0.0</v>
      </c>
      <c r="G690" s="27"/>
    </row>
    <row r="691" hidden="1">
      <c r="A691" s="21"/>
      <c r="B691" s="21" t="s">
        <v>1643</v>
      </c>
      <c r="D691" s="25">
        <v>20.0</v>
      </c>
      <c r="E691" s="27"/>
      <c r="F691" s="25">
        <v>9.34</v>
      </c>
      <c r="G691" s="27"/>
    </row>
    <row r="692" hidden="1">
      <c r="A692" s="21"/>
      <c r="B692" s="21" t="s">
        <v>1644</v>
      </c>
      <c r="D692" s="25">
        <v>20.0</v>
      </c>
      <c r="E692" s="27"/>
      <c r="F692" s="25">
        <v>0.0</v>
      </c>
      <c r="G692" s="27"/>
    </row>
    <row r="693" hidden="1">
      <c r="A693" s="21"/>
      <c r="B693" s="21" t="s">
        <v>1645</v>
      </c>
      <c r="D693" s="25">
        <v>20.0</v>
      </c>
      <c r="E693" s="27"/>
      <c r="F693" s="25">
        <v>6.59</v>
      </c>
      <c r="G693" s="27"/>
    </row>
    <row r="694" hidden="1">
      <c r="A694" s="21"/>
      <c r="B694" s="21" t="s">
        <v>1646</v>
      </c>
      <c r="D694" s="25">
        <v>20.0</v>
      </c>
      <c r="E694" s="27"/>
      <c r="F694" s="25">
        <v>0.0</v>
      </c>
      <c r="G694" s="27"/>
    </row>
    <row r="695" hidden="1">
      <c r="A695" s="21"/>
      <c r="B695" s="21" t="s">
        <v>1647</v>
      </c>
      <c r="D695" s="25">
        <v>20.0</v>
      </c>
      <c r="E695" s="27"/>
      <c r="F695" s="25">
        <v>0.0</v>
      </c>
      <c r="G695" s="27"/>
    </row>
    <row r="696" hidden="1">
      <c r="A696" s="21"/>
      <c r="B696" s="21" t="s">
        <v>1648</v>
      </c>
      <c r="D696" s="25">
        <v>20.0</v>
      </c>
      <c r="E696" s="27"/>
      <c r="F696" s="25">
        <v>0.0</v>
      </c>
      <c r="G696" s="27"/>
    </row>
    <row r="697" hidden="1">
      <c r="A697" s="21"/>
      <c r="B697" s="21" t="s">
        <v>1649</v>
      </c>
      <c r="D697" s="25">
        <v>20.0</v>
      </c>
      <c r="E697" s="27"/>
      <c r="F697" s="25">
        <v>0.0</v>
      </c>
      <c r="G697" s="27"/>
    </row>
    <row r="698" hidden="1">
      <c r="A698" s="21"/>
      <c r="B698" s="21" t="s">
        <v>1650</v>
      </c>
      <c r="D698" s="25">
        <v>20.0</v>
      </c>
      <c r="E698" s="27"/>
      <c r="F698" s="25">
        <v>0.0</v>
      </c>
      <c r="G698" s="27"/>
    </row>
    <row r="699" hidden="1">
      <c r="A699" s="21"/>
      <c r="B699" s="21" t="s">
        <v>1651</v>
      </c>
      <c r="D699" s="25">
        <v>20.0</v>
      </c>
      <c r="E699" s="27"/>
      <c r="F699" s="25">
        <v>0.0</v>
      </c>
      <c r="G699" s="27"/>
    </row>
    <row r="700" hidden="1">
      <c r="A700" s="21"/>
      <c r="B700" s="21" t="s">
        <v>1652</v>
      </c>
      <c r="D700" s="25">
        <v>20.0</v>
      </c>
      <c r="E700" s="27"/>
      <c r="F700" s="25">
        <v>1.59</v>
      </c>
      <c r="G700" s="27"/>
    </row>
    <row r="701" hidden="1">
      <c r="A701" s="21"/>
      <c r="B701" s="21" t="s">
        <v>1653</v>
      </c>
      <c r="D701" s="25">
        <v>20.0</v>
      </c>
      <c r="E701" s="27"/>
      <c r="F701" s="25">
        <v>0.0</v>
      </c>
      <c r="G701" s="27"/>
    </row>
    <row r="702" hidden="1">
      <c r="A702" s="21"/>
      <c r="B702" s="21" t="s">
        <v>1654</v>
      </c>
      <c r="D702" s="25">
        <v>20.0</v>
      </c>
      <c r="E702" s="27"/>
      <c r="F702" s="25">
        <v>4.21</v>
      </c>
      <c r="G702" s="27"/>
    </row>
    <row r="703" hidden="1">
      <c r="A703" s="21"/>
      <c r="B703" s="21" t="s">
        <v>1655</v>
      </c>
      <c r="D703" s="25">
        <v>20.0</v>
      </c>
      <c r="E703" s="27"/>
      <c r="F703" s="25">
        <v>0.0</v>
      </c>
      <c r="G703" s="27"/>
    </row>
    <row r="704" hidden="1">
      <c r="A704" s="21"/>
      <c r="B704" s="21" t="s">
        <v>1656</v>
      </c>
      <c r="D704" s="25">
        <v>20.0</v>
      </c>
      <c r="E704" s="27"/>
      <c r="F704" s="25">
        <v>0.0</v>
      </c>
      <c r="G704" s="27"/>
    </row>
    <row r="705" hidden="1">
      <c r="A705" s="21"/>
      <c r="B705" s="21" t="s">
        <v>1657</v>
      </c>
      <c r="D705" s="25">
        <v>20.0</v>
      </c>
      <c r="E705" s="27"/>
      <c r="F705" s="25">
        <v>0.0</v>
      </c>
      <c r="G705" s="27"/>
    </row>
    <row r="706" hidden="1">
      <c r="A706" s="21"/>
      <c r="B706" s="21" t="s">
        <v>1658</v>
      </c>
      <c r="D706" s="25">
        <v>20.0</v>
      </c>
      <c r="E706" s="27"/>
      <c r="F706" s="25">
        <v>0.0</v>
      </c>
      <c r="G706" s="27"/>
    </row>
    <row r="707" hidden="1">
      <c r="A707" s="21"/>
      <c r="B707" s="21" t="s">
        <v>1659</v>
      </c>
      <c r="D707" s="25">
        <v>20.0</v>
      </c>
      <c r="E707" s="27"/>
      <c r="F707" s="25">
        <v>0.0</v>
      </c>
      <c r="G707" s="27"/>
    </row>
    <row r="708" hidden="1">
      <c r="A708" s="21"/>
      <c r="B708" s="21" t="s">
        <v>1660</v>
      </c>
      <c r="D708" s="25">
        <v>20.0</v>
      </c>
      <c r="E708" s="27"/>
      <c r="F708" s="25">
        <v>0.0</v>
      </c>
      <c r="G708" s="27"/>
    </row>
    <row r="709" hidden="1">
      <c r="A709" s="21"/>
      <c r="B709" s="21" t="s">
        <v>1661</v>
      </c>
      <c r="D709" s="25">
        <v>20.0</v>
      </c>
      <c r="E709" s="27"/>
      <c r="F709" s="25">
        <v>0.0</v>
      </c>
      <c r="G709" s="27"/>
    </row>
    <row r="710" hidden="1">
      <c r="A710" s="21"/>
      <c r="B710" s="21" t="s">
        <v>1662</v>
      </c>
      <c r="D710" s="25">
        <v>20.0</v>
      </c>
      <c r="E710" s="27"/>
      <c r="F710" s="25">
        <v>0.0</v>
      </c>
      <c r="G710" s="27"/>
    </row>
    <row r="711" hidden="1">
      <c r="A711" s="21"/>
      <c r="B711" s="21" t="s">
        <v>1663</v>
      </c>
      <c r="D711" s="25">
        <v>20.0</v>
      </c>
      <c r="E711" s="27"/>
      <c r="F711" s="25">
        <v>0.0</v>
      </c>
      <c r="G711" s="27"/>
    </row>
    <row r="712" hidden="1">
      <c r="A712" s="21"/>
      <c r="B712" s="21" t="s">
        <v>1664</v>
      </c>
      <c r="D712" s="25">
        <v>20.0</v>
      </c>
      <c r="E712" s="27"/>
      <c r="F712" s="25">
        <v>0.0</v>
      </c>
      <c r="G712" s="27"/>
    </row>
    <row r="713" hidden="1">
      <c r="A713" s="21"/>
      <c r="B713" s="21" t="s">
        <v>1665</v>
      </c>
      <c r="D713" s="25">
        <v>20.0</v>
      </c>
      <c r="E713" s="27"/>
      <c r="F713" s="25">
        <v>8.09</v>
      </c>
      <c r="G713" s="27"/>
    </row>
    <row r="714" hidden="1">
      <c r="A714" s="21"/>
      <c r="B714" s="21" t="s">
        <v>1666</v>
      </c>
      <c r="D714" s="25">
        <v>20.0</v>
      </c>
      <c r="E714" s="27"/>
      <c r="F714" s="25">
        <v>0.0</v>
      </c>
      <c r="G714" s="27"/>
    </row>
    <row r="715" hidden="1">
      <c r="A715" s="21"/>
      <c r="B715" s="21" t="s">
        <v>1667</v>
      </c>
      <c r="D715" s="25">
        <v>20.0</v>
      </c>
      <c r="E715" s="27"/>
      <c r="F715" s="25">
        <v>0.0</v>
      </c>
      <c r="G715" s="27"/>
    </row>
    <row r="716" hidden="1">
      <c r="A716" s="21"/>
      <c r="B716" s="21" t="s">
        <v>1668</v>
      </c>
      <c r="D716" s="25">
        <v>20.0</v>
      </c>
      <c r="E716" s="27"/>
      <c r="F716" s="25">
        <v>0.0</v>
      </c>
      <c r="G716" s="27"/>
    </row>
    <row r="717" hidden="1">
      <c r="A717" s="21"/>
      <c r="B717" s="21" t="s">
        <v>1669</v>
      </c>
      <c r="D717" s="25">
        <v>20.0</v>
      </c>
      <c r="E717" s="27"/>
      <c r="F717" s="25">
        <v>0.0</v>
      </c>
      <c r="G717" s="27"/>
    </row>
    <row r="718" hidden="1">
      <c r="A718" s="21"/>
      <c r="B718" s="21" t="s">
        <v>1670</v>
      </c>
      <c r="D718" s="25">
        <v>20.0</v>
      </c>
      <c r="E718" s="27"/>
      <c r="F718" s="25">
        <v>0.0</v>
      </c>
      <c r="G718" s="27"/>
    </row>
    <row r="719" hidden="1">
      <c r="A719" s="21"/>
      <c r="B719" s="21" t="s">
        <v>1671</v>
      </c>
      <c r="D719" s="25">
        <v>20.0</v>
      </c>
      <c r="E719" s="27"/>
      <c r="F719" s="25">
        <v>0.0</v>
      </c>
      <c r="G719" s="27"/>
    </row>
    <row r="720" hidden="1">
      <c r="A720" s="21"/>
      <c r="B720" s="21" t="s">
        <v>1672</v>
      </c>
      <c r="D720" s="25">
        <v>20.0</v>
      </c>
      <c r="E720" s="27"/>
      <c r="F720" s="25">
        <v>0.0</v>
      </c>
      <c r="G720" s="27"/>
    </row>
    <row r="721" hidden="1">
      <c r="A721" s="21"/>
      <c r="B721" s="21" t="s">
        <v>1673</v>
      </c>
      <c r="D721" s="25">
        <v>20.0</v>
      </c>
      <c r="E721" s="27"/>
      <c r="F721" s="25">
        <v>0.0</v>
      </c>
      <c r="G721" s="27"/>
    </row>
    <row r="722" hidden="1">
      <c r="A722" s="21"/>
      <c r="B722" s="21" t="s">
        <v>1674</v>
      </c>
      <c r="D722" s="25">
        <v>20.0</v>
      </c>
      <c r="E722" s="27"/>
      <c r="F722" s="25">
        <v>2.52</v>
      </c>
      <c r="G722" s="27"/>
    </row>
    <row r="723" hidden="1">
      <c r="A723" s="21"/>
      <c r="B723" s="21" t="s">
        <v>1675</v>
      </c>
      <c r="D723" s="25">
        <v>20.0</v>
      </c>
      <c r="E723" s="27"/>
      <c r="F723" s="25">
        <v>0.0</v>
      </c>
      <c r="G723" s="27"/>
    </row>
    <row r="724" hidden="1">
      <c r="A724" s="21"/>
      <c r="B724" s="21" t="s">
        <v>1676</v>
      </c>
      <c r="D724" s="25">
        <v>20.0</v>
      </c>
      <c r="E724" s="27"/>
      <c r="F724" s="25">
        <v>0.0</v>
      </c>
      <c r="G724" s="27"/>
    </row>
    <row r="725" hidden="1">
      <c r="A725" s="21"/>
      <c r="B725" s="21" t="s">
        <v>1677</v>
      </c>
      <c r="D725" s="25">
        <v>20.0</v>
      </c>
      <c r="E725" s="27"/>
      <c r="F725" s="25">
        <v>0.0</v>
      </c>
      <c r="G725" s="27"/>
    </row>
    <row r="726" hidden="1">
      <c r="A726" s="21"/>
      <c r="B726" s="21" t="s">
        <v>1678</v>
      </c>
      <c r="D726" s="25">
        <v>20.0</v>
      </c>
      <c r="E726" s="27"/>
      <c r="F726" s="25">
        <v>0.0</v>
      </c>
      <c r="G726" s="27"/>
    </row>
    <row r="727" hidden="1">
      <c r="A727" s="21"/>
      <c r="B727" s="21" t="s">
        <v>1679</v>
      </c>
      <c r="D727" s="25">
        <v>20.0</v>
      </c>
      <c r="E727" s="27"/>
      <c r="F727" s="25">
        <v>0.0</v>
      </c>
      <c r="G727" s="27"/>
    </row>
    <row r="728" hidden="1">
      <c r="A728" s="21"/>
      <c r="B728" s="21" t="s">
        <v>1680</v>
      </c>
      <c r="D728" s="25">
        <v>20.0</v>
      </c>
      <c r="E728" s="27"/>
      <c r="F728" s="25">
        <v>0.0</v>
      </c>
      <c r="G728" s="27"/>
    </row>
    <row r="729" hidden="1">
      <c r="A729" s="21"/>
      <c r="B729" s="21" t="s">
        <v>1681</v>
      </c>
      <c r="D729" s="25">
        <v>20.0</v>
      </c>
      <c r="E729" s="27"/>
      <c r="F729" s="25">
        <v>0.0</v>
      </c>
      <c r="G729" s="27"/>
    </row>
    <row r="730" hidden="1">
      <c r="A730" s="21"/>
      <c r="B730" s="21" t="s">
        <v>1682</v>
      </c>
      <c r="D730" s="25">
        <v>20.0</v>
      </c>
      <c r="E730" s="27"/>
      <c r="F730" s="25">
        <v>9.67</v>
      </c>
      <c r="G730" s="27"/>
    </row>
    <row r="731" hidden="1">
      <c r="A731" s="21"/>
      <c r="B731" s="21" t="s">
        <v>1683</v>
      </c>
      <c r="D731" s="25">
        <v>20.0</v>
      </c>
      <c r="E731" s="27"/>
      <c r="F731" s="25">
        <v>0.0</v>
      </c>
      <c r="G731" s="27"/>
    </row>
    <row r="732" hidden="1">
      <c r="A732" s="21"/>
      <c r="B732" s="21" t="s">
        <v>1684</v>
      </c>
      <c r="D732" s="25">
        <v>20.0</v>
      </c>
      <c r="E732" s="27"/>
      <c r="F732" s="25">
        <v>0.61</v>
      </c>
      <c r="G732" s="27"/>
    </row>
    <row r="733" hidden="1">
      <c r="A733" s="21"/>
      <c r="B733" s="21" t="s">
        <v>1685</v>
      </c>
      <c r="D733" s="25">
        <v>20.0</v>
      </c>
      <c r="E733" s="27"/>
      <c r="F733" s="25">
        <v>0.0</v>
      </c>
      <c r="G733" s="27"/>
    </row>
    <row r="734" hidden="1">
      <c r="A734" s="21"/>
      <c r="B734" s="21" t="s">
        <v>1686</v>
      </c>
      <c r="D734" s="25">
        <v>20.0</v>
      </c>
      <c r="E734" s="27"/>
      <c r="F734" s="25">
        <v>0.0</v>
      </c>
      <c r="G734" s="27"/>
    </row>
    <row r="735" hidden="1">
      <c r="A735" s="21"/>
      <c r="B735" s="21" t="s">
        <v>1687</v>
      </c>
      <c r="D735" s="25">
        <v>20.0</v>
      </c>
      <c r="E735" s="27"/>
      <c r="F735" s="25">
        <v>0.0</v>
      </c>
      <c r="G735" s="27"/>
    </row>
    <row r="736" hidden="1">
      <c r="A736" s="21"/>
      <c r="B736" s="21" t="s">
        <v>1688</v>
      </c>
      <c r="D736" s="25">
        <v>20.0</v>
      </c>
      <c r="E736" s="27"/>
      <c r="F736" s="25">
        <v>0.57</v>
      </c>
      <c r="G736" s="27"/>
    </row>
    <row r="737" hidden="1">
      <c r="A737" s="21"/>
      <c r="B737" s="21" t="s">
        <v>1689</v>
      </c>
      <c r="D737" s="25">
        <v>20.0</v>
      </c>
      <c r="E737" s="27"/>
      <c r="F737" s="25">
        <v>0.56</v>
      </c>
      <c r="G737" s="27"/>
    </row>
    <row r="738" hidden="1">
      <c r="A738" s="21"/>
      <c r="B738" s="21" t="s">
        <v>1690</v>
      </c>
      <c r="D738" s="25">
        <v>20.0</v>
      </c>
      <c r="E738" s="27"/>
      <c r="F738" s="25">
        <v>0.0</v>
      </c>
      <c r="G738" s="27"/>
    </row>
    <row r="739" hidden="1">
      <c r="A739" s="21"/>
      <c r="B739" s="21" t="s">
        <v>1691</v>
      </c>
      <c r="D739" s="25">
        <v>20.0</v>
      </c>
      <c r="E739" s="27"/>
      <c r="F739" s="25">
        <v>7.13</v>
      </c>
      <c r="G739" s="27"/>
    </row>
    <row r="740" hidden="1">
      <c r="A740" s="21"/>
      <c r="B740" s="21" t="s">
        <v>1692</v>
      </c>
      <c r="D740" s="25">
        <v>20.0</v>
      </c>
      <c r="E740" s="27"/>
      <c r="F740" s="25">
        <v>7.13</v>
      </c>
      <c r="G740" s="27"/>
    </row>
    <row r="741" hidden="1">
      <c r="A741" s="21"/>
      <c r="B741" s="21" t="s">
        <v>1693</v>
      </c>
      <c r="D741" s="25">
        <v>20.0</v>
      </c>
      <c r="E741" s="27"/>
      <c r="F741" s="25">
        <v>6.51</v>
      </c>
      <c r="G741" s="27"/>
    </row>
    <row r="742" hidden="1">
      <c r="A742" s="21"/>
      <c r="B742" s="21" t="s">
        <v>1694</v>
      </c>
      <c r="D742" s="25">
        <v>20.0</v>
      </c>
      <c r="E742" s="27"/>
      <c r="F742" s="25">
        <v>0.0</v>
      </c>
      <c r="G742" s="27"/>
    </row>
    <row r="743" hidden="1">
      <c r="A743" s="21"/>
      <c r="B743" s="21" t="s">
        <v>1695</v>
      </c>
      <c r="D743" s="25">
        <v>20.0</v>
      </c>
      <c r="E743" s="27"/>
      <c r="F743" s="25">
        <v>0.0</v>
      </c>
      <c r="G743" s="27"/>
    </row>
    <row r="744" hidden="1">
      <c r="A744" s="21"/>
      <c r="B744" s="21" t="s">
        <v>1696</v>
      </c>
      <c r="D744" s="25">
        <v>20.0</v>
      </c>
      <c r="E744" s="27"/>
      <c r="F744" s="25">
        <v>0.0</v>
      </c>
      <c r="G744" s="27"/>
    </row>
    <row r="745" hidden="1">
      <c r="A745" s="21"/>
      <c r="B745" s="21" t="s">
        <v>1697</v>
      </c>
      <c r="D745" s="25">
        <v>20.0</v>
      </c>
      <c r="E745" s="27"/>
      <c r="F745" s="25">
        <v>0.0</v>
      </c>
      <c r="G745" s="27"/>
    </row>
    <row r="746" hidden="1">
      <c r="A746" s="21"/>
      <c r="B746" s="21" t="s">
        <v>1698</v>
      </c>
      <c r="D746" s="25">
        <v>20.0</v>
      </c>
      <c r="E746" s="27"/>
      <c r="F746" s="25">
        <v>0.0</v>
      </c>
      <c r="G746" s="27"/>
    </row>
    <row r="747" hidden="1">
      <c r="A747" s="21"/>
      <c r="B747" s="21" t="s">
        <v>1699</v>
      </c>
      <c r="D747" s="25">
        <v>20.0</v>
      </c>
      <c r="E747" s="27"/>
      <c r="F747" s="25">
        <v>4.73</v>
      </c>
      <c r="G747" s="27"/>
    </row>
    <row r="748" hidden="1">
      <c r="A748" s="21"/>
      <c r="B748" s="21" t="s">
        <v>1700</v>
      </c>
      <c r="D748" s="25">
        <v>20.0</v>
      </c>
      <c r="E748" s="27"/>
      <c r="F748" s="25">
        <v>5.22</v>
      </c>
      <c r="G748" s="27"/>
    </row>
    <row r="749" hidden="1">
      <c r="A749" s="21"/>
      <c r="B749" s="21" t="s">
        <v>1701</v>
      </c>
      <c r="D749" s="25">
        <v>20.0</v>
      </c>
      <c r="E749" s="27"/>
      <c r="F749" s="25">
        <v>0.0</v>
      </c>
      <c r="G749" s="27"/>
    </row>
    <row r="750" hidden="1">
      <c r="A750" s="21"/>
      <c r="B750" s="21" t="s">
        <v>1702</v>
      </c>
      <c r="D750" s="25">
        <v>20.0</v>
      </c>
      <c r="E750" s="27"/>
      <c r="F750" s="25">
        <v>0.0</v>
      </c>
      <c r="G750" s="27"/>
    </row>
    <row r="751" hidden="1">
      <c r="A751" s="21"/>
      <c r="B751" s="21" t="s">
        <v>1703</v>
      </c>
      <c r="D751" s="25">
        <v>20.0</v>
      </c>
      <c r="E751" s="27"/>
      <c r="F751" s="25">
        <v>5.92</v>
      </c>
      <c r="G751" s="27"/>
    </row>
    <row r="752" hidden="1">
      <c r="A752" s="21"/>
      <c r="B752" s="21" t="s">
        <v>1704</v>
      </c>
      <c r="D752" s="25">
        <v>20.0</v>
      </c>
      <c r="E752" s="27"/>
      <c r="F752" s="25">
        <v>0.0</v>
      </c>
      <c r="G752" s="27"/>
    </row>
    <row r="753" hidden="1">
      <c r="A753" s="21"/>
      <c r="B753" s="21" t="s">
        <v>1705</v>
      </c>
      <c r="D753" s="25">
        <v>20.0</v>
      </c>
      <c r="E753" s="27"/>
      <c r="F753" s="25">
        <v>7.13</v>
      </c>
      <c r="G753" s="27"/>
    </row>
    <row r="754" hidden="1">
      <c r="A754" s="21"/>
      <c r="B754" s="21" t="s">
        <v>1706</v>
      </c>
      <c r="D754" s="25">
        <v>20.0</v>
      </c>
      <c r="E754" s="27"/>
      <c r="F754" s="25">
        <v>0.0</v>
      </c>
      <c r="G754" s="27"/>
    </row>
    <row r="755" hidden="1">
      <c r="A755" s="21"/>
      <c r="B755" s="21" t="s">
        <v>1707</v>
      </c>
      <c r="D755" s="25">
        <v>20.0</v>
      </c>
      <c r="E755" s="27"/>
      <c r="F755" s="25">
        <v>0.0</v>
      </c>
      <c r="G755" s="27"/>
    </row>
    <row r="756" hidden="1">
      <c r="A756" s="21"/>
      <c r="B756" s="21" t="s">
        <v>1708</v>
      </c>
      <c r="D756" s="25">
        <v>20.0</v>
      </c>
      <c r="E756" s="27"/>
      <c r="F756" s="25">
        <v>0.0</v>
      </c>
      <c r="G756" s="27"/>
    </row>
    <row r="757" hidden="1">
      <c r="A757" s="21"/>
      <c r="B757" s="21" t="s">
        <v>1709</v>
      </c>
      <c r="D757" s="25">
        <v>20.0</v>
      </c>
      <c r="E757" s="27"/>
      <c r="F757" s="25">
        <v>4.17</v>
      </c>
      <c r="G757" s="27"/>
    </row>
    <row r="758" hidden="1">
      <c r="A758" s="21"/>
      <c r="B758" s="21" t="s">
        <v>1710</v>
      </c>
      <c r="D758" s="25">
        <v>20.0</v>
      </c>
      <c r="E758" s="27"/>
      <c r="F758" s="25">
        <v>0.0</v>
      </c>
      <c r="G758" s="27"/>
    </row>
    <row r="759" hidden="1">
      <c r="A759" s="21"/>
      <c r="B759" s="21" t="s">
        <v>1711</v>
      </c>
      <c r="D759" s="25">
        <v>20.0</v>
      </c>
      <c r="E759" s="27"/>
      <c r="F759" s="25">
        <v>0.0</v>
      </c>
      <c r="G759" s="27"/>
    </row>
    <row r="760" hidden="1">
      <c r="A760" s="21"/>
      <c r="B760" s="21" t="s">
        <v>1712</v>
      </c>
      <c r="D760" s="25">
        <v>20.0</v>
      </c>
      <c r="E760" s="27"/>
      <c r="F760" s="25">
        <v>0.0</v>
      </c>
      <c r="G760" s="27"/>
    </row>
    <row r="761" hidden="1">
      <c r="A761" s="21"/>
      <c r="B761" s="21" t="s">
        <v>1713</v>
      </c>
      <c r="D761" s="25">
        <v>20.0</v>
      </c>
      <c r="E761" s="27"/>
      <c r="F761" s="25">
        <v>0.0</v>
      </c>
      <c r="G761" s="27"/>
    </row>
    <row r="762" hidden="1">
      <c r="A762" s="21"/>
      <c r="B762" s="21" t="s">
        <v>1714</v>
      </c>
      <c r="D762" s="25">
        <v>20.0</v>
      </c>
      <c r="E762" s="27"/>
      <c r="F762" s="25">
        <v>3.67</v>
      </c>
      <c r="G762" s="27"/>
    </row>
    <row r="763" hidden="1">
      <c r="A763" s="21"/>
      <c r="B763" s="21" t="s">
        <v>1715</v>
      </c>
      <c r="D763" s="25">
        <v>20.0</v>
      </c>
      <c r="E763" s="27"/>
      <c r="F763" s="25">
        <v>3.67</v>
      </c>
      <c r="G763" s="27"/>
    </row>
    <row r="764" hidden="1">
      <c r="A764" s="21"/>
      <c r="B764" s="21" t="s">
        <v>1716</v>
      </c>
      <c r="D764" s="25">
        <v>20.0</v>
      </c>
      <c r="E764" s="27"/>
      <c r="F764" s="25">
        <v>0.0</v>
      </c>
      <c r="G764" s="27"/>
    </row>
    <row r="765" hidden="1">
      <c r="A765" s="21"/>
      <c r="B765" s="21" t="s">
        <v>1717</v>
      </c>
      <c r="D765" s="25">
        <v>20.0</v>
      </c>
      <c r="E765" s="27"/>
      <c r="F765" s="25">
        <v>10.07</v>
      </c>
      <c r="G765" s="27"/>
    </row>
    <row r="766" hidden="1">
      <c r="A766" s="21"/>
      <c r="B766" s="21" t="s">
        <v>1718</v>
      </c>
      <c r="D766" s="25">
        <v>20.0</v>
      </c>
      <c r="E766" s="27"/>
      <c r="F766" s="25">
        <v>0.0</v>
      </c>
      <c r="G766" s="27"/>
    </row>
    <row r="767" hidden="1">
      <c r="A767" s="21"/>
      <c r="B767" s="21" t="s">
        <v>1719</v>
      </c>
      <c r="D767" s="25">
        <v>20.0</v>
      </c>
      <c r="E767" s="27"/>
      <c r="F767" s="25">
        <v>1.05</v>
      </c>
      <c r="G767" s="27"/>
    </row>
    <row r="768" hidden="1">
      <c r="A768" s="21"/>
      <c r="B768" s="21" t="s">
        <v>1720</v>
      </c>
      <c r="D768" s="25">
        <v>20.0</v>
      </c>
      <c r="E768" s="27"/>
      <c r="F768" s="25">
        <v>0.0</v>
      </c>
      <c r="G768" s="27"/>
    </row>
    <row r="769" hidden="1">
      <c r="A769" s="21"/>
      <c r="B769" s="21" t="s">
        <v>1721</v>
      </c>
      <c r="D769" s="25">
        <v>20.0</v>
      </c>
      <c r="E769" s="27"/>
      <c r="F769" s="25">
        <v>0.0</v>
      </c>
      <c r="G769" s="27"/>
    </row>
    <row r="770" hidden="1">
      <c r="A770" s="21"/>
      <c r="B770" s="21" t="s">
        <v>1722</v>
      </c>
      <c r="D770" s="25">
        <v>20.0</v>
      </c>
      <c r="E770" s="27"/>
      <c r="F770" s="25">
        <v>0.0</v>
      </c>
      <c r="G770" s="27"/>
    </row>
    <row r="771" hidden="1">
      <c r="A771" s="21"/>
      <c r="B771" s="21" t="s">
        <v>1723</v>
      </c>
      <c r="D771" s="25">
        <v>20.0</v>
      </c>
      <c r="E771" s="27"/>
      <c r="F771" s="25">
        <v>0.0</v>
      </c>
      <c r="G771" s="27"/>
    </row>
    <row r="772" hidden="1">
      <c r="A772" s="21"/>
      <c r="B772" s="21" t="s">
        <v>1724</v>
      </c>
      <c r="D772" s="25">
        <v>20.0</v>
      </c>
      <c r="E772" s="27"/>
      <c r="F772" s="25">
        <v>6.02</v>
      </c>
      <c r="G772" s="27"/>
    </row>
    <row r="773" hidden="1">
      <c r="A773" s="21"/>
      <c r="B773" s="21" t="s">
        <v>1725</v>
      </c>
      <c r="D773" s="25">
        <v>20.0</v>
      </c>
      <c r="E773" s="27"/>
      <c r="F773" s="25">
        <v>7.76</v>
      </c>
      <c r="G773" s="27"/>
    </row>
    <row r="774" hidden="1">
      <c r="A774" s="21"/>
      <c r="B774" s="21" t="s">
        <v>1726</v>
      </c>
      <c r="D774" s="25">
        <v>20.0</v>
      </c>
      <c r="E774" s="27"/>
      <c r="F774" s="25">
        <v>0.0</v>
      </c>
      <c r="G774" s="27"/>
    </row>
    <row r="775" hidden="1">
      <c r="A775" s="21"/>
      <c r="B775" s="21" t="s">
        <v>1727</v>
      </c>
      <c r="D775" s="25">
        <v>20.0</v>
      </c>
      <c r="E775" s="27"/>
      <c r="F775" s="25">
        <v>0.0</v>
      </c>
      <c r="G775" s="27"/>
    </row>
    <row r="776" hidden="1">
      <c r="A776" s="21"/>
      <c r="B776" s="21" t="s">
        <v>1728</v>
      </c>
      <c r="D776" s="25">
        <v>20.0</v>
      </c>
      <c r="E776" s="27"/>
      <c r="F776" s="25">
        <v>0.0</v>
      </c>
      <c r="G776" s="27"/>
    </row>
    <row r="777" hidden="1">
      <c r="A777" s="21"/>
      <c r="B777" s="21" t="s">
        <v>1729</v>
      </c>
      <c r="D777" s="25">
        <v>20.0</v>
      </c>
      <c r="E777" s="27"/>
      <c r="F777" s="25">
        <v>0.0</v>
      </c>
      <c r="G777" s="27"/>
    </row>
    <row r="778" hidden="1">
      <c r="A778" s="21"/>
      <c r="B778" s="21" t="s">
        <v>1730</v>
      </c>
      <c r="D778" s="25">
        <v>20.0</v>
      </c>
      <c r="E778" s="27"/>
      <c r="F778" s="25">
        <v>0.0</v>
      </c>
      <c r="G778" s="27"/>
    </row>
    <row r="779" hidden="1">
      <c r="A779" s="21"/>
      <c r="B779" s="21" t="s">
        <v>1731</v>
      </c>
      <c r="D779" s="25">
        <v>20.0</v>
      </c>
      <c r="E779" s="27"/>
      <c r="F779" s="25">
        <v>0.0</v>
      </c>
      <c r="G779" s="27"/>
    </row>
    <row r="780" hidden="1">
      <c r="A780" s="21"/>
      <c r="B780" s="21" t="s">
        <v>1732</v>
      </c>
      <c r="D780" s="25">
        <v>20.0</v>
      </c>
      <c r="E780" s="27"/>
      <c r="F780" s="25">
        <v>0.0</v>
      </c>
      <c r="G780" s="27"/>
    </row>
    <row r="781" hidden="1">
      <c r="A781" s="21"/>
      <c r="B781" s="21" t="s">
        <v>1733</v>
      </c>
      <c r="D781" s="25">
        <v>20.0</v>
      </c>
      <c r="E781" s="27"/>
      <c r="F781" s="25">
        <v>0.0</v>
      </c>
      <c r="G781" s="27"/>
    </row>
    <row r="782" hidden="1">
      <c r="A782" s="21"/>
      <c r="B782" s="21" t="s">
        <v>1734</v>
      </c>
      <c r="D782" s="25">
        <v>20.0</v>
      </c>
      <c r="E782" s="27"/>
      <c r="F782" s="25">
        <v>0.0</v>
      </c>
      <c r="G782" s="27"/>
    </row>
    <row r="783" hidden="1">
      <c r="A783" s="21"/>
      <c r="B783" s="21" t="s">
        <v>1735</v>
      </c>
      <c r="D783" s="25">
        <v>20.0</v>
      </c>
      <c r="E783" s="27"/>
      <c r="F783" s="25">
        <v>0.0</v>
      </c>
      <c r="G783" s="27"/>
    </row>
    <row r="784" hidden="1">
      <c r="A784" s="21"/>
      <c r="B784" s="21" t="s">
        <v>1736</v>
      </c>
      <c r="D784" s="25">
        <v>20.0</v>
      </c>
      <c r="E784" s="27"/>
      <c r="F784" s="25">
        <v>7.16</v>
      </c>
      <c r="G784" s="27"/>
    </row>
    <row r="785" hidden="1">
      <c r="A785" s="21"/>
      <c r="B785" s="21" t="s">
        <v>1737</v>
      </c>
      <c r="D785" s="25">
        <v>20.0</v>
      </c>
      <c r="E785" s="27"/>
      <c r="F785" s="25">
        <v>7.16</v>
      </c>
      <c r="G785" s="27"/>
    </row>
    <row r="786" hidden="1">
      <c r="A786" s="21"/>
      <c r="B786" s="21" t="s">
        <v>1738</v>
      </c>
      <c r="D786" s="25">
        <v>20.0</v>
      </c>
      <c r="E786" s="27"/>
      <c r="F786" s="25">
        <v>0.0</v>
      </c>
      <c r="G786" s="27"/>
    </row>
    <row r="787" hidden="1">
      <c r="A787" s="21"/>
      <c r="B787" s="21" t="s">
        <v>1739</v>
      </c>
      <c r="D787" s="25">
        <v>20.0</v>
      </c>
      <c r="E787" s="27"/>
      <c r="F787" s="25">
        <v>3.32</v>
      </c>
      <c r="G787" s="27"/>
    </row>
    <row r="788" hidden="1">
      <c r="A788" s="21"/>
      <c r="B788" s="21" t="s">
        <v>1740</v>
      </c>
      <c r="D788" s="25">
        <v>20.0</v>
      </c>
      <c r="E788" s="27"/>
      <c r="F788" s="25">
        <v>3.32</v>
      </c>
      <c r="G788" s="27"/>
    </row>
    <row r="789" hidden="1">
      <c r="A789" s="21"/>
      <c r="B789" s="21" t="s">
        <v>1741</v>
      </c>
      <c r="D789" s="25">
        <v>20.0</v>
      </c>
      <c r="E789" s="27"/>
      <c r="F789" s="25">
        <v>6.65</v>
      </c>
      <c r="G789" s="27"/>
    </row>
    <row r="790" hidden="1">
      <c r="A790" s="21"/>
      <c r="B790" s="21" t="s">
        <v>1742</v>
      </c>
      <c r="D790" s="25">
        <v>20.0</v>
      </c>
      <c r="E790" s="27"/>
      <c r="F790" s="25">
        <v>2.94</v>
      </c>
      <c r="G790" s="27"/>
    </row>
    <row r="791" hidden="1">
      <c r="A791" s="21"/>
      <c r="B791" s="21" t="s">
        <v>1743</v>
      </c>
      <c r="D791" s="25">
        <v>20.0</v>
      </c>
      <c r="E791" s="27"/>
      <c r="F791" s="25">
        <v>6.34</v>
      </c>
      <c r="G791" s="27"/>
    </row>
    <row r="792" hidden="1">
      <c r="A792" s="21"/>
      <c r="B792" s="21" t="s">
        <v>1744</v>
      </c>
      <c r="D792" s="25">
        <v>20.0</v>
      </c>
      <c r="E792" s="27"/>
      <c r="F792" s="25">
        <v>0.0</v>
      </c>
      <c r="G792" s="27"/>
    </row>
    <row r="793" hidden="1">
      <c r="A793" s="21"/>
      <c r="B793" s="21" t="s">
        <v>1745</v>
      </c>
      <c r="D793" s="25">
        <v>20.0</v>
      </c>
      <c r="E793" s="27"/>
      <c r="F793" s="25">
        <v>10.53</v>
      </c>
      <c r="G793" s="27"/>
    </row>
    <row r="794" hidden="1">
      <c r="A794" s="21"/>
      <c r="B794" s="21" t="s">
        <v>1746</v>
      </c>
      <c r="D794" s="25">
        <v>20.0</v>
      </c>
      <c r="E794" s="27"/>
      <c r="F794" s="25">
        <v>10.53</v>
      </c>
      <c r="G794" s="27"/>
    </row>
    <row r="795" hidden="1">
      <c r="A795" s="21"/>
      <c r="B795" s="21" t="s">
        <v>1747</v>
      </c>
      <c r="D795" s="25">
        <v>20.0</v>
      </c>
      <c r="E795" s="27"/>
      <c r="F795" s="25">
        <v>5.58</v>
      </c>
      <c r="G795" s="27"/>
    </row>
    <row r="796" hidden="1">
      <c r="A796" s="21"/>
      <c r="B796" s="21" t="s">
        <v>1748</v>
      </c>
      <c r="D796" s="25">
        <v>20.0</v>
      </c>
      <c r="E796" s="27"/>
      <c r="F796" s="25">
        <v>0.0</v>
      </c>
      <c r="G796" s="27"/>
    </row>
    <row r="797" hidden="1">
      <c r="A797" s="21"/>
      <c r="B797" s="21" t="s">
        <v>1749</v>
      </c>
      <c r="D797" s="25">
        <v>20.0</v>
      </c>
      <c r="E797" s="27"/>
      <c r="F797" s="25">
        <v>8.19</v>
      </c>
      <c r="G797" s="27"/>
    </row>
    <row r="798" hidden="1">
      <c r="A798" s="21"/>
      <c r="B798" s="21" t="s">
        <v>1750</v>
      </c>
      <c r="D798" s="25">
        <v>20.0</v>
      </c>
      <c r="E798" s="27"/>
      <c r="F798" s="25">
        <v>8.19</v>
      </c>
      <c r="G798" s="27"/>
    </row>
    <row r="799" hidden="1">
      <c r="A799" s="21"/>
      <c r="B799" s="21" t="s">
        <v>1751</v>
      </c>
      <c r="D799" s="25">
        <v>20.0</v>
      </c>
      <c r="E799" s="27"/>
      <c r="F799" s="25">
        <v>8.52</v>
      </c>
      <c r="G799" s="27"/>
    </row>
    <row r="800" hidden="1">
      <c r="A800" s="21"/>
      <c r="B800" s="21" t="s">
        <v>1752</v>
      </c>
      <c r="D800" s="25">
        <v>20.0</v>
      </c>
      <c r="E800" s="27"/>
      <c r="F800" s="25">
        <v>8.52</v>
      </c>
      <c r="G800" s="27"/>
    </row>
    <row r="801" hidden="1">
      <c r="A801" s="21"/>
      <c r="B801" s="21" t="s">
        <v>1753</v>
      </c>
      <c r="D801" s="25">
        <v>20.0</v>
      </c>
      <c r="E801" s="27"/>
      <c r="F801" s="25">
        <v>5.34</v>
      </c>
      <c r="G801" s="27"/>
    </row>
    <row r="802" hidden="1">
      <c r="A802" s="21"/>
      <c r="B802" s="21" t="s">
        <v>1754</v>
      </c>
      <c r="D802" s="25">
        <v>20.0</v>
      </c>
      <c r="E802" s="27"/>
      <c r="F802" s="25">
        <v>5.86</v>
      </c>
      <c r="G802" s="27"/>
    </row>
    <row r="803" hidden="1">
      <c r="A803" s="21"/>
      <c r="B803" s="21" t="s">
        <v>1755</v>
      </c>
      <c r="D803" s="25">
        <v>20.0</v>
      </c>
      <c r="E803" s="27"/>
      <c r="F803" s="25">
        <v>0.0</v>
      </c>
      <c r="G803" s="27"/>
    </row>
    <row r="804" hidden="1">
      <c r="A804" s="21"/>
      <c r="B804" s="21" t="s">
        <v>1756</v>
      </c>
      <c r="D804" s="25">
        <v>20.0</v>
      </c>
      <c r="E804" s="27"/>
      <c r="F804" s="25">
        <v>0.0</v>
      </c>
      <c r="G804" s="27"/>
    </row>
    <row r="805" hidden="1">
      <c r="A805" s="21"/>
      <c r="B805" s="21" t="s">
        <v>1757</v>
      </c>
      <c r="D805" s="25">
        <v>20.0</v>
      </c>
      <c r="E805" s="27"/>
      <c r="F805" s="25">
        <v>0.0</v>
      </c>
      <c r="G805" s="27"/>
    </row>
    <row r="806" hidden="1">
      <c r="A806" s="21"/>
      <c r="B806" s="21" t="s">
        <v>1758</v>
      </c>
      <c r="D806" s="25">
        <v>20.0</v>
      </c>
      <c r="E806" s="27"/>
      <c r="F806" s="25">
        <v>0.0</v>
      </c>
      <c r="G806" s="27"/>
    </row>
    <row r="807" hidden="1">
      <c r="A807" s="21"/>
      <c r="B807" s="21" t="s">
        <v>1759</v>
      </c>
      <c r="D807" s="25">
        <v>20.0</v>
      </c>
      <c r="E807" s="27"/>
      <c r="F807" s="25">
        <v>7.18</v>
      </c>
      <c r="G807" s="27"/>
    </row>
    <row r="808" hidden="1">
      <c r="A808" s="21"/>
      <c r="B808" s="21" t="s">
        <v>1760</v>
      </c>
      <c r="D808" s="25">
        <v>20.0</v>
      </c>
      <c r="E808" s="27"/>
      <c r="F808" s="25">
        <v>7.18</v>
      </c>
      <c r="G808" s="27"/>
    </row>
    <row r="809" hidden="1">
      <c r="A809" s="21"/>
      <c r="B809" s="21" t="s">
        <v>1761</v>
      </c>
      <c r="D809" s="25">
        <v>20.0</v>
      </c>
      <c r="E809" s="27"/>
      <c r="F809" s="25">
        <v>3.71</v>
      </c>
      <c r="G809" s="27"/>
    </row>
    <row r="810" hidden="1">
      <c r="A810" s="21"/>
      <c r="B810" s="21" t="s">
        <v>1762</v>
      </c>
      <c r="D810" s="25">
        <v>20.0</v>
      </c>
      <c r="E810" s="27"/>
      <c r="F810" s="25">
        <v>5.3</v>
      </c>
      <c r="G810" s="27"/>
    </row>
    <row r="811" hidden="1">
      <c r="A811" s="21"/>
      <c r="B811" s="21" t="s">
        <v>1763</v>
      </c>
      <c r="D811" s="25">
        <v>20.0</v>
      </c>
      <c r="E811" s="27"/>
      <c r="F811" s="25">
        <v>0.0</v>
      </c>
      <c r="G811" s="27"/>
    </row>
    <row r="812" hidden="1">
      <c r="A812" s="21"/>
      <c r="B812" s="21" t="s">
        <v>1764</v>
      </c>
      <c r="D812" s="25">
        <v>20.0</v>
      </c>
      <c r="E812" s="27"/>
      <c r="F812" s="25">
        <v>0.0</v>
      </c>
      <c r="G812" s="27"/>
    </row>
    <row r="813" hidden="1">
      <c r="A813" s="21"/>
      <c r="B813" s="21" t="s">
        <v>1765</v>
      </c>
      <c r="D813" s="25">
        <v>20.0</v>
      </c>
      <c r="E813" s="27"/>
      <c r="F813" s="25">
        <v>0.0</v>
      </c>
      <c r="G813" s="27"/>
    </row>
    <row r="814" hidden="1">
      <c r="A814" s="21"/>
      <c r="B814" s="21" t="s">
        <v>1766</v>
      </c>
      <c r="D814" s="25">
        <v>20.0</v>
      </c>
      <c r="E814" s="27"/>
      <c r="F814" s="25">
        <v>0.0</v>
      </c>
      <c r="G814" s="27"/>
    </row>
    <row r="815" hidden="1">
      <c r="A815" s="21"/>
      <c r="B815" s="21" t="s">
        <v>1767</v>
      </c>
      <c r="D815" s="25">
        <v>20.0</v>
      </c>
      <c r="E815" s="27"/>
      <c r="F815" s="25">
        <v>0.0</v>
      </c>
      <c r="G815" s="27"/>
    </row>
    <row r="816" hidden="1">
      <c r="A816" s="21"/>
      <c r="B816" s="21" t="s">
        <v>1768</v>
      </c>
      <c r="D816" s="25">
        <v>20.0</v>
      </c>
      <c r="E816" s="27"/>
      <c r="F816" s="25">
        <v>0.0</v>
      </c>
      <c r="G816" s="27"/>
    </row>
    <row r="817" hidden="1">
      <c r="A817" s="21"/>
      <c r="B817" s="21" t="s">
        <v>1769</v>
      </c>
      <c r="D817" s="25">
        <v>20.0</v>
      </c>
      <c r="E817" s="27"/>
      <c r="F817" s="25">
        <v>0.0</v>
      </c>
      <c r="G817" s="27"/>
    </row>
    <row r="818" hidden="1">
      <c r="A818" s="21"/>
      <c r="B818" s="21" t="s">
        <v>1770</v>
      </c>
      <c r="D818" s="25">
        <v>20.0</v>
      </c>
      <c r="E818" s="27"/>
      <c r="F818" s="25">
        <v>0.0</v>
      </c>
      <c r="G818" s="27"/>
    </row>
    <row r="819" hidden="1">
      <c r="A819" s="21"/>
      <c r="B819" s="21" t="s">
        <v>1771</v>
      </c>
      <c r="D819" s="25">
        <v>20.0</v>
      </c>
      <c r="E819" s="27"/>
      <c r="F819" s="25">
        <v>0.0</v>
      </c>
      <c r="G819" s="27"/>
    </row>
    <row r="820" hidden="1">
      <c r="A820" s="21"/>
      <c r="B820" s="21" t="s">
        <v>1772</v>
      </c>
      <c r="D820" s="25">
        <v>20.0</v>
      </c>
      <c r="E820" s="27"/>
      <c r="F820" s="25">
        <v>0.0</v>
      </c>
      <c r="G820" s="27"/>
    </row>
    <row r="821" hidden="1">
      <c r="A821" s="21"/>
      <c r="B821" s="21" t="s">
        <v>1773</v>
      </c>
      <c r="D821" s="25">
        <v>20.0</v>
      </c>
      <c r="E821" s="27"/>
      <c r="F821" s="25">
        <v>0.0</v>
      </c>
      <c r="G821" s="27"/>
    </row>
    <row r="822" hidden="1">
      <c r="A822" s="21"/>
      <c r="B822" s="21" t="s">
        <v>1774</v>
      </c>
      <c r="D822" s="25">
        <v>20.0</v>
      </c>
      <c r="E822" s="27"/>
      <c r="F822" s="25">
        <v>3.3</v>
      </c>
      <c r="G822" s="27"/>
    </row>
    <row r="823" hidden="1">
      <c r="A823" s="21"/>
      <c r="B823" s="21" t="s">
        <v>1775</v>
      </c>
      <c r="D823" s="25">
        <v>20.0</v>
      </c>
      <c r="E823" s="27"/>
      <c r="F823" s="25">
        <v>3.3</v>
      </c>
      <c r="G823" s="27"/>
    </row>
    <row r="824" hidden="1">
      <c r="A824" s="21"/>
      <c r="B824" s="21" t="s">
        <v>1776</v>
      </c>
      <c r="D824" s="25">
        <v>20.0</v>
      </c>
      <c r="E824" s="27"/>
      <c r="F824" s="25">
        <v>0.0</v>
      </c>
      <c r="G824" s="27"/>
    </row>
    <row r="825" hidden="1">
      <c r="A825" s="21"/>
      <c r="B825" s="21" t="s">
        <v>1777</v>
      </c>
      <c r="D825" s="25">
        <v>20.0</v>
      </c>
      <c r="E825" s="27"/>
      <c r="F825" s="25">
        <v>0.0</v>
      </c>
      <c r="G825" s="27"/>
    </row>
    <row r="826" hidden="1">
      <c r="A826" s="21"/>
      <c r="B826" s="21" t="s">
        <v>1778</v>
      </c>
      <c r="D826" s="25">
        <v>20.0</v>
      </c>
      <c r="E826" s="27"/>
      <c r="F826" s="25">
        <v>3.5</v>
      </c>
      <c r="G826" s="27"/>
    </row>
    <row r="827" hidden="1">
      <c r="A827" s="21"/>
      <c r="B827" s="21" t="s">
        <v>1779</v>
      </c>
      <c r="D827" s="25">
        <v>20.0</v>
      </c>
      <c r="E827" s="27"/>
      <c r="F827" s="25">
        <v>0.0</v>
      </c>
      <c r="G827" s="27"/>
    </row>
    <row r="828" hidden="1">
      <c r="A828" s="21"/>
      <c r="B828" s="21" t="s">
        <v>1780</v>
      </c>
      <c r="D828" s="25">
        <v>20.0</v>
      </c>
      <c r="E828" s="27"/>
      <c r="F828" s="25">
        <v>5.38</v>
      </c>
      <c r="G828" s="27"/>
    </row>
    <row r="829" hidden="1">
      <c r="A829" s="21"/>
      <c r="B829" s="21" t="s">
        <v>1781</v>
      </c>
      <c r="D829" s="25">
        <v>20.0</v>
      </c>
      <c r="E829" s="27"/>
      <c r="F829" s="25">
        <v>8.54</v>
      </c>
      <c r="G829" s="27"/>
    </row>
    <row r="830" hidden="1">
      <c r="A830" s="21"/>
      <c r="B830" s="21" t="s">
        <v>1782</v>
      </c>
      <c r="D830" s="25">
        <v>20.0</v>
      </c>
      <c r="E830" s="27"/>
      <c r="F830" s="25">
        <v>5.38</v>
      </c>
      <c r="G830" s="27"/>
    </row>
    <row r="831" hidden="1">
      <c r="A831" s="21"/>
      <c r="B831" s="21" t="s">
        <v>1783</v>
      </c>
      <c r="D831" s="25">
        <v>20.0</v>
      </c>
      <c r="E831" s="27"/>
      <c r="F831" s="25">
        <v>5.38</v>
      </c>
      <c r="G831" s="27"/>
    </row>
    <row r="832" hidden="1">
      <c r="A832" s="21"/>
      <c r="B832" s="21" t="s">
        <v>1784</v>
      </c>
      <c r="D832" s="25">
        <v>20.0</v>
      </c>
      <c r="E832" s="27"/>
      <c r="F832" s="25">
        <v>10.09</v>
      </c>
      <c r="G832" s="27"/>
    </row>
    <row r="833" hidden="1">
      <c r="A833" s="21"/>
      <c r="B833" s="21" t="s">
        <v>1785</v>
      </c>
      <c r="D833" s="25">
        <v>20.0</v>
      </c>
      <c r="E833" s="27"/>
      <c r="F833" s="25">
        <v>10.09</v>
      </c>
      <c r="G833" s="27"/>
    </row>
    <row r="834" hidden="1">
      <c r="A834" s="21"/>
      <c r="B834" s="21" t="s">
        <v>1786</v>
      </c>
      <c r="D834" s="25">
        <v>20.0</v>
      </c>
      <c r="E834" s="27"/>
      <c r="F834" s="25">
        <v>0.0</v>
      </c>
      <c r="G834" s="27"/>
    </row>
    <row r="835" hidden="1">
      <c r="A835" s="21"/>
      <c r="B835" s="21" t="s">
        <v>1787</v>
      </c>
      <c r="D835" s="25">
        <v>20.0</v>
      </c>
      <c r="E835" s="27"/>
      <c r="F835" s="25">
        <v>8.05</v>
      </c>
      <c r="G835" s="27"/>
    </row>
    <row r="836" hidden="1">
      <c r="A836" s="21"/>
      <c r="B836" s="21" t="s">
        <v>1788</v>
      </c>
      <c r="D836" s="25">
        <v>20.0</v>
      </c>
      <c r="E836" s="27"/>
      <c r="F836" s="25">
        <v>8.05</v>
      </c>
      <c r="G836" s="27"/>
    </row>
    <row r="837" hidden="1">
      <c r="A837" s="21"/>
      <c r="B837" s="21" t="s">
        <v>1789</v>
      </c>
      <c r="D837" s="25">
        <v>20.0</v>
      </c>
      <c r="E837" s="27"/>
      <c r="F837" s="25">
        <v>0.0</v>
      </c>
      <c r="G837" s="27"/>
    </row>
    <row r="838" hidden="1">
      <c r="A838" s="21"/>
      <c r="B838" s="21" t="s">
        <v>1790</v>
      </c>
      <c r="D838" s="25">
        <v>20.0</v>
      </c>
      <c r="E838" s="27"/>
      <c r="F838" s="25">
        <v>8.7</v>
      </c>
      <c r="G838" s="27"/>
    </row>
    <row r="839" hidden="1">
      <c r="A839" s="21"/>
      <c r="B839" s="21" t="s">
        <v>1791</v>
      </c>
      <c r="D839" s="25">
        <v>20.0</v>
      </c>
      <c r="E839" s="27"/>
      <c r="F839" s="25">
        <v>8.7</v>
      </c>
      <c r="G839" s="27"/>
    </row>
    <row r="840" hidden="1">
      <c r="A840" s="21"/>
      <c r="B840" s="21" t="s">
        <v>1792</v>
      </c>
      <c r="D840" s="25">
        <v>20.0</v>
      </c>
      <c r="E840" s="27"/>
      <c r="F840" s="25">
        <v>3.65</v>
      </c>
      <c r="G840" s="27"/>
    </row>
    <row r="841" hidden="1">
      <c r="A841" s="21"/>
      <c r="B841" s="21" t="s">
        <v>1793</v>
      </c>
      <c r="D841" s="25">
        <v>20.0</v>
      </c>
      <c r="E841" s="27"/>
      <c r="F841" s="25">
        <v>0.0</v>
      </c>
      <c r="G841" s="27"/>
    </row>
    <row r="842" hidden="1">
      <c r="A842" s="21"/>
      <c r="B842" s="21" t="s">
        <v>1794</v>
      </c>
      <c r="D842" s="25">
        <v>20.0</v>
      </c>
      <c r="E842" s="27"/>
      <c r="F842" s="25">
        <v>0.0</v>
      </c>
      <c r="G842" s="27"/>
    </row>
    <row r="843" hidden="1">
      <c r="A843" s="21"/>
      <c r="B843" s="21" t="s">
        <v>1795</v>
      </c>
      <c r="D843" s="25">
        <v>20.0</v>
      </c>
      <c r="E843" s="27"/>
      <c r="F843" s="25">
        <v>0.0</v>
      </c>
      <c r="G843" s="27"/>
    </row>
    <row r="844" hidden="1">
      <c r="A844" s="21"/>
      <c r="B844" s="21" t="s">
        <v>1796</v>
      </c>
      <c r="D844" s="25">
        <v>20.0</v>
      </c>
      <c r="E844" s="27"/>
      <c r="F844" s="25">
        <v>0.0</v>
      </c>
      <c r="G844" s="27"/>
    </row>
    <row r="845" hidden="1">
      <c r="A845" s="21"/>
      <c r="B845" s="21" t="s">
        <v>1797</v>
      </c>
      <c r="D845" s="25">
        <v>20.0</v>
      </c>
      <c r="E845" s="27"/>
      <c r="F845" s="25">
        <v>0.0</v>
      </c>
      <c r="G845" s="27"/>
    </row>
    <row r="846" hidden="1">
      <c r="A846" s="21"/>
      <c r="B846" s="21" t="s">
        <v>1798</v>
      </c>
      <c r="D846" s="25">
        <v>20.0</v>
      </c>
      <c r="E846" s="27"/>
      <c r="F846" s="25">
        <v>0.0</v>
      </c>
      <c r="G846" s="27"/>
    </row>
    <row r="847" hidden="1">
      <c r="A847" s="21"/>
      <c r="B847" s="21" t="s">
        <v>1799</v>
      </c>
      <c r="D847" s="25">
        <v>20.0</v>
      </c>
      <c r="E847" s="27"/>
      <c r="F847" s="25">
        <v>0.0</v>
      </c>
      <c r="G847" s="27"/>
    </row>
    <row r="848" hidden="1">
      <c r="A848" s="21"/>
      <c r="B848" s="21" t="s">
        <v>1800</v>
      </c>
      <c r="D848" s="25">
        <v>20.0</v>
      </c>
      <c r="E848" s="27"/>
      <c r="F848" s="25">
        <v>0.0</v>
      </c>
      <c r="G848" s="27"/>
    </row>
    <row r="849" hidden="1">
      <c r="A849" s="21"/>
      <c r="B849" s="21" t="s">
        <v>1801</v>
      </c>
      <c r="D849" s="25">
        <v>20.0</v>
      </c>
      <c r="E849" s="27"/>
      <c r="F849" s="25">
        <v>0.0</v>
      </c>
      <c r="G849" s="27"/>
    </row>
    <row r="850" hidden="1">
      <c r="A850" s="21"/>
      <c r="B850" s="21" t="s">
        <v>1802</v>
      </c>
      <c r="D850" s="25">
        <v>20.0</v>
      </c>
      <c r="E850" s="27"/>
      <c r="F850" s="25">
        <v>0.0</v>
      </c>
      <c r="G850" s="27"/>
    </row>
    <row r="851" hidden="1">
      <c r="A851" s="21"/>
      <c r="B851" s="21" t="s">
        <v>1803</v>
      </c>
      <c r="D851" s="25">
        <v>20.0</v>
      </c>
      <c r="E851" s="27"/>
      <c r="F851" s="25">
        <v>0.0</v>
      </c>
      <c r="G851" s="27"/>
    </row>
    <row r="852" hidden="1">
      <c r="A852" s="21"/>
      <c r="B852" s="21" t="s">
        <v>1804</v>
      </c>
      <c r="D852" s="25">
        <v>20.0</v>
      </c>
      <c r="E852" s="27"/>
      <c r="F852" s="25">
        <v>7.75</v>
      </c>
      <c r="G852" s="27"/>
    </row>
    <row r="853" hidden="1">
      <c r="A853" s="21"/>
      <c r="B853" s="21" t="s">
        <v>1805</v>
      </c>
      <c r="D853" s="25">
        <v>20.0</v>
      </c>
      <c r="E853" s="27"/>
      <c r="F853" s="25">
        <v>7.75</v>
      </c>
      <c r="G853" s="27"/>
    </row>
    <row r="854" hidden="1">
      <c r="A854" s="21"/>
      <c r="B854" s="21" t="s">
        <v>1806</v>
      </c>
      <c r="D854" s="25">
        <v>20.0</v>
      </c>
      <c r="E854" s="27"/>
      <c r="F854" s="25">
        <v>0.0</v>
      </c>
      <c r="G854" s="27"/>
    </row>
    <row r="855" hidden="1">
      <c r="A855" s="21"/>
      <c r="B855" s="21" t="s">
        <v>1807</v>
      </c>
      <c r="D855" s="25">
        <v>20.0</v>
      </c>
      <c r="E855" s="27"/>
      <c r="F855" s="25">
        <v>0.64</v>
      </c>
      <c r="G855" s="27"/>
    </row>
    <row r="856" hidden="1">
      <c r="A856" s="21"/>
      <c r="B856" s="21" t="s">
        <v>1808</v>
      </c>
      <c r="D856" s="25">
        <v>20.0</v>
      </c>
      <c r="E856" s="27"/>
      <c r="F856" s="25">
        <v>0.85</v>
      </c>
      <c r="G856" s="27"/>
    </row>
    <row r="857" hidden="1">
      <c r="A857" s="21"/>
      <c r="B857" s="21" t="s">
        <v>1809</v>
      </c>
      <c r="D857" s="25">
        <v>20.0</v>
      </c>
      <c r="E857" s="27"/>
      <c r="F857" s="25">
        <v>0.0</v>
      </c>
      <c r="G857" s="27"/>
    </row>
    <row r="858" hidden="1">
      <c r="A858" s="21"/>
      <c r="B858" s="21" t="s">
        <v>1810</v>
      </c>
      <c r="D858" s="25">
        <v>20.0</v>
      </c>
      <c r="E858" s="27"/>
      <c r="F858" s="25">
        <v>0.0</v>
      </c>
      <c r="G858" s="27"/>
    </row>
    <row r="859" hidden="1">
      <c r="A859" s="21"/>
      <c r="B859" s="21" t="s">
        <v>1811</v>
      </c>
      <c r="D859" s="25">
        <v>20.0</v>
      </c>
      <c r="E859" s="27"/>
      <c r="F859" s="25">
        <v>17.13</v>
      </c>
      <c r="G859" s="27"/>
    </row>
    <row r="860" hidden="1">
      <c r="A860" s="21"/>
      <c r="B860" s="21" t="s">
        <v>1812</v>
      </c>
      <c r="D860" s="25">
        <v>20.0</v>
      </c>
      <c r="E860" s="27"/>
      <c r="F860" s="25">
        <v>0.0</v>
      </c>
      <c r="G860" s="27"/>
    </row>
    <row r="861" hidden="1">
      <c r="A861" s="21"/>
      <c r="B861" s="21" t="s">
        <v>1813</v>
      </c>
      <c r="D861" s="25">
        <v>20.0</v>
      </c>
      <c r="E861" s="27"/>
      <c r="F861" s="25">
        <v>0.0</v>
      </c>
      <c r="G861" s="27"/>
    </row>
    <row r="862" hidden="1">
      <c r="A862" s="21"/>
      <c r="B862" s="21" t="s">
        <v>1814</v>
      </c>
      <c r="D862" s="25">
        <v>20.0</v>
      </c>
      <c r="E862" s="27"/>
      <c r="F862" s="25">
        <v>7.07</v>
      </c>
      <c r="G862" s="27"/>
    </row>
    <row r="863" hidden="1">
      <c r="A863" s="21"/>
      <c r="B863" s="21" t="s">
        <v>1815</v>
      </c>
      <c r="D863" s="25">
        <v>20.0</v>
      </c>
      <c r="E863" s="27"/>
      <c r="F863" s="25">
        <v>7.07</v>
      </c>
      <c r="G863" s="27"/>
    </row>
    <row r="864" hidden="1">
      <c r="A864" s="21"/>
      <c r="B864" s="21" t="s">
        <v>1816</v>
      </c>
      <c r="D864" s="25">
        <v>20.0</v>
      </c>
      <c r="E864" s="27"/>
      <c r="F864" s="25">
        <v>0.0</v>
      </c>
      <c r="G864" s="27"/>
    </row>
    <row r="865" hidden="1">
      <c r="A865" s="21"/>
      <c r="B865" s="21" t="s">
        <v>1817</v>
      </c>
      <c r="D865" s="25">
        <v>20.0</v>
      </c>
      <c r="E865" s="27"/>
      <c r="F865" s="25">
        <v>0.0</v>
      </c>
      <c r="G865" s="27"/>
    </row>
    <row r="866" hidden="1">
      <c r="A866" s="21"/>
      <c r="B866" s="21" t="s">
        <v>1818</v>
      </c>
      <c r="D866" s="25">
        <v>20.0</v>
      </c>
      <c r="E866" s="27"/>
      <c r="F866" s="25">
        <v>0.0</v>
      </c>
      <c r="G866" s="27"/>
    </row>
    <row r="867" hidden="1">
      <c r="A867" s="21"/>
      <c r="B867" s="21" t="s">
        <v>1819</v>
      </c>
      <c r="D867" s="25">
        <v>20.0</v>
      </c>
      <c r="E867" s="27"/>
      <c r="F867" s="25">
        <v>8.53</v>
      </c>
      <c r="G867" s="27"/>
    </row>
    <row r="868" hidden="1">
      <c r="A868" s="21"/>
      <c r="B868" s="21" t="s">
        <v>1820</v>
      </c>
      <c r="D868" s="25">
        <v>20.0</v>
      </c>
      <c r="E868" s="27"/>
      <c r="F868" s="25">
        <v>5.45</v>
      </c>
      <c r="G868" s="27"/>
    </row>
    <row r="869" hidden="1">
      <c r="A869" s="21"/>
      <c r="B869" s="21" t="s">
        <v>1821</v>
      </c>
      <c r="D869" s="25">
        <v>20.0</v>
      </c>
      <c r="E869" s="27"/>
      <c r="F869" s="25">
        <v>7.28</v>
      </c>
      <c r="G869" s="27"/>
    </row>
    <row r="870" hidden="1">
      <c r="A870" s="21"/>
      <c r="B870" s="21" t="s">
        <v>1822</v>
      </c>
      <c r="D870" s="25">
        <v>20.0</v>
      </c>
      <c r="E870" s="27"/>
      <c r="F870" s="25">
        <v>4.4</v>
      </c>
      <c r="G870" s="27"/>
    </row>
    <row r="871" hidden="1">
      <c r="A871" s="21"/>
      <c r="B871" s="21" t="s">
        <v>1823</v>
      </c>
      <c r="D871" s="25">
        <v>20.0</v>
      </c>
      <c r="E871" s="27"/>
      <c r="F871" s="25">
        <v>4.4</v>
      </c>
      <c r="G871" s="27"/>
    </row>
    <row r="872" hidden="1">
      <c r="A872" s="21"/>
      <c r="B872" s="21" t="s">
        <v>1824</v>
      </c>
      <c r="D872" s="25">
        <v>20.0</v>
      </c>
      <c r="E872" s="27"/>
      <c r="F872" s="25">
        <v>0.0</v>
      </c>
      <c r="G872" s="27"/>
    </row>
    <row r="873" hidden="1">
      <c r="A873" s="21"/>
      <c r="B873" s="21" t="s">
        <v>1825</v>
      </c>
      <c r="D873" s="25">
        <v>20.0</v>
      </c>
      <c r="E873" s="27"/>
      <c r="F873" s="25">
        <v>0.0</v>
      </c>
      <c r="G873" s="27"/>
    </row>
    <row r="874" hidden="1">
      <c r="A874" s="21"/>
      <c r="B874" s="21" t="s">
        <v>1826</v>
      </c>
      <c r="D874" s="25">
        <v>20.0</v>
      </c>
      <c r="E874" s="27"/>
      <c r="F874" s="25">
        <v>2.93</v>
      </c>
      <c r="G874" s="27"/>
    </row>
    <row r="875" hidden="1">
      <c r="A875" s="21"/>
      <c r="B875" s="21" t="s">
        <v>1827</v>
      </c>
      <c r="D875" s="25">
        <v>20.0</v>
      </c>
      <c r="E875" s="27"/>
      <c r="F875" s="25">
        <v>1.99</v>
      </c>
      <c r="G875" s="27"/>
    </row>
    <row r="876" hidden="1">
      <c r="A876" s="21"/>
      <c r="B876" s="21" t="s">
        <v>1828</v>
      </c>
      <c r="D876" s="25">
        <v>20.0</v>
      </c>
      <c r="E876" s="27"/>
      <c r="F876" s="25">
        <v>0.0</v>
      </c>
      <c r="G876" s="27"/>
    </row>
    <row r="877" hidden="1">
      <c r="A877" s="21"/>
      <c r="B877" s="21" t="s">
        <v>1829</v>
      </c>
      <c r="D877" s="25">
        <v>20.0</v>
      </c>
      <c r="E877" s="27"/>
      <c r="F877" s="25">
        <v>0.0</v>
      </c>
      <c r="G877" s="27"/>
    </row>
    <row r="878" hidden="1">
      <c r="A878" s="21"/>
      <c r="B878" s="21" t="s">
        <v>1830</v>
      </c>
      <c r="D878" s="25">
        <v>20.0</v>
      </c>
      <c r="E878" s="27"/>
      <c r="F878" s="25">
        <v>2.52</v>
      </c>
      <c r="G878" s="27"/>
    </row>
    <row r="879" hidden="1">
      <c r="A879" s="21"/>
      <c r="B879" s="21" t="s">
        <v>1831</v>
      </c>
      <c r="D879" s="25">
        <v>20.0</v>
      </c>
      <c r="E879" s="27"/>
      <c r="F879" s="25">
        <v>0.0</v>
      </c>
      <c r="G879" s="27"/>
    </row>
    <row r="880" hidden="1">
      <c r="A880" s="21"/>
      <c r="B880" s="21" t="s">
        <v>1832</v>
      </c>
      <c r="D880" s="25">
        <v>20.0</v>
      </c>
      <c r="E880" s="27"/>
      <c r="F880" s="25">
        <v>5.19</v>
      </c>
      <c r="G880" s="27"/>
    </row>
    <row r="881" hidden="1">
      <c r="A881" s="21"/>
      <c r="B881" s="21" t="s">
        <v>1833</v>
      </c>
      <c r="D881" s="25">
        <v>20.0</v>
      </c>
      <c r="E881" s="27"/>
      <c r="F881" s="25">
        <v>0.0</v>
      </c>
      <c r="G881" s="27"/>
    </row>
    <row r="882" hidden="1">
      <c r="A882" s="21"/>
      <c r="B882" s="21" t="s">
        <v>1834</v>
      </c>
      <c r="D882" s="25">
        <v>20.0</v>
      </c>
      <c r="E882" s="27"/>
      <c r="F882" s="25">
        <v>0.0</v>
      </c>
      <c r="G882" s="27"/>
    </row>
    <row r="883" hidden="1">
      <c r="A883" s="21"/>
      <c r="B883" s="21" t="s">
        <v>1835</v>
      </c>
      <c r="D883" s="25">
        <v>20.0</v>
      </c>
      <c r="E883" s="27"/>
      <c r="F883" s="25">
        <v>0.0</v>
      </c>
      <c r="G883" s="27"/>
    </row>
    <row r="884" hidden="1">
      <c r="A884" s="21"/>
      <c r="B884" s="21" t="s">
        <v>1836</v>
      </c>
      <c r="D884" s="25">
        <v>20.0</v>
      </c>
      <c r="E884" s="27"/>
      <c r="F884" s="25">
        <v>9.88</v>
      </c>
      <c r="G884" s="27"/>
    </row>
    <row r="885" hidden="1">
      <c r="A885" s="21"/>
      <c r="B885" s="21" t="s">
        <v>1837</v>
      </c>
      <c r="D885" s="25">
        <v>20.0</v>
      </c>
      <c r="E885" s="27"/>
      <c r="F885" s="25">
        <v>0.0</v>
      </c>
      <c r="G885" s="27"/>
    </row>
    <row r="886" hidden="1">
      <c r="A886" s="21"/>
      <c r="B886" s="21" t="s">
        <v>1838</v>
      </c>
      <c r="D886" s="25">
        <v>20.0</v>
      </c>
      <c r="E886" s="27"/>
      <c r="F886" s="25">
        <v>0.0</v>
      </c>
      <c r="G886" s="27"/>
    </row>
    <row r="887" hidden="1">
      <c r="A887" s="21"/>
      <c r="B887" s="21" t="s">
        <v>1839</v>
      </c>
      <c r="D887" s="25">
        <v>20.0</v>
      </c>
      <c r="E887" s="27"/>
      <c r="F887" s="25">
        <v>0.0</v>
      </c>
      <c r="G887" s="27"/>
    </row>
    <row r="888" hidden="1">
      <c r="A888" s="21"/>
      <c r="B888" s="21" t="s">
        <v>1840</v>
      </c>
      <c r="D888" s="25">
        <v>20.0</v>
      </c>
      <c r="E888" s="27"/>
      <c r="F888" s="25">
        <v>0.0</v>
      </c>
      <c r="G888" s="27"/>
    </row>
    <row r="889" hidden="1">
      <c r="A889" s="21"/>
      <c r="B889" s="21" t="s">
        <v>1841</v>
      </c>
      <c r="D889" s="25">
        <v>20.0</v>
      </c>
      <c r="E889" s="27"/>
      <c r="F889" s="25">
        <v>4.66</v>
      </c>
      <c r="G889" s="27"/>
    </row>
    <row r="890" hidden="1">
      <c r="A890" s="21"/>
      <c r="B890" s="21" t="s">
        <v>1842</v>
      </c>
      <c r="D890" s="25">
        <v>20.0</v>
      </c>
      <c r="E890" s="27"/>
      <c r="F890" s="25">
        <v>0.0</v>
      </c>
      <c r="G890" s="27"/>
    </row>
    <row r="891" hidden="1">
      <c r="A891" s="21"/>
      <c r="B891" s="21" t="s">
        <v>1843</v>
      </c>
      <c r="D891" s="25">
        <v>20.0</v>
      </c>
      <c r="E891" s="27"/>
      <c r="F891" s="25">
        <v>0.0</v>
      </c>
      <c r="G891" s="27"/>
    </row>
    <row r="892" hidden="1">
      <c r="A892" s="21"/>
      <c r="B892" s="21" t="s">
        <v>1844</v>
      </c>
      <c r="D892" s="25">
        <v>20.0</v>
      </c>
      <c r="E892" s="27"/>
      <c r="F892" s="25">
        <v>10.84</v>
      </c>
      <c r="G892" s="27"/>
    </row>
    <row r="893" hidden="1">
      <c r="A893" s="21"/>
      <c r="B893" s="21" t="s">
        <v>1845</v>
      </c>
      <c r="D893" s="25">
        <v>20.0</v>
      </c>
      <c r="E893" s="27"/>
      <c r="F893" s="25">
        <v>0.0</v>
      </c>
      <c r="G893" s="27"/>
    </row>
    <row r="894" hidden="1">
      <c r="A894" s="21"/>
      <c r="B894" s="21" t="s">
        <v>1846</v>
      </c>
      <c r="D894" s="25">
        <v>20.0</v>
      </c>
      <c r="E894" s="27"/>
      <c r="F894" s="25">
        <v>0.0</v>
      </c>
      <c r="G894" s="27"/>
    </row>
    <row r="895" hidden="1">
      <c r="A895" s="21"/>
      <c r="B895" s="21" t="s">
        <v>1847</v>
      </c>
      <c r="D895" s="25">
        <v>20.0</v>
      </c>
      <c r="E895" s="27"/>
      <c r="F895" s="25">
        <v>5.41</v>
      </c>
      <c r="G895" s="27"/>
    </row>
    <row r="896" hidden="1">
      <c r="A896" s="21"/>
      <c r="B896" s="21" t="s">
        <v>1848</v>
      </c>
      <c r="D896" s="25">
        <v>20.0</v>
      </c>
      <c r="E896" s="27"/>
      <c r="F896" s="25">
        <v>13.17</v>
      </c>
      <c r="G896" s="27"/>
    </row>
    <row r="897" hidden="1">
      <c r="A897" s="21"/>
      <c r="B897" s="21" t="s">
        <v>1849</v>
      </c>
      <c r="D897" s="25">
        <v>20.0</v>
      </c>
      <c r="E897" s="27"/>
      <c r="F897" s="25">
        <v>13.17</v>
      </c>
      <c r="G897" s="27"/>
    </row>
    <row r="898" hidden="1">
      <c r="A898" s="21"/>
      <c r="B898" s="21" t="s">
        <v>1850</v>
      </c>
      <c r="D898" s="25">
        <v>20.0</v>
      </c>
      <c r="E898" s="27"/>
      <c r="F898" s="25">
        <v>3.41</v>
      </c>
      <c r="G898" s="27"/>
    </row>
    <row r="899" hidden="1">
      <c r="A899" s="21"/>
      <c r="B899" s="21" t="s">
        <v>1851</v>
      </c>
      <c r="D899" s="25">
        <v>20.0</v>
      </c>
      <c r="E899" s="27"/>
      <c r="F899" s="25">
        <v>0.0</v>
      </c>
      <c r="G899" s="27"/>
    </row>
    <row r="900" hidden="1">
      <c r="A900" s="21"/>
      <c r="B900" s="21" t="s">
        <v>1852</v>
      </c>
      <c r="D900" s="25">
        <v>20.0</v>
      </c>
      <c r="E900" s="27"/>
      <c r="F900" s="25">
        <v>0.0</v>
      </c>
      <c r="G900" s="27"/>
    </row>
    <row r="901" hidden="1">
      <c r="A901" s="21"/>
      <c r="B901" s="21" t="s">
        <v>1853</v>
      </c>
      <c r="D901" s="25">
        <v>20.0</v>
      </c>
      <c r="E901" s="27"/>
      <c r="F901" s="25">
        <v>0.0</v>
      </c>
      <c r="G901" s="27"/>
    </row>
    <row r="902" hidden="1">
      <c r="A902" s="21"/>
      <c r="B902" s="21" t="s">
        <v>1854</v>
      </c>
      <c r="D902" s="25">
        <v>20.0</v>
      </c>
      <c r="E902" s="27"/>
      <c r="F902" s="25">
        <v>0.0</v>
      </c>
      <c r="G902" s="27"/>
    </row>
    <row r="903" hidden="1">
      <c r="A903" s="21"/>
      <c r="B903" s="21" t="s">
        <v>1855</v>
      </c>
      <c r="D903" s="25">
        <v>20.0</v>
      </c>
      <c r="E903" s="27"/>
      <c r="F903" s="25">
        <v>5.48</v>
      </c>
      <c r="G903" s="27"/>
    </row>
    <row r="904" hidden="1">
      <c r="A904" s="21"/>
      <c r="B904" s="21" t="s">
        <v>1856</v>
      </c>
      <c r="D904" s="25">
        <v>20.0</v>
      </c>
      <c r="E904" s="27"/>
      <c r="F904" s="25">
        <v>0.0</v>
      </c>
      <c r="G904" s="27"/>
    </row>
    <row r="905" hidden="1">
      <c r="A905" s="21"/>
      <c r="B905" s="21" t="s">
        <v>1857</v>
      </c>
      <c r="D905" s="25">
        <v>20.0</v>
      </c>
      <c r="E905" s="27"/>
      <c r="F905" s="25">
        <v>0.0</v>
      </c>
      <c r="G905" s="27"/>
    </row>
    <row r="906" hidden="1">
      <c r="A906" s="21"/>
      <c r="B906" s="21" t="s">
        <v>1858</v>
      </c>
      <c r="D906" s="25">
        <v>20.0</v>
      </c>
      <c r="E906" s="27"/>
      <c r="F906" s="25">
        <v>0.0</v>
      </c>
      <c r="G906" s="27"/>
    </row>
    <row r="907" hidden="1">
      <c r="A907" s="21"/>
      <c r="B907" s="21" t="s">
        <v>1859</v>
      </c>
      <c r="D907" s="25">
        <v>20.0</v>
      </c>
      <c r="E907" s="27"/>
      <c r="F907" s="25">
        <v>3.2</v>
      </c>
      <c r="G907" s="27"/>
    </row>
    <row r="908" hidden="1">
      <c r="A908" s="21"/>
      <c r="B908" s="21" t="s">
        <v>1860</v>
      </c>
      <c r="D908" s="25">
        <v>20.0</v>
      </c>
      <c r="E908" s="27"/>
      <c r="F908" s="25">
        <v>5.59</v>
      </c>
      <c r="G908" s="27"/>
    </row>
    <row r="909" hidden="1">
      <c r="A909" s="21"/>
      <c r="B909" s="21" t="s">
        <v>1861</v>
      </c>
      <c r="D909" s="25">
        <v>20.0</v>
      </c>
      <c r="E909" s="27"/>
      <c r="F909" s="25">
        <v>0.0</v>
      </c>
      <c r="G909" s="27"/>
    </row>
    <row r="910" hidden="1">
      <c r="A910" s="21"/>
      <c r="B910" s="21" t="s">
        <v>1862</v>
      </c>
      <c r="D910" s="25">
        <v>20.0</v>
      </c>
      <c r="E910" s="27"/>
      <c r="F910" s="25">
        <v>4.64</v>
      </c>
      <c r="G910" s="27"/>
    </row>
    <row r="911" hidden="1">
      <c r="A911" s="21"/>
      <c r="B911" s="21" t="s">
        <v>1863</v>
      </c>
      <c r="D911" s="25">
        <v>20.0</v>
      </c>
      <c r="E911" s="27"/>
      <c r="F911" s="25">
        <v>0.0</v>
      </c>
      <c r="G911" s="27"/>
    </row>
    <row r="912" hidden="1">
      <c r="A912" s="21"/>
      <c r="B912" s="21" t="s">
        <v>1864</v>
      </c>
      <c r="D912" s="25">
        <v>20.0</v>
      </c>
      <c r="E912" s="27"/>
      <c r="F912" s="25">
        <v>0.0</v>
      </c>
      <c r="G912" s="27"/>
    </row>
    <row r="913" hidden="1">
      <c r="A913" s="21"/>
      <c r="B913" s="21" t="s">
        <v>1865</v>
      </c>
      <c r="D913" s="25">
        <v>20.0</v>
      </c>
      <c r="E913" s="27"/>
      <c r="F913" s="25">
        <v>0.6</v>
      </c>
      <c r="G913" s="27"/>
    </row>
    <row r="914" hidden="1">
      <c r="A914" s="21"/>
      <c r="B914" s="21" t="s">
        <v>1866</v>
      </c>
      <c r="D914" s="25">
        <v>20.0</v>
      </c>
      <c r="E914" s="27"/>
      <c r="F914" s="25">
        <v>0.0</v>
      </c>
      <c r="G914" s="27"/>
    </row>
    <row r="915" hidden="1">
      <c r="A915" s="21"/>
      <c r="B915" s="21" t="s">
        <v>1867</v>
      </c>
      <c r="D915" s="25">
        <v>20.0</v>
      </c>
      <c r="E915" s="27"/>
      <c r="F915" s="25">
        <v>3.54</v>
      </c>
      <c r="G915" s="27"/>
    </row>
    <row r="916" hidden="1">
      <c r="A916" s="21"/>
      <c r="B916" s="21" t="s">
        <v>1868</v>
      </c>
      <c r="D916" s="25">
        <v>20.0</v>
      </c>
      <c r="E916" s="27"/>
      <c r="F916" s="25">
        <v>0.0</v>
      </c>
      <c r="G916" s="27"/>
    </row>
    <row r="917" hidden="1">
      <c r="A917" s="21"/>
      <c r="B917" s="21" t="s">
        <v>1869</v>
      </c>
      <c r="D917" s="25">
        <v>20.0</v>
      </c>
      <c r="E917" s="27"/>
      <c r="F917" s="25">
        <v>0.67</v>
      </c>
      <c r="G917" s="27"/>
    </row>
    <row r="918" hidden="1">
      <c r="A918" s="21"/>
      <c r="B918" s="21" t="s">
        <v>1870</v>
      </c>
      <c r="D918" s="25">
        <v>20.0</v>
      </c>
      <c r="E918" s="27"/>
      <c r="F918" s="25">
        <v>0.36</v>
      </c>
      <c r="G918" s="27"/>
    </row>
    <row r="919" hidden="1">
      <c r="A919" s="21"/>
      <c r="B919" s="21" t="s">
        <v>1871</v>
      </c>
      <c r="D919" s="25">
        <v>20.0</v>
      </c>
      <c r="E919" s="27"/>
      <c r="F919" s="25">
        <v>0.64</v>
      </c>
      <c r="G919" s="27"/>
    </row>
    <row r="920" hidden="1">
      <c r="A920" s="21"/>
      <c r="B920" s="21" t="s">
        <v>1872</v>
      </c>
      <c r="D920" s="25">
        <v>20.0</v>
      </c>
      <c r="E920" s="27"/>
      <c r="F920" s="25">
        <v>1.92</v>
      </c>
      <c r="G920" s="27"/>
    </row>
    <row r="921" hidden="1">
      <c r="A921" s="21"/>
      <c r="B921" s="21" t="s">
        <v>1873</v>
      </c>
      <c r="D921" s="25">
        <v>20.0</v>
      </c>
      <c r="E921" s="27"/>
      <c r="F921" s="25">
        <v>0.0</v>
      </c>
      <c r="G921" s="27"/>
    </row>
    <row r="922" hidden="1">
      <c r="A922" s="21"/>
      <c r="B922" s="21" t="s">
        <v>1874</v>
      </c>
      <c r="D922" s="25">
        <v>20.0</v>
      </c>
      <c r="E922" s="27"/>
      <c r="F922" s="25">
        <v>0.0</v>
      </c>
      <c r="G922" s="27"/>
    </row>
    <row r="923" hidden="1">
      <c r="A923" s="21"/>
      <c r="B923" s="21" t="s">
        <v>1875</v>
      </c>
      <c r="D923" s="25">
        <v>20.0</v>
      </c>
      <c r="E923" s="27"/>
      <c r="F923" s="25">
        <v>0.0</v>
      </c>
      <c r="G923" s="27"/>
    </row>
    <row r="924" hidden="1">
      <c r="A924" s="21"/>
      <c r="B924" s="21" t="s">
        <v>1876</v>
      </c>
      <c r="D924" s="25">
        <v>20.0</v>
      </c>
      <c r="E924" s="27"/>
      <c r="F924" s="25">
        <v>6.14</v>
      </c>
      <c r="G924" s="27"/>
    </row>
    <row r="925" hidden="1">
      <c r="A925" s="21"/>
      <c r="B925" s="21" t="s">
        <v>1877</v>
      </c>
      <c r="D925" s="25">
        <v>20.0</v>
      </c>
      <c r="E925" s="27"/>
      <c r="F925" s="25">
        <v>3.57</v>
      </c>
      <c r="G925" s="27"/>
    </row>
    <row r="926" hidden="1">
      <c r="A926" s="21"/>
      <c r="B926" s="21" t="s">
        <v>1878</v>
      </c>
      <c r="D926" s="25">
        <v>20.0</v>
      </c>
      <c r="E926" s="27"/>
      <c r="F926" s="25">
        <v>0.0</v>
      </c>
      <c r="G926" s="27"/>
    </row>
    <row r="927" hidden="1">
      <c r="A927" s="21"/>
      <c r="B927" s="21" t="s">
        <v>1879</v>
      </c>
      <c r="D927" s="25">
        <v>20.0</v>
      </c>
      <c r="E927" s="27"/>
      <c r="F927" s="25">
        <v>0.0</v>
      </c>
      <c r="G927" s="27"/>
    </row>
    <row r="928" hidden="1">
      <c r="A928" s="21"/>
      <c r="B928" s="21" t="s">
        <v>524</v>
      </c>
      <c r="D928" s="25">
        <v>20.0</v>
      </c>
      <c r="E928" s="27"/>
      <c r="F928" s="25">
        <v>0.0</v>
      </c>
      <c r="G928" s="27"/>
    </row>
    <row r="929" hidden="1">
      <c r="A929" s="21"/>
      <c r="B929" s="21" t="s">
        <v>525</v>
      </c>
      <c r="D929" s="25">
        <v>20.0</v>
      </c>
      <c r="E929" s="27"/>
      <c r="F929" s="25">
        <v>0.0</v>
      </c>
      <c r="G929" s="27"/>
    </row>
    <row r="930" hidden="1">
      <c r="A930" s="21"/>
      <c r="B930" s="21" t="s">
        <v>526</v>
      </c>
      <c r="D930" s="25">
        <v>20.0</v>
      </c>
      <c r="E930" s="27"/>
      <c r="F930" s="25">
        <v>0.0</v>
      </c>
      <c r="G930" s="27"/>
    </row>
    <row r="931" hidden="1">
      <c r="A931" s="21"/>
      <c r="B931" s="21" t="s">
        <v>527</v>
      </c>
      <c r="D931" s="25">
        <v>20.0</v>
      </c>
      <c r="E931" s="27"/>
      <c r="F931" s="25">
        <v>3.67</v>
      </c>
      <c r="G931" s="27"/>
    </row>
    <row r="932" hidden="1">
      <c r="A932" s="21"/>
      <c r="B932" s="21" t="s">
        <v>528</v>
      </c>
      <c r="D932" s="25">
        <v>20.0</v>
      </c>
      <c r="E932" s="27"/>
      <c r="F932" s="25">
        <v>1.27</v>
      </c>
      <c r="G932" s="27"/>
    </row>
    <row r="933" hidden="1">
      <c r="A933" s="21"/>
      <c r="B933" s="21" t="s">
        <v>529</v>
      </c>
      <c r="D933" s="25">
        <v>20.0</v>
      </c>
      <c r="E933" s="27"/>
      <c r="F933" s="25">
        <v>2.65</v>
      </c>
      <c r="G933" s="27"/>
    </row>
    <row r="934" hidden="1">
      <c r="A934" s="21"/>
      <c r="B934" s="21" t="s">
        <v>530</v>
      </c>
      <c r="D934" s="25">
        <v>20.0</v>
      </c>
      <c r="E934" s="27"/>
      <c r="F934" s="25">
        <v>2.65</v>
      </c>
      <c r="G934" s="27"/>
    </row>
    <row r="935" hidden="1">
      <c r="A935" s="21"/>
      <c r="B935" s="21" t="s">
        <v>531</v>
      </c>
      <c r="D935" s="25">
        <v>20.0</v>
      </c>
      <c r="E935" s="27"/>
      <c r="F935" s="25">
        <v>3.06</v>
      </c>
      <c r="G935" s="27"/>
    </row>
    <row r="936" hidden="1">
      <c r="A936" s="21"/>
      <c r="B936" s="21" t="s">
        <v>532</v>
      </c>
      <c r="D936" s="25">
        <v>20.0</v>
      </c>
      <c r="E936" s="27"/>
      <c r="F936" s="25">
        <v>0.0</v>
      </c>
      <c r="G936" s="27"/>
    </row>
    <row r="937" hidden="1">
      <c r="A937" s="21"/>
      <c r="B937" s="21" t="s">
        <v>1880</v>
      </c>
      <c r="D937" s="25">
        <v>20.0</v>
      </c>
      <c r="E937" s="27"/>
      <c r="F937" s="25">
        <v>0.0</v>
      </c>
      <c r="G937" s="27"/>
    </row>
    <row r="938" hidden="1">
      <c r="A938" s="21"/>
      <c r="B938" s="21" t="s">
        <v>1881</v>
      </c>
      <c r="D938" s="25">
        <v>20.0</v>
      </c>
      <c r="E938" s="27"/>
      <c r="F938" s="25">
        <v>0.0</v>
      </c>
      <c r="G938" s="27"/>
    </row>
    <row r="939" hidden="1">
      <c r="A939" s="21"/>
      <c r="B939" s="21" t="s">
        <v>1882</v>
      </c>
      <c r="D939" s="25">
        <v>20.0</v>
      </c>
      <c r="E939" s="27"/>
      <c r="F939" s="25">
        <v>1.43</v>
      </c>
      <c r="G939" s="27"/>
    </row>
    <row r="940" hidden="1">
      <c r="A940" s="21"/>
      <c r="B940" s="21" t="s">
        <v>1883</v>
      </c>
      <c r="D940" s="25">
        <v>20.0</v>
      </c>
      <c r="E940" s="27"/>
      <c r="F940" s="25">
        <v>0.0</v>
      </c>
      <c r="G940" s="27"/>
    </row>
    <row r="941" hidden="1">
      <c r="A941" s="21"/>
      <c r="B941" s="21" t="s">
        <v>1884</v>
      </c>
      <c r="D941" s="25">
        <v>20.0</v>
      </c>
      <c r="E941" s="27"/>
      <c r="F941" s="25">
        <v>7.81</v>
      </c>
      <c r="G941" s="27"/>
    </row>
    <row r="942" hidden="1">
      <c r="A942" s="21"/>
      <c r="B942" s="21" t="s">
        <v>1885</v>
      </c>
      <c r="D942" s="25">
        <v>20.0</v>
      </c>
      <c r="E942" s="27"/>
      <c r="F942" s="25">
        <v>0.0</v>
      </c>
      <c r="G942" s="27"/>
    </row>
    <row r="943" hidden="1">
      <c r="A943" s="21"/>
      <c r="B943" s="21" t="s">
        <v>1886</v>
      </c>
      <c r="D943" s="25">
        <v>20.0</v>
      </c>
      <c r="E943" s="27"/>
      <c r="F943" s="25">
        <v>0.0</v>
      </c>
      <c r="G943" s="27"/>
    </row>
    <row r="944" hidden="1">
      <c r="A944" s="21"/>
      <c r="B944" s="21" t="s">
        <v>1887</v>
      </c>
      <c r="D944" s="25">
        <v>20.0</v>
      </c>
      <c r="E944" s="27"/>
      <c r="F944" s="25">
        <v>0.0</v>
      </c>
      <c r="G944" s="27"/>
    </row>
    <row r="945" hidden="1">
      <c r="A945" s="21"/>
      <c r="B945" s="21" t="s">
        <v>1888</v>
      </c>
      <c r="D945" s="25">
        <v>20.0</v>
      </c>
      <c r="E945" s="27"/>
      <c r="F945" s="25">
        <v>0.0</v>
      </c>
      <c r="G945" s="27"/>
    </row>
    <row r="946" hidden="1">
      <c r="A946" s="21"/>
      <c r="B946" s="21" t="s">
        <v>1889</v>
      </c>
      <c r="D946" s="25">
        <v>20.0</v>
      </c>
      <c r="E946" s="27"/>
      <c r="F946" s="25">
        <v>0.0</v>
      </c>
      <c r="G946" s="27"/>
    </row>
    <row r="947" hidden="1">
      <c r="A947" s="21"/>
      <c r="B947" s="21" t="s">
        <v>1890</v>
      </c>
      <c r="D947" s="25">
        <v>20.0</v>
      </c>
      <c r="E947" s="27"/>
      <c r="F947" s="25">
        <v>0.0</v>
      </c>
      <c r="G947" s="27"/>
    </row>
    <row r="948" hidden="1">
      <c r="A948" s="21"/>
      <c r="B948" s="21" t="s">
        <v>1891</v>
      </c>
      <c r="D948" s="25">
        <v>20.0</v>
      </c>
      <c r="E948" s="27"/>
      <c r="F948" s="25">
        <v>0.0</v>
      </c>
      <c r="G948" s="27"/>
    </row>
    <row r="949" hidden="1">
      <c r="A949" s="21"/>
      <c r="B949" s="21" t="s">
        <v>1892</v>
      </c>
      <c r="D949" s="25">
        <v>20.0</v>
      </c>
      <c r="E949" s="27"/>
      <c r="F949" s="25">
        <v>0.0</v>
      </c>
      <c r="G949" s="27"/>
    </row>
    <row r="950" hidden="1">
      <c r="A950" s="21"/>
      <c r="B950" s="21" t="s">
        <v>1893</v>
      </c>
      <c r="D950" s="25">
        <v>20.0</v>
      </c>
      <c r="E950" s="27"/>
      <c r="F950" s="25">
        <v>0.0</v>
      </c>
      <c r="G950" s="27"/>
    </row>
    <row r="951" hidden="1">
      <c r="A951" s="21"/>
      <c r="B951" s="21" t="s">
        <v>1894</v>
      </c>
      <c r="D951" s="25">
        <v>20.0</v>
      </c>
      <c r="E951" s="27"/>
      <c r="F951" s="25">
        <v>0.0</v>
      </c>
      <c r="G951" s="27"/>
    </row>
    <row r="952" hidden="1">
      <c r="A952" s="21"/>
      <c r="B952" s="21" t="s">
        <v>1895</v>
      </c>
      <c r="D952" s="25">
        <v>20.0</v>
      </c>
      <c r="E952" s="27"/>
      <c r="F952" s="25">
        <v>0.0</v>
      </c>
      <c r="G952" s="27"/>
    </row>
    <row r="953" hidden="1">
      <c r="A953" s="21"/>
      <c r="B953" s="21" t="s">
        <v>1896</v>
      </c>
      <c r="D953" s="25">
        <v>20.0</v>
      </c>
      <c r="E953" s="27"/>
      <c r="F953" s="25">
        <v>0.0</v>
      </c>
      <c r="G953" s="27"/>
    </row>
    <row r="954" hidden="1">
      <c r="A954" s="21"/>
      <c r="B954" s="21" t="s">
        <v>1897</v>
      </c>
      <c r="D954" s="25">
        <v>20.0</v>
      </c>
      <c r="E954" s="27"/>
      <c r="F954" s="25">
        <v>0.0</v>
      </c>
      <c r="G954" s="27"/>
    </row>
    <row r="955" hidden="1">
      <c r="A955" s="21"/>
      <c r="B955" s="21" t="s">
        <v>1898</v>
      </c>
      <c r="D955" s="25">
        <v>20.0</v>
      </c>
      <c r="E955" s="27"/>
      <c r="F955" s="25">
        <v>0.0</v>
      </c>
      <c r="G955" s="27"/>
    </row>
    <row r="956" hidden="1">
      <c r="A956" s="21"/>
      <c r="B956" s="21" t="s">
        <v>1899</v>
      </c>
      <c r="D956" s="25">
        <v>20.0</v>
      </c>
      <c r="E956" s="27"/>
      <c r="F956" s="25">
        <v>0.0</v>
      </c>
      <c r="G956" s="27"/>
    </row>
    <row r="957" hidden="1">
      <c r="A957" s="21"/>
      <c r="B957" s="21" t="s">
        <v>1900</v>
      </c>
      <c r="D957" s="25">
        <v>20.0</v>
      </c>
      <c r="E957" s="27"/>
      <c r="F957" s="25">
        <v>0.0</v>
      </c>
      <c r="G957" s="27"/>
    </row>
    <row r="958" hidden="1">
      <c r="A958" s="21"/>
      <c r="B958" s="21" t="s">
        <v>1901</v>
      </c>
      <c r="D958" s="25">
        <v>20.0</v>
      </c>
      <c r="E958" s="27"/>
      <c r="F958" s="25">
        <v>0.0</v>
      </c>
      <c r="G958" s="27"/>
    </row>
    <row r="959" hidden="1">
      <c r="A959" s="21"/>
      <c r="B959" s="21" t="s">
        <v>1902</v>
      </c>
      <c r="D959" s="25">
        <v>20.0</v>
      </c>
      <c r="E959" s="27"/>
      <c r="F959" s="25">
        <v>0.0</v>
      </c>
      <c r="G959" s="27"/>
    </row>
    <row r="960" hidden="1">
      <c r="A960" s="21"/>
      <c r="B960" s="21" t="s">
        <v>1903</v>
      </c>
      <c r="D960" s="25">
        <v>20.0</v>
      </c>
      <c r="E960" s="27"/>
      <c r="F960" s="25">
        <v>0.0</v>
      </c>
      <c r="G960" s="27"/>
    </row>
    <row r="961" hidden="1">
      <c r="A961" s="21"/>
      <c r="B961" s="21" t="s">
        <v>1904</v>
      </c>
      <c r="D961" s="25">
        <v>20.0</v>
      </c>
      <c r="E961" s="27"/>
      <c r="F961" s="25">
        <v>0.0</v>
      </c>
      <c r="G961" s="27"/>
    </row>
    <row r="962" hidden="1">
      <c r="A962" s="21"/>
      <c r="B962" s="21" t="s">
        <v>1905</v>
      </c>
      <c r="D962" s="25">
        <v>20.0</v>
      </c>
      <c r="E962" s="27"/>
      <c r="F962" s="25">
        <v>0.0</v>
      </c>
      <c r="G962" s="27"/>
    </row>
    <row r="963" hidden="1">
      <c r="A963" s="21"/>
      <c r="B963" s="21" t="s">
        <v>1906</v>
      </c>
      <c r="D963" s="25">
        <v>20.0</v>
      </c>
      <c r="E963" s="27"/>
      <c r="F963" s="25">
        <v>0.0</v>
      </c>
      <c r="G963" s="27"/>
    </row>
    <row r="964" hidden="1">
      <c r="A964" s="21"/>
      <c r="B964" s="21" t="s">
        <v>1907</v>
      </c>
      <c r="D964" s="25">
        <v>20.0</v>
      </c>
      <c r="E964" s="27"/>
      <c r="F964" s="25">
        <v>5.18</v>
      </c>
      <c r="G964" s="27"/>
    </row>
    <row r="965" hidden="1">
      <c r="A965" s="21"/>
      <c r="B965" s="21" t="s">
        <v>1908</v>
      </c>
      <c r="D965" s="25">
        <v>20.0</v>
      </c>
      <c r="E965" s="27"/>
      <c r="F965" s="25">
        <v>3.58</v>
      </c>
      <c r="G965" s="27"/>
    </row>
    <row r="966" hidden="1">
      <c r="A966" s="21"/>
      <c r="B966" s="21" t="s">
        <v>1909</v>
      </c>
      <c r="D966" s="25">
        <v>20.0</v>
      </c>
      <c r="E966" s="27"/>
      <c r="F966" s="25">
        <v>0.0</v>
      </c>
      <c r="G966" s="27"/>
    </row>
    <row r="967" hidden="1">
      <c r="A967" s="21"/>
      <c r="B967" s="21" t="s">
        <v>1910</v>
      </c>
      <c r="D967" s="25">
        <v>20.0</v>
      </c>
      <c r="E967" s="27"/>
      <c r="F967" s="25">
        <v>9.11</v>
      </c>
      <c r="G967" s="27"/>
    </row>
    <row r="968" hidden="1">
      <c r="A968" s="21"/>
      <c r="B968" s="21" t="s">
        <v>1911</v>
      </c>
      <c r="D968" s="25">
        <v>20.0</v>
      </c>
      <c r="E968" s="27"/>
      <c r="F968" s="25">
        <v>11.64</v>
      </c>
      <c r="G968" s="27"/>
    </row>
    <row r="969" hidden="1">
      <c r="A969" s="21"/>
      <c r="B969" s="21" t="s">
        <v>1912</v>
      </c>
      <c r="D969" s="25">
        <v>20.0</v>
      </c>
      <c r="E969" s="27"/>
      <c r="F969" s="25">
        <v>0.0</v>
      </c>
      <c r="G969" s="27"/>
    </row>
    <row r="970" hidden="1">
      <c r="A970" s="21"/>
      <c r="B970" s="21" t="s">
        <v>1913</v>
      </c>
      <c r="D970" s="25">
        <v>20.0</v>
      </c>
      <c r="E970" s="27"/>
      <c r="F970" s="25">
        <v>0.0</v>
      </c>
      <c r="G970" s="27"/>
    </row>
    <row r="971" hidden="1">
      <c r="A971" s="21"/>
      <c r="B971" s="21" t="s">
        <v>1914</v>
      </c>
      <c r="D971" s="25">
        <v>20.0</v>
      </c>
      <c r="E971" s="27"/>
      <c r="F971" s="25">
        <v>0.0</v>
      </c>
      <c r="G971" s="27"/>
    </row>
    <row r="972" hidden="1">
      <c r="A972" s="21"/>
      <c r="B972" s="21" t="s">
        <v>1915</v>
      </c>
      <c r="D972" s="25">
        <v>20.0</v>
      </c>
      <c r="E972" s="27"/>
      <c r="F972" s="25">
        <v>0.0</v>
      </c>
      <c r="G972" s="27"/>
    </row>
    <row r="973" hidden="1">
      <c r="A973" s="21"/>
      <c r="B973" s="21" t="s">
        <v>1916</v>
      </c>
      <c r="D973" s="25">
        <v>20.0</v>
      </c>
      <c r="E973" s="27"/>
      <c r="F973" s="25">
        <v>0.0</v>
      </c>
      <c r="G973" s="27"/>
    </row>
    <row r="974" hidden="1">
      <c r="A974" s="21"/>
      <c r="B974" s="21" t="s">
        <v>1917</v>
      </c>
      <c r="D974" s="25">
        <v>20.0</v>
      </c>
      <c r="E974" s="27"/>
      <c r="F974" s="25">
        <v>0.0</v>
      </c>
      <c r="G974" s="27"/>
    </row>
    <row r="975" hidden="1">
      <c r="A975" s="21"/>
      <c r="B975" s="21" t="s">
        <v>1918</v>
      </c>
      <c r="D975" s="25">
        <v>20.0</v>
      </c>
      <c r="E975" s="27"/>
      <c r="F975" s="25">
        <v>0.61</v>
      </c>
      <c r="G975" s="27"/>
    </row>
    <row r="976" hidden="1">
      <c r="A976" s="21"/>
      <c r="B976" s="21" t="s">
        <v>533</v>
      </c>
      <c r="D976" s="25">
        <v>20.0</v>
      </c>
      <c r="E976" s="27"/>
      <c r="F976" s="25">
        <v>0.0</v>
      </c>
      <c r="G976" s="27"/>
    </row>
    <row r="977" hidden="1">
      <c r="A977" s="21"/>
      <c r="B977" s="21" t="s">
        <v>534</v>
      </c>
      <c r="D977" s="25">
        <v>20.0</v>
      </c>
      <c r="E977" s="27"/>
      <c r="F977" s="25">
        <v>0.0</v>
      </c>
      <c r="G977" s="27"/>
    </row>
    <row r="978" hidden="1">
      <c r="A978" s="21"/>
      <c r="B978" s="21" t="s">
        <v>1919</v>
      </c>
      <c r="D978" s="25">
        <v>20.0</v>
      </c>
      <c r="E978" s="27"/>
      <c r="F978" s="25">
        <v>0.0</v>
      </c>
      <c r="G978" s="27"/>
    </row>
    <row r="979" hidden="1">
      <c r="A979" s="21"/>
      <c r="B979" s="21" t="s">
        <v>1920</v>
      </c>
      <c r="D979" s="25">
        <v>20.0</v>
      </c>
      <c r="E979" s="27"/>
      <c r="F979" s="25">
        <v>0.0</v>
      </c>
      <c r="G979" s="27"/>
    </row>
    <row r="980" hidden="1">
      <c r="A980" s="21"/>
      <c r="B980" s="21" t="s">
        <v>1921</v>
      </c>
      <c r="D980" s="25">
        <v>20.0</v>
      </c>
      <c r="E980" s="27"/>
      <c r="F980" s="25">
        <v>3.54</v>
      </c>
      <c r="G980" s="27"/>
    </row>
    <row r="981" hidden="1">
      <c r="A981" s="21"/>
      <c r="B981" s="21" t="s">
        <v>1922</v>
      </c>
      <c r="D981" s="25">
        <v>20.0</v>
      </c>
      <c r="E981" s="27"/>
      <c r="F981" s="25">
        <v>0.0</v>
      </c>
      <c r="G981" s="27"/>
    </row>
    <row r="982" hidden="1">
      <c r="A982" s="21"/>
      <c r="B982" s="21" t="s">
        <v>1923</v>
      </c>
      <c r="D982" s="25">
        <v>20.0</v>
      </c>
      <c r="E982" s="27"/>
      <c r="F982" s="25">
        <v>2.45</v>
      </c>
      <c r="G982" s="27"/>
    </row>
    <row r="983" hidden="1">
      <c r="A983" s="21"/>
      <c r="B983" s="21" t="s">
        <v>1924</v>
      </c>
      <c r="D983" s="25">
        <v>20.0</v>
      </c>
      <c r="E983" s="27"/>
      <c r="F983" s="25">
        <v>0.0</v>
      </c>
      <c r="G983" s="27"/>
    </row>
    <row r="984" hidden="1">
      <c r="A984" s="21"/>
      <c r="B984" s="21" t="s">
        <v>1925</v>
      </c>
      <c r="D984" s="25">
        <v>20.0</v>
      </c>
      <c r="E984" s="27"/>
      <c r="F984" s="25">
        <v>0.0</v>
      </c>
      <c r="G984" s="27"/>
    </row>
    <row r="985" hidden="1">
      <c r="A985" s="21"/>
      <c r="B985" s="21" t="s">
        <v>1926</v>
      </c>
      <c r="D985" s="25">
        <v>20.0</v>
      </c>
      <c r="E985" s="27"/>
      <c r="F985" s="25">
        <v>1.5</v>
      </c>
      <c r="G985" s="27"/>
    </row>
    <row r="986" hidden="1">
      <c r="A986" s="21"/>
      <c r="B986" s="21" t="s">
        <v>1927</v>
      </c>
      <c r="D986" s="25">
        <v>20.0</v>
      </c>
      <c r="E986" s="27"/>
      <c r="F986" s="25">
        <v>1.46</v>
      </c>
      <c r="G986" s="27"/>
    </row>
    <row r="987" hidden="1">
      <c r="A987" s="21"/>
      <c r="B987" s="21" t="s">
        <v>1928</v>
      </c>
      <c r="D987" s="25">
        <v>20.0</v>
      </c>
      <c r="E987" s="27"/>
      <c r="F987" s="25">
        <v>0.0</v>
      </c>
      <c r="G987" s="27"/>
    </row>
    <row r="988" hidden="1">
      <c r="A988" s="21"/>
      <c r="B988" s="21" t="s">
        <v>1929</v>
      </c>
      <c r="D988" s="25">
        <v>20.0</v>
      </c>
      <c r="E988" s="27"/>
      <c r="F988" s="25">
        <v>2.38</v>
      </c>
      <c r="G988" s="27"/>
    </row>
    <row r="989" hidden="1">
      <c r="A989" s="21"/>
      <c r="B989" s="21" t="s">
        <v>1930</v>
      </c>
      <c r="D989" s="25">
        <v>20.0</v>
      </c>
      <c r="E989" s="27"/>
      <c r="F989" s="25">
        <v>0.0</v>
      </c>
      <c r="G989" s="27"/>
    </row>
    <row r="990" hidden="1">
      <c r="A990" s="21"/>
      <c r="B990" s="21" t="s">
        <v>1931</v>
      </c>
      <c r="D990" s="25">
        <v>20.0</v>
      </c>
      <c r="E990" s="27"/>
      <c r="F990" s="25">
        <v>0.0</v>
      </c>
      <c r="G990" s="27"/>
    </row>
    <row r="991" hidden="1">
      <c r="A991" s="21"/>
      <c r="B991" s="21" t="s">
        <v>1932</v>
      </c>
      <c r="D991" s="25">
        <v>20.0</v>
      </c>
      <c r="E991" s="27"/>
      <c r="F991" s="25">
        <v>3.88</v>
      </c>
      <c r="G991" s="27"/>
    </row>
    <row r="992" hidden="1">
      <c r="A992" s="21"/>
      <c r="B992" s="21" t="s">
        <v>1933</v>
      </c>
      <c r="D992" s="25">
        <v>20.0</v>
      </c>
      <c r="E992" s="27"/>
      <c r="F992" s="25">
        <v>0.0</v>
      </c>
      <c r="G992" s="27"/>
    </row>
    <row r="993" hidden="1">
      <c r="A993" s="21"/>
      <c r="B993" s="21" t="s">
        <v>1934</v>
      </c>
      <c r="D993" s="25">
        <v>20.0</v>
      </c>
      <c r="E993" s="27"/>
      <c r="F993" s="25">
        <v>4.75</v>
      </c>
      <c r="G993" s="27"/>
    </row>
    <row r="994" hidden="1">
      <c r="A994" s="21"/>
      <c r="B994" s="21" t="s">
        <v>1935</v>
      </c>
      <c r="D994" s="25">
        <v>20.0</v>
      </c>
      <c r="E994" s="27"/>
      <c r="F994" s="25">
        <v>17.56</v>
      </c>
      <c r="G994" s="27"/>
    </row>
    <row r="995" hidden="1">
      <c r="A995" s="21"/>
      <c r="B995" s="21" t="s">
        <v>1936</v>
      </c>
      <c r="D995" s="25">
        <v>20.0</v>
      </c>
      <c r="E995" s="27"/>
      <c r="F995" s="25">
        <v>3.25</v>
      </c>
      <c r="G995" s="27"/>
    </row>
    <row r="996" hidden="1">
      <c r="A996" s="21"/>
      <c r="B996" s="21" t="s">
        <v>1937</v>
      </c>
      <c r="D996" s="25">
        <v>20.0</v>
      </c>
      <c r="E996" s="27"/>
      <c r="F996" s="25">
        <v>14.11</v>
      </c>
      <c r="G996" s="27"/>
    </row>
    <row r="997" hidden="1">
      <c r="A997" s="21"/>
      <c r="B997" s="21" t="s">
        <v>1938</v>
      </c>
      <c r="D997" s="25">
        <v>20.0</v>
      </c>
      <c r="E997" s="27"/>
      <c r="F997" s="25">
        <v>0.0</v>
      </c>
      <c r="G997" s="27"/>
    </row>
    <row r="998" hidden="1">
      <c r="A998" s="21"/>
      <c r="B998" s="21" t="s">
        <v>1939</v>
      </c>
      <c r="D998" s="25">
        <v>20.0</v>
      </c>
      <c r="E998" s="27"/>
      <c r="F998" s="25">
        <v>0.0</v>
      </c>
      <c r="G998" s="27"/>
    </row>
    <row r="999" hidden="1">
      <c r="A999" s="21"/>
      <c r="B999" s="21" t="s">
        <v>1940</v>
      </c>
      <c r="D999" s="25">
        <v>20.0</v>
      </c>
      <c r="E999" s="27"/>
      <c r="F999" s="25">
        <v>0.0</v>
      </c>
      <c r="G999" s="27"/>
    </row>
    <row r="1000" hidden="1">
      <c r="A1000" s="21"/>
      <c r="B1000" s="21" t="s">
        <v>1941</v>
      </c>
      <c r="D1000" s="25">
        <v>20.0</v>
      </c>
      <c r="E1000" s="27"/>
      <c r="F1000" s="25">
        <v>1.83</v>
      </c>
      <c r="G1000" s="27"/>
    </row>
    <row r="1001" hidden="1">
      <c r="A1001" s="21"/>
      <c r="B1001" s="21" t="s">
        <v>1942</v>
      </c>
      <c r="D1001" s="25">
        <v>20.0</v>
      </c>
      <c r="E1001" s="27"/>
      <c r="F1001" s="25">
        <v>0.0</v>
      </c>
      <c r="G1001" s="27"/>
    </row>
    <row r="1002" hidden="1">
      <c r="A1002" s="21"/>
      <c r="B1002" s="21" t="s">
        <v>1943</v>
      </c>
      <c r="D1002" s="25">
        <v>20.0</v>
      </c>
      <c r="E1002" s="27"/>
      <c r="F1002" s="25">
        <v>0.0</v>
      </c>
      <c r="G1002" s="27"/>
    </row>
    <row r="1003" hidden="1">
      <c r="A1003" s="21"/>
      <c r="B1003" s="21" t="s">
        <v>1944</v>
      </c>
      <c r="D1003" s="25">
        <v>20.0</v>
      </c>
      <c r="E1003" s="27"/>
      <c r="F1003" s="25">
        <v>8.09</v>
      </c>
      <c r="G1003" s="27"/>
    </row>
    <row r="1004" hidden="1">
      <c r="A1004" s="21"/>
      <c r="B1004" s="21" t="s">
        <v>535</v>
      </c>
      <c r="D1004" s="25">
        <v>20.0</v>
      </c>
      <c r="E1004" s="27"/>
      <c r="F1004" s="25">
        <v>0.0</v>
      </c>
      <c r="G1004" s="27"/>
    </row>
    <row r="1005" hidden="1">
      <c r="A1005" s="21"/>
      <c r="B1005" s="21" t="s">
        <v>536</v>
      </c>
      <c r="D1005" s="25">
        <v>20.0</v>
      </c>
      <c r="E1005" s="27"/>
      <c r="F1005" s="25">
        <v>0.0</v>
      </c>
      <c r="G1005" s="27"/>
    </row>
    <row r="1006" hidden="1">
      <c r="A1006" s="21"/>
      <c r="B1006" s="21" t="s">
        <v>537</v>
      </c>
      <c r="D1006" s="25">
        <v>20.0</v>
      </c>
      <c r="E1006" s="27"/>
      <c r="F1006" s="25">
        <v>4.31</v>
      </c>
      <c r="G1006" s="27"/>
    </row>
    <row r="1007" hidden="1">
      <c r="A1007" s="21"/>
      <c r="B1007" s="21" t="s">
        <v>538</v>
      </c>
      <c r="D1007" s="25">
        <v>20.0</v>
      </c>
      <c r="E1007" s="27"/>
      <c r="F1007" s="25">
        <v>4.31</v>
      </c>
      <c r="G1007" s="27"/>
    </row>
    <row r="1008" hidden="1">
      <c r="A1008" s="21"/>
      <c r="B1008" s="21" t="s">
        <v>539</v>
      </c>
      <c r="D1008" s="25">
        <v>20.0</v>
      </c>
      <c r="E1008" s="27"/>
      <c r="F1008" s="25">
        <v>0.0</v>
      </c>
      <c r="G1008" s="27"/>
    </row>
    <row r="1009" hidden="1">
      <c r="A1009" s="21"/>
      <c r="B1009" s="21" t="s">
        <v>540</v>
      </c>
      <c r="D1009" s="25">
        <v>20.0</v>
      </c>
      <c r="E1009" s="27"/>
      <c r="F1009" s="25">
        <v>4.07</v>
      </c>
      <c r="G1009" s="27"/>
    </row>
    <row r="1010" hidden="1">
      <c r="A1010" s="21"/>
      <c r="B1010" s="21" t="s">
        <v>541</v>
      </c>
      <c r="D1010" s="25">
        <v>20.0</v>
      </c>
      <c r="E1010" s="27"/>
      <c r="F1010" s="25">
        <v>0.0</v>
      </c>
      <c r="G1010" s="27"/>
    </row>
    <row r="1011" hidden="1">
      <c r="A1011" s="21"/>
      <c r="B1011" s="21" t="s">
        <v>542</v>
      </c>
      <c r="D1011" s="25">
        <v>20.0</v>
      </c>
      <c r="E1011" s="27"/>
      <c r="F1011" s="25">
        <v>2.33</v>
      </c>
      <c r="G1011" s="27"/>
    </row>
    <row r="1012" hidden="1">
      <c r="A1012" s="21"/>
      <c r="B1012" s="21" t="s">
        <v>543</v>
      </c>
      <c r="D1012" s="25">
        <v>20.0</v>
      </c>
      <c r="E1012" s="27"/>
      <c r="F1012" s="25">
        <v>0.0</v>
      </c>
      <c r="G1012" s="27"/>
    </row>
    <row r="1013" hidden="1">
      <c r="A1013" s="21"/>
      <c r="B1013" s="21" t="s">
        <v>544</v>
      </c>
      <c r="D1013" s="25">
        <v>20.0</v>
      </c>
      <c r="E1013" s="27"/>
      <c r="F1013" s="25">
        <v>0.52</v>
      </c>
      <c r="G1013" s="27"/>
    </row>
    <row r="1014" hidden="1">
      <c r="A1014" s="21"/>
      <c r="B1014" s="21" t="s">
        <v>545</v>
      </c>
      <c r="D1014" s="25">
        <v>20.0</v>
      </c>
      <c r="E1014" s="27"/>
      <c r="F1014" s="25">
        <v>1.09</v>
      </c>
      <c r="G1014" s="27"/>
    </row>
    <row r="1015" hidden="1">
      <c r="A1015" s="21"/>
      <c r="B1015" s="21" t="s">
        <v>546</v>
      </c>
      <c r="D1015" s="25">
        <v>20.0</v>
      </c>
      <c r="E1015" s="27"/>
      <c r="F1015" s="25">
        <v>1.44</v>
      </c>
      <c r="G1015" s="27"/>
    </row>
    <row r="1016" hidden="1">
      <c r="A1016" s="21"/>
      <c r="B1016" s="21" t="s">
        <v>547</v>
      </c>
      <c r="D1016" s="25">
        <v>20.0</v>
      </c>
      <c r="E1016" s="27"/>
      <c r="F1016" s="25">
        <v>1.44</v>
      </c>
      <c r="G1016" s="27"/>
    </row>
    <row r="1017" hidden="1">
      <c r="A1017" s="21"/>
      <c r="B1017" s="21" t="s">
        <v>548</v>
      </c>
      <c r="D1017" s="25">
        <v>20.0</v>
      </c>
      <c r="E1017" s="27"/>
      <c r="F1017" s="25">
        <v>1.06</v>
      </c>
      <c r="G1017" s="27"/>
    </row>
    <row r="1018" hidden="1">
      <c r="A1018" s="21"/>
      <c r="B1018" s="21" t="s">
        <v>549</v>
      </c>
      <c r="D1018" s="25">
        <v>20.0</v>
      </c>
      <c r="E1018" s="27"/>
      <c r="F1018" s="25">
        <v>0.93</v>
      </c>
      <c r="G1018" s="27"/>
    </row>
    <row r="1019" hidden="1">
      <c r="A1019" s="21"/>
      <c r="B1019" s="21" t="s">
        <v>550</v>
      </c>
      <c r="D1019" s="25">
        <v>20.0</v>
      </c>
      <c r="E1019" s="27"/>
      <c r="F1019" s="25">
        <v>0.83</v>
      </c>
      <c r="G1019" s="27"/>
    </row>
    <row r="1020" hidden="1">
      <c r="A1020" s="21"/>
      <c r="B1020" s="21" t="s">
        <v>551</v>
      </c>
      <c r="D1020" s="25">
        <v>20.0</v>
      </c>
      <c r="E1020" s="27"/>
      <c r="F1020" s="25">
        <v>1.84</v>
      </c>
      <c r="G1020" s="27"/>
    </row>
    <row r="1021" hidden="1">
      <c r="A1021" s="21"/>
      <c r="B1021" s="21" t="s">
        <v>552</v>
      </c>
      <c r="D1021" s="25">
        <v>20.0</v>
      </c>
      <c r="E1021" s="27"/>
      <c r="F1021" s="25">
        <v>1.21</v>
      </c>
      <c r="G1021" s="27"/>
    </row>
    <row r="1022" hidden="1">
      <c r="A1022" s="21"/>
      <c r="B1022" s="21" t="s">
        <v>553</v>
      </c>
      <c r="D1022" s="25">
        <v>20.0</v>
      </c>
      <c r="E1022" s="27"/>
      <c r="F1022" s="25">
        <v>1.31</v>
      </c>
      <c r="G1022" s="27"/>
    </row>
    <row r="1023" hidden="1">
      <c r="A1023" s="21"/>
      <c r="B1023" s="21" t="s">
        <v>554</v>
      </c>
      <c r="D1023" s="25">
        <v>20.0</v>
      </c>
      <c r="E1023" s="27"/>
      <c r="F1023" s="25">
        <v>0.0</v>
      </c>
      <c r="G1023" s="27"/>
    </row>
    <row r="1024" hidden="1">
      <c r="A1024" s="21"/>
      <c r="B1024" s="21" t="s">
        <v>555</v>
      </c>
      <c r="D1024" s="25">
        <v>20.0</v>
      </c>
      <c r="E1024" s="27"/>
      <c r="F1024" s="25">
        <v>0.0</v>
      </c>
      <c r="G1024" s="27"/>
    </row>
    <row r="1025" hidden="1">
      <c r="A1025" s="21"/>
      <c r="B1025" s="21" t="s">
        <v>556</v>
      </c>
      <c r="D1025" s="25">
        <v>20.0</v>
      </c>
      <c r="E1025" s="27"/>
      <c r="F1025" s="25">
        <v>0.0</v>
      </c>
      <c r="G1025" s="27"/>
    </row>
    <row r="1026" hidden="1">
      <c r="A1026" s="21"/>
      <c r="B1026" s="21" t="s">
        <v>557</v>
      </c>
      <c r="D1026" s="25">
        <v>20.0</v>
      </c>
      <c r="E1026" s="27"/>
      <c r="F1026" s="25">
        <v>0.0</v>
      </c>
      <c r="G1026" s="27"/>
    </row>
    <row r="1027" hidden="1">
      <c r="A1027" s="21"/>
      <c r="B1027" s="21" t="s">
        <v>558</v>
      </c>
      <c r="D1027" s="25">
        <v>20.0</v>
      </c>
      <c r="E1027" s="27"/>
      <c r="F1027" s="25">
        <v>0.0</v>
      </c>
      <c r="G1027" s="27"/>
    </row>
    <row r="1028" hidden="1">
      <c r="A1028" s="21"/>
      <c r="B1028" s="21" t="s">
        <v>1945</v>
      </c>
      <c r="D1028" s="25">
        <v>20.0</v>
      </c>
      <c r="E1028" s="27"/>
      <c r="F1028" s="25">
        <v>0.0</v>
      </c>
      <c r="G1028" s="27"/>
    </row>
    <row r="1029" hidden="1">
      <c r="A1029" s="21"/>
      <c r="B1029" s="21" t="s">
        <v>1946</v>
      </c>
      <c r="D1029" s="25">
        <v>20.0</v>
      </c>
      <c r="E1029" s="27"/>
      <c r="F1029" s="25">
        <v>0.0</v>
      </c>
      <c r="G1029" s="27"/>
    </row>
    <row r="1030" hidden="1">
      <c r="A1030" s="21"/>
      <c r="B1030" s="21" t="s">
        <v>1947</v>
      </c>
      <c r="D1030" s="25">
        <v>20.0</v>
      </c>
      <c r="E1030" s="27"/>
      <c r="F1030" s="25">
        <v>0.0</v>
      </c>
      <c r="G1030" s="27"/>
    </row>
    <row r="1031" hidden="1">
      <c r="A1031" s="21"/>
      <c r="B1031" s="21" t="s">
        <v>1948</v>
      </c>
      <c r="D1031" s="25">
        <v>20.0</v>
      </c>
      <c r="E1031" s="27"/>
      <c r="F1031" s="25">
        <v>0.0</v>
      </c>
      <c r="G1031" s="27"/>
    </row>
    <row r="1032" hidden="1">
      <c r="A1032" s="21"/>
      <c r="B1032" s="21" t="s">
        <v>1949</v>
      </c>
      <c r="D1032" s="25">
        <v>20.0</v>
      </c>
      <c r="E1032" s="27"/>
      <c r="F1032" s="25">
        <v>0.0</v>
      </c>
      <c r="G1032" s="27"/>
    </row>
    <row r="1033" hidden="1">
      <c r="A1033" s="21"/>
      <c r="B1033" s="21" t="s">
        <v>1950</v>
      </c>
      <c r="D1033" s="25">
        <v>20.0</v>
      </c>
      <c r="E1033" s="27"/>
      <c r="F1033" s="25">
        <v>2.53</v>
      </c>
      <c r="G1033" s="27"/>
    </row>
    <row r="1034" hidden="1">
      <c r="A1034" s="21"/>
      <c r="B1034" s="21" t="s">
        <v>1951</v>
      </c>
      <c r="D1034" s="25">
        <v>20.0</v>
      </c>
      <c r="E1034" s="27"/>
      <c r="F1034" s="25">
        <v>0.0</v>
      </c>
      <c r="G1034" s="27"/>
    </row>
    <row r="1035" hidden="1">
      <c r="A1035" s="21"/>
      <c r="B1035" s="21" t="s">
        <v>1952</v>
      </c>
      <c r="D1035" s="25">
        <v>20.0</v>
      </c>
      <c r="E1035" s="27"/>
      <c r="F1035" s="25">
        <v>6.52</v>
      </c>
      <c r="G1035" s="27"/>
    </row>
    <row r="1036" hidden="1">
      <c r="A1036" s="21"/>
      <c r="B1036" s="21" t="s">
        <v>1953</v>
      </c>
      <c r="D1036" s="25">
        <v>20.0</v>
      </c>
      <c r="E1036" s="27"/>
      <c r="F1036" s="25">
        <v>0.0</v>
      </c>
      <c r="G1036" s="27"/>
    </row>
    <row r="1037" hidden="1">
      <c r="A1037" s="21"/>
      <c r="B1037" s="21" t="s">
        <v>1954</v>
      </c>
      <c r="D1037" s="25">
        <v>20.0</v>
      </c>
      <c r="E1037" s="27"/>
      <c r="F1037" s="25">
        <v>0.0</v>
      </c>
      <c r="G1037" s="27"/>
    </row>
    <row r="1038" hidden="1">
      <c r="A1038" s="21"/>
      <c r="B1038" s="21" t="s">
        <v>1955</v>
      </c>
      <c r="D1038" s="25">
        <v>20.0</v>
      </c>
      <c r="E1038" s="27"/>
      <c r="F1038" s="25">
        <v>0.0</v>
      </c>
      <c r="G1038" s="27"/>
    </row>
    <row r="1039" hidden="1">
      <c r="A1039" s="21"/>
      <c r="B1039" s="21" t="s">
        <v>1956</v>
      </c>
      <c r="D1039" s="25">
        <v>20.0</v>
      </c>
      <c r="E1039" s="27"/>
      <c r="F1039" s="25">
        <v>0.57</v>
      </c>
      <c r="G1039" s="27"/>
    </row>
    <row r="1040" hidden="1">
      <c r="A1040" s="21"/>
      <c r="B1040" s="21" t="s">
        <v>1957</v>
      </c>
      <c r="D1040" s="25">
        <v>20.0</v>
      </c>
      <c r="E1040" s="27"/>
      <c r="F1040" s="25">
        <v>6.81</v>
      </c>
      <c r="G1040" s="27"/>
    </row>
    <row r="1041" hidden="1">
      <c r="A1041" s="21"/>
      <c r="B1041" s="21" t="s">
        <v>1958</v>
      </c>
      <c r="D1041" s="25">
        <v>20.0</v>
      </c>
      <c r="E1041" s="27"/>
      <c r="F1041" s="25">
        <v>0.0</v>
      </c>
      <c r="G1041" s="27"/>
    </row>
    <row r="1042" hidden="1">
      <c r="A1042" s="21"/>
      <c r="B1042" s="21" t="s">
        <v>1959</v>
      </c>
      <c r="D1042" s="25">
        <v>20.0</v>
      </c>
      <c r="E1042" s="27"/>
      <c r="F1042" s="25">
        <v>0.0</v>
      </c>
      <c r="G1042" s="27"/>
    </row>
    <row r="1043" hidden="1">
      <c r="A1043" s="21"/>
      <c r="B1043" s="21" t="s">
        <v>1960</v>
      </c>
      <c r="D1043" s="25">
        <v>20.0</v>
      </c>
      <c r="E1043" s="27"/>
      <c r="F1043" s="25">
        <v>0.0</v>
      </c>
      <c r="G1043" s="27"/>
    </row>
    <row r="1044" hidden="1">
      <c r="A1044" s="21"/>
      <c r="B1044" s="21" t="s">
        <v>1961</v>
      </c>
      <c r="D1044" s="25">
        <v>20.0</v>
      </c>
      <c r="E1044" s="27"/>
      <c r="F1044" s="25">
        <v>4.76</v>
      </c>
      <c r="G1044" s="27"/>
    </row>
    <row r="1045" hidden="1">
      <c r="A1045" s="21"/>
      <c r="B1045" s="21" t="s">
        <v>1962</v>
      </c>
      <c r="D1045" s="25">
        <v>20.0</v>
      </c>
      <c r="E1045" s="27"/>
      <c r="F1045" s="25">
        <v>9.02</v>
      </c>
      <c r="G1045" s="27"/>
    </row>
    <row r="1046" hidden="1">
      <c r="A1046" s="21"/>
      <c r="B1046" s="21" t="s">
        <v>1963</v>
      </c>
      <c r="D1046" s="25">
        <v>20.0</v>
      </c>
      <c r="E1046" s="27"/>
      <c r="F1046" s="25">
        <v>0.0</v>
      </c>
      <c r="G1046" s="27"/>
    </row>
    <row r="1047" hidden="1">
      <c r="A1047" s="21"/>
      <c r="B1047" s="21" t="s">
        <v>1964</v>
      </c>
      <c r="D1047" s="25">
        <v>20.0</v>
      </c>
      <c r="E1047" s="27"/>
      <c r="F1047" s="25">
        <v>4.68</v>
      </c>
      <c r="G1047" s="27"/>
    </row>
    <row r="1048" hidden="1">
      <c r="A1048" s="21"/>
      <c r="B1048" s="21" t="s">
        <v>1965</v>
      </c>
      <c r="D1048" s="25">
        <v>20.0</v>
      </c>
      <c r="E1048" s="27"/>
      <c r="F1048" s="25">
        <v>3.39</v>
      </c>
      <c r="G1048" s="27"/>
    </row>
    <row r="1049" hidden="1">
      <c r="A1049" s="21"/>
      <c r="B1049" s="21" t="s">
        <v>1966</v>
      </c>
      <c r="D1049" s="25">
        <v>20.0</v>
      </c>
      <c r="E1049" s="27"/>
      <c r="F1049" s="25">
        <v>2.44</v>
      </c>
      <c r="G1049" s="27"/>
    </row>
    <row r="1050" hidden="1">
      <c r="A1050" s="21"/>
      <c r="B1050" s="21" t="s">
        <v>1967</v>
      </c>
      <c r="D1050" s="25">
        <v>20.0</v>
      </c>
      <c r="E1050" s="27"/>
      <c r="F1050" s="25">
        <v>0.0</v>
      </c>
      <c r="G1050" s="27"/>
    </row>
    <row r="1051" hidden="1">
      <c r="A1051" s="21"/>
      <c r="B1051" s="21" t="s">
        <v>1968</v>
      </c>
      <c r="D1051" s="25">
        <v>20.0</v>
      </c>
      <c r="E1051" s="27"/>
      <c r="F1051" s="25">
        <v>0.0</v>
      </c>
      <c r="G1051" s="27"/>
    </row>
    <row r="1052" hidden="1">
      <c r="A1052" s="21"/>
      <c r="B1052" s="21" t="s">
        <v>1969</v>
      </c>
      <c r="D1052" s="25">
        <v>20.0</v>
      </c>
      <c r="E1052" s="27"/>
      <c r="F1052" s="25">
        <v>2.55</v>
      </c>
      <c r="G1052" s="27"/>
    </row>
    <row r="1053" hidden="1">
      <c r="A1053" s="21"/>
      <c r="B1053" s="21" t="s">
        <v>1970</v>
      </c>
      <c r="D1053" s="25">
        <v>20.0</v>
      </c>
      <c r="E1053" s="27"/>
      <c r="F1053" s="25">
        <v>0.0</v>
      </c>
      <c r="G1053" s="27"/>
    </row>
    <row r="1054" hidden="1">
      <c r="A1054" s="21"/>
      <c r="B1054" s="21" t="s">
        <v>1971</v>
      </c>
      <c r="D1054" s="25">
        <v>20.0</v>
      </c>
      <c r="E1054" s="27"/>
      <c r="F1054" s="25">
        <v>4.21</v>
      </c>
      <c r="G1054" s="27"/>
    </row>
    <row r="1055" hidden="1">
      <c r="A1055" s="21"/>
      <c r="B1055" s="21" t="s">
        <v>1972</v>
      </c>
      <c r="D1055" s="25">
        <v>20.0</v>
      </c>
      <c r="E1055" s="27"/>
      <c r="F1055" s="25">
        <v>0.0</v>
      </c>
      <c r="G1055" s="27"/>
    </row>
    <row r="1056" hidden="1">
      <c r="A1056" s="21"/>
      <c r="B1056" s="21" t="s">
        <v>1973</v>
      </c>
      <c r="D1056" s="25">
        <v>20.0</v>
      </c>
      <c r="E1056" s="27"/>
      <c r="F1056" s="25">
        <v>0.0</v>
      </c>
      <c r="G1056" s="27"/>
    </row>
    <row r="1057" hidden="1">
      <c r="A1057" s="21"/>
      <c r="B1057" s="21" t="s">
        <v>1974</v>
      </c>
      <c r="D1057" s="25">
        <v>20.0</v>
      </c>
      <c r="E1057" s="27"/>
      <c r="F1057" s="25">
        <v>3.8</v>
      </c>
      <c r="G1057" s="27"/>
    </row>
    <row r="1058" hidden="1">
      <c r="A1058" s="21"/>
      <c r="B1058" s="21" t="s">
        <v>1975</v>
      </c>
      <c r="D1058" s="25">
        <v>20.0</v>
      </c>
      <c r="E1058" s="27"/>
      <c r="F1058" s="25">
        <v>0.0</v>
      </c>
      <c r="G1058" s="27"/>
    </row>
    <row r="1059" hidden="1">
      <c r="A1059" s="21"/>
      <c r="B1059" s="21" t="s">
        <v>1976</v>
      </c>
      <c r="D1059" s="25">
        <v>20.0</v>
      </c>
      <c r="E1059" s="27"/>
      <c r="F1059" s="25">
        <v>4.35</v>
      </c>
      <c r="G1059" s="27"/>
    </row>
    <row r="1060" hidden="1">
      <c r="A1060" s="21"/>
      <c r="B1060" s="21" t="s">
        <v>1977</v>
      </c>
      <c r="D1060" s="25">
        <v>20.0</v>
      </c>
      <c r="E1060" s="27"/>
      <c r="F1060" s="25">
        <v>3.95</v>
      </c>
      <c r="G1060" s="27"/>
    </row>
    <row r="1061" hidden="1">
      <c r="A1061" s="21"/>
      <c r="B1061" s="21" t="s">
        <v>1978</v>
      </c>
      <c r="D1061" s="25">
        <v>20.0</v>
      </c>
      <c r="E1061" s="27"/>
      <c r="F1061" s="25">
        <v>1.89</v>
      </c>
      <c r="G1061" s="27"/>
    </row>
    <row r="1062" hidden="1">
      <c r="A1062" s="21"/>
      <c r="B1062" s="21" t="s">
        <v>1979</v>
      </c>
      <c r="D1062" s="25">
        <v>20.0</v>
      </c>
      <c r="E1062" s="27"/>
      <c r="F1062" s="25">
        <v>2.28</v>
      </c>
      <c r="G1062" s="27"/>
    </row>
    <row r="1063" hidden="1">
      <c r="A1063" s="21"/>
      <c r="B1063" s="21" t="s">
        <v>1980</v>
      </c>
      <c r="D1063" s="25">
        <v>20.0</v>
      </c>
      <c r="E1063" s="27"/>
      <c r="F1063" s="25">
        <v>6.38</v>
      </c>
      <c r="G1063" s="27"/>
    </row>
    <row r="1064" hidden="1">
      <c r="A1064" s="21"/>
      <c r="B1064" s="21" t="s">
        <v>1981</v>
      </c>
      <c r="D1064" s="25">
        <v>20.0</v>
      </c>
      <c r="E1064" s="27"/>
      <c r="F1064" s="25">
        <v>6.38</v>
      </c>
      <c r="G1064" s="27"/>
    </row>
    <row r="1065" hidden="1">
      <c r="A1065" s="21"/>
      <c r="B1065" s="21" t="s">
        <v>1982</v>
      </c>
      <c r="D1065" s="25">
        <v>20.0</v>
      </c>
      <c r="E1065" s="27"/>
      <c r="F1065" s="25">
        <v>4.81</v>
      </c>
      <c r="G1065" s="27"/>
    </row>
    <row r="1066" hidden="1">
      <c r="A1066" s="21"/>
      <c r="B1066" s="21" t="s">
        <v>1983</v>
      </c>
      <c r="D1066" s="25">
        <v>20.0</v>
      </c>
      <c r="E1066" s="27"/>
      <c r="F1066" s="25">
        <v>0.0</v>
      </c>
      <c r="G1066" s="27"/>
    </row>
    <row r="1067" hidden="1">
      <c r="A1067" s="21"/>
      <c r="B1067" s="21" t="s">
        <v>1984</v>
      </c>
      <c r="D1067" s="25">
        <v>20.0</v>
      </c>
      <c r="E1067" s="27"/>
      <c r="F1067" s="25">
        <v>0.0</v>
      </c>
      <c r="G1067" s="27"/>
    </row>
    <row r="1068" hidden="1">
      <c r="A1068" s="21"/>
      <c r="B1068" s="21" t="s">
        <v>1985</v>
      </c>
      <c r="D1068" s="25">
        <v>20.0</v>
      </c>
      <c r="E1068" s="27"/>
      <c r="F1068" s="25">
        <v>0.0</v>
      </c>
      <c r="G1068" s="27"/>
    </row>
    <row r="1069" hidden="1">
      <c r="A1069" s="21"/>
      <c r="B1069" s="21" t="s">
        <v>1986</v>
      </c>
      <c r="D1069" s="25">
        <v>20.0</v>
      </c>
      <c r="E1069" s="27"/>
      <c r="F1069" s="25">
        <v>6.0</v>
      </c>
      <c r="G1069" s="27"/>
    </row>
    <row r="1070" hidden="1">
      <c r="A1070" s="21"/>
      <c r="B1070" s="21" t="s">
        <v>1987</v>
      </c>
      <c r="D1070" s="25">
        <v>20.0</v>
      </c>
      <c r="E1070" s="27"/>
      <c r="F1070" s="25">
        <v>0.0</v>
      </c>
      <c r="G1070" s="27"/>
    </row>
    <row r="1071" hidden="1">
      <c r="A1071" s="21"/>
      <c r="B1071" s="21" t="s">
        <v>1988</v>
      </c>
      <c r="D1071" s="25">
        <v>20.0</v>
      </c>
      <c r="E1071" s="27"/>
      <c r="F1071" s="25">
        <v>0.0</v>
      </c>
      <c r="G1071" s="27"/>
    </row>
    <row r="1072" hidden="1">
      <c r="A1072" s="21"/>
      <c r="B1072" s="21" t="s">
        <v>1989</v>
      </c>
      <c r="D1072" s="25">
        <v>20.0</v>
      </c>
      <c r="E1072" s="27"/>
      <c r="F1072" s="25">
        <v>1.92</v>
      </c>
      <c r="G1072" s="27"/>
    </row>
    <row r="1073" hidden="1">
      <c r="A1073" s="21"/>
      <c r="B1073" s="21" t="s">
        <v>1990</v>
      </c>
      <c r="D1073" s="25">
        <v>20.0</v>
      </c>
      <c r="E1073" s="27"/>
      <c r="F1073" s="25">
        <v>1.92</v>
      </c>
      <c r="G1073" s="27"/>
    </row>
    <row r="1074" hidden="1">
      <c r="A1074" s="21"/>
      <c r="B1074" s="21" t="s">
        <v>1991</v>
      </c>
      <c r="D1074" s="25">
        <v>20.0</v>
      </c>
      <c r="E1074" s="27"/>
      <c r="F1074" s="25">
        <v>0.0</v>
      </c>
      <c r="G1074" s="27"/>
    </row>
    <row r="1075" hidden="1">
      <c r="A1075" s="21"/>
      <c r="B1075" s="21" t="s">
        <v>1992</v>
      </c>
      <c r="D1075" s="25">
        <v>20.0</v>
      </c>
      <c r="E1075" s="27"/>
      <c r="F1075" s="25">
        <v>0.0</v>
      </c>
      <c r="G1075" s="27"/>
    </row>
    <row r="1076" hidden="1">
      <c r="A1076" s="21"/>
      <c r="B1076" s="21" t="s">
        <v>1993</v>
      </c>
      <c r="D1076" s="25">
        <v>20.0</v>
      </c>
      <c r="E1076" s="27"/>
      <c r="F1076" s="25">
        <v>0.0</v>
      </c>
      <c r="G1076" s="27"/>
    </row>
    <row r="1077" hidden="1">
      <c r="A1077" s="21"/>
      <c r="B1077" s="21" t="s">
        <v>1994</v>
      </c>
      <c r="D1077" s="25">
        <v>20.0</v>
      </c>
      <c r="E1077" s="27"/>
      <c r="F1077" s="25">
        <v>3.9</v>
      </c>
      <c r="G1077" s="27"/>
    </row>
    <row r="1078" hidden="1">
      <c r="A1078" s="21"/>
      <c r="B1078" s="21" t="s">
        <v>1995</v>
      </c>
      <c r="D1078" s="25">
        <v>20.0</v>
      </c>
      <c r="E1078" s="27"/>
      <c r="F1078" s="25">
        <v>0.0</v>
      </c>
      <c r="G1078" s="27"/>
    </row>
    <row r="1079" hidden="1">
      <c r="A1079" s="21"/>
      <c r="B1079" s="21" t="s">
        <v>1996</v>
      </c>
      <c r="D1079" s="25">
        <v>20.0</v>
      </c>
      <c r="E1079" s="27"/>
      <c r="F1079" s="25">
        <v>0.0</v>
      </c>
      <c r="G1079" s="27"/>
    </row>
    <row r="1080" hidden="1">
      <c r="A1080" s="21"/>
      <c r="B1080" s="21" t="s">
        <v>1997</v>
      </c>
      <c r="D1080" s="25">
        <v>20.0</v>
      </c>
      <c r="E1080" s="27"/>
      <c r="F1080" s="25">
        <v>0.0</v>
      </c>
      <c r="G1080" s="27"/>
    </row>
    <row r="1081" hidden="1">
      <c r="A1081" s="21"/>
      <c r="B1081" s="21" t="s">
        <v>1998</v>
      </c>
      <c r="D1081" s="25">
        <v>20.0</v>
      </c>
      <c r="E1081" s="27"/>
      <c r="F1081" s="25">
        <v>0.0</v>
      </c>
      <c r="G1081" s="27"/>
    </row>
    <row r="1082" hidden="1">
      <c r="A1082" s="21"/>
      <c r="B1082" s="21" t="s">
        <v>1999</v>
      </c>
      <c r="D1082" s="25">
        <v>20.0</v>
      </c>
      <c r="E1082" s="27"/>
      <c r="F1082" s="25">
        <v>2.9</v>
      </c>
      <c r="G1082" s="27"/>
    </row>
    <row r="1083" hidden="1">
      <c r="A1083" s="21"/>
      <c r="B1083" s="21" t="s">
        <v>2000</v>
      </c>
      <c r="D1083" s="25">
        <v>20.0</v>
      </c>
      <c r="E1083" s="27"/>
      <c r="F1083" s="25">
        <v>3.07</v>
      </c>
      <c r="G1083" s="27"/>
    </row>
    <row r="1084" hidden="1">
      <c r="A1084" s="21"/>
      <c r="B1084" s="21" t="s">
        <v>2001</v>
      </c>
      <c r="D1084" s="25">
        <v>20.0</v>
      </c>
      <c r="E1084" s="27"/>
      <c r="F1084" s="25">
        <v>4.34</v>
      </c>
      <c r="G1084" s="27"/>
    </row>
    <row r="1085" hidden="1">
      <c r="A1085" s="21"/>
      <c r="B1085" s="21" t="s">
        <v>2002</v>
      </c>
      <c r="D1085" s="25">
        <v>20.0</v>
      </c>
      <c r="E1085" s="27"/>
      <c r="F1085" s="25">
        <v>0.0</v>
      </c>
      <c r="G1085" s="27"/>
    </row>
    <row r="1086" hidden="1">
      <c r="A1086" s="21"/>
      <c r="B1086" s="21" t="s">
        <v>2003</v>
      </c>
      <c r="D1086" s="25">
        <v>20.0</v>
      </c>
      <c r="E1086" s="27"/>
      <c r="F1086" s="25">
        <v>0.0</v>
      </c>
      <c r="G1086" s="27"/>
    </row>
    <row r="1087" hidden="1">
      <c r="A1087" s="21"/>
      <c r="B1087" s="21" t="s">
        <v>2004</v>
      </c>
      <c r="D1087" s="25">
        <v>20.0</v>
      </c>
      <c r="E1087" s="27"/>
      <c r="F1087" s="25">
        <v>0.0</v>
      </c>
      <c r="G1087" s="27"/>
    </row>
    <row r="1088" hidden="1">
      <c r="A1088" s="21"/>
      <c r="B1088" s="21" t="s">
        <v>2005</v>
      </c>
      <c r="D1088" s="25">
        <v>20.0</v>
      </c>
      <c r="E1088" s="27"/>
      <c r="F1088" s="25">
        <v>0.55</v>
      </c>
      <c r="G1088" s="27"/>
    </row>
    <row r="1089" hidden="1">
      <c r="A1089" s="21"/>
      <c r="B1089" s="21" t="s">
        <v>2006</v>
      </c>
      <c r="D1089" s="25">
        <v>20.0</v>
      </c>
      <c r="E1089" s="27"/>
      <c r="F1089" s="25">
        <v>6.0</v>
      </c>
      <c r="G1089" s="27"/>
    </row>
    <row r="1090" hidden="1">
      <c r="A1090" s="21"/>
      <c r="B1090" s="21" t="s">
        <v>2007</v>
      </c>
      <c r="D1090" s="25">
        <v>20.0</v>
      </c>
      <c r="E1090" s="27"/>
      <c r="F1090" s="25">
        <v>1.48</v>
      </c>
      <c r="G1090" s="27"/>
    </row>
    <row r="1091" hidden="1">
      <c r="A1091" s="21"/>
      <c r="B1091" s="21" t="s">
        <v>2008</v>
      </c>
      <c r="D1091" s="25">
        <v>20.0</v>
      </c>
      <c r="E1091" s="27"/>
      <c r="F1091" s="25">
        <v>3.95</v>
      </c>
      <c r="G1091" s="27"/>
    </row>
    <row r="1092" hidden="1">
      <c r="A1092" s="21"/>
      <c r="B1092" s="21" t="s">
        <v>2009</v>
      </c>
      <c r="D1092" s="25">
        <v>20.0</v>
      </c>
      <c r="E1092" s="27"/>
      <c r="F1092" s="25">
        <v>0.0</v>
      </c>
      <c r="G1092" s="27"/>
    </row>
    <row r="1093" hidden="1">
      <c r="A1093" s="21"/>
      <c r="B1093" s="21" t="s">
        <v>2010</v>
      </c>
      <c r="D1093" s="25">
        <v>20.0</v>
      </c>
      <c r="E1093" s="27"/>
      <c r="F1093" s="25">
        <v>0.0</v>
      </c>
      <c r="G1093" s="27"/>
    </row>
    <row r="1094" hidden="1">
      <c r="A1094" s="21"/>
      <c r="B1094" s="21" t="s">
        <v>2011</v>
      </c>
      <c r="D1094" s="25">
        <v>20.0</v>
      </c>
      <c r="E1094" s="27"/>
      <c r="F1094" s="25">
        <v>3.8</v>
      </c>
      <c r="G1094" s="27"/>
    </row>
    <row r="1095" hidden="1">
      <c r="A1095" s="21"/>
      <c r="B1095" s="21" t="s">
        <v>2012</v>
      </c>
      <c r="D1095" s="25">
        <v>20.0</v>
      </c>
      <c r="E1095" s="27"/>
      <c r="F1095" s="25">
        <v>3.8</v>
      </c>
      <c r="G1095" s="27"/>
    </row>
    <row r="1096" hidden="1">
      <c r="A1096" s="21"/>
      <c r="B1096" s="21" t="s">
        <v>2013</v>
      </c>
      <c r="D1096" s="25">
        <v>20.0</v>
      </c>
      <c r="E1096" s="27"/>
      <c r="F1096" s="25">
        <v>1.89</v>
      </c>
      <c r="G1096" s="27"/>
    </row>
    <row r="1097" hidden="1">
      <c r="A1097" s="21"/>
      <c r="B1097" s="21" t="s">
        <v>2014</v>
      </c>
      <c r="D1097" s="25">
        <v>20.0</v>
      </c>
      <c r="E1097" s="27"/>
      <c r="F1097" s="25">
        <v>0.0</v>
      </c>
      <c r="G1097" s="27"/>
    </row>
    <row r="1098" hidden="1">
      <c r="A1098" s="21"/>
      <c r="B1098" s="21" t="s">
        <v>2015</v>
      </c>
      <c r="D1098" s="25">
        <v>20.0</v>
      </c>
      <c r="E1098" s="27"/>
      <c r="F1098" s="25">
        <v>4.48</v>
      </c>
      <c r="G1098" s="27"/>
    </row>
    <row r="1099" hidden="1">
      <c r="A1099" s="21"/>
      <c r="B1099" s="21" t="s">
        <v>2016</v>
      </c>
      <c r="D1099" s="25">
        <v>20.0</v>
      </c>
      <c r="E1099" s="27"/>
      <c r="F1099" s="25">
        <v>0.0</v>
      </c>
      <c r="G1099" s="27"/>
    </row>
    <row r="1100" hidden="1">
      <c r="A1100" s="21"/>
      <c r="B1100" s="21" t="s">
        <v>2017</v>
      </c>
      <c r="D1100" s="25">
        <v>20.0</v>
      </c>
      <c r="E1100" s="27"/>
      <c r="F1100" s="25">
        <v>3.97</v>
      </c>
      <c r="G1100" s="27"/>
    </row>
    <row r="1101" hidden="1">
      <c r="A1101" s="21"/>
      <c r="B1101" s="21" t="s">
        <v>2018</v>
      </c>
      <c r="D1101" s="25">
        <v>20.0</v>
      </c>
      <c r="E1101" s="27"/>
      <c r="F1101" s="25">
        <v>2.84</v>
      </c>
      <c r="G1101" s="27"/>
    </row>
    <row r="1102" hidden="1">
      <c r="A1102" s="21"/>
      <c r="B1102" s="21" t="s">
        <v>2019</v>
      </c>
      <c r="D1102" s="25">
        <v>20.0</v>
      </c>
      <c r="E1102" s="27"/>
      <c r="F1102" s="25">
        <v>0.54</v>
      </c>
      <c r="G1102" s="27"/>
    </row>
    <row r="1103" hidden="1">
      <c r="A1103" s="21"/>
      <c r="B1103" s="21" t="s">
        <v>2020</v>
      </c>
      <c r="D1103" s="25">
        <v>20.0</v>
      </c>
      <c r="E1103" s="27"/>
      <c r="F1103" s="25">
        <v>0.39</v>
      </c>
      <c r="G1103" s="27"/>
    </row>
    <row r="1104" hidden="1">
      <c r="A1104" s="21"/>
      <c r="B1104" s="21" t="s">
        <v>2021</v>
      </c>
      <c r="D1104" s="25">
        <v>20.0</v>
      </c>
      <c r="E1104" s="27"/>
      <c r="F1104" s="25">
        <v>0.27</v>
      </c>
      <c r="G1104" s="27"/>
    </row>
    <row r="1105" hidden="1">
      <c r="A1105" s="21"/>
      <c r="B1105" s="21" t="s">
        <v>2022</v>
      </c>
      <c r="D1105" s="25">
        <v>20.0</v>
      </c>
      <c r="E1105" s="27"/>
      <c r="F1105" s="25">
        <v>4.78</v>
      </c>
      <c r="G1105" s="27"/>
    </row>
    <row r="1106" hidden="1">
      <c r="A1106" s="21"/>
      <c r="B1106" s="21" t="s">
        <v>2023</v>
      </c>
      <c r="D1106" s="25">
        <v>20.0</v>
      </c>
      <c r="E1106" s="27"/>
      <c r="F1106" s="25">
        <v>10.31</v>
      </c>
      <c r="G1106" s="27"/>
    </row>
    <row r="1107" hidden="1">
      <c r="A1107" s="21"/>
      <c r="B1107" s="21" t="s">
        <v>2024</v>
      </c>
      <c r="D1107" s="25">
        <v>20.0</v>
      </c>
      <c r="E1107" s="27"/>
      <c r="F1107" s="25">
        <v>10.31</v>
      </c>
      <c r="G1107" s="27"/>
    </row>
    <row r="1108" hidden="1">
      <c r="A1108" s="21"/>
      <c r="B1108" s="21" t="s">
        <v>2025</v>
      </c>
      <c r="D1108" s="25">
        <v>20.0</v>
      </c>
      <c r="E1108" s="27"/>
      <c r="F1108" s="25">
        <v>0.0</v>
      </c>
      <c r="G1108" s="27"/>
    </row>
    <row r="1109" hidden="1">
      <c r="A1109" s="21"/>
      <c r="B1109" s="21" t="s">
        <v>2026</v>
      </c>
      <c r="D1109" s="25">
        <v>20.0</v>
      </c>
      <c r="E1109" s="27"/>
      <c r="F1109" s="25">
        <v>0.0</v>
      </c>
      <c r="G1109" s="27"/>
    </row>
    <row r="1110" hidden="1">
      <c r="A1110" s="21"/>
      <c r="B1110" s="21" t="s">
        <v>2027</v>
      </c>
      <c r="D1110" s="25">
        <v>20.0</v>
      </c>
      <c r="E1110" s="27"/>
      <c r="F1110" s="25">
        <v>0.0</v>
      </c>
      <c r="G1110" s="27"/>
    </row>
    <row r="1111" hidden="1">
      <c r="A1111" s="21"/>
      <c r="B1111" s="21" t="s">
        <v>2028</v>
      </c>
      <c r="D1111" s="25">
        <v>20.0</v>
      </c>
      <c r="E1111" s="27"/>
      <c r="F1111" s="25">
        <v>3.09</v>
      </c>
      <c r="G1111" s="27"/>
    </row>
    <row r="1112" hidden="1">
      <c r="A1112" s="21"/>
      <c r="B1112" s="21" t="s">
        <v>2029</v>
      </c>
      <c r="D1112" s="25">
        <v>20.0</v>
      </c>
      <c r="E1112" s="27"/>
      <c r="F1112" s="25">
        <v>2.56</v>
      </c>
      <c r="G1112" s="27"/>
    </row>
    <row r="1113" hidden="1">
      <c r="A1113" s="21"/>
      <c r="B1113" s="21" t="s">
        <v>2030</v>
      </c>
      <c r="D1113" s="25">
        <v>20.0</v>
      </c>
      <c r="E1113" s="27"/>
      <c r="F1113" s="25">
        <v>0.0</v>
      </c>
      <c r="G1113" s="27"/>
    </row>
    <row r="1114" hidden="1">
      <c r="A1114" s="21"/>
      <c r="B1114" s="21" t="s">
        <v>2031</v>
      </c>
      <c r="D1114" s="25">
        <v>20.0</v>
      </c>
      <c r="E1114" s="27"/>
      <c r="F1114" s="25">
        <v>2.92</v>
      </c>
      <c r="G1114" s="27"/>
    </row>
    <row r="1115" hidden="1">
      <c r="A1115" s="21"/>
      <c r="B1115" s="21" t="s">
        <v>2032</v>
      </c>
      <c r="D1115" s="25">
        <v>20.0</v>
      </c>
      <c r="E1115" s="27"/>
      <c r="F1115" s="25">
        <v>10.5</v>
      </c>
      <c r="G1115" s="27"/>
    </row>
    <row r="1116" hidden="1">
      <c r="A1116" s="21"/>
      <c r="B1116" s="21" t="s">
        <v>2033</v>
      </c>
      <c r="D1116" s="25">
        <v>20.0</v>
      </c>
      <c r="E1116" s="27"/>
      <c r="F1116" s="25">
        <v>0.0</v>
      </c>
      <c r="G1116" s="27"/>
    </row>
    <row r="1117" hidden="1">
      <c r="A1117" s="21"/>
      <c r="B1117" s="21" t="s">
        <v>2034</v>
      </c>
      <c r="D1117" s="25">
        <v>20.0</v>
      </c>
      <c r="E1117" s="27"/>
      <c r="F1117" s="25">
        <v>0.0</v>
      </c>
      <c r="G1117" s="27"/>
    </row>
    <row r="1118" hidden="1">
      <c r="A1118" s="21"/>
      <c r="B1118" s="21" t="s">
        <v>2035</v>
      </c>
      <c r="D1118" s="25">
        <v>20.0</v>
      </c>
      <c r="E1118" s="27"/>
      <c r="F1118" s="25">
        <v>0.0</v>
      </c>
      <c r="G1118" s="27"/>
    </row>
    <row r="1119" hidden="1">
      <c r="A1119" s="21"/>
      <c r="B1119" s="21" t="s">
        <v>2036</v>
      </c>
      <c r="D1119" s="25">
        <v>20.0</v>
      </c>
      <c r="E1119" s="27"/>
      <c r="F1119" s="25">
        <v>1.69</v>
      </c>
      <c r="G1119" s="27"/>
    </row>
    <row r="1120" hidden="1">
      <c r="A1120" s="21"/>
      <c r="B1120" s="21" t="s">
        <v>2037</v>
      </c>
      <c r="D1120" s="25">
        <v>20.0</v>
      </c>
      <c r="E1120" s="27"/>
      <c r="F1120" s="25">
        <v>0.0</v>
      </c>
      <c r="G1120" s="27"/>
    </row>
    <row r="1121" hidden="1">
      <c r="A1121" s="21"/>
      <c r="B1121" s="21" t="s">
        <v>2038</v>
      </c>
      <c r="D1121" s="25">
        <v>20.0</v>
      </c>
      <c r="E1121" s="27"/>
      <c r="F1121" s="25">
        <v>0.0</v>
      </c>
      <c r="G1121" s="27"/>
    </row>
    <row r="1122" hidden="1">
      <c r="A1122" s="21"/>
      <c r="B1122" s="21" t="s">
        <v>2039</v>
      </c>
      <c r="D1122" s="25">
        <v>20.0</v>
      </c>
      <c r="E1122" s="27"/>
      <c r="F1122" s="25">
        <v>0.0</v>
      </c>
      <c r="G1122" s="27"/>
    </row>
    <row r="1123" hidden="1">
      <c r="A1123" s="21"/>
      <c r="B1123" s="21" t="s">
        <v>2040</v>
      </c>
      <c r="D1123" s="25">
        <v>20.0</v>
      </c>
      <c r="E1123" s="27"/>
      <c r="F1123" s="25">
        <v>0.0</v>
      </c>
      <c r="G1123" s="27"/>
    </row>
    <row r="1124" hidden="1">
      <c r="A1124" s="21"/>
      <c r="B1124" s="21" t="s">
        <v>2041</v>
      </c>
      <c r="D1124" s="25">
        <v>20.0</v>
      </c>
      <c r="E1124" s="27"/>
      <c r="F1124" s="25">
        <v>6.62</v>
      </c>
      <c r="G1124" s="27"/>
    </row>
    <row r="1125" hidden="1">
      <c r="A1125" s="21"/>
      <c r="B1125" s="21" t="s">
        <v>2042</v>
      </c>
      <c r="D1125" s="25">
        <v>20.0</v>
      </c>
      <c r="E1125" s="27"/>
      <c r="F1125" s="25">
        <v>6.82</v>
      </c>
      <c r="G1125" s="27"/>
    </row>
    <row r="1126" hidden="1">
      <c r="A1126" s="21"/>
      <c r="B1126" s="21" t="s">
        <v>2043</v>
      </c>
      <c r="D1126" s="25">
        <v>20.0</v>
      </c>
      <c r="E1126" s="27"/>
      <c r="F1126" s="25">
        <v>7.28</v>
      </c>
      <c r="G1126" s="27"/>
    </row>
    <row r="1127" hidden="1">
      <c r="A1127" s="21"/>
      <c r="B1127" s="21" t="s">
        <v>2044</v>
      </c>
      <c r="D1127" s="25">
        <v>20.0</v>
      </c>
      <c r="E1127" s="27"/>
      <c r="F1127" s="25">
        <v>0.0</v>
      </c>
      <c r="G1127" s="27"/>
    </row>
    <row r="1128" hidden="1">
      <c r="A1128" s="21"/>
      <c r="B1128" s="21" t="s">
        <v>2045</v>
      </c>
      <c r="D1128" s="25">
        <v>20.0</v>
      </c>
      <c r="E1128" s="27"/>
      <c r="F1128" s="25">
        <v>0.7</v>
      </c>
      <c r="G1128" s="27"/>
    </row>
    <row r="1129" hidden="1">
      <c r="A1129" s="21"/>
      <c r="B1129" s="21" t="s">
        <v>2046</v>
      </c>
      <c r="D1129" s="25">
        <v>20.0</v>
      </c>
      <c r="E1129" s="27"/>
      <c r="F1129" s="25">
        <v>0.0</v>
      </c>
      <c r="G1129" s="27"/>
    </row>
    <row r="1130" hidden="1">
      <c r="A1130" s="21"/>
      <c r="B1130" s="21" t="s">
        <v>2047</v>
      </c>
      <c r="D1130" s="25">
        <v>20.0</v>
      </c>
      <c r="E1130" s="27"/>
      <c r="F1130" s="25">
        <v>0.0</v>
      </c>
      <c r="G1130" s="27"/>
    </row>
    <row r="1131" hidden="1">
      <c r="A1131" s="21"/>
      <c r="B1131" s="21" t="s">
        <v>2048</v>
      </c>
      <c r="D1131" s="25">
        <v>20.0</v>
      </c>
      <c r="E1131" s="27"/>
      <c r="F1131" s="25">
        <v>0.0</v>
      </c>
      <c r="G1131" s="27"/>
    </row>
    <row r="1132" hidden="1">
      <c r="A1132" s="21"/>
      <c r="B1132" s="21" t="s">
        <v>2049</v>
      </c>
      <c r="D1132" s="25">
        <v>20.0</v>
      </c>
      <c r="E1132" s="27"/>
      <c r="F1132" s="25">
        <v>5.25</v>
      </c>
      <c r="G1132" s="27"/>
    </row>
    <row r="1133" hidden="1">
      <c r="A1133" s="21"/>
      <c r="B1133" s="21" t="s">
        <v>2050</v>
      </c>
      <c r="D1133" s="25">
        <v>20.0</v>
      </c>
      <c r="E1133" s="27"/>
      <c r="F1133" s="25">
        <v>0.0</v>
      </c>
      <c r="G1133" s="27"/>
    </row>
    <row r="1134" hidden="1">
      <c r="A1134" s="21"/>
      <c r="B1134" s="21" t="s">
        <v>2051</v>
      </c>
      <c r="D1134" s="25">
        <v>20.0</v>
      </c>
      <c r="E1134" s="27"/>
      <c r="F1134" s="25">
        <v>0.89</v>
      </c>
      <c r="G1134" s="27"/>
    </row>
    <row r="1135" hidden="1">
      <c r="A1135" s="21"/>
      <c r="B1135" s="21" t="s">
        <v>2052</v>
      </c>
      <c r="D1135" s="25">
        <v>20.0</v>
      </c>
      <c r="E1135" s="27"/>
      <c r="F1135" s="25">
        <v>0.0</v>
      </c>
      <c r="G1135" s="27"/>
    </row>
    <row r="1136" hidden="1">
      <c r="A1136" s="21"/>
      <c r="B1136" s="21" t="s">
        <v>2053</v>
      </c>
      <c r="D1136" s="25">
        <v>20.0</v>
      </c>
      <c r="E1136" s="27"/>
      <c r="F1136" s="25">
        <v>0.0</v>
      </c>
      <c r="G1136" s="27"/>
    </row>
    <row r="1137" hidden="1">
      <c r="A1137" s="21"/>
      <c r="B1137" s="21" t="s">
        <v>2054</v>
      </c>
      <c r="D1137" s="25">
        <v>20.0</v>
      </c>
      <c r="E1137" s="27"/>
      <c r="F1137" s="25">
        <v>0.0</v>
      </c>
      <c r="G1137" s="27"/>
    </row>
    <row r="1138" hidden="1">
      <c r="A1138" s="21"/>
      <c r="B1138" s="21" t="s">
        <v>2055</v>
      </c>
      <c r="D1138" s="25">
        <v>20.0</v>
      </c>
      <c r="E1138" s="27"/>
      <c r="F1138" s="25">
        <v>0.0</v>
      </c>
      <c r="G1138" s="27"/>
    </row>
    <row r="1139" hidden="1">
      <c r="A1139" s="21"/>
      <c r="B1139" s="21" t="s">
        <v>2056</v>
      </c>
      <c r="D1139" s="25">
        <v>20.0</v>
      </c>
      <c r="E1139" s="27"/>
      <c r="F1139" s="25">
        <v>3.82</v>
      </c>
      <c r="G1139" s="27"/>
    </row>
    <row r="1140" hidden="1">
      <c r="A1140" s="21"/>
      <c r="B1140" s="21" t="s">
        <v>2057</v>
      </c>
      <c r="D1140" s="25">
        <v>20.0</v>
      </c>
      <c r="E1140" s="27"/>
      <c r="F1140" s="25">
        <v>0.0</v>
      </c>
      <c r="G1140" s="27"/>
    </row>
    <row r="1141" hidden="1">
      <c r="A1141" s="21"/>
      <c r="B1141" s="21" t="s">
        <v>2058</v>
      </c>
      <c r="D1141" s="25">
        <v>20.0</v>
      </c>
      <c r="E1141" s="27"/>
      <c r="F1141" s="25">
        <v>5.19</v>
      </c>
      <c r="G1141" s="27"/>
    </row>
    <row r="1142" hidden="1">
      <c r="A1142" s="21"/>
      <c r="B1142" s="21" t="s">
        <v>2059</v>
      </c>
      <c r="D1142" s="25">
        <v>20.0</v>
      </c>
      <c r="E1142" s="27"/>
      <c r="F1142" s="25">
        <v>0.0</v>
      </c>
      <c r="G1142" s="27"/>
    </row>
    <row r="1143" hidden="1">
      <c r="A1143" s="21"/>
      <c r="B1143" s="21" t="s">
        <v>2060</v>
      </c>
      <c r="D1143" s="25">
        <v>20.0</v>
      </c>
      <c r="E1143" s="27"/>
      <c r="F1143" s="25">
        <v>8.53</v>
      </c>
      <c r="G1143" s="27"/>
    </row>
    <row r="1144" hidden="1">
      <c r="A1144" s="21"/>
      <c r="B1144" s="21" t="s">
        <v>2061</v>
      </c>
      <c r="D1144" s="25">
        <v>20.0</v>
      </c>
      <c r="E1144" s="27"/>
      <c r="F1144" s="25">
        <v>4.33</v>
      </c>
      <c r="G1144" s="27"/>
    </row>
    <row r="1145" hidden="1">
      <c r="A1145" s="21"/>
      <c r="B1145" s="21" t="s">
        <v>2062</v>
      </c>
      <c r="D1145" s="25">
        <v>20.0</v>
      </c>
      <c r="E1145" s="27"/>
      <c r="F1145" s="25">
        <v>0.0</v>
      </c>
      <c r="G1145" s="27"/>
    </row>
    <row r="1146" hidden="1">
      <c r="A1146" s="21"/>
      <c r="B1146" s="21" t="s">
        <v>2063</v>
      </c>
      <c r="D1146" s="25">
        <v>20.0</v>
      </c>
      <c r="E1146" s="27"/>
      <c r="F1146" s="25">
        <v>0.0</v>
      </c>
      <c r="G1146" s="27"/>
    </row>
    <row r="1147" hidden="1">
      <c r="A1147" s="21"/>
      <c r="B1147" s="21" t="s">
        <v>2064</v>
      </c>
      <c r="D1147" s="25">
        <v>20.0</v>
      </c>
      <c r="E1147" s="27"/>
      <c r="F1147" s="25">
        <v>0.0</v>
      </c>
      <c r="G1147" s="27"/>
    </row>
    <row r="1148" hidden="1">
      <c r="A1148" s="21"/>
      <c r="B1148" s="21" t="s">
        <v>559</v>
      </c>
      <c r="D1148" s="25">
        <v>20.0</v>
      </c>
      <c r="E1148" s="27"/>
      <c r="F1148" s="25">
        <v>1.03</v>
      </c>
      <c r="G1148" s="27"/>
    </row>
    <row r="1149" hidden="1">
      <c r="A1149" s="21"/>
      <c r="B1149" s="21" t="s">
        <v>560</v>
      </c>
      <c r="D1149" s="25">
        <v>20.0</v>
      </c>
      <c r="E1149" s="27"/>
      <c r="F1149" s="25">
        <v>3.08</v>
      </c>
      <c r="G1149" s="27"/>
    </row>
    <row r="1150" hidden="1">
      <c r="A1150" s="21"/>
      <c r="B1150" s="21" t="s">
        <v>561</v>
      </c>
      <c r="D1150" s="25">
        <v>20.0</v>
      </c>
      <c r="E1150" s="27"/>
      <c r="F1150" s="25">
        <v>0.0</v>
      </c>
      <c r="G1150" s="27"/>
    </row>
    <row r="1151" hidden="1">
      <c r="A1151" s="21"/>
      <c r="B1151" s="21" t="s">
        <v>562</v>
      </c>
      <c r="D1151" s="25">
        <v>20.0</v>
      </c>
      <c r="E1151" s="27"/>
      <c r="F1151" s="25">
        <v>3.06</v>
      </c>
      <c r="G1151" s="27"/>
    </row>
    <row r="1152" hidden="1">
      <c r="A1152" s="21"/>
      <c r="B1152" s="21" t="s">
        <v>563</v>
      </c>
      <c r="D1152" s="25">
        <v>20.0</v>
      </c>
      <c r="E1152" s="27"/>
      <c r="F1152" s="25">
        <v>4.27</v>
      </c>
      <c r="G1152" s="27"/>
    </row>
    <row r="1153" hidden="1">
      <c r="A1153" s="21"/>
      <c r="B1153" s="21" t="s">
        <v>564</v>
      </c>
      <c r="D1153" s="25">
        <v>20.0</v>
      </c>
      <c r="E1153" s="27"/>
      <c r="F1153" s="25">
        <v>0.74</v>
      </c>
      <c r="G1153" s="27"/>
    </row>
    <row r="1154" hidden="1">
      <c r="A1154" s="21"/>
      <c r="B1154" s="21" t="s">
        <v>565</v>
      </c>
      <c r="D1154" s="25">
        <v>20.0</v>
      </c>
      <c r="E1154" s="27"/>
      <c r="F1154" s="25">
        <v>0.0</v>
      </c>
      <c r="G1154" s="27"/>
    </row>
    <row r="1155" hidden="1">
      <c r="A1155" s="21"/>
      <c r="B1155" s="21" t="s">
        <v>566</v>
      </c>
      <c r="D1155" s="25">
        <v>20.0</v>
      </c>
      <c r="E1155" s="27"/>
      <c r="F1155" s="25">
        <v>0.0</v>
      </c>
      <c r="G1155" s="27"/>
    </row>
    <row r="1156" hidden="1">
      <c r="A1156" s="21"/>
      <c r="B1156" s="21" t="s">
        <v>567</v>
      </c>
      <c r="D1156" s="25">
        <v>20.0</v>
      </c>
      <c r="E1156" s="27"/>
      <c r="F1156" s="25">
        <v>0.0</v>
      </c>
      <c r="G1156" s="27"/>
    </row>
    <row r="1157" hidden="1">
      <c r="A1157" s="21"/>
      <c r="B1157" s="21" t="s">
        <v>568</v>
      </c>
      <c r="D1157" s="25">
        <v>20.0</v>
      </c>
      <c r="E1157" s="27"/>
      <c r="F1157" s="25">
        <v>0.0</v>
      </c>
      <c r="G1157" s="27"/>
    </row>
    <row r="1158" hidden="1">
      <c r="A1158" s="21"/>
      <c r="B1158" s="21" t="s">
        <v>569</v>
      </c>
      <c r="D1158" s="25">
        <v>20.0</v>
      </c>
      <c r="E1158" s="27"/>
      <c r="F1158" s="25">
        <v>5.59</v>
      </c>
      <c r="G1158" s="27"/>
    </row>
    <row r="1159" hidden="1">
      <c r="A1159" s="21"/>
      <c r="B1159" s="21" t="s">
        <v>2065</v>
      </c>
      <c r="D1159" s="25">
        <v>20.0</v>
      </c>
      <c r="E1159" s="27"/>
      <c r="F1159" s="25">
        <v>5.48</v>
      </c>
      <c r="G1159" s="27"/>
    </row>
    <row r="1160" hidden="1">
      <c r="A1160" s="21"/>
      <c r="B1160" s="21" t="s">
        <v>2066</v>
      </c>
      <c r="D1160" s="25">
        <v>20.0</v>
      </c>
      <c r="E1160" s="27"/>
      <c r="F1160" s="25">
        <v>3.2</v>
      </c>
      <c r="G1160" s="27"/>
    </row>
    <row r="1161" hidden="1">
      <c r="A1161" s="21"/>
      <c r="B1161" s="21" t="s">
        <v>2067</v>
      </c>
      <c r="D1161" s="25">
        <v>20.0</v>
      </c>
      <c r="E1161" s="27"/>
      <c r="F1161" s="25">
        <v>3.2</v>
      </c>
      <c r="G1161" s="27"/>
    </row>
    <row r="1162" hidden="1">
      <c r="A1162" s="21"/>
      <c r="B1162" s="21" t="s">
        <v>2068</v>
      </c>
      <c r="D1162" s="25">
        <v>10.0</v>
      </c>
      <c r="E1162" s="27"/>
      <c r="F1162" s="25">
        <v>0.0</v>
      </c>
      <c r="G1162" s="27"/>
    </row>
    <row r="1163" hidden="1">
      <c r="A1163" s="21"/>
      <c r="B1163" s="21" t="s">
        <v>2069</v>
      </c>
      <c r="D1163" s="25">
        <v>10.0</v>
      </c>
      <c r="E1163" s="27"/>
      <c r="F1163" s="25">
        <v>0.0</v>
      </c>
      <c r="G1163" s="27"/>
    </row>
    <row r="1164" hidden="1">
      <c r="A1164" s="21"/>
      <c r="B1164" s="21" t="s">
        <v>2070</v>
      </c>
      <c r="D1164" s="25">
        <v>10.0</v>
      </c>
      <c r="E1164" s="27"/>
      <c r="F1164" s="25">
        <v>0.0</v>
      </c>
      <c r="G1164" s="27"/>
    </row>
    <row r="1165" hidden="1">
      <c r="A1165" s="21"/>
      <c r="B1165" s="21" t="s">
        <v>2071</v>
      </c>
      <c r="D1165" s="25">
        <v>10.0</v>
      </c>
      <c r="E1165" s="27"/>
      <c r="F1165" s="25">
        <v>0.0</v>
      </c>
      <c r="G1165" s="27"/>
    </row>
    <row r="1166" hidden="1">
      <c r="A1166" s="21"/>
      <c r="B1166" s="21" t="s">
        <v>2072</v>
      </c>
      <c r="D1166" s="25">
        <v>10.0</v>
      </c>
      <c r="E1166" s="27"/>
      <c r="F1166" s="25">
        <v>0.0</v>
      </c>
      <c r="G1166" s="27"/>
    </row>
    <row r="1167" hidden="1">
      <c r="A1167" s="21"/>
      <c r="B1167" s="21" t="s">
        <v>2073</v>
      </c>
      <c r="D1167" s="25">
        <v>10.0</v>
      </c>
      <c r="E1167" s="27"/>
      <c r="F1167" s="25">
        <v>0.0</v>
      </c>
      <c r="G1167" s="27"/>
    </row>
    <row r="1168" hidden="1">
      <c r="A1168" s="21"/>
      <c r="B1168" s="21" t="s">
        <v>2074</v>
      </c>
      <c r="D1168" s="25">
        <v>10.0</v>
      </c>
      <c r="E1168" s="27"/>
      <c r="F1168" s="25">
        <v>0.0</v>
      </c>
      <c r="G1168" s="27"/>
    </row>
    <row r="1169" hidden="1">
      <c r="A1169" s="21"/>
      <c r="B1169" s="21" t="s">
        <v>2075</v>
      </c>
      <c r="D1169" s="25">
        <v>10.0</v>
      </c>
      <c r="E1169" s="27"/>
      <c r="F1169" s="25">
        <v>0.0</v>
      </c>
      <c r="G1169" s="27"/>
    </row>
    <row r="1170" hidden="1">
      <c r="A1170" s="21"/>
      <c r="B1170" s="21" t="s">
        <v>2076</v>
      </c>
      <c r="D1170" s="25">
        <v>10.0</v>
      </c>
      <c r="E1170" s="27"/>
      <c r="F1170" s="25">
        <v>0.0</v>
      </c>
      <c r="G1170" s="27"/>
    </row>
    <row r="1171" hidden="1">
      <c r="A1171" s="21"/>
      <c r="B1171" s="21" t="s">
        <v>2077</v>
      </c>
      <c r="D1171" s="25">
        <v>10.0</v>
      </c>
      <c r="E1171" s="27"/>
      <c r="F1171" s="25">
        <v>0.0</v>
      </c>
      <c r="G1171" s="27"/>
    </row>
    <row r="1172" hidden="1">
      <c r="A1172" s="21"/>
      <c r="B1172" s="21" t="s">
        <v>2078</v>
      </c>
      <c r="D1172" s="25">
        <v>10.0</v>
      </c>
      <c r="E1172" s="27"/>
      <c r="F1172" s="25">
        <v>0.0</v>
      </c>
      <c r="G1172" s="27"/>
    </row>
    <row r="1173" hidden="1">
      <c r="A1173" s="21"/>
      <c r="B1173" s="21" t="s">
        <v>2079</v>
      </c>
      <c r="D1173" s="25">
        <v>10.0</v>
      </c>
      <c r="E1173" s="27"/>
      <c r="F1173" s="25">
        <v>0.0</v>
      </c>
      <c r="G1173" s="27"/>
    </row>
    <row r="1174" hidden="1">
      <c r="A1174" s="21"/>
      <c r="B1174" s="21" t="s">
        <v>2080</v>
      </c>
      <c r="D1174" s="25">
        <v>10.0</v>
      </c>
      <c r="E1174" s="27"/>
      <c r="F1174" s="25">
        <v>0.0</v>
      </c>
      <c r="G1174" s="27"/>
    </row>
    <row r="1175" hidden="1">
      <c r="A1175" s="21"/>
      <c r="B1175" s="21" t="s">
        <v>2081</v>
      </c>
      <c r="D1175" s="25">
        <v>10.0</v>
      </c>
      <c r="E1175" s="27"/>
      <c r="F1175" s="25">
        <v>0.0</v>
      </c>
      <c r="G1175" s="27"/>
    </row>
    <row r="1176" hidden="1">
      <c r="A1176" s="21"/>
      <c r="B1176" s="21" t="s">
        <v>2082</v>
      </c>
      <c r="D1176" s="25">
        <v>10.0</v>
      </c>
      <c r="E1176" s="27"/>
      <c r="F1176" s="25">
        <v>0.0</v>
      </c>
      <c r="G1176" s="27"/>
    </row>
    <row r="1177" hidden="1">
      <c r="A1177" s="21"/>
      <c r="B1177" s="21" t="s">
        <v>2083</v>
      </c>
      <c r="D1177" s="25">
        <v>10.0</v>
      </c>
      <c r="E1177" s="27"/>
      <c r="F1177" s="25">
        <v>0.0</v>
      </c>
      <c r="G1177" s="27"/>
    </row>
    <row r="1178" hidden="1">
      <c r="A1178" s="21"/>
      <c r="B1178" s="21" t="s">
        <v>2084</v>
      </c>
      <c r="D1178" s="25">
        <v>10.0</v>
      </c>
      <c r="E1178" s="27"/>
      <c r="F1178" s="25">
        <v>0.0</v>
      </c>
      <c r="G1178" s="27"/>
    </row>
    <row r="1179" hidden="1">
      <c r="A1179" s="21"/>
      <c r="B1179" s="21" t="s">
        <v>2085</v>
      </c>
      <c r="D1179" s="25">
        <v>10.0</v>
      </c>
      <c r="E1179" s="27"/>
      <c r="F1179" s="25">
        <v>0.0</v>
      </c>
      <c r="G1179" s="27"/>
    </row>
    <row r="1180" hidden="1">
      <c r="A1180" s="21"/>
      <c r="B1180" s="21" t="s">
        <v>2086</v>
      </c>
      <c r="D1180" s="25">
        <v>10.0</v>
      </c>
      <c r="E1180" s="27"/>
      <c r="F1180" s="25">
        <v>0.0</v>
      </c>
      <c r="G1180" s="27"/>
    </row>
    <row r="1181" hidden="1">
      <c r="A1181" s="21"/>
      <c r="B1181" s="21" t="s">
        <v>2087</v>
      </c>
      <c r="D1181" s="25">
        <v>10.0</v>
      </c>
      <c r="E1181" s="27"/>
      <c r="F1181" s="25">
        <v>0.0</v>
      </c>
      <c r="G1181" s="27"/>
    </row>
    <row r="1182" hidden="1">
      <c r="A1182" s="21"/>
      <c r="B1182" s="21" t="s">
        <v>2088</v>
      </c>
      <c r="D1182" s="25">
        <v>10.0</v>
      </c>
      <c r="E1182" s="27"/>
      <c r="F1182" s="25">
        <v>0.0</v>
      </c>
      <c r="G1182" s="27"/>
    </row>
    <row r="1183" hidden="1">
      <c r="A1183" s="21"/>
      <c r="B1183" s="21" t="s">
        <v>2089</v>
      </c>
      <c r="D1183" s="25">
        <v>10.0</v>
      </c>
      <c r="E1183" s="27"/>
      <c r="F1183" s="25">
        <v>0.0</v>
      </c>
      <c r="G1183" s="27"/>
    </row>
    <row r="1184" hidden="1">
      <c r="A1184" s="21"/>
      <c r="B1184" s="21" t="s">
        <v>2090</v>
      </c>
      <c r="D1184" s="25">
        <v>10.0</v>
      </c>
      <c r="E1184" s="27"/>
      <c r="F1184" s="25">
        <v>6.87</v>
      </c>
      <c r="G1184" s="27"/>
    </row>
    <row r="1185" hidden="1">
      <c r="A1185" s="21"/>
      <c r="B1185" s="21" t="s">
        <v>2091</v>
      </c>
      <c r="D1185" s="25">
        <v>10.0</v>
      </c>
      <c r="E1185" s="27"/>
      <c r="F1185" s="25">
        <v>0.0</v>
      </c>
      <c r="G1185" s="27"/>
    </row>
    <row r="1186" hidden="1">
      <c r="A1186" s="21"/>
      <c r="B1186" s="21" t="s">
        <v>2092</v>
      </c>
      <c r="D1186" s="25">
        <v>10.0</v>
      </c>
      <c r="E1186" s="27"/>
      <c r="F1186" s="25">
        <v>0.0</v>
      </c>
      <c r="G1186" s="27"/>
    </row>
    <row r="1187" hidden="1">
      <c r="A1187" s="21"/>
      <c r="B1187" s="21" t="s">
        <v>2093</v>
      </c>
      <c r="D1187" s="25">
        <v>10.0</v>
      </c>
      <c r="E1187" s="27"/>
      <c r="F1187" s="25">
        <v>0.0</v>
      </c>
      <c r="G1187" s="27"/>
    </row>
    <row r="1188" hidden="1">
      <c r="A1188" s="21"/>
      <c r="B1188" s="21" t="s">
        <v>2094</v>
      </c>
      <c r="D1188" s="25">
        <v>10.0</v>
      </c>
      <c r="E1188" s="27"/>
      <c r="F1188" s="25">
        <v>0.0</v>
      </c>
      <c r="G1188" s="27"/>
    </row>
    <row r="1189" hidden="1">
      <c r="A1189" s="21"/>
      <c r="B1189" s="21" t="s">
        <v>2095</v>
      </c>
      <c r="D1189" s="25">
        <v>10.0</v>
      </c>
      <c r="E1189" s="27"/>
      <c r="F1189" s="25">
        <v>0.0</v>
      </c>
      <c r="G1189" s="27"/>
    </row>
    <row r="1190" hidden="1">
      <c r="A1190" s="21"/>
      <c r="B1190" s="21" t="s">
        <v>2096</v>
      </c>
      <c r="D1190" s="25">
        <v>10.0</v>
      </c>
      <c r="E1190" s="27"/>
      <c r="F1190" s="25">
        <v>0.0</v>
      </c>
      <c r="G1190" s="27"/>
    </row>
    <row r="1191" hidden="1">
      <c r="A1191" s="21"/>
      <c r="B1191" s="21" t="s">
        <v>2097</v>
      </c>
      <c r="D1191" s="25">
        <v>10.0</v>
      </c>
      <c r="E1191" s="27"/>
      <c r="F1191" s="25">
        <v>0.0</v>
      </c>
      <c r="G1191" s="27"/>
    </row>
    <row r="1192" hidden="1">
      <c r="A1192" s="21"/>
      <c r="B1192" s="21" t="s">
        <v>2098</v>
      </c>
      <c r="D1192" s="25">
        <v>10.0</v>
      </c>
      <c r="E1192" s="27"/>
      <c r="F1192" s="25">
        <v>3.26</v>
      </c>
      <c r="G1192" s="27"/>
    </row>
    <row r="1193" hidden="1">
      <c r="A1193" s="21"/>
      <c r="B1193" s="21" t="s">
        <v>2099</v>
      </c>
      <c r="D1193" s="25">
        <v>10.0</v>
      </c>
      <c r="E1193" s="27"/>
      <c r="F1193" s="25">
        <v>0.0</v>
      </c>
      <c r="G1193" s="27"/>
    </row>
    <row r="1194" hidden="1">
      <c r="A1194" s="21"/>
      <c r="B1194" s="21" t="s">
        <v>2100</v>
      </c>
      <c r="D1194" s="25">
        <v>10.0</v>
      </c>
      <c r="E1194" s="27"/>
      <c r="F1194" s="25">
        <v>1.61</v>
      </c>
      <c r="G1194" s="27"/>
    </row>
    <row r="1195" hidden="1">
      <c r="A1195" s="21"/>
      <c r="B1195" s="21" t="s">
        <v>2101</v>
      </c>
      <c r="D1195" s="25">
        <v>10.0</v>
      </c>
      <c r="E1195" s="27"/>
      <c r="F1195" s="25">
        <v>0.0</v>
      </c>
      <c r="G1195" s="27"/>
    </row>
    <row r="1196" hidden="1">
      <c r="A1196" s="21"/>
      <c r="B1196" s="21" t="s">
        <v>2102</v>
      </c>
      <c r="D1196" s="25">
        <v>10.0</v>
      </c>
      <c r="E1196" s="27"/>
      <c r="F1196" s="25">
        <v>0.0</v>
      </c>
      <c r="G1196" s="27"/>
    </row>
    <row r="1197" hidden="1">
      <c r="A1197" s="21"/>
      <c r="B1197" s="21" t="s">
        <v>2103</v>
      </c>
      <c r="D1197" s="25">
        <v>10.0</v>
      </c>
      <c r="E1197" s="27"/>
      <c r="F1197" s="25">
        <v>0.0</v>
      </c>
      <c r="G1197" s="27"/>
    </row>
    <row r="1198" hidden="1">
      <c r="A1198" s="21"/>
      <c r="B1198" s="21" t="s">
        <v>2104</v>
      </c>
      <c r="D1198" s="25">
        <v>10.0</v>
      </c>
      <c r="E1198" s="27"/>
      <c r="F1198" s="25">
        <v>0.0</v>
      </c>
      <c r="G1198" s="27"/>
    </row>
    <row r="1199" hidden="1">
      <c r="A1199" s="21"/>
      <c r="B1199" s="21" t="s">
        <v>2105</v>
      </c>
      <c r="D1199" s="25">
        <v>10.0</v>
      </c>
      <c r="E1199" s="27"/>
      <c r="F1199" s="25">
        <v>0.0</v>
      </c>
      <c r="G1199" s="27"/>
    </row>
    <row r="1200" hidden="1">
      <c r="A1200" s="21"/>
      <c r="B1200" s="21" t="s">
        <v>2106</v>
      </c>
      <c r="D1200" s="25">
        <v>10.0</v>
      </c>
      <c r="E1200" s="27"/>
      <c r="F1200" s="25">
        <v>0.0</v>
      </c>
      <c r="G1200" s="27"/>
    </row>
    <row r="1201" hidden="1">
      <c r="A1201" s="21"/>
      <c r="B1201" s="21" t="s">
        <v>2107</v>
      </c>
      <c r="D1201" s="25">
        <v>10.0</v>
      </c>
      <c r="E1201" s="27"/>
      <c r="F1201" s="25">
        <v>0.0</v>
      </c>
      <c r="G1201" s="27"/>
    </row>
    <row r="1202" hidden="1">
      <c r="A1202" s="21"/>
      <c r="B1202" s="21" t="s">
        <v>2108</v>
      </c>
      <c r="D1202" s="25">
        <v>10.0</v>
      </c>
      <c r="E1202" s="27"/>
      <c r="F1202" s="25">
        <v>3.9</v>
      </c>
      <c r="G1202" s="27"/>
    </row>
    <row r="1203" hidden="1">
      <c r="A1203" s="21"/>
      <c r="B1203" s="21" t="s">
        <v>2109</v>
      </c>
      <c r="D1203" s="25">
        <v>10.0</v>
      </c>
      <c r="E1203" s="27"/>
      <c r="F1203" s="25">
        <v>0.0</v>
      </c>
      <c r="G1203" s="27"/>
    </row>
    <row r="1204" hidden="1">
      <c r="A1204" s="21"/>
      <c r="B1204" s="21" t="s">
        <v>2110</v>
      </c>
      <c r="D1204" s="25">
        <v>10.0</v>
      </c>
      <c r="E1204" s="27"/>
      <c r="F1204" s="25">
        <v>0.0</v>
      </c>
      <c r="G1204" s="27"/>
    </row>
    <row r="1205" hidden="1">
      <c r="A1205" s="21"/>
      <c r="B1205" s="21" t="s">
        <v>2111</v>
      </c>
      <c r="D1205" s="25">
        <v>10.0</v>
      </c>
      <c r="E1205" s="27"/>
      <c r="F1205" s="25">
        <v>0.0</v>
      </c>
      <c r="G1205" s="27"/>
    </row>
    <row r="1206" hidden="1">
      <c r="A1206" s="21"/>
      <c r="B1206" s="21" t="s">
        <v>2112</v>
      </c>
      <c r="D1206" s="25">
        <v>10.0</v>
      </c>
      <c r="E1206" s="27"/>
      <c r="F1206" s="25">
        <v>0.0</v>
      </c>
      <c r="G1206" s="27"/>
    </row>
    <row r="1207" hidden="1">
      <c r="A1207" s="21"/>
      <c r="B1207" s="21" t="s">
        <v>2113</v>
      </c>
      <c r="D1207" s="25">
        <v>10.0</v>
      </c>
      <c r="E1207" s="27"/>
      <c r="F1207" s="25">
        <v>0.0</v>
      </c>
      <c r="G1207" s="27"/>
    </row>
    <row r="1208" hidden="1">
      <c r="A1208" s="21"/>
      <c r="B1208" s="21" t="s">
        <v>2114</v>
      </c>
      <c r="D1208" s="25">
        <v>10.0</v>
      </c>
      <c r="E1208" s="27"/>
      <c r="F1208" s="25">
        <v>0.0</v>
      </c>
      <c r="G1208" s="27"/>
    </row>
    <row r="1209" hidden="1">
      <c r="A1209" s="21"/>
      <c r="B1209" s="21" t="s">
        <v>2115</v>
      </c>
      <c r="D1209" s="25">
        <v>10.0</v>
      </c>
      <c r="E1209" s="27"/>
      <c r="F1209" s="25">
        <v>0.0</v>
      </c>
      <c r="G1209" s="27"/>
    </row>
    <row r="1210" hidden="1">
      <c r="A1210" s="21"/>
      <c r="B1210" s="21" t="s">
        <v>2116</v>
      </c>
      <c r="D1210" s="25">
        <v>10.0</v>
      </c>
      <c r="E1210" s="27"/>
      <c r="F1210" s="25">
        <v>0.0</v>
      </c>
      <c r="G1210" s="27"/>
    </row>
    <row r="1211" hidden="1">
      <c r="A1211" s="21"/>
      <c r="B1211" s="21" t="s">
        <v>2117</v>
      </c>
      <c r="D1211" s="25">
        <v>10.0</v>
      </c>
      <c r="E1211" s="27"/>
      <c r="F1211" s="25">
        <v>0.0</v>
      </c>
      <c r="G1211" s="27"/>
    </row>
    <row r="1212" hidden="1">
      <c r="A1212" s="21"/>
      <c r="B1212" s="21" t="s">
        <v>2118</v>
      </c>
      <c r="D1212" s="25">
        <v>10.0</v>
      </c>
      <c r="E1212" s="27"/>
      <c r="F1212" s="25">
        <v>0.0</v>
      </c>
      <c r="G1212" s="27"/>
    </row>
    <row r="1213" hidden="1">
      <c r="A1213" s="21"/>
      <c r="B1213" s="21" t="s">
        <v>2119</v>
      </c>
      <c r="D1213" s="25">
        <v>10.0</v>
      </c>
      <c r="E1213" s="27"/>
      <c r="F1213" s="25">
        <v>0.0</v>
      </c>
      <c r="G1213" s="27"/>
    </row>
    <row r="1214" hidden="1">
      <c r="A1214" s="21"/>
      <c r="B1214" s="21" t="s">
        <v>2120</v>
      </c>
      <c r="D1214" s="25">
        <v>10.0</v>
      </c>
      <c r="E1214" s="27"/>
      <c r="F1214" s="25">
        <v>0.0</v>
      </c>
      <c r="G1214" s="27"/>
    </row>
    <row r="1215" hidden="1">
      <c r="A1215" s="21"/>
      <c r="B1215" s="21" t="s">
        <v>2121</v>
      </c>
      <c r="D1215" s="25">
        <v>10.0</v>
      </c>
      <c r="E1215" s="27"/>
      <c r="F1215" s="25">
        <v>0.0</v>
      </c>
      <c r="G1215" s="27"/>
    </row>
    <row r="1216" hidden="1">
      <c r="A1216" s="21"/>
      <c r="B1216" s="21" t="s">
        <v>2122</v>
      </c>
      <c r="D1216" s="25">
        <v>10.0</v>
      </c>
      <c r="E1216" s="27"/>
      <c r="F1216" s="25">
        <v>0.0</v>
      </c>
      <c r="G1216" s="27"/>
    </row>
    <row r="1217" hidden="1">
      <c r="A1217" s="21"/>
      <c r="B1217" s="21" t="s">
        <v>2123</v>
      </c>
      <c r="D1217" s="25">
        <v>10.0</v>
      </c>
      <c r="E1217" s="27"/>
      <c r="F1217" s="25">
        <v>0.0</v>
      </c>
      <c r="G1217" s="27"/>
    </row>
    <row r="1218" hidden="1">
      <c r="A1218" s="21"/>
      <c r="B1218" s="21" t="s">
        <v>2124</v>
      </c>
      <c r="D1218" s="25">
        <v>10.0</v>
      </c>
      <c r="E1218" s="27"/>
      <c r="F1218" s="25">
        <v>9.95</v>
      </c>
      <c r="G1218" s="27"/>
    </row>
    <row r="1219" hidden="1">
      <c r="A1219" s="21"/>
      <c r="B1219" s="21" t="s">
        <v>2125</v>
      </c>
      <c r="D1219" s="25">
        <v>10.0</v>
      </c>
      <c r="E1219" s="27"/>
      <c r="F1219" s="25">
        <v>10.53</v>
      </c>
      <c r="G1219" s="27"/>
    </row>
    <row r="1220" hidden="1">
      <c r="A1220" s="21"/>
      <c r="B1220" s="21" t="s">
        <v>2126</v>
      </c>
      <c r="D1220" s="25">
        <v>10.0</v>
      </c>
      <c r="E1220" s="27"/>
      <c r="F1220" s="25">
        <v>0.0</v>
      </c>
      <c r="G1220" s="27"/>
    </row>
    <row r="1221" hidden="1">
      <c r="A1221" s="21"/>
      <c r="B1221" s="21" t="s">
        <v>2127</v>
      </c>
      <c r="D1221" s="25">
        <v>10.0</v>
      </c>
      <c r="E1221" s="27"/>
      <c r="F1221" s="25">
        <v>0.0</v>
      </c>
      <c r="G1221" s="27"/>
    </row>
    <row r="1222" hidden="1">
      <c r="A1222" s="21"/>
      <c r="B1222" s="21" t="s">
        <v>2128</v>
      </c>
      <c r="D1222" s="25">
        <v>10.0</v>
      </c>
      <c r="E1222" s="27"/>
      <c r="F1222" s="25">
        <v>0.0</v>
      </c>
      <c r="G1222" s="27"/>
    </row>
    <row r="1223" hidden="1">
      <c r="A1223" s="21"/>
      <c r="B1223" s="21" t="s">
        <v>2129</v>
      </c>
      <c r="D1223" s="25">
        <v>10.0</v>
      </c>
      <c r="E1223" s="27"/>
      <c r="F1223" s="25">
        <v>0.0</v>
      </c>
      <c r="G1223" s="27"/>
    </row>
    <row r="1224" hidden="1">
      <c r="A1224" s="21"/>
      <c r="B1224" s="21" t="s">
        <v>2130</v>
      </c>
      <c r="D1224" s="25">
        <v>10.0</v>
      </c>
      <c r="E1224" s="27"/>
      <c r="F1224" s="25">
        <v>0.0</v>
      </c>
      <c r="G1224" s="27"/>
    </row>
    <row r="1225" hidden="1">
      <c r="A1225" s="21"/>
      <c r="B1225" s="21" t="s">
        <v>2131</v>
      </c>
      <c r="D1225" s="25">
        <v>10.0</v>
      </c>
      <c r="E1225" s="27"/>
      <c r="F1225" s="25">
        <v>0.0</v>
      </c>
      <c r="G1225" s="27"/>
    </row>
    <row r="1226" hidden="1">
      <c r="A1226" s="21"/>
      <c r="B1226" s="21" t="s">
        <v>2132</v>
      </c>
      <c r="D1226" s="25">
        <v>10.0</v>
      </c>
      <c r="E1226" s="27"/>
      <c r="F1226" s="25">
        <v>0.0</v>
      </c>
      <c r="G1226" s="27"/>
    </row>
    <row r="1227" hidden="1">
      <c r="A1227" s="21"/>
      <c r="B1227" s="21" t="s">
        <v>2133</v>
      </c>
      <c r="D1227" s="25">
        <v>10.0</v>
      </c>
      <c r="E1227" s="27"/>
      <c r="F1227" s="25">
        <v>0.0</v>
      </c>
      <c r="G1227" s="27"/>
    </row>
    <row r="1228" hidden="1">
      <c r="A1228" s="21"/>
      <c r="B1228" s="21" t="s">
        <v>2134</v>
      </c>
      <c r="D1228" s="25">
        <v>10.0</v>
      </c>
      <c r="E1228" s="27"/>
      <c r="F1228" s="25">
        <v>5.37</v>
      </c>
      <c r="G1228" s="27"/>
    </row>
    <row r="1229" hidden="1">
      <c r="A1229" s="21"/>
      <c r="B1229" s="21" t="s">
        <v>2135</v>
      </c>
      <c r="D1229" s="25">
        <v>10.0</v>
      </c>
      <c r="E1229" s="27"/>
      <c r="F1229" s="25">
        <v>0.0</v>
      </c>
      <c r="G1229" s="27"/>
    </row>
    <row r="1230" hidden="1">
      <c r="A1230" s="21"/>
      <c r="B1230" s="21" t="s">
        <v>2136</v>
      </c>
      <c r="D1230" s="25">
        <v>10.0</v>
      </c>
      <c r="E1230" s="27"/>
      <c r="F1230" s="25">
        <v>0.0</v>
      </c>
      <c r="G1230" s="27"/>
    </row>
    <row r="1231" hidden="1">
      <c r="A1231" s="21"/>
      <c r="B1231" s="21" t="s">
        <v>2137</v>
      </c>
      <c r="D1231" s="25">
        <v>10.0</v>
      </c>
      <c r="E1231" s="27"/>
      <c r="F1231" s="25">
        <v>0.0</v>
      </c>
      <c r="G1231" s="27"/>
    </row>
    <row r="1232" hidden="1">
      <c r="A1232" s="21"/>
      <c r="B1232" s="21" t="s">
        <v>2138</v>
      </c>
      <c r="D1232" s="25">
        <v>10.0</v>
      </c>
      <c r="E1232" s="27"/>
      <c r="F1232" s="25">
        <v>0.0</v>
      </c>
      <c r="G1232" s="27"/>
    </row>
    <row r="1233" hidden="1">
      <c r="A1233" s="21"/>
      <c r="B1233" s="21" t="s">
        <v>2139</v>
      </c>
      <c r="D1233" s="25">
        <v>10.0</v>
      </c>
      <c r="E1233" s="27"/>
      <c r="F1233" s="25">
        <v>0.0</v>
      </c>
      <c r="G1233" s="27"/>
    </row>
    <row r="1234" hidden="1">
      <c r="A1234" s="21"/>
      <c r="B1234" s="21" t="s">
        <v>2140</v>
      </c>
      <c r="D1234" s="25">
        <v>10.0</v>
      </c>
      <c r="E1234" s="27"/>
      <c r="F1234" s="25">
        <v>0.0</v>
      </c>
      <c r="G1234" s="27"/>
    </row>
    <row r="1235" hidden="1">
      <c r="A1235" s="21"/>
      <c r="B1235" s="21" t="s">
        <v>2141</v>
      </c>
      <c r="D1235" s="25">
        <v>10.0</v>
      </c>
      <c r="E1235" s="27"/>
      <c r="F1235" s="25">
        <v>0.0</v>
      </c>
      <c r="G1235" s="27"/>
    </row>
    <row r="1236" hidden="1">
      <c r="A1236" s="21"/>
      <c r="B1236" s="21" t="s">
        <v>2142</v>
      </c>
      <c r="D1236" s="25">
        <v>10.0</v>
      </c>
      <c r="E1236" s="27"/>
      <c r="F1236" s="25">
        <v>0.0</v>
      </c>
      <c r="G1236" s="27"/>
    </row>
    <row r="1237" hidden="1">
      <c r="A1237" s="21"/>
      <c r="B1237" s="21" t="s">
        <v>2143</v>
      </c>
      <c r="D1237" s="25">
        <v>10.0</v>
      </c>
      <c r="E1237" s="27"/>
      <c r="F1237" s="25">
        <v>0.0</v>
      </c>
      <c r="G1237" s="27"/>
    </row>
    <row r="1238" hidden="1">
      <c r="A1238" s="21"/>
      <c r="B1238" s="21" t="s">
        <v>2144</v>
      </c>
      <c r="D1238" s="25">
        <v>10.0</v>
      </c>
      <c r="E1238" s="27"/>
      <c r="F1238" s="25">
        <v>0.0</v>
      </c>
      <c r="G1238" s="27"/>
    </row>
    <row r="1239" hidden="1">
      <c r="A1239" s="21"/>
      <c r="B1239" s="21" t="s">
        <v>2145</v>
      </c>
      <c r="D1239" s="25">
        <v>10.0</v>
      </c>
      <c r="E1239" s="27"/>
      <c r="F1239" s="25">
        <v>0.0</v>
      </c>
      <c r="G1239" s="27"/>
    </row>
    <row r="1240" hidden="1">
      <c r="A1240" s="21"/>
      <c r="B1240" s="21" t="s">
        <v>2146</v>
      </c>
      <c r="D1240" s="25">
        <v>10.0</v>
      </c>
      <c r="E1240" s="27"/>
      <c r="F1240" s="25">
        <v>0.0</v>
      </c>
      <c r="G1240" s="27"/>
    </row>
    <row r="1241" hidden="1">
      <c r="A1241" s="21"/>
      <c r="B1241" s="21" t="s">
        <v>2147</v>
      </c>
      <c r="D1241" s="25">
        <v>10.0</v>
      </c>
      <c r="E1241" s="27"/>
      <c r="F1241" s="25">
        <v>0.0</v>
      </c>
      <c r="G1241" s="27"/>
    </row>
    <row r="1242" hidden="1">
      <c r="A1242" s="21"/>
      <c r="B1242" s="21" t="s">
        <v>2148</v>
      </c>
      <c r="D1242" s="25">
        <v>10.0</v>
      </c>
      <c r="E1242" s="27"/>
      <c r="F1242" s="25">
        <v>0.0</v>
      </c>
      <c r="G1242" s="27"/>
    </row>
    <row r="1243" hidden="1">
      <c r="A1243" s="21"/>
      <c r="B1243" s="21" t="s">
        <v>2149</v>
      </c>
      <c r="D1243" s="25">
        <v>10.0</v>
      </c>
      <c r="E1243" s="27"/>
      <c r="F1243" s="25">
        <v>0.0</v>
      </c>
      <c r="G1243" s="27"/>
    </row>
    <row r="1244" hidden="1">
      <c r="A1244" s="21"/>
      <c r="B1244" s="21" t="s">
        <v>2150</v>
      </c>
      <c r="D1244" s="25">
        <v>10.0</v>
      </c>
      <c r="E1244" s="27"/>
      <c r="F1244" s="25">
        <v>0.0</v>
      </c>
      <c r="G1244" s="27"/>
    </row>
    <row r="1245" hidden="1">
      <c r="A1245" s="21"/>
      <c r="B1245" s="21" t="s">
        <v>2151</v>
      </c>
      <c r="D1245" s="25">
        <v>10.0</v>
      </c>
      <c r="E1245" s="27"/>
      <c r="F1245" s="25">
        <v>0.0</v>
      </c>
      <c r="G1245" s="27"/>
    </row>
    <row r="1246" hidden="1">
      <c r="A1246" s="21"/>
      <c r="B1246" s="21" t="s">
        <v>2152</v>
      </c>
      <c r="D1246" s="25">
        <v>10.0</v>
      </c>
      <c r="E1246" s="27"/>
      <c r="F1246" s="25">
        <v>2.55</v>
      </c>
      <c r="G1246" s="27"/>
    </row>
    <row r="1247" hidden="1">
      <c r="A1247" s="21"/>
      <c r="B1247" s="21" t="s">
        <v>2153</v>
      </c>
      <c r="D1247" s="25">
        <v>10.0</v>
      </c>
      <c r="E1247" s="27"/>
      <c r="F1247" s="25">
        <v>0.0</v>
      </c>
      <c r="G1247" s="27"/>
    </row>
    <row r="1248" hidden="1">
      <c r="A1248" s="21"/>
      <c r="B1248" s="21" t="s">
        <v>2154</v>
      </c>
      <c r="D1248" s="25">
        <v>10.0</v>
      </c>
      <c r="E1248" s="27"/>
      <c r="F1248" s="25">
        <v>0.0</v>
      </c>
      <c r="G1248" s="27"/>
    </row>
    <row r="1249" hidden="1">
      <c r="A1249" s="21"/>
      <c r="B1249" s="21" t="s">
        <v>2155</v>
      </c>
      <c r="D1249" s="25">
        <v>10.0</v>
      </c>
      <c r="E1249" s="27"/>
      <c r="F1249" s="25">
        <v>0.0</v>
      </c>
      <c r="G1249" s="27"/>
    </row>
    <row r="1250" hidden="1">
      <c r="A1250" s="21"/>
      <c r="B1250" s="21" t="s">
        <v>2156</v>
      </c>
      <c r="D1250" s="25">
        <v>10.0</v>
      </c>
      <c r="E1250" s="27"/>
      <c r="F1250" s="25">
        <v>0.0</v>
      </c>
      <c r="G1250" s="27"/>
    </row>
    <row r="1251" hidden="1">
      <c r="A1251" s="21"/>
      <c r="B1251" s="21" t="s">
        <v>2157</v>
      </c>
      <c r="D1251" s="25">
        <v>10.0</v>
      </c>
      <c r="E1251" s="27"/>
      <c r="F1251" s="25">
        <v>4.28</v>
      </c>
      <c r="G1251" s="27"/>
    </row>
    <row r="1252" hidden="1">
      <c r="A1252" s="21"/>
      <c r="B1252" s="21" t="s">
        <v>2158</v>
      </c>
      <c r="D1252" s="25">
        <v>10.0</v>
      </c>
      <c r="E1252" s="27"/>
      <c r="F1252" s="25">
        <v>0.0</v>
      </c>
      <c r="G1252" s="27"/>
    </row>
    <row r="1253" hidden="1">
      <c r="A1253" s="21"/>
      <c r="B1253" s="21" t="s">
        <v>2159</v>
      </c>
      <c r="D1253" s="25">
        <v>10.0</v>
      </c>
      <c r="E1253" s="27"/>
      <c r="F1253" s="25">
        <v>0.0</v>
      </c>
      <c r="G1253" s="27"/>
    </row>
    <row r="1254" hidden="1">
      <c r="A1254" s="21"/>
      <c r="B1254" s="21" t="s">
        <v>2160</v>
      </c>
      <c r="D1254" s="25">
        <v>10.0</v>
      </c>
      <c r="E1254" s="27"/>
      <c r="F1254" s="25">
        <v>0.0</v>
      </c>
      <c r="G1254" s="27"/>
    </row>
    <row r="1255" hidden="1">
      <c r="A1255" s="21"/>
      <c r="B1255" s="21" t="s">
        <v>2161</v>
      </c>
      <c r="D1255" s="25">
        <v>10.0</v>
      </c>
      <c r="E1255" s="27"/>
      <c r="F1255" s="25">
        <v>0.0</v>
      </c>
      <c r="G1255" s="27"/>
    </row>
    <row r="1256" hidden="1">
      <c r="A1256" s="21"/>
      <c r="B1256" s="21" t="s">
        <v>2162</v>
      </c>
      <c r="D1256" s="25">
        <v>10.0</v>
      </c>
      <c r="E1256" s="27"/>
      <c r="F1256" s="25">
        <v>0.0</v>
      </c>
      <c r="G1256" s="27"/>
    </row>
    <row r="1257" hidden="1">
      <c r="A1257" s="21"/>
      <c r="B1257" s="21" t="s">
        <v>2163</v>
      </c>
      <c r="D1257" s="25">
        <v>10.0</v>
      </c>
      <c r="E1257" s="27"/>
      <c r="F1257" s="25">
        <v>0.0</v>
      </c>
      <c r="G1257" s="27"/>
    </row>
    <row r="1258" hidden="1">
      <c r="A1258" s="21"/>
      <c r="B1258" s="21" t="s">
        <v>2164</v>
      </c>
      <c r="D1258" s="25">
        <v>10.0</v>
      </c>
      <c r="E1258" s="27"/>
      <c r="F1258" s="25">
        <v>0.0</v>
      </c>
      <c r="G1258" s="27"/>
    </row>
    <row r="1259" hidden="1">
      <c r="A1259" s="21"/>
      <c r="B1259" s="21" t="s">
        <v>2165</v>
      </c>
      <c r="D1259" s="25">
        <v>10.0</v>
      </c>
      <c r="E1259" s="27"/>
      <c r="F1259" s="25">
        <v>0.0</v>
      </c>
      <c r="G1259" s="27"/>
    </row>
    <row r="1260" hidden="1">
      <c r="A1260" s="21"/>
      <c r="B1260" s="21" t="s">
        <v>2166</v>
      </c>
      <c r="D1260" s="25">
        <v>10.0</v>
      </c>
      <c r="E1260" s="27"/>
      <c r="F1260" s="25">
        <v>0.0</v>
      </c>
      <c r="G1260" s="27"/>
    </row>
    <row r="1261" hidden="1">
      <c r="A1261" s="21"/>
      <c r="B1261" s="21" t="s">
        <v>2167</v>
      </c>
      <c r="D1261" s="25">
        <v>10.0</v>
      </c>
      <c r="E1261" s="27"/>
      <c r="F1261" s="25">
        <v>0.0</v>
      </c>
      <c r="G1261" s="27"/>
    </row>
    <row r="1262" hidden="1">
      <c r="A1262" s="21"/>
      <c r="B1262" s="21" t="s">
        <v>2168</v>
      </c>
      <c r="D1262" s="25">
        <v>10.0</v>
      </c>
      <c r="E1262" s="27"/>
      <c r="F1262" s="25">
        <v>0.0</v>
      </c>
      <c r="G1262" s="27"/>
    </row>
    <row r="1263" hidden="1">
      <c r="A1263" s="21"/>
      <c r="B1263" s="21" t="s">
        <v>2169</v>
      </c>
      <c r="D1263" s="25">
        <v>10.0</v>
      </c>
      <c r="E1263" s="27"/>
      <c r="F1263" s="25">
        <v>6.82</v>
      </c>
      <c r="G1263" s="27"/>
    </row>
    <row r="1264" hidden="1">
      <c r="A1264" s="21"/>
      <c r="B1264" s="21" t="s">
        <v>2170</v>
      </c>
      <c r="D1264" s="25">
        <v>10.0</v>
      </c>
      <c r="E1264" s="27"/>
      <c r="F1264" s="25">
        <v>0.0</v>
      </c>
      <c r="G1264" s="27"/>
    </row>
    <row r="1265" hidden="1">
      <c r="A1265" s="21"/>
      <c r="B1265" s="21" t="s">
        <v>2171</v>
      </c>
      <c r="D1265" s="25">
        <v>10.0</v>
      </c>
      <c r="E1265" s="27"/>
      <c r="F1265" s="25">
        <v>0.0</v>
      </c>
      <c r="G1265" s="27"/>
    </row>
    <row r="1266" hidden="1">
      <c r="A1266" s="21"/>
      <c r="B1266" s="21" t="s">
        <v>2172</v>
      </c>
      <c r="D1266" s="25">
        <v>10.0</v>
      </c>
      <c r="E1266" s="27"/>
      <c r="F1266" s="25">
        <v>0.0</v>
      </c>
      <c r="G1266" s="27"/>
    </row>
    <row r="1267" hidden="1">
      <c r="A1267" s="21"/>
      <c r="B1267" s="21" t="s">
        <v>2173</v>
      </c>
      <c r="D1267" s="25">
        <v>10.0</v>
      </c>
      <c r="E1267" s="27"/>
      <c r="F1267" s="25">
        <v>0.0</v>
      </c>
      <c r="G1267" s="27"/>
    </row>
    <row r="1268" hidden="1">
      <c r="A1268" s="21"/>
      <c r="B1268" s="21" t="s">
        <v>2174</v>
      </c>
      <c r="D1268" s="25">
        <v>10.0</v>
      </c>
      <c r="E1268" s="27"/>
      <c r="F1268" s="25">
        <v>0.0</v>
      </c>
      <c r="G1268" s="27"/>
    </row>
    <row r="1269" hidden="1">
      <c r="A1269" s="21"/>
      <c r="B1269" s="21" t="s">
        <v>2175</v>
      </c>
      <c r="D1269" s="25">
        <v>10.0</v>
      </c>
      <c r="E1269" s="27"/>
      <c r="F1269" s="25">
        <v>0.0</v>
      </c>
      <c r="G1269" s="27"/>
    </row>
    <row r="1270" hidden="1">
      <c r="A1270" s="21"/>
      <c r="B1270" s="21" t="s">
        <v>2176</v>
      </c>
      <c r="D1270" s="25">
        <v>10.0</v>
      </c>
      <c r="E1270" s="27"/>
      <c r="F1270" s="25">
        <v>0.0</v>
      </c>
      <c r="G1270" s="27"/>
    </row>
    <row r="1271" hidden="1">
      <c r="A1271" s="21"/>
      <c r="B1271" s="21" t="s">
        <v>2177</v>
      </c>
      <c r="D1271" s="25">
        <v>10.0</v>
      </c>
      <c r="E1271" s="27"/>
      <c r="F1271" s="25">
        <v>0.0</v>
      </c>
      <c r="G1271" s="27"/>
    </row>
    <row r="1272" hidden="1">
      <c r="A1272" s="21"/>
      <c r="B1272" s="21" t="s">
        <v>2178</v>
      </c>
      <c r="D1272" s="25">
        <v>10.0</v>
      </c>
      <c r="E1272" s="27"/>
      <c r="F1272" s="25">
        <v>0.0</v>
      </c>
      <c r="G1272" s="27"/>
    </row>
    <row r="1273" hidden="1">
      <c r="A1273" s="21"/>
      <c r="B1273" s="21" t="s">
        <v>2179</v>
      </c>
      <c r="D1273" s="25">
        <v>10.0</v>
      </c>
      <c r="E1273" s="27"/>
      <c r="F1273" s="25">
        <v>0.0</v>
      </c>
      <c r="G1273" s="27"/>
    </row>
    <row r="1274" hidden="1">
      <c r="A1274" s="21"/>
      <c r="B1274" s="21" t="s">
        <v>2180</v>
      </c>
      <c r="D1274" s="25">
        <v>10.0</v>
      </c>
      <c r="E1274" s="27"/>
      <c r="F1274" s="25">
        <v>6.47</v>
      </c>
      <c r="G1274" s="27"/>
    </row>
    <row r="1275" hidden="1">
      <c r="A1275" s="21"/>
      <c r="B1275" s="21" t="s">
        <v>2181</v>
      </c>
      <c r="D1275" s="25">
        <v>10.0</v>
      </c>
      <c r="E1275" s="27"/>
      <c r="F1275" s="25">
        <v>0.0</v>
      </c>
      <c r="G1275" s="27"/>
    </row>
    <row r="1276" hidden="1">
      <c r="A1276" s="21"/>
      <c r="B1276" s="21" t="s">
        <v>2182</v>
      </c>
      <c r="D1276" s="25">
        <v>10.0</v>
      </c>
      <c r="E1276" s="27"/>
      <c r="F1276" s="25">
        <v>0.0</v>
      </c>
      <c r="G1276" s="27"/>
    </row>
    <row r="1277" hidden="1">
      <c r="A1277" s="21"/>
      <c r="B1277" s="21" t="s">
        <v>2183</v>
      </c>
      <c r="D1277" s="25">
        <v>10.0</v>
      </c>
      <c r="E1277" s="27"/>
      <c r="F1277" s="25">
        <v>0.0</v>
      </c>
      <c r="G1277" s="27"/>
    </row>
    <row r="1278" hidden="1">
      <c r="A1278" s="21"/>
      <c r="B1278" s="21" t="s">
        <v>2184</v>
      </c>
      <c r="D1278" s="25">
        <v>10.0</v>
      </c>
      <c r="E1278" s="27"/>
      <c r="F1278" s="25">
        <v>0.0</v>
      </c>
      <c r="G1278" s="27"/>
    </row>
    <row r="1279" hidden="1">
      <c r="A1279" s="21"/>
      <c r="B1279" s="21" t="s">
        <v>2185</v>
      </c>
      <c r="D1279" s="25">
        <v>10.0</v>
      </c>
      <c r="E1279" s="27"/>
      <c r="F1279" s="25">
        <v>0.0</v>
      </c>
      <c r="G1279" s="27"/>
    </row>
    <row r="1280" hidden="1">
      <c r="A1280" s="21"/>
      <c r="B1280" s="21" t="s">
        <v>2186</v>
      </c>
      <c r="D1280" s="25">
        <v>10.0</v>
      </c>
      <c r="E1280" s="27"/>
      <c r="F1280" s="25">
        <v>0.0</v>
      </c>
      <c r="G1280" s="27"/>
    </row>
    <row r="1281" hidden="1">
      <c r="A1281" s="21"/>
      <c r="B1281" s="21" t="s">
        <v>2187</v>
      </c>
      <c r="D1281" s="25">
        <v>10.0</v>
      </c>
      <c r="E1281" s="27"/>
      <c r="F1281" s="25">
        <v>0.0</v>
      </c>
      <c r="G1281" s="27"/>
    </row>
    <row r="1282" hidden="1">
      <c r="A1282" s="21"/>
      <c r="B1282" s="21" t="s">
        <v>2188</v>
      </c>
      <c r="D1282" s="25">
        <v>10.0</v>
      </c>
      <c r="E1282" s="27"/>
      <c r="F1282" s="25">
        <v>0.0</v>
      </c>
      <c r="G1282" s="27"/>
    </row>
    <row r="1283" hidden="1">
      <c r="A1283" s="21"/>
      <c r="B1283" s="21" t="s">
        <v>2189</v>
      </c>
      <c r="D1283" s="25">
        <v>10.0</v>
      </c>
      <c r="E1283" s="27"/>
      <c r="F1283" s="25">
        <v>0.0</v>
      </c>
      <c r="G1283" s="27"/>
    </row>
    <row r="1284" hidden="1">
      <c r="A1284" s="21"/>
      <c r="B1284" s="21" t="s">
        <v>2190</v>
      </c>
      <c r="D1284" s="25">
        <v>10.0</v>
      </c>
      <c r="E1284" s="27"/>
      <c r="F1284" s="25">
        <v>0.0</v>
      </c>
      <c r="G1284" s="27"/>
    </row>
    <row r="1285" hidden="1">
      <c r="A1285" s="21"/>
      <c r="B1285" s="21" t="s">
        <v>2191</v>
      </c>
      <c r="D1285" s="25">
        <v>10.0</v>
      </c>
      <c r="E1285" s="27"/>
      <c r="F1285" s="25">
        <v>2.84</v>
      </c>
      <c r="G1285" s="27"/>
    </row>
    <row r="1286" hidden="1">
      <c r="A1286" s="21"/>
      <c r="B1286" s="21" t="s">
        <v>2192</v>
      </c>
      <c r="D1286" s="25">
        <v>10.0</v>
      </c>
      <c r="E1286" s="27"/>
      <c r="F1286" s="25">
        <v>0.0</v>
      </c>
      <c r="G1286" s="27"/>
    </row>
    <row r="1287" hidden="1">
      <c r="A1287" s="21"/>
      <c r="B1287" s="21" t="s">
        <v>2193</v>
      </c>
      <c r="D1287" s="25">
        <v>10.0</v>
      </c>
      <c r="E1287" s="27"/>
      <c r="F1287" s="25">
        <v>0.0</v>
      </c>
      <c r="G1287" s="27"/>
    </row>
    <row r="1288" hidden="1">
      <c r="A1288" s="21"/>
      <c r="B1288" s="21" t="s">
        <v>2194</v>
      </c>
      <c r="D1288" s="25">
        <v>10.0</v>
      </c>
      <c r="E1288" s="27"/>
      <c r="F1288" s="25">
        <v>0.0</v>
      </c>
      <c r="G1288" s="27"/>
    </row>
    <row r="1289" hidden="1">
      <c r="A1289" s="21"/>
      <c r="B1289" s="21" t="s">
        <v>2195</v>
      </c>
      <c r="D1289" s="25">
        <v>10.0</v>
      </c>
      <c r="E1289" s="27"/>
      <c r="F1289" s="25">
        <v>0.0</v>
      </c>
      <c r="G1289" s="27"/>
    </row>
    <row r="1290" hidden="1">
      <c r="A1290" s="21"/>
      <c r="B1290" s="21" t="s">
        <v>2196</v>
      </c>
      <c r="D1290" s="25">
        <v>10.0</v>
      </c>
      <c r="E1290" s="27"/>
      <c r="F1290" s="25">
        <v>0.0</v>
      </c>
      <c r="G1290" s="27"/>
    </row>
    <row r="1291" hidden="1">
      <c r="A1291" s="21"/>
      <c r="B1291" s="21" t="s">
        <v>2197</v>
      </c>
      <c r="D1291" s="25">
        <v>10.0</v>
      </c>
      <c r="E1291" s="27"/>
      <c r="F1291" s="25">
        <v>0.0</v>
      </c>
      <c r="G1291" s="27"/>
    </row>
    <row r="1292" hidden="1">
      <c r="A1292" s="21"/>
      <c r="B1292" s="21" t="s">
        <v>2198</v>
      </c>
      <c r="D1292" s="25">
        <v>10.0</v>
      </c>
      <c r="E1292" s="27"/>
      <c r="F1292" s="25">
        <v>0.0</v>
      </c>
      <c r="G1292" s="27"/>
    </row>
    <row r="1293" hidden="1">
      <c r="A1293" s="21"/>
      <c r="B1293" s="21" t="s">
        <v>2199</v>
      </c>
      <c r="D1293" s="25">
        <v>10.0</v>
      </c>
      <c r="E1293" s="27"/>
      <c r="F1293" s="25">
        <v>0.0</v>
      </c>
      <c r="G1293" s="27"/>
    </row>
    <row r="1294" hidden="1">
      <c r="A1294" s="21"/>
      <c r="B1294" s="21" t="s">
        <v>2200</v>
      </c>
      <c r="D1294" s="25">
        <v>10.0</v>
      </c>
      <c r="E1294" s="27"/>
      <c r="F1294" s="25">
        <v>0.0</v>
      </c>
      <c r="G1294" s="27"/>
    </row>
    <row r="1295" hidden="1">
      <c r="A1295" s="21"/>
      <c r="B1295" s="21" t="s">
        <v>2201</v>
      </c>
      <c r="D1295" s="25">
        <v>10.0</v>
      </c>
      <c r="E1295" s="27"/>
      <c r="F1295" s="25">
        <v>0.0</v>
      </c>
      <c r="G1295" s="27"/>
    </row>
    <row r="1296" hidden="1">
      <c r="A1296" s="21"/>
      <c r="B1296" s="21" t="s">
        <v>2202</v>
      </c>
      <c r="D1296" s="25">
        <v>10.0</v>
      </c>
      <c r="E1296" s="27"/>
      <c r="F1296" s="25">
        <v>0.0</v>
      </c>
      <c r="G1296" s="27"/>
    </row>
    <row r="1297" hidden="1">
      <c r="A1297" s="21"/>
      <c r="B1297" s="21" t="s">
        <v>2203</v>
      </c>
      <c r="D1297" s="25">
        <v>10.0</v>
      </c>
      <c r="E1297" s="27"/>
      <c r="F1297" s="25">
        <v>0.0</v>
      </c>
      <c r="G1297" s="27"/>
    </row>
    <row r="1298" hidden="1">
      <c r="A1298" s="21"/>
      <c r="B1298" s="21" t="s">
        <v>2204</v>
      </c>
      <c r="D1298" s="25">
        <v>10.0</v>
      </c>
      <c r="E1298" s="27"/>
      <c r="F1298" s="25">
        <v>0.0</v>
      </c>
      <c r="G1298" s="27"/>
    </row>
    <row r="1299" hidden="1">
      <c r="A1299" s="21"/>
      <c r="B1299" s="21" t="s">
        <v>2205</v>
      </c>
      <c r="D1299" s="25">
        <v>10.0</v>
      </c>
      <c r="E1299" s="27"/>
      <c r="F1299" s="25">
        <v>0.0</v>
      </c>
      <c r="G1299" s="27"/>
    </row>
    <row r="1300" hidden="1">
      <c r="A1300" s="21"/>
      <c r="B1300" s="21" t="s">
        <v>2206</v>
      </c>
      <c r="D1300" s="25">
        <v>10.0</v>
      </c>
      <c r="E1300" s="27"/>
      <c r="F1300" s="25">
        <v>0.0</v>
      </c>
      <c r="G1300" s="27"/>
    </row>
    <row r="1301" hidden="1">
      <c r="A1301" s="21"/>
      <c r="B1301" s="21" t="s">
        <v>2207</v>
      </c>
      <c r="D1301" s="25">
        <v>10.0</v>
      </c>
      <c r="E1301" s="27"/>
      <c r="F1301" s="25">
        <v>0.0</v>
      </c>
      <c r="G1301" s="27"/>
    </row>
    <row r="1302" hidden="1">
      <c r="A1302" s="21"/>
      <c r="B1302" s="21" t="s">
        <v>2208</v>
      </c>
      <c r="D1302" s="25">
        <v>10.0</v>
      </c>
      <c r="E1302" s="27"/>
      <c r="F1302" s="25">
        <v>0.0</v>
      </c>
      <c r="G1302" s="27"/>
    </row>
    <row r="1303" hidden="1">
      <c r="A1303" s="21"/>
      <c r="B1303" s="21" t="s">
        <v>2209</v>
      </c>
      <c r="D1303" s="25">
        <v>10.0</v>
      </c>
      <c r="E1303" s="27"/>
      <c r="F1303" s="25">
        <v>8.09</v>
      </c>
      <c r="G1303" s="27"/>
    </row>
    <row r="1304" hidden="1">
      <c r="A1304" s="21"/>
      <c r="B1304" s="21" t="s">
        <v>2210</v>
      </c>
      <c r="D1304" s="25">
        <v>10.0</v>
      </c>
      <c r="E1304" s="27"/>
      <c r="F1304" s="25">
        <v>0.0</v>
      </c>
      <c r="G1304" s="27"/>
    </row>
    <row r="1305" hidden="1">
      <c r="A1305" s="21"/>
      <c r="B1305" s="21" t="s">
        <v>2211</v>
      </c>
      <c r="D1305" s="25">
        <v>10.0</v>
      </c>
      <c r="E1305" s="27"/>
      <c r="F1305" s="25">
        <v>0.0</v>
      </c>
      <c r="G1305" s="27"/>
    </row>
    <row r="1306" hidden="1">
      <c r="A1306" s="21"/>
      <c r="B1306" s="21" t="s">
        <v>2212</v>
      </c>
      <c r="D1306" s="25">
        <v>10.0</v>
      </c>
      <c r="E1306" s="27"/>
      <c r="F1306" s="25">
        <v>0.0</v>
      </c>
      <c r="G1306" s="27"/>
    </row>
    <row r="1307" hidden="1">
      <c r="A1307" s="21"/>
      <c r="B1307" s="21" t="s">
        <v>2213</v>
      </c>
      <c r="D1307" s="25">
        <v>10.0</v>
      </c>
      <c r="E1307" s="27"/>
      <c r="F1307" s="25">
        <v>0.0</v>
      </c>
      <c r="G1307" s="27"/>
    </row>
    <row r="1308" hidden="1">
      <c r="A1308" s="21"/>
      <c r="B1308" s="21" t="s">
        <v>2214</v>
      </c>
      <c r="D1308" s="25">
        <v>10.0</v>
      </c>
      <c r="E1308" s="27"/>
      <c r="F1308" s="25">
        <v>0.0</v>
      </c>
      <c r="G1308" s="27"/>
    </row>
    <row r="1309" hidden="1">
      <c r="A1309" s="21"/>
      <c r="B1309" s="21" t="s">
        <v>2215</v>
      </c>
      <c r="D1309" s="25">
        <v>10.0</v>
      </c>
      <c r="E1309" s="27"/>
      <c r="F1309" s="25">
        <v>0.0</v>
      </c>
      <c r="G1309" s="27"/>
    </row>
    <row r="1310" hidden="1">
      <c r="A1310" s="21"/>
      <c r="B1310" s="21" t="s">
        <v>2216</v>
      </c>
      <c r="D1310" s="25">
        <v>10.0</v>
      </c>
      <c r="E1310" s="27"/>
      <c r="F1310" s="25">
        <v>0.0</v>
      </c>
      <c r="G1310" s="27"/>
    </row>
    <row r="1311" hidden="1">
      <c r="A1311" s="21"/>
      <c r="B1311" s="21" t="s">
        <v>2217</v>
      </c>
      <c r="D1311" s="25">
        <v>10.0</v>
      </c>
      <c r="E1311" s="27"/>
      <c r="F1311" s="25">
        <v>0.0</v>
      </c>
      <c r="G1311" s="27"/>
    </row>
    <row r="1312" hidden="1">
      <c r="A1312" s="21"/>
      <c r="B1312" s="21" t="s">
        <v>2218</v>
      </c>
      <c r="D1312" s="25">
        <v>10.0</v>
      </c>
      <c r="E1312" s="27"/>
      <c r="F1312" s="25">
        <v>0.0</v>
      </c>
      <c r="G1312" s="27"/>
    </row>
    <row r="1313" hidden="1">
      <c r="A1313" s="21"/>
      <c r="B1313" s="21" t="s">
        <v>2219</v>
      </c>
      <c r="D1313" s="25">
        <v>10.0</v>
      </c>
      <c r="E1313" s="27"/>
      <c r="F1313" s="25">
        <v>0.0</v>
      </c>
      <c r="G1313" s="27"/>
    </row>
    <row r="1314" hidden="1">
      <c r="A1314" s="21"/>
      <c r="B1314" s="21" t="s">
        <v>2220</v>
      </c>
      <c r="D1314" s="25">
        <v>10.0</v>
      </c>
      <c r="E1314" s="27"/>
      <c r="F1314" s="25">
        <v>0.0</v>
      </c>
      <c r="G1314" s="27"/>
    </row>
    <row r="1315" hidden="1">
      <c r="A1315" s="21"/>
      <c r="B1315" s="21" t="s">
        <v>2221</v>
      </c>
      <c r="D1315" s="25">
        <v>10.0</v>
      </c>
      <c r="E1315" s="27"/>
      <c r="F1315" s="25">
        <v>0.0</v>
      </c>
      <c r="G1315" s="27"/>
    </row>
    <row r="1316" hidden="1">
      <c r="A1316" s="21"/>
      <c r="B1316" s="21" t="s">
        <v>2222</v>
      </c>
      <c r="D1316" s="25">
        <v>10.0</v>
      </c>
      <c r="E1316" s="27"/>
      <c r="F1316" s="25">
        <v>0.0</v>
      </c>
      <c r="G1316" s="27"/>
    </row>
    <row r="1317" hidden="1">
      <c r="A1317" s="21"/>
      <c r="B1317" s="21" t="s">
        <v>2223</v>
      </c>
      <c r="D1317" s="25">
        <v>10.0</v>
      </c>
      <c r="E1317" s="27"/>
      <c r="F1317" s="25">
        <v>0.0</v>
      </c>
      <c r="G1317" s="27"/>
    </row>
    <row r="1318" hidden="1">
      <c r="A1318" s="21"/>
      <c r="B1318" s="21" t="s">
        <v>2224</v>
      </c>
      <c r="D1318" s="25">
        <v>10.0</v>
      </c>
      <c r="E1318" s="27"/>
      <c r="F1318" s="25">
        <v>0.0</v>
      </c>
      <c r="G1318" s="27"/>
    </row>
    <row r="1319" hidden="1">
      <c r="A1319" s="21"/>
      <c r="B1319" s="21" t="s">
        <v>2225</v>
      </c>
      <c r="D1319" s="25">
        <v>10.0</v>
      </c>
      <c r="E1319" s="27"/>
      <c r="F1319" s="25">
        <v>0.0</v>
      </c>
      <c r="G1319" s="27"/>
    </row>
    <row r="1320" hidden="1">
      <c r="A1320" s="21"/>
      <c r="B1320" s="21" t="s">
        <v>2226</v>
      </c>
      <c r="D1320" s="25">
        <v>10.0</v>
      </c>
      <c r="E1320" s="27"/>
      <c r="F1320" s="25">
        <v>4.17</v>
      </c>
      <c r="G1320" s="27"/>
    </row>
    <row r="1321" hidden="1">
      <c r="A1321" s="21"/>
      <c r="B1321" s="21" t="s">
        <v>2227</v>
      </c>
      <c r="D1321" s="25">
        <v>10.0</v>
      </c>
      <c r="E1321" s="27"/>
      <c r="F1321" s="25">
        <v>8.92</v>
      </c>
      <c r="G1321" s="27"/>
    </row>
    <row r="1322" hidden="1">
      <c r="A1322" s="21"/>
      <c r="B1322" s="21" t="s">
        <v>2228</v>
      </c>
      <c r="D1322" s="25">
        <v>10.0</v>
      </c>
      <c r="E1322" s="27"/>
      <c r="F1322" s="25">
        <v>6.81</v>
      </c>
      <c r="G1322" s="27"/>
    </row>
    <row r="1323" hidden="1">
      <c r="A1323" s="21"/>
      <c r="B1323" s="21" t="s">
        <v>2229</v>
      </c>
      <c r="D1323" s="25">
        <v>10.0</v>
      </c>
      <c r="E1323" s="27"/>
      <c r="F1323" s="25">
        <v>0.0</v>
      </c>
      <c r="G1323" s="27"/>
    </row>
    <row r="1324" hidden="1">
      <c r="A1324" s="21"/>
      <c r="B1324" s="21" t="s">
        <v>2230</v>
      </c>
      <c r="D1324" s="25">
        <v>10.0</v>
      </c>
      <c r="E1324" s="27"/>
      <c r="F1324" s="25">
        <v>0.0</v>
      </c>
      <c r="G1324" s="27"/>
    </row>
    <row r="1325" hidden="1">
      <c r="A1325" s="21"/>
      <c r="B1325" s="21" t="s">
        <v>2231</v>
      </c>
      <c r="D1325" s="25">
        <v>10.0</v>
      </c>
      <c r="E1325" s="27"/>
      <c r="F1325" s="25">
        <v>0.0</v>
      </c>
      <c r="G1325" s="27"/>
    </row>
    <row r="1326" hidden="1">
      <c r="A1326" s="21"/>
      <c r="B1326" s="21" t="s">
        <v>2232</v>
      </c>
      <c r="D1326" s="25">
        <v>10.0</v>
      </c>
      <c r="E1326" s="27"/>
      <c r="F1326" s="25">
        <v>0.0</v>
      </c>
      <c r="G1326" s="27"/>
    </row>
    <row r="1327" hidden="1">
      <c r="A1327" s="21"/>
      <c r="B1327" s="21" t="s">
        <v>2233</v>
      </c>
      <c r="D1327" s="25">
        <v>10.0</v>
      </c>
      <c r="E1327" s="27"/>
      <c r="F1327" s="25">
        <v>0.0</v>
      </c>
      <c r="G1327" s="27"/>
    </row>
    <row r="1328" hidden="1">
      <c r="A1328" s="21"/>
      <c r="B1328" s="21" t="s">
        <v>2234</v>
      </c>
      <c r="D1328" s="25">
        <v>10.0</v>
      </c>
      <c r="E1328" s="27"/>
      <c r="F1328" s="25">
        <v>10.31</v>
      </c>
      <c r="G1328" s="27"/>
    </row>
    <row r="1329" hidden="1">
      <c r="A1329" s="21"/>
      <c r="B1329" s="21" t="s">
        <v>2235</v>
      </c>
      <c r="D1329" s="25">
        <v>10.0</v>
      </c>
      <c r="E1329" s="27"/>
      <c r="F1329" s="25">
        <v>0.0</v>
      </c>
      <c r="G1329" s="27"/>
    </row>
    <row r="1330" hidden="1">
      <c r="A1330" s="21"/>
      <c r="B1330" s="21" t="s">
        <v>2236</v>
      </c>
      <c r="D1330" s="25">
        <v>10.0</v>
      </c>
      <c r="E1330" s="27"/>
      <c r="F1330" s="25">
        <v>0.0</v>
      </c>
      <c r="G1330" s="27"/>
    </row>
    <row r="1331" hidden="1">
      <c r="A1331" s="21"/>
      <c r="B1331" s="21" t="s">
        <v>2237</v>
      </c>
      <c r="D1331" s="25">
        <v>10.0</v>
      </c>
      <c r="E1331" s="27"/>
      <c r="F1331" s="25">
        <v>0.0</v>
      </c>
      <c r="G1331" s="27"/>
    </row>
    <row r="1332" hidden="1">
      <c r="A1332" s="21"/>
      <c r="B1332" s="21" t="s">
        <v>2238</v>
      </c>
      <c r="D1332" s="25">
        <v>10.0</v>
      </c>
      <c r="E1332" s="27"/>
      <c r="F1332" s="25">
        <v>0.0</v>
      </c>
      <c r="G1332" s="27"/>
    </row>
    <row r="1333" hidden="1">
      <c r="A1333" s="21"/>
      <c r="B1333" s="21" t="s">
        <v>2239</v>
      </c>
      <c r="D1333" s="25">
        <v>10.0</v>
      </c>
      <c r="E1333" s="27"/>
      <c r="F1333" s="25">
        <v>0.0</v>
      </c>
      <c r="G1333" s="27"/>
    </row>
    <row r="1334" hidden="1">
      <c r="A1334" s="21"/>
      <c r="B1334" s="21" t="s">
        <v>2240</v>
      </c>
      <c r="D1334" s="25">
        <v>10.0</v>
      </c>
      <c r="E1334" s="27"/>
      <c r="F1334" s="25">
        <v>0.0</v>
      </c>
      <c r="G1334" s="27"/>
    </row>
    <row r="1335" hidden="1">
      <c r="A1335" s="21"/>
      <c r="B1335" s="21" t="s">
        <v>2241</v>
      </c>
      <c r="D1335" s="25">
        <v>10.0</v>
      </c>
      <c r="E1335" s="27"/>
      <c r="F1335" s="25">
        <v>0.0</v>
      </c>
      <c r="G1335" s="27"/>
    </row>
    <row r="1336" hidden="1">
      <c r="A1336" s="21"/>
      <c r="B1336" s="21" t="s">
        <v>2242</v>
      </c>
      <c r="D1336" s="25">
        <v>10.0</v>
      </c>
      <c r="E1336" s="27"/>
      <c r="F1336" s="25">
        <v>0.0</v>
      </c>
      <c r="G1336" s="27"/>
    </row>
    <row r="1337" hidden="1">
      <c r="A1337" s="21"/>
      <c r="B1337" s="21" t="s">
        <v>2243</v>
      </c>
      <c r="D1337" s="25">
        <v>10.0</v>
      </c>
      <c r="E1337" s="27"/>
      <c r="F1337" s="25">
        <v>0.0</v>
      </c>
      <c r="G1337" s="27"/>
    </row>
    <row r="1338" hidden="1">
      <c r="A1338" s="21"/>
      <c r="B1338" s="21" t="s">
        <v>2244</v>
      </c>
      <c r="D1338" s="25">
        <v>10.0</v>
      </c>
      <c r="E1338" s="27"/>
      <c r="F1338" s="25">
        <v>0.0</v>
      </c>
      <c r="G1338" s="27"/>
    </row>
    <row r="1339" hidden="1">
      <c r="A1339" s="21"/>
      <c r="B1339" s="21" t="s">
        <v>2245</v>
      </c>
      <c r="D1339" s="25">
        <v>10.0</v>
      </c>
      <c r="E1339" s="27"/>
      <c r="F1339" s="25">
        <v>0.0</v>
      </c>
      <c r="G1339" s="27"/>
    </row>
    <row r="1340" hidden="1">
      <c r="A1340" s="21"/>
      <c r="B1340" s="21" t="s">
        <v>2246</v>
      </c>
      <c r="D1340" s="25">
        <v>10.0</v>
      </c>
      <c r="E1340" s="27"/>
      <c r="F1340" s="25">
        <v>0.0</v>
      </c>
      <c r="G1340" s="27"/>
    </row>
    <row r="1341" hidden="1">
      <c r="A1341" s="21"/>
      <c r="B1341" s="21" t="s">
        <v>2247</v>
      </c>
      <c r="D1341" s="25">
        <v>10.0</v>
      </c>
      <c r="E1341" s="27"/>
      <c r="F1341" s="25">
        <v>0.0</v>
      </c>
      <c r="G1341" s="27"/>
    </row>
    <row r="1342" hidden="1">
      <c r="A1342" s="21"/>
      <c r="B1342" s="21" t="s">
        <v>2248</v>
      </c>
      <c r="D1342" s="25">
        <v>10.0</v>
      </c>
      <c r="E1342" s="27"/>
      <c r="F1342" s="25">
        <v>0.0</v>
      </c>
      <c r="G1342" s="27"/>
    </row>
    <row r="1343" hidden="1">
      <c r="A1343" s="21"/>
      <c r="B1343" s="21" t="s">
        <v>2249</v>
      </c>
      <c r="D1343" s="25">
        <v>10.0</v>
      </c>
      <c r="E1343" s="27"/>
      <c r="F1343" s="25">
        <v>0.0</v>
      </c>
      <c r="G1343" s="27"/>
    </row>
    <row r="1344" hidden="1">
      <c r="A1344" s="21"/>
      <c r="B1344" s="21" t="s">
        <v>2250</v>
      </c>
      <c r="D1344" s="25">
        <v>10.0</v>
      </c>
      <c r="E1344" s="27"/>
      <c r="F1344" s="25">
        <v>0.0</v>
      </c>
      <c r="G1344" s="27"/>
    </row>
    <row r="1345" hidden="1">
      <c r="A1345" s="21"/>
      <c r="B1345" s="21" t="s">
        <v>2251</v>
      </c>
      <c r="D1345" s="25">
        <v>10.0</v>
      </c>
      <c r="E1345" s="27"/>
      <c r="F1345" s="25">
        <v>0.0</v>
      </c>
      <c r="G1345" s="27"/>
    </row>
    <row r="1346" hidden="1">
      <c r="A1346" s="21"/>
      <c r="B1346" s="21" t="s">
        <v>2252</v>
      </c>
      <c r="D1346" s="25">
        <v>10.0</v>
      </c>
      <c r="E1346" s="27"/>
      <c r="F1346" s="25">
        <v>0.0</v>
      </c>
      <c r="G1346" s="27"/>
    </row>
    <row r="1347" hidden="1">
      <c r="A1347" s="21"/>
      <c r="B1347" s="21" t="s">
        <v>2253</v>
      </c>
      <c r="D1347" s="25">
        <v>10.0</v>
      </c>
      <c r="E1347" s="27"/>
      <c r="F1347" s="25">
        <v>0.0</v>
      </c>
      <c r="G1347" s="27"/>
    </row>
    <row r="1348" hidden="1">
      <c r="A1348" s="21"/>
      <c r="B1348" s="21" t="s">
        <v>2254</v>
      </c>
      <c r="D1348" s="25">
        <v>10.0</v>
      </c>
      <c r="E1348" s="27"/>
      <c r="F1348" s="25">
        <v>0.0</v>
      </c>
      <c r="G1348" s="27"/>
    </row>
    <row r="1349" hidden="1">
      <c r="A1349" s="21"/>
      <c r="B1349" s="21" t="s">
        <v>2255</v>
      </c>
      <c r="D1349" s="25">
        <v>10.0</v>
      </c>
      <c r="E1349" s="27"/>
      <c r="F1349" s="25">
        <v>0.0</v>
      </c>
      <c r="G1349" s="27"/>
    </row>
    <row r="1350" hidden="1">
      <c r="A1350" s="21"/>
      <c r="B1350" s="21" t="s">
        <v>2256</v>
      </c>
      <c r="D1350" s="25">
        <v>10.0</v>
      </c>
      <c r="E1350" s="27"/>
      <c r="F1350" s="25">
        <v>0.0</v>
      </c>
      <c r="G1350" s="27"/>
    </row>
    <row r="1351" hidden="1">
      <c r="A1351" s="21"/>
      <c r="B1351" s="21" t="s">
        <v>2257</v>
      </c>
      <c r="D1351" s="25">
        <v>10.0</v>
      </c>
      <c r="E1351" s="27"/>
      <c r="F1351" s="25">
        <v>0.0</v>
      </c>
      <c r="G1351" s="27"/>
    </row>
    <row r="1352" hidden="1">
      <c r="A1352" s="21"/>
      <c r="B1352" s="21" t="s">
        <v>2258</v>
      </c>
      <c r="D1352" s="25">
        <v>10.0</v>
      </c>
      <c r="E1352" s="27"/>
      <c r="F1352" s="25">
        <v>0.0</v>
      </c>
      <c r="G1352" s="27"/>
    </row>
    <row r="1353" hidden="1">
      <c r="A1353" s="21"/>
      <c r="B1353" s="21" t="s">
        <v>2259</v>
      </c>
      <c r="D1353" s="25">
        <v>10.0</v>
      </c>
      <c r="E1353" s="27"/>
      <c r="F1353" s="25">
        <v>3.0</v>
      </c>
      <c r="G1353" s="27"/>
    </row>
    <row r="1354" hidden="1">
      <c r="A1354" s="21"/>
      <c r="B1354" s="21" t="s">
        <v>2260</v>
      </c>
      <c r="D1354" s="25">
        <v>10.0</v>
      </c>
      <c r="E1354" s="27"/>
      <c r="F1354" s="25">
        <v>0.0</v>
      </c>
      <c r="G1354" s="27"/>
    </row>
    <row r="1355" hidden="1">
      <c r="A1355" s="21"/>
      <c r="B1355" s="21" t="s">
        <v>2261</v>
      </c>
      <c r="D1355" s="25">
        <v>10.0</v>
      </c>
      <c r="E1355" s="27"/>
      <c r="F1355" s="25">
        <v>0.0</v>
      </c>
      <c r="G1355" s="27"/>
    </row>
    <row r="1356" hidden="1">
      <c r="A1356" s="21"/>
      <c r="B1356" s="21" t="s">
        <v>2262</v>
      </c>
      <c r="D1356" s="25">
        <v>10.0</v>
      </c>
      <c r="E1356" s="27"/>
      <c r="F1356" s="25">
        <v>0.0</v>
      </c>
      <c r="G1356" s="27"/>
    </row>
    <row r="1357" hidden="1">
      <c r="A1357" s="21"/>
      <c r="B1357" s="21" t="s">
        <v>2263</v>
      </c>
      <c r="D1357" s="25">
        <v>10.0</v>
      </c>
      <c r="E1357" s="27"/>
      <c r="F1357" s="25">
        <v>0.0</v>
      </c>
      <c r="G1357" s="27"/>
    </row>
    <row r="1358" hidden="1">
      <c r="A1358" s="21"/>
      <c r="B1358" s="21" t="s">
        <v>2264</v>
      </c>
      <c r="D1358" s="25">
        <v>10.0</v>
      </c>
      <c r="E1358" s="27"/>
      <c r="F1358" s="25">
        <v>0.0</v>
      </c>
      <c r="G1358" s="27"/>
    </row>
    <row r="1359" hidden="1">
      <c r="A1359" s="21"/>
      <c r="B1359" s="21" t="s">
        <v>2265</v>
      </c>
      <c r="D1359" s="25">
        <v>10.0</v>
      </c>
      <c r="E1359" s="27"/>
      <c r="F1359" s="25">
        <v>0.0</v>
      </c>
      <c r="G1359" s="27"/>
    </row>
    <row r="1360" hidden="1">
      <c r="A1360" s="21"/>
      <c r="B1360" s="21" t="s">
        <v>2266</v>
      </c>
      <c r="D1360" s="25">
        <v>10.0</v>
      </c>
      <c r="E1360" s="27"/>
      <c r="F1360" s="25">
        <v>0.0</v>
      </c>
      <c r="G1360" s="27"/>
    </row>
    <row r="1361" hidden="1">
      <c r="A1361" s="21"/>
      <c r="B1361" s="21" t="s">
        <v>2267</v>
      </c>
      <c r="D1361" s="25">
        <v>10.0</v>
      </c>
      <c r="E1361" s="27"/>
      <c r="F1361" s="25">
        <v>0.0</v>
      </c>
      <c r="G1361" s="27"/>
    </row>
    <row r="1362" hidden="1">
      <c r="A1362" s="21"/>
      <c r="B1362" s="21" t="s">
        <v>2268</v>
      </c>
      <c r="D1362" s="25">
        <v>10.0</v>
      </c>
      <c r="E1362" s="27"/>
      <c r="F1362" s="25">
        <v>0.0</v>
      </c>
      <c r="G1362" s="27"/>
    </row>
    <row r="1363" hidden="1">
      <c r="A1363" s="21"/>
      <c r="B1363" s="21" t="s">
        <v>2269</v>
      </c>
      <c r="D1363" s="25">
        <v>10.0</v>
      </c>
      <c r="E1363" s="27"/>
      <c r="F1363" s="25">
        <v>0.0</v>
      </c>
      <c r="G1363" s="27"/>
    </row>
    <row r="1364" hidden="1">
      <c r="A1364" s="21"/>
      <c r="B1364" s="21" t="s">
        <v>2270</v>
      </c>
      <c r="D1364" s="25">
        <v>10.0</v>
      </c>
      <c r="E1364" s="27"/>
      <c r="F1364" s="25">
        <v>0.0</v>
      </c>
      <c r="G1364" s="27"/>
    </row>
    <row r="1365" hidden="1">
      <c r="A1365" s="21"/>
      <c r="B1365" s="21" t="s">
        <v>2271</v>
      </c>
      <c r="D1365" s="25">
        <v>10.0</v>
      </c>
      <c r="E1365" s="27"/>
      <c r="F1365" s="25">
        <v>0.0</v>
      </c>
      <c r="G1365" s="27"/>
    </row>
    <row r="1366" hidden="1">
      <c r="A1366" s="21"/>
      <c r="B1366" s="21" t="s">
        <v>2272</v>
      </c>
      <c r="D1366" s="25">
        <v>10.0</v>
      </c>
      <c r="E1366" s="27"/>
      <c r="F1366" s="25">
        <v>0.0</v>
      </c>
      <c r="G1366" s="27"/>
    </row>
    <row r="1367" hidden="1">
      <c r="A1367" s="21"/>
      <c r="B1367" s="21" t="s">
        <v>2273</v>
      </c>
      <c r="D1367" s="25">
        <v>10.0</v>
      </c>
      <c r="E1367" s="27"/>
      <c r="F1367" s="25">
        <v>0.0</v>
      </c>
      <c r="G1367" s="27"/>
    </row>
    <row r="1368" hidden="1">
      <c r="A1368" s="21"/>
      <c r="B1368" s="21" t="s">
        <v>2274</v>
      </c>
      <c r="D1368" s="25">
        <v>10.0</v>
      </c>
      <c r="E1368" s="27"/>
      <c r="F1368" s="25">
        <v>0.0</v>
      </c>
      <c r="G1368" s="27"/>
    </row>
    <row r="1369" hidden="1">
      <c r="A1369" s="21"/>
      <c r="B1369" s="21" t="s">
        <v>2275</v>
      </c>
      <c r="D1369" s="25">
        <v>10.0</v>
      </c>
      <c r="E1369" s="27"/>
      <c r="F1369" s="25">
        <v>0.0</v>
      </c>
      <c r="G1369" s="27"/>
    </row>
    <row r="1370" hidden="1">
      <c r="A1370" s="21"/>
      <c r="B1370" s="21" t="s">
        <v>2276</v>
      </c>
      <c r="D1370" s="25">
        <v>10.0</v>
      </c>
      <c r="E1370" s="27"/>
      <c r="F1370" s="25">
        <v>0.0</v>
      </c>
      <c r="G1370" s="27"/>
    </row>
    <row r="1371" hidden="1">
      <c r="A1371" s="21"/>
      <c r="B1371" s="21" t="s">
        <v>2277</v>
      </c>
      <c r="D1371" s="25">
        <v>10.0</v>
      </c>
      <c r="E1371" s="27"/>
      <c r="F1371" s="25">
        <v>0.0</v>
      </c>
      <c r="G1371" s="27"/>
    </row>
    <row r="1372" hidden="1">
      <c r="A1372" s="21"/>
      <c r="B1372" s="21" t="s">
        <v>2278</v>
      </c>
      <c r="D1372" s="25">
        <v>10.0</v>
      </c>
      <c r="E1372" s="27"/>
      <c r="F1372" s="25">
        <v>0.0</v>
      </c>
      <c r="G1372" s="27"/>
    </row>
    <row r="1373" hidden="1">
      <c r="A1373" s="21"/>
      <c r="B1373" s="21" t="s">
        <v>2279</v>
      </c>
      <c r="D1373" s="25">
        <v>10.0</v>
      </c>
      <c r="E1373" s="27"/>
      <c r="F1373" s="25">
        <v>0.0</v>
      </c>
      <c r="G1373" s="27"/>
    </row>
    <row r="1374" hidden="1">
      <c r="A1374" s="21"/>
      <c r="B1374" s="21" t="s">
        <v>2280</v>
      </c>
      <c r="D1374" s="25">
        <v>10.0</v>
      </c>
      <c r="E1374" s="27"/>
      <c r="F1374" s="25">
        <v>0.0</v>
      </c>
      <c r="G1374" s="27"/>
    </row>
    <row r="1375" hidden="1">
      <c r="A1375" s="21"/>
      <c r="B1375" s="21" t="s">
        <v>2281</v>
      </c>
      <c r="D1375" s="25">
        <v>10.0</v>
      </c>
      <c r="E1375" s="27"/>
      <c r="F1375" s="25">
        <v>0.0</v>
      </c>
      <c r="G1375" s="27"/>
    </row>
    <row r="1376" hidden="1">
      <c r="A1376" s="21"/>
      <c r="B1376" s="21" t="s">
        <v>2282</v>
      </c>
      <c r="D1376" s="25">
        <v>10.0</v>
      </c>
      <c r="E1376" s="27"/>
      <c r="F1376" s="25">
        <v>0.0</v>
      </c>
      <c r="G1376" s="27"/>
    </row>
    <row r="1377" hidden="1">
      <c r="A1377" s="21"/>
      <c r="B1377" s="21" t="s">
        <v>2283</v>
      </c>
      <c r="D1377" s="25">
        <v>10.0</v>
      </c>
      <c r="E1377" s="27"/>
      <c r="F1377" s="25">
        <v>4.17</v>
      </c>
      <c r="G1377" s="27"/>
    </row>
    <row r="1378" hidden="1">
      <c r="A1378" s="21"/>
      <c r="B1378" s="21" t="s">
        <v>2284</v>
      </c>
      <c r="D1378" s="25">
        <v>10.0</v>
      </c>
      <c r="E1378" s="27"/>
      <c r="F1378" s="25">
        <v>0.0</v>
      </c>
      <c r="G1378" s="27"/>
    </row>
    <row r="1379" hidden="1">
      <c r="A1379" s="21"/>
      <c r="B1379" s="21" t="s">
        <v>2285</v>
      </c>
      <c r="D1379" s="25">
        <v>10.0</v>
      </c>
      <c r="E1379" s="27"/>
      <c r="F1379" s="25">
        <v>0.0</v>
      </c>
      <c r="G1379" s="27"/>
    </row>
    <row r="1380" hidden="1">
      <c r="A1380" s="21"/>
      <c r="B1380" s="21" t="s">
        <v>2286</v>
      </c>
      <c r="D1380" s="25">
        <v>10.0</v>
      </c>
      <c r="E1380" s="27"/>
      <c r="F1380" s="25">
        <v>0.0</v>
      </c>
      <c r="G1380" s="27"/>
    </row>
    <row r="1381" hidden="1">
      <c r="A1381" s="21"/>
      <c r="B1381" s="21" t="s">
        <v>2287</v>
      </c>
      <c r="D1381" s="25">
        <v>10.0</v>
      </c>
      <c r="E1381" s="27"/>
      <c r="F1381" s="25">
        <v>0.0</v>
      </c>
      <c r="G1381" s="27"/>
    </row>
    <row r="1382" hidden="1">
      <c r="A1382" s="21"/>
      <c r="B1382" s="21" t="s">
        <v>2288</v>
      </c>
      <c r="D1382" s="25">
        <v>10.0</v>
      </c>
      <c r="E1382" s="27"/>
      <c r="F1382" s="25">
        <v>0.0</v>
      </c>
      <c r="G1382" s="27"/>
    </row>
    <row r="1383" hidden="1">
      <c r="A1383" s="21"/>
      <c r="B1383" s="21" t="s">
        <v>2289</v>
      </c>
      <c r="D1383" s="25">
        <v>10.0</v>
      </c>
      <c r="E1383" s="27"/>
      <c r="F1383" s="25">
        <v>0.0</v>
      </c>
      <c r="G1383" s="27"/>
    </row>
    <row r="1384" hidden="1">
      <c r="A1384" s="21"/>
      <c r="B1384" s="21" t="s">
        <v>2290</v>
      </c>
      <c r="D1384" s="25">
        <v>10.0</v>
      </c>
      <c r="E1384" s="27"/>
      <c r="F1384" s="25">
        <v>0.0</v>
      </c>
      <c r="G1384" s="27"/>
    </row>
    <row r="1385" hidden="1">
      <c r="A1385" s="21"/>
      <c r="B1385" s="21" t="s">
        <v>2291</v>
      </c>
      <c r="D1385" s="25">
        <v>10.0</v>
      </c>
      <c r="E1385" s="27"/>
      <c r="F1385" s="25">
        <v>0.0</v>
      </c>
      <c r="G1385" s="27"/>
    </row>
    <row r="1386" hidden="1">
      <c r="A1386" s="21"/>
      <c r="B1386" s="21" t="s">
        <v>2292</v>
      </c>
      <c r="D1386" s="25">
        <v>10.0</v>
      </c>
      <c r="E1386" s="27"/>
      <c r="F1386" s="25">
        <v>0.0</v>
      </c>
      <c r="G1386" s="27"/>
    </row>
    <row r="1387" hidden="1">
      <c r="A1387" s="21"/>
      <c r="B1387" s="21" t="s">
        <v>2293</v>
      </c>
      <c r="D1387" s="25">
        <v>10.0</v>
      </c>
      <c r="E1387" s="27"/>
      <c r="F1387" s="25">
        <v>0.0</v>
      </c>
      <c r="G1387" s="27"/>
    </row>
    <row r="1388" hidden="1">
      <c r="A1388" s="21"/>
      <c r="B1388" s="21" t="s">
        <v>2294</v>
      </c>
      <c r="D1388" s="25">
        <v>10.0</v>
      </c>
      <c r="E1388" s="27"/>
      <c r="F1388" s="25">
        <v>0.0</v>
      </c>
      <c r="G1388" s="27"/>
    </row>
    <row r="1389" hidden="1">
      <c r="A1389" s="21"/>
      <c r="B1389" s="21" t="s">
        <v>2295</v>
      </c>
      <c r="D1389" s="25">
        <v>10.0</v>
      </c>
      <c r="E1389" s="27"/>
      <c r="F1389" s="25">
        <v>0.0</v>
      </c>
      <c r="G1389" s="27"/>
    </row>
    <row r="1390" hidden="1">
      <c r="A1390" s="21"/>
      <c r="B1390" s="21" t="s">
        <v>2296</v>
      </c>
      <c r="D1390" s="25">
        <v>10.0</v>
      </c>
      <c r="E1390" s="27"/>
      <c r="F1390" s="25">
        <v>0.0</v>
      </c>
      <c r="G1390" s="27"/>
    </row>
    <row r="1391" hidden="1">
      <c r="A1391" s="21"/>
      <c r="B1391" s="21" t="s">
        <v>2297</v>
      </c>
      <c r="D1391" s="25">
        <v>10.0</v>
      </c>
      <c r="E1391" s="27"/>
      <c r="F1391" s="25">
        <v>0.0</v>
      </c>
      <c r="G1391" s="27"/>
    </row>
    <row r="1392" hidden="1">
      <c r="A1392" s="21"/>
      <c r="B1392" s="21" t="s">
        <v>2298</v>
      </c>
      <c r="D1392" s="25">
        <v>10.0</v>
      </c>
      <c r="E1392" s="27"/>
      <c r="F1392" s="25">
        <v>0.0</v>
      </c>
      <c r="G1392" s="27"/>
    </row>
    <row r="1393" hidden="1">
      <c r="A1393" s="21"/>
      <c r="B1393" s="21" t="s">
        <v>2299</v>
      </c>
      <c r="D1393" s="25">
        <v>10.0</v>
      </c>
      <c r="E1393" s="27"/>
      <c r="F1393" s="25">
        <v>0.0</v>
      </c>
      <c r="G1393" s="27"/>
    </row>
    <row r="1394" hidden="1">
      <c r="A1394" s="21"/>
      <c r="B1394" s="21" t="s">
        <v>2300</v>
      </c>
      <c r="D1394" s="25">
        <v>10.0</v>
      </c>
      <c r="E1394" s="27"/>
      <c r="F1394" s="25">
        <v>0.0</v>
      </c>
      <c r="G1394" s="27"/>
    </row>
    <row r="1395" hidden="1">
      <c r="A1395" s="21"/>
      <c r="B1395" s="21" t="s">
        <v>2301</v>
      </c>
      <c r="D1395" s="25">
        <v>10.0</v>
      </c>
      <c r="E1395" s="27"/>
      <c r="F1395" s="25">
        <v>0.0</v>
      </c>
      <c r="G1395" s="27"/>
    </row>
    <row r="1396" hidden="1">
      <c r="A1396" s="21"/>
      <c r="B1396" s="21" t="s">
        <v>2302</v>
      </c>
      <c r="D1396" s="25">
        <v>10.0</v>
      </c>
      <c r="E1396" s="27"/>
      <c r="F1396" s="25">
        <v>0.0</v>
      </c>
      <c r="G1396" s="27"/>
    </row>
    <row r="1397" hidden="1">
      <c r="A1397" s="21"/>
      <c r="B1397" s="21" t="s">
        <v>2303</v>
      </c>
      <c r="D1397" s="25">
        <v>10.0</v>
      </c>
      <c r="E1397" s="27"/>
      <c r="F1397" s="25">
        <v>0.0</v>
      </c>
      <c r="G1397" s="27"/>
    </row>
    <row r="1398" hidden="1">
      <c r="A1398" s="21"/>
      <c r="B1398" s="21" t="s">
        <v>2304</v>
      </c>
      <c r="D1398" s="25">
        <v>10.0</v>
      </c>
      <c r="E1398" s="27"/>
      <c r="F1398" s="25">
        <v>0.0</v>
      </c>
      <c r="G1398" s="27"/>
    </row>
    <row r="1399" hidden="1">
      <c r="A1399" s="21"/>
      <c r="B1399" s="21" t="s">
        <v>2305</v>
      </c>
      <c r="D1399" s="25">
        <v>10.0</v>
      </c>
      <c r="E1399" s="27"/>
      <c r="F1399" s="25">
        <v>0.0</v>
      </c>
      <c r="G1399" s="27"/>
    </row>
    <row r="1400" hidden="1">
      <c r="A1400" s="21"/>
      <c r="B1400" s="21" t="s">
        <v>2306</v>
      </c>
      <c r="D1400" s="25">
        <v>10.0</v>
      </c>
      <c r="E1400" s="27"/>
      <c r="F1400" s="25">
        <v>0.0</v>
      </c>
      <c r="G1400" s="27"/>
    </row>
    <row r="1401" hidden="1">
      <c r="A1401" s="21"/>
      <c r="B1401" s="21" t="s">
        <v>2307</v>
      </c>
      <c r="D1401" s="25">
        <v>10.0</v>
      </c>
      <c r="E1401" s="27"/>
      <c r="F1401" s="25">
        <v>0.0</v>
      </c>
      <c r="G1401" s="27"/>
    </row>
    <row r="1402" hidden="1">
      <c r="A1402" s="21"/>
      <c r="B1402" s="21" t="s">
        <v>2308</v>
      </c>
      <c r="D1402" s="25">
        <v>10.0</v>
      </c>
      <c r="E1402" s="27"/>
      <c r="F1402" s="25">
        <v>0.0</v>
      </c>
      <c r="G1402" s="27"/>
    </row>
    <row r="1403" hidden="1">
      <c r="A1403" s="21"/>
      <c r="B1403" s="21" t="s">
        <v>2309</v>
      </c>
      <c r="D1403" s="25">
        <v>10.0</v>
      </c>
      <c r="E1403" s="27"/>
      <c r="F1403" s="25">
        <v>0.0</v>
      </c>
      <c r="G1403" s="27"/>
    </row>
    <row r="1404" hidden="1">
      <c r="A1404" s="21"/>
      <c r="B1404" s="21" t="s">
        <v>2310</v>
      </c>
      <c r="D1404" s="25">
        <v>10.0</v>
      </c>
      <c r="E1404" s="27"/>
      <c r="F1404" s="25">
        <v>0.0</v>
      </c>
      <c r="G1404" s="27"/>
    </row>
    <row r="1405" hidden="1">
      <c r="A1405" s="21"/>
      <c r="B1405" s="21" t="s">
        <v>2311</v>
      </c>
      <c r="D1405" s="25">
        <v>10.0</v>
      </c>
      <c r="E1405" s="27"/>
      <c r="F1405" s="25">
        <v>0.0</v>
      </c>
      <c r="G1405" s="27"/>
    </row>
    <row r="1406" hidden="1">
      <c r="A1406" s="21"/>
      <c r="B1406" s="21" t="s">
        <v>2312</v>
      </c>
      <c r="D1406" s="25">
        <v>10.0</v>
      </c>
      <c r="E1406" s="27"/>
      <c r="F1406" s="25">
        <v>0.0</v>
      </c>
      <c r="G1406" s="27"/>
    </row>
    <row r="1407" hidden="1">
      <c r="A1407" s="21"/>
      <c r="B1407" s="21" t="s">
        <v>2313</v>
      </c>
      <c r="D1407" s="25">
        <v>10.0</v>
      </c>
      <c r="E1407" s="27"/>
      <c r="F1407" s="25">
        <v>0.0</v>
      </c>
      <c r="G1407" s="27"/>
    </row>
    <row r="1408" hidden="1">
      <c r="A1408" s="21"/>
      <c r="B1408" s="21" t="s">
        <v>2314</v>
      </c>
      <c r="D1408" s="25">
        <v>10.0</v>
      </c>
      <c r="E1408" s="27"/>
      <c r="F1408" s="25">
        <v>0.0</v>
      </c>
      <c r="G1408" s="27"/>
    </row>
    <row r="1409" hidden="1">
      <c r="A1409" s="21"/>
      <c r="B1409" s="21" t="s">
        <v>2315</v>
      </c>
      <c r="D1409" s="25">
        <v>10.0</v>
      </c>
      <c r="E1409" s="27"/>
      <c r="F1409" s="25">
        <v>0.0</v>
      </c>
      <c r="G1409" s="27"/>
    </row>
    <row r="1410" hidden="1">
      <c r="A1410" s="21"/>
      <c r="B1410" s="21" t="s">
        <v>2316</v>
      </c>
      <c r="D1410" s="25">
        <v>10.0</v>
      </c>
      <c r="E1410" s="27"/>
      <c r="F1410" s="25">
        <v>0.0</v>
      </c>
      <c r="G1410" s="27"/>
    </row>
    <row r="1411" hidden="1">
      <c r="A1411" s="21"/>
      <c r="B1411" s="21" t="s">
        <v>2317</v>
      </c>
      <c r="D1411" s="25">
        <v>10.0</v>
      </c>
      <c r="E1411" s="27"/>
      <c r="F1411" s="25">
        <v>0.0</v>
      </c>
      <c r="G1411" s="27"/>
    </row>
    <row r="1412" hidden="1">
      <c r="A1412" s="21"/>
      <c r="B1412" s="21" t="s">
        <v>2318</v>
      </c>
      <c r="D1412" s="25">
        <v>10.0</v>
      </c>
      <c r="E1412" s="27"/>
      <c r="F1412" s="25">
        <v>0.0</v>
      </c>
      <c r="G1412" s="27"/>
    </row>
    <row r="1413" hidden="1">
      <c r="A1413" s="21"/>
      <c r="B1413" s="21" t="s">
        <v>2319</v>
      </c>
      <c r="D1413" s="25">
        <v>10.0</v>
      </c>
      <c r="E1413" s="27"/>
      <c r="F1413" s="25">
        <v>0.0</v>
      </c>
      <c r="G1413" s="27"/>
    </row>
    <row r="1414" hidden="1">
      <c r="A1414" s="21"/>
      <c r="B1414" s="21" t="s">
        <v>2320</v>
      </c>
      <c r="D1414" s="25">
        <v>10.0</v>
      </c>
      <c r="E1414" s="27"/>
      <c r="F1414" s="25">
        <v>0.0</v>
      </c>
      <c r="G1414" s="27"/>
    </row>
    <row r="1415" hidden="1">
      <c r="A1415" s="21"/>
      <c r="B1415" s="21" t="s">
        <v>2321</v>
      </c>
      <c r="D1415" s="25">
        <v>10.0</v>
      </c>
      <c r="E1415" s="27"/>
      <c r="F1415" s="25">
        <v>0.0</v>
      </c>
      <c r="G1415" s="27"/>
    </row>
    <row r="1416" hidden="1">
      <c r="A1416" s="21"/>
      <c r="B1416" s="21" t="s">
        <v>2322</v>
      </c>
      <c r="D1416" s="25">
        <v>10.0</v>
      </c>
      <c r="E1416" s="27"/>
      <c r="F1416" s="25">
        <v>0.0</v>
      </c>
      <c r="G1416" s="27"/>
    </row>
    <row r="1417" hidden="1">
      <c r="A1417" s="21"/>
      <c r="B1417" s="21" t="s">
        <v>2323</v>
      </c>
      <c r="D1417" s="25">
        <v>10.0</v>
      </c>
      <c r="E1417" s="27"/>
      <c r="F1417" s="25">
        <v>0.0</v>
      </c>
      <c r="G1417" s="27"/>
    </row>
    <row r="1418" hidden="1">
      <c r="A1418" s="21"/>
      <c r="B1418" s="21" t="s">
        <v>2324</v>
      </c>
      <c r="D1418" s="25">
        <v>10.0</v>
      </c>
      <c r="E1418" s="27"/>
      <c r="F1418" s="25">
        <v>0.0</v>
      </c>
      <c r="G1418" s="27"/>
    </row>
    <row r="1419" hidden="1">
      <c r="A1419" s="21"/>
      <c r="B1419" s="21" t="s">
        <v>2325</v>
      </c>
      <c r="D1419" s="25">
        <v>10.0</v>
      </c>
      <c r="E1419" s="27"/>
      <c r="F1419" s="25">
        <v>0.0</v>
      </c>
      <c r="G1419" s="27"/>
    </row>
    <row r="1420" hidden="1">
      <c r="A1420" s="21"/>
      <c r="B1420" s="21" t="s">
        <v>2326</v>
      </c>
      <c r="D1420" s="25">
        <v>10.0</v>
      </c>
      <c r="E1420" s="27"/>
      <c r="F1420" s="25">
        <v>0.0</v>
      </c>
      <c r="G1420" s="27"/>
    </row>
    <row r="1421" hidden="1">
      <c r="A1421" s="21"/>
      <c r="B1421" s="21" t="s">
        <v>2327</v>
      </c>
      <c r="D1421" s="25">
        <v>10.0</v>
      </c>
      <c r="E1421" s="27"/>
      <c r="F1421" s="25">
        <v>0.0</v>
      </c>
      <c r="G1421" s="27"/>
    </row>
    <row r="1422" hidden="1">
      <c r="A1422" s="21"/>
      <c r="B1422" s="21" t="s">
        <v>2328</v>
      </c>
      <c r="D1422" s="25">
        <v>10.0</v>
      </c>
      <c r="E1422" s="27"/>
      <c r="F1422" s="25">
        <v>0.0</v>
      </c>
      <c r="G1422" s="27"/>
    </row>
    <row r="1423" hidden="1">
      <c r="A1423" s="21"/>
      <c r="B1423" s="21" t="s">
        <v>2329</v>
      </c>
      <c r="D1423" s="25">
        <v>10.0</v>
      </c>
      <c r="E1423" s="27"/>
      <c r="F1423" s="25">
        <v>0.0</v>
      </c>
      <c r="G1423" s="27"/>
    </row>
    <row r="1424" hidden="1">
      <c r="A1424" s="21"/>
      <c r="B1424" s="21" t="s">
        <v>2330</v>
      </c>
      <c r="D1424" s="25">
        <v>10.0</v>
      </c>
      <c r="E1424" s="27"/>
      <c r="F1424" s="25">
        <v>0.0</v>
      </c>
      <c r="G1424" s="27"/>
    </row>
    <row r="1425" hidden="1">
      <c r="A1425" s="21"/>
      <c r="B1425" s="21" t="s">
        <v>2331</v>
      </c>
      <c r="D1425" s="25">
        <v>10.0</v>
      </c>
      <c r="E1425" s="27"/>
      <c r="F1425" s="25">
        <v>0.0</v>
      </c>
      <c r="G1425" s="27"/>
    </row>
    <row r="1426" hidden="1">
      <c r="A1426" s="21"/>
      <c r="B1426" s="21" t="s">
        <v>2332</v>
      </c>
      <c r="D1426" s="25">
        <v>10.0</v>
      </c>
      <c r="E1426" s="27"/>
      <c r="F1426" s="25">
        <v>0.0</v>
      </c>
      <c r="G1426" s="27"/>
    </row>
    <row r="1427" hidden="1">
      <c r="A1427" s="21"/>
      <c r="B1427" s="21" t="s">
        <v>2333</v>
      </c>
      <c r="D1427" s="25">
        <v>10.0</v>
      </c>
      <c r="E1427" s="27"/>
      <c r="F1427" s="25">
        <v>0.0</v>
      </c>
      <c r="G1427" s="27"/>
    </row>
    <row r="1428" hidden="1">
      <c r="A1428" s="21"/>
      <c r="B1428" s="21" t="s">
        <v>2334</v>
      </c>
      <c r="D1428" s="25">
        <v>10.0</v>
      </c>
      <c r="E1428" s="27"/>
      <c r="F1428" s="25">
        <v>0.0</v>
      </c>
      <c r="G1428" s="27"/>
    </row>
    <row r="1429" hidden="1">
      <c r="A1429" s="21"/>
      <c r="B1429" s="21" t="s">
        <v>2335</v>
      </c>
      <c r="D1429" s="25">
        <v>10.0</v>
      </c>
      <c r="E1429" s="27"/>
      <c r="F1429" s="25">
        <v>0.0</v>
      </c>
      <c r="G1429" s="27"/>
    </row>
    <row r="1430" hidden="1">
      <c r="A1430" s="21"/>
      <c r="B1430" s="21" t="s">
        <v>2336</v>
      </c>
      <c r="D1430" s="25">
        <v>10.0</v>
      </c>
      <c r="E1430" s="27"/>
      <c r="F1430" s="25">
        <v>5.1</v>
      </c>
      <c r="G1430" s="27"/>
    </row>
    <row r="1431" hidden="1">
      <c r="A1431" s="21"/>
      <c r="B1431" s="21" t="s">
        <v>2337</v>
      </c>
      <c r="D1431" s="25">
        <v>10.0</v>
      </c>
      <c r="E1431" s="27"/>
      <c r="F1431" s="25">
        <v>0.0</v>
      </c>
      <c r="G1431" s="27"/>
    </row>
    <row r="1432" hidden="1">
      <c r="A1432" s="21"/>
      <c r="B1432" s="21" t="s">
        <v>2338</v>
      </c>
      <c r="D1432" s="25">
        <v>10.0</v>
      </c>
      <c r="E1432" s="27"/>
      <c r="F1432" s="25">
        <v>0.0</v>
      </c>
      <c r="G1432" s="27"/>
    </row>
    <row r="1433" hidden="1">
      <c r="A1433" s="21"/>
      <c r="B1433" s="21" t="s">
        <v>2339</v>
      </c>
      <c r="D1433" s="25">
        <v>10.0</v>
      </c>
      <c r="E1433" s="27"/>
      <c r="F1433" s="25">
        <v>0.0</v>
      </c>
      <c r="G1433" s="27"/>
    </row>
    <row r="1434" hidden="1">
      <c r="A1434" s="21"/>
      <c r="B1434" s="21" t="s">
        <v>2340</v>
      </c>
      <c r="D1434" s="25">
        <v>10.0</v>
      </c>
      <c r="E1434" s="27"/>
      <c r="F1434" s="25">
        <v>0.0</v>
      </c>
      <c r="G1434" s="27"/>
    </row>
    <row r="1435" hidden="1">
      <c r="A1435" s="21"/>
      <c r="B1435" s="21" t="s">
        <v>2341</v>
      </c>
      <c r="D1435" s="25">
        <v>10.0</v>
      </c>
      <c r="E1435" s="27"/>
      <c r="F1435" s="25">
        <v>0.0</v>
      </c>
      <c r="G1435" s="27"/>
    </row>
    <row r="1436" hidden="1">
      <c r="A1436" s="21"/>
      <c r="B1436" s="21" t="s">
        <v>2342</v>
      </c>
      <c r="D1436" s="25">
        <v>10.0</v>
      </c>
      <c r="E1436" s="27"/>
      <c r="F1436" s="25">
        <v>0.0</v>
      </c>
      <c r="G1436" s="27"/>
    </row>
    <row r="1437" hidden="1">
      <c r="A1437" s="21"/>
      <c r="B1437" s="21" t="s">
        <v>2343</v>
      </c>
      <c r="D1437" s="25">
        <v>10.0</v>
      </c>
      <c r="E1437" s="27"/>
      <c r="F1437" s="25">
        <v>0.0</v>
      </c>
      <c r="G1437" s="27"/>
    </row>
    <row r="1438" hidden="1">
      <c r="A1438" s="21"/>
      <c r="B1438" s="21" t="s">
        <v>2344</v>
      </c>
      <c r="D1438" s="25">
        <v>10.0</v>
      </c>
      <c r="E1438" s="27"/>
      <c r="F1438" s="25">
        <v>0.0</v>
      </c>
      <c r="G1438" s="27"/>
    </row>
    <row r="1439" hidden="1">
      <c r="A1439" s="21"/>
      <c r="B1439" s="21" t="s">
        <v>2345</v>
      </c>
      <c r="D1439" s="25">
        <v>10.0</v>
      </c>
      <c r="E1439" s="27"/>
      <c r="F1439" s="25">
        <v>0.0</v>
      </c>
      <c r="G1439" s="27"/>
    </row>
    <row r="1440" hidden="1">
      <c r="A1440" s="21"/>
      <c r="B1440" s="21" t="s">
        <v>2346</v>
      </c>
      <c r="D1440" s="25">
        <v>10.0</v>
      </c>
      <c r="E1440" s="27"/>
      <c r="F1440" s="25">
        <v>0.54</v>
      </c>
      <c r="G1440" s="27"/>
    </row>
    <row r="1441" hidden="1">
      <c r="A1441" s="21"/>
      <c r="B1441" s="21" t="s">
        <v>2347</v>
      </c>
      <c r="D1441" s="25">
        <v>10.0</v>
      </c>
      <c r="E1441" s="27"/>
      <c r="F1441" s="25">
        <v>0.0</v>
      </c>
      <c r="G1441" s="27"/>
    </row>
    <row r="1442" hidden="1">
      <c r="A1442" s="21"/>
      <c r="B1442" s="21" t="s">
        <v>2348</v>
      </c>
      <c r="D1442" s="25">
        <v>10.0</v>
      </c>
      <c r="E1442" s="27"/>
      <c r="F1442" s="25">
        <v>0.0</v>
      </c>
      <c r="G1442" s="27"/>
    </row>
    <row r="1443" hidden="1">
      <c r="A1443" s="21"/>
      <c r="B1443" s="21" t="s">
        <v>2349</v>
      </c>
      <c r="D1443" s="25">
        <v>10.0</v>
      </c>
      <c r="E1443" s="27"/>
      <c r="F1443" s="25">
        <v>0.0</v>
      </c>
      <c r="G1443" s="27"/>
    </row>
    <row r="1444" hidden="1">
      <c r="A1444" s="21"/>
      <c r="B1444" s="21" t="s">
        <v>2350</v>
      </c>
      <c r="D1444" s="25">
        <v>10.0</v>
      </c>
      <c r="E1444" s="27"/>
      <c r="F1444" s="25">
        <v>5.38</v>
      </c>
      <c r="G1444" s="27"/>
    </row>
    <row r="1445" hidden="1">
      <c r="A1445" s="21"/>
      <c r="B1445" s="21" t="s">
        <v>2351</v>
      </c>
      <c r="D1445" s="25">
        <v>10.0</v>
      </c>
      <c r="E1445" s="27"/>
      <c r="F1445" s="25">
        <v>0.0</v>
      </c>
      <c r="G1445" s="27"/>
    </row>
    <row r="1446" hidden="1">
      <c r="A1446" s="21"/>
      <c r="B1446" s="21" t="s">
        <v>2352</v>
      </c>
      <c r="D1446" s="25">
        <v>10.0</v>
      </c>
      <c r="E1446" s="27"/>
      <c r="F1446" s="25">
        <v>0.0</v>
      </c>
      <c r="G1446" s="27"/>
    </row>
    <row r="1447" hidden="1">
      <c r="A1447" s="21"/>
      <c r="B1447" s="21" t="s">
        <v>2353</v>
      </c>
      <c r="D1447" s="25">
        <v>10.0</v>
      </c>
      <c r="E1447" s="27"/>
      <c r="F1447" s="25">
        <v>0.0</v>
      </c>
      <c r="G1447" s="27"/>
    </row>
    <row r="1448" hidden="1">
      <c r="A1448" s="21"/>
      <c r="B1448" s="21" t="s">
        <v>2354</v>
      </c>
      <c r="D1448" s="25">
        <v>10.0</v>
      </c>
      <c r="E1448" s="27"/>
      <c r="F1448" s="25">
        <v>0.0</v>
      </c>
      <c r="G1448" s="27"/>
    </row>
    <row r="1449" hidden="1">
      <c r="A1449" s="21"/>
      <c r="B1449" s="21" t="s">
        <v>2355</v>
      </c>
      <c r="D1449" s="25">
        <v>10.0</v>
      </c>
      <c r="E1449" s="27"/>
      <c r="F1449" s="25">
        <v>8.7</v>
      </c>
      <c r="G1449" s="27"/>
    </row>
    <row r="1450" hidden="1">
      <c r="A1450" s="21"/>
      <c r="B1450" s="21" t="s">
        <v>2356</v>
      </c>
      <c r="D1450" s="25">
        <v>10.0</v>
      </c>
      <c r="E1450" s="27"/>
      <c r="F1450" s="25">
        <v>0.0</v>
      </c>
      <c r="G1450" s="27"/>
    </row>
    <row r="1451" hidden="1">
      <c r="A1451" s="21"/>
      <c r="B1451" s="21" t="s">
        <v>2357</v>
      </c>
      <c r="D1451" s="25">
        <v>10.0</v>
      </c>
      <c r="E1451" s="27"/>
      <c r="F1451" s="25">
        <v>0.0</v>
      </c>
      <c r="G1451" s="27"/>
    </row>
    <row r="1452" hidden="1">
      <c r="A1452" s="21"/>
      <c r="B1452" s="21" t="s">
        <v>2358</v>
      </c>
      <c r="D1452" s="25">
        <v>10.0</v>
      </c>
      <c r="E1452" s="27"/>
      <c r="F1452" s="25">
        <v>0.0</v>
      </c>
      <c r="G1452" s="27"/>
    </row>
    <row r="1453" hidden="1">
      <c r="A1453" s="21"/>
      <c r="B1453" s="21" t="s">
        <v>2359</v>
      </c>
      <c r="D1453" s="25">
        <v>10.0</v>
      </c>
      <c r="E1453" s="27"/>
      <c r="F1453" s="25">
        <v>0.0</v>
      </c>
      <c r="G1453" s="27"/>
    </row>
    <row r="1454" hidden="1">
      <c r="A1454" s="21"/>
      <c r="B1454" s="21" t="s">
        <v>2360</v>
      </c>
      <c r="D1454" s="25">
        <v>10.0</v>
      </c>
      <c r="E1454" s="27"/>
      <c r="F1454" s="25">
        <v>19.22</v>
      </c>
      <c r="G1454" s="27"/>
    </row>
    <row r="1455" hidden="1">
      <c r="A1455" s="21"/>
      <c r="B1455" s="21" t="s">
        <v>2361</v>
      </c>
      <c r="D1455" s="25">
        <v>10.0</v>
      </c>
      <c r="E1455" s="27"/>
      <c r="F1455" s="25">
        <v>0.0</v>
      </c>
      <c r="G1455" s="27"/>
    </row>
    <row r="1456" hidden="1">
      <c r="A1456" s="21"/>
      <c r="B1456" s="21" t="s">
        <v>2362</v>
      </c>
      <c r="D1456" s="25">
        <v>10.0</v>
      </c>
      <c r="E1456" s="27"/>
      <c r="F1456" s="25">
        <v>0.0</v>
      </c>
      <c r="G1456" s="27"/>
    </row>
    <row r="1457" hidden="1">
      <c r="A1457" s="21"/>
      <c r="B1457" s="21" t="s">
        <v>2363</v>
      </c>
      <c r="D1457" s="25">
        <v>10.0</v>
      </c>
      <c r="E1457" s="27"/>
      <c r="F1457" s="25">
        <v>0.0</v>
      </c>
      <c r="G1457" s="27"/>
    </row>
    <row r="1458" hidden="1">
      <c r="A1458" s="21"/>
      <c r="B1458" s="21" t="s">
        <v>2364</v>
      </c>
      <c r="D1458" s="25">
        <v>10.0</v>
      </c>
      <c r="E1458" s="27"/>
      <c r="F1458" s="25">
        <v>0.0</v>
      </c>
      <c r="G1458" s="27"/>
    </row>
    <row r="1459" hidden="1">
      <c r="A1459" s="21"/>
      <c r="B1459" s="21" t="s">
        <v>2365</v>
      </c>
      <c r="D1459" s="25">
        <v>10.0</v>
      </c>
      <c r="E1459" s="27"/>
      <c r="F1459" s="25">
        <v>0.0</v>
      </c>
      <c r="G1459" s="27"/>
    </row>
    <row r="1460" hidden="1">
      <c r="A1460" s="21"/>
      <c r="B1460" s="21" t="s">
        <v>2366</v>
      </c>
      <c r="D1460" s="25">
        <v>10.0</v>
      </c>
      <c r="E1460" s="27"/>
      <c r="F1460" s="25">
        <v>8.96</v>
      </c>
      <c r="G1460" s="27"/>
    </row>
    <row r="1461" hidden="1">
      <c r="A1461" s="21"/>
      <c r="B1461" s="21" t="s">
        <v>2367</v>
      </c>
      <c r="D1461" s="25">
        <v>10.0</v>
      </c>
      <c r="E1461" s="27"/>
      <c r="F1461" s="25">
        <v>0.0</v>
      </c>
      <c r="G1461" s="27"/>
    </row>
    <row r="1462" hidden="1">
      <c r="A1462" s="21"/>
      <c r="B1462" s="21" t="s">
        <v>2368</v>
      </c>
      <c r="D1462" s="25">
        <v>10.0</v>
      </c>
      <c r="E1462" s="27"/>
      <c r="F1462" s="25">
        <v>0.0</v>
      </c>
      <c r="G1462" s="27"/>
    </row>
    <row r="1463" hidden="1">
      <c r="A1463" s="21"/>
      <c r="B1463" s="21" t="s">
        <v>2369</v>
      </c>
      <c r="D1463" s="25">
        <v>10.0</v>
      </c>
      <c r="E1463" s="27"/>
      <c r="F1463" s="25">
        <v>0.0</v>
      </c>
      <c r="G1463" s="27"/>
    </row>
    <row r="1464" hidden="1">
      <c r="A1464" s="21"/>
      <c r="B1464" s="21" t="s">
        <v>2370</v>
      </c>
      <c r="D1464" s="25">
        <v>10.0</v>
      </c>
      <c r="E1464" s="27"/>
      <c r="F1464" s="25">
        <v>0.0</v>
      </c>
      <c r="G1464" s="27"/>
    </row>
    <row r="1465" hidden="1">
      <c r="A1465" s="21"/>
      <c r="B1465" s="21" t="s">
        <v>2371</v>
      </c>
      <c r="D1465" s="25">
        <v>10.0</v>
      </c>
      <c r="E1465" s="27"/>
      <c r="F1465" s="25">
        <v>0.0</v>
      </c>
      <c r="G1465" s="27"/>
    </row>
    <row r="1466" hidden="1">
      <c r="A1466" s="21"/>
      <c r="B1466" s="21" t="s">
        <v>2372</v>
      </c>
      <c r="D1466" s="25">
        <v>10.0</v>
      </c>
      <c r="E1466" s="27"/>
      <c r="F1466" s="25">
        <v>0.0</v>
      </c>
      <c r="G1466" s="27"/>
    </row>
    <row r="1467" hidden="1">
      <c r="A1467" s="21"/>
      <c r="B1467" s="21" t="s">
        <v>2373</v>
      </c>
      <c r="D1467" s="25">
        <v>10.0</v>
      </c>
      <c r="E1467" s="27"/>
      <c r="F1467" s="25">
        <v>0.0</v>
      </c>
      <c r="G1467" s="27"/>
    </row>
    <row r="1468" hidden="1">
      <c r="A1468" s="21"/>
      <c r="B1468" s="21" t="s">
        <v>2374</v>
      </c>
      <c r="D1468" s="25">
        <v>10.0</v>
      </c>
      <c r="E1468" s="27"/>
      <c r="F1468" s="25">
        <v>3.82</v>
      </c>
      <c r="G1468" s="27"/>
    </row>
    <row r="1469" hidden="1">
      <c r="A1469" s="21"/>
      <c r="B1469" s="21" t="s">
        <v>2375</v>
      </c>
      <c r="D1469" s="25">
        <v>10.0</v>
      </c>
      <c r="E1469" s="27"/>
      <c r="F1469" s="25">
        <v>0.0</v>
      </c>
      <c r="G1469" s="27"/>
    </row>
    <row r="1470" hidden="1">
      <c r="A1470" s="21"/>
      <c r="B1470" s="21" t="s">
        <v>2376</v>
      </c>
      <c r="D1470" s="25">
        <v>10.0</v>
      </c>
      <c r="E1470" s="27"/>
      <c r="F1470" s="25">
        <v>0.0</v>
      </c>
      <c r="G1470" s="27"/>
    </row>
    <row r="1471" hidden="1">
      <c r="A1471" s="21"/>
      <c r="B1471" s="21" t="s">
        <v>2377</v>
      </c>
      <c r="D1471" s="25">
        <v>10.0</v>
      </c>
      <c r="E1471" s="27"/>
      <c r="F1471" s="25">
        <v>0.0</v>
      </c>
      <c r="G1471" s="27"/>
    </row>
    <row r="1472" hidden="1">
      <c r="A1472" s="21"/>
      <c r="B1472" s="21" t="s">
        <v>2378</v>
      </c>
      <c r="D1472" s="25">
        <v>10.0</v>
      </c>
      <c r="E1472" s="27"/>
      <c r="F1472" s="25">
        <v>0.0</v>
      </c>
      <c r="G1472" s="27"/>
    </row>
    <row r="1473" hidden="1">
      <c r="A1473" s="21"/>
      <c r="B1473" s="21" t="s">
        <v>2379</v>
      </c>
      <c r="D1473" s="25">
        <v>10.0</v>
      </c>
      <c r="E1473" s="27"/>
      <c r="F1473" s="25">
        <v>0.0</v>
      </c>
      <c r="G1473" s="27"/>
    </row>
    <row r="1474" hidden="1">
      <c r="A1474" s="21"/>
      <c r="B1474" s="21" t="s">
        <v>2380</v>
      </c>
      <c r="D1474" s="25">
        <v>10.0</v>
      </c>
      <c r="E1474" s="27"/>
      <c r="F1474" s="25">
        <v>0.0</v>
      </c>
      <c r="G1474" s="27"/>
    </row>
    <row r="1475" hidden="1">
      <c r="A1475" s="21"/>
      <c r="B1475" s="21" t="s">
        <v>2381</v>
      </c>
      <c r="D1475" s="25">
        <v>10.0</v>
      </c>
      <c r="E1475" s="27"/>
      <c r="F1475" s="25">
        <v>0.0</v>
      </c>
      <c r="G1475" s="27"/>
    </row>
    <row r="1476" hidden="1">
      <c r="A1476" s="21"/>
      <c r="B1476" s="21" t="s">
        <v>2382</v>
      </c>
      <c r="D1476" s="25">
        <v>10.0</v>
      </c>
      <c r="E1476" s="27"/>
      <c r="F1476" s="25">
        <v>0.0</v>
      </c>
      <c r="G1476" s="27"/>
    </row>
    <row r="1477" hidden="1">
      <c r="A1477" s="21"/>
      <c r="B1477" s="21" t="s">
        <v>2383</v>
      </c>
      <c r="D1477" s="25">
        <v>10.0</v>
      </c>
      <c r="E1477" s="27"/>
      <c r="F1477" s="25">
        <v>0.0</v>
      </c>
      <c r="G1477" s="27"/>
    </row>
    <row r="1478" hidden="1">
      <c r="A1478" s="21"/>
      <c r="B1478" s="21" t="s">
        <v>2384</v>
      </c>
      <c r="D1478" s="25">
        <v>10.0</v>
      </c>
      <c r="E1478" s="27"/>
      <c r="F1478" s="25">
        <v>0.0</v>
      </c>
      <c r="G1478" s="27"/>
    </row>
    <row r="1479" hidden="1">
      <c r="A1479" s="21"/>
      <c r="B1479" s="21" t="s">
        <v>2385</v>
      </c>
      <c r="D1479" s="25">
        <v>10.0</v>
      </c>
      <c r="E1479" s="27"/>
      <c r="F1479" s="25">
        <v>0.0</v>
      </c>
      <c r="G1479" s="27"/>
    </row>
    <row r="1480" hidden="1">
      <c r="A1480" s="21"/>
      <c r="B1480" s="21" t="s">
        <v>2386</v>
      </c>
      <c r="D1480" s="25">
        <v>10.0</v>
      </c>
      <c r="E1480" s="27"/>
      <c r="F1480" s="25">
        <v>0.0</v>
      </c>
      <c r="G1480" s="27"/>
    </row>
    <row r="1481" hidden="1">
      <c r="A1481" s="21"/>
      <c r="B1481" s="21" t="s">
        <v>2387</v>
      </c>
      <c r="D1481" s="25">
        <v>10.0</v>
      </c>
      <c r="E1481" s="27"/>
      <c r="F1481" s="25">
        <v>0.0</v>
      </c>
      <c r="G1481" s="27"/>
    </row>
    <row r="1482" hidden="1">
      <c r="A1482" s="21"/>
      <c r="B1482" s="21" t="s">
        <v>2388</v>
      </c>
      <c r="D1482" s="25">
        <v>10.0</v>
      </c>
      <c r="E1482" s="27"/>
      <c r="F1482" s="25">
        <v>0.0</v>
      </c>
      <c r="G1482" s="27"/>
    </row>
    <row r="1483" hidden="1">
      <c r="A1483" s="21"/>
      <c r="B1483" s="21" t="s">
        <v>2389</v>
      </c>
      <c r="D1483" s="25">
        <v>10.0</v>
      </c>
      <c r="E1483" s="27"/>
      <c r="F1483" s="25">
        <v>0.0</v>
      </c>
      <c r="G1483" s="27"/>
    </row>
    <row r="1484" hidden="1">
      <c r="A1484" s="21"/>
      <c r="B1484" s="21" t="s">
        <v>2390</v>
      </c>
      <c r="D1484" s="25">
        <v>10.0</v>
      </c>
      <c r="E1484" s="27"/>
      <c r="F1484" s="25">
        <v>0.0</v>
      </c>
      <c r="G1484" s="27"/>
    </row>
    <row r="1485" hidden="1">
      <c r="A1485" s="21"/>
      <c r="B1485" s="21" t="s">
        <v>2391</v>
      </c>
      <c r="D1485" s="25">
        <v>10.0</v>
      </c>
      <c r="E1485" s="27"/>
      <c r="F1485" s="25">
        <v>0.0</v>
      </c>
      <c r="G1485" s="27"/>
    </row>
    <row r="1486" hidden="1">
      <c r="A1486" s="21"/>
      <c r="B1486" s="21" t="s">
        <v>2392</v>
      </c>
      <c r="D1486" s="25">
        <v>10.0</v>
      </c>
      <c r="E1486" s="27"/>
      <c r="F1486" s="25">
        <v>0.0</v>
      </c>
      <c r="G1486" s="27"/>
    </row>
    <row r="1487" hidden="1">
      <c r="A1487" s="21"/>
      <c r="B1487" s="21" t="s">
        <v>2393</v>
      </c>
      <c r="D1487" s="25">
        <v>10.0</v>
      </c>
      <c r="E1487" s="27"/>
      <c r="F1487" s="25">
        <v>0.0</v>
      </c>
      <c r="G1487" s="27"/>
    </row>
    <row r="1488" hidden="1">
      <c r="A1488" s="21"/>
      <c r="B1488" s="21" t="s">
        <v>2394</v>
      </c>
      <c r="D1488" s="25">
        <v>10.0</v>
      </c>
      <c r="E1488" s="27"/>
      <c r="F1488" s="25">
        <v>0.0</v>
      </c>
      <c r="G1488" s="27"/>
    </row>
    <row r="1489" hidden="1">
      <c r="A1489" s="21"/>
      <c r="B1489" s="21" t="s">
        <v>2395</v>
      </c>
      <c r="D1489" s="25">
        <v>10.0</v>
      </c>
      <c r="E1489" s="27"/>
      <c r="F1489" s="25">
        <v>0.0</v>
      </c>
      <c r="G1489" s="27"/>
    </row>
    <row r="1490" hidden="1">
      <c r="A1490" s="21"/>
      <c r="B1490" s="21" t="s">
        <v>2396</v>
      </c>
      <c r="D1490" s="25">
        <v>10.0</v>
      </c>
      <c r="E1490" s="27"/>
      <c r="F1490" s="25">
        <v>0.0</v>
      </c>
      <c r="G1490" s="27"/>
    </row>
    <row r="1491" hidden="1">
      <c r="A1491" s="21"/>
      <c r="B1491" s="21" t="s">
        <v>2397</v>
      </c>
      <c r="D1491" s="25">
        <v>10.0</v>
      </c>
      <c r="E1491" s="27"/>
      <c r="F1491" s="25">
        <v>0.0</v>
      </c>
      <c r="G1491" s="27"/>
    </row>
    <row r="1492" hidden="1">
      <c r="A1492" s="21"/>
      <c r="B1492" s="21" t="s">
        <v>2398</v>
      </c>
      <c r="D1492" s="25">
        <v>10.0</v>
      </c>
      <c r="E1492" s="27"/>
      <c r="F1492" s="25">
        <v>0.0</v>
      </c>
      <c r="G1492" s="27"/>
    </row>
    <row r="1493" hidden="1">
      <c r="A1493" s="21"/>
      <c r="B1493" s="21" t="s">
        <v>2399</v>
      </c>
      <c r="D1493" s="25">
        <v>10.0</v>
      </c>
      <c r="E1493" s="27"/>
      <c r="F1493" s="25">
        <v>0.0</v>
      </c>
      <c r="G1493" s="27"/>
    </row>
    <row r="1494" hidden="1">
      <c r="A1494" s="21"/>
      <c r="B1494" s="21" t="s">
        <v>2400</v>
      </c>
      <c r="D1494" s="25">
        <v>10.0</v>
      </c>
      <c r="E1494" s="27"/>
      <c r="F1494" s="25">
        <v>0.0</v>
      </c>
      <c r="G1494" s="27"/>
    </row>
    <row r="1495" hidden="1">
      <c r="A1495" s="21"/>
      <c r="B1495" s="21" t="s">
        <v>2401</v>
      </c>
      <c r="D1495" s="25">
        <v>10.0</v>
      </c>
      <c r="E1495" s="27"/>
      <c r="F1495" s="25">
        <v>0.0</v>
      </c>
      <c r="G1495" s="27"/>
    </row>
    <row r="1496" hidden="1">
      <c r="A1496" s="21"/>
      <c r="B1496" s="21" t="s">
        <v>2402</v>
      </c>
      <c r="D1496" s="25">
        <v>10.0</v>
      </c>
      <c r="E1496" s="27"/>
      <c r="F1496" s="25">
        <v>0.0</v>
      </c>
      <c r="G1496" s="27"/>
    </row>
    <row r="1497" hidden="1">
      <c r="A1497" s="21"/>
      <c r="B1497" s="21" t="s">
        <v>2403</v>
      </c>
      <c r="D1497" s="25">
        <v>10.0</v>
      </c>
      <c r="E1497" s="27"/>
      <c r="F1497" s="25">
        <v>0.0</v>
      </c>
      <c r="G1497" s="27"/>
    </row>
    <row r="1498" hidden="1">
      <c r="A1498" s="21"/>
      <c r="B1498" s="21" t="s">
        <v>2404</v>
      </c>
      <c r="D1498" s="25">
        <v>10.0</v>
      </c>
      <c r="E1498" s="27"/>
      <c r="F1498" s="25">
        <v>0.0</v>
      </c>
      <c r="G1498" s="27"/>
    </row>
    <row r="1499" hidden="1">
      <c r="A1499" s="21"/>
      <c r="B1499" s="21" t="s">
        <v>2405</v>
      </c>
      <c r="D1499" s="25">
        <v>10.0</v>
      </c>
      <c r="E1499" s="27"/>
      <c r="F1499" s="25">
        <v>0.0</v>
      </c>
      <c r="G1499" s="27"/>
    </row>
    <row r="1500" hidden="1">
      <c r="A1500" s="21"/>
      <c r="B1500" s="21" t="s">
        <v>2406</v>
      </c>
      <c r="D1500" s="25">
        <v>10.0</v>
      </c>
      <c r="E1500" s="27"/>
      <c r="F1500" s="25">
        <v>0.0</v>
      </c>
      <c r="G1500" s="27"/>
    </row>
    <row r="1501" hidden="1">
      <c r="A1501" s="21"/>
      <c r="B1501" s="21" t="s">
        <v>2407</v>
      </c>
      <c r="D1501" s="25">
        <v>10.0</v>
      </c>
      <c r="E1501" s="27"/>
      <c r="F1501" s="25">
        <v>5.41</v>
      </c>
      <c r="G1501" s="27"/>
    </row>
    <row r="1502" hidden="1">
      <c r="A1502" s="21"/>
      <c r="B1502" s="21" t="s">
        <v>2408</v>
      </c>
      <c r="D1502" s="25">
        <v>10.0</v>
      </c>
      <c r="E1502" s="27"/>
      <c r="F1502" s="25">
        <v>0.0</v>
      </c>
      <c r="G1502" s="27"/>
    </row>
    <row r="1503" hidden="1">
      <c r="A1503" s="21"/>
      <c r="B1503" s="21" t="s">
        <v>2409</v>
      </c>
      <c r="D1503" s="25">
        <v>10.0</v>
      </c>
      <c r="E1503" s="27"/>
      <c r="F1503" s="25">
        <v>0.0</v>
      </c>
      <c r="G1503" s="27"/>
    </row>
    <row r="1504" hidden="1">
      <c r="A1504" s="21"/>
      <c r="B1504" s="21" t="s">
        <v>2410</v>
      </c>
      <c r="D1504" s="25">
        <v>10.0</v>
      </c>
      <c r="E1504" s="27"/>
      <c r="F1504" s="25">
        <v>0.0</v>
      </c>
      <c r="G1504" s="27"/>
    </row>
    <row r="1505" hidden="1">
      <c r="A1505" s="21"/>
      <c r="B1505" s="21" t="s">
        <v>2411</v>
      </c>
      <c r="D1505" s="25">
        <v>10.0</v>
      </c>
      <c r="E1505" s="27"/>
      <c r="F1505" s="25">
        <v>0.0</v>
      </c>
      <c r="G1505" s="27"/>
    </row>
    <row r="1506" hidden="1">
      <c r="A1506" s="21"/>
      <c r="B1506" s="21" t="s">
        <v>2412</v>
      </c>
      <c r="D1506" s="25">
        <v>10.0</v>
      </c>
      <c r="E1506" s="27"/>
      <c r="F1506" s="25">
        <v>0.0</v>
      </c>
      <c r="G1506" s="27"/>
    </row>
    <row r="1507" hidden="1">
      <c r="A1507" s="21"/>
      <c r="B1507" s="21" t="s">
        <v>2413</v>
      </c>
      <c r="D1507" s="25">
        <v>10.0</v>
      </c>
      <c r="E1507" s="27"/>
      <c r="F1507" s="25">
        <v>0.0</v>
      </c>
      <c r="G1507" s="27"/>
    </row>
    <row r="1508" hidden="1">
      <c r="A1508" s="21"/>
      <c r="B1508" s="21" t="s">
        <v>2414</v>
      </c>
      <c r="D1508" s="25">
        <v>10.0</v>
      </c>
      <c r="E1508" s="27"/>
      <c r="F1508" s="25">
        <v>0.0</v>
      </c>
      <c r="G1508" s="27"/>
    </row>
    <row r="1509" hidden="1">
      <c r="A1509" s="21"/>
      <c r="B1509" s="21" t="s">
        <v>2415</v>
      </c>
      <c r="D1509" s="25">
        <v>10.0</v>
      </c>
      <c r="E1509" s="27"/>
      <c r="F1509" s="25">
        <v>0.0</v>
      </c>
      <c r="G1509" s="27"/>
    </row>
    <row r="1510" hidden="1">
      <c r="A1510" s="21"/>
      <c r="B1510" s="21" t="s">
        <v>2416</v>
      </c>
      <c r="D1510" s="25">
        <v>10.0</v>
      </c>
      <c r="E1510" s="27"/>
      <c r="F1510" s="25">
        <v>0.0</v>
      </c>
      <c r="G1510" s="27"/>
    </row>
    <row r="1511" hidden="1">
      <c r="A1511" s="21"/>
      <c r="B1511" s="21" t="s">
        <v>2417</v>
      </c>
      <c r="D1511" s="25">
        <v>10.0</v>
      </c>
      <c r="E1511" s="27"/>
      <c r="F1511" s="25">
        <v>0.0</v>
      </c>
      <c r="G1511" s="27"/>
    </row>
    <row r="1512" hidden="1">
      <c r="A1512" s="21"/>
      <c r="B1512" s="21" t="s">
        <v>2418</v>
      </c>
      <c r="D1512" s="25">
        <v>10.0</v>
      </c>
      <c r="E1512" s="27"/>
      <c r="F1512" s="25">
        <v>0.0</v>
      </c>
      <c r="G1512" s="27"/>
    </row>
    <row r="1513" hidden="1">
      <c r="A1513" s="21"/>
      <c r="B1513" s="21" t="s">
        <v>2419</v>
      </c>
      <c r="D1513" s="25">
        <v>10.0</v>
      </c>
      <c r="E1513" s="27"/>
      <c r="F1513" s="25">
        <v>0.0</v>
      </c>
      <c r="G1513" s="27"/>
    </row>
    <row r="1514" hidden="1">
      <c r="A1514" s="21"/>
      <c r="B1514" s="21" t="s">
        <v>2420</v>
      </c>
      <c r="D1514" s="25">
        <v>10.0</v>
      </c>
      <c r="E1514" s="27"/>
      <c r="F1514" s="25">
        <v>0.0</v>
      </c>
      <c r="G1514" s="27"/>
    </row>
    <row r="1515" hidden="1">
      <c r="A1515" s="21"/>
      <c r="B1515" s="21" t="s">
        <v>2421</v>
      </c>
      <c r="D1515" s="25">
        <v>10.0</v>
      </c>
      <c r="E1515" s="27"/>
      <c r="F1515" s="25">
        <v>0.0</v>
      </c>
      <c r="G1515" s="27"/>
    </row>
    <row r="1516" hidden="1">
      <c r="A1516" s="21"/>
      <c r="B1516" s="21" t="s">
        <v>2422</v>
      </c>
      <c r="D1516" s="25">
        <v>10.0</v>
      </c>
      <c r="E1516" s="27"/>
      <c r="F1516" s="25">
        <v>0.0</v>
      </c>
      <c r="G1516" s="27"/>
    </row>
    <row r="1517" hidden="1">
      <c r="A1517" s="21"/>
      <c r="B1517" s="21" t="s">
        <v>2423</v>
      </c>
      <c r="D1517" s="25">
        <v>10.0</v>
      </c>
      <c r="E1517" s="27"/>
      <c r="F1517" s="25">
        <v>0.0</v>
      </c>
      <c r="G1517" s="27"/>
    </row>
    <row r="1518" hidden="1">
      <c r="A1518" s="21"/>
      <c r="B1518" s="21" t="s">
        <v>2424</v>
      </c>
      <c r="D1518" s="25">
        <v>10.0</v>
      </c>
      <c r="E1518" s="27"/>
      <c r="F1518" s="25">
        <v>0.0</v>
      </c>
      <c r="G1518" s="27"/>
    </row>
    <row r="1519" hidden="1">
      <c r="A1519" s="21"/>
      <c r="B1519" s="21" t="s">
        <v>2425</v>
      </c>
      <c r="D1519" s="25">
        <v>10.0</v>
      </c>
      <c r="E1519" s="27"/>
      <c r="F1519" s="25">
        <v>0.0</v>
      </c>
      <c r="G1519" s="27"/>
    </row>
    <row r="1520" hidden="1">
      <c r="A1520" s="21"/>
      <c r="B1520" s="21" t="s">
        <v>2426</v>
      </c>
      <c r="D1520" s="25">
        <v>10.0</v>
      </c>
      <c r="E1520" s="27"/>
      <c r="F1520" s="25">
        <v>5.59</v>
      </c>
      <c r="G1520" s="27"/>
    </row>
    <row r="1521" hidden="1">
      <c r="A1521" s="21"/>
      <c r="B1521" s="21" t="s">
        <v>2427</v>
      </c>
      <c r="D1521" s="25">
        <v>10.0</v>
      </c>
      <c r="E1521" s="27"/>
      <c r="F1521" s="25">
        <v>0.0</v>
      </c>
      <c r="G1521" s="27"/>
    </row>
    <row r="1522" hidden="1">
      <c r="A1522" s="21"/>
      <c r="B1522" s="21" t="s">
        <v>2428</v>
      </c>
      <c r="D1522" s="25">
        <v>10.0</v>
      </c>
      <c r="E1522" s="27"/>
      <c r="F1522" s="25">
        <v>0.0</v>
      </c>
      <c r="G1522" s="27"/>
    </row>
    <row r="1523" hidden="1">
      <c r="A1523" s="21"/>
      <c r="B1523" s="21" t="s">
        <v>2429</v>
      </c>
      <c r="D1523" s="25">
        <v>10.0</v>
      </c>
      <c r="E1523" s="27"/>
      <c r="F1523" s="25">
        <v>0.43</v>
      </c>
      <c r="G1523" s="27"/>
    </row>
    <row r="1524" hidden="1">
      <c r="A1524" s="21"/>
      <c r="B1524" s="21" t="s">
        <v>2430</v>
      </c>
      <c r="D1524" s="25">
        <v>10.0</v>
      </c>
      <c r="E1524" s="27"/>
      <c r="F1524" s="25">
        <v>0.0</v>
      </c>
      <c r="G1524" s="27"/>
    </row>
    <row r="1525" hidden="1">
      <c r="A1525" s="21"/>
      <c r="B1525" s="21" t="s">
        <v>2431</v>
      </c>
      <c r="D1525" s="25">
        <v>10.0</v>
      </c>
      <c r="E1525" s="27"/>
      <c r="F1525" s="25">
        <v>0.0</v>
      </c>
      <c r="G1525" s="27"/>
    </row>
    <row r="1526" hidden="1">
      <c r="A1526" s="21"/>
      <c r="B1526" s="21" t="s">
        <v>2432</v>
      </c>
      <c r="D1526" s="25">
        <v>10.0</v>
      </c>
      <c r="E1526" s="27"/>
      <c r="F1526" s="25">
        <v>0.0</v>
      </c>
      <c r="G1526" s="27"/>
    </row>
    <row r="1527" hidden="1">
      <c r="A1527" s="21"/>
      <c r="B1527" s="21" t="s">
        <v>2433</v>
      </c>
      <c r="D1527" s="25">
        <v>10.0</v>
      </c>
      <c r="E1527" s="27"/>
      <c r="F1527" s="25">
        <v>0.0</v>
      </c>
      <c r="G1527" s="27"/>
    </row>
    <row r="1528" hidden="1">
      <c r="A1528" s="21"/>
      <c r="B1528" s="21" t="s">
        <v>2434</v>
      </c>
      <c r="D1528" s="25">
        <v>10.0</v>
      </c>
      <c r="E1528" s="27"/>
      <c r="F1528" s="25">
        <v>0.0</v>
      </c>
      <c r="G1528" s="27"/>
    </row>
    <row r="1529" hidden="1">
      <c r="A1529" s="21"/>
      <c r="B1529" s="21" t="s">
        <v>2435</v>
      </c>
      <c r="D1529" s="25">
        <v>10.0</v>
      </c>
      <c r="E1529" s="27"/>
      <c r="F1529" s="25">
        <v>0.85</v>
      </c>
      <c r="G1529" s="27"/>
    </row>
    <row r="1530" hidden="1">
      <c r="A1530" s="21"/>
      <c r="B1530" s="21" t="s">
        <v>2436</v>
      </c>
      <c r="D1530" s="25">
        <v>10.0</v>
      </c>
      <c r="E1530" s="27"/>
      <c r="F1530" s="25">
        <v>0.0</v>
      </c>
      <c r="G1530" s="27"/>
    </row>
    <row r="1531" hidden="1">
      <c r="A1531" s="21"/>
      <c r="B1531" s="21" t="s">
        <v>2437</v>
      </c>
      <c r="D1531" s="25">
        <v>10.0</v>
      </c>
      <c r="E1531" s="27"/>
      <c r="F1531" s="25">
        <v>0.0</v>
      </c>
      <c r="G1531" s="27"/>
    </row>
    <row r="1532" hidden="1">
      <c r="A1532" s="21"/>
      <c r="B1532" s="21" t="s">
        <v>2438</v>
      </c>
      <c r="D1532" s="25">
        <v>10.0</v>
      </c>
      <c r="E1532" s="27"/>
      <c r="F1532" s="25">
        <v>0.0</v>
      </c>
      <c r="G1532" s="27"/>
    </row>
    <row r="1533" hidden="1">
      <c r="A1533" s="21"/>
      <c r="B1533" s="21" t="s">
        <v>2439</v>
      </c>
      <c r="D1533" s="25">
        <v>10.0</v>
      </c>
      <c r="E1533" s="27"/>
      <c r="F1533" s="25">
        <v>0.0</v>
      </c>
      <c r="G1533" s="27"/>
    </row>
    <row r="1534" hidden="1">
      <c r="A1534" s="21"/>
      <c r="B1534" s="21" t="s">
        <v>2440</v>
      </c>
      <c r="D1534" s="25">
        <v>10.0</v>
      </c>
      <c r="E1534" s="27"/>
      <c r="F1534" s="25">
        <v>0.0</v>
      </c>
      <c r="G1534" s="27"/>
    </row>
    <row r="1535" hidden="1">
      <c r="A1535" s="21"/>
      <c r="B1535" s="21" t="s">
        <v>570</v>
      </c>
      <c r="D1535" s="25">
        <v>10.0</v>
      </c>
      <c r="E1535" s="27"/>
      <c r="F1535" s="25">
        <v>3.43</v>
      </c>
      <c r="G1535" s="27"/>
    </row>
    <row r="1536" hidden="1">
      <c r="A1536" s="21"/>
      <c r="B1536" s="21" t="s">
        <v>571</v>
      </c>
      <c r="D1536" s="25">
        <v>10.0</v>
      </c>
      <c r="E1536" s="27"/>
      <c r="F1536" s="25">
        <v>0.0</v>
      </c>
      <c r="G1536" s="27"/>
    </row>
    <row r="1537" hidden="1">
      <c r="A1537" s="21"/>
      <c r="B1537" s="21" t="s">
        <v>572</v>
      </c>
      <c r="D1537" s="25">
        <v>10.0</v>
      </c>
      <c r="E1537" s="27"/>
      <c r="F1537" s="25">
        <v>0.0</v>
      </c>
      <c r="G1537" s="27"/>
    </row>
    <row r="1538" hidden="1">
      <c r="A1538" s="21"/>
      <c r="B1538" s="21" t="s">
        <v>2441</v>
      </c>
      <c r="D1538" s="25">
        <v>10.0</v>
      </c>
      <c r="E1538" s="27"/>
      <c r="F1538" s="25">
        <v>0.0</v>
      </c>
      <c r="G1538" s="27"/>
    </row>
    <row r="1539" hidden="1">
      <c r="A1539" s="21"/>
      <c r="B1539" s="21" t="s">
        <v>2442</v>
      </c>
      <c r="D1539" s="25">
        <v>10.0</v>
      </c>
      <c r="E1539" s="27"/>
      <c r="F1539" s="25">
        <v>11.01</v>
      </c>
      <c r="G1539" s="27"/>
    </row>
    <row r="1540" hidden="1">
      <c r="A1540" s="21"/>
      <c r="B1540" s="21" t="s">
        <v>2443</v>
      </c>
      <c r="D1540" s="25">
        <v>10.0</v>
      </c>
      <c r="E1540" s="27"/>
      <c r="F1540" s="25">
        <v>0.0</v>
      </c>
      <c r="G1540" s="27"/>
    </row>
    <row r="1541" hidden="1">
      <c r="A1541" s="21"/>
      <c r="B1541" s="21" t="s">
        <v>2444</v>
      </c>
      <c r="D1541" s="25">
        <v>10.0</v>
      </c>
      <c r="E1541" s="27"/>
      <c r="F1541" s="25">
        <v>0.0</v>
      </c>
      <c r="G1541" s="27"/>
    </row>
    <row r="1542" hidden="1">
      <c r="A1542" s="21"/>
      <c r="B1542" s="21" t="s">
        <v>2445</v>
      </c>
      <c r="D1542" s="25">
        <v>10.0</v>
      </c>
      <c r="E1542" s="27"/>
      <c r="F1542" s="25">
        <v>0.0</v>
      </c>
      <c r="G1542" s="27"/>
    </row>
    <row r="1543" hidden="1">
      <c r="A1543" s="21"/>
      <c r="B1543" s="21" t="s">
        <v>2446</v>
      </c>
      <c r="D1543" s="25">
        <v>10.0</v>
      </c>
      <c r="E1543" s="27"/>
      <c r="F1543" s="25">
        <v>0.0</v>
      </c>
      <c r="G1543" s="27"/>
    </row>
    <row r="1544" hidden="1">
      <c r="A1544" s="21"/>
      <c r="B1544" s="21" t="s">
        <v>2447</v>
      </c>
      <c r="D1544" s="25">
        <v>10.0</v>
      </c>
      <c r="E1544" s="27"/>
      <c r="F1544" s="25">
        <v>0.0</v>
      </c>
      <c r="G1544" s="27"/>
    </row>
    <row r="1545" hidden="1">
      <c r="A1545" s="21"/>
      <c r="B1545" s="21" t="s">
        <v>2448</v>
      </c>
      <c r="D1545" s="25">
        <v>10.0</v>
      </c>
      <c r="E1545" s="27"/>
      <c r="F1545" s="25">
        <v>0.0</v>
      </c>
      <c r="G1545" s="27"/>
    </row>
    <row r="1546" hidden="1">
      <c r="A1546" s="21"/>
      <c r="B1546" s="21" t="s">
        <v>2449</v>
      </c>
      <c r="D1546" s="25">
        <v>10.0</v>
      </c>
      <c r="E1546" s="27"/>
      <c r="F1546" s="25">
        <v>0.0</v>
      </c>
      <c r="G1546" s="27"/>
    </row>
    <row r="1547" hidden="1">
      <c r="A1547" s="21"/>
      <c r="B1547" s="21" t="s">
        <v>2450</v>
      </c>
      <c r="D1547" s="25">
        <v>10.0</v>
      </c>
      <c r="E1547" s="27"/>
      <c r="F1547" s="25">
        <v>0.0</v>
      </c>
      <c r="G1547" s="27"/>
    </row>
    <row r="1548" hidden="1">
      <c r="A1548" s="21"/>
      <c r="B1548" s="21" t="s">
        <v>2451</v>
      </c>
      <c r="D1548" s="25">
        <v>10.0</v>
      </c>
      <c r="E1548" s="27"/>
      <c r="F1548" s="25">
        <v>0.0</v>
      </c>
      <c r="G1548" s="27"/>
    </row>
    <row r="1549" hidden="1">
      <c r="A1549" s="21"/>
      <c r="B1549" s="21" t="s">
        <v>2452</v>
      </c>
      <c r="D1549" s="25">
        <v>10.0</v>
      </c>
      <c r="E1549" s="27"/>
      <c r="F1549" s="25">
        <v>0.0</v>
      </c>
      <c r="G1549" s="27"/>
    </row>
    <row r="1550" hidden="1">
      <c r="A1550" s="21"/>
      <c r="B1550" s="21" t="s">
        <v>2453</v>
      </c>
      <c r="D1550" s="25">
        <v>10.0</v>
      </c>
      <c r="E1550" s="27"/>
      <c r="F1550" s="25">
        <v>0.0</v>
      </c>
      <c r="G1550" s="27"/>
    </row>
    <row r="1551" hidden="1">
      <c r="A1551" s="21"/>
      <c r="B1551" s="21" t="s">
        <v>2454</v>
      </c>
      <c r="D1551" s="25">
        <v>10.0</v>
      </c>
      <c r="E1551" s="27"/>
      <c r="F1551" s="25">
        <v>0.0</v>
      </c>
      <c r="G1551" s="27"/>
    </row>
    <row r="1552" hidden="1">
      <c r="A1552" s="21"/>
      <c r="B1552" s="21" t="s">
        <v>2455</v>
      </c>
      <c r="D1552" s="25">
        <v>10.0</v>
      </c>
      <c r="E1552" s="27"/>
      <c r="F1552" s="25">
        <v>0.0</v>
      </c>
      <c r="G1552" s="27"/>
    </row>
    <row r="1553" hidden="1">
      <c r="A1553" s="21"/>
      <c r="B1553" s="21" t="s">
        <v>2456</v>
      </c>
      <c r="D1553" s="25">
        <v>10.0</v>
      </c>
      <c r="E1553" s="27"/>
      <c r="F1553" s="25">
        <v>0.0</v>
      </c>
      <c r="G1553" s="27"/>
    </row>
    <row r="1554" hidden="1">
      <c r="A1554" s="21"/>
      <c r="B1554" s="21" t="s">
        <v>2457</v>
      </c>
      <c r="D1554" s="25">
        <v>10.0</v>
      </c>
      <c r="E1554" s="27"/>
      <c r="F1554" s="25">
        <v>0.0</v>
      </c>
      <c r="G1554" s="27"/>
    </row>
    <row r="1555" hidden="1">
      <c r="A1555" s="21"/>
      <c r="B1555" s="21" t="s">
        <v>2458</v>
      </c>
      <c r="D1555" s="25">
        <v>10.0</v>
      </c>
      <c r="E1555" s="27"/>
      <c r="F1555" s="25">
        <v>0.0</v>
      </c>
      <c r="G1555" s="27"/>
    </row>
    <row r="1556" hidden="1">
      <c r="A1556" s="21"/>
      <c r="B1556" s="21" t="s">
        <v>2459</v>
      </c>
      <c r="D1556" s="25">
        <v>10.0</v>
      </c>
      <c r="E1556" s="27"/>
      <c r="F1556" s="25">
        <v>0.0</v>
      </c>
      <c r="G1556" s="27"/>
    </row>
    <row r="1557" hidden="1">
      <c r="A1557" s="21"/>
      <c r="B1557" s="21" t="s">
        <v>2460</v>
      </c>
      <c r="D1557" s="25">
        <v>10.0</v>
      </c>
      <c r="E1557" s="27"/>
      <c r="F1557" s="25">
        <v>0.0</v>
      </c>
      <c r="G1557" s="27"/>
    </row>
    <row r="1558" hidden="1">
      <c r="A1558" s="21"/>
      <c r="B1558" s="21" t="s">
        <v>2461</v>
      </c>
      <c r="D1558" s="25">
        <v>10.0</v>
      </c>
      <c r="E1558" s="27"/>
      <c r="F1558" s="25">
        <v>0.0</v>
      </c>
      <c r="G1558" s="27"/>
    </row>
    <row r="1559" hidden="1">
      <c r="A1559" s="21"/>
      <c r="B1559" s="21" t="s">
        <v>2462</v>
      </c>
      <c r="D1559" s="25">
        <v>10.0</v>
      </c>
      <c r="E1559" s="27"/>
      <c r="F1559" s="25">
        <v>0.0</v>
      </c>
      <c r="G1559" s="27"/>
    </row>
    <row r="1560" hidden="1">
      <c r="A1560" s="21"/>
      <c r="B1560" s="21" t="s">
        <v>2463</v>
      </c>
      <c r="D1560" s="25">
        <v>10.0</v>
      </c>
      <c r="E1560" s="27"/>
      <c r="F1560" s="25">
        <v>0.0</v>
      </c>
      <c r="G1560" s="27"/>
    </row>
    <row r="1561" hidden="1">
      <c r="A1561" s="21"/>
      <c r="B1561" s="21" t="s">
        <v>2464</v>
      </c>
      <c r="D1561" s="25">
        <v>10.0</v>
      </c>
      <c r="E1561" s="27"/>
      <c r="F1561" s="25">
        <v>0.0</v>
      </c>
      <c r="G1561" s="27"/>
    </row>
    <row r="1562" hidden="1">
      <c r="A1562" s="21"/>
      <c r="B1562" s="21" t="s">
        <v>2465</v>
      </c>
      <c r="D1562" s="25">
        <v>10.0</v>
      </c>
      <c r="E1562" s="27"/>
      <c r="F1562" s="25">
        <v>0.0</v>
      </c>
      <c r="G1562" s="27"/>
    </row>
    <row r="1563" hidden="1">
      <c r="A1563" s="21"/>
      <c r="B1563" s="21" t="s">
        <v>2466</v>
      </c>
      <c r="D1563" s="25">
        <v>10.0</v>
      </c>
      <c r="E1563" s="27"/>
      <c r="F1563" s="25">
        <v>0.0</v>
      </c>
      <c r="G1563" s="27"/>
    </row>
    <row r="1564" hidden="1">
      <c r="A1564" s="21"/>
      <c r="B1564" s="21" t="s">
        <v>2467</v>
      </c>
      <c r="D1564" s="25">
        <v>10.0</v>
      </c>
      <c r="E1564" s="27"/>
      <c r="F1564" s="25">
        <v>0.0</v>
      </c>
      <c r="G1564" s="27"/>
    </row>
    <row r="1565" hidden="1">
      <c r="A1565" s="21"/>
      <c r="B1565" s="21" t="s">
        <v>2468</v>
      </c>
      <c r="D1565" s="25">
        <v>10.0</v>
      </c>
      <c r="E1565" s="27"/>
      <c r="F1565" s="25">
        <v>0.0</v>
      </c>
      <c r="G1565" s="27"/>
    </row>
    <row r="1566" hidden="1">
      <c r="A1566" s="21"/>
      <c r="B1566" s="21" t="s">
        <v>2469</v>
      </c>
      <c r="D1566" s="25">
        <v>10.0</v>
      </c>
      <c r="E1566" s="27"/>
      <c r="F1566" s="25">
        <v>0.0</v>
      </c>
      <c r="G1566" s="27"/>
    </row>
    <row r="1567" hidden="1">
      <c r="A1567" s="21"/>
      <c r="B1567" s="21" t="s">
        <v>2470</v>
      </c>
      <c r="D1567" s="25">
        <v>10.0</v>
      </c>
      <c r="E1567" s="27"/>
      <c r="F1567" s="25">
        <v>0.0</v>
      </c>
      <c r="G1567" s="27"/>
    </row>
    <row r="1568" hidden="1">
      <c r="A1568" s="21"/>
      <c r="B1568" s="21" t="s">
        <v>2471</v>
      </c>
      <c r="D1568" s="25">
        <v>10.0</v>
      </c>
      <c r="E1568" s="27"/>
      <c r="F1568" s="25">
        <v>0.0</v>
      </c>
      <c r="G1568" s="27"/>
    </row>
    <row r="1569" hidden="1">
      <c r="A1569" s="21"/>
      <c r="B1569" s="21" t="s">
        <v>2472</v>
      </c>
      <c r="D1569" s="25">
        <v>10.0</v>
      </c>
      <c r="E1569" s="27"/>
      <c r="F1569" s="25">
        <v>0.0</v>
      </c>
      <c r="G1569" s="27"/>
    </row>
    <row r="1570" hidden="1">
      <c r="A1570" s="21"/>
      <c r="B1570" s="21" t="s">
        <v>2473</v>
      </c>
      <c r="D1570" s="25">
        <v>10.0</v>
      </c>
      <c r="E1570" s="27"/>
      <c r="F1570" s="25">
        <v>0.0</v>
      </c>
      <c r="G1570" s="27"/>
    </row>
    <row r="1571" hidden="1">
      <c r="A1571" s="21"/>
      <c r="B1571" s="21" t="s">
        <v>2474</v>
      </c>
      <c r="D1571" s="25">
        <v>10.0</v>
      </c>
      <c r="E1571" s="27"/>
      <c r="F1571" s="25">
        <v>0.0</v>
      </c>
      <c r="G1571" s="27"/>
    </row>
    <row r="1572" hidden="1">
      <c r="A1572" s="21"/>
      <c r="B1572" s="21" t="s">
        <v>2475</v>
      </c>
      <c r="D1572" s="25">
        <v>10.0</v>
      </c>
      <c r="E1572" s="27"/>
      <c r="F1572" s="25">
        <v>0.0</v>
      </c>
      <c r="G1572" s="27"/>
    </row>
    <row r="1573" hidden="1">
      <c r="A1573" s="21"/>
      <c r="B1573" s="21" t="s">
        <v>2476</v>
      </c>
      <c r="D1573" s="25">
        <v>10.0</v>
      </c>
      <c r="E1573" s="27"/>
      <c r="F1573" s="25">
        <v>0.0</v>
      </c>
      <c r="G1573" s="27"/>
    </row>
    <row r="1574" hidden="1">
      <c r="A1574" s="21"/>
      <c r="B1574" s="21" t="s">
        <v>2477</v>
      </c>
      <c r="D1574" s="25">
        <v>10.0</v>
      </c>
      <c r="E1574" s="27"/>
      <c r="F1574" s="25">
        <v>0.0</v>
      </c>
      <c r="G1574" s="27"/>
    </row>
    <row r="1575" hidden="1">
      <c r="A1575" s="21"/>
      <c r="B1575" s="21" t="s">
        <v>2478</v>
      </c>
      <c r="D1575" s="25">
        <v>10.0</v>
      </c>
      <c r="E1575" s="27"/>
      <c r="F1575" s="25">
        <v>0.0</v>
      </c>
      <c r="G1575" s="27"/>
    </row>
    <row r="1576" hidden="1">
      <c r="A1576" s="21"/>
      <c r="B1576" s="21" t="s">
        <v>2479</v>
      </c>
      <c r="D1576" s="25">
        <v>10.0</v>
      </c>
      <c r="E1576" s="27"/>
      <c r="F1576" s="25">
        <v>0.0</v>
      </c>
      <c r="G1576" s="27"/>
    </row>
    <row r="1577" hidden="1">
      <c r="A1577" s="21"/>
      <c r="B1577" s="21" t="s">
        <v>2480</v>
      </c>
      <c r="D1577" s="25">
        <v>10.0</v>
      </c>
      <c r="E1577" s="27"/>
      <c r="F1577" s="25">
        <v>0.0</v>
      </c>
      <c r="G1577" s="27"/>
    </row>
    <row r="1578" hidden="1">
      <c r="A1578" s="21"/>
      <c r="B1578" s="21" t="s">
        <v>2481</v>
      </c>
      <c r="D1578" s="25">
        <v>10.0</v>
      </c>
      <c r="E1578" s="27"/>
      <c r="F1578" s="25">
        <v>0.0</v>
      </c>
      <c r="G1578" s="27"/>
    </row>
    <row r="1579" hidden="1">
      <c r="A1579" s="21"/>
      <c r="B1579" s="21" t="s">
        <v>2482</v>
      </c>
      <c r="D1579" s="25">
        <v>10.0</v>
      </c>
      <c r="E1579" s="27"/>
      <c r="F1579" s="25">
        <v>0.0</v>
      </c>
      <c r="G1579" s="27"/>
    </row>
    <row r="1580" hidden="1">
      <c r="A1580" s="21"/>
      <c r="B1580" s="21" t="s">
        <v>2483</v>
      </c>
      <c r="D1580" s="25">
        <v>10.0</v>
      </c>
      <c r="E1580" s="27"/>
      <c r="F1580" s="25">
        <v>0.0</v>
      </c>
      <c r="G1580" s="27"/>
    </row>
    <row r="1581" hidden="1">
      <c r="A1581" s="21"/>
      <c r="B1581" s="21" t="s">
        <v>2484</v>
      </c>
      <c r="D1581" s="25">
        <v>10.0</v>
      </c>
      <c r="E1581" s="27"/>
      <c r="F1581" s="25">
        <v>0.0</v>
      </c>
      <c r="G1581" s="27"/>
    </row>
    <row r="1582" hidden="1">
      <c r="A1582" s="21"/>
      <c r="B1582" s="21" t="s">
        <v>2485</v>
      </c>
      <c r="D1582" s="25">
        <v>10.0</v>
      </c>
      <c r="E1582" s="27"/>
      <c r="F1582" s="25">
        <v>0.0</v>
      </c>
      <c r="G1582" s="27"/>
    </row>
    <row r="1583" hidden="1">
      <c r="A1583" s="21"/>
      <c r="B1583" s="21" t="s">
        <v>2486</v>
      </c>
      <c r="D1583" s="25">
        <v>10.0</v>
      </c>
      <c r="E1583" s="27"/>
      <c r="F1583" s="25">
        <v>0.0</v>
      </c>
      <c r="G1583" s="27"/>
    </row>
    <row r="1584" hidden="1">
      <c r="A1584" s="21"/>
      <c r="B1584" s="21" t="s">
        <v>2487</v>
      </c>
      <c r="D1584" s="25">
        <v>10.0</v>
      </c>
      <c r="E1584" s="27"/>
      <c r="F1584" s="25">
        <v>0.0</v>
      </c>
      <c r="G1584" s="27"/>
    </row>
    <row r="1585" hidden="1">
      <c r="A1585" s="21"/>
      <c r="B1585" s="21" t="s">
        <v>2488</v>
      </c>
      <c r="D1585" s="25">
        <v>10.0</v>
      </c>
      <c r="E1585" s="27"/>
      <c r="F1585" s="25">
        <v>0.0</v>
      </c>
      <c r="G1585" s="27"/>
    </row>
    <row r="1586" hidden="1">
      <c r="A1586" s="21"/>
      <c r="B1586" s="21" t="s">
        <v>2489</v>
      </c>
      <c r="D1586" s="25">
        <v>10.0</v>
      </c>
      <c r="E1586" s="27"/>
      <c r="F1586" s="25">
        <v>0.0</v>
      </c>
      <c r="G1586" s="27"/>
    </row>
    <row r="1587" hidden="1">
      <c r="A1587" s="21"/>
      <c r="B1587" s="21" t="s">
        <v>2490</v>
      </c>
      <c r="D1587" s="25">
        <v>10.0</v>
      </c>
      <c r="E1587" s="27"/>
      <c r="F1587" s="25">
        <v>0.0</v>
      </c>
      <c r="G1587" s="27"/>
    </row>
    <row r="1588" hidden="1">
      <c r="A1588" s="21"/>
      <c r="B1588" s="21" t="s">
        <v>2491</v>
      </c>
      <c r="D1588" s="25">
        <v>10.0</v>
      </c>
      <c r="E1588" s="27"/>
      <c r="F1588" s="25">
        <v>0.0</v>
      </c>
      <c r="G1588" s="27"/>
    </row>
    <row r="1589" hidden="1">
      <c r="A1589" s="21"/>
      <c r="B1589" s="21" t="s">
        <v>2492</v>
      </c>
      <c r="D1589" s="25">
        <v>10.0</v>
      </c>
      <c r="E1589" s="27"/>
      <c r="F1589" s="25">
        <v>0.0</v>
      </c>
      <c r="G1589" s="27"/>
    </row>
    <row r="1590" hidden="1">
      <c r="A1590" s="21"/>
      <c r="B1590" s="21" t="s">
        <v>2493</v>
      </c>
      <c r="D1590" s="25">
        <v>10.0</v>
      </c>
      <c r="E1590" s="27"/>
      <c r="F1590" s="25">
        <v>0.0</v>
      </c>
      <c r="G1590" s="27"/>
    </row>
    <row r="1591" hidden="1">
      <c r="A1591" s="21"/>
      <c r="B1591" s="21" t="s">
        <v>2494</v>
      </c>
      <c r="D1591" s="25">
        <v>10.0</v>
      </c>
      <c r="E1591" s="27"/>
      <c r="F1591" s="25">
        <v>0.0</v>
      </c>
      <c r="G1591" s="27"/>
    </row>
    <row r="1592" hidden="1">
      <c r="A1592" s="21"/>
      <c r="B1592" s="21" t="s">
        <v>2495</v>
      </c>
      <c r="D1592" s="25">
        <v>10.0</v>
      </c>
      <c r="E1592" s="27"/>
      <c r="F1592" s="25">
        <v>0.0</v>
      </c>
      <c r="G1592" s="27"/>
    </row>
    <row r="1593" hidden="1">
      <c r="A1593" s="21"/>
      <c r="B1593" s="21" t="s">
        <v>2496</v>
      </c>
      <c r="D1593" s="25">
        <v>10.0</v>
      </c>
      <c r="E1593" s="27"/>
      <c r="F1593" s="25">
        <v>0.0</v>
      </c>
      <c r="G1593" s="27"/>
    </row>
    <row r="1594" hidden="1">
      <c r="A1594" s="21"/>
      <c r="B1594" s="21" t="s">
        <v>2497</v>
      </c>
      <c r="D1594" s="25">
        <v>10.0</v>
      </c>
      <c r="E1594" s="27"/>
      <c r="F1594" s="25">
        <v>0.0</v>
      </c>
      <c r="G1594" s="27"/>
    </row>
    <row r="1595" hidden="1">
      <c r="A1595" s="21"/>
      <c r="B1595" s="21" t="s">
        <v>2498</v>
      </c>
      <c r="D1595" s="25">
        <v>10.0</v>
      </c>
      <c r="E1595" s="27"/>
      <c r="F1595" s="25">
        <v>0.0</v>
      </c>
      <c r="G1595" s="27"/>
    </row>
    <row r="1596" hidden="1">
      <c r="A1596" s="21"/>
      <c r="B1596" s="21" t="s">
        <v>2499</v>
      </c>
      <c r="D1596" s="25">
        <v>10.0</v>
      </c>
      <c r="E1596" s="27"/>
      <c r="F1596" s="25">
        <v>0.0</v>
      </c>
      <c r="G1596" s="27"/>
    </row>
    <row r="1597" hidden="1">
      <c r="A1597" s="21"/>
      <c r="B1597" s="21" t="s">
        <v>2500</v>
      </c>
      <c r="D1597" s="25">
        <v>10.0</v>
      </c>
      <c r="E1597" s="27"/>
      <c r="F1597" s="25">
        <v>0.0</v>
      </c>
      <c r="G1597" s="27"/>
    </row>
    <row r="1598" hidden="1">
      <c r="A1598" s="21"/>
      <c r="B1598" s="21" t="s">
        <v>2501</v>
      </c>
      <c r="D1598" s="25">
        <v>10.0</v>
      </c>
      <c r="E1598" s="27"/>
      <c r="F1598" s="25">
        <v>5.4</v>
      </c>
      <c r="G1598" s="27"/>
    </row>
    <row r="1599" hidden="1">
      <c r="A1599" s="21"/>
      <c r="B1599" s="21" t="s">
        <v>2502</v>
      </c>
      <c r="D1599" s="25">
        <v>10.0</v>
      </c>
      <c r="E1599" s="27"/>
      <c r="F1599" s="25">
        <v>0.0</v>
      </c>
      <c r="G1599" s="27"/>
    </row>
    <row r="1600" hidden="1">
      <c r="A1600" s="21"/>
      <c r="B1600" s="21" t="s">
        <v>2503</v>
      </c>
      <c r="D1600" s="25">
        <v>10.0</v>
      </c>
      <c r="E1600" s="27"/>
      <c r="F1600" s="25">
        <v>0.0</v>
      </c>
      <c r="G1600" s="27"/>
    </row>
    <row r="1601" hidden="1">
      <c r="A1601" s="21"/>
      <c r="B1601" s="21" t="s">
        <v>2504</v>
      </c>
      <c r="D1601" s="25">
        <v>10.0</v>
      </c>
      <c r="E1601" s="27"/>
      <c r="F1601" s="25">
        <v>0.0</v>
      </c>
      <c r="G1601" s="27"/>
    </row>
    <row r="1602" hidden="1">
      <c r="A1602" s="21"/>
      <c r="B1602" s="21" t="s">
        <v>2505</v>
      </c>
      <c r="D1602" s="25">
        <v>10.0</v>
      </c>
      <c r="E1602" s="27"/>
      <c r="F1602" s="25">
        <v>0.0</v>
      </c>
      <c r="G1602" s="27"/>
    </row>
    <row r="1603" hidden="1">
      <c r="A1603" s="21"/>
      <c r="B1603" s="21" t="s">
        <v>2506</v>
      </c>
      <c r="D1603" s="25">
        <v>10.0</v>
      </c>
      <c r="E1603" s="27"/>
      <c r="F1603" s="25">
        <v>0.0</v>
      </c>
      <c r="G1603" s="27"/>
    </row>
    <row r="1604" hidden="1">
      <c r="A1604" s="21"/>
      <c r="B1604" s="21" t="s">
        <v>2507</v>
      </c>
      <c r="D1604" s="25">
        <v>10.0</v>
      </c>
      <c r="E1604" s="27"/>
      <c r="F1604" s="25">
        <v>0.0</v>
      </c>
      <c r="G1604" s="27"/>
    </row>
    <row r="1605" hidden="1">
      <c r="A1605" s="21"/>
      <c r="B1605" s="21" t="s">
        <v>2508</v>
      </c>
      <c r="D1605" s="25">
        <v>10.0</v>
      </c>
      <c r="E1605" s="27"/>
      <c r="F1605" s="25">
        <v>0.0</v>
      </c>
      <c r="G1605" s="27"/>
    </row>
    <row r="1606" hidden="1">
      <c r="A1606" s="21"/>
      <c r="B1606" s="21" t="s">
        <v>2509</v>
      </c>
      <c r="D1606" s="25">
        <v>10.0</v>
      </c>
      <c r="E1606" s="27"/>
      <c r="F1606" s="25">
        <v>0.0</v>
      </c>
      <c r="G1606" s="27"/>
    </row>
    <row r="1607" hidden="1">
      <c r="A1607" s="21"/>
      <c r="B1607" s="21" t="s">
        <v>2510</v>
      </c>
      <c r="D1607" s="25">
        <v>10.0</v>
      </c>
      <c r="E1607" s="27"/>
      <c r="F1607" s="25">
        <v>0.0</v>
      </c>
      <c r="G1607" s="27"/>
    </row>
    <row r="1608" hidden="1">
      <c r="A1608" s="21"/>
      <c r="B1608" s="21" t="s">
        <v>2511</v>
      </c>
      <c r="D1608" s="25">
        <v>10.0</v>
      </c>
      <c r="E1608" s="27"/>
      <c r="F1608" s="25">
        <v>0.0</v>
      </c>
      <c r="G1608" s="27"/>
    </row>
    <row r="1609" hidden="1">
      <c r="A1609" s="21"/>
      <c r="B1609" s="21" t="s">
        <v>2512</v>
      </c>
      <c r="D1609" s="25">
        <v>10.0</v>
      </c>
      <c r="E1609" s="27"/>
      <c r="F1609" s="25">
        <v>0.0</v>
      </c>
      <c r="G1609" s="27"/>
    </row>
    <row r="1610" hidden="1">
      <c r="A1610" s="21"/>
      <c r="B1610" s="21" t="s">
        <v>2513</v>
      </c>
      <c r="D1610" s="25">
        <v>10.0</v>
      </c>
      <c r="E1610" s="27"/>
      <c r="F1610" s="25">
        <v>0.0</v>
      </c>
      <c r="G1610" s="27"/>
    </row>
    <row r="1611" hidden="1">
      <c r="A1611" s="21"/>
      <c r="B1611" s="21" t="s">
        <v>2514</v>
      </c>
      <c r="D1611" s="25">
        <v>10.0</v>
      </c>
      <c r="E1611" s="27"/>
      <c r="F1611" s="25">
        <v>0.0</v>
      </c>
      <c r="G1611" s="27"/>
    </row>
    <row r="1612" hidden="1">
      <c r="A1612" s="21"/>
      <c r="B1612" s="21" t="s">
        <v>2515</v>
      </c>
      <c r="D1612" s="25">
        <v>10.0</v>
      </c>
      <c r="E1612" s="27"/>
      <c r="F1612" s="25">
        <v>0.0</v>
      </c>
      <c r="G1612" s="27"/>
    </row>
    <row r="1613" hidden="1">
      <c r="A1613" s="21"/>
      <c r="B1613" s="21" t="s">
        <v>2516</v>
      </c>
      <c r="D1613" s="25">
        <v>10.0</v>
      </c>
      <c r="E1613" s="27"/>
      <c r="F1613" s="25">
        <v>0.0</v>
      </c>
      <c r="G1613" s="27"/>
    </row>
    <row r="1614" hidden="1">
      <c r="A1614" s="21"/>
      <c r="B1614" s="21" t="s">
        <v>2517</v>
      </c>
      <c r="D1614" s="25">
        <v>10.0</v>
      </c>
      <c r="E1614" s="27"/>
      <c r="F1614" s="25">
        <v>0.0</v>
      </c>
      <c r="G1614" s="27"/>
    </row>
    <row r="1615" hidden="1">
      <c r="A1615" s="21"/>
      <c r="B1615" s="21" t="s">
        <v>2518</v>
      </c>
      <c r="D1615" s="25">
        <v>10.0</v>
      </c>
      <c r="E1615" s="27"/>
      <c r="F1615" s="25">
        <v>0.0</v>
      </c>
      <c r="G1615" s="27"/>
    </row>
    <row r="1616" hidden="1">
      <c r="A1616" s="21"/>
      <c r="B1616" s="21" t="s">
        <v>2519</v>
      </c>
      <c r="D1616" s="25">
        <v>10.0</v>
      </c>
      <c r="E1616" s="27"/>
      <c r="F1616" s="25">
        <v>0.0</v>
      </c>
      <c r="G1616" s="27"/>
    </row>
    <row r="1617" hidden="1">
      <c r="A1617" s="21"/>
      <c r="B1617" s="21" t="s">
        <v>2520</v>
      </c>
      <c r="D1617" s="25">
        <v>10.0</v>
      </c>
      <c r="E1617" s="27"/>
      <c r="F1617" s="25">
        <v>0.0</v>
      </c>
      <c r="G1617" s="27"/>
    </row>
    <row r="1618" hidden="1">
      <c r="A1618" s="21"/>
      <c r="B1618" s="21" t="s">
        <v>2521</v>
      </c>
      <c r="D1618" s="25">
        <v>10.0</v>
      </c>
      <c r="E1618" s="27"/>
      <c r="F1618" s="25">
        <v>0.0</v>
      </c>
      <c r="G1618" s="27"/>
    </row>
    <row r="1619" hidden="1">
      <c r="A1619" s="21"/>
      <c r="B1619" s="21" t="s">
        <v>2522</v>
      </c>
      <c r="D1619" s="25">
        <v>10.0</v>
      </c>
      <c r="E1619" s="27"/>
      <c r="F1619" s="25">
        <v>0.0</v>
      </c>
      <c r="G1619" s="27"/>
    </row>
    <row r="1620" hidden="1">
      <c r="A1620" s="21"/>
      <c r="B1620" s="21" t="s">
        <v>2523</v>
      </c>
      <c r="D1620" s="25">
        <v>10.0</v>
      </c>
      <c r="E1620" s="27"/>
      <c r="F1620" s="25">
        <v>0.0</v>
      </c>
      <c r="G1620" s="27"/>
    </row>
    <row r="1621" hidden="1">
      <c r="A1621" s="21"/>
      <c r="B1621" s="21" t="s">
        <v>2524</v>
      </c>
      <c r="D1621" s="25">
        <v>10.0</v>
      </c>
      <c r="E1621" s="27"/>
      <c r="F1621" s="25">
        <v>0.0</v>
      </c>
      <c r="G1621" s="27"/>
    </row>
    <row r="1622" hidden="1">
      <c r="A1622" s="21"/>
      <c r="B1622" s="21" t="s">
        <v>2525</v>
      </c>
      <c r="D1622" s="25">
        <v>10.0</v>
      </c>
      <c r="E1622" s="27"/>
      <c r="F1622" s="25">
        <v>0.0</v>
      </c>
      <c r="G1622" s="27"/>
    </row>
    <row r="1623" hidden="1">
      <c r="A1623" s="21"/>
      <c r="B1623" s="21" t="s">
        <v>2526</v>
      </c>
      <c r="D1623" s="25">
        <v>10.0</v>
      </c>
      <c r="E1623" s="27"/>
      <c r="F1623" s="25">
        <v>0.0</v>
      </c>
      <c r="G1623" s="27"/>
    </row>
    <row r="1624" hidden="1">
      <c r="A1624" s="21"/>
      <c r="B1624" s="21" t="s">
        <v>2527</v>
      </c>
      <c r="D1624" s="25">
        <v>10.0</v>
      </c>
      <c r="E1624" s="27"/>
      <c r="F1624" s="25">
        <v>0.0</v>
      </c>
      <c r="G1624" s="27"/>
    </row>
    <row r="1625" hidden="1">
      <c r="A1625" s="21"/>
      <c r="B1625" s="21" t="s">
        <v>2528</v>
      </c>
      <c r="D1625" s="25">
        <v>10.0</v>
      </c>
      <c r="E1625" s="27"/>
      <c r="F1625" s="25">
        <v>0.0</v>
      </c>
      <c r="G1625" s="27"/>
    </row>
    <row r="1626" hidden="1">
      <c r="A1626" s="21"/>
      <c r="B1626" s="21" t="s">
        <v>2529</v>
      </c>
      <c r="D1626" s="25">
        <v>10.0</v>
      </c>
      <c r="E1626" s="27"/>
      <c r="F1626" s="25">
        <v>0.0</v>
      </c>
      <c r="G1626" s="27"/>
    </row>
    <row r="1627" hidden="1">
      <c r="A1627" s="21"/>
      <c r="B1627" s="21" t="s">
        <v>2530</v>
      </c>
      <c r="D1627" s="25">
        <v>10.0</v>
      </c>
      <c r="E1627" s="27"/>
      <c r="F1627" s="25">
        <v>0.0</v>
      </c>
      <c r="G1627" s="27"/>
    </row>
    <row r="1628" hidden="1">
      <c r="A1628" s="21"/>
      <c r="B1628" s="21" t="s">
        <v>2531</v>
      </c>
      <c r="D1628" s="25">
        <v>10.0</v>
      </c>
      <c r="E1628" s="27"/>
      <c r="F1628" s="25">
        <v>0.0</v>
      </c>
      <c r="G1628" s="27"/>
    </row>
    <row r="1629" hidden="1">
      <c r="A1629" s="21"/>
      <c r="B1629" s="21" t="s">
        <v>2532</v>
      </c>
      <c r="D1629" s="25">
        <v>10.0</v>
      </c>
      <c r="E1629" s="27"/>
      <c r="F1629" s="25">
        <v>0.0</v>
      </c>
      <c r="G1629" s="27"/>
    </row>
    <row r="1630" hidden="1">
      <c r="A1630" s="21"/>
      <c r="B1630" s="21" t="s">
        <v>2533</v>
      </c>
      <c r="D1630" s="25">
        <v>10.0</v>
      </c>
      <c r="E1630" s="27"/>
      <c r="F1630" s="25">
        <v>0.0</v>
      </c>
      <c r="G1630" s="27"/>
    </row>
    <row r="1631" hidden="1">
      <c r="A1631" s="21"/>
      <c r="B1631" s="21" t="s">
        <v>2534</v>
      </c>
      <c r="D1631" s="25">
        <v>10.0</v>
      </c>
      <c r="E1631" s="27"/>
      <c r="F1631" s="25">
        <v>0.0</v>
      </c>
      <c r="G1631" s="27"/>
    </row>
    <row r="1632" hidden="1">
      <c r="A1632" s="21"/>
      <c r="B1632" s="21" t="s">
        <v>2535</v>
      </c>
      <c r="D1632" s="25">
        <v>10.0</v>
      </c>
      <c r="E1632" s="27"/>
      <c r="F1632" s="25">
        <v>0.0</v>
      </c>
      <c r="G1632" s="27"/>
    </row>
    <row r="1633" hidden="1">
      <c r="A1633" s="21"/>
      <c r="B1633" s="21" t="s">
        <v>2536</v>
      </c>
      <c r="D1633" s="25">
        <v>10.0</v>
      </c>
      <c r="E1633" s="27"/>
      <c r="F1633" s="25">
        <v>0.0</v>
      </c>
      <c r="G1633" s="27"/>
    </row>
    <row r="1634" hidden="1">
      <c r="A1634" s="21"/>
      <c r="B1634" s="21" t="s">
        <v>2537</v>
      </c>
      <c r="D1634" s="25">
        <v>10.0</v>
      </c>
      <c r="E1634" s="27"/>
      <c r="F1634" s="25">
        <v>0.0</v>
      </c>
      <c r="G1634" s="27"/>
    </row>
    <row r="1635" hidden="1">
      <c r="A1635" s="21"/>
      <c r="B1635" s="21" t="s">
        <v>2538</v>
      </c>
      <c r="D1635" s="25">
        <v>10.0</v>
      </c>
      <c r="E1635" s="27"/>
      <c r="F1635" s="25">
        <v>0.0</v>
      </c>
      <c r="G1635" s="27"/>
    </row>
    <row r="1636" hidden="1">
      <c r="A1636" s="21"/>
      <c r="B1636" s="21" t="s">
        <v>2539</v>
      </c>
      <c r="D1636" s="25">
        <v>10.0</v>
      </c>
      <c r="E1636" s="27"/>
      <c r="F1636" s="25">
        <v>0.0</v>
      </c>
      <c r="G1636" s="27"/>
    </row>
    <row r="1637" hidden="1">
      <c r="A1637" s="21"/>
      <c r="B1637" s="21" t="s">
        <v>2540</v>
      </c>
      <c r="D1637" s="25">
        <v>10.0</v>
      </c>
      <c r="E1637" s="27"/>
      <c r="F1637" s="25">
        <v>0.0</v>
      </c>
      <c r="G1637" s="27"/>
    </row>
    <row r="1638" hidden="1">
      <c r="A1638" s="21"/>
      <c r="B1638" s="21" t="s">
        <v>2541</v>
      </c>
      <c r="D1638" s="25">
        <v>10.0</v>
      </c>
      <c r="E1638" s="27"/>
      <c r="F1638" s="25">
        <v>0.0</v>
      </c>
      <c r="G1638" s="27"/>
    </row>
    <row r="1639" hidden="1">
      <c r="A1639" s="21"/>
      <c r="B1639" s="21" t="s">
        <v>2542</v>
      </c>
      <c r="D1639" s="25">
        <v>10.0</v>
      </c>
      <c r="E1639" s="27"/>
      <c r="F1639" s="25">
        <v>0.0</v>
      </c>
      <c r="G1639" s="27"/>
    </row>
    <row r="1640" hidden="1">
      <c r="A1640" s="21"/>
      <c r="B1640" s="21" t="s">
        <v>2543</v>
      </c>
      <c r="D1640" s="25">
        <v>10.0</v>
      </c>
      <c r="E1640" s="27"/>
      <c r="F1640" s="25">
        <v>0.0</v>
      </c>
      <c r="G1640" s="27"/>
    </row>
    <row r="1641" hidden="1">
      <c r="A1641" s="21"/>
      <c r="B1641" s="21" t="s">
        <v>2544</v>
      </c>
      <c r="D1641" s="25">
        <v>10.0</v>
      </c>
      <c r="E1641" s="27"/>
      <c r="F1641" s="25">
        <v>0.0</v>
      </c>
      <c r="G1641" s="27"/>
    </row>
    <row r="1642" hidden="1">
      <c r="A1642" s="21"/>
      <c r="B1642" s="21" t="s">
        <v>2545</v>
      </c>
      <c r="D1642" s="25">
        <v>10.0</v>
      </c>
      <c r="E1642" s="27"/>
      <c r="F1642" s="25">
        <v>0.0</v>
      </c>
      <c r="G1642" s="27"/>
    </row>
    <row r="1643" hidden="1">
      <c r="A1643" s="21"/>
      <c r="B1643" s="21" t="s">
        <v>2546</v>
      </c>
      <c r="D1643" s="25">
        <v>10.0</v>
      </c>
      <c r="E1643" s="27"/>
      <c r="F1643" s="25">
        <v>0.0</v>
      </c>
      <c r="G1643" s="27"/>
    </row>
    <row r="1644" hidden="1">
      <c r="A1644" s="21"/>
      <c r="B1644" s="21" t="s">
        <v>2547</v>
      </c>
      <c r="D1644" s="25">
        <v>10.0</v>
      </c>
      <c r="E1644" s="27"/>
      <c r="F1644" s="25">
        <v>0.0</v>
      </c>
      <c r="G1644" s="27"/>
    </row>
    <row r="1645" hidden="1">
      <c r="A1645" s="21"/>
      <c r="B1645" s="21" t="s">
        <v>2548</v>
      </c>
      <c r="D1645" s="25">
        <v>10.0</v>
      </c>
      <c r="E1645" s="27"/>
      <c r="F1645" s="25">
        <v>0.0</v>
      </c>
      <c r="G1645" s="27"/>
    </row>
    <row r="1646" hidden="1">
      <c r="A1646" s="21"/>
      <c r="B1646" s="21" t="s">
        <v>2549</v>
      </c>
      <c r="D1646" s="25">
        <v>10.0</v>
      </c>
      <c r="E1646" s="27"/>
      <c r="F1646" s="25">
        <v>0.0</v>
      </c>
      <c r="G1646" s="27"/>
    </row>
    <row r="1647" hidden="1">
      <c r="A1647" s="21"/>
      <c r="B1647" s="21" t="s">
        <v>2550</v>
      </c>
      <c r="D1647" s="25">
        <v>10.0</v>
      </c>
      <c r="E1647" s="27"/>
      <c r="F1647" s="25">
        <v>0.0</v>
      </c>
      <c r="G1647" s="27"/>
    </row>
    <row r="1648" hidden="1">
      <c r="A1648" s="21"/>
      <c r="B1648" s="21" t="s">
        <v>2551</v>
      </c>
      <c r="D1648" s="25">
        <v>10.0</v>
      </c>
      <c r="E1648" s="27"/>
      <c r="F1648" s="25">
        <v>0.0</v>
      </c>
      <c r="G1648" s="27"/>
    </row>
    <row r="1649" hidden="1">
      <c r="A1649" s="21"/>
      <c r="B1649" s="21" t="s">
        <v>2552</v>
      </c>
      <c r="D1649" s="25">
        <v>10.0</v>
      </c>
      <c r="E1649" s="27"/>
      <c r="F1649" s="25">
        <v>0.0</v>
      </c>
      <c r="G1649" s="27"/>
    </row>
    <row r="1650" hidden="1">
      <c r="A1650" s="21"/>
      <c r="B1650" s="21" t="s">
        <v>2553</v>
      </c>
      <c r="D1650" s="25">
        <v>10.0</v>
      </c>
      <c r="E1650" s="27"/>
      <c r="F1650" s="25">
        <v>0.0</v>
      </c>
      <c r="G1650" s="27"/>
    </row>
    <row r="1651" hidden="1">
      <c r="A1651" s="21"/>
      <c r="B1651" s="21" t="s">
        <v>2554</v>
      </c>
      <c r="D1651" s="25">
        <v>10.0</v>
      </c>
      <c r="E1651" s="27"/>
      <c r="F1651" s="25">
        <v>0.0</v>
      </c>
      <c r="G1651" s="27"/>
    </row>
    <row r="1652" hidden="1">
      <c r="A1652" s="21"/>
      <c r="B1652" s="21" t="s">
        <v>2555</v>
      </c>
      <c r="D1652" s="25">
        <v>10.0</v>
      </c>
      <c r="E1652" s="27"/>
      <c r="F1652" s="25">
        <v>0.0</v>
      </c>
      <c r="G1652" s="27"/>
    </row>
    <row r="1653" hidden="1">
      <c r="A1653" s="21"/>
      <c r="B1653" s="21" t="s">
        <v>2556</v>
      </c>
      <c r="D1653" s="25">
        <v>10.0</v>
      </c>
      <c r="E1653" s="27"/>
      <c r="F1653" s="25">
        <v>0.0</v>
      </c>
      <c r="G1653" s="27"/>
    </row>
    <row r="1654" hidden="1">
      <c r="A1654" s="21"/>
      <c r="B1654" s="21" t="s">
        <v>2557</v>
      </c>
      <c r="D1654" s="25">
        <v>10.0</v>
      </c>
      <c r="E1654" s="27"/>
      <c r="F1654" s="25">
        <v>0.0</v>
      </c>
      <c r="G1654" s="27"/>
    </row>
    <row r="1655" hidden="1">
      <c r="A1655" s="21"/>
      <c r="B1655" s="21" t="s">
        <v>2558</v>
      </c>
      <c r="D1655" s="25">
        <v>10.0</v>
      </c>
      <c r="E1655" s="27"/>
      <c r="F1655" s="25">
        <v>0.0</v>
      </c>
      <c r="G1655" s="27"/>
    </row>
    <row r="1656" hidden="1">
      <c r="A1656" s="21"/>
      <c r="B1656" s="21" t="s">
        <v>2559</v>
      </c>
      <c r="D1656" s="25">
        <v>10.0</v>
      </c>
      <c r="E1656" s="27"/>
      <c r="F1656" s="25">
        <v>0.0</v>
      </c>
      <c r="G1656" s="27"/>
    </row>
    <row r="1657" hidden="1">
      <c r="A1657" s="21"/>
      <c r="B1657" s="21" t="s">
        <v>2560</v>
      </c>
      <c r="D1657" s="25">
        <v>10.0</v>
      </c>
      <c r="E1657" s="27"/>
      <c r="F1657" s="25">
        <v>0.0</v>
      </c>
      <c r="G1657" s="27"/>
    </row>
    <row r="1658" hidden="1">
      <c r="A1658" s="21"/>
      <c r="B1658" s="21" t="s">
        <v>2561</v>
      </c>
      <c r="D1658" s="25">
        <v>10.0</v>
      </c>
      <c r="E1658" s="27"/>
      <c r="F1658" s="25">
        <v>0.0</v>
      </c>
      <c r="G1658" s="27"/>
    </row>
    <row r="1659" hidden="1">
      <c r="A1659" s="21"/>
      <c r="B1659" s="21" t="s">
        <v>2562</v>
      </c>
      <c r="D1659" s="25">
        <v>10.0</v>
      </c>
      <c r="E1659" s="27"/>
      <c r="F1659" s="25">
        <v>0.0</v>
      </c>
      <c r="G1659" s="27"/>
    </row>
    <row r="1660" hidden="1">
      <c r="A1660" s="21"/>
      <c r="B1660" s="21" t="s">
        <v>2563</v>
      </c>
      <c r="D1660" s="25">
        <v>10.0</v>
      </c>
      <c r="E1660" s="27"/>
      <c r="F1660" s="25">
        <v>0.0</v>
      </c>
      <c r="G1660" s="27"/>
    </row>
    <row r="1661" hidden="1">
      <c r="A1661" s="21"/>
      <c r="B1661" s="21" t="s">
        <v>2564</v>
      </c>
      <c r="D1661" s="25">
        <v>10.0</v>
      </c>
      <c r="E1661" s="27"/>
      <c r="F1661" s="25">
        <v>0.0</v>
      </c>
      <c r="G1661" s="27"/>
    </row>
    <row r="1662" hidden="1">
      <c r="A1662" s="21"/>
      <c r="B1662" s="21" t="s">
        <v>2565</v>
      </c>
      <c r="D1662" s="25">
        <v>10.0</v>
      </c>
      <c r="E1662" s="27"/>
      <c r="F1662" s="25">
        <v>0.0</v>
      </c>
      <c r="G1662" s="27"/>
    </row>
    <row r="1663" hidden="1">
      <c r="A1663" s="21"/>
      <c r="B1663" s="21" t="s">
        <v>2566</v>
      </c>
      <c r="D1663" s="25">
        <v>10.0</v>
      </c>
      <c r="E1663" s="27"/>
      <c r="F1663" s="25">
        <v>0.74</v>
      </c>
      <c r="G1663" s="27"/>
    </row>
    <row r="1664" hidden="1">
      <c r="A1664" s="21"/>
      <c r="B1664" s="21" t="s">
        <v>2567</v>
      </c>
      <c r="D1664" s="25">
        <v>10.0</v>
      </c>
      <c r="E1664" s="27"/>
      <c r="F1664" s="25">
        <v>0.0</v>
      </c>
      <c r="G1664" s="27"/>
    </row>
    <row r="1665" hidden="1">
      <c r="A1665" s="21"/>
      <c r="B1665" s="21" t="s">
        <v>2568</v>
      </c>
      <c r="D1665" s="25">
        <v>10.0</v>
      </c>
      <c r="E1665" s="27"/>
      <c r="F1665" s="25">
        <v>0.0</v>
      </c>
      <c r="G1665" s="27"/>
    </row>
    <row r="1666" hidden="1">
      <c r="A1666" s="21"/>
      <c r="B1666" s="21" t="s">
        <v>2569</v>
      </c>
      <c r="D1666" s="25">
        <v>10.0</v>
      </c>
      <c r="E1666" s="27"/>
      <c r="F1666" s="25">
        <v>0.0</v>
      </c>
      <c r="G1666" s="27"/>
    </row>
    <row r="1667" hidden="1">
      <c r="A1667" s="21"/>
      <c r="B1667" s="21" t="s">
        <v>2570</v>
      </c>
      <c r="D1667" s="25">
        <v>10.0</v>
      </c>
      <c r="E1667" s="27"/>
      <c r="F1667" s="25">
        <v>0.0</v>
      </c>
      <c r="G1667" s="27"/>
    </row>
    <row r="1668" hidden="1">
      <c r="A1668" s="21"/>
      <c r="B1668" s="21" t="s">
        <v>2571</v>
      </c>
      <c r="D1668" s="25">
        <v>10.0</v>
      </c>
      <c r="E1668" s="27"/>
      <c r="F1668" s="25">
        <v>0.0</v>
      </c>
      <c r="G1668" s="27"/>
    </row>
    <row r="1669" hidden="1">
      <c r="A1669" s="21"/>
      <c r="B1669" s="21" t="s">
        <v>2572</v>
      </c>
      <c r="D1669" s="25">
        <v>10.0</v>
      </c>
      <c r="E1669" s="27"/>
      <c r="F1669" s="25">
        <v>0.0</v>
      </c>
      <c r="G1669" s="27"/>
    </row>
    <row r="1670" hidden="1">
      <c r="A1670" s="21"/>
      <c r="B1670" s="21" t="s">
        <v>2573</v>
      </c>
      <c r="D1670" s="25">
        <v>10.0</v>
      </c>
      <c r="E1670" s="27"/>
      <c r="F1670" s="25">
        <v>0.0</v>
      </c>
      <c r="G1670" s="27"/>
    </row>
    <row r="1671" hidden="1">
      <c r="A1671" s="21"/>
      <c r="B1671" s="21" t="s">
        <v>2574</v>
      </c>
      <c r="D1671" s="25">
        <v>10.0</v>
      </c>
      <c r="E1671" s="27"/>
      <c r="F1671" s="25">
        <v>0.0</v>
      </c>
      <c r="G1671" s="27"/>
    </row>
    <row r="1672" hidden="1">
      <c r="A1672" s="21"/>
      <c r="B1672" s="21" t="s">
        <v>2575</v>
      </c>
      <c r="D1672" s="25">
        <v>10.0</v>
      </c>
      <c r="E1672" s="27"/>
      <c r="F1672" s="25">
        <v>1.72</v>
      </c>
      <c r="G1672" s="27"/>
    </row>
    <row r="1673" hidden="1">
      <c r="A1673" s="21"/>
      <c r="B1673" s="21" t="s">
        <v>2576</v>
      </c>
      <c r="D1673" s="25">
        <v>10.0</v>
      </c>
      <c r="E1673" s="27"/>
      <c r="F1673" s="25">
        <v>0.0</v>
      </c>
      <c r="G1673" s="27"/>
    </row>
    <row r="1674" hidden="1">
      <c r="A1674" s="21"/>
      <c r="B1674" s="21" t="s">
        <v>2577</v>
      </c>
      <c r="D1674" s="25">
        <v>10.0</v>
      </c>
      <c r="E1674" s="27"/>
      <c r="F1674" s="25">
        <v>2.9</v>
      </c>
      <c r="G1674" s="27"/>
    </row>
    <row r="1675" hidden="1">
      <c r="A1675" s="21"/>
      <c r="B1675" s="21" t="s">
        <v>2578</v>
      </c>
      <c r="D1675" s="25">
        <v>10.0</v>
      </c>
      <c r="E1675" s="27"/>
      <c r="F1675" s="25">
        <v>0.0</v>
      </c>
      <c r="G1675" s="27"/>
    </row>
    <row r="1676" hidden="1">
      <c r="A1676" s="21"/>
      <c r="B1676" s="21" t="s">
        <v>2579</v>
      </c>
      <c r="D1676" s="25">
        <v>10.0</v>
      </c>
      <c r="E1676" s="27"/>
      <c r="F1676" s="25">
        <v>0.0</v>
      </c>
      <c r="G1676" s="27"/>
    </row>
    <row r="1677" hidden="1">
      <c r="A1677" s="21"/>
      <c r="B1677" s="21" t="s">
        <v>2580</v>
      </c>
      <c r="D1677" s="25">
        <v>10.0</v>
      </c>
      <c r="E1677" s="27"/>
      <c r="F1677" s="25">
        <v>0.0</v>
      </c>
      <c r="G1677" s="27"/>
    </row>
    <row r="1678" hidden="1">
      <c r="A1678" s="21"/>
      <c r="B1678" s="21" t="s">
        <v>2581</v>
      </c>
      <c r="D1678" s="25">
        <v>10.0</v>
      </c>
      <c r="E1678" s="27"/>
      <c r="F1678" s="25">
        <v>0.0</v>
      </c>
      <c r="G1678" s="27"/>
    </row>
    <row r="1679" hidden="1">
      <c r="A1679" s="21"/>
      <c r="B1679" s="21" t="s">
        <v>2582</v>
      </c>
      <c r="D1679" s="25">
        <v>10.0</v>
      </c>
      <c r="E1679" s="27"/>
      <c r="F1679" s="25">
        <v>0.0</v>
      </c>
      <c r="G1679" s="27"/>
    </row>
    <row r="1680" hidden="1">
      <c r="A1680" s="21"/>
      <c r="B1680" s="21" t="s">
        <v>2583</v>
      </c>
      <c r="D1680" s="25">
        <v>10.0</v>
      </c>
      <c r="E1680" s="27"/>
      <c r="F1680" s="25">
        <v>0.0</v>
      </c>
      <c r="G1680" s="27"/>
    </row>
    <row r="1681" hidden="1">
      <c r="A1681" s="21"/>
      <c r="B1681" s="21" t="s">
        <v>2584</v>
      </c>
      <c r="D1681" s="25">
        <v>10.0</v>
      </c>
      <c r="E1681" s="27"/>
      <c r="F1681" s="25">
        <v>0.0</v>
      </c>
      <c r="G1681" s="27"/>
    </row>
    <row r="1682" hidden="1">
      <c r="A1682" s="21"/>
      <c r="B1682" s="21" t="s">
        <v>2585</v>
      </c>
      <c r="D1682" s="25">
        <v>10.0</v>
      </c>
      <c r="E1682" s="27"/>
      <c r="F1682" s="25">
        <v>0.0</v>
      </c>
      <c r="G1682" s="27"/>
    </row>
    <row r="1683" hidden="1">
      <c r="A1683" s="21"/>
      <c r="B1683" s="21" t="s">
        <v>2586</v>
      </c>
      <c r="D1683" s="25">
        <v>10.0</v>
      </c>
      <c r="E1683" s="27"/>
      <c r="F1683" s="25">
        <v>0.0</v>
      </c>
      <c r="G1683" s="27"/>
    </row>
    <row r="1684" hidden="1">
      <c r="A1684" s="21"/>
      <c r="B1684" s="21" t="s">
        <v>2587</v>
      </c>
      <c r="D1684" s="25">
        <v>10.0</v>
      </c>
      <c r="E1684" s="27"/>
      <c r="F1684" s="25">
        <v>0.0</v>
      </c>
      <c r="G1684" s="27"/>
    </row>
    <row r="1685" hidden="1">
      <c r="A1685" s="21"/>
      <c r="B1685" s="21" t="s">
        <v>2588</v>
      </c>
      <c r="D1685" s="25">
        <v>10.0</v>
      </c>
      <c r="E1685" s="27"/>
      <c r="F1685" s="25">
        <v>0.0</v>
      </c>
      <c r="G1685" s="27"/>
    </row>
    <row r="1686" hidden="1">
      <c r="A1686" s="21"/>
      <c r="B1686" s="21" t="s">
        <v>2589</v>
      </c>
      <c r="D1686" s="25">
        <v>10.0</v>
      </c>
      <c r="E1686" s="27"/>
      <c r="F1686" s="25">
        <v>0.0</v>
      </c>
      <c r="G1686" s="27"/>
    </row>
    <row r="1687" hidden="1">
      <c r="A1687" s="21"/>
      <c r="B1687" s="21" t="s">
        <v>2590</v>
      </c>
      <c r="D1687" s="25">
        <v>10.0</v>
      </c>
      <c r="E1687" s="27"/>
      <c r="F1687" s="25">
        <v>0.0</v>
      </c>
      <c r="G1687" s="27"/>
    </row>
    <row r="1688" hidden="1">
      <c r="A1688" s="21"/>
      <c r="B1688" s="21" t="s">
        <v>2591</v>
      </c>
      <c r="D1688" s="25">
        <v>10.0</v>
      </c>
      <c r="E1688" s="27"/>
      <c r="F1688" s="25">
        <v>0.0</v>
      </c>
      <c r="G1688" s="27"/>
    </row>
    <row r="1689" hidden="1">
      <c r="A1689" s="21"/>
      <c r="B1689" s="21" t="s">
        <v>2592</v>
      </c>
      <c r="D1689" s="25">
        <v>10.0</v>
      </c>
      <c r="E1689" s="27"/>
      <c r="F1689" s="25">
        <v>0.0</v>
      </c>
      <c r="G1689" s="27"/>
    </row>
    <row r="1690" hidden="1">
      <c r="A1690" s="21"/>
      <c r="B1690" s="21" t="s">
        <v>2593</v>
      </c>
      <c r="D1690" s="25">
        <v>10.0</v>
      </c>
      <c r="E1690" s="27"/>
      <c r="F1690" s="25">
        <v>0.0</v>
      </c>
      <c r="G1690" s="27"/>
    </row>
    <row r="1691" hidden="1">
      <c r="A1691" s="21"/>
      <c r="B1691" s="21" t="s">
        <v>2594</v>
      </c>
      <c r="D1691" s="25">
        <v>10.0</v>
      </c>
      <c r="E1691" s="27"/>
      <c r="F1691" s="25">
        <v>0.0</v>
      </c>
      <c r="G1691" s="27"/>
    </row>
    <row r="1692" hidden="1">
      <c r="A1692" s="21"/>
      <c r="B1692" s="21" t="s">
        <v>2595</v>
      </c>
      <c r="D1692" s="25">
        <v>10.0</v>
      </c>
      <c r="E1692" s="27"/>
      <c r="F1692" s="25">
        <v>0.0</v>
      </c>
      <c r="G1692" s="27"/>
    </row>
    <row r="1693" hidden="1">
      <c r="A1693" s="21"/>
      <c r="B1693" s="21" t="s">
        <v>2596</v>
      </c>
      <c r="D1693" s="25">
        <v>10.0</v>
      </c>
      <c r="E1693" s="27"/>
      <c r="F1693" s="25">
        <v>0.0</v>
      </c>
      <c r="G1693" s="27"/>
    </row>
    <row r="1694" hidden="1">
      <c r="A1694" s="21"/>
      <c r="B1694" s="21" t="s">
        <v>573</v>
      </c>
      <c r="D1694" s="25">
        <v>10.0</v>
      </c>
      <c r="E1694" s="27"/>
      <c r="F1694" s="25">
        <v>0.0</v>
      </c>
      <c r="G1694" s="27"/>
    </row>
    <row r="1695" hidden="1">
      <c r="A1695" s="21"/>
      <c r="B1695" s="21" t="s">
        <v>574</v>
      </c>
      <c r="D1695" s="25">
        <v>10.0</v>
      </c>
      <c r="E1695" s="27"/>
      <c r="F1695" s="25">
        <v>3.58</v>
      </c>
      <c r="G1695" s="27"/>
    </row>
    <row r="1696" hidden="1">
      <c r="A1696" s="21"/>
      <c r="B1696" s="21" t="s">
        <v>575</v>
      </c>
      <c r="D1696" s="25">
        <v>10.0</v>
      </c>
      <c r="E1696" s="27"/>
      <c r="F1696" s="25">
        <v>0.0</v>
      </c>
      <c r="G1696" s="27"/>
    </row>
    <row r="1697" hidden="1">
      <c r="A1697" s="21"/>
      <c r="B1697" s="21" t="s">
        <v>576</v>
      </c>
      <c r="D1697" s="25">
        <v>10.0</v>
      </c>
      <c r="E1697" s="27"/>
      <c r="F1697" s="25">
        <v>0.0</v>
      </c>
      <c r="G1697" s="27"/>
    </row>
    <row r="1698" hidden="1">
      <c r="A1698" s="21"/>
      <c r="B1698" s="21" t="s">
        <v>577</v>
      </c>
      <c r="D1698" s="25">
        <v>10.0</v>
      </c>
      <c r="E1698" s="27"/>
      <c r="F1698" s="25">
        <v>0.0</v>
      </c>
      <c r="G1698" s="27"/>
    </row>
    <row r="1699" hidden="1">
      <c r="A1699" s="21"/>
      <c r="B1699" s="21" t="s">
        <v>578</v>
      </c>
      <c r="D1699" s="25">
        <v>10.0</v>
      </c>
      <c r="E1699" s="27"/>
      <c r="F1699" s="25">
        <v>0.59</v>
      </c>
      <c r="G1699" s="27"/>
    </row>
    <row r="1700" hidden="1">
      <c r="A1700" s="21"/>
      <c r="B1700" s="21" t="s">
        <v>579</v>
      </c>
      <c r="D1700" s="25">
        <v>10.0</v>
      </c>
      <c r="E1700" s="27"/>
      <c r="F1700" s="25">
        <v>0.94</v>
      </c>
      <c r="G1700" s="27"/>
    </row>
    <row r="1701" hidden="1">
      <c r="A1701" s="21"/>
      <c r="B1701" s="21" t="s">
        <v>580</v>
      </c>
      <c r="D1701" s="25">
        <v>10.0</v>
      </c>
      <c r="E1701" s="27"/>
      <c r="F1701" s="25">
        <v>0.0</v>
      </c>
      <c r="G1701" s="27"/>
    </row>
    <row r="1702" hidden="1">
      <c r="A1702" s="21"/>
      <c r="B1702" s="21" t="s">
        <v>581</v>
      </c>
      <c r="D1702" s="25">
        <v>10.0</v>
      </c>
      <c r="E1702" s="27"/>
      <c r="F1702" s="25">
        <v>0.0</v>
      </c>
      <c r="G1702" s="27"/>
    </row>
    <row r="1703" hidden="1">
      <c r="A1703" s="21"/>
      <c r="B1703" s="21" t="s">
        <v>582</v>
      </c>
      <c r="D1703" s="25">
        <v>10.0</v>
      </c>
      <c r="E1703" s="27"/>
      <c r="F1703" s="25">
        <v>0.89</v>
      </c>
      <c r="G1703" s="27"/>
    </row>
    <row r="1704" hidden="1">
      <c r="A1704" s="21"/>
      <c r="B1704" s="21" t="s">
        <v>583</v>
      </c>
      <c r="D1704" s="25">
        <v>10.0</v>
      </c>
      <c r="E1704" s="27"/>
      <c r="F1704" s="25">
        <v>1.21</v>
      </c>
      <c r="G1704" s="27"/>
    </row>
    <row r="1705" hidden="1">
      <c r="A1705" s="21"/>
      <c r="B1705" s="21" t="s">
        <v>584</v>
      </c>
      <c r="D1705" s="25">
        <v>10.0</v>
      </c>
      <c r="E1705" s="27"/>
      <c r="F1705" s="25">
        <v>1.21</v>
      </c>
      <c r="G1705" s="27"/>
    </row>
    <row r="1706" hidden="1">
      <c r="A1706" s="21"/>
      <c r="B1706" s="21" t="s">
        <v>2597</v>
      </c>
      <c r="D1706" s="25">
        <v>10.0</v>
      </c>
      <c r="E1706" s="27"/>
      <c r="F1706" s="25">
        <v>6.51</v>
      </c>
      <c r="G1706" s="27"/>
    </row>
    <row r="1707" hidden="1">
      <c r="A1707" s="21"/>
      <c r="B1707" s="21" t="s">
        <v>2598</v>
      </c>
      <c r="D1707" s="25">
        <v>10.0</v>
      </c>
      <c r="E1707" s="27"/>
      <c r="F1707" s="25">
        <v>0.0</v>
      </c>
      <c r="G1707" s="27"/>
    </row>
    <row r="1708" hidden="1">
      <c r="A1708" s="21"/>
      <c r="B1708" s="21" t="s">
        <v>2599</v>
      </c>
      <c r="D1708" s="25">
        <v>10.0</v>
      </c>
      <c r="E1708" s="27"/>
      <c r="F1708" s="25">
        <v>0.0</v>
      </c>
      <c r="G1708" s="27"/>
    </row>
    <row r="1709" hidden="1">
      <c r="A1709" s="21"/>
      <c r="B1709" s="21" t="s">
        <v>2600</v>
      </c>
      <c r="D1709" s="25">
        <v>10.0</v>
      </c>
      <c r="E1709" s="27"/>
      <c r="F1709" s="25">
        <v>0.0</v>
      </c>
      <c r="G1709" s="27"/>
    </row>
    <row r="1710" hidden="1">
      <c r="A1710" s="21"/>
      <c r="B1710" s="21" t="s">
        <v>2601</v>
      </c>
      <c r="D1710" s="25">
        <v>10.0</v>
      </c>
      <c r="E1710" s="27"/>
      <c r="F1710" s="25">
        <v>5.22</v>
      </c>
      <c r="G1710" s="27"/>
    </row>
    <row r="1711" hidden="1">
      <c r="A1711" s="21"/>
      <c r="B1711" s="21" t="s">
        <v>2602</v>
      </c>
      <c r="D1711" s="25">
        <v>10.0</v>
      </c>
      <c r="E1711" s="27"/>
      <c r="F1711" s="25">
        <v>0.0</v>
      </c>
      <c r="G1711" s="27"/>
    </row>
    <row r="1712" hidden="1">
      <c r="A1712" s="21"/>
      <c r="B1712" s="21" t="s">
        <v>134</v>
      </c>
      <c r="D1712" s="25">
        <v>10.0</v>
      </c>
      <c r="E1712" s="27"/>
      <c r="F1712" s="25">
        <v>7.94</v>
      </c>
      <c r="G1712" s="27"/>
    </row>
    <row r="1713" hidden="1">
      <c r="A1713" s="21"/>
      <c r="B1713" s="21" t="s">
        <v>2603</v>
      </c>
      <c r="D1713" s="25">
        <v>10.0</v>
      </c>
      <c r="E1713" s="27"/>
      <c r="F1713" s="25">
        <v>0.54</v>
      </c>
      <c r="G1713" s="27"/>
    </row>
    <row r="1714" hidden="1">
      <c r="A1714" s="21"/>
      <c r="B1714" s="21" t="s">
        <v>2604</v>
      </c>
      <c r="D1714" s="25">
        <v>10.0</v>
      </c>
      <c r="E1714" s="27"/>
      <c r="F1714" s="25">
        <v>0.0</v>
      </c>
      <c r="G1714" s="27"/>
    </row>
    <row r="1715" hidden="1">
      <c r="A1715" s="21"/>
      <c r="B1715" s="21" t="s">
        <v>2605</v>
      </c>
      <c r="D1715" s="25">
        <v>10.0</v>
      </c>
      <c r="E1715" s="27"/>
      <c r="F1715" s="25">
        <v>0.0</v>
      </c>
      <c r="G1715" s="27"/>
    </row>
    <row r="1716" hidden="1">
      <c r="A1716" s="21"/>
      <c r="B1716" s="21" t="s">
        <v>2606</v>
      </c>
      <c r="D1716" s="25">
        <v>10.0</v>
      </c>
      <c r="E1716" s="27"/>
      <c r="F1716" s="25">
        <v>8.92</v>
      </c>
      <c r="G1716" s="27"/>
    </row>
    <row r="1717" hidden="1">
      <c r="A1717" s="21"/>
      <c r="B1717" s="21" t="s">
        <v>2607</v>
      </c>
      <c r="D1717" s="25">
        <v>10.0</v>
      </c>
      <c r="E1717" s="27"/>
      <c r="F1717" s="25">
        <v>0.0</v>
      </c>
      <c r="G1717" s="27"/>
    </row>
    <row r="1718" hidden="1">
      <c r="A1718" s="21"/>
      <c r="B1718" s="21" t="s">
        <v>2608</v>
      </c>
      <c r="D1718" s="25">
        <v>10.0</v>
      </c>
      <c r="E1718" s="27"/>
      <c r="F1718" s="25">
        <v>0.0</v>
      </c>
      <c r="G1718" s="27"/>
    </row>
    <row r="1719" hidden="1">
      <c r="A1719" s="21"/>
      <c r="B1719" s="21" t="s">
        <v>2609</v>
      </c>
      <c r="D1719" s="25">
        <v>10.0</v>
      </c>
      <c r="E1719" s="27"/>
      <c r="F1719" s="25">
        <v>0.0</v>
      </c>
      <c r="G1719" s="27"/>
    </row>
    <row r="1720" hidden="1">
      <c r="A1720" s="21"/>
      <c r="B1720" s="21" t="s">
        <v>2610</v>
      </c>
      <c r="D1720" s="25">
        <v>10.0</v>
      </c>
      <c r="E1720" s="27"/>
      <c r="F1720" s="25">
        <v>0.0</v>
      </c>
      <c r="G1720" s="27"/>
    </row>
    <row r="1721" hidden="1">
      <c r="A1721" s="21"/>
      <c r="B1721" s="21" t="s">
        <v>2611</v>
      </c>
      <c r="D1721" s="25">
        <v>10.0</v>
      </c>
      <c r="E1721" s="27"/>
      <c r="F1721" s="25">
        <v>0.0</v>
      </c>
      <c r="G1721" s="27"/>
    </row>
    <row r="1722" hidden="1">
      <c r="A1722" s="21"/>
      <c r="B1722" s="21" t="s">
        <v>2612</v>
      </c>
      <c r="D1722" s="25">
        <v>10.0</v>
      </c>
      <c r="E1722" s="27"/>
      <c r="F1722" s="25">
        <v>0.0</v>
      </c>
      <c r="G1722" s="27"/>
    </row>
    <row r="1723" hidden="1">
      <c r="A1723" s="21"/>
      <c r="B1723" s="21" t="s">
        <v>2613</v>
      </c>
      <c r="D1723" s="25">
        <v>10.0</v>
      </c>
      <c r="E1723" s="27"/>
      <c r="F1723" s="25">
        <v>0.0</v>
      </c>
      <c r="G1723" s="27"/>
    </row>
    <row r="1724" hidden="1">
      <c r="A1724" s="21"/>
      <c r="B1724" s="21" t="s">
        <v>2614</v>
      </c>
      <c r="D1724" s="25">
        <v>10.0</v>
      </c>
      <c r="E1724" s="27"/>
      <c r="F1724" s="25">
        <v>3.87</v>
      </c>
      <c r="G1724" s="27"/>
    </row>
    <row r="1725" hidden="1">
      <c r="A1725" s="21"/>
      <c r="B1725" s="21" t="s">
        <v>2615</v>
      </c>
      <c r="D1725" s="25">
        <v>10.0</v>
      </c>
      <c r="E1725" s="27"/>
      <c r="F1725" s="25">
        <v>0.0</v>
      </c>
      <c r="G1725" s="27"/>
    </row>
    <row r="1726" hidden="1">
      <c r="A1726" s="21"/>
      <c r="B1726" s="21" t="s">
        <v>2616</v>
      </c>
      <c r="D1726" s="25">
        <v>10.0</v>
      </c>
      <c r="E1726" s="27"/>
      <c r="F1726" s="25">
        <v>0.0</v>
      </c>
      <c r="G1726" s="27"/>
    </row>
    <row r="1727" hidden="1">
      <c r="A1727" s="21"/>
      <c r="B1727" s="21" t="s">
        <v>2617</v>
      </c>
      <c r="D1727" s="25">
        <v>10.0</v>
      </c>
      <c r="E1727" s="27"/>
      <c r="F1727" s="25">
        <v>0.0</v>
      </c>
      <c r="G1727" s="27"/>
    </row>
    <row r="1728" hidden="1">
      <c r="A1728" s="21"/>
      <c r="B1728" s="21" t="s">
        <v>2618</v>
      </c>
      <c r="D1728" s="25">
        <v>10.0</v>
      </c>
      <c r="E1728" s="27"/>
      <c r="F1728" s="25">
        <v>0.0</v>
      </c>
      <c r="G1728" s="27"/>
    </row>
    <row r="1729" hidden="1">
      <c r="A1729" s="21"/>
      <c r="B1729" s="21" t="s">
        <v>2619</v>
      </c>
      <c r="D1729" s="25">
        <v>10.0</v>
      </c>
      <c r="E1729" s="27"/>
      <c r="F1729" s="25">
        <v>0.0</v>
      </c>
      <c r="G1729" s="27"/>
    </row>
    <row r="1730" hidden="1">
      <c r="A1730" s="21"/>
      <c r="B1730" s="21" t="s">
        <v>2620</v>
      </c>
      <c r="D1730" s="25">
        <v>10.0</v>
      </c>
      <c r="E1730" s="27"/>
      <c r="F1730" s="25">
        <v>0.0</v>
      </c>
      <c r="G1730" s="27"/>
    </row>
    <row r="1731" hidden="1">
      <c r="A1731" s="21"/>
      <c r="B1731" s="21" t="s">
        <v>2621</v>
      </c>
      <c r="D1731" s="25">
        <v>10.0</v>
      </c>
      <c r="E1731" s="27"/>
      <c r="F1731" s="25">
        <v>0.0</v>
      </c>
      <c r="G1731" s="27"/>
    </row>
    <row r="1732" hidden="1">
      <c r="A1732" s="21"/>
      <c r="B1732" s="21" t="s">
        <v>2622</v>
      </c>
      <c r="D1732" s="25">
        <v>10.0</v>
      </c>
      <c r="E1732" s="27"/>
      <c r="F1732" s="25">
        <v>0.0</v>
      </c>
      <c r="G1732" s="27"/>
    </row>
    <row r="1733" hidden="1">
      <c r="A1733" s="21"/>
      <c r="B1733" s="21" t="s">
        <v>2623</v>
      </c>
      <c r="D1733" s="25">
        <v>10.0</v>
      </c>
      <c r="E1733" s="27"/>
      <c r="F1733" s="25">
        <v>0.0</v>
      </c>
      <c r="G1733" s="27"/>
    </row>
    <row r="1734" hidden="1">
      <c r="A1734" s="21"/>
      <c r="B1734" s="21" t="s">
        <v>2624</v>
      </c>
      <c r="D1734" s="25">
        <v>10.0</v>
      </c>
      <c r="E1734" s="27"/>
      <c r="F1734" s="25">
        <v>0.0</v>
      </c>
      <c r="G1734" s="27"/>
    </row>
    <row r="1735" hidden="1">
      <c r="A1735" s="21"/>
      <c r="B1735" s="21" t="s">
        <v>2625</v>
      </c>
      <c r="D1735" s="25">
        <v>10.0</v>
      </c>
      <c r="E1735" s="27"/>
      <c r="F1735" s="25">
        <v>8.52</v>
      </c>
      <c r="G1735" s="27"/>
    </row>
    <row r="1736" hidden="1">
      <c r="A1736" s="21"/>
      <c r="B1736" s="21" t="s">
        <v>2626</v>
      </c>
      <c r="D1736" s="25">
        <v>10.0</v>
      </c>
      <c r="E1736" s="27"/>
      <c r="F1736" s="25">
        <v>0.0</v>
      </c>
      <c r="G1736" s="27"/>
    </row>
    <row r="1737" hidden="1">
      <c r="A1737" s="21"/>
      <c r="B1737" s="21" t="s">
        <v>2627</v>
      </c>
      <c r="D1737" s="25">
        <v>10.0</v>
      </c>
      <c r="E1737" s="27"/>
      <c r="F1737" s="25">
        <v>1.32</v>
      </c>
      <c r="G1737" s="27"/>
    </row>
    <row r="1738" hidden="1">
      <c r="A1738" s="21"/>
      <c r="B1738" s="21" t="s">
        <v>2628</v>
      </c>
      <c r="D1738" s="25">
        <v>10.0</v>
      </c>
      <c r="E1738" s="27"/>
      <c r="F1738" s="25">
        <v>0.0</v>
      </c>
      <c r="G1738" s="27"/>
    </row>
    <row r="1739" hidden="1">
      <c r="A1739" s="21"/>
      <c r="B1739" s="21" t="s">
        <v>2629</v>
      </c>
      <c r="D1739" s="25">
        <v>10.0</v>
      </c>
      <c r="E1739" s="27"/>
      <c r="F1739" s="25">
        <v>0.0</v>
      </c>
      <c r="G1739" s="27"/>
    </row>
    <row r="1740" hidden="1">
      <c r="A1740" s="21"/>
      <c r="B1740" s="21" t="s">
        <v>2630</v>
      </c>
      <c r="D1740" s="25">
        <v>10.0</v>
      </c>
      <c r="E1740" s="27"/>
      <c r="F1740" s="25">
        <v>3.26</v>
      </c>
      <c r="G1740" s="27"/>
    </row>
    <row r="1741" hidden="1">
      <c r="A1741" s="21"/>
      <c r="B1741" s="21" t="s">
        <v>2631</v>
      </c>
      <c r="D1741" s="25">
        <v>10.0</v>
      </c>
      <c r="E1741" s="27"/>
      <c r="F1741" s="25">
        <v>0.0</v>
      </c>
      <c r="G1741" s="27"/>
    </row>
    <row r="1742" hidden="1">
      <c r="A1742" s="21"/>
      <c r="B1742" s="21" t="s">
        <v>2632</v>
      </c>
      <c r="D1742" s="25">
        <v>10.0</v>
      </c>
      <c r="E1742" s="27"/>
      <c r="F1742" s="25">
        <v>3.93</v>
      </c>
      <c r="G1742" s="27"/>
    </row>
    <row r="1743" hidden="1">
      <c r="A1743" s="21"/>
      <c r="B1743" s="21" t="s">
        <v>2633</v>
      </c>
      <c r="D1743" s="25">
        <v>10.0</v>
      </c>
      <c r="E1743" s="27"/>
      <c r="F1743" s="25">
        <v>0.0</v>
      </c>
      <c r="G1743" s="27"/>
    </row>
    <row r="1744" hidden="1">
      <c r="A1744" s="21"/>
      <c r="B1744" s="21" t="s">
        <v>2634</v>
      </c>
      <c r="D1744" s="25">
        <v>10.0</v>
      </c>
      <c r="E1744" s="27"/>
      <c r="F1744" s="25">
        <v>0.0</v>
      </c>
      <c r="G1744" s="27"/>
    </row>
    <row r="1745" hidden="1">
      <c r="A1745" s="21"/>
      <c r="B1745" s="21" t="s">
        <v>2635</v>
      </c>
      <c r="D1745" s="25">
        <v>10.0</v>
      </c>
      <c r="E1745" s="27"/>
      <c r="F1745" s="25">
        <v>0.0</v>
      </c>
      <c r="G1745" s="27"/>
    </row>
    <row r="1746" hidden="1">
      <c r="A1746" s="21"/>
      <c r="B1746" s="21" t="s">
        <v>2636</v>
      </c>
      <c r="D1746" s="25">
        <v>10.0</v>
      </c>
      <c r="E1746" s="27"/>
      <c r="F1746" s="25">
        <v>0.0</v>
      </c>
      <c r="G1746" s="27"/>
    </row>
    <row r="1747" hidden="1">
      <c r="A1747" s="21"/>
      <c r="B1747" s="21" t="s">
        <v>2637</v>
      </c>
      <c r="D1747" s="25">
        <v>10.0</v>
      </c>
      <c r="E1747" s="27"/>
      <c r="F1747" s="25">
        <v>0.0</v>
      </c>
      <c r="G1747" s="27"/>
    </row>
    <row r="1748" hidden="1">
      <c r="A1748" s="21"/>
      <c r="B1748" s="21" t="s">
        <v>2638</v>
      </c>
      <c r="D1748" s="25">
        <v>10.0</v>
      </c>
      <c r="E1748" s="27"/>
      <c r="F1748" s="25">
        <v>0.0</v>
      </c>
      <c r="G1748" s="27"/>
    </row>
    <row r="1749" hidden="1">
      <c r="A1749" s="21"/>
      <c r="B1749" s="21" t="s">
        <v>2639</v>
      </c>
      <c r="D1749" s="25">
        <v>10.0</v>
      </c>
      <c r="E1749" s="27"/>
      <c r="F1749" s="25">
        <v>0.0</v>
      </c>
      <c r="G1749" s="27"/>
    </row>
    <row r="1750" hidden="1">
      <c r="A1750" s="21"/>
      <c r="B1750" s="21" t="s">
        <v>2640</v>
      </c>
      <c r="D1750" s="25">
        <v>10.0</v>
      </c>
      <c r="E1750" s="27"/>
      <c r="F1750" s="25">
        <v>3.71</v>
      </c>
      <c r="G1750" s="27"/>
    </row>
    <row r="1751" hidden="1">
      <c r="A1751" s="21"/>
      <c r="B1751" s="21" t="s">
        <v>2641</v>
      </c>
      <c r="D1751" s="25">
        <v>10.0</v>
      </c>
      <c r="E1751" s="27"/>
      <c r="F1751" s="25">
        <v>0.0</v>
      </c>
      <c r="G1751" s="27"/>
    </row>
    <row r="1752" hidden="1">
      <c r="A1752" s="21"/>
      <c r="B1752" s="21" t="s">
        <v>2642</v>
      </c>
      <c r="D1752" s="25">
        <v>10.0</v>
      </c>
      <c r="E1752" s="27"/>
      <c r="F1752" s="25">
        <v>0.0</v>
      </c>
      <c r="G1752" s="27"/>
    </row>
    <row r="1753" hidden="1">
      <c r="A1753" s="21"/>
      <c r="B1753" s="21" t="s">
        <v>2643</v>
      </c>
      <c r="D1753" s="25">
        <v>10.0</v>
      </c>
      <c r="E1753" s="27"/>
      <c r="F1753" s="25">
        <v>0.0</v>
      </c>
      <c r="G1753" s="27"/>
    </row>
    <row r="1754" hidden="1">
      <c r="A1754" s="21"/>
      <c r="B1754" s="21" t="s">
        <v>2644</v>
      </c>
      <c r="D1754" s="25">
        <v>10.0</v>
      </c>
      <c r="E1754" s="27"/>
      <c r="F1754" s="25">
        <v>0.0</v>
      </c>
      <c r="G1754" s="27"/>
    </row>
    <row r="1755" hidden="1">
      <c r="A1755" s="21"/>
      <c r="B1755" s="21" t="s">
        <v>2645</v>
      </c>
      <c r="D1755" s="25">
        <v>10.0</v>
      </c>
      <c r="E1755" s="27"/>
      <c r="F1755" s="25">
        <v>0.0</v>
      </c>
      <c r="G1755" s="27"/>
    </row>
    <row r="1756" hidden="1">
      <c r="A1756" s="21"/>
      <c r="B1756" s="21" t="s">
        <v>2646</v>
      </c>
      <c r="D1756" s="25">
        <v>10.0</v>
      </c>
      <c r="E1756" s="27"/>
      <c r="F1756" s="25">
        <v>1.32</v>
      </c>
      <c r="G1756" s="27"/>
    </row>
    <row r="1757" hidden="1">
      <c r="A1757" s="21"/>
      <c r="B1757" s="21" t="s">
        <v>2647</v>
      </c>
      <c r="D1757" s="25">
        <v>10.0</v>
      </c>
      <c r="E1757" s="27"/>
      <c r="F1757" s="25">
        <v>0.0</v>
      </c>
      <c r="G1757" s="27"/>
    </row>
    <row r="1758" hidden="1">
      <c r="A1758" s="21"/>
      <c r="B1758" s="21" t="s">
        <v>2648</v>
      </c>
      <c r="D1758" s="25">
        <v>10.0</v>
      </c>
      <c r="E1758" s="27"/>
      <c r="F1758" s="25">
        <v>3.37</v>
      </c>
      <c r="G1758" s="27"/>
    </row>
    <row r="1759" hidden="1">
      <c r="A1759" s="21"/>
      <c r="B1759" s="21" t="s">
        <v>2649</v>
      </c>
      <c r="D1759" s="25">
        <v>10.0</v>
      </c>
      <c r="E1759" s="27"/>
      <c r="F1759" s="25">
        <v>4.69</v>
      </c>
      <c r="G1759" s="27"/>
    </row>
    <row r="1760" hidden="1">
      <c r="A1760" s="21"/>
      <c r="B1760" s="21" t="s">
        <v>2650</v>
      </c>
      <c r="D1760" s="25">
        <v>10.0</v>
      </c>
      <c r="E1760" s="27"/>
      <c r="F1760" s="25">
        <v>0.0</v>
      </c>
      <c r="G1760" s="27"/>
    </row>
    <row r="1761" hidden="1">
      <c r="A1761" s="21"/>
      <c r="B1761" s="21" t="s">
        <v>2651</v>
      </c>
      <c r="D1761" s="25">
        <v>10.0</v>
      </c>
      <c r="E1761" s="27"/>
      <c r="F1761" s="25">
        <v>5.59</v>
      </c>
      <c r="G1761" s="27"/>
    </row>
    <row r="1762" hidden="1">
      <c r="A1762" s="21"/>
      <c r="B1762" s="21" t="s">
        <v>2652</v>
      </c>
      <c r="D1762" s="25">
        <v>10.0</v>
      </c>
      <c r="E1762" s="27"/>
      <c r="F1762" s="25">
        <v>0.0</v>
      </c>
      <c r="G1762" s="27"/>
    </row>
    <row r="1763" hidden="1">
      <c r="A1763" s="21"/>
      <c r="B1763" s="21" t="s">
        <v>2653</v>
      </c>
      <c r="D1763" s="25">
        <v>10.0</v>
      </c>
      <c r="E1763" s="27"/>
      <c r="F1763" s="25">
        <v>3.31</v>
      </c>
      <c r="G1763" s="27"/>
    </row>
    <row r="1764" hidden="1">
      <c r="A1764" s="21"/>
      <c r="B1764" s="21" t="s">
        <v>2654</v>
      </c>
      <c r="D1764" s="25">
        <v>10.0</v>
      </c>
      <c r="E1764" s="27"/>
      <c r="F1764" s="25">
        <v>3.8</v>
      </c>
      <c r="G1764" s="27"/>
    </row>
    <row r="1765" hidden="1">
      <c r="A1765" s="21"/>
      <c r="B1765" s="21" t="s">
        <v>2655</v>
      </c>
      <c r="D1765" s="25">
        <v>10.0</v>
      </c>
      <c r="E1765" s="27"/>
      <c r="F1765" s="25">
        <v>3.9</v>
      </c>
      <c r="G1765" s="27"/>
    </row>
    <row r="1766" hidden="1">
      <c r="A1766" s="21"/>
      <c r="B1766" s="21" t="s">
        <v>2656</v>
      </c>
      <c r="D1766" s="25">
        <v>10.0</v>
      </c>
      <c r="E1766" s="27"/>
      <c r="F1766" s="25">
        <v>1.07</v>
      </c>
      <c r="G1766" s="27"/>
    </row>
    <row r="1767" hidden="1">
      <c r="A1767" s="21"/>
      <c r="B1767" s="21" t="s">
        <v>2657</v>
      </c>
      <c r="D1767" s="25">
        <v>10.0</v>
      </c>
      <c r="E1767" s="27"/>
      <c r="F1767" s="25">
        <v>3.95</v>
      </c>
      <c r="G1767" s="27"/>
    </row>
    <row r="1768" hidden="1">
      <c r="A1768" s="21"/>
      <c r="B1768" s="21" t="s">
        <v>2658</v>
      </c>
      <c r="D1768" s="25">
        <v>10.0</v>
      </c>
      <c r="E1768" s="27"/>
      <c r="F1768" s="25">
        <v>2.72</v>
      </c>
      <c r="G1768" s="27"/>
    </row>
    <row r="1769" hidden="1">
      <c r="A1769" s="21"/>
      <c r="B1769" s="21" t="s">
        <v>2659</v>
      </c>
      <c r="D1769" s="25">
        <v>10.0</v>
      </c>
      <c r="E1769" s="27"/>
      <c r="F1769" s="25">
        <v>3.71</v>
      </c>
      <c r="G1769" s="27"/>
    </row>
    <row r="1770" hidden="1">
      <c r="A1770" s="21"/>
      <c r="B1770" s="21" t="s">
        <v>2660</v>
      </c>
      <c r="D1770" s="25">
        <v>10.0</v>
      </c>
      <c r="E1770" s="27"/>
      <c r="F1770" s="25">
        <v>1.07</v>
      </c>
      <c r="G1770" s="27"/>
    </row>
    <row r="1771" hidden="1">
      <c r="A1771" s="21"/>
      <c r="B1771" s="21" t="s">
        <v>2661</v>
      </c>
      <c r="D1771" s="25">
        <v>10.0</v>
      </c>
      <c r="E1771" s="27"/>
      <c r="F1771" s="25">
        <v>3.26</v>
      </c>
      <c r="G1771" s="27"/>
    </row>
    <row r="1772" hidden="1">
      <c r="A1772" s="21"/>
      <c r="B1772" s="21" t="s">
        <v>2662</v>
      </c>
      <c r="D1772" s="25">
        <v>10.0</v>
      </c>
      <c r="E1772" s="27"/>
      <c r="F1772" s="25">
        <v>3.35</v>
      </c>
      <c r="G1772" s="27"/>
    </row>
    <row r="1773" hidden="1">
      <c r="A1773" s="21"/>
      <c r="B1773" s="21" t="s">
        <v>2663</v>
      </c>
      <c r="D1773" s="25">
        <v>10.0</v>
      </c>
      <c r="E1773" s="27"/>
      <c r="F1773" s="25">
        <v>5.59</v>
      </c>
      <c r="G1773" s="27"/>
    </row>
    <row r="1774" hidden="1">
      <c r="A1774" s="21"/>
      <c r="B1774" s="21" t="s">
        <v>2664</v>
      </c>
      <c r="D1774" s="25">
        <v>10.0</v>
      </c>
      <c r="E1774" s="27"/>
      <c r="F1774" s="25">
        <v>0.0</v>
      </c>
      <c r="G1774" s="27"/>
    </row>
    <row r="1775" hidden="1">
      <c r="A1775" s="21"/>
      <c r="B1775" s="21" t="s">
        <v>2665</v>
      </c>
      <c r="D1775" s="25">
        <v>10.0</v>
      </c>
      <c r="E1775" s="27"/>
      <c r="F1775" s="25">
        <v>0.0</v>
      </c>
      <c r="G1775" s="27"/>
    </row>
    <row r="1776" hidden="1">
      <c r="A1776" s="21"/>
      <c r="B1776" s="21" t="s">
        <v>2666</v>
      </c>
      <c r="D1776" s="25">
        <v>10.0</v>
      </c>
      <c r="E1776" s="27"/>
      <c r="F1776" s="25">
        <v>0.0</v>
      </c>
      <c r="G1776" s="27"/>
    </row>
    <row r="1777" hidden="1">
      <c r="A1777" s="21"/>
      <c r="B1777" s="21" t="s">
        <v>2667</v>
      </c>
      <c r="D1777" s="25">
        <v>10.0</v>
      </c>
      <c r="E1777" s="27"/>
      <c r="F1777" s="25">
        <v>0.0</v>
      </c>
      <c r="G1777" s="27"/>
    </row>
    <row r="1778" hidden="1">
      <c r="A1778" s="21"/>
      <c r="B1778" s="21" t="s">
        <v>2668</v>
      </c>
      <c r="D1778" s="25">
        <v>10.0</v>
      </c>
      <c r="E1778" s="27"/>
      <c r="F1778" s="25">
        <v>0.0</v>
      </c>
      <c r="G1778" s="27"/>
    </row>
    <row r="1779" hidden="1">
      <c r="A1779" s="21"/>
      <c r="B1779" s="21" t="s">
        <v>2669</v>
      </c>
      <c r="D1779" s="25">
        <v>10.0</v>
      </c>
      <c r="E1779" s="27"/>
      <c r="F1779" s="25">
        <v>0.0</v>
      </c>
      <c r="G1779" s="27"/>
    </row>
    <row r="1780" hidden="1">
      <c r="A1780" s="21"/>
      <c r="B1780" s="21" t="s">
        <v>2670</v>
      </c>
      <c r="D1780" s="25">
        <v>10.0</v>
      </c>
      <c r="E1780" s="27"/>
      <c r="F1780" s="25">
        <v>0.0</v>
      </c>
      <c r="G1780" s="27"/>
    </row>
    <row r="1781" hidden="1">
      <c r="A1781" s="21"/>
      <c r="B1781" s="21" t="s">
        <v>2671</v>
      </c>
      <c r="D1781" s="25">
        <v>10.0</v>
      </c>
      <c r="E1781" s="27"/>
      <c r="F1781" s="25">
        <v>0.0</v>
      </c>
      <c r="G1781" s="27"/>
    </row>
    <row r="1782" hidden="1">
      <c r="A1782" s="21"/>
      <c r="B1782" s="21" t="s">
        <v>2672</v>
      </c>
      <c r="D1782" s="25">
        <v>10.0</v>
      </c>
      <c r="E1782" s="27"/>
      <c r="F1782" s="25">
        <v>0.0</v>
      </c>
      <c r="G1782" s="27"/>
    </row>
    <row r="1783" hidden="1">
      <c r="A1783" s="21"/>
      <c r="B1783" s="21" t="s">
        <v>2673</v>
      </c>
      <c r="D1783" s="25">
        <v>10.0</v>
      </c>
      <c r="E1783" s="27"/>
      <c r="F1783" s="25">
        <v>0.45</v>
      </c>
      <c r="G1783" s="27"/>
    </row>
    <row r="1784" hidden="1">
      <c r="A1784" s="21"/>
      <c r="B1784" s="21" t="s">
        <v>2674</v>
      </c>
      <c r="D1784" s="25">
        <v>10.0</v>
      </c>
      <c r="E1784" s="27"/>
      <c r="F1784" s="25">
        <v>0.0</v>
      </c>
      <c r="G1784" s="27"/>
    </row>
    <row r="1785" hidden="1">
      <c r="A1785" s="21"/>
      <c r="B1785" s="21" t="s">
        <v>2675</v>
      </c>
      <c r="D1785" s="25">
        <v>10.0</v>
      </c>
      <c r="E1785" s="27"/>
      <c r="F1785" s="25">
        <v>0.0</v>
      </c>
      <c r="G1785" s="27"/>
    </row>
    <row r="1786" hidden="1">
      <c r="A1786" s="21"/>
      <c r="B1786" s="21" t="s">
        <v>2676</v>
      </c>
      <c r="D1786" s="25">
        <v>10.0</v>
      </c>
      <c r="E1786" s="27"/>
      <c r="F1786" s="25">
        <v>8.69</v>
      </c>
      <c r="G1786" s="27"/>
    </row>
    <row r="1787" hidden="1">
      <c r="A1787" s="21"/>
      <c r="B1787" s="21" t="s">
        <v>2677</v>
      </c>
      <c r="D1787" s="25">
        <v>10.0</v>
      </c>
      <c r="E1787" s="27"/>
      <c r="F1787" s="25">
        <v>1.61</v>
      </c>
      <c r="G1787" s="27"/>
    </row>
    <row r="1788" hidden="1">
      <c r="A1788" s="21"/>
      <c r="B1788" s="21" t="s">
        <v>2678</v>
      </c>
      <c r="D1788" s="25">
        <v>10.0</v>
      </c>
      <c r="E1788" s="27"/>
      <c r="F1788" s="25">
        <v>1.61</v>
      </c>
      <c r="G1788" s="27"/>
    </row>
    <row r="1789" hidden="1">
      <c r="A1789" s="21"/>
      <c r="B1789" s="21" t="s">
        <v>2679</v>
      </c>
      <c r="D1789" s="25">
        <v>10.0</v>
      </c>
      <c r="E1789" s="27"/>
      <c r="F1789" s="25">
        <v>6.79</v>
      </c>
      <c r="G1789" s="27"/>
    </row>
    <row r="1790" hidden="1">
      <c r="A1790" s="21"/>
      <c r="B1790" s="21" t="s">
        <v>2680</v>
      </c>
      <c r="D1790" s="25">
        <v>10.0</v>
      </c>
      <c r="E1790" s="27"/>
      <c r="F1790" s="25">
        <v>0.0</v>
      </c>
      <c r="G1790" s="27"/>
    </row>
    <row r="1791" hidden="1">
      <c r="A1791" s="21"/>
      <c r="B1791" s="21" t="s">
        <v>2681</v>
      </c>
      <c r="D1791" s="25">
        <v>10.0</v>
      </c>
      <c r="E1791" s="27"/>
      <c r="F1791" s="25">
        <v>4.51</v>
      </c>
      <c r="G1791" s="27"/>
    </row>
    <row r="1792" hidden="1">
      <c r="A1792" s="21"/>
      <c r="B1792" s="21" t="s">
        <v>2682</v>
      </c>
      <c r="D1792" s="25">
        <v>10.0</v>
      </c>
      <c r="E1792" s="27"/>
      <c r="F1792" s="25">
        <v>0.0</v>
      </c>
      <c r="G1792" s="27"/>
    </row>
    <row r="1793" hidden="1">
      <c r="A1793" s="21"/>
      <c r="B1793" s="21" t="s">
        <v>2683</v>
      </c>
      <c r="D1793" s="25">
        <v>10.0</v>
      </c>
      <c r="E1793" s="27"/>
      <c r="F1793" s="25">
        <v>0.0</v>
      </c>
      <c r="G1793" s="27"/>
    </row>
    <row r="1794" hidden="1">
      <c r="A1794" s="21"/>
      <c r="B1794" s="21" t="s">
        <v>2684</v>
      </c>
      <c r="D1794" s="25">
        <v>10.0</v>
      </c>
      <c r="E1794" s="27"/>
      <c r="F1794" s="25">
        <v>0.0</v>
      </c>
      <c r="G1794" s="27"/>
    </row>
    <row r="1795" hidden="1">
      <c r="A1795" s="21"/>
      <c r="B1795" s="21" t="s">
        <v>2685</v>
      </c>
      <c r="D1795" s="25">
        <v>10.0</v>
      </c>
      <c r="E1795" s="27"/>
      <c r="F1795" s="25">
        <v>6.83</v>
      </c>
      <c r="G1795" s="27"/>
    </row>
    <row r="1796" hidden="1">
      <c r="A1796" s="21"/>
      <c r="B1796" s="21" t="s">
        <v>2686</v>
      </c>
      <c r="D1796" s="25">
        <v>10.0</v>
      </c>
      <c r="E1796" s="27"/>
      <c r="F1796" s="25">
        <v>0.0</v>
      </c>
      <c r="G1796" s="27"/>
    </row>
    <row r="1797" hidden="1">
      <c r="A1797" s="21"/>
      <c r="B1797" s="21" t="s">
        <v>2687</v>
      </c>
      <c r="D1797" s="25">
        <v>10.0</v>
      </c>
      <c r="E1797" s="27"/>
      <c r="F1797" s="25">
        <v>0.0</v>
      </c>
      <c r="G1797" s="27"/>
    </row>
    <row r="1798" hidden="1">
      <c r="A1798" s="21"/>
      <c r="B1798" s="21" t="s">
        <v>2688</v>
      </c>
      <c r="D1798" s="25">
        <v>10.0</v>
      </c>
      <c r="E1798" s="27"/>
      <c r="F1798" s="25">
        <v>0.0</v>
      </c>
      <c r="G1798" s="27"/>
    </row>
    <row r="1799" hidden="1">
      <c r="A1799" s="21"/>
      <c r="B1799" s="21" t="s">
        <v>2689</v>
      </c>
      <c r="D1799" s="25">
        <v>10.0</v>
      </c>
      <c r="E1799" s="27"/>
      <c r="F1799" s="25">
        <v>0.0</v>
      </c>
      <c r="G1799" s="27"/>
    </row>
    <row r="1800" hidden="1">
      <c r="A1800" s="21"/>
      <c r="B1800" s="21" t="s">
        <v>2690</v>
      </c>
      <c r="D1800" s="25">
        <v>10.0</v>
      </c>
      <c r="E1800" s="27"/>
      <c r="F1800" s="25">
        <v>0.0</v>
      </c>
      <c r="G1800" s="27"/>
    </row>
    <row r="1801" hidden="1">
      <c r="A1801" s="21"/>
      <c r="B1801" s="21" t="s">
        <v>585</v>
      </c>
      <c r="D1801" s="25">
        <v>10.0</v>
      </c>
      <c r="E1801" s="27"/>
      <c r="F1801" s="25">
        <v>0.0</v>
      </c>
      <c r="G1801" s="27"/>
    </row>
    <row r="1802" hidden="1">
      <c r="A1802" s="21"/>
      <c r="B1802" s="21" t="s">
        <v>586</v>
      </c>
      <c r="D1802" s="25">
        <v>10.0</v>
      </c>
      <c r="E1802" s="27"/>
      <c r="F1802" s="25">
        <v>0.26</v>
      </c>
      <c r="G1802" s="27"/>
    </row>
    <row r="1803" hidden="1">
      <c r="A1803" s="21"/>
      <c r="B1803" s="21" t="s">
        <v>587</v>
      </c>
      <c r="D1803" s="25">
        <v>10.0</v>
      </c>
      <c r="E1803" s="27"/>
      <c r="F1803" s="25">
        <v>0.0</v>
      </c>
      <c r="G1803" s="27"/>
    </row>
    <row r="1804" hidden="1">
      <c r="A1804" s="21"/>
      <c r="B1804" s="21" t="s">
        <v>588</v>
      </c>
      <c r="D1804" s="25">
        <v>10.0</v>
      </c>
      <c r="E1804" s="27"/>
      <c r="F1804" s="25">
        <v>7.4</v>
      </c>
      <c r="G1804" s="27"/>
    </row>
    <row r="1805" hidden="1">
      <c r="A1805" s="21"/>
      <c r="B1805" s="21" t="s">
        <v>2691</v>
      </c>
      <c r="D1805" s="25">
        <v>10.0</v>
      </c>
      <c r="E1805" s="27"/>
      <c r="F1805" s="25">
        <v>0.0</v>
      </c>
      <c r="G1805" s="27"/>
    </row>
    <row r="1806" hidden="1">
      <c r="A1806" s="31"/>
      <c r="B1806" s="31" t="e">
        <v>#NAME?</v>
      </c>
      <c r="C1806" s="27"/>
      <c r="D1806" s="25">
        <v>0.0</v>
      </c>
      <c r="E1806" s="27"/>
      <c r="F1806" s="25">
        <v>0.0</v>
      </c>
      <c r="G1806" s="27"/>
    </row>
    <row r="1807" hidden="1">
      <c r="A1807" s="31"/>
      <c r="B1807" s="31" t="e">
        <v>#NAME?</v>
      </c>
      <c r="C1807" s="27"/>
      <c r="D1807" s="25">
        <v>0.0</v>
      </c>
      <c r="E1807" s="27"/>
      <c r="F1807" s="25">
        <v>0.0</v>
      </c>
      <c r="G1807" s="27"/>
    </row>
    <row r="1808" hidden="1">
      <c r="A1808" s="31"/>
      <c r="B1808" s="31" t="e">
        <v>#NAME?</v>
      </c>
      <c r="C1808" s="27"/>
      <c r="D1808" s="25">
        <v>0.0</v>
      </c>
      <c r="E1808" s="27"/>
      <c r="F1808" s="25">
        <v>0.0</v>
      </c>
      <c r="G1808" s="27"/>
    </row>
    <row r="1809" hidden="1">
      <c r="A1809" s="31"/>
      <c r="B1809" s="31" t="e">
        <v>#NAME?</v>
      </c>
      <c r="C1809" s="27"/>
      <c r="D1809" s="25">
        <v>0.0</v>
      </c>
      <c r="E1809" s="27"/>
      <c r="F1809" s="25">
        <v>0.0</v>
      </c>
      <c r="G1809" s="27"/>
    </row>
    <row r="1810" hidden="1">
      <c r="A1810" s="31"/>
      <c r="B1810" s="31" t="e">
        <v>#NAME?</v>
      </c>
      <c r="C1810" s="27"/>
      <c r="D1810" s="25">
        <v>0.0</v>
      </c>
      <c r="E1810" s="27"/>
      <c r="F1810" s="25">
        <v>0.0</v>
      </c>
      <c r="G1810" s="27"/>
    </row>
    <row r="1811" hidden="1">
      <c r="A1811" s="31"/>
      <c r="B1811" s="31" t="e">
        <v>#NAME?</v>
      </c>
      <c r="C1811" s="27"/>
      <c r="D1811" s="25">
        <v>0.0</v>
      </c>
      <c r="E1811" s="27"/>
      <c r="F1811" s="25">
        <v>0.0</v>
      </c>
      <c r="G1811" s="27"/>
    </row>
    <row r="1812" hidden="1">
      <c r="A1812" s="21"/>
      <c r="B1812" s="21" t="s">
        <v>2692</v>
      </c>
      <c r="D1812" s="25">
        <v>0.0</v>
      </c>
      <c r="E1812" s="27"/>
      <c r="F1812" s="25">
        <v>0.0</v>
      </c>
      <c r="G1812" s="27"/>
    </row>
    <row r="1813" hidden="1">
      <c r="A1813" s="21"/>
      <c r="B1813" s="21" t="s">
        <v>2693</v>
      </c>
      <c r="D1813" s="25">
        <v>0.0</v>
      </c>
      <c r="E1813" s="27"/>
      <c r="F1813" s="25">
        <v>0.0</v>
      </c>
      <c r="G1813" s="27"/>
    </row>
    <row r="1814" hidden="1">
      <c r="A1814" s="21"/>
      <c r="B1814" s="21" t="s">
        <v>2694</v>
      </c>
      <c r="D1814" s="25">
        <v>0.0</v>
      </c>
      <c r="E1814" s="27"/>
      <c r="F1814" s="25">
        <v>0.0</v>
      </c>
      <c r="G1814" s="27"/>
    </row>
    <row r="1815" hidden="1">
      <c r="A1815" s="21"/>
      <c r="B1815" s="21" t="s">
        <v>2695</v>
      </c>
      <c r="D1815" s="25">
        <v>0.0</v>
      </c>
      <c r="E1815" s="27"/>
      <c r="F1815" s="25">
        <v>0.0</v>
      </c>
      <c r="G1815" s="27"/>
    </row>
    <row r="1816" hidden="1">
      <c r="A1816" s="21"/>
      <c r="B1816" s="21" t="s">
        <v>2696</v>
      </c>
      <c r="D1816" s="25">
        <v>0.0</v>
      </c>
      <c r="E1816" s="27"/>
      <c r="F1816" s="25">
        <v>0.0</v>
      </c>
      <c r="G1816" s="27"/>
    </row>
    <row r="1817" hidden="1">
      <c r="A1817" s="21"/>
      <c r="B1817" s="21" t="s">
        <v>2697</v>
      </c>
      <c r="D1817" s="25">
        <v>0.0</v>
      </c>
      <c r="E1817" s="27"/>
      <c r="F1817" s="25">
        <v>0.0</v>
      </c>
      <c r="G1817" s="27"/>
    </row>
    <row r="1818" hidden="1">
      <c r="A1818" s="21"/>
      <c r="B1818" s="21" t="s">
        <v>2698</v>
      </c>
      <c r="D1818" s="25">
        <v>0.0</v>
      </c>
      <c r="E1818" s="27"/>
      <c r="F1818" s="25">
        <v>0.0</v>
      </c>
      <c r="G1818" s="27"/>
    </row>
    <row r="1819" hidden="1">
      <c r="A1819" s="21"/>
      <c r="B1819" s="21" t="s">
        <v>2699</v>
      </c>
      <c r="D1819" s="25">
        <v>0.0</v>
      </c>
      <c r="E1819" s="27"/>
      <c r="F1819" s="25">
        <v>0.0</v>
      </c>
      <c r="G1819" s="27"/>
    </row>
    <row r="1820" hidden="1">
      <c r="A1820" s="21"/>
      <c r="B1820" s="21" t="s">
        <v>2700</v>
      </c>
      <c r="D1820" s="25">
        <v>0.0</v>
      </c>
      <c r="E1820" s="27"/>
      <c r="F1820" s="25">
        <v>0.0</v>
      </c>
      <c r="G1820" s="27"/>
    </row>
    <row r="1821" hidden="1">
      <c r="A1821" s="21"/>
      <c r="B1821" s="21" t="s">
        <v>2701</v>
      </c>
      <c r="D1821" s="25">
        <v>0.0</v>
      </c>
      <c r="E1821" s="27"/>
      <c r="F1821" s="25">
        <v>0.0</v>
      </c>
      <c r="G1821" s="27"/>
    </row>
    <row r="1822" hidden="1">
      <c r="A1822" s="21"/>
      <c r="B1822" s="21" t="s">
        <v>2702</v>
      </c>
      <c r="D1822" s="25">
        <v>0.0</v>
      </c>
      <c r="E1822" s="27"/>
      <c r="F1822" s="25">
        <v>0.0</v>
      </c>
      <c r="G1822" s="27"/>
    </row>
    <row r="1823" hidden="1">
      <c r="A1823" s="21"/>
      <c r="B1823" s="21" t="s">
        <v>2703</v>
      </c>
      <c r="D1823" s="25">
        <v>0.0</v>
      </c>
      <c r="E1823" s="27"/>
      <c r="F1823" s="25">
        <v>0.0</v>
      </c>
      <c r="G1823" s="27"/>
    </row>
    <row r="1824" hidden="1">
      <c r="A1824" s="21"/>
      <c r="B1824" s="21" t="s">
        <v>2704</v>
      </c>
      <c r="D1824" s="25">
        <v>0.0</v>
      </c>
      <c r="E1824" s="27"/>
      <c r="F1824" s="25">
        <v>0.0</v>
      </c>
      <c r="G1824" s="27"/>
    </row>
    <row r="1825" hidden="1">
      <c r="A1825" s="21"/>
      <c r="B1825" s="21" t="s">
        <v>589</v>
      </c>
      <c r="D1825" s="25">
        <v>0.0</v>
      </c>
      <c r="E1825" s="27"/>
      <c r="F1825" s="25">
        <v>0.0</v>
      </c>
      <c r="G1825" s="27"/>
    </row>
    <row r="1826" hidden="1">
      <c r="A1826" s="21"/>
      <c r="B1826" s="21" t="s">
        <v>590</v>
      </c>
      <c r="D1826" s="25">
        <v>0.0</v>
      </c>
      <c r="E1826" s="27"/>
      <c r="F1826" s="25">
        <v>0.0</v>
      </c>
      <c r="G1826" s="27"/>
    </row>
    <row r="1827" hidden="1">
      <c r="A1827" s="21"/>
      <c r="B1827" s="21" t="s">
        <v>591</v>
      </c>
      <c r="D1827" s="25">
        <v>0.0</v>
      </c>
      <c r="E1827" s="27"/>
      <c r="F1827" s="25">
        <v>0.0</v>
      </c>
      <c r="G1827" s="27"/>
    </row>
    <row r="1828" hidden="1">
      <c r="A1828" s="21"/>
      <c r="B1828" s="21" t="s">
        <v>592</v>
      </c>
      <c r="D1828" s="25">
        <v>0.0</v>
      </c>
      <c r="E1828" s="27"/>
      <c r="F1828" s="25">
        <v>0.0</v>
      </c>
      <c r="G1828" s="27"/>
    </row>
    <row r="1829" hidden="1">
      <c r="A1829" s="21"/>
      <c r="B1829" s="21" t="s">
        <v>593</v>
      </c>
      <c r="D1829" s="25">
        <v>0.0</v>
      </c>
      <c r="E1829" s="27"/>
      <c r="F1829" s="25">
        <v>0.0</v>
      </c>
      <c r="G1829" s="27"/>
    </row>
    <row r="1830" hidden="1">
      <c r="A1830" s="21"/>
      <c r="B1830" s="21" t="s">
        <v>594</v>
      </c>
      <c r="D1830" s="25">
        <v>0.0</v>
      </c>
      <c r="E1830" s="27"/>
      <c r="F1830" s="25">
        <v>0.0</v>
      </c>
      <c r="G1830" s="27"/>
    </row>
    <row r="1831" hidden="1">
      <c r="A1831" s="21"/>
      <c r="B1831" s="21" t="s">
        <v>595</v>
      </c>
      <c r="D1831" s="25">
        <v>0.0</v>
      </c>
      <c r="E1831" s="27"/>
      <c r="F1831" s="25">
        <v>0.0</v>
      </c>
      <c r="G1831" s="27"/>
    </row>
    <row r="1832" hidden="1">
      <c r="A1832" s="21"/>
      <c r="B1832" s="21" t="s">
        <v>596</v>
      </c>
      <c r="D1832" s="25">
        <v>0.0</v>
      </c>
      <c r="E1832" s="27"/>
      <c r="F1832" s="25">
        <v>0.0</v>
      </c>
      <c r="G1832" s="27"/>
    </row>
    <row r="1833" hidden="1">
      <c r="A1833" s="21"/>
      <c r="B1833" s="21" t="s">
        <v>597</v>
      </c>
      <c r="D1833" s="25">
        <v>0.0</v>
      </c>
      <c r="E1833" s="27"/>
      <c r="F1833" s="25">
        <v>0.0</v>
      </c>
      <c r="G1833" s="27"/>
    </row>
    <row r="1834" hidden="1">
      <c r="A1834" s="21"/>
      <c r="B1834" s="21" t="s">
        <v>598</v>
      </c>
      <c r="D1834" s="25">
        <v>0.0</v>
      </c>
      <c r="E1834" s="27"/>
      <c r="F1834" s="25">
        <v>0.0</v>
      </c>
      <c r="G1834" s="27"/>
    </row>
    <row r="1835" hidden="1">
      <c r="A1835" s="21"/>
      <c r="B1835" s="21" t="s">
        <v>599</v>
      </c>
      <c r="D1835" s="25">
        <v>0.0</v>
      </c>
      <c r="E1835" s="27"/>
      <c r="F1835" s="25">
        <v>0.0</v>
      </c>
      <c r="G1835" s="27"/>
    </row>
    <row r="1836" hidden="1">
      <c r="A1836" s="21"/>
      <c r="B1836" s="21" t="s">
        <v>600</v>
      </c>
      <c r="D1836" s="25">
        <v>0.0</v>
      </c>
      <c r="E1836" s="27"/>
      <c r="F1836" s="25">
        <v>0.0</v>
      </c>
      <c r="G1836" s="27"/>
    </row>
    <row r="1837" hidden="1">
      <c r="A1837" s="21"/>
      <c r="B1837" s="21" t="s">
        <v>601</v>
      </c>
      <c r="D1837" s="25">
        <v>0.0</v>
      </c>
      <c r="E1837" s="27"/>
      <c r="F1837" s="25">
        <v>0.0</v>
      </c>
      <c r="G1837" s="27"/>
    </row>
    <row r="1838" hidden="1">
      <c r="A1838" s="21"/>
      <c r="B1838" s="21" t="s">
        <v>602</v>
      </c>
      <c r="D1838" s="25">
        <v>0.0</v>
      </c>
      <c r="E1838" s="27"/>
      <c r="F1838" s="25">
        <v>0.0</v>
      </c>
      <c r="G1838" s="27"/>
    </row>
    <row r="1839" hidden="1">
      <c r="A1839" s="21"/>
      <c r="B1839" s="21" t="s">
        <v>603</v>
      </c>
      <c r="D1839" s="25">
        <v>0.0</v>
      </c>
      <c r="E1839" s="27"/>
      <c r="F1839" s="25">
        <v>0.0</v>
      </c>
      <c r="G1839" s="27"/>
    </row>
    <row r="1840" hidden="1">
      <c r="A1840" s="21"/>
      <c r="B1840" s="21" t="s">
        <v>604</v>
      </c>
      <c r="D1840" s="25">
        <v>0.0</v>
      </c>
      <c r="E1840" s="27"/>
      <c r="F1840" s="25">
        <v>7.36</v>
      </c>
      <c r="G1840" s="27"/>
    </row>
    <row r="1841" hidden="1">
      <c r="A1841" s="21"/>
      <c r="B1841" s="21" t="s">
        <v>605</v>
      </c>
      <c r="D1841" s="25">
        <v>0.0</v>
      </c>
      <c r="E1841" s="27"/>
      <c r="F1841" s="25">
        <v>0.0</v>
      </c>
      <c r="G1841" s="27"/>
    </row>
    <row r="1842" hidden="1">
      <c r="A1842" s="21"/>
      <c r="B1842" s="21" t="s">
        <v>606</v>
      </c>
      <c r="D1842" s="25">
        <v>0.0</v>
      </c>
      <c r="E1842" s="27"/>
      <c r="F1842" s="25">
        <v>0.0</v>
      </c>
      <c r="G1842" s="27"/>
    </row>
    <row r="1843" hidden="1">
      <c r="A1843" s="21"/>
      <c r="B1843" s="21" t="s">
        <v>607</v>
      </c>
      <c r="D1843" s="25">
        <v>0.0</v>
      </c>
      <c r="E1843" s="27"/>
      <c r="F1843" s="25">
        <v>0.0</v>
      </c>
      <c r="G1843" s="27"/>
    </row>
    <row r="1844" hidden="1">
      <c r="A1844" s="21"/>
      <c r="B1844" s="21" t="s">
        <v>608</v>
      </c>
      <c r="D1844" s="25">
        <v>0.0</v>
      </c>
      <c r="E1844" s="27"/>
      <c r="F1844" s="25">
        <v>0.0</v>
      </c>
      <c r="G1844" s="27"/>
    </row>
    <row r="1845" hidden="1">
      <c r="A1845" s="21"/>
      <c r="B1845" s="21" t="s">
        <v>609</v>
      </c>
      <c r="D1845" s="25">
        <v>0.0</v>
      </c>
      <c r="E1845" s="27"/>
      <c r="F1845" s="25">
        <v>0.0</v>
      </c>
      <c r="G1845" s="27"/>
    </row>
    <row r="1846" hidden="1">
      <c r="A1846" s="21"/>
      <c r="B1846" s="21" t="s">
        <v>2705</v>
      </c>
      <c r="D1846" s="25">
        <v>0.0</v>
      </c>
      <c r="E1846" s="27"/>
      <c r="F1846" s="25">
        <v>6.36</v>
      </c>
      <c r="G1846" s="27"/>
    </row>
    <row r="1847" hidden="1">
      <c r="A1847" s="21"/>
      <c r="B1847" s="21" t="s">
        <v>2706</v>
      </c>
      <c r="D1847" s="25">
        <v>0.0</v>
      </c>
      <c r="E1847" s="27"/>
      <c r="F1847" s="25">
        <v>0.0</v>
      </c>
      <c r="G1847" s="27"/>
    </row>
    <row r="1848" hidden="1">
      <c r="A1848" s="21"/>
      <c r="B1848" s="21" t="s">
        <v>2707</v>
      </c>
      <c r="D1848" s="25">
        <v>0.0</v>
      </c>
      <c r="E1848" s="27"/>
      <c r="F1848" s="25">
        <v>0.0</v>
      </c>
      <c r="G1848" s="27"/>
    </row>
    <row r="1849" hidden="1">
      <c r="A1849" s="21"/>
      <c r="B1849" s="21" t="s">
        <v>2708</v>
      </c>
      <c r="D1849" s="25">
        <v>0.0</v>
      </c>
      <c r="E1849" s="27"/>
      <c r="F1849" s="25">
        <v>0.0</v>
      </c>
      <c r="G1849" s="27"/>
    </row>
    <row r="1850" hidden="1">
      <c r="A1850" s="21"/>
      <c r="B1850" s="21" t="s">
        <v>2709</v>
      </c>
      <c r="D1850" s="25">
        <v>0.0</v>
      </c>
      <c r="E1850" s="27"/>
      <c r="F1850" s="25">
        <v>0.0</v>
      </c>
      <c r="G1850" s="27"/>
    </row>
    <row r="1851" hidden="1">
      <c r="A1851" s="21"/>
      <c r="B1851" s="21" t="s">
        <v>2710</v>
      </c>
      <c r="D1851" s="25">
        <v>0.0</v>
      </c>
      <c r="E1851" s="27"/>
      <c r="F1851" s="25">
        <v>0.0</v>
      </c>
      <c r="G1851" s="27"/>
    </row>
    <row r="1852" hidden="1">
      <c r="A1852" s="21"/>
      <c r="B1852" s="21" t="s">
        <v>2711</v>
      </c>
      <c r="D1852" s="25">
        <v>0.0</v>
      </c>
      <c r="E1852" s="27"/>
      <c r="F1852" s="25">
        <v>0.0</v>
      </c>
      <c r="G1852" s="27"/>
    </row>
    <row r="1853" hidden="1">
      <c r="A1853" s="21"/>
      <c r="B1853" s="21" t="s">
        <v>2712</v>
      </c>
      <c r="D1853" s="25">
        <v>0.0</v>
      </c>
      <c r="E1853" s="27"/>
      <c r="F1853" s="25">
        <v>0.0</v>
      </c>
      <c r="G1853" s="27"/>
    </row>
    <row r="1854" hidden="1">
      <c r="A1854" s="21"/>
      <c r="B1854" s="21" t="s">
        <v>2713</v>
      </c>
      <c r="D1854" s="25">
        <v>0.0</v>
      </c>
      <c r="E1854" s="27"/>
      <c r="F1854" s="25">
        <v>0.0</v>
      </c>
      <c r="G1854" s="27"/>
    </row>
    <row r="1855" hidden="1">
      <c r="A1855" s="21"/>
      <c r="B1855" s="21" t="s">
        <v>2714</v>
      </c>
      <c r="D1855" s="25">
        <v>0.0</v>
      </c>
      <c r="E1855" s="27"/>
      <c r="F1855" s="25">
        <v>0.0</v>
      </c>
      <c r="G1855" s="27"/>
    </row>
    <row r="1856" hidden="1">
      <c r="A1856" s="21"/>
      <c r="B1856" s="21" t="s">
        <v>2715</v>
      </c>
      <c r="D1856" s="25">
        <v>0.0</v>
      </c>
      <c r="E1856" s="27"/>
      <c r="F1856" s="25">
        <v>0.0</v>
      </c>
      <c r="G1856" s="27"/>
    </row>
    <row r="1857" hidden="1">
      <c r="A1857" s="21"/>
      <c r="B1857" s="21" t="s">
        <v>2716</v>
      </c>
      <c r="D1857" s="25">
        <v>0.0</v>
      </c>
      <c r="E1857" s="27"/>
      <c r="F1857" s="25">
        <v>0.0</v>
      </c>
      <c r="G1857" s="27"/>
    </row>
    <row r="1858" hidden="1">
      <c r="A1858" s="21"/>
      <c r="B1858" s="21" t="s">
        <v>2717</v>
      </c>
      <c r="D1858" s="25">
        <v>0.0</v>
      </c>
      <c r="E1858" s="27"/>
      <c r="F1858" s="25">
        <v>0.0</v>
      </c>
      <c r="G1858" s="27"/>
    </row>
    <row r="1859" hidden="1">
      <c r="A1859" s="21"/>
      <c r="B1859" s="21" t="s">
        <v>2718</v>
      </c>
      <c r="D1859" s="25">
        <v>0.0</v>
      </c>
      <c r="E1859" s="27"/>
      <c r="F1859" s="25">
        <v>0.0</v>
      </c>
      <c r="G1859" s="27"/>
    </row>
    <row r="1860" hidden="1">
      <c r="A1860" s="21"/>
      <c r="B1860" s="21" t="s">
        <v>2719</v>
      </c>
      <c r="D1860" s="25">
        <v>0.0</v>
      </c>
      <c r="E1860" s="27"/>
      <c r="F1860" s="25">
        <v>0.0</v>
      </c>
      <c r="G1860" s="27"/>
    </row>
    <row r="1861" hidden="1">
      <c r="A1861" s="21"/>
      <c r="B1861" s="21" t="s">
        <v>2720</v>
      </c>
      <c r="D1861" s="25">
        <v>0.0</v>
      </c>
      <c r="E1861" s="27"/>
      <c r="F1861" s="25">
        <v>0.0</v>
      </c>
      <c r="G1861" s="27"/>
    </row>
    <row r="1862" hidden="1">
      <c r="A1862" s="21"/>
      <c r="B1862" s="21" t="s">
        <v>2721</v>
      </c>
      <c r="D1862" s="25">
        <v>0.0</v>
      </c>
      <c r="E1862" s="27"/>
      <c r="F1862" s="25">
        <v>0.0</v>
      </c>
      <c r="G1862" s="27"/>
    </row>
    <row r="1863" hidden="1">
      <c r="A1863" s="21"/>
      <c r="B1863" s="21" t="s">
        <v>2722</v>
      </c>
      <c r="D1863" s="25">
        <v>0.0</v>
      </c>
      <c r="E1863" s="27"/>
      <c r="F1863" s="25">
        <v>0.0</v>
      </c>
      <c r="G1863" s="27"/>
    </row>
    <row r="1864" hidden="1">
      <c r="A1864" s="21"/>
      <c r="B1864" s="21" t="s">
        <v>2723</v>
      </c>
      <c r="D1864" s="25">
        <v>0.0</v>
      </c>
      <c r="E1864" s="27"/>
      <c r="F1864" s="25">
        <v>0.0</v>
      </c>
      <c r="G1864" s="27"/>
    </row>
    <row r="1865" hidden="1">
      <c r="A1865" s="21"/>
      <c r="B1865" s="21" t="s">
        <v>2724</v>
      </c>
      <c r="D1865" s="25">
        <v>0.0</v>
      </c>
      <c r="E1865" s="27"/>
      <c r="F1865" s="25">
        <v>0.0</v>
      </c>
      <c r="G1865" s="27"/>
    </row>
    <row r="1866" hidden="1">
      <c r="A1866" s="21"/>
      <c r="B1866" s="21" t="s">
        <v>2725</v>
      </c>
      <c r="D1866" s="25">
        <v>0.0</v>
      </c>
      <c r="E1866" s="27"/>
      <c r="F1866" s="25">
        <v>0.0</v>
      </c>
      <c r="G1866" s="27"/>
    </row>
    <row r="1867" hidden="1">
      <c r="A1867" s="21"/>
      <c r="B1867" s="21" t="s">
        <v>2726</v>
      </c>
      <c r="D1867" s="25">
        <v>0.0</v>
      </c>
      <c r="E1867" s="27"/>
      <c r="F1867" s="25">
        <v>0.0</v>
      </c>
      <c r="G1867" s="27"/>
    </row>
    <row r="1868" hidden="1">
      <c r="A1868" s="21"/>
      <c r="B1868" s="21" t="s">
        <v>2727</v>
      </c>
      <c r="D1868" s="25">
        <v>0.0</v>
      </c>
      <c r="E1868" s="27"/>
      <c r="F1868" s="25">
        <v>0.0</v>
      </c>
      <c r="G1868" s="27"/>
    </row>
    <row r="1869" hidden="1">
      <c r="A1869" s="21"/>
      <c r="B1869" s="21" t="s">
        <v>2728</v>
      </c>
      <c r="D1869" s="25">
        <v>0.0</v>
      </c>
      <c r="E1869" s="27"/>
      <c r="F1869" s="25">
        <v>0.0</v>
      </c>
      <c r="G1869" s="27"/>
    </row>
    <row r="1870" hidden="1">
      <c r="A1870" s="21"/>
      <c r="B1870" s="21" t="s">
        <v>2729</v>
      </c>
      <c r="D1870" s="25">
        <v>0.0</v>
      </c>
      <c r="E1870" s="27"/>
      <c r="F1870" s="25">
        <v>4.56</v>
      </c>
      <c r="G1870" s="27"/>
    </row>
    <row r="1871" hidden="1">
      <c r="A1871" s="21"/>
      <c r="B1871" s="21" t="s">
        <v>2730</v>
      </c>
      <c r="D1871" s="25">
        <v>0.0</v>
      </c>
      <c r="E1871" s="27"/>
      <c r="F1871" s="25">
        <v>0.0</v>
      </c>
      <c r="G1871" s="27"/>
    </row>
    <row r="1872" hidden="1">
      <c r="A1872" s="21"/>
      <c r="B1872" s="21" t="s">
        <v>2731</v>
      </c>
      <c r="D1872" s="25">
        <v>0.0</v>
      </c>
      <c r="E1872" s="27"/>
      <c r="F1872" s="25">
        <v>0.0</v>
      </c>
      <c r="G1872" s="27"/>
    </row>
    <row r="1873" hidden="1">
      <c r="A1873" s="21"/>
      <c r="B1873" s="21" t="s">
        <v>2732</v>
      </c>
      <c r="D1873" s="25">
        <v>0.0</v>
      </c>
      <c r="E1873" s="27"/>
      <c r="F1873" s="25">
        <v>0.0</v>
      </c>
      <c r="G1873" s="27"/>
    </row>
    <row r="1874" hidden="1">
      <c r="A1874" s="21"/>
      <c r="B1874" s="21" t="s">
        <v>2733</v>
      </c>
      <c r="D1874" s="25">
        <v>0.0</v>
      </c>
      <c r="E1874" s="27"/>
      <c r="F1874" s="25">
        <v>0.0</v>
      </c>
      <c r="G1874" s="27"/>
    </row>
    <row r="1875" hidden="1">
      <c r="A1875" s="21"/>
      <c r="B1875" s="21" t="s">
        <v>2734</v>
      </c>
      <c r="D1875" s="25">
        <v>0.0</v>
      </c>
      <c r="E1875" s="27"/>
      <c r="F1875" s="25">
        <v>0.0</v>
      </c>
      <c r="G1875" s="27"/>
    </row>
    <row r="1876" hidden="1">
      <c r="A1876" s="21"/>
      <c r="B1876" s="21" t="s">
        <v>2735</v>
      </c>
      <c r="D1876" s="25">
        <v>0.0</v>
      </c>
      <c r="E1876" s="27"/>
      <c r="F1876" s="25">
        <v>0.0</v>
      </c>
      <c r="G1876" s="27"/>
    </row>
    <row r="1877" hidden="1">
      <c r="A1877" s="21"/>
      <c r="B1877" s="21" t="s">
        <v>2736</v>
      </c>
      <c r="D1877" s="25">
        <v>0.0</v>
      </c>
      <c r="E1877" s="27"/>
      <c r="F1877" s="25">
        <v>0.0</v>
      </c>
      <c r="G1877" s="27"/>
    </row>
    <row r="1878" hidden="1">
      <c r="A1878" s="21"/>
      <c r="B1878" s="21" t="s">
        <v>2737</v>
      </c>
      <c r="D1878" s="25">
        <v>0.0</v>
      </c>
      <c r="E1878" s="27"/>
      <c r="F1878" s="25">
        <v>0.0</v>
      </c>
      <c r="G1878" s="27"/>
    </row>
    <row r="1879" hidden="1">
      <c r="A1879" s="21"/>
      <c r="B1879" s="21" t="s">
        <v>2738</v>
      </c>
      <c r="D1879" s="25">
        <v>0.0</v>
      </c>
      <c r="E1879" s="27"/>
      <c r="F1879" s="25">
        <v>0.0</v>
      </c>
      <c r="G1879" s="27"/>
    </row>
    <row r="1880" hidden="1">
      <c r="A1880" s="21"/>
      <c r="B1880" s="21" t="s">
        <v>2739</v>
      </c>
      <c r="D1880" s="25">
        <v>0.0</v>
      </c>
      <c r="E1880" s="27"/>
      <c r="F1880" s="25">
        <v>0.0</v>
      </c>
      <c r="G1880" s="27"/>
    </row>
    <row r="1881" hidden="1">
      <c r="A1881" s="21"/>
      <c r="B1881" s="21" t="s">
        <v>2740</v>
      </c>
      <c r="D1881" s="25">
        <v>0.0</v>
      </c>
      <c r="E1881" s="27"/>
      <c r="F1881" s="25">
        <v>0.0</v>
      </c>
      <c r="G1881" s="27"/>
    </row>
    <row r="1882" hidden="1">
      <c r="A1882" s="21"/>
      <c r="B1882" s="21" t="s">
        <v>2741</v>
      </c>
      <c r="D1882" s="25">
        <v>0.0</v>
      </c>
      <c r="E1882" s="27"/>
      <c r="F1882" s="25">
        <v>0.0</v>
      </c>
      <c r="G1882" s="27"/>
    </row>
    <row r="1883" hidden="1">
      <c r="A1883" s="21"/>
      <c r="B1883" s="21" t="s">
        <v>2742</v>
      </c>
      <c r="D1883" s="25">
        <v>0.0</v>
      </c>
      <c r="E1883" s="27"/>
      <c r="F1883" s="25">
        <v>0.0</v>
      </c>
      <c r="G1883" s="27"/>
    </row>
    <row r="1884" hidden="1">
      <c r="A1884" s="21"/>
      <c r="B1884" s="21" t="s">
        <v>2743</v>
      </c>
      <c r="D1884" s="25">
        <v>0.0</v>
      </c>
      <c r="E1884" s="27"/>
      <c r="F1884" s="25">
        <v>0.0</v>
      </c>
      <c r="G1884" s="27"/>
    </row>
    <row r="1885" hidden="1">
      <c r="A1885" s="21"/>
      <c r="B1885" s="21" t="s">
        <v>2744</v>
      </c>
      <c r="D1885" s="25">
        <v>0.0</v>
      </c>
      <c r="E1885" s="27"/>
      <c r="F1885" s="25">
        <v>0.0</v>
      </c>
      <c r="G1885" s="27"/>
    </row>
    <row r="1886" hidden="1">
      <c r="A1886" s="21"/>
      <c r="B1886" s="21" t="s">
        <v>2745</v>
      </c>
      <c r="D1886" s="25">
        <v>0.0</v>
      </c>
      <c r="E1886" s="27"/>
      <c r="F1886" s="25">
        <v>0.0</v>
      </c>
      <c r="G1886" s="27"/>
    </row>
    <row r="1887" hidden="1">
      <c r="A1887" s="21"/>
      <c r="B1887" s="21" t="s">
        <v>2746</v>
      </c>
      <c r="D1887" s="25">
        <v>0.0</v>
      </c>
      <c r="E1887" s="27"/>
      <c r="F1887" s="25">
        <v>0.0</v>
      </c>
      <c r="G1887" s="27"/>
    </row>
    <row r="1888" hidden="1">
      <c r="A1888" s="21"/>
      <c r="B1888" s="21" t="s">
        <v>2747</v>
      </c>
      <c r="D1888" s="25">
        <v>0.0</v>
      </c>
      <c r="E1888" s="27"/>
      <c r="F1888" s="25">
        <v>0.0</v>
      </c>
      <c r="G1888" s="27"/>
    </row>
    <row r="1889" hidden="1">
      <c r="A1889" s="21"/>
      <c r="B1889" s="21" t="s">
        <v>2748</v>
      </c>
      <c r="D1889" s="25">
        <v>0.0</v>
      </c>
      <c r="E1889" s="27"/>
      <c r="F1889" s="25">
        <v>0.0</v>
      </c>
      <c r="G1889" s="27"/>
    </row>
    <row r="1890" hidden="1">
      <c r="A1890" s="21"/>
      <c r="B1890" s="21" t="s">
        <v>2749</v>
      </c>
      <c r="D1890" s="25">
        <v>0.0</v>
      </c>
      <c r="E1890" s="27"/>
      <c r="F1890" s="25">
        <v>0.0</v>
      </c>
      <c r="G1890" s="27"/>
    </row>
    <row r="1891" hidden="1">
      <c r="A1891" s="21"/>
      <c r="B1891" s="21" t="s">
        <v>2750</v>
      </c>
      <c r="D1891" s="25">
        <v>0.0</v>
      </c>
      <c r="E1891" s="27"/>
      <c r="F1891" s="25">
        <v>0.0</v>
      </c>
      <c r="G1891" s="27"/>
    </row>
    <row r="1892" hidden="1">
      <c r="A1892" s="21"/>
      <c r="B1892" s="21" t="s">
        <v>2751</v>
      </c>
      <c r="D1892" s="25">
        <v>0.0</v>
      </c>
      <c r="E1892" s="27"/>
      <c r="F1892" s="25">
        <v>0.0</v>
      </c>
      <c r="G1892" s="27"/>
    </row>
    <row r="1893" hidden="1">
      <c r="A1893" s="21"/>
      <c r="B1893" s="21" t="s">
        <v>2752</v>
      </c>
      <c r="D1893" s="25">
        <v>0.0</v>
      </c>
      <c r="E1893" s="27"/>
      <c r="F1893" s="25">
        <v>0.0</v>
      </c>
      <c r="G1893" s="27"/>
    </row>
    <row r="1894" hidden="1">
      <c r="A1894" s="21"/>
      <c r="B1894" s="21" t="s">
        <v>2753</v>
      </c>
      <c r="D1894" s="25">
        <v>0.0</v>
      </c>
      <c r="E1894" s="27"/>
      <c r="F1894" s="25">
        <v>0.0</v>
      </c>
      <c r="G1894" s="27"/>
    </row>
    <row r="1895" hidden="1">
      <c r="A1895" s="21"/>
      <c r="B1895" s="21" t="s">
        <v>2754</v>
      </c>
      <c r="D1895" s="25">
        <v>0.0</v>
      </c>
      <c r="E1895" s="27"/>
      <c r="F1895" s="25">
        <v>0.0</v>
      </c>
      <c r="G1895" s="27"/>
    </row>
    <row r="1896" hidden="1">
      <c r="A1896" s="21"/>
      <c r="B1896" s="21" t="s">
        <v>2755</v>
      </c>
      <c r="D1896" s="25">
        <v>0.0</v>
      </c>
      <c r="E1896" s="27"/>
      <c r="F1896" s="25">
        <v>0.0</v>
      </c>
      <c r="G1896" s="27"/>
    </row>
    <row r="1897" hidden="1">
      <c r="A1897" s="21"/>
      <c r="B1897" s="21" t="s">
        <v>2756</v>
      </c>
      <c r="D1897" s="25">
        <v>0.0</v>
      </c>
      <c r="E1897" s="27"/>
      <c r="F1897" s="25">
        <v>0.0</v>
      </c>
      <c r="G1897" s="27"/>
    </row>
    <row r="1898" hidden="1">
      <c r="A1898" s="21"/>
      <c r="B1898" s="21" t="s">
        <v>2757</v>
      </c>
      <c r="D1898" s="25">
        <v>0.0</v>
      </c>
      <c r="E1898" s="27"/>
      <c r="F1898" s="25">
        <v>0.0</v>
      </c>
      <c r="G1898" s="27"/>
    </row>
    <row r="1899" hidden="1">
      <c r="A1899" s="21"/>
      <c r="B1899" s="21" t="s">
        <v>2758</v>
      </c>
      <c r="D1899" s="25">
        <v>0.0</v>
      </c>
      <c r="E1899" s="27"/>
      <c r="F1899" s="25">
        <v>0.0</v>
      </c>
      <c r="G1899" s="27"/>
    </row>
    <row r="1900" hidden="1">
      <c r="A1900" s="21"/>
      <c r="B1900" s="21" t="s">
        <v>2759</v>
      </c>
      <c r="D1900" s="25">
        <v>0.0</v>
      </c>
      <c r="E1900" s="27"/>
      <c r="F1900" s="25">
        <v>0.0</v>
      </c>
      <c r="G1900" s="27"/>
    </row>
    <row r="1901" hidden="1">
      <c r="A1901" s="21"/>
      <c r="B1901" s="21" t="s">
        <v>2760</v>
      </c>
      <c r="D1901" s="25">
        <v>0.0</v>
      </c>
      <c r="E1901" s="27"/>
      <c r="F1901" s="25">
        <v>0.0</v>
      </c>
      <c r="G1901" s="27"/>
    </row>
    <row r="1902" hidden="1">
      <c r="A1902" s="21"/>
      <c r="B1902" s="21" t="s">
        <v>2761</v>
      </c>
      <c r="D1902" s="25">
        <v>0.0</v>
      </c>
      <c r="E1902" s="27"/>
      <c r="F1902" s="25">
        <v>0.0</v>
      </c>
      <c r="G1902" s="27"/>
    </row>
    <row r="1903" hidden="1">
      <c r="A1903" s="21"/>
      <c r="B1903" s="21" t="s">
        <v>2762</v>
      </c>
      <c r="D1903" s="25">
        <v>0.0</v>
      </c>
      <c r="E1903" s="27"/>
      <c r="F1903" s="25">
        <v>0.0</v>
      </c>
      <c r="G1903" s="27"/>
    </row>
    <row r="1904" hidden="1">
      <c r="A1904" s="21"/>
      <c r="B1904" s="21" t="s">
        <v>2763</v>
      </c>
      <c r="D1904" s="25">
        <v>0.0</v>
      </c>
      <c r="E1904" s="27"/>
      <c r="F1904" s="25">
        <v>0.0</v>
      </c>
      <c r="G1904" s="27"/>
    </row>
    <row r="1905" hidden="1">
      <c r="A1905" s="21"/>
      <c r="B1905" s="21" t="s">
        <v>2764</v>
      </c>
      <c r="D1905" s="25">
        <v>0.0</v>
      </c>
      <c r="E1905" s="27"/>
      <c r="F1905" s="25">
        <v>0.0</v>
      </c>
      <c r="G1905" s="27"/>
    </row>
    <row r="1906" hidden="1">
      <c r="A1906" s="21"/>
      <c r="B1906" s="21" t="s">
        <v>2765</v>
      </c>
      <c r="D1906" s="25">
        <v>0.0</v>
      </c>
      <c r="E1906" s="27"/>
      <c r="F1906" s="25">
        <v>0.0</v>
      </c>
      <c r="G1906" s="27"/>
    </row>
    <row r="1907" hidden="1">
      <c r="A1907" s="21"/>
      <c r="B1907" s="21" t="s">
        <v>2766</v>
      </c>
      <c r="D1907" s="25">
        <v>0.0</v>
      </c>
      <c r="E1907" s="27"/>
      <c r="F1907" s="25">
        <v>0.0</v>
      </c>
      <c r="G1907" s="27"/>
    </row>
    <row r="1908" hidden="1">
      <c r="A1908" s="21"/>
      <c r="B1908" s="21" t="s">
        <v>2767</v>
      </c>
      <c r="D1908" s="25">
        <v>0.0</v>
      </c>
      <c r="E1908" s="27"/>
      <c r="F1908" s="25">
        <v>0.0</v>
      </c>
      <c r="G1908" s="27"/>
    </row>
    <row r="1909" hidden="1">
      <c r="A1909" s="21"/>
      <c r="B1909" s="21" t="s">
        <v>2768</v>
      </c>
      <c r="D1909" s="25">
        <v>0.0</v>
      </c>
      <c r="E1909" s="27"/>
      <c r="F1909" s="25">
        <v>0.0</v>
      </c>
      <c r="G1909" s="27"/>
    </row>
    <row r="1910" hidden="1">
      <c r="A1910" s="21"/>
      <c r="B1910" s="21" t="s">
        <v>2769</v>
      </c>
      <c r="D1910" s="25">
        <v>0.0</v>
      </c>
      <c r="E1910" s="27"/>
      <c r="F1910" s="25">
        <v>0.0</v>
      </c>
      <c r="G1910" s="27"/>
    </row>
    <row r="1911" hidden="1">
      <c r="A1911" s="21"/>
      <c r="B1911" s="21" t="s">
        <v>2770</v>
      </c>
      <c r="D1911" s="25">
        <v>0.0</v>
      </c>
      <c r="E1911" s="27"/>
      <c r="F1911" s="25">
        <v>0.0</v>
      </c>
      <c r="G1911" s="27"/>
    </row>
    <row r="1912" hidden="1">
      <c r="A1912" s="21"/>
      <c r="B1912" s="21" t="s">
        <v>2771</v>
      </c>
      <c r="D1912" s="25">
        <v>0.0</v>
      </c>
      <c r="E1912" s="27"/>
      <c r="F1912" s="25">
        <v>0.0</v>
      </c>
      <c r="G1912" s="27"/>
    </row>
    <row r="1913" hidden="1">
      <c r="A1913" s="21"/>
      <c r="B1913" s="21" t="s">
        <v>2772</v>
      </c>
      <c r="D1913" s="25">
        <v>0.0</v>
      </c>
      <c r="E1913" s="27"/>
      <c r="F1913" s="25">
        <v>0.0</v>
      </c>
      <c r="G1913" s="27"/>
    </row>
    <row r="1914" hidden="1">
      <c r="A1914" s="21"/>
      <c r="B1914" s="21" t="s">
        <v>2773</v>
      </c>
      <c r="D1914" s="25">
        <v>0.0</v>
      </c>
      <c r="E1914" s="27"/>
      <c r="F1914" s="25">
        <v>0.0</v>
      </c>
      <c r="G1914" s="27"/>
    </row>
    <row r="1915" hidden="1">
      <c r="A1915" s="21"/>
      <c r="B1915" s="21" t="s">
        <v>2774</v>
      </c>
      <c r="D1915" s="25">
        <v>0.0</v>
      </c>
      <c r="E1915" s="27"/>
      <c r="F1915" s="25">
        <v>0.0</v>
      </c>
      <c r="G1915" s="27"/>
    </row>
    <row r="1916" hidden="1">
      <c r="A1916" s="21"/>
      <c r="B1916" s="21" t="s">
        <v>2775</v>
      </c>
      <c r="D1916" s="25">
        <v>0.0</v>
      </c>
      <c r="E1916" s="27"/>
      <c r="F1916" s="25">
        <v>0.0</v>
      </c>
      <c r="G1916" s="27"/>
    </row>
    <row r="1917" hidden="1">
      <c r="A1917" s="21"/>
      <c r="B1917" s="21" t="s">
        <v>2776</v>
      </c>
      <c r="D1917" s="25">
        <v>0.0</v>
      </c>
      <c r="E1917" s="27"/>
      <c r="F1917" s="25">
        <v>0.0</v>
      </c>
      <c r="G1917" s="27"/>
    </row>
    <row r="1918" hidden="1">
      <c r="A1918" s="21"/>
      <c r="B1918" s="21" t="s">
        <v>2777</v>
      </c>
      <c r="D1918" s="25">
        <v>0.0</v>
      </c>
      <c r="E1918" s="27"/>
      <c r="F1918" s="25">
        <v>0.0</v>
      </c>
      <c r="G1918" s="27"/>
    </row>
    <row r="1919" hidden="1">
      <c r="A1919" s="21"/>
      <c r="B1919" s="21" t="s">
        <v>2778</v>
      </c>
      <c r="D1919" s="25">
        <v>0.0</v>
      </c>
      <c r="E1919" s="27"/>
      <c r="F1919" s="25">
        <v>0.0</v>
      </c>
      <c r="G1919" s="27"/>
    </row>
    <row r="1920" hidden="1">
      <c r="A1920" s="21"/>
      <c r="B1920" s="21" t="s">
        <v>2779</v>
      </c>
      <c r="D1920" s="25">
        <v>0.0</v>
      </c>
      <c r="E1920" s="27"/>
      <c r="F1920" s="25">
        <v>0.0</v>
      </c>
      <c r="G1920" s="27"/>
    </row>
    <row r="1921" hidden="1">
      <c r="A1921" s="21"/>
      <c r="B1921" s="21" t="s">
        <v>2780</v>
      </c>
      <c r="D1921" s="25">
        <v>0.0</v>
      </c>
      <c r="E1921" s="27"/>
      <c r="F1921" s="25">
        <v>0.0</v>
      </c>
      <c r="G1921" s="27"/>
    </row>
    <row r="1922" hidden="1">
      <c r="A1922" s="21"/>
      <c r="B1922" s="21" t="s">
        <v>2781</v>
      </c>
      <c r="D1922" s="25">
        <v>0.0</v>
      </c>
      <c r="E1922" s="27"/>
      <c r="F1922" s="25">
        <v>0.0</v>
      </c>
      <c r="G1922" s="27"/>
    </row>
    <row r="1923" hidden="1">
      <c r="A1923" s="21"/>
      <c r="B1923" s="21" t="s">
        <v>2782</v>
      </c>
      <c r="D1923" s="25">
        <v>0.0</v>
      </c>
      <c r="E1923" s="27"/>
      <c r="F1923" s="25">
        <v>0.0</v>
      </c>
      <c r="G1923" s="27"/>
    </row>
    <row r="1924" hidden="1">
      <c r="A1924" s="21"/>
      <c r="B1924" s="21" t="s">
        <v>2783</v>
      </c>
      <c r="D1924" s="25">
        <v>0.0</v>
      </c>
      <c r="E1924" s="27"/>
      <c r="F1924" s="25">
        <v>0.0</v>
      </c>
      <c r="G1924" s="27"/>
    </row>
    <row r="1925" hidden="1">
      <c r="A1925" s="21"/>
      <c r="B1925" s="21" t="s">
        <v>2784</v>
      </c>
      <c r="D1925" s="25">
        <v>0.0</v>
      </c>
      <c r="E1925" s="27"/>
      <c r="F1925" s="25">
        <v>0.0</v>
      </c>
      <c r="G1925" s="27"/>
    </row>
    <row r="1926" hidden="1">
      <c r="A1926" s="21"/>
      <c r="B1926" s="21" t="s">
        <v>2785</v>
      </c>
      <c r="D1926" s="25">
        <v>0.0</v>
      </c>
      <c r="E1926" s="27"/>
      <c r="F1926" s="25">
        <v>0.0</v>
      </c>
      <c r="G1926" s="27"/>
    </row>
    <row r="1927" hidden="1">
      <c r="A1927" s="21"/>
      <c r="B1927" s="21" t="s">
        <v>2786</v>
      </c>
      <c r="D1927" s="25">
        <v>0.0</v>
      </c>
      <c r="E1927" s="27"/>
      <c r="F1927" s="25">
        <v>0.0</v>
      </c>
      <c r="G1927" s="27"/>
    </row>
    <row r="1928" hidden="1">
      <c r="A1928" s="21"/>
      <c r="B1928" s="21" t="s">
        <v>2787</v>
      </c>
      <c r="D1928" s="25">
        <v>0.0</v>
      </c>
      <c r="E1928" s="27"/>
      <c r="F1928" s="25">
        <v>0.0</v>
      </c>
      <c r="G1928" s="27"/>
    </row>
    <row r="1929" hidden="1">
      <c r="A1929" s="21"/>
      <c r="B1929" s="21" t="s">
        <v>2788</v>
      </c>
      <c r="D1929" s="25">
        <v>0.0</v>
      </c>
      <c r="E1929" s="27"/>
      <c r="F1929" s="25">
        <v>0.0</v>
      </c>
      <c r="G1929" s="27"/>
    </row>
    <row r="1930" hidden="1">
      <c r="A1930" s="21"/>
      <c r="B1930" s="21" t="s">
        <v>2789</v>
      </c>
      <c r="D1930" s="25">
        <v>0.0</v>
      </c>
      <c r="E1930" s="27"/>
      <c r="F1930" s="25">
        <v>0.0</v>
      </c>
      <c r="G1930" s="27"/>
    </row>
    <row r="1931" hidden="1">
      <c r="A1931" s="21"/>
      <c r="B1931" s="21" t="s">
        <v>2790</v>
      </c>
      <c r="D1931" s="25">
        <v>0.0</v>
      </c>
      <c r="E1931" s="27"/>
      <c r="F1931" s="25">
        <v>0.0</v>
      </c>
      <c r="G1931" s="27"/>
    </row>
    <row r="1932" hidden="1">
      <c r="A1932" s="21"/>
      <c r="B1932" s="21" t="s">
        <v>2791</v>
      </c>
      <c r="D1932" s="25">
        <v>0.0</v>
      </c>
      <c r="E1932" s="27"/>
      <c r="F1932" s="25">
        <v>0.0</v>
      </c>
      <c r="G1932" s="27"/>
    </row>
    <row r="1933" hidden="1">
      <c r="A1933" s="21"/>
      <c r="B1933" s="21" t="s">
        <v>2792</v>
      </c>
      <c r="D1933" s="25">
        <v>0.0</v>
      </c>
      <c r="E1933" s="27"/>
      <c r="F1933" s="25">
        <v>0.0</v>
      </c>
      <c r="G1933" s="27"/>
    </row>
    <row r="1934" hidden="1">
      <c r="A1934" s="21"/>
      <c r="B1934" s="21" t="s">
        <v>2793</v>
      </c>
      <c r="D1934" s="25">
        <v>0.0</v>
      </c>
      <c r="E1934" s="27"/>
      <c r="F1934" s="25">
        <v>0.0</v>
      </c>
      <c r="G1934" s="27"/>
    </row>
    <row r="1935" hidden="1">
      <c r="A1935" s="21"/>
      <c r="B1935" s="21" t="s">
        <v>2794</v>
      </c>
      <c r="D1935" s="25">
        <v>0.0</v>
      </c>
      <c r="E1935" s="27"/>
      <c r="F1935" s="25">
        <v>0.0</v>
      </c>
      <c r="G1935" s="27"/>
    </row>
    <row r="1936" hidden="1">
      <c r="A1936" s="21"/>
      <c r="B1936" s="21" t="s">
        <v>2795</v>
      </c>
      <c r="D1936" s="25">
        <v>0.0</v>
      </c>
      <c r="E1936" s="27"/>
      <c r="F1936" s="25">
        <v>0.0</v>
      </c>
      <c r="G1936" s="27"/>
    </row>
    <row r="1937" hidden="1">
      <c r="A1937" s="21"/>
      <c r="B1937" s="21" t="s">
        <v>2796</v>
      </c>
      <c r="D1937" s="25">
        <v>0.0</v>
      </c>
      <c r="E1937" s="27"/>
      <c r="F1937" s="25">
        <v>0.0</v>
      </c>
      <c r="G1937" s="27"/>
    </row>
    <row r="1938" hidden="1">
      <c r="A1938" s="21"/>
      <c r="B1938" s="21" t="s">
        <v>2797</v>
      </c>
      <c r="D1938" s="25">
        <v>0.0</v>
      </c>
      <c r="E1938" s="27"/>
      <c r="F1938" s="25">
        <v>0.0</v>
      </c>
      <c r="G1938" s="27"/>
    </row>
    <row r="1939" hidden="1">
      <c r="A1939" s="21"/>
      <c r="B1939" s="21" t="s">
        <v>2798</v>
      </c>
      <c r="D1939" s="25">
        <v>0.0</v>
      </c>
      <c r="E1939" s="27"/>
      <c r="F1939" s="25">
        <v>0.0</v>
      </c>
      <c r="G1939" s="27"/>
    </row>
    <row r="1940" hidden="1">
      <c r="A1940" s="21"/>
      <c r="B1940" s="21" t="s">
        <v>2799</v>
      </c>
      <c r="D1940" s="25">
        <v>0.0</v>
      </c>
      <c r="E1940" s="27"/>
      <c r="F1940" s="25">
        <v>0.0</v>
      </c>
      <c r="G1940" s="27"/>
    </row>
    <row r="1941" hidden="1">
      <c r="A1941" s="21"/>
      <c r="B1941" s="21" t="s">
        <v>2800</v>
      </c>
      <c r="D1941" s="25">
        <v>0.0</v>
      </c>
      <c r="E1941" s="27"/>
      <c r="F1941" s="25">
        <v>0.0</v>
      </c>
      <c r="G1941" s="27"/>
    </row>
    <row r="1942" hidden="1">
      <c r="A1942" s="21"/>
      <c r="B1942" s="21" t="s">
        <v>2801</v>
      </c>
      <c r="D1942" s="25">
        <v>0.0</v>
      </c>
      <c r="E1942" s="27"/>
      <c r="F1942" s="25">
        <v>0.0</v>
      </c>
      <c r="G1942" s="27"/>
    </row>
    <row r="1943" hidden="1">
      <c r="A1943" s="21"/>
      <c r="B1943" s="21" t="s">
        <v>2802</v>
      </c>
      <c r="D1943" s="25">
        <v>0.0</v>
      </c>
      <c r="E1943" s="27"/>
      <c r="F1943" s="25">
        <v>0.0</v>
      </c>
      <c r="G1943" s="27"/>
    </row>
    <row r="1944" hidden="1">
      <c r="A1944" s="21"/>
      <c r="B1944" s="21" t="s">
        <v>2803</v>
      </c>
      <c r="D1944" s="25">
        <v>0.0</v>
      </c>
      <c r="E1944" s="27"/>
      <c r="F1944" s="25">
        <v>0.0</v>
      </c>
      <c r="G1944" s="27"/>
    </row>
    <row r="1945" hidden="1">
      <c r="A1945" s="21"/>
      <c r="B1945" s="21" t="s">
        <v>2804</v>
      </c>
      <c r="D1945" s="25">
        <v>0.0</v>
      </c>
      <c r="E1945" s="27"/>
      <c r="F1945" s="25">
        <v>0.0</v>
      </c>
      <c r="G1945" s="27"/>
    </row>
    <row r="1946" hidden="1">
      <c r="A1946" s="21"/>
      <c r="B1946" s="21" t="s">
        <v>2805</v>
      </c>
      <c r="D1946" s="25">
        <v>0.0</v>
      </c>
      <c r="E1946" s="27"/>
      <c r="F1946" s="25">
        <v>0.0</v>
      </c>
      <c r="G1946" s="27"/>
    </row>
    <row r="1947" hidden="1">
      <c r="A1947" s="21"/>
      <c r="B1947" s="21" t="s">
        <v>2806</v>
      </c>
      <c r="D1947" s="25">
        <v>0.0</v>
      </c>
      <c r="E1947" s="27"/>
      <c r="F1947" s="25">
        <v>0.0</v>
      </c>
      <c r="G1947" s="27"/>
    </row>
    <row r="1948" hidden="1">
      <c r="A1948" s="21"/>
      <c r="B1948" s="21" t="s">
        <v>2807</v>
      </c>
      <c r="D1948" s="25">
        <v>0.0</v>
      </c>
      <c r="E1948" s="27"/>
      <c r="F1948" s="25">
        <v>0.0</v>
      </c>
      <c r="G1948" s="27"/>
    </row>
    <row r="1949" hidden="1">
      <c r="A1949" s="21"/>
      <c r="B1949" s="21" t="s">
        <v>2808</v>
      </c>
      <c r="D1949" s="25">
        <v>0.0</v>
      </c>
      <c r="E1949" s="27"/>
      <c r="F1949" s="25">
        <v>0.0</v>
      </c>
      <c r="G1949" s="27"/>
    </row>
    <row r="1950" hidden="1">
      <c r="A1950" s="21"/>
      <c r="B1950" s="21" t="s">
        <v>2809</v>
      </c>
      <c r="D1950" s="25">
        <v>0.0</v>
      </c>
      <c r="E1950" s="27"/>
      <c r="F1950" s="25">
        <v>0.0</v>
      </c>
      <c r="G1950" s="27"/>
    </row>
    <row r="1951" hidden="1">
      <c r="A1951" s="21"/>
      <c r="B1951" s="21" t="s">
        <v>2810</v>
      </c>
      <c r="D1951" s="25">
        <v>0.0</v>
      </c>
      <c r="E1951" s="27"/>
      <c r="F1951" s="25">
        <v>0.0</v>
      </c>
      <c r="G1951" s="27"/>
    </row>
    <row r="1952" hidden="1">
      <c r="A1952" s="21"/>
      <c r="B1952" s="21" t="s">
        <v>2811</v>
      </c>
      <c r="D1952" s="25">
        <v>0.0</v>
      </c>
      <c r="E1952" s="27"/>
      <c r="F1952" s="25">
        <v>0.0</v>
      </c>
      <c r="G1952" s="27"/>
    </row>
    <row r="1953" hidden="1">
      <c r="A1953" s="21"/>
      <c r="B1953" s="21" t="s">
        <v>2812</v>
      </c>
      <c r="D1953" s="25">
        <v>0.0</v>
      </c>
      <c r="E1953" s="27"/>
      <c r="F1953" s="25">
        <v>0.0</v>
      </c>
      <c r="G1953" s="27"/>
    </row>
    <row r="1954" hidden="1">
      <c r="A1954" s="21"/>
      <c r="B1954" s="21" t="s">
        <v>2813</v>
      </c>
      <c r="D1954" s="25">
        <v>0.0</v>
      </c>
      <c r="E1954" s="27"/>
      <c r="F1954" s="25">
        <v>0.0</v>
      </c>
      <c r="G1954" s="27"/>
    </row>
    <row r="1955" hidden="1">
      <c r="A1955" s="21"/>
      <c r="B1955" s="21" t="s">
        <v>2814</v>
      </c>
      <c r="D1955" s="25">
        <v>0.0</v>
      </c>
      <c r="E1955" s="27"/>
      <c r="F1955" s="25">
        <v>0.0</v>
      </c>
      <c r="G1955" s="27"/>
    </row>
    <row r="1956" hidden="1">
      <c r="A1956" s="21"/>
      <c r="B1956" s="21" t="s">
        <v>2815</v>
      </c>
      <c r="D1956" s="25">
        <v>0.0</v>
      </c>
      <c r="E1956" s="27"/>
      <c r="F1956" s="25">
        <v>0.0</v>
      </c>
      <c r="G1956" s="27"/>
    </row>
    <row r="1957" hidden="1">
      <c r="A1957" s="21"/>
      <c r="B1957" s="21" t="s">
        <v>2816</v>
      </c>
      <c r="D1957" s="25">
        <v>0.0</v>
      </c>
      <c r="E1957" s="27"/>
      <c r="F1957" s="25">
        <v>0.0</v>
      </c>
      <c r="G1957" s="27"/>
    </row>
    <row r="1958" hidden="1">
      <c r="A1958" s="21"/>
      <c r="B1958" s="21" t="s">
        <v>2817</v>
      </c>
      <c r="D1958" s="25">
        <v>0.0</v>
      </c>
      <c r="E1958" s="27"/>
      <c r="F1958" s="25">
        <v>0.0</v>
      </c>
      <c r="G1958" s="27"/>
    </row>
    <row r="1959" hidden="1">
      <c r="A1959" s="21"/>
      <c r="B1959" s="21" t="s">
        <v>2818</v>
      </c>
      <c r="D1959" s="25">
        <v>0.0</v>
      </c>
      <c r="E1959" s="27"/>
      <c r="F1959" s="25">
        <v>0.0</v>
      </c>
      <c r="G1959" s="27"/>
    </row>
    <row r="1960" hidden="1">
      <c r="A1960" s="21"/>
      <c r="B1960" s="21" t="s">
        <v>2819</v>
      </c>
      <c r="D1960" s="25">
        <v>0.0</v>
      </c>
      <c r="E1960" s="27"/>
      <c r="F1960" s="25">
        <v>0.0</v>
      </c>
      <c r="G1960" s="27"/>
    </row>
    <row r="1961" hidden="1">
      <c r="A1961" s="21"/>
      <c r="B1961" s="21" t="s">
        <v>2820</v>
      </c>
      <c r="D1961" s="25">
        <v>0.0</v>
      </c>
      <c r="E1961" s="27"/>
      <c r="F1961" s="25">
        <v>0.0</v>
      </c>
      <c r="G1961" s="27"/>
    </row>
    <row r="1962" hidden="1">
      <c r="A1962" s="21"/>
      <c r="B1962" s="21" t="s">
        <v>2821</v>
      </c>
      <c r="D1962" s="25">
        <v>0.0</v>
      </c>
      <c r="E1962" s="27"/>
      <c r="F1962" s="25">
        <v>0.0</v>
      </c>
      <c r="G1962" s="27"/>
    </row>
    <row r="1963" hidden="1">
      <c r="A1963" s="21"/>
      <c r="B1963" s="21" t="s">
        <v>2822</v>
      </c>
      <c r="D1963" s="25">
        <v>0.0</v>
      </c>
      <c r="E1963" s="27"/>
      <c r="F1963" s="25">
        <v>0.0</v>
      </c>
      <c r="G1963" s="27"/>
    </row>
    <row r="1964" hidden="1">
      <c r="A1964" s="21"/>
      <c r="B1964" s="21" t="s">
        <v>2823</v>
      </c>
      <c r="D1964" s="25">
        <v>0.0</v>
      </c>
      <c r="E1964" s="27"/>
      <c r="F1964" s="25">
        <v>0.0</v>
      </c>
      <c r="G1964" s="27"/>
    </row>
    <row r="1965" hidden="1">
      <c r="A1965" s="21"/>
      <c r="B1965" s="21" t="s">
        <v>2824</v>
      </c>
      <c r="D1965" s="25">
        <v>0.0</v>
      </c>
      <c r="E1965" s="27"/>
      <c r="F1965" s="25">
        <v>0.0</v>
      </c>
      <c r="G1965" s="27"/>
    </row>
    <row r="1966" hidden="1">
      <c r="A1966" s="21"/>
      <c r="B1966" s="21" t="s">
        <v>2825</v>
      </c>
      <c r="D1966" s="25">
        <v>0.0</v>
      </c>
      <c r="E1966" s="27"/>
      <c r="F1966" s="25">
        <v>0.0</v>
      </c>
      <c r="G1966" s="27"/>
    </row>
    <row r="1967" hidden="1">
      <c r="A1967" s="21"/>
      <c r="B1967" s="21" t="s">
        <v>2826</v>
      </c>
      <c r="D1967" s="25">
        <v>0.0</v>
      </c>
      <c r="E1967" s="27"/>
      <c r="F1967" s="25">
        <v>0.0</v>
      </c>
      <c r="G1967" s="27"/>
    </row>
    <row r="1968" hidden="1">
      <c r="A1968" s="21"/>
      <c r="B1968" s="21" t="s">
        <v>2827</v>
      </c>
      <c r="D1968" s="25">
        <v>0.0</v>
      </c>
      <c r="E1968" s="27"/>
      <c r="F1968" s="25">
        <v>0.0</v>
      </c>
      <c r="G1968" s="27"/>
    </row>
    <row r="1969" hidden="1">
      <c r="A1969" s="21"/>
      <c r="B1969" s="21" t="s">
        <v>2828</v>
      </c>
      <c r="D1969" s="25">
        <v>0.0</v>
      </c>
      <c r="E1969" s="27"/>
      <c r="F1969" s="25">
        <v>0.0</v>
      </c>
      <c r="G1969" s="27"/>
    </row>
    <row r="1970" hidden="1">
      <c r="A1970" s="21"/>
      <c r="B1970" s="21" t="s">
        <v>2829</v>
      </c>
      <c r="D1970" s="25">
        <v>0.0</v>
      </c>
      <c r="E1970" s="27"/>
      <c r="F1970" s="25">
        <v>0.0</v>
      </c>
      <c r="G1970" s="27"/>
    </row>
    <row r="1971" hidden="1">
      <c r="A1971" s="21"/>
      <c r="B1971" s="21" t="s">
        <v>2830</v>
      </c>
      <c r="D1971" s="25">
        <v>0.0</v>
      </c>
      <c r="E1971" s="27"/>
      <c r="F1971" s="25">
        <v>0.0</v>
      </c>
      <c r="G1971" s="27"/>
    </row>
    <row r="1972" hidden="1">
      <c r="A1972" s="21"/>
      <c r="B1972" s="21" t="s">
        <v>2831</v>
      </c>
      <c r="D1972" s="25">
        <v>0.0</v>
      </c>
      <c r="E1972" s="27"/>
      <c r="F1972" s="25">
        <v>0.0</v>
      </c>
      <c r="G1972" s="27"/>
    </row>
    <row r="1973" hidden="1">
      <c r="A1973" s="21"/>
      <c r="B1973" s="21" t="s">
        <v>2832</v>
      </c>
      <c r="D1973" s="25">
        <v>0.0</v>
      </c>
      <c r="E1973" s="27"/>
      <c r="F1973" s="25">
        <v>0.0</v>
      </c>
      <c r="G1973" s="27"/>
    </row>
    <row r="1974" hidden="1">
      <c r="A1974" s="21"/>
      <c r="B1974" s="21" t="s">
        <v>2833</v>
      </c>
      <c r="D1974" s="25">
        <v>0.0</v>
      </c>
      <c r="E1974" s="27"/>
      <c r="F1974" s="25">
        <v>0.0</v>
      </c>
      <c r="G1974" s="27"/>
    </row>
    <row r="1975" hidden="1">
      <c r="A1975" s="21"/>
      <c r="B1975" s="21" t="s">
        <v>2834</v>
      </c>
      <c r="D1975" s="25">
        <v>0.0</v>
      </c>
      <c r="E1975" s="27"/>
      <c r="F1975" s="25">
        <v>0.0</v>
      </c>
      <c r="G1975" s="27"/>
    </row>
    <row r="1976" hidden="1">
      <c r="A1976" s="21"/>
      <c r="B1976" s="21" t="s">
        <v>2835</v>
      </c>
      <c r="D1976" s="25">
        <v>0.0</v>
      </c>
      <c r="E1976" s="27"/>
      <c r="F1976" s="25">
        <v>0.0</v>
      </c>
      <c r="G1976" s="27"/>
    </row>
    <row r="1977" hidden="1">
      <c r="A1977" s="21"/>
      <c r="B1977" s="21" t="s">
        <v>2836</v>
      </c>
      <c r="D1977" s="25">
        <v>0.0</v>
      </c>
      <c r="E1977" s="27"/>
      <c r="F1977" s="25">
        <v>0.0</v>
      </c>
      <c r="G1977" s="27"/>
    </row>
    <row r="1978" hidden="1">
      <c r="A1978" s="21"/>
      <c r="B1978" s="21" t="s">
        <v>2837</v>
      </c>
      <c r="D1978" s="25">
        <v>0.0</v>
      </c>
      <c r="E1978" s="27"/>
      <c r="F1978" s="25">
        <v>0.0</v>
      </c>
      <c r="G1978" s="27"/>
    </row>
    <row r="1979" hidden="1">
      <c r="A1979" s="21"/>
      <c r="B1979" s="21" t="s">
        <v>2838</v>
      </c>
      <c r="D1979" s="25">
        <v>0.0</v>
      </c>
      <c r="E1979" s="27"/>
      <c r="F1979" s="25">
        <v>0.0</v>
      </c>
      <c r="G1979" s="27"/>
    </row>
    <row r="1980" hidden="1">
      <c r="A1980" s="21"/>
      <c r="B1980" s="21" t="s">
        <v>2839</v>
      </c>
      <c r="D1980" s="25">
        <v>0.0</v>
      </c>
      <c r="E1980" s="27"/>
      <c r="F1980" s="25">
        <v>0.0</v>
      </c>
      <c r="G1980" s="27"/>
    </row>
    <row r="1981" hidden="1">
      <c r="A1981" s="21"/>
      <c r="B1981" s="21" t="s">
        <v>2840</v>
      </c>
      <c r="D1981" s="25">
        <v>0.0</v>
      </c>
      <c r="E1981" s="27"/>
      <c r="F1981" s="25">
        <v>0.0</v>
      </c>
      <c r="G1981" s="27"/>
    </row>
    <row r="1982" hidden="1">
      <c r="A1982" s="21"/>
      <c r="B1982" s="21" t="s">
        <v>2841</v>
      </c>
      <c r="D1982" s="25">
        <v>0.0</v>
      </c>
      <c r="E1982" s="27"/>
      <c r="F1982" s="25">
        <v>0.0</v>
      </c>
      <c r="G1982" s="27"/>
    </row>
    <row r="1983" hidden="1">
      <c r="A1983" s="21"/>
      <c r="B1983" s="21" t="s">
        <v>2842</v>
      </c>
      <c r="D1983" s="25">
        <v>0.0</v>
      </c>
      <c r="E1983" s="27"/>
      <c r="F1983" s="25">
        <v>0.0</v>
      </c>
      <c r="G1983" s="27"/>
    </row>
    <row r="1984" hidden="1">
      <c r="A1984" s="21"/>
      <c r="B1984" s="21" t="s">
        <v>2843</v>
      </c>
      <c r="D1984" s="25">
        <v>0.0</v>
      </c>
      <c r="E1984" s="27"/>
      <c r="F1984" s="25">
        <v>0.0</v>
      </c>
      <c r="G1984" s="27"/>
    </row>
    <row r="1985" hidden="1">
      <c r="A1985" s="21"/>
      <c r="B1985" s="21" t="s">
        <v>2844</v>
      </c>
      <c r="D1985" s="25">
        <v>0.0</v>
      </c>
      <c r="E1985" s="27"/>
      <c r="F1985" s="25">
        <v>0.0</v>
      </c>
      <c r="G1985" s="27"/>
    </row>
    <row r="1986" hidden="1">
      <c r="A1986" s="21"/>
      <c r="B1986" s="21" t="s">
        <v>2845</v>
      </c>
      <c r="D1986" s="25">
        <v>0.0</v>
      </c>
      <c r="E1986" s="27"/>
      <c r="F1986" s="25">
        <v>0.0</v>
      </c>
      <c r="G1986" s="27"/>
    </row>
    <row r="1987" hidden="1">
      <c r="A1987" s="21"/>
      <c r="B1987" s="21" t="s">
        <v>2846</v>
      </c>
      <c r="D1987" s="25">
        <v>0.0</v>
      </c>
      <c r="E1987" s="27"/>
      <c r="F1987" s="25">
        <v>0.0</v>
      </c>
      <c r="G1987" s="27"/>
    </row>
    <row r="1988" hidden="1">
      <c r="A1988" s="21"/>
      <c r="B1988" s="21" t="s">
        <v>2847</v>
      </c>
      <c r="D1988" s="25">
        <v>0.0</v>
      </c>
      <c r="E1988" s="27"/>
      <c r="F1988" s="25">
        <v>0.0</v>
      </c>
      <c r="G1988" s="27"/>
    </row>
    <row r="1989" hidden="1">
      <c r="A1989" s="21"/>
      <c r="B1989" s="21" t="s">
        <v>2848</v>
      </c>
      <c r="D1989" s="25">
        <v>0.0</v>
      </c>
      <c r="E1989" s="27"/>
      <c r="F1989" s="25">
        <v>0.0</v>
      </c>
      <c r="G1989" s="27"/>
    </row>
    <row r="1990" hidden="1">
      <c r="A1990" s="21"/>
      <c r="B1990" s="21" t="s">
        <v>2849</v>
      </c>
      <c r="D1990" s="25">
        <v>0.0</v>
      </c>
      <c r="E1990" s="27"/>
      <c r="F1990" s="25">
        <v>0.0</v>
      </c>
      <c r="G1990" s="27"/>
    </row>
    <row r="1991" hidden="1">
      <c r="A1991" s="21"/>
      <c r="B1991" s="21" t="s">
        <v>2850</v>
      </c>
      <c r="D1991" s="25">
        <v>0.0</v>
      </c>
      <c r="E1991" s="27"/>
      <c r="F1991" s="25">
        <v>0.0</v>
      </c>
      <c r="G1991" s="27"/>
    </row>
    <row r="1992" hidden="1">
      <c r="A1992" s="21"/>
      <c r="B1992" s="21" t="s">
        <v>2851</v>
      </c>
      <c r="D1992" s="25">
        <v>0.0</v>
      </c>
      <c r="E1992" s="27"/>
      <c r="F1992" s="25">
        <v>0.0</v>
      </c>
      <c r="G1992" s="27"/>
    </row>
    <row r="1993" hidden="1">
      <c r="A1993" s="21"/>
      <c r="B1993" s="21" t="s">
        <v>2852</v>
      </c>
      <c r="D1993" s="25">
        <v>0.0</v>
      </c>
      <c r="E1993" s="27"/>
      <c r="F1993" s="25">
        <v>0.0</v>
      </c>
      <c r="G1993" s="27"/>
    </row>
    <row r="1994" hidden="1">
      <c r="A1994" s="21"/>
      <c r="B1994" s="21" t="s">
        <v>2853</v>
      </c>
      <c r="D1994" s="25">
        <v>0.0</v>
      </c>
      <c r="E1994" s="27"/>
      <c r="F1994" s="25">
        <v>0.0</v>
      </c>
      <c r="G1994" s="27"/>
    </row>
    <row r="1995" hidden="1">
      <c r="A1995" s="21"/>
      <c r="B1995" s="21" t="s">
        <v>2854</v>
      </c>
      <c r="D1995" s="25">
        <v>0.0</v>
      </c>
      <c r="E1995" s="27"/>
      <c r="F1995" s="25">
        <v>0.0</v>
      </c>
      <c r="G1995" s="27"/>
    </row>
    <row r="1996" hidden="1">
      <c r="A1996" s="21"/>
      <c r="B1996" s="21" t="s">
        <v>2855</v>
      </c>
      <c r="D1996" s="25">
        <v>0.0</v>
      </c>
      <c r="E1996" s="27"/>
      <c r="F1996" s="25">
        <v>0.0</v>
      </c>
      <c r="G1996" s="27"/>
    </row>
    <row r="1997" hidden="1">
      <c r="A1997" s="21"/>
      <c r="B1997" s="21" t="s">
        <v>2856</v>
      </c>
      <c r="D1997" s="25">
        <v>0.0</v>
      </c>
      <c r="E1997" s="27"/>
      <c r="F1997" s="25">
        <v>0.0</v>
      </c>
      <c r="G1997" s="27"/>
    </row>
    <row r="1998" hidden="1">
      <c r="A1998" s="21"/>
      <c r="B1998" s="21" t="s">
        <v>2857</v>
      </c>
      <c r="D1998" s="25">
        <v>0.0</v>
      </c>
      <c r="E1998" s="27"/>
      <c r="F1998" s="25">
        <v>0.0</v>
      </c>
      <c r="G1998" s="27"/>
    </row>
    <row r="1999" hidden="1">
      <c r="A1999" s="21"/>
      <c r="B1999" s="21" t="s">
        <v>2858</v>
      </c>
      <c r="D1999" s="25">
        <v>0.0</v>
      </c>
      <c r="E1999" s="27"/>
      <c r="F1999" s="25">
        <v>0.0</v>
      </c>
      <c r="G1999" s="27"/>
    </row>
    <row r="2000" hidden="1">
      <c r="A2000" s="21"/>
      <c r="B2000" s="21" t="s">
        <v>2859</v>
      </c>
      <c r="D2000" s="25">
        <v>0.0</v>
      </c>
      <c r="E2000" s="27"/>
      <c r="F2000" s="25">
        <v>0.0</v>
      </c>
      <c r="G2000" s="27"/>
    </row>
    <row r="2001" hidden="1">
      <c r="A2001" s="21"/>
      <c r="B2001" s="21" t="s">
        <v>2860</v>
      </c>
      <c r="D2001" s="25">
        <v>0.0</v>
      </c>
      <c r="E2001" s="27"/>
      <c r="F2001" s="25">
        <v>0.0</v>
      </c>
      <c r="G2001" s="27"/>
    </row>
    <row r="2002" hidden="1">
      <c r="A2002" s="21"/>
      <c r="B2002" s="21" t="s">
        <v>2861</v>
      </c>
      <c r="D2002" s="25">
        <v>0.0</v>
      </c>
      <c r="E2002" s="27"/>
      <c r="F2002" s="25">
        <v>0.0</v>
      </c>
      <c r="G2002" s="27"/>
    </row>
    <row r="2003" hidden="1">
      <c r="A2003" s="21"/>
      <c r="B2003" s="21" t="s">
        <v>2862</v>
      </c>
      <c r="D2003" s="25">
        <v>0.0</v>
      </c>
      <c r="E2003" s="27"/>
      <c r="F2003" s="25">
        <v>0.0</v>
      </c>
      <c r="G2003" s="27"/>
    </row>
    <row r="2004" hidden="1">
      <c r="A2004" s="21"/>
      <c r="B2004" s="21" t="s">
        <v>2863</v>
      </c>
      <c r="D2004" s="25">
        <v>0.0</v>
      </c>
      <c r="E2004" s="27"/>
      <c r="F2004" s="25">
        <v>0.0</v>
      </c>
      <c r="G2004" s="27"/>
    </row>
    <row r="2005" hidden="1">
      <c r="A2005" s="21"/>
      <c r="B2005" s="21" t="s">
        <v>610</v>
      </c>
      <c r="D2005" s="25">
        <v>0.0</v>
      </c>
      <c r="E2005" s="27"/>
      <c r="F2005" s="25">
        <v>0.0</v>
      </c>
      <c r="G2005" s="27"/>
    </row>
    <row r="2006" hidden="1">
      <c r="A2006" s="21"/>
      <c r="B2006" s="21" t="s">
        <v>611</v>
      </c>
      <c r="D2006" s="25">
        <v>0.0</v>
      </c>
      <c r="E2006" s="27"/>
      <c r="F2006" s="25">
        <v>0.0</v>
      </c>
      <c r="G2006" s="27"/>
    </row>
    <row r="2007" hidden="1">
      <c r="A2007" s="21"/>
      <c r="B2007" s="21" t="s">
        <v>612</v>
      </c>
      <c r="D2007" s="25">
        <v>0.0</v>
      </c>
      <c r="E2007" s="27"/>
      <c r="F2007" s="25">
        <v>0.0</v>
      </c>
      <c r="G2007" s="27"/>
    </row>
    <row r="2008" hidden="1">
      <c r="A2008" s="21"/>
      <c r="B2008" s="21" t="s">
        <v>2864</v>
      </c>
      <c r="D2008" s="25">
        <v>0.0</v>
      </c>
      <c r="E2008" s="27"/>
      <c r="F2008" s="25">
        <v>0.0</v>
      </c>
      <c r="G2008" s="27"/>
    </row>
    <row r="2009" hidden="1">
      <c r="A2009" s="21"/>
      <c r="B2009" s="21" t="s">
        <v>2865</v>
      </c>
      <c r="D2009" s="25">
        <v>0.0</v>
      </c>
      <c r="E2009" s="27"/>
      <c r="F2009" s="25">
        <v>0.0</v>
      </c>
      <c r="G2009" s="27"/>
    </row>
    <row r="2010" hidden="1">
      <c r="A2010" s="21"/>
      <c r="B2010" s="21" t="s">
        <v>2866</v>
      </c>
      <c r="D2010" s="25">
        <v>0.0</v>
      </c>
      <c r="E2010" s="27"/>
      <c r="F2010" s="25">
        <v>0.0</v>
      </c>
      <c r="G2010" s="27"/>
    </row>
    <row r="2011" hidden="1">
      <c r="A2011" s="21"/>
      <c r="B2011" s="21" t="s">
        <v>2867</v>
      </c>
      <c r="D2011" s="25">
        <v>0.0</v>
      </c>
      <c r="E2011" s="27"/>
      <c r="F2011" s="25">
        <v>0.0</v>
      </c>
      <c r="G2011" s="27"/>
    </row>
    <row r="2012" hidden="1">
      <c r="A2012" s="21"/>
      <c r="B2012" s="21" t="s">
        <v>2868</v>
      </c>
      <c r="D2012" s="25">
        <v>0.0</v>
      </c>
      <c r="E2012" s="27"/>
      <c r="F2012" s="25">
        <v>0.0</v>
      </c>
      <c r="G2012" s="27"/>
    </row>
    <row r="2013" hidden="1">
      <c r="A2013" s="21"/>
      <c r="B2013" s="21" t="s">
        <v>2869</v>
      </c>
      <c r="D2013" s="25">
        <v>0.0</v>
      </c>
      <c r="E2013" s="27"/>
      <c r="F2013" s="25">
        <v>0.0</v>
      </c>
      <c r="G2013" s="27"/>
    </row>
    <row r="2014" hidden="1">
      <c r="A2014" s="21"/>
      <c r="B2014" s="21" t="s">
        <v>2870</v>
      </c>
      <c r="D2014" s="25">
        <v>0.0</v>
      </c>
      <c r="E2014" s="27"/>
      <c r="F2014" s="25">
        <v>1.9</v>
      </c>
      <c r="G2014" s="27"/>
    </row>
    <row r="2015" hidden="1">
      <c r="A2015" s="21"/>
      <c r="B2015" s="21" t="s">
        <v>2871</v>
      </c>
      <c r="D2015" s="25">
        <v>0.0</v>
      </c>
      <c r="E2015" s="27"/>
      <c r="F2015" s="25">
        <v>0.0</v>
      </c>
      <c r="G2015" s="27"/>
    </row>
    <row r="2016" hidden="1">
      <c r="A2016" s="21"/>
      <c r="B2016" s="21" t="s">
        <v>2872</v>
      </c>
      <c r="D2016" s="25">
        <v>0.0</v>
      </c>
      <c r="E2016" s="27"/>
      <c r="F2016" s="25">
        <v>0.0</v>
      </c>
      <c r="G2016" s="27"/>
    </row>
    <row r="2017" hidden="1">
      <c r="A2017" s="21"/>
      <c r="B2017" s="21" t="s">
        <v>2873</v>
      </c>
      <c r="D2017" s="25">
        <v>0.0</v>
      </c>
      <c r="E2017" s="27"/>
      <c r="F2017" s="25">
        <v>0.0</v>
      </c>
      <c r="G2017" s="27"/>
    </row>
    <row r="2018" hidden="1">
      <c r="A2018" s="21"/>
      <c r="B2018" s="21" t="s">
        <v>2874</v>
      </c>
      <c r="D2018" s="25">
        <v>0.0</v>
      </c>
      <c r="E2018" s="27"/>
      <c r="F2018" s="25">
        <v>0.0</v>
      </c>
      <c r="G2018" s="27"/>
    </row>
    <row r="2019" hidden="1">
      <c r="A2019" s="21"/>
      <c r="B2019" s="21" t="s">
        <v>2875</v>
      </c>
      <c r="D2019" s="25">
        <v>0.0</v>
      </c>
      <c r="E2019" s="27"/>
      <c r="F2019" s="25">
        <v>0.0</v>
      </c>
      <c r="G2019" s="27"/>
    </row>
    <row r="2020" hidden="1">
      <c r="A2020" s="21"/>
      <c r="B2020" s="21" t="s">
        <v>2876</v>
      </c>
      <c r="D2020" s="25">
        <v>0.0</v>
      </c>
      <c r="E2020" s="27"/>
      <c r="F2020" s="25">
        <v>0.0</v>
      </c>
      <c r="G2020" s="27"/>
    </row>
    <row r="2021" hidden="1">
      <c r="A2021" s="21"/>
      <c r="B2021" s="21" t="s">
        <v>2877</v>
      </c>
      <c r="D2021" s="25">
        <v>0.0</v>
      </c>
      <c r="E2021" s="27"/>
      <c r="F2021" s="25">
        <v>0.0</v>
      </c>
      <c r="G2021" s="27"/>
    </row>
    <row r="2022" hidden="1">
      <c r="A2022" s="21"/>
      <c r="B2022" s="21" t="s">
        <v>2878</v>
      </c>
      <c r="D2022" s="25">
        <v>0.0</v>
      </c>
      <c r="E2022" s="27"/>
      <c r="F2022" s="25">
        <v>0.0</v>
      </c>
      <c r="G2022" s="27"/>
    </row>
    <row r="2023" hidden="1">
      <c r="A2023" s="21"/>
      <c r="B2023" s="21" t="s">
        <v>2879</v>
      </c>
      <c r="D2023" s="25">
        <v>0.0</v>
      </c>
      <c r="E2023" s="27"/>
      <c r="F2023" s="25">
        <v>0.0</v>
      </c>
      <c r="G2023" s="27"/>
    </row>
    <row r="2024" hidden="1">
      <c r="A2024" s="21"/>
      <c r="B2024" s="21" t="s">
        <v>2880</v>
      </c>
      <c r="D2024" s="25">
        <v>0.0</v>
      </c>
      <c r="E2024" s="27"/>
      <c r="F2024" s="25">
        <v>0.0</v>
      </c>
      <c r="G2024" s="27"/>
    </row>
    <row r="2025" hidden="1">
      <c r="A2025" s="21"/>
      <c r="B2025" s="21" t="s">
        <v>2881</v>
      </c>
      <c r="D2025" s="25">
        <v>0.0</v>
      </c>
      <c r="E2025" s="27"/>
      <c r="F2025" s="25">
        <v>0.0</v>
      </c>
      <c r="G2025" s="27"/>
    </row>
    <row r="2026" hidden="1">
      <c r="A2026" s="21"/>
      <c r="B2026" s="21" t="s">
        <v>2882</v>
      </c>
      <c r="D2026" s="25">
        <v>0.0</v>
      </c>
      <c r="E2026" s="27"/>
      <c r="F2026" s="25">
        <v>0.0</v>
      </c>
      <c r="G2026" s="27"/>
    </row>
    <row r="2027" hidden="1">
      <c r="A2027" s="21"/>
      <c r="B2027" s="21" t="s">
        <v>2883</v>
      </c>
      <c r="D2027" s="25">
        <v>0.0</v>
      </c>
      <c r="E2027" s="27"/>
      <c r="F2027" s="25">
        <v>0.0</v>
      </c>
      <c r="G2027" s="27"/>
    </row>
    <row r="2028" hidden="1">
      <c r="A2028" s="21"/>
      <c r="B2028" s="21" t="s">
        <v>2884</v>
      </c>
      <c r="D2028" s="25">
        <v>0.0</v>
      </c>
      <c r="E2028" s="27"/>
      <c r="F2028" s="25">
        <v>0.0</v>
      </c>
      <c r="G2028" s="27"/>
    </row>
    <row r="2029" hidden="1">
      <c r="A2029" s="21"/>
      <c r="B2029" s="21" t="s">
        <v>2885</v>
      </c>
      <c r="D2029" s="25">
        <v>0.0</v>
      </c>
      <c r="E2029" s="27"/>
      <c r="F2029" s="25">
        <v>8.09</v>
      </c>
      <c r="G2029" s="27"/>
    </row>
    <row r="2030" hidden="1">
      <c r="A2030" s="21"/>
      <c r="B2030" s="21" t="s">
        <v>2886</v>
      </c>
      <c r="D2030" s="25">
        <v>0.0</v>
      </c>
      <c r="E2030" s="27"/>
      <c r="F2030" s="25">
        <v>0.0</v>
      </c>
      <c r="G2030" s="27"/>
    </row>
    <row r="2031" hidden="1">
      <c r="A2031" s="21"/>
      <c r="B2031" s="21" t="s">
        <v>2887</v>
      </c>
      <c r="D2031" s="25">
        <v>0.0</v>
      </c>
      <c r="E2031" s="27"/>
      <c r="F2031" s="25">
        <v>0.0</v>
      </c>
      <c r="G2031" s="27"/>
    </row>
    <row r="2032" hidden="1">
      <c r="A2032" s="21"/>
      <c r="B2032" s="21" t="s">
        <v>2888</v>
      </c>
      <c r="D2032" s="25">
        <v>0.0</v>
      </c>
      <c r="E2032" s="27"/>
      <c r="F2032" s="25">
        <v>0.0</v>
      </c>
      <c r="G2032" s="27"/>
    </row>
    <row r="2033" hidden="1">
      <c r="A2033" s="21"/>
      <c r="B2033" s="21" t="s">
        <v>2889</v>
      </c>
      <c r="D2033" s="25">
        <v>0.0</v>
      </c>
      <c r="E2033" s="27"/>
      <c r="F2033" s="25">
        <v>0.0</v>
      </c>
      <c r="G2033" s="27"/>
    </row>
    <row r="2034" hidden="1">
      <c r="A2034" s="21"/>
      <c r="B2034" s="21" t="s">
        <v>2890</v>
      </c>
      <c r="D2034" s="25">
        <v>0.0</v>
      </c>
      <c r="E2034" s="27"/>
      <c r="F2034" s="25">
        <v>0.0</v>
      </c>
      <c r="G2034" s="27"/>
    </row>
    <row r="2035" hidden="1">
      <c r="A2035" s="21"/>
      <c r="B2035" s="21" t="s">
        <v>2891</v>
      </c>
      <c r="D2035" s="25">
        <v>0.0</v>
      </c>
      <c r="E2035" s="27"/>
      <c r="F2035" s="25">
        <v>3.07</v>
      </c>
      <c r="G2035" s="27"/>
    </row>
    <row r="2036" hidden="1">
      <c r="A2036" s="21"/>
      <c r="B2036" s="21" t="s">
        <v>2892</v>
      </c>
      <c r="D2036" s="25">
        <v>0.0</v>
      </c>
      <c r="E2036" s="27"/>
      <c r="F2036" s="25">
        <v>0.0</v>
      </c>
      <c r="G2036" s="27"/>
    </row>
    <row r="2037" hidden="1">
      <c r="A2037" s="21"/>
      <c r="B2037" s="21" t="s">
        <v>2893</v>
      </c>
      <c r="D2037" s="25">
        <v>0.0</v>
      </c>
      <c r="E2037" s="27"/>
      <c r="F2037" s="25">
        <v>0.0</v>
      </c>
      <c r="G2037" s="27"/>
    </row>
    <row r="2038" hidden="1">
      <c r="A2038" s="21"/>
      <c r="B2038" s="21" t="s">
        <v>2894</v>
      </c>
      <c r="D2038" s="25">
        <v>0.0</v>
      </c>
      <c r="E2038" s="27"/>
      <c r="F2038" s="25">
        <v>0.0</v>
      </c>
      <c r="G2038" s="27"/>
    </row>
    <row r="2039" hidden="1">
      <c r="A2039" s="21"/>
      <c r="B2039" s="21" t="s">
        <v>2895</v>
      </c>
      <c r="D2039" s="25">
        <v>0.0</v>
      </c>
      <c r="E2039" s="27"/>
      <c r="F2039" s="25">
        <v>0.0</v>
      </c>
      <c r="G2039" s="27"/>
    </row>
    <row r="2040" hidden="1">
      <c r="A2040" s="21"/>
      <c r="B2040" s="21" t="s">
        <v>2896</v>
      </c>
      <c r="D2040" s="25">
        <v>0.0</v>
      </c>
      <c r="E2040" s="27"/>
      <c r="F2040" s="25">
        <v>0.0</v>
      </c>
      <c r="G2040" s="27"/>
    </row>
    <row r="2041" hidden="1">
      <c r="A2041" s="21"/>
      <c r="B2041" s="21" t="s">
        <v>2897</v>
      </c>
      <c r="D2041" s="25">
        <v>0.0</v>
      </c>
      <c r="E2041" s="27"/>
      <c r="F2041" s="25">
        <v>10.91</v>
      </c>
      <c r="G2041" s="27"/>
    </row>
    <row r="2042" hidden="1">
      <c r="A2042" s="21"/>
      <c r="B2042" s="21" t="s">
        <v>2898</v>
      </c>
      <c r="D2042" s="25">
        <v>0.0</v>
      </c>
      <c r="E2042" s="27"/>
      <c r="F2042" s="25">
        <v>0.42</v>
      </c>
      <c r="G2042" s="27"/>
    </row>
    <row r="2043" hidden="1">
      <c r="A2043" s="21"/>
      <c r="B2043" s="21" t="s">
        <v>2899</v>
      </c>
      <c r="D2043" s="25">
        <v>0.0</v>
      </c>
      <c r="E2043" s="27"/>
      <c r="F2043" s="25">
        <v>0.0</v>
      </c>
      <c r="G2043" s="27"/>
    </row>
    <row r="2044" hidden="1">
      <c r="A2044" s="21"/>
      <c r="B2044" s="21" t="s">
        <v>2900</v>
      </c>
      <c r="D2044" s="25">
        <v>0.0</v>
      </c>
      <c r="E2044" s="27"/>
      <c r="F2044" s="25">
        <v>0.0</v>
      </c>
      <c r="G2044" s="27"/>
    </row>
    <row r="2045" hidden="1">
      <c r="A2045" s="21"/>
      <c r="B2045" s="21" t="s">
        <v>2901</v>
      </c>
      <c r="D2045" s="25">
        <v>0.0</v>
      </c>
      <c r="E2045" s="27"/>
      <c r="F2045" s="25">
        <v>0.0</v>
      </c>
      <c r="G2045" s="27"/>
    </row>
    <row r="2046" hidden="1">
      <c r="A2046" s="21"/>
      <c r="B2046" s="21" t="s">
        <v>2902</v>
      </c>
      <c r="D2046" s="25">
        <v>0.0</v>
      </c>
      <c r="E2046" s="27"/>
      <c r="F2046" s="25">
        <v>0.0</v>
      </c>
      <c r="G2046" s="27"/>
    </row>
    <row r="2047" hidden="1">
      <c r="A2047" s="21"/>
      <c r="B2047" s="21" t="s">
        <v>2903</v>
      </c>
      <c r="D2047" s="25">
        <v>0.0</v>
      </c>
      <c r="E2047" s="27"/>
      <c r="F2047" s="25">
        <v>0.0</v>
      </c>
      <c r="G2047" s="27"/>
    </row>
    <row r="2048" hidden="1">
      <c r="A2048" s="21"/>
      <c r="B2048" s="21" t="s">
        <v>2904</v>
      </c>
      <c r="D2048" s="25">
        <v>0.0</v>
      </c>
      <c r="E2048" s="27"/>
      <c r="F2048" s="25">
        <v>0.0</v>
      </c>
      <c r="G2048" s="27"/>
    </row>
    <row r="2049" hidden="1">
      <c r="A2049" s="21"/>
      <c r="B2049" s="21" t="s">
        <v>2905</v>
      </c>
      <c r="D2049" s="25">
        <v>0.0</v>
      </c>
      <c r="E2049" s="27"/>
      <c r="F2049" s="25">
        <v>0.0</v>
      </c>
      <c r="G2049" s="27"/>
    </row>
    <row r="2050" hidden="1">
      <c r="A2050" s="21"/>
      <c r="B2050" s="21" t="s">
        <v>2906</v>
      </c>
      <c r="D2050" s="25">
        <v>0.0</v>
      </c>
      <c r="E2050" s="27"/>
      <c r="F2050" s="25">
        <v>0.0</v>
      </c>
      <c r="G2050" s="27"/>
    </row>
    <row r="2051" hidden="1">
      <c r="A2051" s="21"/>
      <c r="B2051" s="21" t="s">
        <v>2907</v>
      </c>
      <c r="D2051" s="25">
        <v>0.0</v>
      </c>
      <c r="E2051" s="27"/>
      <c r="F2051" s="25">
        <v>0.0</v>
      </c>
      <c r="G2051" s="27"/>
    </row>
    <row r="2052" hidden="1">
      <c r="A2052" s="21"/>
      <c r="B2052" s="21" t="s">
        <v>2908</v>
      </c>
      <c r="D2052" s="25">
        <v>0.0</v>
      </c>
      <c r="E2052" s="27"/>
      <c r="F2052" s="25">
        <v>0.0</v>
      </c>
      <c r="G2052" s="27"/>
    </row>
    <row r="2053" hidden="1">
      <c r="A2053" s="21"/>
      <c r="B2053" s="21" t="s">
        <v>2909</v>
      </c>
      <c r="D2053" s="25">
        <v>0.0</v>
      </c>
      <c r="E2053" s="27"/>
      <c r="F2053" s="25">
        <v>0.0</v>
      </c>
      <c r="G2053" s="27"/>
    </row>
    <row r="2054" hidden="1">
      <c r="A2054" s="21"/>
      <c r="B2054" s="21" t="s">
        <v>2910</v>
      </c>
      <c r="D2054" s="25">
        <v>0.0</v>
      </c>
      <c r="E2054" s="27"/>
      <c r="F2054" s="25">
        <v>0.0</v>
      </c>
      <c r="G2054" s="27"/>
    </row>
    <row r="2055" hidden="1">
      <c r="A2055" s="21"/>
      <c r="B2055" s="21" t="s">
        <v>332</v>
      </c>
      <c r="D2055" s="25">
        <v>0.0</v>
      </c>
      <c r="E2055" s="27"/>
      <c r="F2055" s="25">
        <v>0.0</v>
      </c>
      <c r="G2055" s="27"/>
    </row>
    <row r="2056" hidden="1">
      <c r="A2056" s="21"/>
      <c r="B2056" s="21" t="s">
        <v>2911</v>
      </c>
      <c r="D2056" s="25">
        <v>0.0</v>
      </c>
      <c r="E2056" s="27"/>
      <c r="F2056" s="25">
        <v>0.0</v>
      </c>
      <c r="G2056" s="27"/>
    </row>
    <row r="2057" hidden="1">
      <c r="A2057" s="21"/>
      <c r="B2057" s="21" t="s">
        <v>2912</v>
      </c>
      <c r="D2057" s="25">
        <v>0.0</v>
      </c>
      <c r="E2057" s="27"/>
      <c r="F2057" s="25">
        <v>0.0</v>
      </c>
      <c r="G2057" s="27"/>
    </row>
    <row r="2058" hidden="1">
      <c r="A2058" s="21"/>
      <c r="B2058" s="21" t="s">
        <v>2913</v>
      </c>
      <c r="D2058" s="25">
        <v>0.0</v>
      </c>
      <c r="E2058" s="27"/>
      <c r="F2058" s="25">
        <v>0.0</v>
      </c>
      <c r="G2058" s="27"/>
    </row>
    <row r="2059" hidden="1">
      <c r="A2059" s="21"/>
      <c r="B2059" s="21" t="s">
        <v>2914</v>
      </c>
      <c r="D2059" s="25">
        <v>0.0</v>
      </c>
      <c r="E2059" s="27"/>
      <c r="F2059" s="25">
        <v>0.0</v>
      </c>
      <c r="G2059" s="27"/>
    </row>
    <row r="2060" hidden="1">
      <c r="A2060" s="21"/>
      <c r="B2060" s="21" t="s">
        <v>2915</v>
      </c>
      <c r="D2060" s="25">
        <v>0.0</v>
      </c>
      <c r="E2060" s="27"/>
      <c r="F2060" s="25">
        <v>0.0</v>
      </c>
      <c r="G2060" s="27"/>
    </row>
    <row r="2061" hidden="1">
      <c r="A2061" s="21"/>
      <c r="B2061" s="21" t="s">
        <v>2916</v>
      </c>
      <c r="D2061" s="25">
        <v>0.0</v>
      </c>
      <c r="E2061" s="27"/>
      <c r="F2061" s="25">
        <v>0.0</v>
      </c>
      <c r="G2061" s="27"/>
    </row>
    <row r="2062" hidden="1">
      <c r="A2062" s="21"/>
      <c r="B2062" s="21" t="s">
        <v>2917</v>
      </c>
      <c r="D2062" s="25">
        <v>0.0</v>
      </c>
      <c r="E2062" s="27"/>
      <c r="F2062" s="25">
        <v>0.0</v>
      </c>
      <c r="G2062" s="27"/>
    </row>
    <row r="2063" hidden="1">
      <c r="A2063" s="21"/>
      <c r="B2063" s="21" t="s">
        <v>2918</v>
      </c>
      <c r="D2063" s="25">
        <v>0.0</v>
      </c>
      <c r="E2063" s="27"/>
      <c r="F2063" s="25">
        <v>0.0</v>
      </c>
      <c r="G2063" s="27"/>
    </row>
    <row r="2064" hidden="1">
      <c r="A2064" s="21"/>
      <c r="B2064" s="21" t="s">
        <v>2919</v>
      </c>
      <c r="D2064" s="25">
        <v>0.0</v>
      </c>
      <c r="E2064" s="27"/>
      <c r="F2064" s="25">
        <v>0.0</v>
      </c>
      <c r="G2064" s="27"/>
    </row>
    <row r="2065" hidden="1">
      <c r="A2065" s="21"/>
      <c r="B2065" s="21" t="s">
        <v>2920</v>
      </c>
      <c r="D2065" s="25">
        <v>0.0</v>
      </c>
      <c r="E2065" s="27"/>
      <c r="F2065" s="25">
        <v>0.0</v>
      </c>
      <c r="G2065" s="27"/>
    </row>
    <row r="2066" hidden="1">
      <c r="A2066" s="21"/>
      <c r="B2066" s="21" t="s">
        <v>2921</v>
      </c>
      <c r="D2066" s="25">
        <v>0.0</v>
      </c>
      <c r="E2066" s="27"/>
      <c r="F2066" s="25">
        <v>0.0</v>
      </c>
      <c r="G2066" s="27"/>
    </row>
    <row r="2067" hidden="1">
      <c r="A2067" s="21"/>
      <c r="B2067" s="21" t="s">
        <v>2922</v>
      </c>
      <c r="D2067" s="25">
        <v>0.0</v>
      </c>
      <c r="E2067" s="27"/>
      <c r="F2067" s="25">
        <v>0.0</v>
      </c>
      <c r="G2067" s="27"/>
    </row>
    <row r="2068" hidden="1">
      <c r="A2068" s="21"/>
      <c r="B2068" s="21" t="s">
        <v>2923</v>
      </c>
      <c r="D2068" s="25">
        <v>0.0</v>
      </c>
      <c r="E2068" s="27"/>
      <c r="F2068" s="25">
        <v>0.0</v>
      </c>
      <c r="G2068" s="27"/>
    </row>
    <row r="2069" hidden="1">
      <c r="A2069" s="21"/>
      <c r="B2069" s="21" t="s">
        <v>2924</v>
      </c>
      <c r="D2069" s="25">
        <v>0.0</v>
      </c>
      <c r="E2069" s="27"/>
      <c r="F2069" s="25">
        <v>0.0</v>
      </c>
      <c r="G2069" s="27"/>
    </row>
    <row r="2070" hidden="1">
      <c r="A2070" s="21"/>
      <c r="B2070" s="21" t="s">
        <v>2925</v>
      </c>
      <c r="D2070" s="25">
        <v>0.0</v>
      </c>
      <c r="E2070" s="27"/>
      <c r="F2070" s="25">
        <v>0.0</v>
      </c>
      <c r="G2070" s="27"/>
    </row>
    <row r="2071" hidden="1">
      <c r="A2071" s="21"/>
      <c r="B2071" s="21" t="s">
        <v>2926</v>
      </c>
      <c r="D2071" s="25">
        <v>0.0</v>
      </c>
      <c r="E2071" s="27"/>
      <c r="F2071" s="25">
        <v>0.0</v>
      </c>
      <c r="G2071" s="27"/>
    </row>
    <row r="2072" hidden="1">
      <c r="A2072" s="21"/>
      <c r="B2072" s="21" t="s">
        <v>2927</v>
      </c>
      <c r="D2072" s="25">
        <v>0.0</v>
      </c>
      <c r="E2072" s="27"/>
      <c r="F2072" s="25">
        <v>0.0</v>
      </c>
      <c r="G2072" s="27"/>
    </row>
    <row r="2073" hidden="1">
      <c r="A2073" s="21"/>
      <c r="B2073" s="21" t="s">
        <v>2928</v>
      </c>
      <c r="D2073" s="25">
        <v>0.0</v>
      </c>
      <c r="E2073" s="27"/>
      <c r="F2073" s="25">
        <v>0.0</v>
      </c>
      <c r="G2073" s="27"/>
    </row>
    <row r="2074" hidden="1">
      <c r="A2074" s="21"/>
      <c r="B2074" s="21" t="s">
        <v>2929</v>
      </c>
      <c r="D2074" s="25">
        <v>0.0</v>
      </c>
      <c r="E2074" s="27"/>
      <c r="F2074" s="25">
        <v>0.0</v>
      </c>
      <c r="G2074" s="27"/>
    </row>
    <row r="2075" hidden="1">
      <c r="A2075" s="21"/>
      <c r="B2075" s="21" t="s">
        <v>2930</v>
      </c>
      <c r="D2075" s="25">
        <v>0.0</v>
      </c>
      <c r="E2075" s="27"/>
      <c r="F2075" s="25">
        <v>0.0</v>
      </c>
      <c r="G2075" s="27"/>
    </row>
    <row r="2076" hidden="1">
      <c r="A2076" s="21"/>
      <c r="B2076" s="21" t="s">
        <v>2931</v>
      </c>
      <c r="D2076" s="25">
        <v>0.0</v>
      </c>
      <c r="E2076" s="27"/>
      <c r="F2076" s="25">
        <v>0.0</v>
      </c>
      <c r="G2076" s="27"/>
    </row>
    <row r="2077" hidden="1">
      <c r="A2077" s="21"/>
      <c r="B2077" s="21" t="s">
        <v>2932</v>
      </c>
      <c r="D2077" s="25">
        <v>0.0</v>
      </c>
      <c r="E2077" s="27"/>
      <c r="F2077" s="25">
        <v>0.0</v>
      </c>
      <c r="G2077" s="27"/>
    </row>
    <row r="2078" hidden="1">
      <c r="A2078" s="21"/>
      <c r="B2078" s="21" t="s">
        <v>2933</v>
      </c>
      <c r="D2078" s="25">
        <v>0.0</v>
      </c>
      <c r="E2078" s="27"/>
      <c r="F2078" s="25">
        <v>0.0</v>
      </c>
      <c r="G2078" s="27"/>
    </row>
    <row r="2079" hidden="1">
      <c r="A2079" s="21"/>
      <c r="B2079" s="21" t="s">
        <v>2934</v>
      </c>
      <c r="D2079" s="25">
        <v>0.0</v>
      </c>
      <c r="E2079" s="27"/>
      <c r="F2079" s="25">
        <v>0.0</v>
      </c>
      <c r="G2079" s="27"/>
    </row>
    <row r="2080" hidden="1">
      <c r="A2080" s="21"/>
      <c r="B2080" s="21" t="s">
        <v>2935</v>
      </c>
      <c r="D2080" s="25">
        <v>0.0</v>
      </c>
      <c r="E2080" s="27"/>
      <c r="F2080" s="25">
        <v>0.0</v>
      </c>
      <c r="G2080" s="27"/>
    </row>
    <row r="2081" hidden="1">
      <c r="A2081" s="21"/>
      <c r="B2081" s="21" t="s">
        <v>2936</v>
      </c>
      <c r="D2081" s="25">
        <v>0.0</v>
      </c>
      <c r="E2081" s="27"/>
      <c r="F2081" s="25">
        <v>0.0</v>
      </c>
      <c r="G2081" s="27"/>
    </row>
    <row r="2082" hidden="1">
      <c r="A2082" s="21"/>
      <c r="B2082" s="21" t="s">
        <v>2937</v>
      </c>
      <c r="D2082" s="25">
        <v>0.0</v>
      </c>
      <c r="E2082" s="27"/>
      <c r="F2082" s="25">
        <v>0.0</v>
      </c>
      <c r="G2082" s="27"/>
    </row>
    <row r="2083" hidden="1">
      <c r="A2083" s="21"/>
      <c r="B2083" s="21" t="s">
        <v>2938</v>
      </c>
      <c r="D2083" s="25">
        <v>0.0</v>
      </c>
      <c r="E2083" s="27"/>
      <c r="F2083" s="25">
        <v>0.0</v>
      </c>
      <c r="G2083" s="27"/>
    </row>
    <row r="2084" hidden="1">
      <c r="A2084" s="21"/>
      <c r="B2084" s="21" t="s">
        <v>2939</v>
      </c>
      <c r="D2084" s="25">
        <v>0.0</v>
      </c>
      <c r="E2084" s="27"/>
      <c r="F2084" s="25">
        <v>0.0</v>
      </c>
      <c r="G2084" s="27"/>
    </row>
    <row r="2085" hidden="1">
      <c r="A2085" s="21"/>
      <c r="B2085" s="21" t="s">
        <v>2940</v>
      </c>
      <c r="D2085" s="25">
        <v>0.0</v>
      </c>
      <c r="E2085" s="27"/>
      <c r="F2085" s="25">
        <v>0.0</v>
      </c>
      <c r="G2085" s="27"/>
    </row>
    <row r="2086" hidden="1">
      <c r="A2086" s="21"/>
      <c r="B2086" s="21" t="s">
        <v>2941</v>
      </c>
      <c r="D2086" s="25">
        <v>0.0</v>
      </c>
      <c r="E2086" s="27"/>
      <c r="F2086" s="25">
        <v>0.0</v>
      </c>
      <c r="G2086" s="27"/>
    </row>
    <row r="2087" hidden="1">
      <c r="A2087" s="21"/>
      <c r="B2087" s="21" t="s">
        <v>2942</v>
      </c>
      <c r="D2087" s="25">
        <v>0.0</v>
      </c>
      <c r="E2087" s="27"/>
      <c r="F2087" s="25">
        <v>0.0</v>
      </c>
      <c r="G2087" s="27"/>
    </row>
    <row r="2088" hidden="1">
      <c r="A2088" s="21"/>
      <c r="B2088" s="21" t="s">
        <v>2943</v>
      </c>
      <c r="D2088" s="25">
        <v>0.0</v>
      </c>
      <c r="E2088" s="27"/>
      <c r="F2088" s="25">
        <v>0.0</v>
      </c>
      <c r="G2088" s="27"/>
    </row>
    <row r="2089" hidden="1">
      <c r="A2089" s="21"/>
      <c r="B2089" s="21" t="s">
        <v>2944</v>
      </c>
      <c r="D2089" s="25">
        <v>0.0</v>
      </c>
      <c r="E2089" s="27"/>
      <c r="F2089" s="25">
        <v>0.0</v>
      </c>
      <c r="G2089" s="27"/>
    </row>
    <row r="2090" hidden="1">
      <c r="A2090" s="21"/>
      <c r="B2090" s="21" t="s">
        <v>2945</v>
      </c>
      <c r="D2090" s="25">
        <v>0.0</v>
      </c>
      <c r="E2090" s="27"/>
      <c r="F2090" s="25">
        <v>0.0</v>
      </c>
      <c r="G2090" s="27"/>
    </row>
    <row r="2091" hidden="1">
      <c r="A2091" s="21"/>
      <c r="B2091" s="21" t="s">
        <v>2946</v>
      </c>
      <c r="D2091" s="25">
        <v>0.0</v>
      </c>
      <c r="E2091" s="27"/>
      <c r="F2091" s="25">
        <v>0.0</v>
      </c>
      <c r="G2091" s="27"/>
    </row>
    <row r="2092" hidden="1">
      <c r="A2092" s="21"/>
      <c r="B2092" s="21" t="s">
        <v>2947</v>
      </c>
      <c r="D2092" s="25">
        <v>0.0</v>
      </c>
      <c r="E2092" s="27"/>
      <c r="F2092" s="25">
        <v>4.66</v>
      </c>
      <c r="G2092" s="27"/>
    </row>
    <row r="2093" hidden="1">
      <c r="A2093" s="21"/>
      <c r="B2093" s="21" t="s">
        <v>2948</v>
      </c>
      <c r="D2093" s="25">
        <v>0.0</v>
      </c>
      <c r="E2093" s="27"/>
      <c r="F2093" s="25">
        <v>0.0</v>
      </c>
      <c r="G2093" s="27"/>
    </row>
    <row r="2094" hidden="1">
      <c r="A2094" s="21"/>
      <c r="B2094" s="21" t="s">
        <v>2949</v>
      </c>
      <c r="D2094" s="25">
        <v>0.0</v>
      </c>
      <c r="E2094" s="27"/>
      <c r="F2094" s="25">
        <v>0.42</v>
      </c>
      <c r="G2094" s="27"/>
    </row>
    <row r="2095" hidden="1">
      <c r="A2095" s="21"/>
      <c r="B2095" s="21" t="s">
        <v>2950</v>
      </c>
      <c r="D2095" s="25">
        <v>0.0</v>
      </c>
      <c r="E2095" s="27"/>
      <c r="F2095" s="25">
        <v>0.0</v>
      </c>
      <c r="G2095" s="27"/>
    </row>
    <row r="2096" hidden="1">
      <c r="A2096" s="21"/>
      <c r="B2096" s="21" t="s">
        <v>2951</v>
      </c>
      <c r="D2096" s="25">
        <v>0.0</v>
      </c>
      <c r="E2096" s="27"/>
      <c r="F2096" s="25">
        <v>0.0</v>
      </c>
      <c r="G2096" s="27"/>
    </row>
    <row r="2097" hidden="1">
      <c r="A2097" s="21"/>
      <c r="B2097" s="21" t="s">
        <v>2952</v>
      </c>
      <c r="D2097" s="25">
        <v>0.0</v>
      </c>
      <c r="E2097" s="27"/>
      <c r="F2097" s="25">
        <v>0.0</v>
      </c>
      <c r="G2097" s="27"/>
    </row>
    <row r="2098" hidden="1">
      <c r="A2098" s="21"/>
      <c r="B2098" s="21" t="s">
        <v>2953</v>
      </c>
      <c r="D2098" s="25">
        <v>0.0</v>
      </c>
      <c r="E2098" s="27"/>
      <c r="F2098" s="25">
        <v>0.0</v>
      </c>
      <c r="G2098" s="27"/>
    </row>
    <row r="2099" hidden="1">
      <c r="A2099" s="21"/>
      <c r="B2099" s="21" t="s">
        <v>2954</v>
      </c>
      <c r="D2099" s="25">
        <v>0.0</v>
      </c>
      <c r="E2099" s="27"/>
      <c r="F2099" s="25">
        <v>0.0</v>
      </c>
      <c r="G2099" s="27"/>
    </row>
    <row r="2100" hidden="1">
      <c r="A2100" s="21"/>
      <c r="B2100" s="21" t="s">
        <v>2955</v>
      </c>
      <c r="D2100" s="25">
        <v>0.0</v>
      </c>
      <c r="E2100" s="27"/>
      <c r="F2100" s="25">
        <v>0.0</v>
      </c>
      <c r="G2100" s="27"/>
    </row>
    <row r="2101" hidden="1">
      <c r="A2101" s="21"/>
      <c r="B2101" s="21" t="s">
        <v>2956</v>
      </c>
      <c r="D2101" s="25">
        <v>0.0</v>
      </c>
      <c r="E2101" s="27"/>
      <c r="F2101" s="25">
        <v>0.0</v>
      </c>
      <c r="G2101" s="27"/>
    </row>
    <row r="2102" hidden="1">
      <c r="A2102" s="21"/>
      <c r="B2102" s="21" t="s">
        <v>2957</v>
      </c>
      <c r="D2102" s="25">
        <v>0.0</v>
      </c>
      <c r="E2102" s="27"/>
      <c r="F2102" s="25">
        <v>0.0</v>
      </c>
      <c r="G2102" s="27"/>
    </row>
    <row r="2103" hidden="1">
      <c r="A2103" s="21"/>
      <c r="B2103" s="21" t="s">
        <v>2958</v>
      </c>
      <c r="D2103" s="25">
        <v>0.0</v>
      </c>
      <c r="E2103" s="27"/>
      <c r="F2103" s="25">
        <v>0.0</v>
      </c>
      <c r="G2103" s="27"/>
    </row>
    <row r="2104" hidden="1">
      <c r="A2104" s="21"/>
      <c r="B2104" s="21" t="s">
        <v>2959</v>
      </c>
      <c r="D2104" s="25">
        <v>0.0</v>
      </c>
      <c r="E2104" s="27"/>
      <c r="F2104" s="25">
        <v>0.0</v>
      </c>
      <c r="G2104" s="27"/>
    </row>
    <row r="2105" hidden="1">
      <c r="A2105" s="21"/>
      <c r="B2105" s="21" t="s">
        <v>2960</v>
      </c>
      <c r="D2105" s="25">
        <v>0.0</v>
      </c>
      <c r="E2105" s="27"/>
      <c r="F2105" s="25">
        <v>0.0</v>
      </c>
      <c r="G2105" s="27"/>
    </row>
    <row r="2106" hidden="1">
      <c r="A2106" s="21"/>
      <c r="B2106" s="21" t="s">
        <v>2961</v>
      </c>
      <c r="D2106" s="25">
        <v>0.0</v>
      </c>
      <c r="E2106" s="27"/>
      <c r="F2106" s="25">
        <v>0.0</v>
      </c>
      <c r="G2106" s="27"/>
    </row>
    <row r="2107" hidden="1">
      <c r="A2107" s="21"/>
      <c r="B2107" s="21" t="s">
        <v>2962</v>
      </c>
      <c r="D2107" s="25">
        <v>0.0</v>
      </c>
      <c r="E2107" s="27"/>
      <c r="F2107" s="25">
        <v>9.24</v>
      </c>
      <c r="G2107" s="27"/>
    </row>
    <row r="2108" hidden="1">
      <c r="A2108" s="21"/>
      <c r="B2108" s="21" t="s">
        <v>2963</v>
      </c>
      <c r="D2108" s="25">
        <v>0.0</v>
      </c>
      <c r="E2108" s="27"/>
      <c r="F2108" s="25">
        <v>0.0</v>
      </c>
      <c r="G2108" s="27"/>
    </row>
    <row r="2109" hidden="1">
      <c r="A2109" s="21"/>
      <c r="B2109" s="21" t="s">
        <v>2964</v>
      </c>
      <c r="D2109" s="25">
        <v>0.0</v>
      </c>
      <c r="E2109" s="27"/>
      <c r="F2109" s="25">
        <v>0.0</v>
      </c>
      <c r="G2109" s="27"/>
    </row>
    <row r="2110" hidden="1">
      <c r="A2110" s="21"/>
      <c r="B2110" s="21" t="s">
        <v>2965</v>
      </c>
      <c r="D2110" s="25">
        <v>0.0</v>
      </c>
      <c r="E2110" s="27"/>
      <c r="F2110" s="25">
        <v>0.0</v>
      </c>
      <c r="G2110" s="27"/>
    </row>
    <row r="2111" hidden="1">
      <c r="A2111" s="21"/>
      <c r="B2111" s="21" t="s">
        <v>2966</v>
      </c>
      <c r="D2111" s="25">
        <v>0.0</v>
      </c>
      <c r="E2111" s="27"/>
      <c r="F2111" s="25">
        <v>0.0</v>
      </c>
      <c r="G2111" s="27"/>
    </row>
    <row r="2112" hidden="1">
      <c r="A2112" s="21"/>
      <c r="B2112" s="21" t="s">
        <v>2967</v>
      </c>
      <c r="D2112" s="25">
        <v>0.0</v>
      </c>
      <c r="E2112" s="27"/>
      <c r="F2112" s="25">
        <v>0.0</v>
      </c>
      <c r="G2112" s="27"/>
    </row>
    <row r="2113" hidden="1">
      <c r="A2113" s="21"/>
      <c r="B2113" s="21" t="s">
        <v>2968</v>
      </c>
      <c r="D2113" s="25">
        <v>0.0</v>
      </c>
      <c r="E2113" s="27"/>
      <c r="F2113" s="25">
        <v>0.0</v>
      </c>
      <c r="G2113" s="27"/>
    </row>
    <row r="2114" hidden="1">
      <c r="A2114" s="21"/>
      <c r="B2114" s="21" t="s">
        <v>2969</v>
      </c>
      <c r="D2114" s="25">
        <v>0.0</v>
      </c>
      <c r="E2114" s="27"/>
      <c r="F2114" s="25">
        <v>0.0</v>
      </c>
      <c r="G2114" s="27"/>
    </row>
    <row r="2115" hidden="1">
      <c r="A2115" s="21"/>
      <c r="B2115" s="21" t="s">
        <v>2970</v>
      </c>
      <c r="D2115" s="25">
        <v>0.0</v>
      </c>
      <c r="E2115" s="27"/>
      <c r="F2115" s="25">
        <v>0.0</v>
      </c>
      <c r="G2115" s="27"/>
    </row>
    <row r="2116" hidden="1">
      <c r="A2116" s="21"/>
      <c r="B2116" s="21" t="s">
        <v>2971</v>
      </c>
      <c r="D2116" s="25">
        <v>0.0</v>
      </c>
      <c r="E2116" s="27"/>
      <c r="F2116" s="25">
        <v>0.0</v>
      </c>
      <c r="G2116" s="27"/>
    </row>
    <row r="2117" hidden="1">
      <c r="A2117" s="21"/>
      <c r="B2117" s="21" t="s">
        <v>2972</v>
      </c>
      <c r="D2117" s="25">
        <v>0.0</v>
      </c>
      <c r="E2117" s="27"/>
      <c r="F2117" s="25">
        <v>0.0</v>
      </c>
      <c r="G2117" s="27"/>
    </row>
    <row r="2118" hidden="1">
      <c r="A2118" s="21"/>
      <c r="B2118" s="21" t="s">
        <v>2973</v>
      </c>
      <c r="D2118" s="25">
        <v>0.0</v>
      </c>
      <c r="E2118" s="27"/>
      <c r="F2118" s="25">
        <v>0.0</v>
      </c>
      <c r="G2118" s="27"/>
    </row>
    <row r="2119" hidden="1">
      <c r="A2119" s="21"/>
      <c r="B2119" s="21" t="s">
        <v>2974</v>
      </c>
      <c r="D2119" s="25">
        <v>0.0</v>
      </c>
      <c r="E2119" s="27"/>
      <c r="F2119" s="25">
        <v>0.0</v>
      </c>
      <c r="G2119" s="27"/>
    </row>
    <row r="2120" hidden="1">
      <c r="A2120" s="21"/>
      <c r="B2120" s="21" t="s">
        <v>2975</v>
      </c>
      <c r="D2120" s="25">
        <v>0.0</v>
      </c>
      <c r="E2120" s="27"/>
      <c r="F2120" s="25">
        <v>0.0</v>
      </c>
      <c r="G2120" s="27"/>
    </row>
    <row r="2121" hidden="1">
      <c r="A2121" s="21"/>
      <c r="B2121" s="21" t="s">
        <v>2976</v>
      </c>
      <c r="D2121" s="25">
        <v>0.0</v>
      </c>
      <c r="E2121" s="27"/>
      <c r="F2121" s="25">
        <v>0.0</v>
      </c>
      <c r="G2121" s="27"/>
    </row>
    <row r="2122" hidden="1">
      <c r="A2122" s="21"/>
      <c r="B2122" s="21" t="s">
        <v>2977</v>
      </c>
      <c r="D2122" s="25">
        <v>0.0</v>
      </c>
      <c r="E2122" s="27"/>
      <c r="F2122" s="25">
        <v>0.0</v>
      </c>
      <c r="G2122" s="27"/>
    </row>
    <row r="2123" hidden="1">
      <c r="A2123" s="21"/>
      <c r="B2123" s="21" t="s">
        <v>2978</v>
      </c>
      <c r="D2123" s="25">
        <v>0.0</v>
      </c>
      <c r="E2123" s="27"/>
      <c r="F2123" s="25">
        <v>0.0</v>
      </c>
      <c r="G2123" s="27"/>
    </row>
    <row r="2124" hidden="1">
      <c r="A2124" s="21"/>
      <c r="B2124" s="21" t="s">
        <v>2979</v>
      </c>
      <c r="D2124" s="25">
        <v>0.0</v>
      </c>
      <c r="E2124" s="27"/>
      <c r="F2124" s="25">
        <v>0.0</v>
      </c>
      <c r="G2124" s="27"/>
    </row>
    <row r="2125" hidden="1">
      <c r="A2125" s="21"/>
      <c r="B2125" s="21" t="s">
        <v>2980</v>
      </c>
      <c r="D2125" s="25">
        <v>0.0</v>
      </c>
      <c r="E2125" s="27"/>
      <c r="F2125" s="25">
        <v>0.0</v>
      </c>
      <c r="G2125" s="27"/>
    </row>
    <row r="2126" hidden="1">
      <c r="A2126" s="21"/>
      <c r="B2126" s="21" t="s">
        <v>2981</v>
      </c>
      <c r="D2126" s="25">
        <v>0.0</v>
      </c>
      <c r="E2126" s="27"/>
      <c r="F2126" s="25">
        <v>0.0</v>
      </c>
      <c r="G2126" s="27"/>
    </row>
    <row r="2127" hidden="1">
      <c r="A2127" s="21"/>
      <c r="B2127" s="21" t="s">
        <v>2982</v>
      </c>
      <c r="D2127" s="25">
        <v>0.0</v>
      </c>
      <c r="E2127" s="27"/>
      <c r="F2127" s="25">
        <v>0.0</v>
      </c>
      <c r="G2127" s="27"/>
    </row>
    <row r="2128" hidden="1">
      <c r="A2128" s="21"/>
      <c r="B2128" s="21" t="s">
        <v>2983</v>
      </c>
      <c r="D2128" s="25">
        <v>0.0</v>
      </c>
      <c r="E2128" s="27"/>
      <c r="F2128" s="25">
        <v>0.0</v>
      </c>
      <c r="G2128" s="27"/>
    </row>
    <row r="2129" hidden="1">
      <c r="A2129" s="21"/>
      <c r="B2129" s="21" t="s">
        <v>2984</v>
      </c>
      <c r="D2129" s="25">
        <v>0.0</v>
      </c>
      <c r="E2129" s="27"/>
      <c r="F2129" s="25">
        <v>0.0</v>
      </c>
      <c r="G2129" s="27"/>
    </row>
    <row r="2130" hidden="1">
      <c r="A2130" s="21"/>
      <c r="B2130" s="21" t="s">
        <v>2985</v>
      </c>
      <c r="D2130" s="25">
        <v>0.0</v>
      </c>
      <c r="E2130" s="27"/>
      <c r="F2130" s="25">
        <v>0.0</v>
      </c>
      <c r="G2130" s="27"/>
    </row>
    <row r="2131" hidden="1">
      <c r="A2131" s="21"/>
      <c r="B2131" s="21" t="s">
        <v>2986</v>
      </c>
      <c r="D2131" s="25">
        <v>0.0</v>
      </c>
      <c r="E2131" s="27"/>
      <c r="F2131" s="25">
        <v>0.0</v>
      </c>
      <c r="G2131" s="27"/>
    </row>
    <row r="2132" hidden="1">
      <c r="A2132" s="21"/>
      <c r="B2132" s="21" t="s">
        <v>2987</v>
      </c>
      <c r="D2132" s="25">
        <v>0.0</v>
      </c>
      <c r="E2132" s="27"/>
      <c r="F2132" s="25">
        <v>0.0</v>
      </c>
      <c r="G2132" s="27"/>
    </row>
    <row r="2133" hidden="1">
      <c r="A2133" s="21"/>
      <c r="B2133" s="21" t="s">
        <v>2988</v>
      </c>
      <c r="D2133" s="25">
        <v>0.0</v>
      </c>
      <c r="E2133" s="27"/>
      <c r="F2133" s="25">
        <v>0.0</v>
      </c>
      <c r="G2133" s="27"/>
    </row>
    <row r="2134" hidden="1">
      <c r="A2134" s="21"/>
      <c r="B2134" s="21" t="s">
        <v>2989</v>
      </c>
      <c r="D2134" s="25">
        <v>0.0</v>
      </c>
      <c r="E2134" s="27"/>
      <c r="F2134" s="25">
        <v>0.0</v>
      </c>
      <c r="G2134" s="27"/>
    </row>
    <row r="2135" hidden="1">
      <c r="A2135" s="21"/>
      <c r="B2135" s="21" t="s">
        <v>2990</v>
      </c>
      <c r="D2135" s="25">
        <v>0.0</v>
      </c>
      <c r="E2135" s="27"/>
      <c r="F2135" s="25">
        <v>0.0</v>
      </c>
      <c r="G2135" s="27"/>
    </row>
    <row r="2136" hidden="1">
      <c r="A2136" s="21"/>
      <c r="B2136" s="21" t="s">
        <v>2991</v>
      </c>
      <c r="D2136" s="25">
        <v>0.0</v>
      </c>
      <c r="E2136" s="27"/>
      <c r="F2136" s="25">
        <v>0.0</v>
      </c>
      <c r="G2136" s="27"/>
    </row>
    <row r="2137" hidden="1">
      <c r="A2137" s="21"/>
      <c r="B2137" s="21" t="s">
        <v>2992</v>
      </c>
      <c r="D2137" s="25">
        <v>0.0</v>
      </c>
      <c r="E2137" s="27"/>
      <c r="F2137" s="25">
        <v>0.0</v>
      </c>
      <c r="G2137" s="27"/>
    </row>
    <row r="2138" hidden="1">
      <c r="A2138" s="21"/>
      <c r="B2138" s="21" t="s">
        <v>2993</v>
      </c>
      <c r="D2138" s="25">
        <v>0.0</v>
      </c>
      <c r="E2138" s="27"/>
      <c r="F2138" s="25">
        <v>0.0</v>
      </c>
      <c r="G2138" s="27"/>
    </row>
    <row r="2139" hidden="1">
      <c r="A2139" s="21"/>
      <c r="B2139" s="21" t="s">
        <v>2994</v>
      </c>
      <c r="D2139" s="25">
        <v>0.0</v>
      </c>
      <c r="E2139" s="27"/>
      <c r="F2139" s="25">
        <v>0.0</v>
      </c>
      <c r="G2139" s="27"/>
    </row>
    <row r="2140" hidden="1">
      <c r="A2140" s="21"/>
      <c r="B2140" s="21" t="s">
        <v>2995</v>
      </c>
      <c r="D2140" s="25">
        <v>0.0</v>
      </c>
      <c r="E2140" s="27"/>
      <c r="F2140" s="25">
        <v>0.0</v>
      </c>
      <c r="G2140" s="27"/>
    </row>
    <row r="2141" hidden="1">
      <c r="A2141" s="21"/>
      <c r="B2141" s="21" t="s">
        <v>2996</v>
      </c>
      <c r="D2141" s="25">
        <v>0.0</v>
      </c>
      <c r="E2141" s="27"/>
      <c r="F2141" s="25">
        <v>0.0</v>
      </c>
      <c r="G2141" s="27"/>
    </row>
    <row r="2142" hidden="1">
      <c r="A2142" s="21"/>
      <c r="B2142" s="21" t="s">
        <v>2997</v>
      </c>
      <c r="D2142" s="25">
        <v>0.0</v>
      </c>
      <c r="E2142" s="27"/>
      <c r="F2142" s="25">
        <v>0.0</v>
      </c>
      <c r="G2142" s="27"/>
    </row>
    <row r="2143" hidden="1">
      <c r="A2143" s="21"/>
      <c r="B2143" s="21" t="s">
        <v>2998</v>
      </c>
      <c r="D2143" s="25">
        <v>0.0</v>
      </c>
      <c r="E2143" s="27"/>
      <c r="F2143" s="25">
        <v>0.0</v>
      </c>
      <c r="G2143" s="27"/>
    </row>
    <row r="2144" hidden="1">
      <c r="A2144" s="21"/>
      <c r="B2144" s="21" t="s">
        <v>2999</v>
      </c>
      <c r="D2144" s="25">
        <v>0.0</v>
      </c>
      <c r="E2144" s="27"/>
      <c r="F2144" s="25">
        <v>0.0</v>
      </c>
      <c r="G2144" s="27"/>
    </row>
    <row r="2145" hidden="1">
      <c r="A2145" s="21"/>
      <c r="B2145" s="21" t="s">
        <v>3000</v>
      </c>
      <c r="D2145" s="25">
        <v>0.0</v>
      </c>
      <c r="E2145" s="27"/>
      <c r="F2145" s="25">
        <v>0.0</v>
      </c>
      <c r="G2145" s="27"/>
    </row>
    <row r="2146" hidden="1">
      <c r="A2146" s="21"/>
      <c r="B2146" s="21" t="s">
        <v>3001</v>
      </c>
      <c r="D2146" s="25">
        <v>0.0</v>
      </c>
      <c r="E2146" s="27"/>
      <c r="F2146" s="25">
        <v>0.0</v>
      </c>
      <c r="G2146" s="27"/>
    </row>
    <row r="2147" hidden="1">
      <c r="A2147" s="21"/>
      <c r="B2147" s="21" t="s">
        <v>3002</v>
      </c>
      <c r="D2147" s="25">
        <v>0.0</v>
      </c>
      <c r="E2147" s="27"/>
      <c r="F2147" s="25">
        <v>0.0</v>
      </c>
      <c r="G2147" s="27"/>
    </row>
    <row r="2148" hidden="1">
      <c r="A2148" s="21"/>
      <c r="B2148" s="21" t="s">
        <v>3003</v>
      </c>
      <c r="D2148" s="25">
        <v>0.0</v>
      </c>
      <c r="E2148" s="27"/>
      <c r="F2148" s="25">
        <v>0.0</v>
      </c>
      <c r="G2148" s="27"/>
    </row>
    <row r="2149" hidden="1">
      <c r="A2149" s="21"/>
      <c r="B2149" s="21" t="s">
        <v>3004</v>
      </c>
      <c r="D2149" s="25">
        <v>0.0</v>
      </c>
      <c r="E2149" s="27"/>
      <c r="F2149" s="25">
        <v>0.0</v>
      </c>
      <c r="G2149" s="27"/>
    </row>
    <row r="2150" hidden="1">
      <c r="A2150" s="21"/>
      <c r="B2150" s="21" t="s">
        <v>3005</v>
      </c>
      <c r="D2150" s="25">
        <v>0.0</v>
      </c>
      <c r="E2150" s="27"/>
      <c r="F2150" s="25">
        <v>0.0</v>
      </c>
      <c r="G2150" s="27"/>
    </row>
    <row r="2151" hidden="1">
      <c r="A2151" s="21"/>
      <c r="B2151" s="21" t="s">
        <v>3006</v>
      </c>
      <c r="D2151" s="25">
        <v>0.0</v>
      </c>
      <c r="E2151" s="27"/>
      <c r="F2151" s="25">
        <v>0.0</v>
      </c>
      <c r="G2151" s="27"/>
    </row>
    <row r="2152" hidden="1">
      <c r="A2152" s="21"/>
      <c r="B2152" s="21" t="s">
        <v>3007</v>
      </c>
      <c r="D2152" s="25">
        <v>0.0</v>
      </c>
      <c r="E2152" s="27"/>
      <c r="F2152" s="25">
        <v>0.0</v>
      </c>
      <c r="G2152" s="27"/>
    </row>
    <row r="2153" hidden="1">
      <c r="A2153" s="21"/>
      <c r="B2153" s="21" t="s">
        <v>3008</v>
      </c>
      <c r="D2153" s="25">
        <v>0.0</v>
      </c>
      <c r="E2153" s="27"/>
      <c r="F2153" s="25">
        <v>0.0</v>
      </c>
      <c r="G2153" s="27"/>
    </row>
    <row r="2154" hidden="1">
      <c r="A2154" s="21"/>
      <c r="B2154" s="21" t="s">
        <v>3009</v>
      </c>
      <c r="D2154" s="25">
        <v>0.0</v>
      </c>
      <c r="E2154" s="27"/>
      <c r="F2154" s="25">
        <v>0.0</v>
      </c>
      <c r="G2154" s="27"/>
    </row>
    <row r="2155" hidden="1">
      <c r="A2155" s="21"/>
      <c r="B2155" s="21" t="s">
        <v>3010</v>
      </c>
      <c r="D2155" s="25">
        <v>0.0</v>
      </c>
      <c r="E2155" s="27"/>
      <c r="F2155" s="25">
        <v>0.0</v>
      </c>
      <c r="G2155" s="27"/>
    </row>
    <row r="2156" hidden="1">
      <c r="A2156" s="21"/>
      <c r="B2156" s="21" t="s">
        <v>3011</v>
      </c>
      <c r="D2156" s="25">
        <v>0.0</v>
      </c>
      <c r="E2156" s="27"/>
      <c r="F2156" s="25">
        <v>0.0</v>
      </c>
      <c r="G2156" s="27"/>
    </row>
    <row r="2157" hidden="1">
      <c r="A2157" s="21"/>
      <c r="B2157" s="21" t="s">
        <v>3012</v>
      </c>
      <c r="D2157" s="25">
        <v>0.0</v>
      </c>
      <c r="E2157" s="27"/>
      <c r="F2157" s="25">
        <v>0.0</v>
      </c>
      <c r="G2157" s="27"/>
    </row>
    <row r="2158" hidden="1">
      <c r="A2158" s="21"/>
      <c r="B2158" s="21" t="s">
        <v>3013</v>
      </c>
      <c r="D2158" s="25">
        <v>0.0</v>
      </c>
      <c r="E2158" s="27"/>
      <c r="F2158" s="25">
        <v>0.0</v>
      </c>
      <c r="G2158" s="27"/>
    </row>
    <row r="2159" hidden="1">
      <c r="A2159" s="21"/>
      <c r="B2159" s="21" t="s">
        <v>3014</v>
      </c>
      <c r="D2159" s="25">
        <v>0.0</v>
      </c>
      <c r="E2159" s="27"/>
      <c r="F2159" s="25">
        <v>0.0</v>
      </c>
      <c r="G2159" s="27"/>
    </row>
    <row r="2160" hidden="1">
      <c r="A2160" s="21"/>
      <c r="B2160" s="21" t="s">
        <v>3015</v>
      </c>
      <c r="D2160" s="25">
        <v>0.0</v>
      </c>
      <c r="E2160" s="27"/>
      <c r="F2160" s="25">
        <v>0.0</v>
      </c>
      <c r="G2160" s="27"/>
    </row>
    <row r="2161" hidden="1">
      <c r="A2161" s="21"/>
      <c r="B2161" s="21" t="s">
        <v>3016</v>
      </c>
      <c r="D2161" s="25">
        <v>0.0</v>
      </c>
      <c r="E2161" s="27"/>
      <c r="F2161" s="25">
        <v>0.0</v>
      </c>
      <c r="G2161" s="27"/>
    </row>
    <row r="2162" hidden="1">
      <c r="A2162" s="21"/>
      <c r="B2162" s="21" t="s">
        <v>3017</v>
      </c>
      <c r="D2162" s="25">
        <v>0.0</v>
      </c>
      <c r="E2162" s="27"/>
      <c r="F2162" s="25">
        <v>0.0</v>
      </c>
      <c r="G2162" s="27"/>
    </row>
    <row r="2163" hidden="1">
      <c r="A2163" s="21"/>
      <c r="B2163" s="21" t="s">
        <v>3018</v>
      </c>
      <c r="D2163" s="25">
        <v>0.0</v>
      </c>
      <c r="E2163" s="27"/>
      <c r="F2163" s="25">
        <v>0.0</v>
      </c>
      <c r="G2163" s="27"/>
    </row>
    <row r="2164" hidden="1">
      <c r="A2164" s="21"/>
      <c r="B2164" s="21" t="s">
        <v>3019</v>
      </c>
      <c r="D2164" s="25">
        <v>0.0</v>
      </c>
      <c r="E2164" s="27"/>
      <c r="F2164" s="25">
        <v>0.0</v>
      </c>
      <c r="G2164" s="27"/>
    </row>
    <row r="2165" hidden="1">
      <c r="A2165" s="21"/>
      <c r="B2165" s="21" t="s">
        <v>3020</v>
      </c>
      <c r="D2165" s="25">
        <v>0.0</v>
      </c>
      <c r="E2165" s="27"/>
      <c r="F2165" s="25">
        <v>0.0</v>
      </c>
      <c r="G2165" s="27"/>
    </row>
    <row r="2166" hidden="1">
      <c r="A2166" s="21"/>
      <c r="B2166" s="21" t="s">
        <v>3021</v>
      </c>
      <c r="D2166" s="25">
        <v>0.0</v>
      </c>
      <c r="E2166" s="27"/>
      <c r="F2166" s="25">
        <v>0.0</v>
      </c>
      <c r="G2166" s="27"/>
    </row>
    <row r="2167" hidden="1">
      <c r="A2167" s="21"/>
      <c r="B2167" s="21" t="s">
        <v>3022</v>
      </c>
      <c r="D2167" s="25">
        <v>0.0</v>
      </c>
      <c r="E2167" s="27"/>
      <c r="F2167" s="25">
        <v>0.0</v>
      </c>
      <c r="G2167" s="27"/>
    </row>
    <row r="2168" hidden="1">
      <c r="A2168" s="21"/>
      <c r="B2168" s="21" t="s">
        <v>3023</v>
      </c>
      <c r="D2168" s="25">
        <v>0.0</v>
      </c>
      <c r="E2168" s="27"/>
      <c r="F2168" s="25">
        <v>0.0</v>
      </c>
      <c r="G2168" s="27"/>
    </row>
    <row r="2169" hidden="1">
      <c r="A2169" s="21"/>
      <c r="B2169" s="21" t="s">
        <v>3024</v>
      </c>
      <c r="D2169" s="25">
        <v>0.0</v>
      </c>
      <c r="E2169" s="27"/>
      <c r="F2169" s="25">
        <v>0.0</v>
      </c>
      <c r="G2169" s="27"/>
    </row>
    <row r="2170" hidden="1">
      <c r="A2170" s="21"/>
      <c r="B2170" s="21" t="s">
        <v>3025</v>
      </c>
      <c r="D2170" s="25">
        <v>0.0</v>
      </c>
      <c r="E2170" s="27"/>
      <c r="F2170" s="25">
        <v>0.0</v>
      </c>
      <c r="G2170" s="27"/>
    </row>
    <row r="2171" hidden="1">
      <c r="A2171" s="21"/>
      <c r="B2171" s="21" t="s">
        <v>3026</v>
      </c>
      <c r="D2171" s="25">
        <v>0.0</v>
      </c>
      <c r="E2171" s="27"/>
      <c r="F2171" s="25">
        <v>0.0</v>
      </c>
      <c r="G2171" s="27"/>
    </row>
    <row r="2172" hidden="1">
      <c r="A2172" s="21"/>
      <c r="B2172" s="21" t="s">
        <v>3027</v>
      </c>
      <c r="D2172" s="25">
        <v>0.0</v>
      </c>
      <c r="E2172" s="27"/>
      <c r="F2172" s="25">
        <v>0.0</v>
      </c>
      <c r="G2172" s="27"/>
    </row>
    <row r="2173" hidden="1">
      <c r="A2173" s="21"/>
      <c r="B2173" s="21" t="s">
        <v>3028</v>
      </c>
      <c r="D2173" s="25">
        <v>0.0</v>
      </c>
      <c r="E2173" s="27"/>
      <c r="F2173" s="25">
        <v>0.0</v>
      </c>
      <c r="G2173" s="27"/>
    </row>
    <row r="2174" hidden="1">
      <c r="A2174" s="21"/>
      <c r="B2174" s="21" t="s">
        <v>3029</v>
      </c>
      <c r="D2174" s="25">
        <v>0.0</v>
      </c>
      <c r="E2174" s="27"/>
      <c r="F2174" s="25">
        <v>0.0</v>
      </c>
      <c r="G2174" s="27"/>
    </row>
    <row r="2175" hidden="1">
      <c r="A2175" s="21"/>
      <c r="B2175" s="21" t="s">
        <v>3030</v>
      </c>
      <c r="D2175" s="25">
        <v>0.0</v>
      </c>
      <c r="E2175" s="27"/>
      <c r="F2175" s="25">
        <v>0.0</v>
      </c>
      <c r="G2175" s="27"/>
    </row>
    <row r="2176" hidden="1">
      <c r="A2176" s="21"/>
      <c r="B2176" s="21" t="s">
        <v>3031</v>
      </c>
      <c r="D2176" s="25">
        <v>0.0</v>
      </c>
      <c r="E2176" s="27"/>
      <c r="F2176" s="25">
        <v>0.0</v>
      </c>
      <c r="G2176" s="27"/>
    </row>
    <row r="2177" hidden="1">
      <c r="A2177" s="21"/>
      <c r="B2177" s="21" t="s">
        <v>3032</v>
      </c>
      <c r="D2177" s="25">
        <v>0.0</v>
      </c>
      <c r="E2177" s="27"/>
      <c r="F2177" s="25">
        <v>0.0</v>
      </c>
      <c r="G2177" s="27"/>
    </row>
    <row r="2178" hidden="1">
      <c r="A2178" s="21"/>
      <c r="B2178" s="21" t="s">
        <v>3033</v>
      </c>
      <c r="D2178" s="25">
        <v>0.0</v>
      </c>
      <c r="E2178" s="27"/>
      <c r="F2178" s="25">
        <v>0.0</v>
      </c>
      <c r="G2178" s="27"/>
    </row>
    <row r="2179" hidden="1">
      <c r="A2179" s="21"/>
      <c r="B2179" s="21" t="s">
        <v>3034</v>
      </c>
      <c r="D2179" s="25">
        <v>0.0</v>
      </c>
      <c r="E2179" s="27"/>
      <c r="F2179" s="25">
        <v>0.0</v>
      </c>
      <c r="G2179" s="27"/>
    </row>
    <row r="2180" hidden="1">
      <c r="A2180" s="21"/>
      <c r="B2180" s="21" t="s">
        <v>3035</v>
      </c>
      <c r="D2180" s="25">
        <v>0.0</v>
      </c>
      <c r="E2180" s="27"/>
      <c r="F2180" s="25">
        <v>0.0</v>
      </c>
      <c r="G2180" s="27"/>
    </row>
    <row r="2181" hidden="1">
      <c r="A2181" s="21"/>
      <c r="B2181" s="21" t="s">
        <v>3036</v>
      </c>
      <c r="D2181" s="25">
        <v>0.0</v>
      </c>
      <c r="E2181" s="27"/>
      <c r="F2181" s="25">
        <v>0.0</v>
      </c>
      <c r="G2181" s="27"/>
    </row>
    <row r="2182" hidden="1">
      <c r="A2182" s="21"/>
      <c r="B2182" s="21" t="s">
        <v>3037</v>
      </c>
      <c r="D2182" s="25">
        <v>0.0</v>
      </c>
      <c r="E2182" s="27"/>
      <c r="F2182" s="25">
        <v>0.0</v>
      </c>
      <c r="G2182" s="27"/>
    </row>
    <row r="2183" hidden="1">
      <c r="A2183" s="21"/>
      <c r="B2183" s="21" t="s">
        <v>3038</v>
      </c>
      <c r="D2183" s="25">
        <v>0.0</v>
      </c>
      <c r="E2183" s="27"/>
      <c r="F2183" s="25">
        <v>0.0</v>
      </c>
      <c r="G2183" s="27"/>
    </row>
    <row r="2184" hidden="1">
      <c r="A2184" s="21"/>
      <c r="B2184" s="21" t="s">
        <v>3039</v>
      </c>
      <c r="D2184" s="25">
        <v>0.0</v>
      </c>
      <c r="E2184" s="27"/>
      <c r="F2184" s="25">
        <v>0.0</v>
      </c>
      <c r="G2184" s="27"/>
    </row>
    <row r="2185" hidden="1">
      <c r="A2185" s="21"/>
      <c r="B2185" s="21" t="s">
        <v>3040</v>
      </c>
      <c r="D2185" s="25">
        <v>0.0</v>
      </c>
      <c r="E2185" s="27"/>
      <c r="F2185" s="25">
        <v>0.0</v>
      </c>
      <c r="G2185" s="27"/>
    </row>
    <row r="2186" hidden="1">
      <c r="A2186" s="21"/>
      <c r="B2186" s="21" t="s">
        <v>3041</v>
      </c>
      <c r="D2186" s="25">
        <v>0.0</v>
      </c>
      <c r="E2186" s="27"/>
      <c r="F2186" s="25">
        <v>0.0</v>
      </c>
      <c r="G2186" s="27"/>
    </row>
    <row r="2187" hidden="1">
      <c r="A2187" s="21"/>
      <c r="B2187" s="21" t="s">
        <v>3042</v>
      </c>
      <c r="D2187" s="25">
        <v>0.0</v>
      </c>
      <c r="E2187" s="27"/>
      <c r="F2187" s="25">
        <v>0.0</v>
      </c>
      <c r="G2187" s="27"/>
    </row>
    <row r="2188" hidden="1">
      <c r="A2188" s="21"/>
      <c r="B2188" s="21" t="s">
        <v>3043</v>
      </c>
      <c r="D2188" s="25">
        <v>0.0</v>
      </c>
      <c r="E2188" s="27"/>
      <c r="F2188" s="25">
        <v>0.0</v>
      </c>
      <c r="G2188" s="27"/>
    </row>
    <row r="2189" hidden="1">
      <c r="A2189" s="21"/>
      <c r="B2189" s="21" t="s">
        <v>3044</v>
      </c>
      <c r="D2189" s="25">
        <v>0.0</v>
      </c>
      <c r="E2189" s="27"/>
      <c r="F2189" s="25">
        <v>0.0</v>
      </c>
      <c r="G2189" s="27"/>
    </row>
    <row r="2190" hidden="1">
      <c r="A2190" s="21"/>
      <c r="B2190" s="21" t="s">
        <v>3045</v>
      </c>
      <c r="D2190" s="25">
        <v>0.0</v>
      </c>
      <c r="E2190" s="27"/>
      <c r="F2190" s="25">
        <v>0.0</v>
      </c>
      <c r="G2190" s="27"/>
    </row>
    <row r="2191" hidden="1">
      <c r="A2191" s="21"/>
      <c r="B2191" s="21" t="s">
        <v>3046</v>
      </c>
      <c r="D2191" s="25">
        <v>0.0</v>
      </c>
      <c r="E2191" s="27"/>
      <c r="F2191" s="25">
        <v>0.0</v>
      </c>
      <c r="G2191" s="27"/>
    </row>
    <row r="2192" hidden="1">
      <c r="A2192" s="21"/>
      <c r="B2192" s="21" t="s">
        <v>3047</v>
      </c>
      <c r="D2192" s="25">
        <v>0.0</v>
      </c>
      <c r="E2192" s="27"/>
      <c r="F2192" s="25">
        <v>0.0</v>
      </c>
      <c r="G2192" s="27"/>
    </row>
    <row r="2193" hidden="1">
      <c r="A2193" s="21"/>
      <c r="B2193" s="21" t="s">
        <v>3048</v>
      </c>
      <c r="D2193" s="25">
        <v>0.0</v>
      </c>
      <c r="E2193" s="27"/>
      <c r="F2193" s="25">
        <v>0.0</v>
      </c>
      <c r="G2193" s="27"/>
    </row>
    <row r="2194" hidden="1">
      <c r="A2194" s="21"/>
      <c r="B2194" s="21" t="s">
        <v>3049</v>
      </c>
      <c r="D2194" s="25">
        <v>0.0</v>
      </c>
      <c r="E2194" s="27"/>
      <c r="F2194" s="25">
        <v>0.0</v>
      </c>
      <c r="G2194" s="27"/>
    </row>
    <row r="2195" hidden="1">
      <c r="A2195" s="21"/>
      <c r="B2195" s="21" t="s">
        <v>3050</v>
      </c>
      <c r="D2195" s="25">
        <v>0.0</v>
      </c>
      <c r="E2195" s="27"/>
      <c r="F2195" s="25">
        <v>0.0</v>
      </c>
      <c r="G2195" s="27"/>
    </row>
    <row r="2196" hidden="1">
      <c r="A2196" s="21"/>
      <c r="B2196" s="21" t="s">
        <v>3051</v>
      </c>
      <c r="D2196" s="25">
        <v>0.0</v>
      </c>
      <c r="E2196" s="27"/>
      <c r="F2196" s="25">
        <v>0.0</v>
      </c>
      <c r="G2196" s="27"/>
    </row>
    <row r="2197" hidden="1">
      <c r="A2197" s="21"/>
      <c r="B2197" s="21" t="s">
        <v>3052</v>
      </c>
      <c r="D2197" s="25">
        <v>0.0</v>
      </c>
      <c r="E2197" s="27"/>
      <c r="F2197" s="25">
        <v>0.0</v>
      </c>
      <c r="G2197" s="27"/>
    </row>
    <row r="2198" hidden="1">
      <c r="A2198" s="21"/>
      <c r="B2198" s="21" t="s">
        <v>3053</v>
      </c>
      <c r="D2198" s="25">
        <v>0.0</v>
      </c>
      <c r="E2198" s="27"/>
      <c r="F2198" s="25">
        <v>0.0</v>
      </c>
      <c r="G2198" s="27"/>
    </row>
    <row r="2199" hidden="1">
      <c r="A2199" s="21"/>
      <c r="B2199" s="21" t="s">
        <v>3054</v>
      </c>
      <c r="D2199" s="25">
        <v>0.0</v>
      </c>
      <c r="E2199" s="27"/>
      <c r="F2199" s="25">
        <v>0.0</v>
      </c>
      <c r="G2199" s="27"/>
    </row>
    <row r="2200" hidden="1">
      <c r="A2200" s="21"/>
      <c r="B2200" s="21" t="s">
        <v>3055</v>
      </c>
      <c r="D2200" s="25">
        <v>0.0</v>
      </c>
      <c r="E2200" s="27"/>
      <c r="F2200" s="25">
        <v>0.0</v>
      </c>
      <c r="G2200" s="27"/>
    </row>
    <row r="2201" hidden="1">
      <c r="A2201" s="21"/>
      <c r="B2201" s="21" t="s">
        <v>3056</v>
      </c>
      <c r="D2201" s="25">
        <v>0.0</v>
      </c>
      <c r="E2201" s="27"/>
      <c r="F2201" s="25">
        <v>0.0</v>
      </c>
      <c r="G2201" s="27"/>
    </row>
    <row r="2202" hidden="1">
      <c r="A2202" s="21"/>
      <c r="B2202" s="21" t="s">
        <v>3057</v>
      </c>
      <c r="D2202" s="25">
        <v>0.0</v>
      </c>
      <c r="E2202" s="27"/>
      <c r="F2202" s="25">
        <v>0.0</v>
      </c>
      <c r="G2202" s="27"/>
    </row>
    <row r="2203" hidden="1">
      <c r="A2203" s="21"/>
      <c r="B2203" s="21" t="s">
        <v>3058</v>
      </c>
      <c r="D2203" s="25">
        <v>0.0</v>
      </c>
      <c r="E2203" s="27"/>
      <c r="F2203" s="25">
        <v>0.0</v>
      </c>
      <c r="G2203" s="27"/>
    </row>
    <row r="2204" hidden="1">
      <c r="A2204" s="21"/>
      <c r="B2204" s="21" t="s">
        <v>3059</v>
      </c>
      <c r="D2204" s="25">
        <v>0.0</v>
      </c>
      <c r="E2204" s="27"/>
      <c r="F2204" s="25">
        <v>0.0</v>
      </c>
      <c r="G2204" s="27"/>
    </row>
    <row r="2205" hidden="1">
      <c r="A2205" s="21"/>
      <c r="B2205" s="21" t="s">
        <v>3060</v>
      </c>
      <c r="D2205" s="25">
        <v>0.0</v>
      </c>
      <c r="E2205" s="27"/>
      <c r="F2205" s="25">
        <v>0.0</v>
      </c>
      <c r="G2205" s="27"/>
    </row>
    <row r="2206" hidden="1">
      <c r="A2206" s="21"/>
      <c r="B2206" s="21" t="s">
        <v>3061</v>
      </c>
      <c r="D2206" s="25">
        <v>0.0</v>
      </c>
      <c r="E2206" s="27"/>
      <c r="F2206" s="25">
        <v>0.0</v>
      </c>
      <c r="G2206" s="27"/>
    </row>
    <row r="2207" hidden="1">
      <c r="A2207" s="21"/>
      <c r="B2207" s="21" t="s">
        <v>3062</v>
      </c>
      <c r="D2207" s="25">
        <v>0.0</v>
      </c>
      <c r="E2207" s="27"/>
      <c r="F2207" s="25">
        <v>0.0</v>
      </c>
      <c r="G2207" s="27"/>
    </row>
    <row r="2208" hidden="1">
      <c r="A2208" s="21"/>
      <c r="B2208" s="21" t="s">
        <v>3063</v>
      </c>
      <c r="D2208" s="25">
        <v>0.0</v>
      </c>
      <c r="E2208" s="27"/>
      <c r="F2208" s="25">
        <v>0.0</v>
      </c>
      <c r="G2208" s="27"/>
    </row>
    <row r="2209" hidden="1">
      <c r="A2209" s="21"/>
      <c r="B2209" s="21" t="s">
        <v>3064</v>
      </c>
      <c r="D2209" s="25">
        <v>0.0</v>
      </c>
      <c r="E2209" s="27"/>
      <c r="F2209" s="25">
        <v>0.0</v>
      </c>
      <c r="G2209" s="27"/>
    </row>
    <row r="2210" hidden="1">
      <c r="A2210" s="21"/>
      <c r="B2210" s="21" t="s">
        <v>3065</v>
      </c>
      <c r="D2210" s="25">
        <v>0.0</v>
      </c>
      <c r="E2210" s="27"/>
      <c r="F2210" s="25">
        <v>0.0</v>
      </c>
      <c r="G2210" s="27"/>
    </row>
    <row r="2211" hidden="1">
      <c r="A2211" s="21"/>
      <c r="B2211" s="21" t="s">
        <v>3066</v>
      </c>
      <c r="D2211" s="25">
        <v>0.0</v>
      </c>
      <c r="E2211" s="27"/>
      <c r="F2211" s="25">
        <v>0.0</v>
      </c>
      <c r="G2211" s="27"/>
    </row>
    <row r="2212" hidden="1">
      <c r="A2212" s="21"/>
      <c r="B2212" s="21" t="s">
        <v>3067</v>
      </c>
      <c r="D2212" s="25">
        <v>0.0</v>
      </c>
      <c r="E2212" s="27"/>
      <c r="F2212" s="25">
        <v>0.0</v>
      </c>
      <c r="G2212" s="27"/>
    </row>
    <row r="2213" hidden="1">
      <c r="A2213" s="21"/>
      <c r="B2213" s="21" t="s">
        <v>3068</v>
      </c>
      <c r="D2213" s="25">
        <v>0.0</v>
      </c>
      <c r="E2213" s="27"/>
      <c r="F2213" s="25">
        <v>0.0</v>
      </c>
      <c r="G2213" s="27"/>
    </row>
    <row r="2214" hidden="1">
      <c r="A2214" s="21"/>
      <c r="B2214" s="21" t="s">
        <v>3069</v>
      </c>
      <c r="D2214" s="25">
        <v>0.0</v>
      </c>
      <c r="E2214" s="27"/>
      <c r="F2214" s="25">
        <v>0.0</v>
      </c>
      <c r="G2214" s="27"/>
    </row>
    <row r="2215" hidden="1">
      <c r="A2215" s="21"/>
      <c r="B2215" s="21" t="s">
        <v>3070</v>
      </c>
      <c r="D2215" s="25">
        <v>0.0</v>
      </c>
      <c r="E2215" s="27"/>
      <c r="F2215" s="25">
        <v>0.0</v>
      </c>
      <c r="G2215" s="27"/>
    </row>
    <row r="2216" hidden="1">
      <c r="A2216" s="21"/>
      <c r="B2216" s="21" t="s">
        <v>3071</v>
      </c>
      <c r="D2216" s="25">
        <v>0.0</v>
      </c>
      <c r="E2216" s="27"/>
      <c r="F2216" s="25">
        <v>0.0</v>
      </c>
      <c r="G2216" s="27"/>
    </row>
    <row r="2217" hidden="1">
      <c r="A2217" s="21"/>
      <c r="B2217" s="21" t="s">
        <v>3072</v>
      </c>
      <c r="D2217" s="25">
        <v>0.0</v>
      </c>
      <c r="E2217" s="27"/>
      <c r="F2217" s="25">
        <v>0.0</v>
      </c>
      <c r="G2217" s="27"/>
    </row>
    <row r="2218" hidden="1">
      <c r="A2218" s="21"/>
      <c r="B2218" s="21" t="s">
        <v>3073</v>
      </c>
      <c r="D2218" s="25">
        <v>0.0</v>
      </c>
      <c r="E2218" s="27"/>
      <c r="F2218" s="25">
        <v>0.0</v>
      </c>
      <c r="G2218" s="27"/>
    </row>
    <row r="2219" hidden="1">
      <c r="A2219" s="21"/>
      <c r="B2219" s="21" t="s">
        <v>3074</v>
      </c>
      <c r="D2219" s="25">
        <v>0.0</v>
      </c>
      <c r="E2219" s="27"/>
      <c r="F2219" s="25">
        <v>0.0</v>
      </c>
      <c r="G2219" s="27"/>
    </row>
    <row r="2220" hidden="1">
      <c r="A2220" s="21"/>
      <c r="B2220" s="21" t="s">
        <v>3075</v>
      </c>
      <c r="D2220" s="25">
        <v>0.0</v>
      </c>
      <c r="E2220" s="27"/>
      <c r="F2220" s="25">
        <v>0.0</v>
      </c>
      <c r="G2220" s="27"/>
    </row>
    <row r="2221" hidden="1">
      <c r="A2221" s="21"/>
      <c r="B2221" s="21" t="s">
        <v>3076</v>
      </c>
      <c r="D2221" s="25">
        <v>0.0</v>
      </c>
      <c r="E2221" s="27"/>
      <c r="F2221" s="25">
        <v>0.0</v>
      </c>
      <c r="G2221" s="27"/>
    </row>
    <row r="2222" hidden="1">
      <c r="A2222" s="21"/>
      <c r="B2222" s="21" t="s">
        <v>3077</v>
      </c>
      <c r="D2222" s="25">
        <v>0.0</v>
      </c>
      <c r="E2222" s="27"/>
      <c r="F2222" s="25">
        <v>0.0</v>
      </c>
      <c r="G2222" s="27"/>
    </row>
    <row r="2223" hidden="1">
      <c r="A2223" s="21"/>
      <c r="B2223" s="21" t="s">
        <v>3078</v>
      </c>
      <c r="D2223" s="25">
        <v>0.0</v>
      </c>
      <c r="E2223" s="27"/>
      <c r="F2223" s="25">
        <v>0.0</v>
      </c>
      <c r="G2223" s="27"/>
    </row>
    <row r="2224" hidden="1">
      <c r="A2224" s="21"/>
      <c r="B2224" s="21" t="s">
        <v>3079</v>
      </c>
      <c r="D2224" s="25">
        <v>0.0</v>
      </c>
      <c r="E2224" s="27"/>
      <c r="F2224" s="25">
        <v>0.0</v>
      </c>
      <c r="G2224" s="27"/>
    </row>
    <row r="2225" hidden="1">
      <c r="A2225" s="21"/>
      <c r="B2225" s="21" t="s">
        <v>3080</v>
      </c>
      <c r="D2225" s="25">
        <v>0.0</v>
      </c>
      <c r="E2225" s="27"/>
      <c r="F2225" s="25">
        <v>0.0</v>
      </c>
      <c r="G2225" s="27"/>
    </row>
    <row r="2226" hidden="1">
      <c r="A2226" s="21"/>
      <c r="B2226" s="21" t="s">
        <v>3081</v>
      </c>
      <c r="D2226" s="25">
        <v>0.0</v>
      </c>
      <c r="E2226" s="27"/>
      <c r="F2226" s="25">
        <v>0.0</v>
      </c>
      <c r="G2226" s="27"/>
    </row>
    <row r="2227" hidden="1">
      <c r="A2227" s="21"/>
      <c r="B2227" s="21" t="s">
        <v>3082</v>
      </c>
      <c r="D2227" s="25">
        <v>0.0</v>
      </c>
      <c r="E2227" s="27"/>
      <c r="F2227" s="25">
        <v>0.0</v>
      </c>
      <c r="G2227" s="27"/>
    </row>
    <row r="2228" hidden="1">
      <c r="A2228" s="21"/>
      <c r="B2228" s="21" t="s">
        <v>3083</v>
      </c>
      <c r="D2228" s="25">
        <v>0.0</v>
      </c>
      <c r="E2228" s="27"/>
      <c r="F2228" s="25">
        <v>0.0</v>
      </c>
      <c r="G2228" s="27"/>
    </row>
    <row r="2229" hidden="1">
      <c r="A2229" s="21"/>
      <c r="B2229" s="21" t="s">
        <v>3084</v>
      </c>
      <c r="D2229" s="25">
        <v>0.0</v>
      </c>
      <c r="E2229" s="27"/>
      <c r="F2229" s="25">
        <v>0.0</v>
      </c>
      <c r="G2229" s="27"/>
    </row>
    <row r="2230" hidden="1">
      <c r="A2230" s="21"/>
      <c r="B2230" s="21" t="s">
        <v>3085</v>
      </c>
      <c r="D2230" s="25">
        <v>0.0</v>
      </c>
      <c r="E2230" s="27"/>
      <c r="F2230" s="25">
        <v>0.0</v>
      </c>
      <c r="G2230" s="27"/>
    </row>
    <row r="2231" hidden="1">
      <c r="A2231" s="21"/>
      <c r="B2231" s="21" t="s">
        <v>3086</v>
      </c>
      <c r="D2231" s="25">
        <v>0.0</v>
      </c>
      <c r="E2231" s="27"/>
      <c r="F2231" s="25">
        <v>0.0</v>
      </c>
      <c r="G2231" s="27"/>
    </row>
    <row r="2232" hidden="1">
      <c r="A2232" s="21"/>
      <c r="B2232" s="21" t="s">
        <v>3087</v>
      </c>
      <c r="D2232" s="25">
        <v>0.0</v>
      </c>
      <c r="E2232" s="27"/>
      <c r="F2232" s="25">
        <v>0.0</v>
      </c>
      <c r="G2232" s="27"/>
    </row>
    <row r="2233" hidden="1">
      <c r="A2233" s="21"/>
      <c r="B2233" s="21" t="s">
        <v>3088</v>
      </c>
      <c r="D2233" s="25">
        <v>0.0</v>
      </c>
      <c r="E2233" s="27"/>
      <c r="F2233" s="25">
        <v>0.0</v>
      </c>
      <c r="G2233" s="27"/>
    </row>
    <row r="2234" hidden="1">
      <c r="A2234" s="21"/>
      <c r="B2234" s="21" t="s">
        <v>3089</v>
      </c>
      <c r="D2234" s="25">
        <v>0.0</v>
      </c>
      <c r="E2234" s="27"/>
      <c r="F2234" s="25">
        <v>0.0</v>
      </c>
      <c r="G2234" s="27"/>
    </row>
    <row r="2235" hidden="1">
      <c r="A2235" s="21"/>
      <c r="B2235" s="21" t="s">
        <v>3090</v>
      </c>
      <c r="D2235" s="25">
        <v>0.0</v>
      </c>
      <c r="E2235" s="27"/>
      <c r="F2235" s="25">
        <v>0.0</v>
      </c>
      <c r="G2235" s="27"/>
    </row>
    <row r="2236" hidden="1">
      <c r="A2236" s="21"/>
      <c r="B2236" s="21" t="s">
        <v>3091</v>
      </c>
      <c r="D2236" s="25">
        <v>0.0</v>
      </c>
      <c r="E2236" s="27"/>
      <c r="F2236" s="25">
        <v>0.0</v>
      </c>
      <c r="G2236" s="27"/>
    </row>
    <row r="2237" hidden="1">
      <c r="A2237" s="21"/>
      <c r="B2237" s="21" t="s">
        <v>3092</v>
      </c>
      <c r="D2237" s="25">
        <v>0.0</v>
      </c>
      <c r="E2237" s="27"/>
      <c r="F2237" s="25">
        <v>0.0</v>
      </c>
      <c r="G2237" s="27"/>
    </row>
    <row r="2238" hidden="1">
      <c r="A2238" s="21"/>
      <c r="B2238" s="21" t="s">
        <v>3093</v>
      </c>
      <c r="D2238" s="25">
        <v>0.0</v>
      </c>
      <c r="E2238" s="27"/>
      <c r="F2238" s="25">
        <v>0.0</v>
      </c>
      <c r="G2238" s="27"/>
    </row>
    <row r="2239" hidden="1">
      <c r="A2239" s="21"/>
      <c r="B2239" s="21" t="s">
        <v>3094</v>
      </c>
      <c r="D2239" s="25">
        <v>0.0</v>
      </c>
      <c r="E2239" s="27"/>
      <c r="F2239" s="25">
        <v>0.0</v>
      </c>
      <c r="G2239" s="27"/>
    </row>
    <row r="2240" hidden="1">
      <c r="A2240" s="21"/>
      <c r="B2240" s="21" t="s">
        <v>3095</v>
      </c>
      <c r="D2240" s="25">
        <v>0.0</v>
      </c>
      <c r="E2240" s="27"/>
      <c r="F2240" s="25">
        <v>0.0</v>
      </c>
      <c r="G2240" s="27"/>
    </row>
    <row r="2241" hidden="1">
      <c r="A2241" s="21"/>
      <c r="B2241" s="21" t="s">
        <v>3096</v>
      </c>
      <c r="D2241" s="25">
        <v>0.0</v>
      </c>
      <c r="E2241" s="27"/>
      <c r="F2241" s="25">
        <v>0.0</v>
      </c>
      <c r="G2241" s="27"/>
    </row>
    <row r="2242" hidden="1">
      <c r="A2242" s="21"/>
      <c r="B2242" s="21" t="s">
        <v>3097</v>
      </c>
      <c r="D2242" s="25">
        <v>0.0</v>
      </c>
      <c r="E2242" s="27"/>
      <c r="F2242" s="25">
        <v>0.0</v>
      </c>
      <c r="G2242" s="27"/>
    </row>
    <row r="2243" hidden="1">
      <c r="A2243" s="21"/>
      <c r="B2243" s="21" t="s">
        <v>3098</v>
      </c>
      <c r="D2243" s="25">
        <v>0.0</v>
      </c>
      <c r="E2243" s="27"/>
      <c r="F2243" s="25">
        <v>0.0</v>
      </c>
      <c r="G2243" s="27"/>
    </row>
    <row r="2244" hidden="1">
      <c r="A2244" s="21"/>
      <c r="B2244" s="21" t="s">
        <v>3099</v>
      </c>
      <c r="D2244" s="25">
        <v>0.0</v>
      </c>
      <c r="E2244" s="27"/>
      <c r="F2244" s="25">
        <v>0.0</v>
      </c>
      <c r="G2244" s="27"/>
    </row>
    <row r="2245" hidden="1">
      <c r="A2245" s="21"/>
      <c r="B2245" s="21" t="s">
        <v>3100</v>
      </c>
      <c r="D2245" s="25">
        <v>0.0</v>
      </c>
      <c r="E2245" s="27"/>
      <c r="F2245" s="25">
        <v>0.0</v>
      </c>
      <c r="G2245" s="27"/>
    </row>
    <row r="2246" hidden="1">
      <c r="A2246" s="21"/>
      <c r="B2246" s="21" t="s">
        <v>3101</v>
      </c>
      <c r="D2246" s="25">
        <v>0.0</v>
      </c>
      <c r="E2246" s="27"/>
      <c r="F2246" s="25">
        <v>0.0</v>
      </c>
      <c r="G2246" s="27"/>
    </row>
    <row r="2247" hidden="1">
      <c r="A2247" s="21"/>
      <c r="B2247" s="21" t="s">
        <v>3102</v>
      </c>
      <c r="D2247" s="25">
        <v>0.0</v>
      </c>
      <c r="E2247" s="27"/>
      <c r="F2247" s="25">
        <v>0.0</v>
      </c>
      <c r="G2247" s="27"/>
    </row>
    <row r="2248" hidden="1">
      <c r="A2248" s="21"/>
      <c r="B2248" s="21" t="s">
        <v>3103</v>
      </c>
      <c r="D2248" s="25">
        <v>0.0</v>
      </c>
      <c r="E2248" s="27"/>
      <c r="F2248" s="25">
        <v>0.0</v>
      </c>
      <c r="G2248" s="27"/>
    </row>
    <row r="2249" hidden="1">
      <c r="A2249" s="21"/>
      <c r="B2249" s="21" t="s">
        <v>3104</v>
      </c>
      <c r="D2249" s="25">
        <v>0.0</v>
      </c>
      <c r="E2249" s="27"/>
      <c r="F2249" s="25">
        <v>0.0</v>
      </c>
      <c r="G2249" s="27"/>
    </row>
    <row r="2250" hidden="1">
      <c r="A2250" s="21"/>
      <c r="B2250" s="21" t="s">
        <v>3105</v>
      </c>
      <c r="D2250" s="25">
        <v>0.0</v>
      </c>
      <c r="E2250" s="27"/>
      <c r="F2250" s="25">
        <v>0.0</v>
      </c>
      <c r="G2250" s="27"/>
    </row>
    <row r="2251" hidden="1">
      <c r="A2251" s="21"/>
      <c r="B2251" s="21" t="s">
        <v>3106</v>
      </c>
      <c r="D2251" s="25">
        <v>0.0</v>
      </c>
      <c r="E2251" s="27"/>
      <c r="F2251" s="25">
        <v>0.0</v>
      </c>
      <c r="G2251" s="27"/>
    </row>
    <row r="2252" hidden="1">
      <c r="A2252" s="21"/>
      <c r="B2252" s="21" t="s">
        <v>3107</v>
      </c>
      <c r="D2252" s="25">
        <v>0.0</v>
      </c>
      <c r="E2252" s="27"/>
      <c r="F2252" s="25">
        <v>0.0</v>
      </c>
      <c r="G2252" s="27"/>
    </row>
    <row r="2253" hidden="1">
      <c r="A2253" s="21"/>
      <c r="B2253" s="21" t="s">
        <v>3108</v>
      </c>
      <c r="D2253" s="25">
        <v>0.0</v>
      </c>
      <c r="E2253" s="27"/>
      <c r="F2253" s="25">
        <v>0.0</v>
      </c>
      <c r="G2253" s="27"/>
    </row>
    <row r="2254" hidden="1">
      <c r="A2254" s="21"/>
      <c r="B2254" s="21" t="s">
        <v>3109</v>
      </c>
      <c r="D2254" s="25">
        <v>0.0</v>
      </c>
      <c r="E2254" s="27"/>
      <c r="F2254" s="25">
        <v>0.0</v>
      </c>
      <c r="G2254" s="27"/>
    </row>
    <row r="2255" hidden="1">
      <c r="A2255" s="21"/>
      <c r="B2255" s="21" t="s">
        <v>3110</v>
      </c>
      <c r="D2255" s="25">
        <v>0.0</v>
      </c>
      <c r="E2255" s="27"/>
      <c r="F2255" s="25">
        <v>0.0</v>
      </c>
      <c r="G2255" s="27"/>
    </row>
    <row r="2256" hidden="1">
      <c r="A2256" s="21"/>
      <c r="B2256" s="21" t="s">
        <v>3111</v>
      </c>
      <c r="D2256" s="25">
        <v>0.0</v>
      </c>
      <c r="E2256" s="27"/>
      <c r="F2256" s="25">
        <v>0.0</v>
      </c>
      <c r="G2256" s="27"/>
    </row>
    <row r="2257" hidden="1">
      <c r="A2257" s="21"/>
      <c r="B2257" s="21" t="s">
        <v>3112</v>
      </c>
      <c r="D2257" s="25">
        <v>0.0</v>
      </c>
      <c r="E2257" s="27"/>
      <c r="F2257" s="25">
        <v>0.0</v>
      </c>
      <c r="G2257" s="27"/>
    </row>
    <row r="2258" hidden="1">
      <c r="A2258" s="21"/>
      <c r="B2258" s="21" t="s">
        <v>3113</v>
      </c>
      <c r="D2258" s="25">
        <v>0.0</v>
      </c>
      <c r="E2258" s="27"/>
      <c r="F2258" s="25">
        <v>0.0</v>
      </c>
      <c r="G2258" s="27"/>
    </row>
    <row r="2259" hidden="1">
      <c r="A2259" s="21"/>
      <c r="B2259" s="21" t="s">
        <v>3114</v>
      </c>
      <c r="D2259" s="25">
        <v>0.0</v>
      </c>
      <c r="E2259" s="27"/>
      <c r="F2259" s="25">
        <v>0.0</v>
      </c>
      <c r="G2259" s="27"/>
    </row>
    <row r="2260" hidden="1">
      <c r="A2260" s="21"/>
      <c r="B2260" s="21" t="s">
        <v>3115</v>
      </c>
      <c r="D2260" s="25">
        <v>0.0</v>
      </c>
      <c r="E2260" s="27"/>
      <c r="F2260" s="25">
        <v>0.0</v>
      </c>
      <c r="G2260" s="27"/>
    </row>
    <row r="2261" hidden="1">
      <c r="A2261" s="21"/>
      <c r="B2261" s="21" t="s">
        <v>3116</v>
      </c>
      <c r="D2261" s="25">
        <v>0.0</v>
      </c>
      <c r="E2261" s="27"/>
      <c r="F2261" s="25">
        <v>0.0</v>
      </c>
      <c r="G2261" s="27"/>
    </row>
    <row r="2262" hidden="1">
      <c r="A2262" s="21"/>
      <c r="B2262" s="21" t="s">
        <v>3117</v>
      </c>
      <c r="D2262" s="25">
        <v>0.0</v>
      </c>
      <c r="E2262" s="27"/>
      <c r="F2262" s="25">
        <v>0.0</v>
      </c>
      <c r="G2262" s="27"/>
    </row>
    <row r="2263" hidden="1">
      <c r="A2263" s="21"/>
      <c r="B2263" s="21" t="s">
        <v>3118</v>
      </c>
      <c r="D2263" s="25">
        <v>0.0</v>
      </c>
      <c r="E2263" s="27"/>
      <c r="F2263" s="25">
        <v>0.0</v>
      </c>
      <c r="G2263" s="27"/>
    </row>
    <row r="2264" hidden="1">
      <c r="A2264" s="21"/>
      <c r="B2264" s="21" t="s">
        <v>3119</v>
      </c>
      <c r="D2264" s="25">
        <v>0.0</v>
      </c>
      <c r="E2264" s="27"/>
      <c r="F2264" s="25">
        <v>0.0</v>
      </c>
      <c r="G2264" s="27"/>
    </row>
    <row r="2265" hidden="1">
      <c r="A2265" s="21"/>
      <c r="B2265" s="21" t="s">
        <v>3120</v>
      </c>
      <c r="D2265" s="25">
        <v>0.0</v>
      </c>
      <c r="E2265" s="27"/>
      <c r="F2265" s="25">
        <v>0.0</v>
      </c>
      <c r="G2265" s="27"/>
    </row>
    <row r="2266" hidden="1">
      <c r="A2266" s="21"/>
      <c r="B2266" s="21" t="s">
        <v>3121</v>
      </c>
      <c r="D2266" s="25">
        <v>0.0</v>
      </c>
      <c r="E2266" s="27"/>
      <c r="F2266" s="25">
        <v>0.0</v>
      </c>
      <c r="G2266" s="27"/>
    </row>
    <row r="2267" hidden="1">
      <c r="A2267" s="21"/>
      <c r="B2267" s="21" t="s">
        <v>3122</v>
      </c>
      <c r="D2267" s="25">
        <v>0.0</v>
      </c>
      <c r="E2267" s="27"/>
      <c r="F2267" s="25">
        <v>0.0</v>
      </c>
      <c r="G2267" s="27"/>
    </row>
    <row r="2268" hidden="1">
      <c r="A2268" s="21"/>
      <c r="B2268" s="21" t="s">
        <v>3123</v>
      </c>
      <c r="D2268" s="25">
        <v>0.0</v>
      </c>
      <c r="E2268" s="27"/>
      <c r="F2268" s="25">
        <v>0.0</v>
      </c>
      <c r="G2268" s="27"/>
    </row>
    <row r="2269" hidden="1">
      <c r="A2269" s="21"/>
      <c r="B2269" s="21" t="s">
        <v>3124</v>
      </c>
      <c r="D2269" s="25">
        <v>0.0</v>
      </c>
      <c r="E2269" s="27"/>
      <c r="F2269" s="25">
        <v>0.0</v>
      </c>
      <c r="G2269" s="27"/>
    </row>
    <row r="2270" hidden="1">
      <c r="A2270" s="21"/>
      <c r="B2270" s="21" t="s">
        <v>3125</v>
      </c>
      <c r="D2270" s="25">
        <v>0.0</v>
      </c>
      <c r="E2270" s="27"/>
      <c r="F2270" s="25">
        <v>0.0</v>
      </c>
      <c r="G2270" s="27"/>
    </row>
    <row r="2271" hidden="1">
      <c r="A2271" s="21"/>
      <c r="B2271" s="21" t="s">
        <v>3126</v>
      </c>
      <c r="D2271" s="25">
        <v>0.0</v>
      </c>
      <c r="E2271" s="27"/>
      <c r="F2271" s="25">
        <v>0.0</v>
      </c>
      <c r="G2271" s="27"/>
    </row>
    <row r="2272" hidden="1">
      <c r="A2272" s="21"/>
      <c r="B2272" s="21" t="s">
        <v>3127</v>
      </c>
      <c r="D2272" s="25">
        <v>0.0</v>
      </c>
      <c r="E2272" s="27"/>
      <c r="F2272" s="25">
        <v>9.95</v>
      </c>
      <c r="G2272" s="27"/>
    </row>
    <row r="2273" hidden="1">
      <c r="A2273" s="21"/>
      <c r="B2273" s="21" t="s">
        <v>3128</v>
      </c>
      <c r="D2273" s="25">
        <v>0.0</v>
      </c>
      <c r="E2273" s="27"/>
      <c r="F2273" s="25">
        <v>0.0</v>
      </c>
      <c r="G2273" s="27"/>
    </row>
    <row r="2274" hidden="1">
      <c r="A2274" s="21"/>
      <c r="B2274" s="21" t="s">
        <v>3129</v>
      </c>
      <c r="D2274" s="25">
        <v>0.0</v>
      </c>
      <c r="E2274" s="27"/>
      <c r="F2274" s="25">
        <v>0.0</v>
      </c>
      <c r="G2274" s="27"/>
    </row>
    <row r="2275" hidden="1">
      <c r="A2275" s="21"/>
      <c r="B2275" s="21" t="s">
        <v>3130</v>
      </c>
      <c r="D2275" s="25">
        <v>0.0</v>
      </c>
      <c r="E2275" s="27"/>
      <c r="F2275" s="25">
        <v>0.0</v>
      </c>
      <c r="G2275" s="27"/>
    </row>
    <row r="2276" hidden="1">
      <c r="A2276" s="21"/>
      <c r="B2276" s="21" t="s">
        <v>3131</v>
      </c>
      <c r="D2276" s="25">
        <v>0.0</v>
      </c>
      <c r="E2276" s="27"/>
      <c r="F2276" s="25">
        <v>0.0</v>
      </c>
      <c r="G2276" s="27"/>
    </row>
    <row r="2277" hidden="1">
      <c r="A2277" s="21"/>
      <c r="B2277" s="21" t="s">
        <v>3132</v>
      </c>
      <c r="D2277" s="25">
        <v>0.0</v>
      </c>
      <c r="E2277" s="27"/>
      <c r="F2277" s="25">
        <v>0.0</v>
      </c>
      <c r="G2277" s="27"/>
    </row>
    <row r="2278" hidden="1">
      <c r="A2278" s="21"/>
      <c r="B2278" s="21" t="s">
        <v>3133</v>
      </c>
      <c r="D2278" s="25">
        <v>0.0</v>
      </c>
      <c r="E2278" s="27"/>
      <c r="F2278" s="25">
        <v>0.0</v>
      </c>
      <c r="G2278" s="27"/>
    </row>
    <row r="2279" hidden="1">
      <c r="A2279" s="21"/>
      <c r="B2279" s="21" t="s">
        <v>3134</v>
      </c>
      <c r="D2279" s="25">
        <v>0.0</v>
      </c>
      <c r="E2279" s="27"/>
      <c r="F2279" s="25">
        <v>0.0</v>
      </c>
      <c r="G2279" s="27"/>
    </row>
    <row r="2280" hidden="1">
      <c r="A2280" s="21"/>
      <c r="B2280" s="21" t="s">
        <v>3135</v>
      </c>
      <c r="D2280" s="25">
        <v>0.0</v>
      </c>
      <c r="E2280" s="27"/>
      <c r="F2280" s="25">
        <v>5.92</v>
      </c>
      <c r="G2280" s="27"/>
    </row>
    <row r="2281" hidden="1">
      <c r="A2281" s="21"/>
      <c r="B2281" s="21" t="s">
        <v>3136</v>
      </c>
      <c r="D2281" s="25">
        <v>0.0</v>
      </c>
      <c r="E2281" s="27"/>
      <c r="F2281" s="25">
        <v>0.0</v>
      </c>
      <c r="G2281" s="27"/>
    </row>
    <row r="2282" hidden="1">
      <c r="A2282" s="21"/>
      <c r="B2282" s="21" t="s">
        <v>3137</v>
      </c>
      <c r="D2282" s="25">
        <v>0.0</v>
      </c>
      <c r="E2282" s="27"/>
      <c r="F2282" s="25">
        <v>0.0</v>
      </c>
      <c r="G2282" s="27"/>
    </row>
    <row r="2283" hidden="1">
      <c r="A2283" s="21"/>
      <c r="B2283" s="21" t="s">
        <v>3138</v>
      </c>
      <c r="D2283" s="25">
        <v>0.0</v>
      </c>
      <c r="E2283" s="27"/>
      <c r="F2283" s="25">
        <v>0.0</v>
      </c>
      <c r="G2283" s="27"/>
    </row>
    <row r="2284" hidden="1">
      <c r="A2284" s="21"/>
      <c r="B2284" s="21" t="s">
        <v>3139</v>
      </c>
      <c r="D2284" s="25">
        <v>0.0</v>
      </c>
      <c r="E2284" s="27"/>
      <c r="F2284" s="25">
        <v>0.0</v>
      </c>
      <c r="G2284" s="27"/>
    </row>
    <row r="2285" hidden="1">
      <c r="A2285" s="21"/>
      <c r="B2285" s="21" t="s">
        <v>3140</v>
      </c>
      <c r="D2285" s="25">
        <v>0.0</v>
      </c>
      <c r="E2285" s="27"/>
      <c r="F2285" s="25">
        <v>0.0</v>
      </c>
      <c r="G2285" s="27"/>
    </row>
    <row r="2286" hidden="1">
      <c r="A2286" s="21"/>
      <c r="B2286" s="21" t="s">
        <v>3141</v>
      </c>
      <c r="D2286" s="25">
        <v>0.0</v>
      </c>
      <c r="E2286" s="27"/>
      <c r="F2286" s="25">
        <v>0.0</v>
      </c>
      <c r="G2286" s="27"/>
    </row>
    <row r="2287" hidden="1">
      <c r="A2287" s="21"/>
      <c r="B2287" s="21" t="s">
        <v>3142</v>
      </c>
      <c r="D2287" s="25">
        <v>0.0</v>
      </c>
      <c r="E2287" s="27"/>
      <c r="F2287" s="25">
        <v>0.0</v>
      </c>
      <c r="G2287" s="27"/>
    </row>
    <row r="2288" hidden="1">
      <c r="A2288" s="21"/>
      <c r="B2288" s="21" t="s">
        <v>3143</v>
      </c>
      <c r="D2288" s="25">
        <v>0.0</v>
      </c>
      <c r="E2288" s="27"/>
      <c r="F2288" s="25">
        <v>0.0</v>
      </c>
      <c r="G2288" s="27"/>
    </row>
    <row r="2289" hidden="1">
      <c r="A2289" s="21"/>
      <c r="B2289" s="21" t="s">
        <v>3144</v>
      </c>
      <c r="D2289" s="25">
        <v>0.0</v>
      </c>
      <c r="E2289" s="27"/>
      <c r="F2289" s="25">
        <v>0.0</v>
      </c>
      <c r="G2289" s="27"/>
    </row>
    <row r="2290" hidden="1">
      <c r="A2290" s="21"/>
      <c r="B2290" s="21" t="s">
        <v>3145</v>
      </c>
      <c r="D2290" s="25">
        <v>0.0</v>
      </c>
      <c r="E2290" s="27"/>
      <c r="F2290" s="25">
        <v>0.0</v>
      </c>
      <c r="G2290" s="27"/>
    </row>
    <row r="2291" hidden="1">
      <c r="A2291" s="21"/>
      <c r="B2291" s="21" t="s">
        <v>3146</v>
      </c>
      <c r="D2291" s="25">
        <v>0.0</v>
      </c>
      <c r="E2291" s="27"/>
      <c r="F2291" s="25">
        <v>0.0</v>
      </c>
      <c r="G2291" s="27"/>
    </row>
    <row r="2292" hidden="1">
      <c r="A2292" s="21"/>
      <c r="B2292" s="21" t="s">
        <v>3147</v>
      </c>
      <c r="D2292" s="25">
        <v>0.0</v>
      </c>
      <c r="E2292" s="27"/>
      <c r="F2292" s="25">
        <v>0.0</v>
      </c>
      <c r="G2292" s="27"/>
    </row>
    <row r="2293" hidden="1">
      <c r="A2293" s="21"/>
      <c r="B2293" s="21" t="s">
        <v>3148</v>
      </c>
      <c r="D2293" s="25">
        <v>0.0</v>
      </c>
      <c r="E2293" s="27"/>
      <c r="F2293" s="25">
        <v>0.0</v>
      </c>
      <c r="G2293" s="27"/>
    </row>
    <row r="2294" hidden="1">
      <c r="A2294" s="21"/>
      <c r="B2294" s="21" t="s">
        <v>3149</v>
      </c>
      <c r="D2294" s="25">
        <v>0.0</v>
      </c>
      <c r="E2294" s="27"/>
      <c r="F2294" s="25">
        <v>0.0</v>
      </c>
      <c r="G2294" s="27"/>
    </row>
    <row r="2295" hidden="1">
      <c r="A2295" s="21"/>
      <c r="B2295" s="21" t="s">
        <v>3150</v>
      </c>
      <c r="D2295" s="25">
        <v>0.0</v>
      </c>
      <c r="E2295" s="27"/>
      <c r="F2295" s="25">
        <v>7.95</v>
      </c>
      <c r="G2295" s="27"/>
    </row>
    <row r="2296" hidden="1">
      <c r="A2296" s="21"/>
      <c r="B2296" s="21" t="s">
        <v>3151</v>
      </c>
      <c r="D2296" s="25">
        <v>0.0</v>
      </c>
      <c r="E2296" s="27"/>
      <c r="F2296" s="25">
        <v>0.0</v>
      </c>
      <c r="G2296" s="27"/>
    </row>
    <row r="2297" hidden="1">
      <c r="A2297" s="21"/>
      <c r="B2297" s="21" t="s">
        <v>3152</v>
      </c>
      <c r="D2297" s="25">
        <v>0.0</v>
      </c>
      <c r="E2297" s="27"/>
      <c r="F2297" s="25">
        <v>0.0</v>
      </c>
      <c r="G2297" s="27"/>
    </row>
    <row r="2298" hidden="1">
      <c r="A2298" s="21"/>
      <c r="B2298" s="21" t="s">
        <v>3153</v>
      </c>
      <c r="D2298" s="25">
        <v>0.0</v>
      </c>
      <c r="E2298" s="27"/>
      <c r="F2298" s="25">
        <v>0.0</v>
      </c>
      <c r="G2298" s="27"/>
    </row>
    <row r="2299" hidden="1">
      <c r="A2299" s="21"/>
      <c r="B2299" s="21" t="s">
        <v>3154</v>
      </c>
      <c r="D2299" s="25">
        <v>0.0</v>
      </c>
      <c r="E2299" s="27"/>
      <c r="F2299" s="25">
        <v>0.0</v>
      </c>
      <c r="G2299" s="27"/>
    </row>
    <row r="2300" hidden="1">
      <c r="A2300" s="21"/>
      <c r="B2300" s="21" t="s">
        <v>3155</v>
      </c>
      <c r="D2300" s="25">
        <v>0.0</v>
      </c>
      <c r="E2300" s="27"/>
      <c r="F2300" s="25">
        <v>0.0</v>
      </c>
      <c r="G2300" s="27"/>
    </row>
    <row r="2301" hidden="1">
      <c r="A2301" s="21"/>
      <c r="B2301" s="21" t="s">
        <v>3156</v>
      </c>
      <c r="D2301" s="25">
        <v>0.0</v>
      </c>
      <c r="E2301" s="27"/>
      <c r="F2301" s="25">
        <v>0.0</v>
      </c>
      <c r="G2301" s="27"/>
    </row>
    <row r="2302" hidden="1">
      <c r="A2302" s="21"/>
      <c r="B2302" s="21" t="s">
        <v>3157</v>
      </c>
      <c r="D2302" s="25">
        <v>0.0</v>
      </c>
      <c r="E2302" s="27"/>
      <c r="F2302" s="25">
        <v>0.0</v>
      </c>
      <c r="G2302" s="27"/>
    </row>
    <row r="2303" hidden="1">
      <c r="A2303" s="21"/>
      <c r="B2303" s="21" t="s">
        <v>3158</v>
      </c>
      <c r="D2303" s="25">
        <v>0.0</v>
      </c>
      <c r="E2303" s="27"/>
      <c r="F2303" s="25">
        <v>0.0</v>
      </c>
      <c r="G2303" s="27"/>
    </row>
    <row r="2304" hidden="1">
      <c r="A2304" s="21"/>
      <c r="B2304" s="21" t="s">
        <v>3159</v>
      </c>
      <c r="D2304" s="25">
        <v>0.0</v>
      </c>
      <c r="E2304" s="27"/>
      <c r="F2304" s="25">
        <v>0.0</v>
      </c>
      <c r="G2304" s="27"/>
    </row>
    <row r="2305" hidden="1">
      <c r="A2305" s="21"/>
      <c r="B2305" s="21" t="s">
        <v>3160</v>
      </c>
      <c r="D2305" s="25">
        <v>0.0</v>
      </c>
      <c r="E2305" s="27"/>
      <c r="F2305" s="25">
        <v>0.0</v>
      </c>
      <c r="G2305" s="27"/>
    </row>
    <row r="2306" hidden="1">
      <c r="A2306" s="21"/>
      <c r="B2306" s="21" t="s">
        <v>3161</v>
      </c>
      <c r="D2306" s="25">
        <v>0.0</v>
      </c>
      <c r="E2306" s="27"/>
      <c r="F2306" s="25">
        <v>0.0</v>
      </c>
      <c r="G2306" s="27"/>
    </row>
    <row r="2307" hidden="1">
      <c r="A2307" s="21"/>
      <c r="B2307" s="21" t="s">
        <v>3162</v>
      </c>
      <c r="D2307" s="25">
        <v>0.0</v>
      </c>
      <c r="E2307" s="27"/>
      <c r="F2307" s="25">
        <v>0.0</v>
      </c>
      <c r="G2307" s="27"/>
    </row>
    <row r="2308" hidden="1">
      <c r="A2308" s="21"/>
      <c r="B2308" s="21" t="s">
        <v>3163</v>
      </c>
      <c r="D2308" s="25">
        <v>0.0</v>
      </c>
      <c r="E2308" s="27"/>
      <c r="F2308" s="25">
        <v>8.09</v>
      </c>
      <c r="G2308" s="27"/>
    </row>
    <row r="2309" hidden="1">
      <c r="A2309" s="21"/>
      <c r="B2309" s="21" t="s">
        <v>3164</v>
      </c>
      <c r="D2309" s="25">
        <v>0.0</v>
      </c>
      <c r="E2309" s="27"/>
      <c r="F2309" s="25">
        <v>0.0</v>
      </c>
      <c r="G2309" s="27"/>
    </row>
    <row r="2310" hidden="1">
      <c r="A2310" s="21"/>
      <c r="B2310" s="21" t="s">
        <v>3165</v>
      </c>
      <c r="D2310" s="25">
        <v>0.0</v>
      </c>
      <c r="E2310" s="27"/>
      <c r="F2310" s="25">
        <v>0.0</v>
      </c>
      <c r="G2310" s="27"/>
    </row>
    <row r="2311" hidden="1">
      <c r="A2311" s="21"/>
      <c r="B2311" s="21" t="s">
        <v>3166</v>
      </c>
      <c r="D2311" s="25">
        <v>0.0</v>
      </c>
      <c r="E2311" s="27"/>
      <c r="F2311" s="25">
        <v>0.0</v>
      </c>
      <c r="G2311" s="27"/>
    </row>
    <row r="2312" hidden="1">
      <c r="A2312" s="21"/>
      <c r="B2312" s="21" t="s">
        <v>3167</v>
      </c>
      <c r="D2312" s="25">
        <v>0.0</v>
      </c>
      <c r="E2312" s="27"/>
      <c r="F2312" s="25">
        <v>0.0</v>
      </c>
      <c r="G2312" s="27"/>
    </row>
    <row r="2313" hidden="1">
      <c r="A2313" s="21"/>
      <c r="B2313" s="21" t="s">
        <v>3168</v>
      </c>
      <c r="D2313" s="25">
        <v>0.0</v>
      </c>
      <c r="E2313" s="27"/>
      <c r="F2313" s="25">
        <v>0.0</v>
      </c>
      <c r="G2313" s="27"/>
    </row>
    <row r="2314" hidden="1">
      <c r="A2314" s="21"/>
      <c r="B2314" s="21" t="s">
        <v>3169</v>
      </c>
      <c r="D2314" s="25">
        <v>0.0</v>
      </c>
      <c r="E2314" s="27"/>
      <c r="F2314" s="25">
        <v>0.0</v>
      </c>
      <c r="G2314" s="27"/>
    </row>
    <row r="2315" hidden="1">
      <c r="A2315" s="21"/>
      <c r="B2315" s="21" t="s">
        <v>3170</v>
      </c>
      <c r="D2315" s="25">
        <v>0.0</v>
      </c>
      <c r="E2315" s="27"/>
      <c r="F2315" s="25">
        <v>0.0</v>
      </c>
      <c r="G2315" s="27"/>
    </row>
    <row r="2316" hidden="1">
      <c r="A2316" s="21"/>
      <c r="B2316" s="21" t="s">
        <v>3171</v>
      </c>
      <c r="D2316" s="25">
        <v>0.0</v>
      </c>
      <c r="E2316" s="27"/>
      <c r="F2316" s="25">
        <v>0.0</v>
      </c>
      <c r="G2316" s="27"/>
    </row>
    <row r="2317" hidden="1">
      <c r="A2317" s="21"/>
      <c r="B2317" s="21" t="s">
        <v>3172</v>
      </c>
      <c r="D2317" s="25">
        <v>0.0</v>
      </c>
      <c r="E2317" s="27"/>
      <c r="F2317" s="25">
        <v>0.0</v>
      </c>
      <c r="G2317" s="27"/>
    </row>
    <row r="2318" hidden="1">
      <c r="A2318" s="21"/>
      <c r="B2318" s="21" t="s">
        <v>3173</v>
      </c>
      <c r="D2318" s="25">
        <v>0.0</v>
      </c>
      <c r="E2318" s="27"/>
      <c r="F2318" s="25">
        <v>0.0</v>
      </c>
      <c r="G2318" s="27"/>
    </row>
    <row r="2319" hidden="1">
      <c r="A2319" s="21"/>
      <c r="B2319" s="21" t="s">
        <v>3174</v>
      </c>
      <c r="D2319" s="25">
        <v>0.0</v>
      </c>
      <c r="E2319" s="27"/>
      <c r="F2319" s="25">
        <v>0.0</v>
      </c>
      <c r="G2319" s="27"/>
    </row>
    <row r="2320" hidden="1">
      <c r="A2320" s="21"/>
      <c r="B2320" s="21" t="s">
        <v>3175</v>
      </c>
      <c r="D2320" s="25">
        <v>0.0</v>
      </c>
      <c r="E2320" s="27"/>
      <c r="F2320" s="25">
        <v>0.0</v>
      </c>
      <c r="G2320" s="27"/>
    </row>
    <row r="2321" hidden="1">
      <c r="A2321" s="21"/>
      <c r="B2321" s="21" t="s">
        <v>3176</v>
      </c>
      <c r="D2321" s="25">
        <v>0.0</v>
      </c>
      <c r="E2321" s="27"/>
      <c r="F2321" s="25">
        <v>0.0</v>
      </c>
      <c r="G2321" s="27"/>
    </row>
    <row r="2322" hidden="1">
      <c r="A2322" s="21"/>
      <c r="B2322" s="21" t="s">
        <v>3177</v>
      </c>
      <c r="D2322" s="25">
        <v>0.0</v>
      </c>
      <c r="E2322" s="27"/>
      <c r="F2322" s="25">
        <v>0.0</v>
      </c>
      <c r="G2322" s="27"/>
    </row>
    <row r="2323" hidden="1">
      <c r="A2323" s="21"/>
      <c r="B2323" s="21" t="s">
        <v>3178</v>
      </c>
      <c r="D2323" s="25">
        <v>0.0</v>
      </c>
      <c r="E2323" s="27"/>
      <c r="F2323" s="25">
        <v>0.0</v>
      </c>
      <c r="G2323" s="27"/>
    </row>
    <row r="2324" hidden="1">
      <c r="A2324" s="21"/>
      <c r="B2324" s="21" t="s">
        <v>3179</v>
      </c>
      <c r="D2324" s="25">
        <v>0.0</v>
      </c>
      <c r="E2324" s="27"/>
      <c r="F2324" s="25">
        <v>0.0</v>
      </c>
      <c r="G2324" s="27"/>
    </row>
    <row r="2325" hidden="1">
      <c r="A2325" s="21"/>
      <c r="B2325" s="21" t="s">
        <v>3180</v>
      </c>
      <c r="D2325" s="25">
        <v>0.0</v>
      </c>
      <c r="E2325" s="27"/>
      <c r="F2325" s="25">
        <v>0.0</v>
      </c>
      <c r="G2325" s="27"/>
    </row>
    <row r="2326" hidden="1">
      <c r="A2326" s="21"/>
      <c r="B2326" s="21" t="s">
        <v>3181</v>
      </c>
      <c r="D2326" s="25">
        <v>0.0</v>
      </c>
      <c r="E2326" s="27"/>
      <c r="F2326" s="25">
        <v>0.0</v>
      </c>
      <c r="G2326" s="27"/>
    </row>
    <row r="2327" hidden="1">
      <c r="A2327" s="21"/>
      <c r="B2327" s="21" t="s">
        <v>3182</v>
      </c>
      <c r="D2327" s="25">
        <v>0.0</v>
      </c>
      <c r="E2327" s="27"/>
      <c r="F2327" s="25">
        <v>0.0</v>
      </c>
      <c r="G2327" s="27"/>
    </row>
    <row r="2328" hidden="1">
      <c r="A2328" s="21"/>
      <c r="B2328" s="21" t="s">
        <v>3183</v>
      </c>
      <c r="D2328" s="25">
        <v>0.0</v>
      </c>
      <c r="E2328" s="27"/>
      <c r="F2328" s="25">
        <v>0.0</v>
      </c>
      <c r="G2328" s="27"/>
    </row>
    <row r="2329" hidden="1">
      <c r="A2329" s="21"/>
      <c r="B2329" s="21" t="s">
        <v>3184</v>
      </c>
      <c r="D2329" s="25">
        <v>0.0</v>
      </c>
      <c r="E2329" s="27"/>
      <c r="F2329" s="25">
        <v>0.0</v>
      </c>
      <c r="G2329" s="27"/>
    </row>
    <row r="2330" hidden="1">
      <c r="A2330" s="21"/>
      <c r="B2330" s="21" t="s">
        <v>3185</v>
      </c>
      <c r="D2330" s="25">
        <v>0.0</v>
      </c>
      <c r="E2330" s="27"/>
      <c r="F2330" s="25">
        <v>0.0</v>
      </c>
      <c r="G2330" s="27"/>
    </row>
    <row r="2331" hidden="1">
      <c r="A2331" s="21"/>
      <c r="B2331" s="21" t="s">
        <v>3186</v>
      </c>
      <c r="D2331" s="25">
        <v>0.0</v>
      </c>
      <c r="E2331" s="27"/>
      <c r="F2331" s="25">
        <v>0.0</v>
      </c>
      <c r="G2331" s="27"/>
    </row>
    <row r="2332" hidden="1">
      <c r="A2332" s="21"/>
      <c r="B2332" s="21" t="s">
        <v>3187</v>
      </c>
      <c r="D2332" s="25">
        <v>0.0</v>
      </c>
      <c r="E2332" s="27"/>
      <c r="F2332" s="25">
        <v>0.0</v>
      </c>
      <c r="G2332" s="27"/>
    </row>
    <row r="2333" hidden="1">
      <c r="A2333" s="21"/>
      <c r="B2333" s="21" t="s">
        <v>3188</v>
      </c>
      <c r="D2333" s="25">
        <v>0.0</v>
      </c>
      <c r="E2333" s="27"/>
      <c r="F2333" s="25">
        <v>0.0</v>
      </c>
      <c r="G2333" s="27"/>
    </row>
    <row r="2334" hidden="1">
      <c r="A2334" s="21"/>
      <c r="B2334" s="21" t="s">
        <v>3189</v>
      </c>
      <c r="D2334" s="25">
        <v>0.0</v>
      </c>
      <c r="E2334" s="27"/>
      <c r="F2334" s="25">
        <v>0.0</v>
      </c>
      <c r="G2334" s="27"/>
    </row>
    <row r="2335" hidden="1">
      <c r="A2335" s="21"/>
      <c r="B2335" s="21" t="s">
        <v>3190</v>
      </c>
      <c r="D2335" s="25">
        <v>0.0</v>
      </c>
      <c r="E2335" s="27"/>
      <c r="F2335" s="25">
        <v>0.0</v>
      </c>
      <c r="G2335" s="27"/>
    </row>
    <row r="2336" hidden="1">
      <c r="A2336" s="21"/>
      <c r="B2336" s="21" t="s">
        <v>3191</v>
      </c>
      <c r="D2336" s="25">
        <v>0.0</v>
      </c>
      <c r="E2336" s="27"/>
      <c r="F2336" s="25">
        <v>0.0</v>
      </c>
      <c r="G2336" s="27"/>
    </row>
    <row r="2337" hidden="1">
      <c r="A2337" s="21"/>
      <c r="B2337" s="21" t="s">
        <v>3192</v>
      </c>
      <c r="D2337" s="25">
        <v>0.0</v>
      </c>
      <c r="E2337" s="27"/>
      <c r="F2337" s="25">
        <v>0.0</v>
      </c>
      <c r="G2337" s="27"/>
    </row>
    <row r="2338" hidden="1">
      <c r="A2338" s="21"/>
      <c r="B2338" s="21" t="s">
        <v>3193</v>
      </c>
      <c r="D2338" s="25">
        <v>0.0</v>
      </c>
      <c r="E2338" s="27"/>
      <c r="F2338" s="25">
        <v>0.0</v>
      </c>
      <c r="G2338" s="27"/>
    </row>
    <row r="2339" hidden="1">
      <c r="A2339" s="21"/>
      <c r="B2339" s="21" t="s">
        <v>3194</v>
      </c>
      <c r="D2339" s="25">
        <v>0.0</v>
      </c>
      <c r="E2339" s="27"/>
      <c r="F2339" s="25">
        <v>0.0</v>
      </c>
      <c r="G2339" s="27"/>
    </row>
    <row r="2340" hidden="1">
      <c r="A2340" s="21"/>
      <c r="B2340" s="21" t="s">
        <v>3195</v>
      </c>
      <c r="D2340" s="25">
        <v>0.0</v>
      </c>
      <c r="E2340" s="27"/>
      <c r="F2340" s="25">
        <v>0.0</v>
      </c>
      <c r="G2340" s="27"/>
    </row>
    <row r="2341" hidden="1">
      <c r="A2341" s="21"/>
      <c r="B2341" s="21" t="s">
        <v>3196</v>
      </c>
      <c r="D2341" s="25">
        <v>0.0</v>
      </c>
      <c r="E2341" s="27"/>
      <c r="F2341" s="25">
        <v>0.0</v>
      </c>
      <c r="G2341" s="27"/>
    </row>
    <row r="2342" hidden="1">
      <c r="A2342" s="21"/>
      <c r="B2342" s="21" t="s">
        <v>3197</v>
      </c>
      <c r="D2342" s="25">
        <v>0.0</v>
      </c>
      <c r="E2342" s="27"/>
      <c r="F2342" s="25">
        <v>0.0</v>
      </c>
      <c r="G2342" s="27"/>
    </row>
    <row r="2343" hidden="1">
      <c r="A2343" s="21"/>
      <c r="B2343" s="21" t="s">
        <v>3198</v>
      </c>
      <c r="D2343" s="25">
        <v>0.0</v>
      </c>
      <c r="E2343" s="27"/>
      <c r="F2343" s="25">
        <v>0.0</v>
      </c>
      <c r="G2343" s="27"/>
    </row>
    <row r="2344" hidden="1">
      <c r="A2344" s="21"/>
      <c r="B2344" s="21" t="s">
        <v>3199</v>
      </c>
      <c r="D2344" s="25">
        <v>0.0</v>
      </c>
      <c r="E2344" s="27"/>
      <c r="F2344" s="25">
        <v>0.0</v>
      </c>
      <c r="G2344" s="27"/>
    </row>
    <row r="2345" hidden="1">
      <c r="A2345" s="21"/>
      <c r="B2345" s="21" t="s">
        <v>3200</v>
      </c>
      <c r="D2345" s="25">
        <v>0.0</v>
      </c>
      <c r="E2345" s="27"/>
      <c r="F2345" s="25">
        <v>0.0</v>
      </c>
      <c r="G2345" s="27"/>
    </row>
    <row r="2346" hidden="1">
      <c r="A2346" s="21"/>
      <c r="B2346" s="21" t="s">
        <v>3201</v>
      </c>
      <c r="D2346" s="25">
        <v>0.0</v>
      </c>
      <c r="E2346" s="27"/>
      <c r="F2346" s="25">
        <v>0.0</v>
      </c>
      <c r="G2346" s="27"/>
    </row>
    <row r="2347" hidden="1">
      <c r="A2347" s="21"/>
      <c r="B2347" s="21" t="s">
        <v>3202</v>
      </c>
      <c r="D2347" s="25">
        <v>0.0</v>
      </c>
      <c r="E2347" s="27"/>
      <c r="F2347" s="25">
        <v>0.0</v>
      </c>
      <c r="G2347" s="27"/>
    </row>
    <row r="2348" hidden="1">
      <c r="A2348" s="21"/>
      <c r="B2348" s="21" t="s">
        <v>3203</v>
      </c>
      <c r="D2348" s="25">
        <v>0.0</v>
      </c>
      <c r="E2348" s="27"/>
      <c r="F2348" s="25">
        <v>0.0</v>
      </c>
      <c r="G2348" s="27"/>
    </row>
    <row r="2349" hidden="1">
      <c r="A2349" s="21"/>
      <c r="B2349" s="21" t="s">
        <v>3204</v>
      </c>
      <c r="D2349" s="25">
        <v>0.0</v>
      </c>
      <c r="E2349" s="27"/>
      <c r="F2349" s="25">
        <v>0.0</v>
      </c>
      <c r="G2349" s="27"/>
    </row>
    <row r="2350" hidden="1">
      <c r="A2350" s="21"/>
      <c r="B2350" s="21" t="s">
        <v>3205</v>
      </c>
      <c r="D2350" s="25">
        <v>0.0</v>
      </c>
      <c r="E2350" s="27"/>
      <c r="F2350" s="25">
        <v>0.0</v>
      </c>
      <c r="G2350" s="27"/>
    </row>
    <row r="2351" hidden="1">
      <c r="A2351" s="21"/>
      <c r="B2351" s="21" t="s">
        <v>3206</v>
      </c>
      <c r="D2351" s="25">
        <v>0.0</v>
      </c>
      <c r="E2351" s="27"/>
      <c r="F2351" s="25">
        <v>0.0</v>
      </c>
      <c r="G2351" s="27"/>
    </row>
    <row r="2352" hidden="1">
      <c r="A2352" s="21"/>
      <c r="B2352" s="21" t="s">
        <v>3207</v>
      </c>
      <c r="D2352" s="25">
        <v>0.0</v>
      </c>
      <c r="E2352" s="27"/>
      <c r="F2352" s="25">
        <v>0.0</v>
      </c>
      <c r="G2352" s="27"/>
    </row>
    <row r="2353" hidden="1">
      <c r="A2353" s="21"/>
      <c r="B2353" s="21" t="s">
        <v>3208</v>
      </c>
      <c r="D2353" s="25">
        <v>0.0</v>
      </c>
      <c r="E2353" s="27"/>
      <c r="F2353" s="25">
        <v>0.0</v>
      </c>
      <c r="G2353" s="27"/>
    </row>
    <row r="2354" hidden="1">
      <c r="A2354" s="21"/>
      <c r="B2354" s="21" t="s">
        <v>3209</v>
      </c>
      <c r="D2354" s="25">
        <v>0.0</v>
      </c>
      <c r="E2354" s="27"/>
      <c r="F2354" s="25">
        <v>0.0</v>
      </c>
      <c r="G2354" s="27"/>
    </row>
    <row r="2355" hidden="1">
      <c r="A2355" s="21"/>
      <c r="B2355" s="21" t="s">
        <v>3210</v>
      </c>
      <c r="D2355" s="25">
        <v>0.0</v>
      </c>
      <c r="E2355" s="27"/>
      <c r="F2355" s="25">
        <v>0.0</v>
      </c>
      <c r="G2355" s="27"/>
    </row>
    <row r="2356" hidden="1">
      <c r="A2356" s="21"/>
      <c r="B2356" s="21" t="s">
        <v>3211</v>
      </c>
      <c r="D2356" s="25">
        <v>0.0</v>
      </c>
      <c r="E2356" s="27"/>
      <c r="F2356" s="25">
        <v>0.0</v>
      </c>
      <c r="G2356" s="27"/>
    </row>
    <row r="2357" hidden="1">
      <c r="A2357" s="21"/>
      <c r="B2357" s="21" t="s">
        <v>3212</v>
      </c>
      <c r="D2357" s="25">
        <v>0.0</v>
      </c>
      <c r="E2357" s="27"/>
      <c r="F2357" s="25">
        <v>0.0</v>
      </c>
      <c r="G2357" s="27"/>
    </row>
    <row r="2358" hidden="1">
      <c r="A2358" s="21"/>
      <c r="B2358" s="21" t="s">
        <v>3213</v>
      </c>
      <c r="D2358" s="25">
        <v>0.0</v>
      </c>
      <c r="E2358" s="27"/>
      <c r="F2358" s="25">
        <v>0.0</v>
      </c>
      <c r="G2358" s="27"/>
    </row>
    <row r="2359" hidden="1">
      <c r="A2359" s="21"/>
      <c r="B2359" s="21" t="s">
        <v>3214</v>
      </c>
      <c r="D2359" s="25">
        <v>0.0</v>
      </c>
      <c r="E2359" s="27"/>
      <c r="F2359" s="25">
        <v>0.0</v>
      </c>
      <c r="G2359" s="27"/>
    </row>
    <row r="2360" hidden="1">
      <c r="A2360" s="21"/>
      <c r="B2360" s="21" t="s">
        <v>3215</v>
      </c>
      <c r="D2360" s="25">
        <v>0.0</v>
      </c>
      <c r="E2360" s="27"/>
      <c r="F2360" s="25">
        <v>0.0</v>
      </c>
      <c r="G2360" s="27"/>
    </row>
    <row r="2361" hidden="1">
      <c r="A2361" s="21"/>
      <c r="B2361" s="21" t="s">
        <v>3216</v>
      </c>
      <c r="D2361" s="25">
        <v>0.0</v>
      </c>
      <c r="E2361" s="27"/>
      <c r="F2361" s="25">
        <v>0.0</v>
      </c>
      <c r="G2361" s="27"/>
    </row>
    <row r="2362" hidden="1">
      <c r="A2362" s="21"/>
      <c r="B2362" s="21" t="s">
        <v>3217</v>
      </c>
      <c r="D2362" s="25">
        <v>0.0</v>
      </c>
      <c r="E2362" s="27"/>
      <c r="F2362" s="25">
        <v>0.0</v>
      </c>
      <c r="G2362" s="27"/>
    </row>
    <row r="2363" hidden="1">
      <c r="A2363" s="21"/>
      <c r="B2363" s="21" t="s">
        <v>3218</v>
      </c>
      <c r="D2363" s="25">
        <v>0.0</v>
      </c>
      <c r="E2363" s="27"/>
      <c r="F2363" s="25">
        <v>0.0</v>
      </c>
      <c r="G2363" s="27"/>
    </row>
    <row r="2364" hidden="1">
      <c r="A2364" s="21"/>
      <c r="B2364" s="21" t="s">
        <v>3219</v>
      </c>
      <c r="D2364" s="25">
        <v>0.0</v>
      </c>
      <c r="E2364" s="27"/>
      <c r="F2364" s="25">
        <v>0.0</v>
      </c>
      <c r="G2364" s="27"/>
    </row>
    <row r="2365" hidden="1">
      <c r="A2365" s="21"/>
      <c r="B2365" s="21" t="s">
        <v>3220</v>
      </c>
      <c r="D2365" s="25">
        <v>0.0</v>
      </c>
      <c r="E2365" s="27"/>
      <c r="F2365" s="25">
        <v>0.0</v>
      </c>
      <c r="G2365" s="27"/>
    </row>
    <row r="2366" hidden="1">
      <c r="A2366" s="21"/>
      <c r="B2366" s="21" t="s">
        <v>3221</v>
      </c>
      <c r="D2366" s="25">
        <v>0.0</v>
      </c>
      <c r="E2366" s="27"/>
      <c r="F2366" s="25">
        <v>0.0</v>
      </c>
      <c r="G2366" s="27"/>
    </row>
    <row r="2367" hidden="1">
      <c r="A2367" s="21"/>
      <c r="B2367" s="21" t="s">
        <v>3222</v>
      </c>
      <c r="D2367" s="25">
        <v>0.0</v>
      </c>
      <c r="E2367" s="27"/>
      <c r="F2367" s="25">
        <v>0.0</v>
      </c>
      <c r="G2367" s="27"/>
    </row>
    <row r="2368" hidden="1">
      <c r="A2368" s="21"/>
      <c r="B2368" s="21" t="s">
        <v>3223</v>
      </c>
      <c r="D2368" s="25">
        <v>0.0</v>
      </c>
      <c r="E2368" s="27"/>
      <c r="F2368" s="25">
        <v>0.0</v>
      </c>
      <c r="G2368" s="27"/>
    </row>
    <row r="2369" hidden="1">
      <c r="A2369" s="21"/>
      <c r="B2369" s="21" t="s">
        <v>3224</v>
      </c>
      <c r="D2369" s="25">
        <v>0.0</v>
      </c>
      <c r="E2369" s="27"/>
      <c r="F2369" s="25">
        <v>0.0</v>
      </c>
      <c r="G2369" s="27"/>
    </row>
    <row r="2370" hidden="1">
      <c r="A2370" s="21"/>
      <c r="B2370" s="21" t="s">
        <v>3225</v>
      </c>
      <c r="D2370" s="25">
        <v>0.0</v>
      </c>
      <c r="E2370" s="27"/>
      <c r="F2370" s="25">
        <v>0.0</v>
      </c>
      <c r="G2370" s="27"/>
    </row>
    <row r="2371" hidden="1">
      <c r="A2371" s="21"/>
      <c r="B2371" s="21" t="s">
        <v>3226</v>
      </c>
      <c r="D2371" s="25">
        <v>0.0</v>
      </c>
      <c r="E2371" s="27"/>
      <c r="F2371" s="25">
        <v>0.0</v>
      </c>
      <c r="G2371" s="27"/>
    </row>
    <row r="2372" hidden="1">
      <c r="A2372" s="21"/>
      <c r="B2372" s="21" t="s">
        <v>3227</v>
      </c>
      <c r="D2372" s="25">
        <v>0.0</v>
      </c>
      <c r="E2372" s="27"/>
      <c r="F2372" s="25">
        <v>0.0</v>
      </c>
      <c r="G2372" s="27"/>
    </row>
    <row r="2373" hidden="1">
      <c r="A2373" s="21"/>
      <c r="B2373" s="21" t="s">
        <v>3228</v>
      </c>
      <c r="D2373" s="25">
        <v>0.0</v>
      </c>
      <c r="E2373" s="27"/>
      <c r="F2373" s="25">
        <v>0.0</v>
      </c>
      <c r="G2373" s="27"/>
    </row>
    <row r="2374" hidden="1">
      <c r="A2374" s="21"/>
      <c r="B2374" s="21" t="s">
        <v>3229</v>
      </c>
      <c r="D2374" s="25">
        <v>0.0</v>
      </c>
      <c r="E2374" s="27"/>
      <c r="F2374" s="25">
        <v>0.0</v>
      </c>
      <c r="G2374" s="27"/>
    </row>
    <row r="2375" hidden="1">
      <c r="A2375" s="21"/>
      <c r="B2375" s="21" t="s">
        <v>3230</v>
      </c>
      <c r="D2375" s="25">
        <v>0.0</v>
      </c>
      <c r="E2375" s="27"/>
      <c r="F2375" s="25">
        <v>0.0</v>
      </c>
      <c r="G2375" s="27"/>
    </row>
    <row r="2376" hidden="1">
      <c r="A2376" s="21"/>
      <c r="B2376" s="21" t="s">
        <v>3231</v>
      </c>
      <c r="D2376" s="25">
        <v>0.0</v>
      </c>
      <c r="E2376" s="27"/>
      <c r="F2376" s="25">
        <v>0.0</v>
      </c>
      <c r="G2376" s="27"/>
    </row>
    <row r="2377" hidden="1">
      <c r="A2377" s="21"/>
      <c r="B2377" s="21" t="s">
        <v>3232</v>
      </c>
      <c r="D2377" s="25">
        <v>0.0</v>
      </c>
      <c r="E2377" s="27"/>
      <c r="F2377" s="25">
        <v>0.0</v>
      </c>
      <c r="G2377" s="27"/>
    </row>
    <row r="2378" hidden="1">
      <c r="A2378" s="21"/>
      <c r="B2378" s="21" t="s">
        <v>3233</v>
      </c>
      <c r="D2378" s="25">
        <v>0.0</v>
      </c>
      <c r="E2378" s="27"/>
      <c r="F2378" s="25">
        <v>0.0</v>
      </c>
      <c r="G2378" s="27"/>
    </row>
    <row r="2379" hidden="1">
      <c r="A2379" s="21"/>
      <c r="B2379" s="21" t="s">
        <v>3234</v>
      </c>
      <c r="D2379" s="25">
        <v>0.0</v>
      </c>
      <c r="E2379" s="27"/>
      <c r="F2379" s="25">
        <v>0.0</v>
      </c>
      <c r="G2379" s="27"/>
    </row>
    <row r="2380" hidden="1">
      <c r="A2380" s="21"/>
      <c r="B2380" s="21" t="s">
        <v>3235</v>
      </c>
      <c r="D2380" s="25">
        <v>0.0</v>
      </c>
      <c r="E2380" s="27"/>
      <c r="F2380" s="25">
        <v>0.0</v>
      </c>
      <c r="G2380" s="27"/>
    </row>
    <row r="2381" hidden="1">
      <c r="A2381" s="21"/>
      <c r="B2381" s="21" t="s">
        <v>3236</v>
      </c>
      <c r="D2381" s="25">
        <v>0.0</v>
      </c>
      <c r="E2381" s="27"/>
      <c r="F2381" s="25">
        <v>10.31</v>
      </c>
      <c r="G2381" s="27"/>
    </row>
    <row r="2382" hidden="1">
      <c r="A2382" s="21"/>
      <c r="B2382" s="21" t="s">
        <v>3237</v>
      </c>
      <c r="D2382" s="25">
        <v>0.0</v>
      </c>
      <c r="E2382" s="27"/>
      <c r="F2382" s="25">
        <v>0.0</v>
      </c>
      <c r="G2382" s="27"/>
    </row>
    <row r="2383" hidden="1">
      <c r="A2383" s="21"/>
      <c r="B2383" s="21" t="s">
        <v>3238</v>
      </c>
      <c r="D2383" s="25">
        <v>0.0</v>
      </c>
      <c r="E2383" s="27"/>
      <c r="F2383" s="25">
        <v>0.0</v>
      </c>
      <c r="G2383" s="27"/>
    </row>
    <row r="2384" hidden="1">
      <c r="A2384" s="21"/>
      <c r="B2384" s="21" t="s">
        <v>3239</v>
      </c>
      <c r="D2384" s="25">
        <v>0.0</v>
      </c>
      <c r="E2384" s="27"/>
      <c r="F2384" s="25">
        <v>0.0</v>
      </c>
      <c r="G2384" s="27"/>
    </row>
    <row r="2385" hidden="1">
      <c r="A2385" s="21"/>
      <c r="B2385" s="21" t="s">
        <v>3240</v>
      </c>
      <c r="D2385" s="25">
        <v>0.0</v>
      </c>
      <c r="E2385" s="27"/>
      <c r="F2385" s="25">
        <v>0.0</v>
      </c>
      <c r="G2385" s="27"/>
    </row>
    <row r="2386" hidden="1">
      <c r="A2386" s="21"/>
      <c r="B2386" s="21" t="s">
        <v>3241</v>
      </c>
      <c r="D2386" s="25">
        <v>0.0</v>
      </c>
      <c r="E2386" s="27"/>
      <c r="F2386" s="25">
        <v>0.0</v>
      </c>
      <c r="G2386" s="27"/>
    </row>
    <row r="2387" hidden="1">
      <c r="A2387" s="21"/>
      <c r="B2387" s="21" t="s">
        <v>3242</v>
      </c>
      <c r="D2387" s="25">
        <v>0.0</v>
      </c>
      <c r="E2387" s="27"/>
      <c r="F2387" s="25">
        <v>0.0</v>
      </c>
      <c r="G2387" s="27"/>
    </row>
    <row r="2388" hidden="1">
      <c r="A2388" s="21"/>
      <c r="B2388" s="21" t="s">
        <v>3243</v>
      </c>
      <c r="D2388" s="25">
        <v>0.0</v>
      </c>
      <c r="E2388" s="27"/>
      <c r="F2388" s="25">
        <v>0.0</v>
      </c>
      <c r="G2388" s="27"/>
    </row>
    <row r="2389" hidden="1">
      <c r="A2389" s="21"/>
      <c r="B2389" s="21" t="s">
        <v>3244</v>
      </c>
      <c r="D2389" s="25">
        <v>0.0</v>
      </c>
      <c r="E2389" s="27"/>
      <c r="F2389" s="25">
        <v>0.0</v>
      </c>
      <c r="G2389" s="27"/>
    </row>
    <row r="2390" hidden="1">
      <c r="A2390" s="21"/>
      <c r="B2390" s="21" t="s">
        <v>3245</v>
      </c>
      <c r="D2390" s="25">
        <v>0.0</v>
      </c>
      <c r="E2390" s="27"/>
      <c r="F2390" s="25">
        <v>0.0</v>
      </c>
      <c r="G2390" s="27"/>
    </row>
    <row r="2391" hidden="1">
      <c r="A2391" s="21"/>
      <c r="B2391" s="21" t="s">
        <v>3246</v>
      </c>
      <c r="D2391" s="25">
        <v>0.0</v>
      </c>
      <c r="E2391" s="27"/>
      <c r="F2391" s="25">
        <v>0.0</v>
      </c>
      <c r="G2391" s="27"/>
    </row>
    <row r="2392" hidden="1">
      <c r="A2392" s="21"/>
      <c r="B2392" s="21" t="s">
        <v>3247</v>
      </c>
      <c r="D2392" s="25">
        <v>0.0</v>
      </c>
      <c r="E2392" s="27"/>
      <c r="F2392" s="25">
        <v>0.0</v>
      </c>
      <c r="G2392" s="27"/>
    </row>
    <row r="2393" hidden="1">
      <c r="A2393" s="21"/>
      <c r="B2393" s="21" t="s">
        <v>3248</v>
      </c>
      <c r="D2393" s="25">
        <v>0.0</v>
      </c>
      <c r="E2393" s="27"/>
      <c r="F2393" s="25">
        <v>0.0</v>
      </c>
      <c r="G2393" s="27"/>
    </row>
    <row r="2394" hidden="1">
      <c r="A2394" s="21"/>
      <c r="B2394" s="21" t="s">
        <v>3249</v>
      </c>
      <c r="D2394" s="25">
        <v>0.0</v>
      </c>
      <c r="E2394" s="27"/>
      <c r="F2394" s="25">
        <v>0.0</v>
      </c>
      <c r="G2394" s="27"/>
    </row>
    <row r="2395" hidden="1">
      <c r="A2395" s="21"/>
      <c r="B2395" s="21" t="s">
        <v>3250</v>
      </c>
      <c r="D2395" s="25">
        <v>0.0</v>
      </c>
      <c r="E2395" s="27"/>
      <c r="F2395" s="25">
        <v>0.0</v>
      </c>
      <c r="G2395" s="27"/>
    </row>
    <row r="2396" hidden="1">
      <c r="A2396" s="21"/>
      <c r="B2396" s="21" t="s">
        <v>3251</v>
      </c>
      <c r="D2396" s="25">
        <v>0.0</v>
      </c>
      <c r="E2396" s="27"/>
      <c r="F2396" s="25">
        <v>0.0</v>
      </c>
      <c r="G2396" s="27"/>
    </row>
    <row r="2397" hidden="1">
      <c r="A2397" s="21"/>
      <c r="B2397" s="21" t="s">
        <v>3252</v>
      </c>
      <c r="D2397" s="25">
        <v>0.0</v>
      </c>
      <c r="E2397" s="27"/>
      <c r="F2397" s="25">
        <v>0.0</v>
      </c>
      <c r="G2397" s="27"/>
    </row>
    <row r="2398" hidden="1">
      <c r="A2398" s="21"/>
      <c r="B2398" s="21" t="s">
        <v>3253</v>
      </c>
      <c r="D2398" s="25">
        <v>0.0</v>
      </c>
      <c r="E2398" s="27"/>
      <c r="F2398" s="25">
        <v>0.0</v>
      </c>
      <c r="G2398" s="27"/>
    </row>
    <row r="2399" hidden="1">
      <c r="A2399" s="21"/>
      <c r="B2399" s="21" t="s">
        <v>3254</v>
      </c>
      <c r="D2399" s="25">
        <v>0.0</v>
      </c>
      <c r="E2399" s="27"/>
      <c r="F2399" s="25">
        <v>0.0</v>
      </c>
      <c r="G2399" s="27"/>
    </row>
    <row r="2400" hidden="1">
      <c r="A2400" s="21"/>
      <c r="B2400" s="21" t="s">
        <v>3255</v>
      </c>
      <c r="D2400" s="25">
        <v>0.0</v>
      </c>
      <c r="E2400" s="27"/>
      <c r="F2400" s="25">
        <v>0.0</v>
      </c>
      <c r="G2400" s="27"/>
    </row>
    <row r="2401" hidden="1">
      <c r="A2401" s="21"/>
      <c r="B2401" s="21" t="s">
        <v>3256</v>
      </c>
      <c r="D2401" s="25">
        <v>0.0</v>
      </c>
      <c r="E2401" s="27"/>
      <c r="F2401" s="25">
        <v>0.0</v>
      </c>
      <c r="G2401" s="27"/>
    </row>
    <row r="2402" hidden="1">
      <c r="A2402" s="21"/>
      <c r="B2402" s="21" t="s">
        <v>3257</v>
      </c>
      <c r="D2402" s="25">
        <v>0.0</v>
      </c>
      <c r="E2402" s="27"/>
      <c r="F2402" s="25">
        <v>0.0</v>
      </c>
      <c r="G2402" s="27"/>
    </row>
    <row r="2403" hidden="1">
      <c r="A2403" s="21"/>
      <c r="B2403" s="21" t="s">
        <v>3258</v>
      </c>
      <c r="D2403" s="25">
        <v>0.0</v>
      </c>
      <c r="E2403" s="27"/>
      <c r="F2403" s="25">
        <v>0.0</v>
      </c>
      <c r="G2403" s="27"/>
    </row>
    <row r="2404" hidden="1">
      <c r="A2404" s="21"/>
      <c r="B2404" s="21" t="s">
        <v>3259</v>
      </c>
      <c r="D2404" s="25">
        <v>0.0</v>
      </c>
      <c r="E2404" s="27"/>
      <c r="F2404" s="25">
        <v>0.0</v>
      </c>
      <c r="G2404" s="27"/>
    </row>
    <row r="2405" hidden="1">
      <c r="A2405" s="21"/>
      <c r="B2405" s="21" t="s">
        <v>3260</v>
      </c>
      <c r="D2405" s="25">
        <v>0.0</v>
      </c>
      <c r="E2405" s="27"/>
      <c r="F2405" s="25">
        <v>0.0</v>
      </c>
      <c r="G2405" s="27"/>
    </row>
    <row r="2406" hidden="1">
      <c r="A2406" s="21"/>
      <c r="B2406" s="21" t="s">
        <v>3261</v>
      </c>
      <c r="D2406" s="25">
        <v>0.0</v>
      </c>
      <c r="E2406" s="27"/>
      <c r="F2406" s="25">
        <v>6.1</v>
      </c>
      <c r="G2406" s="27"/>
    </row>
    <row r="2407" hidden="1">
      <c r="A2407" s="21"/>
      <c r="B2407" s="21" t="s">
        <v>3262</v>
      </c>
      <c r="D2407" s="25">
        <v>0.0</v>
      </c>
      <c r="E2407" s="27"/>
      <c r="F2407" s="25">
        <v>0.0</v>
      </c>
      <c r="G2407" s="27"/>
    </row>
    <row r="2408" hidden="1">
      <c r="A2408" s="21"/>
      <c r="B2408" s="21" t="s">
        <v>3263</v>
      </c>
      <c r="D2408" s="25">
        <v>0.0</v>
      </c>
      <c r="E2408" s="27"/>
      <c r="F2408" s="25">
        <v>0.0</v>
      </c>
      <c r="G2408" s="27"/>
    </row>
    <row r="2409" hidden="1">
      <c r="A2409" s="21"/>
      <c r="B2409" s="21" t="s">
        <v>3264</v>
      </c>
      <c r="D2409" s="25">
        <v>0.0</v>
      </c>
      <c r="E2409" s="27"/>
      <c r="F2409" s="25">
        <v>0.0</v>
      </c>
      <c r="G2409" s="27"/>
    </row>
    <row r="2410" hidden="1">
      <c r="A2410" s="21"/>
      <c r="B2410" s="21" t="s">
        <v>3265</v>
      </c>
      <c r="D2410" s="25">
        <v>0.0</v>
      </c>
      <c r="E2410" s="27"/>
      <c r="F2410" s="25">
        <v>0.0</v>
      </c>
      <c r="G2410" s="27"/>
    </row>
    <row r="2411" hidden="1">
      <c r="A2411" s="21"/>
      <c r="B2411" s="21" t="s">
        <v>3266</v>
      </c>
      <c r="D2411" s="25">
        <v>0.0</v>
      </c>
      <c r="E2411" s="27"/>
      <c r="F2411" s="25">
        <v>0.0</v>
      </c>
      <c r="G2411" s="27"/>
    </row>
    <row r="2412" hidden="1">
      <c r="A2412" s="21"/>
      <c r="B2412" s="21" t="s">
        <v>3267</v>
      </c>
      <c r="D2412" s="25">
        <v>0.0</v>
      </c>
      <c r="E2412" s="27"/>
      <c r="F2412" s="25">
        <v>0.0</v>
      </c>
      <c r="G2412" s="27"/>
    </row>
    <row r="2413" hidden="1">
      <c r="A2413" s="21"/>
      <c r="B2413" s="21" t="s">
        <v>3268</v>
      </c>
      <c r="D2413" s="25">
        <v>0.0</v>
      </c>
      <c r="E2413" s="27"/>
      <c r="F2413" s="25">
        <v>0.0</v>
      </c>
      <c r="G2413" s="27"/>
    </row>
    <row r="2414" hidden="1">
      <c r="A2414" s="21"/>
      <c r="B2414" s="21" t="s">
        <v>3269</v>
      </c>
      <c r="D2414" s="25">
        <v>0.0</v>
      </c>
      <c r="E2414" s="27"/>
      <c r="F2414" s="25">
        <v>0.0</v>
      </c>
      <c r="G2414" s="27"/>
    </row>
    <row r="2415" hidden="1">
      <c r="A2415" s="21"/>
      <c r="B2415" s="21" t="s">
        <v>3270</v>
      </c>
      <c r="D2415" s="25">
        <v>0.0</v>
      </c>
      <c r="E2415" s="27"/>
      <c r="F2415" s="25">
        <v>0.0</v>
      </c>
      <c r="G2415" s="27"/>
    </row>
    <row r="2416" hidden="1">
      <c r="A2416" s="21"/>
      <c r="B2416" s="21" t="s">
        <v>3271</v>
      </c>
      <c r="D2416" s="25">
        <v>0.0</v>
      </c>
      <c r="E2416" s="27"/>
      <c r="F2416" s="25">
        <v>0.0</v>
      </c>
      <c r="G2416" s="27"/>
    </row>
    <row r="2417" hidden="1">
      <c r="A2417" s="21"/>
      <c r="B2417" s="21" t="s">
        <v>3272</v>
      </c>
      <c r="D2417" s="25">
        <v>0.0</v>
      </c>
      <c r="E2417" s="27"/>
      <c r="F2417" s="25">
        <v>0.0</v>
      </c>
      <c r="G2417" s="27"/>
    </row>
    <row r="2418" hidden="1">
      <c r="A2418" s="21"/>
      <c r="B2418" s="21" t="s">
        <v>3273</v>
      </c>
      <c r="D2418" s="25">
        <v>0.0</v>
      </c>
      <c r="E2418" s="27"/>
      <c r="F2418" s="25">
        <v>0.0</v>
      </c>
      <c r="G2418" s="27"/>
    </row>
    <row r="2419" hidden="1">
      <c r="A2419" s="21"/>
      <c r="B2419" s="21" t="s">
        <v>3274</v>
      </c>
      <c r="D2419" s="25">
        <v>0.0</v>
      </c>
      <c r="E2419" s="27"/>
      <c r="F2419" s="25">
        <v>0.0</v>
      </c>
      <c r="G2419" s="27"/>
    </row>
    <row r="2420" hidden="1">
      <c r="A2420" s="21"/>
      <c r="B2420" s="21" t="s">
        <v>3275</v>
      </c>
      <c r="D2420" s="25">
        <v>0.0</v>
      </c>
      <c r="E2420" s="27"/>
      <c r="F2420" s="25">
        <v>0.0</v>
      </c>
      <c r="G2420" s="27"/>
    </row>
    <row r="2421" hidden="1">
      <c r="A2421" s="21"/>
      <c r="B2421" s="21" t="s">
        <v>3276</v>
      </c>
      <c r="D2421" s="25">
        <v>0.0</v>
      </c>
      <c r="E2421" s="27"/>
      <c r="F2421" s="25">
        <v>0.0</v>
      </c>
      <c r="G2421" s="27"/>
    </row>
    <row r="2422" hidden="1">
      <c r="A2422" s="21"/>
      <c r="B2422" s="21" t="s">
        <v>3277</v>
      </c>
      <c r="D2422" s="25">
        <v>0.0</v>
      </c>
      <c r="E2422" s="27"/>
      <c r="F2422" s="25">
        <v>0.0</v>
      </c>
      <c r="G2422" s="27"/>
    </row>
    <row r="2423" hidden="1">
      <c r="A2423" s="21"/>
      <c r="B2423" s="21" t="s">
        <v>3278</v>
      </c>
      <c r="D2423" s="25">
        <v>0.0</v>
      </c>
      <c r="E2423" s="27"/>
      <c r="F2423" s="25">
        <v>0.0</v>
      </c>
      <c r="G2423" s="27"/>
    </row>
    <row r="2424" hidden="1">
      <c r="A2424" s="21"/>
      <c r="B2424" s="21" t="s">
        <v>3279</v>
      </c>
      <c r="D2424" s="25">
        <v>0.0</v>
      </c>
      <c r="E2424" s="27"/>
      <c r="F2424" s="25">
        <v>0.0</v>
      </c>
      <c r="G2424" s="27"/>
    </row>
    <row r="2425" hidden="1">
      <c r="A2425" s="21"/>
      <c r="B2425" s="21" t="s">
        <v>3280</v>
      </c>
      <c r="D2425" s="25">
        <v>0.0</v>
      </c>
      <c r="E2425" s="27"/>
      <c r="F2425" s="25">
        <v>0.0</v>
      </c>
      <c r="G2425" s="27"/>
    </row>
    <row r="2426" hidden="1">
      <c r="A2426" s="21"/>
      <c r="B2426" s="21" t="s">
        <v>3281</v>
      </c>
      <c r="D2426" s="25">
        <v>0.0</v>
      </c>
      <c r="E2426" s="27"/>
      <c r="F2426" s="25">
        <v>0.0</v>
      </c>
      <c r="G2426" s="27"/>
    </row>
    <row r="2427" hidden="1">
      <c r="A2427" s="21"/>
      <c r="B2427" s="21" t="s">
        <v>3282</v>
      </c>
      <c r="D2427" s="25">
        <v>0.0</v>
      </c>
      <c r="E2427" s="27"/>
      <c r="F2427" s="25">
        <v>0.0</v>
      </c>
      <c r="G2427" s="27"/>
    </row>
    <row r="2428" hidden="1">
      <c r="A2428" s="21"/>
      <c r="B2428" s="21" t="s">
        <v>3283</v>
      </c>
      <c r="D2428" s="25">
        <v>0.0</v>
      </c>
      <c r="E2428" s="27"/>
      <c r="F2428" s="25">
        <v>0.0</v>
      </c>
      <c r="G2428" s="27"/>
    </row>
    <row r="2429" hidden="1">
      <c r="A2429" s="21"/>
      <c r="B2429" s="21" t="s">
        <v>3284</v>
      </c>
      <c r="D2429" s="25">
        <v>0.0</v>
      </c>
      <c r="E2429" s="27"/>
      <c r="F2429" s="25">
        <v>0.0</v>
      </c>
      <c r="G2429" s="27"/>
    </row>
    <row r="2430" hidden="1">
      <c r="A2430" s="21"/>
      <c r="B2430" s="21" t="s">
        <v>3285</v>
      </c>
      <c r="D2430" s="25">
        <v>0.0</v>
      </c>
      <c r="E2430" s="27"/>
      <c r="F2430" s="25">
        <v>0.0</v>
      </c>
      <c r="G2430" s="27"/>
    </row>
    <row r="2431" hidden="1">
      <c r="A2431" s="21"/>
      <c r="B2431" s="21" t="s">
        <v>3286</v>
      </c>
      <c r="D2431" s="25">
        <v>0.0</v>
      </c>
      <c r="E2431" s="27"/>
      <c r="F2431" s="25">
        <v>0.0</v>
      </c>
      <c r="G2431" s="27"/>
    </row>
    <row r="2432" hidden="1">
      <c r="A2432" s="21"/>
      <c r="B2432" s="21" t="s">
        <v>3287</v>
      </c>
      <c r="D2432" s="25">
        <v>0.0</v>
      </c>
      <c r="E2432" s="27"/>
      <c r="F2432" s="25">
        <v>0.0</v>
      </c>
      <c r="G2432" s="27"/>
    </row>
    <row r="2433" hidden="1">
      <c r="A2433" s="21"/>
      <c r="B2433" s="21" t="s">
        <v>3288</v>
      </c>
      <c r="D2433" s="25">
        <v>0.0</v>
      </c>
      <c r="E2433" s="27"/>
      <c r="F2433" s="25">
        <v>0.0</v>
      </c>
      <c r="G2433" s="27"/>
    </row>
    <row r="2434" hidden="1">
      <c r="A2434" s="21"/>
      <c r="B2434" s="21" t="s">
        <v>3289</v>
      </c>
      <c r="D2434" s="25">
        <v>0.0</v>
      </c>
      <c r="E2434" s="27"/>
      <c r="F2434" s="25">
        <v>0.0</v>
      </c>
      <c r="G2434" s="27"/>
    </row>
    <row r="2435" hidden="1">
      <c r="A2435" s="21"/>
      <c r="B2435" s="21" t="s">
        <v>3290</v>
      </c>
      <c r="D2435" s="25">
        <v>0.0</v>
      </c>
      <c r="E2435" s="27"/>
      <c r="F2435" s="25">
        <v>0.0</v>
      </c>
      <c r="G2435" s="27"/>
    </row>
    <row r="2436" hidden="1">
      <c r="A2436" s="21"/>
      <c r="B2436" s="21" t="s">
        <v>3291</v>
      </c>
      <c r="D2436" s="25">
        <v>0.0</v>
      </c>
      <c r="E2436" s="27"/>
      <c r="F2436" s="25">
        <v>0.0</v>
      </c>
      <c r="G2436" s="27"/>
    </row>
    <row r="2437" hidden="1">
      <c r="A2437" s="21"/>
      <c r="B2437" s="21" t="s">
        <v>3292</v>
      </c>
      <c r="D2437" s="25">
        <v>0.0</v>
      </c>
      <c r="E2437" s="27"/>
      <c r="F2437" s="25">
        <v>0.0</v>
      </c>
      <c r="G2437" s="27"/>
    </row>
    <row r="2438" hidden="1">
      <c r="A2438" s="21"/>
      <c r="B2438" s="21" t="s">
        <v>3293</v>
      </c>
      <c r="D2438" s="25">
        <v>0.0</v>
      </c>
      <c r="E2438" s="27"/>
      <c r="F2438" s="25">
        <v>0.0</v>
      </c>
      <c r="G2438" s="27"/>
    </row>
    <row r="2439" hidden="1">
      <c r="A2439" s="21"/>
      <c r="B2439" s="21" t="s">
        <v>3294</v>
      </c>
      <c r="D2439" s="25">
        <v>0.0</v>
      </c>
      <c r="E2439" s="27"/>
      <c r="F2439" s="25">
        <v>0.0</v>
      </c>
      <c r="G2439" s="27"/>
    </row>
    <row r="2440" hidden="1">
      <c r="A2440" s="21"/>
      <c r="B2440" s="21" t="s">
        <v>3295</v>
      </c>
      <c r="D2440" s="25">
        <v>0.0</v>
      </c>
      <c r="E2440" s="27"/>
      <c r="F2440" s="25">
        <v>0.0</v>
      </c>
      <c r="G2440" s="27"/>
    </row>
    <row r="2441" hidden="1">
      <c r="A2441" s="21"/>
      <c r="B2441" s="21" t="s">
        <v>3296</v>
      </c>
      <c r="D2441" s="25">
        <v>0.0</v>
      </c>
      <c r="E2441" s="27"/>
      <c r="F2441" s="25">
        <v>0.0</v>
      </c>
      <c r="G2441" s="27"/>
    </row>
    <row r="2442" hidden="1">
      <c r="A2442" s="21"/>
      <c r="B2442" s="21" t="s">
        <v>3297</v>
      </c>
      <c r="D2442" s="25">
        <v>0.0</v>
      </c>
      <c r="E2442" s="27"/>
      <c r="F2442" s="25">
        <v>0.0</v>
      </c>
      <c r="G2442" s="27"/>
    </row>
    <row r="2443" hidden="1">
      <c r="A2443" s="21"/>
      <c r="B2443" s="21" t="s">
        <v>3298</v>
      </c>
      <c r="D2443" s="25">
        <v>0.0</v>
      </c>
      <c r="E2443" s="27"/>
      <c r="F2443" s="25">
        <v>0.0</v>
      </c>
      <c r="G2443" s="27"/>
    </row>
    <row r="2444" hidden="1">
      <c r="A2444" s="21"/>
      <c r="B2444" s="21" t="s">
        <v>3299</v>
      </c>
      <c r="D2444" s="25">
        <v>0.0</v>
      </c>
      <c r="E2444" s="27"/>
      <c r="F2444" s="25">
        <v>0.0</v>
      </c>
      <c r="G2444" s="27"/>
    </row>
    <row r="2445" hidden="1">
      <c r="A2445" s="21"/>
      <c r="B2445" s="21" t="s">
        <v>3300</v>
      </c>
      <c r="D2445" s="25">
        <v>0.0</v>
      </c>
      <c r="E2445" s="27"/>
      <c r="F2445" s="25">
        <v>0.0</v>
      </c>
      <c r="G2445" s="27"/>
    </row>
    <row r="2446" hidden="1">
      <c r="A2446" s="21"/>
      <c r="B2446" s="21" t="s">
        <v>3301</v>
      </c>
      <c r="D2446" s="25">
        <v>0.0</v>
      </c>
      <c r="E2446" s="27"/>
      <c r="F2446" s="25">
        <v>0.0</v>
      </c>
      <c r="G2446" s="27"/>
    </row>
    <row r="2447" hidden="1">
      <c r="A2447" s="21"/>
      <c r="B2447" s="21" t="s">
        <v>3302</v>
      </c>
      <c r="D2447" s="25">
        <v>0.0</v>
      </c>
      <c r="E2447" s="27"/>
      <c r="F2447" s="25">
        <v>0.0</v>
      </c>
      <c r="G2447" s="27"/>
    </row>
    <row r="2448" hidden="1">
      <c r="A2448" s="21"/>
      <c r="B2448" s="21" t="s">
        <v>3303</v>
      </c>
      <c r="D2448" s="25">
        <v>0.0</v>
      </c>
      <c r="E2448" s="27"/>
      <c r="F2448" s="25">
        <v>0.0</v>
      </c>
      <c r="G2448" s="27"/>
    </row>
    <row r="2449" hidden="1">
      <c r="A2449" s="21"/>
      <c r="B2449" s="21" t="s">
        <v>3304</v>
      </c>
      <c r="D2449" s="25">
        <v>0.0</v>
      </c>
      <c r="E2449" s="27"/>
      <c r="F2449" s="25">
        <v>0.0</v>
      </c>
      <c r="G2449" s="27"/>
    </row>
    <row r="2450" hidden="1">
      <c r="A2450" s="21"/>
      <c r="B2450" s="21" t="s">
        <v>3305</v>
      </c>
      <c r="D2450" s="25">
        <v>0.0</v>
      </c>
      <c r="E2450" s="27"/>
      <c r="F2450" s="25">
        <v>0.0</v>
      </c>
      <c r="G2450" s="27"/>
    </row>
    <row r="2451" hidden="1">
      <c r="A2451" s="21"/>
      <c r="B2451" s="21" t="s">
        <v>3306</v>
      </c>
      <c r="D2451" s="25">
        <v>0.0</v>
      </c>
      <c r="E2451" s="27"/>
      <c r="F2451" s="25">
        <v>0.0</v>
      </c>
      <c r="G2451" s="27"/>
    </row>
    <row r="2452" hidden="1">
      <c r="A2452" s="21"/>
      <c r="B2452" s="21" t="s">
        <v>3307</v>
      </c>
      <c r="D2452" s="25">
        <v>0.0</v>
      </c>
      <c r="E2452" s="27"/>
      <c r="F2452" s="25">
        <v>0.0</v>
      </c>
      <c r="G2452" s="27"/>
    </row>
    <row r="2453" hidden="1">
      <c r="A2453" s="21"/>
      <c r="B2453" s="21" t="s">
        <v>3308</v>
      </c>
      <c r="D2453" s="25">
        <v>0.0</v>
      </c>
      <c r="E2453" s="27"/>
      <c r="F2453" s="25">
        <v>0.0</v>
      </c>
      <c r="G2453" s="27"/>
    </row>
    <row r="2454" hidden="1">
      <c r="A2454" s="21"/>
      <c r="B2454" s="21" t="s">
        <v>3309</v>
      </c>
      <c r="D2454" s="25">
        <v>0.0</v>
      </c>
      <c r="E2454" s="27"/>
      <c r="F2454" s="25">
        <v>0.0</v>
      </c>
      <c r="G2454" s="27"/>
    </row>
    <row r="2455" hidden="1">
      <c r="A2455" s="21"/>
      <c r="B2455" s="21" t="s">
        <v>3310</v>
      </c>
      <c r="D2455" s="25">
        <v>0.0</v>
      </c>
      <c r="E2455" s="27"/>
      <c r="F2455" s="25">
        <v>0.0</v>
      </c>
      <c r="G2455" s="27"/>
    </row>
    <row r="2456" hidden="1">
      <c r="A2456" s="21"/>
      <c r="B2456" s="21" t="s">
        <v>3311</v>
      </c>
      <c r="D2456" s="25">
        <v>0.0</v>
      </c>
      <c r="E2456" s="27"/>
      <c r="F2456" s="25">
        <v>0.0</v>
      </c>
      <c r="G2456" s="27"/>
    </row>
    <row r="2457" hidden="1">
      <c r="A2457" s="21"/>
      <c r="B2457" s="21" t="s">
        <v>3312</v>
      </c>
      <c r="D2457" s="25">
        <v>0.0</v>
      </c>
      <c r="E2457" s="27"/>
      <c r="F2457" s="25">
        <v>0.0</v>
      </c>
      <c r="G2457" s="27"/>
    </row>
    <row r="2458" hidden="1">
      <c r="A2458" s="21"/>
      <c r="B2458" s="21" t="s">
        <v>3313</v>
      </c>
      <c r="D2458" s="25">
        <v>0.0</v>
      </c>
      <c r="E2458" s="27"/>
      <c r="F2458" s="25">
        <v>0.0</v>
      </c>
      <c r="G2458" s="27"/>
    </row>
    <row r="2459" hidden="1">
      <c r="A2459" s="21"/>
      <c r="B2459" s="21" t="s">
        <v>3314</v>
      </c>
      <c r="D2459" s="25">
        <v>0.0</v>
      </c>
      <c r="E2459" s="27"/>
      <c r="F2459" s="25">
        <v>2.07</v>
      </c>
      <c r="G2459" s="27"/>
    </row>
    <row r="2460" hidden="1">
      <c r="A2460" s="21"/>
      <c r="B2460" s="21" t="s">
        <v>3315</v>
      </c>
      <c r="D2460" s="25">
        <v>0.0</v>
      </c>
      <c r="E2460" s="27"/>
      <c r="F2460" s="25">
        <v>0.0</v>
      </c>
      <c r="G2460" s="27"/>
    </row>
    <row r="2461" hidden="1">
      <c r="A2461" s="21"/>
      <c r="B2461" s="21" t="s">
        <v>3316</v>
      </c>
      <c r="D2461" s="25">
        <v>0.0</v>
      </c>
      <c r="E2461" s="27"/>
      <c r="F2461" s="25">
        <v>0.0</v>
      </c>
      <c r="G2461" s="27"/>
    </row>
    <row r="2462" hidden="1">
      <c r="A2462" s="21"/>
      <c r="B2462" s="21" t="s">
        <v>3317</v>
      </c>
      <c r="D2462" s="25">
        <v>0.0</v>
      </c>
      <c r="E2462" s="27"/>
      <c r="F2462" s="25">
        <v>0.0</v>
      </c>
      <c r="G2462" s="27"/>
    </row>
    <row r="2463" hidden="1">
      <c r="A2463" s="21"/>
      <c r="B2463" s="21" t="s">
        <v>3318</v>
      </c>
      <c r="D2463" s="25">
        <v>0.0</v>
      </c>
      <c r="E2463" s="27"/>
      <c r="F2463" s="25">
        <v>0.0</v>
      </c>
      <c r="G2463" s="27"/>
    </row>
    <row r="2464" hidden="1">
      <c r="A2464" s="21"/>
      <c r="B2464" s="21" t="s">
        <v>3319</v>
      </c>
      <c r="D2464" s="25">
        <v>0.0</v>
      </c>
      <c r="E2464" s="27"/>
      <c r="F2464" s="25">
        <v>0.0</v>
      </c>
      <c r="G2464" s="27"/>
    </row>
    <row r="2465" hidden="1">
      <c r="A2465" s="21"/>
      <c r="B2465" s="21" t="s">
        <v>3320</v>
      </c>
      <c r="D2465" s="25">
        <v>0.0</v>
      </c>
      <c r="E2465" s="27"/>
      <c r="F2465" s="25">
        <v>0.0</v>
      </c>
      <c r="G2465" s="27"/>
    </row>
    <row r="2466" hidden="1">
      <c r="A2466" s="21"/>
      <c r="B2466" s="21" t="s">
        <v>3321</v>
      </c>
      <c r="D2466" s="25">
        <v>0.0</v>
      </c>
      <c r="E2466" s="27"/>
      <c r="F2466" s="25">
        <v>0.0</v>
      </c>
      <c r="G2466" s="27"/>
    </row>
    <row r="2467" hidden="1">
      <c r="A2467" s="21"/>
      <c r="B2467" s="21" t="s">
        <v>3322</v>
      </c>
      <c r="D2467" s="25">
        <v>0.0</v>
      </c>
      <c r="E2467" s="27"/>
      <c r="F2467" s="25">
        <v>0.0</v>
      </c>
      <c r="G2467" s="27"/>
    </row>
    <row r="2468" hidden="1">
      <c r="A2468" s="21"/>
      <c r="B2468" s="21" t="s">
        <v>3323</v>
      </c>
      <c r="D2468" s="25">
        <v>0.0</v>
      </c>
      <c r="E2468" s="27"/>
      <c r="F2468" s="25">
        <v>0.0</v>
      </c>
      <c r="G2468" s="27"/>
    </row>
    <row r="2469" hidden="1">
      <c r="A2469" s="21"/>
      <c r="B2469" s="21" t="s">
        <v>3324</v>
      </c>
      <c r="D2469" s="25">
        <v>0.0</v>
      </c>
      <c r="E2469" s="27"/>
      <c r="F2469" s="25">
        <v>0.0</v>
      </c>
      <c r="G2469" s="27"/>
    </row>
    <row r="2470" hidden="1">
      <c r="A2470" s="21"/>
      <c r="B2470" s="21" t="s">
        <v>3325</v>
      </c>
      <c r="D2470" s="25">
        <v>0.0</v>
      </c>
      <c r="E2470" s="27"/>
      <c r="F2470" s="25">
        <v>0.0</v>
      </c>
      <c r="G2470" s="27"/>
    </row>
    <row r="2471" hidden="1">
      <c r="A2471" s="21"/>
      <c r="B2471" s="21" t="s">
        <v>3326</v>
      </c>
      <c r="D2471" s="25">
        <v>0.0</v>
      </c>
      <c r="E2471" s="27"/>
      <c r="F2471" s="25">
        <v>0.0</v>
      </c>
      <c r="G2471" s="27"/>
    </row>
    <row r="2472" hidden="1">
      <c r="A2472" s="21"/>
      <c r="B2472" s="21" t="s">
        <v>3327</v>
      </c>
      <c r="D2472" s="25">
        <v>0.0</v>
      </c>
      <c r="E2472" s="27"/>
      <c r="F2472" s="25">
        <v>0.0</v>
      </c>
      <c r="G2472" s="27"/>
    </row>
    <row r="2473" hidden="1">
      <c r="A2473" s="21"/>
      <c r="B2473" s="21" t="s">
        <v>3328</v>
      </c>
      <c r="D2473" s="25">
        <v>0.0</v>
      </c>
      <c r="E2473" s="27"/>
      <c r="F2473" s="25">
        <v>0.0</v>
      </c>
      <c r="G2473" s="27"/>
    </row>
    <row r="2474" hidden="1">
      <c r="A2474" s="21"/>
      <c r="B2474" s="21" t="s">
        <v>3329</v>
      </c>
      <c r="D2474" s="25">
        <v>0.0</v>
      </c>
      <c r="E2474" s="27"/>
      <c r="F2474" s="25">
        <v>0.0</v>
      </c>
      <c r="G2474" s="27"/>
    </row>
    <row r="2475" hidden="1">
      <c r="A2475" s="21"/>
      <c r="B2475" s="21" t="s">
        <v>3330</v>
      </c>
      <c r="D2475" s="25">
        <v>0.0</v>
      </c>
      <c r="E2475" s="27"/>
      <c r="F2475" s="25">
        <v>0.0</v>
      </c>
      <c r="G2475" s="27"/>
    </row>
    <row r="2476" hidden="1">
      <c r="A2476" s="21"/>
      <c r="B2476" s="21" t="s">
        <v>3331</v>
      </c>
      <c r="D2476" s="25">
        <v>0.0</v>
      </c>
      <c r="E2476" s="27"/>
      <c r="F2476" s="25">
        <v>0.0</v>
      </c>
      <c r="G2476" s="27"/>
    </row>
    <row r="2477" hidden="1">
      <c r="A2477" s="21"/>
      <c r="B2477" s="21" t="s">
        <v>3332</v>
      </c>
      <c r="D2477" s="25">
        <v>0.0</v>
      </c>
      <c r="E2477" s="27"/>
      <c r="F2477" s="25">
        <v>0.0</v>
      </c>
      <c r="G2477" s="27"/>
    </row>
    <row r="2478" hidden="1">
      <c r="A2478" s="21"/>
      <c r="B2478" s="21" t="s">
        <v>3333</v>
      </c>
      <c r="D2478" s="25">
        <v>0.0</v>
      </c>
      <c r="E2478" s="27"/>
      <c r="F2478" s="25">
        <v>0.0</v>
      </c>
      <c r="G2478" s="27"/>
    </row>
    <row r="2479" hidden="1">
      <c r="A2479" s="21"/>
      <c r="B2479" s="21" t="s">
        <v>3334</v>
      </c>
      <c r="D2479" s="25">
        <v>0.0</v>
      </c>
      <c r="E2479" s="27"/>
      <c r="F2479" s="25">
        <v>0.0</v>
      </c>
      <c r="G2479" s="27"/>
    </row>
    <row r="2480" hidden="1">
      <c r="A2480" s="21"/>
      <c r="B2480" s="21" t="s">
        <v>3335</v>
      </c>
      <c r="D2480" s="25">
        <v>0.0</v>
      </c>
      <c r="E2480" s="27"/>
      <c r="F2480" s="25">
        <v>0.0</v>
      </c>
      <c r="G2480" s="27"/>
    </row>
    <row r="2481" hidden="1">
      <c r="A2481" s="21"/>
      <c r="B2481" s="21" t="s">
        <v>3336</v>
      </c>
      <c r="D2481" s="25">
        <v>0.0</v>
      </c>
      <c r="E2481" s="27"/>
      <c r="F2481" s="25">
        <v>0.0</v>
      </c>
      <c r="G2481" s="27"/>
    </row>
    <row r="2482" hidden="1">
      <c r="A2482" s="21"/>
      <c r="B2482" s="21" t="s">
        <v>3337</v>
      </c>
      <c r="D2482" s="25">
        <v>0.0</v>
      </c>
      <c r="E2482" s="27"/>
      <c r="F2482" s="25">
        <v>0.0</v>
      </c>
      <c r="G2482" s="27"/>
    </row>
    <row r="2483" hidden="1">
      <c r="A2483" s="21"/>
      <c r="B2483" s="21" t="s">
        <v>3338</v>
      </c>
      <c r="D2483" s="25">
        <v>0.0</v>
      </c>
      <c r="E2483" s="27"/>
      <c r="F2483" s="25">
        <v>0.0</v>
      </c>
      <c r="G2483" s="27"/>
    </row>
    <row r="2484" hidden="1">
      <c r="A2484" s="21"/>
      <c r="B2484" s="21" t="s">
        <v>3339</v>
      </c>
      <c r="D2484" s="25">
        <v>0.0</v>
      </c>
      <c r="E2484" s="27"/>
      <c r="F2484" s="25">
        <v>0.0</v>
      </c>
      <c r="G2484" s="27"/>
    </row>
    <row r="2485" hidden="1">
      <c r="A2485" s="21"/>
      <c r="B2485" s="21" t="s">
        <v>3340</v>
      </c>
      <c r="D2485" s="25">
        <v>0.0</v>
      </c>
      <c r="E2485" s="27"/>
      <c r="F2485" s="25">
        <v>0.0</v>
      </c>
      <c r="G2485" s="27"/>
    </row>
    <row r="2486" hidden="1">
      <c r="A2486" s="21"/>
      <c r="B2486" s="21" t="s">
        <v>3341</v>
      </c>
      <c r="D2486" s="25">
        <v>0.0</v>
      </c>
      <c r="E2486" s="27"/>
      <c r="F2486" s="25">
        <v>0.0</v>
      </c>
      <c r="G2486" s="27"/>
    </row>
    <row r="2487" hidden="1">
      <c r="A2487" s="21"/>
      <c r="B2487" s="21" t="s">
        <v>3342</v>
      </c>
      <c r="D2487" s="25">
        <v>0.0</v>
      </c>
      <c r="E2487" s="27"/>
      <c r="F2487" s="25">
        <v>0.0</v>
      </c>
      <c r="G2487" s="27"/>
    </row>
    <row r="2488" hidden="1">
      <c r="A2488" s="21"/>
      <c r="B2488" s="21" t="s">
        <v>3343</v>
      </c>
      <c r="D2488" s="25">
        <v>0.0</v>
      </c>
      <c r="E2488" s="27"/>
      <c r="F2488" s="25">
        <v>0.0</v>
      </c>
      <c r="G2488" s="27"/>
    </row>
    <row r="2489" hidden="1">
      <c r="A2489" s="21"/>
      <c r="B2489" s="21" t="s">
        <v>3344</v>
      </c>
      <c r="D2489" s="25">
        <v>0.0</v>
      </c>
      <c r="E2489" s="27"/>
      <c r="F2489" s="25">
        <v>0.0</v>
      </c>
      <c r="G2489" s="27"/>
    </row>
    <row r="2490" hidden="1">
      <c r="A2490" s="21"/>
      <c r="B2490" s="21" t="s">
        <v>3345</v>
      </c>
      <c r="D2490" s="25">
        <v>0.0</v>
      </c>
      <c r="E2490" s="27"/>
      <c r="F2490" s="25">
        <v>0.0</v>
      </c>
      <c r="G2490" s="27"/>
    </row>
    <row r="2491" hidden="1">
      <c r="A2491" s="21"/>
      <c r="B2491" s="21" t="s">
        <v>3346</v>
      </c>
      <c r="D2491" s="25">
        <v>0.0</v>
      </c>
      <c r="E2491" s="27"/>
      <c r="F2491" s="25">
        <v>0.0</v>
      </c>
      <c r="G2491" s="27"/>
    </row>
    <row r="2492" hidden="1">
      <c r="A2492" s="21"/>
      <c r="B2492" s="21" t="s">
        <v>3347</v>
      </c>
      <c r="D2492" s="25">
        <v>0.0</v>
      </c>
      <c r="E2492" s="27"/>
      <c r="F2492" s="25">
        <v>8.09</v>
      </c>
      <c r="G2492" s="27"/>
    </row>
    <row r="2493" hidden="1">
      <c r="A2493" s="21"/>
      <c r="B2493" s="21" t="s">
        <v>3348</v>
      </c>
      <c r="D2493" s="25">
        <v>0.0</v>
      </c>
      <c r="E2493" s="27"/>
      <c r="F2493" s="25">
        <v>0.0</v>
      </c>
      <c r="G2493" s="27"/>
    </row>
    <row r="2494" hidden="1">
      <c r="A2494" s="21"/>
      <c r="B2494" s="21" t="s">
        <v>3349</v>
      </c>
      <c r="D2494" s="25">
        <v>0.0</v>
      </c>
      <c r="E2494" s="27"/>
      <c r="F2494" s="25">
        <v>0.0</v>
      </c>
      <c r="G2494" s="27"/>
    </row>
    <row r="2495" hidden="1">
      <c r="A2495" s="21"/>
      <c r="B2495" s="21" t="s">
        <v>3350</v>
      </c>
      <c r="D2495" s="25">
        <v>0.0</v>
      </c>
      <c r="E2495" s="27"/>
      <c r="F2495" s="25">
        <v>0.0</v>
      </c>
      <c r="G2495" s="27"/>
    </row>
    <row r="2496" hidden="1">
      <c r="A2496" s="21"/>
      <c r="B2496" s="21" t="s">
        <v>3351</v>
      </c>
      <c r="D2496" s="25">
        <v>0.0</v>
      </c>
      <c r="E2496" s="27"/>
      <c r="F2496" s="25">
        <v>10.91</v>
      </c>
      <c r="G2496" s="27"/>
    </row>
    <row r="2497" hidden="1">
      <c r="A2497" s="21"/>
      <c r="B2497" s="21" t="s">
        <v>3352</v>
      </c>
      <c r="D2497" s="25">
        <v>0.0</v>
      </c>
      <c r="E2497" s="27"/>
      <c r="F2497" s="25">
        <v>0.0</v>
      </c>
      <c r="G2497" s="27"/>
    </row>
    <row r="2498" hidden="1">
      <c r="A2498" s="21"/>
      <c r="B2498" s="21" t="s">
        <v>3353</v>
      </c>
      <c r="D2498" s="25">
        <v>0.0</v>
      </c>
      <c r="E2498" s="27"/>
      <c r="F2498" s="25">
        <v>0.0</v>
      </c>
      <c r="G2498" s="27"/>
    </row>
    <row r="2499" hidden="1">
      <c r="A2499" s="21"/>
      <c r="B2499" s="21" t="s">
        <v>3354</v>
      </c>
      <c r="D2499" s="25">
        <v>0.0</v>
      </c>
      <c r="E2499" s="27"/>
      <c r="F2499" s="25">
        <v>0.0</v>
      </c>
      <c r="G2499" s="27"/>
    </row>
    <row r="2500" hidden="1">
      <c r="A2500" s="21"/>
      <c r="B2500" s="21" t="s">
        <v>3355</v>
      </c>
      <c r="D2500" s="25">
        <v>0.0</v>
      </c>
      <c r="E2500" s="27"/>
      <c r="F2500" s="25">
        <v>0.0</v>
      </c>
      <c r="G2500" s="27"/>
    </row>
    <row r="2501" hidden="1">
      <c r="A2501" s="21"/>
      <c r="B2501" s="21" t="s">
        <v>3356</v>
      </c>
      <c r="D2501" s="25">
        <v>0.0</v>
      </c>
      <c r="E2501" s="27"/>
      <c r="F2501" s="25">
        <v>0.0</v>
      </c>
      <c r="G2501" s="27"/>
    </row>
    <row r="2502" hidden="1">
      <c r="A2502" s="21"/>
      <c r="B2502" s="21" t="s">
        <v>3357</v>
      </c>
      <c r="D2502" s="25">
        <v>0.0</v>
      </c>
      <c r="E2502" s="27"/>
      <c r="F2502" s="25">
        <v>0.0</v>
      </c>
      <c r="G2502" s="27"/>
    </row>
    <row r="2503" hidden="1">
      <c r="A2503" s="21"/>
      <c r="B2503" s="21" t="s">
        <v>3358</v>
      </c>
      <c r="D2503" s="25">
        <v>0.0</v>
      </c>
      <c r="E2503" s="27"/>
      <c r="F2503" s="25">
        <v>0.0</v>
      </c>
      <c r="G2503" s="27"/>
    </row>
    <row r="2504" hidden="1">
      <c r="A2504" s="21"/>
      <c r="B2504" s="21" t="s">
        <v>3359</v>
      </c>
      <c r="D2504" s="25">
        <v>0.0</v>
      </c>
      <c r="E2504" s="27"/>
      <c r="F2504" s="25">
        <v>0.0</v>
      </c>
      <c r="G2504" s="27"/>
    </row>
    <row r="2505" hidden="1">
      <c r="A2505" s="21"/>
      <c r="B2505" s="21" t="s">
        <v>3360</v>
      </c>
      <c r="D2505" s="25">
        <v>0.0</v>
      </c>
      <c r="E2505" s="27"/>
      <c r="F2505" s="25">
        <v>0.0</v>
      </c>
      <c r="G2505" s="27"/>
    </row>
    <row r="2506" hidden="1">
      <c r="A2506" s="21"/>
      <c r="B2506" s="21" t="s">
        <v>3361</v>
      </c>
      <c r="D2506" s="25">
        <v>0.0</v>
      </c>
      <c r="E2506" s="27"/>
      <c r="F2506" s="25">
        <v>0.0</v>
      </c>
      <c r="G2506" s="27"/>
    </row>
    <row r="2507" hidden="1">
      <c r="A2507" s="21"/>
      <c r="B2507" s="21" t="s">
        <v>3362</v>
      </c>
      <c r="D2507" s="25">
        <v>0.0</v>
      </c>
      <c r="E2507" s="27"/>
      <c r="F2507" s="25">
        <v>0.0</v>
      </c>
      <c r="G2507" s="27"/>
    </row>
    <row r="2508" hidden="1">
      <c r="A2508" s="21"/>
      <c r="B2508" s="21" t="s">
        <v>3363</v>
      </c>
      <c r="D2508" s="25">
        <v>0.0</v>
      </c>
      <c r="E2508" s="27"/>
      <c r="F2508" s="25">
        <v>0.0</v>
      </c>
      <c r="G2508" s="27"/>
    </row>
    <row r="2509" hidden="1">
      <c r="A2509" s="21"/>
      <c r="B2509" s="21" t="s">
        <v>3364</v>
      </c>
      <c r="D2509" s="25">
        <v>0.0</v>
      </c>
      <c r="E2509" s="27"/>
      <c r="F2509" s="25">
        <v>0.0</v>
      </c>
      <c r="G2509" s="27"/>
    </row>
    <row r="2510" hidden="1">
      <c r="A2510" s="21"/>
      <c r="B2510" s="21" t="s">
        <v>3365</v>
      </c>
      <c r="D2510" s="25">
        <v>0.0</v>
      </c>
      <c r="E2510" s="27"/>
      <c r="F2510" s="25">
        <v>0.0</v>
      </c>
      <c r="G2510" s="27"/>
    </row>
    <row r="2511" hidden="1">
      <c r="A2511" s="21"/>
      <c r="B2511" s="21" t="s">
        <v>3366</v>
      </c>
      <c r="D2511" s="25">
        <v>0.0</v>
      </c>
      <c r="E2511" s="27"/>
      <c r="F2511" s="25">
        <v>0.0</v>
      </c>
      <c r="G2511" s="27"/>
    </row>
    <row r="2512" hidden="1">
      <c r="A2512" s="21"/>
      <c r="B2512" s="21" t="s">
        <v>3367</v>
      </c>
      <c r="D2512" s="25">
        <v>0.0</v>
      </c>
      <c r="E2512" s="27"/>
      <c r="F2512" s="25">
        <v>0.0</v>
      </c>
      <c r="G2512" s="27"/>
    </row>
    <row r="2513" hidden="1">
      <c r="A2513" s="21"/>
      <c r="B2513" s="21" t="s">
        <v>3368</v>
      </c>
      <c r="D2513" s="25">
        <v>0.0</v>
      </c>
      <c r="E2513" s="27"/>
      <c r="F2513" s="25">
        <v>0.0</v>
      </c>
      <c r="G2513" s="27"/>
    </row>
    <row r="2514" hidden="1">
      <c r="A2514" s="21"/>
      <c r="B2514" s="21" t="s">
        <v>3369</v>
      </c>
      <c r="D2514" s="25">
        <v>0.0</v>
      </c>
      <c r="E2514" s="27"/>
      <c r="F2514" s="25">
        <v>0.0</v>
      </c>
      <c r="G2514" s="27"/>
    </row>
    <row r="2515" hidden="1">
      <c r="A2515" s="21"/>
      <c r="B2515" s="21" t="s">
        <v>3370</v>
      </c>
      <c r="D2515" s="25">
        <v>0.0</v>
      </c>
      <c r="E2515" s="27"/>
      <c r="F2515" s="25">
        <v>0.0</v>
      </c>
      <c r="G2515" s="27"/>
    </row>
    <row r="2516" hidden="1">
      <c r="A2516" s="21"/>
      <c r="B2516" s="21" t="s">
        <v>3371</v>
      </c>
      <c r="D2516" s="25">
        <v>0.0</v>
      </c>
      <c r="E2516" s="27"/>
      <c r="F2516" s="25">
        <v>0.0</v>
      </c>
      <c r="G2516" s="27"/>
    </row>
    <row r="2517" hidden="1">
      <c r="A2517" s="21"/>
      <c r="B2517" s="21" t="s">
        <v>3372</v>
      </c>
      <c r="D2517" s="25">
        <v>0.0</v>
      </c>
      <c r="E2517" s="27"/>
      <c r="F2517" s="25">
        <v>0.0</v>
      </c>
      <c r="G2517" s="27"/>
    </row>
    <row r="2518" hidden="1">
      <c r="A2518" s="21"/>
      <c r="B2518" s="21" t="s">
        <v>3373</v>
      </c>
      <c r="D2518" s="25">
        <v>0.0</v>
      </c>
      <c r="E2518" s="27"/>
      <c r="F2518" s="25">
        <v>0.0</v>
      </c>
      <c r="G2518" s="27"/>
    </row>
    <row r="2519" hidden="1">
      <c r="A2519" s="21"/>
      <c r="B2519" s="21" t="s">
        <v>3374</v>
      </c>
      <c r="D2519" s="25">
        <v>0.0</v>
      </c>
      <c r="E2519" s="27"/>
      <c r="F2519" s="25">
        <v>0.0</v>
      </c>
      <c r="G2519" s="27"/>
    </row>
    <row r="2520" hidden="1">
      <c r="A2520" s="21"/>
      <c r="B2520" s="21" t="s">
        <v>3375</v>
      </c>
      <c r="D2520" s="25">
        <v>0.0</v>
      </c>
      <c r="E2520" s="27"/>
      <c r="F2520" s="25">
        <v>0.0</v>
      </c>
      <c r="G2520" s="27"/>
    </row>
    <row r="2521" hidden="1">
      <c r="A2521" s="21"/>
      <c r="B2521" s="21" t="s">
        <v>3376</v>
      </c>
      <c r="D2521" s="25">
        <v>0.0</v>
      </c>
      <c r="E2521" s="27"/>
      <c r="F2521" s="25">
        <v>0.0</v>
      </c>
      <c r="G2521" s="27"/>
    </row>
    <row r="2522" hidden="1">
      <c r="A2522" s="21"/>
      <c r="B2522" s="21" t="s">
        <v>3377</v>
      </c>
      <c r="D2522" s="25">
        <v>0.0</v>
      </c>
      <c r="E2522" s="27"/>
      <c r="F2522" s="25">
        <v>0.0</v>
      </c>
      <c r="G2522" s="27"/>
    </row>
    <row r="2523" hidden="1">
      <c r="A2523" s="21"/>
      <c r="B2523" s="21" t="s">
        <v>3378</v>
      </c>
      <c r="D2523" s="25">
        <v>0.0</v>
      </c>
      <c r="E2523" s="27"/>
      <c r="F2523" s="25">
        <v>0.0</v>
      </c>
      <c r="G2523" s="27"/>
    </row>
    <row r="2524" hidden="1">
      <c r="A2524" s="21"/>
      <c r="B2524" s="21" t="s">
        <v>3379</v>
      </c>
      <c r="D2524" s="25">
        <v>0.0</v>
      </c>
      <c r="E2524" s="27"/>
      <c r="F2524" s="25">
        <v>0.0</v>
      </c>
      <c r="G2524" s="27"/>
    </row>
    <row r="2525" hidden="1">
      <c r="A2525" s="21"/>
      <c r="B2525" s="21" t="s">
        <v>3380</v>
      </c>
      <c r="D2525" s="25">
        <v>0.0</v>
      </c>
      <c r="E2525" s="27"/>
      <c r="F2525" s="25">
        <v>0.0</v>
      </c>
      <c r="G2525" s="27"/>
    </row>
    <row r="2526" hidden="1">
      <c r="A2526" s="21"/>
      <c r="B2526" s="21" t="s">
        <v>3381</v>
      </c>
      <c r="D2526" s="25">
        <v>0.0</v>
      </c>
      <c r="E2526" s="27"/>
      <c r="F2526" s="25">
        <v>0.0</v>
      </c>
      <c r="G2526" s="27"/>
    </row>
    <row r="2527" hidden="1">
      <c r="A2527" s="21"/>
      <c r="B2527" s="21" t="s">
        <v>3382</v>
      </c>
      <c r="D2527" s="25">
        <v>0.0</v>
      </c>
      <c r="E2527" s="27"/>
      <c r="F2527" s="25">
        <v>0.0</v>
      </c>
      <c r="G2527" s="27"/>
    </row>
    <row r="2528" hidden="1">
      <c r="A2528" s="21"/>
      <c r="B2528" s="21" t="s">
        <v>3383</v>
      </c>
      <c r="D2528" s="25">
        <v>0.0</v>
      </c>
      <c r="E2528" s="27"/>
      <c r="F2528" s="25">
        <v>0.0</v>
      </c>
      <c r="G2528" s="27"/>
    </row>
    <row r="2529" hidden="1">
      <c r="A2529" s="21"/>
      <c r="B2529" s="21" t="s">
        <v>3384</v>
      </c>
      <c r="D2529" s="25">
        <v>0.0</v>
      </c>
      <c r="E2529" s="27"/>
      <c r="F2529" s="25">
        <v>0.0</v>
      </c>
      <c r="G2529" s="27"/>
    </row>
    <row r="2530" hidden="1">
      <c r="A2530" s="21"/>
      <c r="B2530" s="21" t="s">
        <v>3385</v>
      </c>
      <c r="D2530" s="25">
        <v>0.0</v>
      </c>
      <c r="E2530" s="27"/>
      <c r="F2530" s="25">
        <v>0.0</v>
      </c>
      <c r="G2530" s="27"/>
    </row>
    <row r="2531" hidden="1">
      <c r="A2531" s="21"/>
      <c r="B2531" s="21" t="s">
        <v>3386</v>
      </c>
      <c r="D2531" s="25">
        <v>0.0</v>
      </c>
      <c r="E2531" s="27"/>
      <c r="F2531" s="25">
        <v>0.0</v>
      </c>
      <c r="G2531" s="27"/>
    </row>
    <row r="2532" hidden="1">
      <c r="A2532" s="21"/>
      <c r="B2532" s="21" t="s">
        <v>3387</v>
      </c>
      <c r="D2532" s="25">
        <v>0.0</v>
      </c>
      <c r="E2532" s="27"/>
      <c r="F2532" s="25">
        <v>0.0</v>
      </c>
      <c r="G2532" s="27"/>
    </row>
    <row r="2533" hidden="1">
      <c r="A2533" s="21"/>
      <c r="B2533" s="21" t="s">
        <v>3388</v>
      </c>
      <c r="D2533" s="25">
        <v>0.0</v>
      </c>
      <c r="E2533" s="27"/>
      <c r="F2533" s="25">
        <v>0.0</v>
      </c>
      <c r="G2533" s="27"/>
    </row>
    <row r="2534" hidden="1">
      <c r="A2534" s="21"/>
      <c r="B2534" s="21" t="s">
        <v>3389</v>
      </c>
      <c r="D2534" s="25">
        <v>0.0</v>
      </c>
      <c r="E2534" s="27"/>
      <c r="F2534" s="25">
        <v>0.0</v>
      </c>
      <c r="G2534" s="27"/>
    </row>
    <row r="2535" hidden="1">
      <c r="A2535" s="21"/>
      <c r="B2535" s="21" t="s">
        <v>3390</v>
      </c>
      <c r="D2535" s="25">
        <v>0.0</v>
      </c>
      <c r="E2535" s="27"/>
      <c r="F2535" s="25">
        <v>0.0</v>
      </c>
      <c r="G2535" s="27"/>
    </row>
    <row r="2536" hidden="1">
      <c r="A2536" s="21"/>
      <c r="B2536" s="21" t="s">
        <v>3391</v>
      </c>
      <c r="D2536" s="25">
        <v>0.0</v>
      </c>
      <c r="E2536" s="27"/>
      <c r="F2536" s="25">
        <v>0.0</v>
      </c>
      <c r="G2536" s="27"/>
    </row>
    <row r="2537" hidden="1">
      <c r="A2537" s="21"/>
      <c r="B2537" s="21" t="s">
        <v>3392</v>
      </c>
      <c r="D2537" s="25">
        <v>0.0</v>
      </c>
      <c r="E2537" s="27"/>
      <c r="F2537" s="25">
        <v>0.0</v>
      </c>
      <c r="G2537" s="27"/>
    </row>
    <row r="2538" hidden="1">
      <c r="A2538" s="21"/>
      <c r="B2538" s="21" t="s">
        <v>3393</v>
      </c>
      <c r="D2538" s="25">
        <v>0.0</v>
      </c>
      <c r="E2538" s="27"/>
      <c r="F2538" s="25">
        <v>0.0</v>
      </c>
      <c r="G2538" s="27"/>
    </row>
    <row r="2539" hidden="1">
      <c r="A2539" s="21"/>
      <c r="B2539" s="21" t="s">
        <v>3394</v>
      </c>
      <c r="D2539" s="25">
        <v>0.0</v>
      </c>
      <c r="E2539" s="27"/>
      <c r="F2539" s="25">
        <v>0.0</v>
      </c>
      <c r="G2539" s="27"/>
    </row>
    <row r="2540" hidden="1">
      <c r="A2540" s="21"/>
      <c r="B2540" s="21" t="s">
        <v>3395</v>
      </c>
      <c r="D2540" s="25">
        <v>0.0</v>
      </c>
      <c r="E2540" s="27"/>
      <c r="F2540" s="25">
        <v>0.0</v>
      </c>
      <c r="G2540" s="27"/>
    </row>
    <row r="2541" hidden="1">
      <c r="A2541" s="21"/>
      <c r="B2541" s="21" t="s">
        <v>3396</v>
      </c>
      <c r="D2541" s="25">
        <v>0.0</v>
      </c>
      <c r="E2541" s="27"/>
      <c r="F2541" s="25">
        <v>0.0</v>
      </c>
      <c r="G2541" s="27"/>
    </row>
    <row r="2542" hidden="1">
      <c r="A2542" s="21"/>
      <c r="B2542" s="21" t="s">
        <v>3397</v>
      </c>
      <c r="D2542" s="25">
        <v>0.0</v>
      </c>
      <c r="E2542" s="27"/>
      <c r="F2542" s="25">
        <v>0.0</v>
      </c>
      <c r="G2542" s="27"/>
    </row>
    <row r="2543" hidden="1">
      <c r="A2543" s="21"/>
      <c r="B2543" s="21" t="s">
        <v>3398</v>
      </c>
      <c r="D2543" s="25">
        <v>0.0</v>
      </c>
      <c r="E2543" s="27"/>
      <c r="F2543" s="25">
        <v>0.0</v>
      </c>
      <c r="G2543" s="27"/>
    </row>
    <row r="2544" hidden="1">
      <c r="A2544" s="21"/>
      <c r="B2544" s="21" t="s">
        <v>3399</v>
      </c>
      <c r="D2544" s="25">
        <v>0.0</v>
      </c>
      <c r="E2544" s="27"/>
      <c r="F2544" s="25">
        <v>0.0</v>
      </c>
      <c r="G2544" s="27"/>
    </row>
    <row r="2545" hidden="1">
      <c r="A2545" s="21"/>
      <c r="B2545" s="21" t="s">
        <v>3400</v>
      </c>
      <c r="D2545" s="25">
        <v>0.0</v>
      </c>
      <c r="E2545" s="27"/>
      <c r="F2545" s="25">
        <v>0.0</v>
      </c>
      <c r="G2545" s="27"/>
    </row>
    <row r="2546" hidden="1">
      <c r="A2546" s="21"/>
      <c r="B2546" s="21" t="s">
        <v>3401</v>
      </c>
      <c r="D2546" s="25">
        <v>0.0</v>
      </c>
      <c r="E2546" s="27"/>
      <c r="F2546" s="25">
        <v>0.0</v>
      </c>
      <c r="G2546" s="27"/>
    </row>
    <row r="2547" hidden="1">
      <c r="A2547" s="21"/>
      <c r="B2547" s="21" t="s">
        <v>3402</v>
      </c>
      <c r="D2547" s="25">
        <v>0.0</v>
      </c>
      <c r="E2547" s="27"/>
      <c r="F2547" s="25">
        <v>0.0</v>
      </c>
      <c r="G2547" s="27"/>
    </row>
    <row r="2548" hidden="1">
      <c r="A2548" s="21"/>
      <c r="B2548" s="21" t="s">
        <v>3403</v>
      </c>
      <c r="D2548" s="25">
        <v>0.0</v>
      </c>
      <c r="E2548" s="27"/>
      <c r="F2548" s="25">
        <v>0.0</v>
      </c>
      <c r="G2548" s="27"/>
    </row>
    <row r="2549" hidden="1">
      <c r="A2549" s="21"/>
      <c r="B2549" s="21" t="s">
        <v>3404</v>
      </c>
      <c r="D2549" s="25">
        <v>0.0</v>
      </c>
      <c r="E2549" s="27"/>
      <c r="F2549" s="25">
        <v>0.0</v>
      </c>
      <c r="G2549" s="27"/>
    </row>
    <row r="2550" hidden="1">
      <c r="A2550" s="21"/>
      <c r="B2550" s="21" t="s">
        <v>3405</v>
      </c>
      <c r="D2550" s="25">
        <v>0.0</v>
      </c>
      <c r="E2550" s="27"/>
      <c r="F2550" s="25">
        <v>0.0</v>
      </c>
      <c r="G2550" s="27"/>
    </row>
    <row r="2551" hidden="1">
      <c r="A2551" s="21"/>
      <c r="B2551" s="21" t="s">
        <v>3406</v>
      </c>
      <c r="D2551" s="25">
        <v>0.0</v>
      </c>
      <c r="E2551" s="27"/>
      <c r="F2551" s="25">
        <v>0.0</v>
      </c>
      <c r="G2551" s="27"/>
    </row>
    <row r="2552" hidden="1">
      <c r="A2552" s="21"/>
      <c r="B2552" s="21" t="s">
        <v>3407</v>
      </c>
      <c r="D2552" s="25">
        <v>0.0</v>
      </c>
      <c r="E2552" s="27"/>
      <c r="F2552" s="25">
        <v>5.37</v>
      </c>
      <c r="G2552" s="27"/>
    </row>
    <row r="2553" hidden="1">
      <c r="A2553" s="21"/>
      <c r="B2553" s="21" t="s">
        <v>3408</v>
      </c>
      <c r="D2553" s="25">
        <v>0.0</v>
      </c>
      <c r="E2553" s="27"/>
      <c r="F2553" s="25">
        <v>0.0</v>
      </c>
      <c r="G2553" s="27"/>
    </row>
    <row r="2554" hidden="1">
      <c r="A2554" s="21"/>
      <c r="B2554" s="21" t="s">
        <v>3409</v>
      </c>
      <c r="D2554" s="25">
        <v>0.0</v>
      </c>
      <c r="E2554" s="27"/>
      <c r="F2554" s="25">
        <v>0.0</v>
      </c>
      <c r="G2554" s="27"/>
    </row>
    <row r="2555" hidden="1">
      <c r="A2555" s="21"/>
      <c r="B2555" s="21" t="s">
        <v>3410</v>
      </c>
      <c r="D2555" s="25">
        <v>0.0</v>
      </c>
      <c r="E2555" s="27"/>
      <c r="F2555" s="25">
        <v>0.0</v>
      </c>
      <c r="G2555" s="27"/>
    </row>
    <row r="2556" hidden="1">
      <c r="A2556" s="21"/>
      <c r="B2556" s="21" t="s">
        <v>3411</v>
      </c>
      <c r="D2556" s="25">
        <v>0.0</v>
      </c>
      <c r="E2556" s="27"/>
      <c r="F2556" s="25">
        <v>0.0</v>
      </c>
      <c r="G2556" s="27"/>
    </row>
    <row r="2557" hidden="1">
      <c r="A2557" s="21"/>
      <c r="B2557" s="21" t="s">
        <v>3412</v>
      </c>
      <c r="D2557" s="25">
        <v>0.0</v>
      </c>
      <c r="E2557" s="27"/>
      <c r="F2557" s="25">
        <v>0.0</v>
      </c>
      <c r="G2557" s="27"/>
    </row>
    <row r="2558" hidden="1">
      <c r="A2558" s="21"/>
      <c r="B2558" s="21" t="s">
        <v>3413</v>
      </c>
      <c r="D2558" s="25">
        <v>0.0</v>
      </c>
      <c r="E2558" s="27"/>
      <c r="F2558" s="25">
        <v>0.0</v>
      </c>
      <c r="G2558" s="27"/>
    </row>
    <row r="2559" hidden="1">
      <c r="A2559" s="21"/>
      <c r="B2559" s="21" t="s">
        <v>3414</v>
      </c>
      <c r="D2559" s="25">
        <v>0.0</v>
      </c>
      <c r="E2559" s="27"/>
      <c r="F2559" s="25">
        <v>0.0</v>
      </c>
      <c r="G2559" s="27"/>
    </row>
    <row r="2560" hidden="1">
      <c r="A2560" s="21"/>
      <c r="B2560" s="21" t="s">
        <v>3415</v>
      </c>
      <c r="D2560" s="25">
        <v>0.0</v>
      </c>
      <c r="E2560" s="27"/>
      <c r="F2560" s="25">
        <v>0.0</v>
      </c>
      <c r="G2560" s="27"/>
    </row>
    <row r="2561" hidden="1">
      <c r="A2561" s="21"/>
      <c r="B2561" s="21" t="s">
        <v>3416</v>
      </c>
      <c r="D2561" s="25">
        <v>0.0</v>
      </c>
      <c r="E2561" s="27"/>
      <c r="F2561" s="25">
        <v>0.0</v>
      </c>
      <c r="G2561" s="27"/>
    </row>
    <row r="2562" hidden="1">
      <c r="A2562" s="21"/>
      <c r="B2562" s="21" t="s">
        <v>3417</v>
      </c>
      <c r="D2562" s="25">
        <v>0.0</v>
      </c>
      <c r="E2562" s="27"/>
      <c r="F2562" s="25">
        <v>0.0</v>
      </c>
      <c r="G2562" s="27"/>
    </row>
    <row r="2563" hidden="1">
      <c r="A2563" s="21"/>
      <c r="B2563" s="21" t="s">
        <v>3418</v>
      </c>
      <c r="D2563" s="25">
        <v>0.0</v>
      </c>
      <c r="E2563" s="27"/>
      <c r="F2563" s="25">
        <v>5.37</v>
      </c>
      <c r="G2563" s="27"/>
    </row>
    <row r="2564" hidden="1">
      <c r="A2564" s="21"/>
      <c r="B2564" s="21" t="s">
        <v>3419</v>
      </c>
      <c r="D2564" s="25">
        <v>0.0</v>
      </c>
      <c r="E2564" s="27"/>
      <c r="F2564" s="25">
        <v>0.0</v>
      </c>
      <c r="G2564" s="27"/>
    </row>
    <row r="2565" hidden="1">
      <c r="A2565" s="21"/>
      <c r="B2565" s="21" t="s">
        <v>3420</v>
      </c>
      <c r="D2565" s="25">
        <v>0.0</v>
      </c>
      <c r="E2565" s="27"/>
      <c r="F2565" s="25">
        <v>0.0</v>
      </c>
      <c r="G2565" s="27"/>
    </row>
    <row r="2566" hidden="1">
      <c r="A2566" s="21"/>
      <c r="B2566" s="21" t="s">
        <v>3421</v>
      </c>
      <c r="D2566" s="25">
        <v>0.0</v>
      </c>
      <c r="E2566" s="27"/>
      <c r="F2566" s="25">
        <v>0.0</v>
      </c>
      <c r="G2566" s="27"/>
    </row>
    <row r="2567" hidden="1">
      <c r="A2567" s="21"/>
      <c r="B2567" s="21" t="s">
        <v>3422</v>
      </c>
      <c r="D2567" s="25">
        <v>0.0</v>
      </c>
      <c r="E2567" s="27"/>
      <c r="F2567" s="25">
        <v>3.57</v>
      </c>
      <c r="G2567" s="27"/>
    </row>
    <row r="2568" hidden="1">
      <c r="A2568" s="21"/>
      <c r="B2568" s="21" t="s">
        <v>3423</v>
      </c>
      <c r="D2568" s="25">
        <v>0.0</v>
      </c>
      <c r="E2568" s="27"/>
      <c r="F2568" s="25">
        <v>0.0</v>
      </c>
      <c r="G2568" s="27"/>
    </row>
    <row r="2569" hidden="1">
      <c r="A2569" s="21"/>
      <c r="B2569" s="21" t="s">
        <v>3424</v>
      </c>
      <c r="D2569" s="25">
        <v>0.0</v>
      </c>
      <c r="E2569" s="27"/>
      <c r="F2569" s="25">
        <v>0.0</v>
      </c>
      <c r="G2569" s="27"/>
    </row>
    <row r="2570" hidden="1">
      <c r="A2570" s="21"/>
      <c r="B2570" s="21" t="s">
        <v>3425</v>
      </c>
      <c r="D2570" s="25">
        <v>0.0</v>
      </c>
      <c r="E2570" s="27"/>
      <c r="F2570" s="25">
        <v>0.0</v>
      </c>
      <c r="G2570" s="27"/>
    </row>
    <row r="2571" hidden="1">
      <c r="A2571" s="21"/>
      <c r="B2571" s="21" t="s">
        <v>3426</v>
      </c>
      <c r="D2571" s="25">
        <v>0.0</v>
      </c>
      <c r="E2571" s="27"/>
      <c r="F2571" s="25">
        <v>0.0</v>
      </c>
      <c r="G2571" s="27"/>
    </row>
    <row r="2572" hidden="1">
      <c r="A2572" s="21"/>
      <c r="B2572" s="21" t="s">
        <v>3427</v>
      </c>
      <c r="D2572" s="25">
        <v>0.0</v>
      </c>
      <c r="E2572" s="27"/>
      <c r="F2572" s="25">
        <v>0.0</v>
      </c>
      <c r="G2572" s="27"/>
    </row>
    <row r="2573" hidden="1">
      <c r="A2573" s="21"/>
      <c r="B2573" s="21" t="s">
        <v>3428</v>
      </c>
      <c r="D2573" s="25">
        <v>0.0</v>
      </c>
      <c r="E2573" s="27"/>
      <c r="F2573" s="25">
        <v>0.0</v>
      </c>
      <c r="G2573" s="27"/>
    </row>
    <row r="2574" hidden="1">
      <c r="A2574" s="21"/>
      <c r="B2574" s="21" t="s">
        <v>3429</v>
      </c>
      <c r="D2574" s="25">
        <v>0.0</v>
      </c>
      <c r="E2574" s="27"/>
      <c r="F2574" s="25">
        <v>0.0</v>
      </c>
      <c r="G2574" s="27"/>
    </row>
    <row r="2575" hidden="1">
      <c r="A2575" s="21"/>
      <c r="B2575" s="21" t="s">
        <v>3430</v>
      </c>
      <c r="D2575" s="25">
        <v>0.0</v>
      </c>
      <c r="E2575" s="27"/>
      <c r="F2575" s="25">
        <v>0.0</v>
      </c>
      <c r="G2575" s="27"/>
    </row>
    <row r="2576" hidden="1">
      <c r="A2576" s="21"/>
      <c r="B2576" s="21" t="s">
        <v>3431</v>
      </c>
      <c r="D2576" s="25">
        <v>0.0</v>
      </c>
      <c r="E2576" s="27"/>
      <c r="F2576" s="25">
        <v>0.0</v>
      </c>
      <c r="G2576" s="27"/>
    </row>
    <row r="2577" hidden="1">
      <c r="A2577" s="21"/>
      <c r="B2577" s="21" t="s">
        <v>3432</v>
      </c>
      <c r="D2577" s="25">
        <v>0.0</v>
      </c>
      <c r="E2577" s="27"/>
      <c r="F2577" s="25">
        <v>0.0</v>
      </c>
      <c r="G2577" s="27"/>
    </row>
    <row r="2578" hidden="1">
      <c r="A2578" s="21"/>
      <c r="B2578" s="21" t="s">
        <v>3433</v>
      </c>
      <c r="D2578" s="25">
        <v>0.0</v>
      </c>
      <c r="E2578" s="27"/>
      <c r="F2578" s="25">
        <v>0.0</v>
      </c>
      <c r="G2578" s="27"/>
    </row>
    <row r="2579" hidden="1">
      <c r="A2579" s="21"/>
      <c r="B2579" s="21" t="s">
        <v>3434</v>
      </c>
      <c r="D2579" s="25">
        <v>0.0</v>
      </c>
      <c r="E2579" s="27"/>
      <c r="F2579" s="25">
        <v>0.0</v>
      </c>
      <c r="G2579" s="27"/>
    </row>
    <row r="2580" hidden="1">
      <c r="A2580" s="21"/>
      <c r="B2580" s="21" t="s">
        <v>3435</v>
      </c>
      <c r="D2580" s="25">
        <v>0.0</v>
      </c>
      <c r="E2580" s="27"/>
      <c r="F2580" s="25">
        <v>0.0</v>
      </c>
      <c r="G2580" s="27"/>
    </row>
    <row r="2581" hidden="1">
      <c r="A2581" s="21"/>
      <c r="B2581" s="21" t="s">
        <v>3436</v>
      </c>
      <c r="D2581" s="25">
        <v>0.0</v>
      </c>
      <c r="E2581" s="27"/>
      <c r="F2581" s="25">
        <v>0.0</v>
      </c>
      <c r="G2581" s="27"/>
    </row>
    <row r="2582" hidden="1">
      <c r="A2582" s="21"/>
      <c r="B2582" s="21" t="s">
        <v>3437</v>
      </c>
      <c r="D2582" s="25">
        <v>0.0</v>
      </c>
      <c r="E2582" s="27"/>
      <c r="F2582" s="25">
        <v>0.0</v>
      </c>
      <c r="G2582" s="27"/>
    </row>
    <row r="2583" hidden="1">
      <c r="A2583" s="21"/>
      <c r="B2583" s="21" t="s">
        <v>3438</v>
      </c>
      <c r="D2583" s="25">
        <v>0.0</v>
      </c>
      <c r="E2583" s="27"/>
      <c r="F2583" s="25">
        <v>0.0</v>
      </c>
      <c r="G2583" s="27"/>
    </row>
    <row r="2584" hidden="1">
      <c r="A2584" s="21"/>
      <c r="B2584" s="21" t="s">
        <v>3439</v>
      </c>
      <c r="D2584" s="25">
        <v>0.0</v>
      </c>
      <c r="E2584" s="27"/>
      <c r="F2584" s="25">
        <v>0.0</v>
      </c>
      <c r="G2584" s="27"/>
    </row>
    <row r="2585" hidden="1">
      <c r="A2585" s="21"/>
      <c r="B2585" s="21" t="s">
        <v>3440</v>
      </c>
      <c r="D2585" s="25">
        <v>0.0</v>
      </c>
      <c r="E2585" s="27"/>
      <c r="F2585" s="25">
        <v>0.0</v>
      </c>
      <c r="G2585" s="27"/>
    </row>
    <row r="2586" hidden="1">
      <c r="A2586" s="21"/>
      <c r="B2586" s="21" t="s">
        <v>3441</v>
      </c>
      <c r="D2586" s="25">
        <v>0.0</v>
      </c>
      <c r="E2586" s="27"/>
      <c r="F2586" s="25">
        <v>0.0</v>
      </c>
      <c r="G2586" s="27"/>
    </row>
    <row r="2587" hidden="1">
      <c r="A2587" s="21"/>
      <c r="B2587" s="21" t="s">
        <v>3442</v>
      </c>
      <c r="D2587" s="25">
        <v>0.0</v>
      </c>
      <c r="E2587" s="27"/>
      <c r="F2587" s="25">
        <v>0.0</v>
      </c>
      <c r="G2587" s="27"/>
    </row>
    <row r="2588" hidden="1">
      <c r="A2588" s="21"/>
      <c r="B2588" s="21" t="s">
        <v>3443</v>
      </c>
      <c r="D2588" s="25">
        <v>0.0</v>
      </c>
      <c r="E2588" s="27"/>
      <c r="F2588" s="25">
        <v>0.0</v>
      </c>
      <c r="G2588" s="27"/>
    </row>
    <row r="2589" hidden="1">
      <c r="A2589" s="21"/>
      <c r="B2589" s="21" t="s">
        <v>3444</v>
      </c>
      <c r="D2589" s="25">
        <v>0.0</v>
      </c>
      <c r="E2589" s="27"/>
      <c r="F2589" s="25">
        <v>0.0</v>
      </c>
      <c r="G2589" s="27"/>
    </row>
    <row r="2590" hidden="1">
      <c r="A2590" s="21"/>
      <c r="B2590" s="21" t="s">
        <v>3445</v>
      </c>
      <c r="D2590" s="25">
        <v>0.0</v>
      </c>
      <c r="E2590" s="27"/>
      <c r="F2590" s="25">
        <v>0.0</v>
      </c>
      <c r="G2590" s="27"/>
    </row>
    <row r="2591" hidden="1">
      <c r="A2591" s="21"/>
      <c r="B2591" s="21" t="s">
        <v>3446</v>
      </c>
      <c r="D2591" s="25">
        <v>0.0</v>
      </c>
      <c r="E2591" s="27"/>
      <c r="F2591" s="25">
        <v>0.0</v>
      </c>
      <c r="G2591" s="27"/>
    </row>
    <row r="2592" hidden="1">
      <c r="A2592" s="21"/>
      <c r="B2592" s="21" t="s">
        <v>3447</v>
      </c>
      <c r="D2592" s="25">
        <v>0.0</v>
      </c>
      <c r="E2592" s="27"/>
      <c r="F2592" s="25">
        <v>0.0</v>
      </c>
      <c r="G2592" s="27"/>
    </row>
    <row r="2593" hidden="1">
      <c r="A2593" s="21"/>
      <c r="B2593" s="21" t="s">
        <v>3448</v>
      </c>
      <c r="D2593" s="25">
        <v>0.0</v>
      </c>
      <c r="E2593" s="27"/>
      <c r="F2593" s="25">
        <v>0.0</v>
      </c>
      <c r="G2593" s="27"/>
    </row>
    <row r="2594" hidden="1">
      <c r="A2594" s="21"/>
      <c r="B2594" s="21" t="s">
        <v>3449</v>
      </c>
      <c r="D2594" s="25">
        <v>0.0</v>
      </c>
      <c r="E2594" s="27"/>
      <c r="F2594" s="25">
        <v>0.0</v>
      </c>
      <c r="G2594" s="27"/>
    </row>
    <row r="2595" hidden="1">
      <c r="A2595" s="21"/>
      <c r="B2595" s="21" t="s">
        <v>3450</v>
      </c>
      <c r="D2595" s="25">
        <v>0.0</v>
      </c>
      <c r="E2595" s="27"/>
      <c r="F2595" s="25">
        <v>0.0</v>
      </c>
      <c r="G2595" s="27"/>
    </row>
    <row r="2596" hidden="1">
      <c r="A2596" s="21"/>
      <c r="B2596" s="21" t="s">
        <v>3451</v>
      </c>
      <c r="D2596" s="25">
        <v>0.0</v>
      </c>
      <c r="E2596" s="27"/>
      <c r="F2596" s="25">
        <v>0.0</v>
      </c>
      <c r="G2596" s="27"/>
    </row>
    <row r="2597" hidden="1">
      <c r="A2597" s="21"/>
      <c r="B2597" s="21" t="s">
        <v>3452</v>
      </c>
      <c r="D2597" s="25">
        <v>0.0</v>
      </c>
      <c r="E2597" s="27"/>
      <c r="F2597" s="25">
        <v>0.0</v>
      </c>
      <c r="G2597" s="27"/>
    </row>
    <row r="2598" hidden="1">
      <c r="A2598" s="21"/>
      <c r="B2598" s="21" t="s">
        <v>3453</v>
      </c>
      <c r="D2598" s="25">
        <v>0.0</v>
      </c>
      <c r="E2598" s="27"/>
      <c r="F2598" s="25">
        <v>0.0</v>
      </c>
      <c r="G2598" s="27"/>
    </row>
    <row r="2599" hidden="1">
      <c r="A2599" s="21"/>
      <c r="B2599" s="21" t="s">
        <v>3454</v>
      </c>
      <c r="D2599" s="25">
        <v>0.0</v>
      </c>
      <c r="E2599" s="27"/>
      <c r="F2599" s="25">
        <v>0.0</v>
      </c>
      <c r="G2599" s="27"/>
    </row>
    <row r="2600" hidden="1">
      <c r="A2600" s="21"/>
      <c r="B2600" s="21" t="s">
        <v>3455</v>
      </c>
      <c r="D2600" s="25">
        <v>0.0</v>
      </c>
      <c r="E2600" s="27"/>
      <c r="F2600" s="25">
        <v>0.0</v>
      </c>
      <c r="G2600" s="27"/>
    </row>
    <row r="2601" hidden="1">
      <c r="A2601" s="21"/>
      <c r="B2601" s="21" t="s">
        <v>3456</v>
      </c>
      <c r="D2601" s="25">
        <v>0.0</v>
      </c>
      <c r="E2601" s="27"/>
      <c r="F2601" s="25">
        <v>0.0</v>
      </c>
      <c r="G2601" s="27"/>
    </row>
    <row r="2602" hidden="1">
      <c r="A2602" s="21"/>
      <c r="B2602" s="21" t="s">
        <v>3457</v>
      </c>
      <c r="D2602" s="25">
        <v>0.0</v>
      </c>
      <c r="E2602" s="27"/>
      <c r="F2602" s="25">
        <v>0.0</v>
      </c>
      <c r="G2602" s="27"/>
    </row>
    <row r="2603" hidden="1">
      <c r="A2603" s="21"/>
      <c r="B2603" s="21" t="s">
        <v>3458</v>
      </c>
      <c r="D2603" s="25">
        <v>0.0</v>
      </c>
      <c r="E2603" s="27"/>
      <c r="F2603" s="25">
        <v>0.0</v>
      </c>
      <c r="G2603" s="27"/>
    </row>
    <row r="2604" hidden="1">
      <c r="A2604" s="21"/>
      <c r="B2604" s="21" t="s">
        <v>3459</v>
      </c>
      <c r="D2604" s="25">
        <v>0.0</v>
      </c>
      <c r="E2604" s="27"/>
      <c r="F2604" s="25">
        <v>0.0</v>
      </c>
      <c r="G2604" s="27"/>
    </row>
    <row r="2605" hidden="1">
      <c r="A2605" s="21"/>
      <c r="B2605" s="21" t="s">
        <v>3460</v>
      </c>
      <c r="D2605" s="25">
        <v>0.0</v>
      </c>
      <c r="E2605" s="27"/>
      <c r="F2605" s="25">
        <v>0.0</v>
      </c>
      <c r="G2605" s="27"/>
    </row>
    <row r="2606" hidden="1">
      <c r="A2606" s="21"/>
      <c r="B2606" s="21" t="s">
        <v>3461</v>
      </c>
      <c r="D2606" s="25">
        <v>0.0</v>
      </c>
      <c r="E2606" s="27"/>
      <c r="F2606" s="25">
        <v>0.0</v>
      </c>
      <c r="G2606" s="27"/>
    </row>
    <row r="2607" hidden="1">
      <c r="A2607" s="21"/>
      <c r="B2607" s="21" t="s">
        <v>3462</v>
      </c>
      <c r="D2607" s="25">
        <v>0.0</v>
      </c>
      <c r="E2607" s="27"/>
      <c r="F2607" s="25">
        <v>0.0</v>
      </c>
      <c r="G2607" s="27"/>
    </row>
    <row r="2608" hidden="1">
      <c r="A2608" s="21"/>
      <c r="B2608" s="21" t="s">
        <v>3463</v>
      </c>
      <c r="D2608" s="25">
        <v>0.0</v>
      </c>
      <c r="E2608" s="27"/>
      <c r="F2608" s="25">
        <v>0.0</v>
      </c>
      <c r="G2608" s="27"/>
    </row>
    <row r="2609" hidden="1">
      <c r="A2609" s="21"/>
      <c r="B2609" s="21" t="s">
        <v>3464</v>
      </c>
      <c r="D2609" s="25">
        <v>0.0</v>
      </c>
      <c r="E2609" s="27"/>
      <c r="F2609" s="25">
        <v>0.0</v>
      </c>
      <c r="G2609" s="27"/>
    </row>
    <row r="2610" hidden="1">
      <c r="A2610" s="21"/>
      <c r="B2610" s="21" t="s">
        <v>3465</v>
      </c>
      <c r="D2610" s="25">
        <v>0.0</v>
      </c>
      <c r="E2610" s="27"/>
      <c r="F2610" s="25">
        <v>0.0</v>
      </c>
      <c r="G2610" s="27"/>
    </row>
    <row r="2611" hidden="1">
      <c r="A2611" s="21"/>
      <c r="B2611" s="21" t="s">
        <v>3466</v>
      </c>
      <c r="D2611" s="25">
        <v>0.0</v>
      </c>
      <c r="E2611" s="27"/>
      <c r="F2611" s="25">
        <v>0.0</v>
      </c>
      <c r="G2611" s="27"/>
    </row>
    <row r="2612" hidden="1">
      <c r="A2612" s="21"/>
      <c r="B2612" s="21" t="s">
        <v>3467</v>
      </c>
      <c r="D2612" s="25">
        <v>0.0</v>
      </c>
      <c r="E2612" s="27"/>
      <c r="F2612" s="25">
        <v>0.0</v>
      </c>
      <c r="G2612" s="27"/>
    </row>
    <row r="2613" hidden="1">
      <c r="A2613" s="21"/>
      <c r="B2613" s="21" t="s">
        <v>3468</v>
      </c>
      <c r="D2613" s="25">
        <v>0.0</v>
      </c>
      <c r="E2613" s="27"/>
      <c r="F2613" s="25">
        <v>0.0</v>
      </c>
      <c r="G2613" s="27"/>
    </row>
    <row r="2614" hidden="1">
      <c r="A2614" s="21"/>
      <c r="B2614" s="21" t="s">
        <v>3469</v>
      </c>
      <c r="D2614" s="25">
        <v>0.0</v>
      </c>
      <c r="E2614" s="27"/>
      <c r="F2614" s="25">
        <v>0.0</v>
      </c>
      <c r="G2614" s="27"/>
    </row>
    <row r="2615" hidden="1">
      <c r="A2615" s="21"/>
      <c r="B2615" s="21" t="s">
        <v>3470</v>
      </c>
      <c r="D2615" s="25">
        <v>0.0</v>
      </c>
      <c r="E2615" s="27"/>
      <c r="F2615" s="25">
        <v>0.0</v>
      </c>
      <c r="G2615" s="27"/>
    </row>
    <row r="2616" hidden="1">
      <c r="A2616" s="21"/>
      <c r="B2616" s="21" t="s">
        <v>3471</v>
      </c>
      <c r="D2616" s="25">
        <v>0.0</v>
      </c>
      <c r="E2616" s="27"/>
      <c r="F2616" s="25">
        <v>0.0</v>
      </c>
      <c r="G2616" s="27"/>
    </row>
    <row r="2617" hidden="1">
      <c r="A2617" s="21"/>
      <c r="B2617" s="21" t="s">
        <v>3472</v>
      </c>
      <c r="D2617" s="25">
        <v>0.0</v>
      </c>
      <c r="E2617" s="27"/>
      <c r="F2617" s="25">
        <v>0.0</v>
      </c>
      <c r="G2617" s="27"/>
    </row>
    <row r="2618" hidden="1">
      <c r="A2618" s="21"/>
      <c r="B2618" s="21" t="s">
        <v>3473</v>
      </c>
      <c r="D2618" s="25">
        <v>0.0</v>
      </c>
      <c r="E2618" s="27"/>
      <c r="F2618" s="25">
        <v>0.0</v>
      </c>
      <c r="G2618" s="27"/>
    </row>
    <row r="2619" hidden="1">
      <c r="A2619" s="21"/>
      <c r="B2619" s="21" t="s">
        <v>3474</v>
      </c>
      <c r="D2619" s="25">
        <v>0.0</v>
      </c>
      <c r="E2619" s="27"/>
      <c r="F2619" s="25">
        <v>0.0</v>
      </c>
      <c r="G2619" s="27"/>
    </row>
    <row r="2620" hidden="1">
      <c r="A2620" s="21"/>
      <c r="B2620" s="21" t="s">
        <v>3475</v>
      </c>
      <c r="D2620" s="25">
        <v>0.0</v>
      </c>
      <c r="E2620" s="27"/>
      <c r="F2620" s="25">
        <v>0.0</v>
      </c>
      <c r="G2620" s="27"/>
    </row>
    <row r="2621" hidden="1">
      <c r="A2621" s="21"/>
      <c r="B2621" s="21" t="s">
        <v>3476</v>
      </c>
      <c r="D2621" s="25">
        <v>0.0</v>
      </c>
      <c r="E2621" s="27"/>
      <c r="F2621" s="25">
        <v>0.0</v>
      </c>
      <c r="G2621" s="27"/>
    </row>
    <row r="2622" hidden="1">
      <c r="A2622" s="21"/>
      <c r="B2622" s="21" t="s">
        <v>3477</v>
      </c>
      <c r="D2622" s="25">
        <v>0.0</v>
      </c>
      <c r="E2622" s="27"/>
      <c r="F2622" s="25">
        <v>0.0</v>
      </c>
      <c r="G2622" s="27"/>
    </row>
    <row r="2623" hidden="1">
      <c r="A2623" s="21"/>
      <c r="B2623" s="21" t="s">
        <v>3478</v>
      </c>
      <c r="D2623" s="25">
        <v>0.0</v>
      </c>
      <c r="E2623" s="27"/>
      <c r="F2623" s="25">
        <v>0.0</v>
      </c>
      <c r="G2623" s="27"/>
    </row>
    <row r="2624" hidden="1">
      <c r="A2624" s="21"/>
      <c r="B2624" s="21" t="s">
        <v>3479</v>
      </c>
      <c r="D2624" s="25">
        <v>0.0</v>
      </c>
      <c r="E2624" s="27"/>
      <c r="F2624" s="25">
        <v>0.0</v>
      </c>
      <c r="G2624" s="27"/>
    </row>
    <row r="2625" hidden="1">
      <c r="A2625" s="21"/>
      <c r="B2625" s="21" t="s">
        <v>3480</v>
      </c>
      <c r="D2625" s="25">
        <v>0.0</v>
      </c>
      <c r="E2625" s="27"/>
      <c r="F2625" s="25">
        <v>0.0</v>
      </c>
      <c r="G2625" s="27"/>
    </row>
    <row r="2626" hidden="1">
      <c r="A2626" s="21"/>
      <c r="B2626" s="21" t="s">
        <v>3481</v>
      </c>
      <c r="D2626" s="25">
        <v>0.0</v>
      </c>
      <c r="E2626" s="27"/>
      <c r="F2626" s="25">
        <v>0.0</v>
      </c>
      <c r="G2626" s="27"/>
    </row>
    <row r="2627" hidden="1">
      <c r="A2627" s="21"/>
      <c r="B2627" s="21" t="s">
        <v>3482</v>
      </c>
      <c r="D2627" s="25">
        <v>0.0</v>
      </c>
      <c r="E2627" s="27"/>
      <c r="F2627" s="25">
        <v>0.0</v>
      </c>
      <c r="G2627" s="27"/>
    </row>
    <row r="2628" hidden="1">
      <c r="A2628" s="21"/>
      <c r="B2628" s="21" t="s">
        <v>3483</v>
      </c>
      <c r="D2628" s="25">
        <v>0.0</v>
      </c>
      <c r="E2628" s="27"/>
      <c r="F2628" s="25">
        <v>0.0</v>
      </c>
      <c r="G2628" s="27"/>
    </row>
    <row r="2629" hidden="1">
      <c r="A2629" s="21"/>
      <c r="B2629" s="21" t="s">
        <v>3484</v>
      </c>
      <c r="D2629" s="25">
        <v>0.0</v>
      </c>
      <c r="E2629" s="27"/>
      <c r="F2629" s="25">
        <v>4.51</v>
      </c>
      <c r="G2629" s="27"/>
    </row>
    <row r="2630" hidden="1">
      <c r="A2630" s="21"/>
      <c r="B2630" s="21" t="s">
        <v>3485</v>
      </c>
      <c r="D2630" s="25">
        <v>0.0</v>
      </c>
      <c r="E2630" s="27"/>
      <c r="F2630" s="25">
        <v>0.0</v>
      </c>
      <c r="G2630" s="27"/>
    </row>
    <row r="2631" hidden="1">
      <c r="A2631" s="21"/>
      <c r="B2631" s="21" t="s">
        <v>3486</v>
      </c>
      <c r="D2631" s="25">
        <v>0.0</v>
      </c>
      <c r="E2631" s="27"/>
      <c r="F2631" s="25">
        <v>0.0</v>
      </c>
      <c r="G2631" s="27"/>
    </row>
    <row r="2632" hidden="1">
      <c r="A2632" s="21"/>
      <c r="B2632" s="21" t="s">
        <v>3487</v>
      </c>
      <c r="D2632" s="25">
        <v>0.0</v>
      </c>
      <c r="E2632" s="27"/>
      <c r="F2632" s="25">
        <v>0.0</v>
      </c>
      <c r="G2632" s="27"/>
    </row>
    <row r="2633" hidden="1">
      <c r="A2633" s="21"/>
      <c r="B2633" s="21" t="s">
        <v>3488</v>
      </c>
      <c r="D2633" s="25">
        <v>0.0</v>
      </c>
      <c r="E2633" s="27"/>
      <c r="F2633" s="25">
        <v>0.0</v>
      </c>
      <c r="G2633" s="27"/>
    </row>
    <row r="2634" hidden="1">
      <c r="A2634" s="21"/>
      <c r="B2634" s="21" t="s">
        <v>3489</v>
      </c>
      <c r="D2634" s="25">
        <v>0.0</v>
      </c>
      <c r="E2634" s="27"/>
      <c r="F2634" s="25">
        <v>0.0</v>
      </c>
      <c r="G2634" s="27"/>
    </row>
    <row r="2635" hidden="1">
      <c r="A2635" s="21"/>
      <c r="B2635" s="21" t="s">
        <v>3490</v>
      </c>
      <c r="D2635" s="25">
        <v>0.0</v>
      </c>
      <c r="E2635" s="27"/>
      <c r="F2635" s="25">
        <v>0.0</v>
      </c>
      <c r="G2635" s="27"/>
    </row>
    <row r="2636" hidden="1">
      <c r="A2636" s="21"/>
      <c r="B2636" s="21" t="s">
        <v>3491</v>
      </c>
      <c r="D2636" s="25">
        <v>0.0</v>
      </c>
      <c r="E2636" s="27"/>
      <c r="F2636" s="25">
        <v>0.0</v>
      </c>
      <c r="G2636" s="27"/>
    </row>
    <row r="2637" hidden="1">
      <c r="A2637" s="21"/>
      <c r="B2637" s="21" t="s">
        <v>3492</v>
      </c>
      <c r="D2637" s="25">
        <v>0.0</v>
      </c>
      <c r="E2637" s="27"/>
      <c r="F2637" s="25">
        <v>0.0</v>
      </c>
      <c r="G2637" s="27"/>
    </row>
    <row r="2638" hidden="1">
      <c r="A2638" s="21"/>
      <c r="B2638" s="21" t="s">
        <v>3493</v>
      </c>
      <c r="D2638" s="25">
        <v>0.0</v>
      </c>
      <c r="E2638" s="27"/>
      <c r="F2638" s="25">
        <v>0.0</v>
      </c>
      <c r="G2638" s="27"/>
    </row>
    <row r="2639" hidden="1">
      <c r="A2639" s="21"/>
      <c r="B2639" s="21" t="s">
        <v>3494</v>
      </c>
      <c r="D2639" s="25">
        <v>0.0</v>
      </c>
      <c r="E2639" s="27"/>
      <c r="F2639" s="25">
        <v>7.89</v>
      </c>
      <c r="G2639" s="27"/>
    </row>
    <row r="2640" hidden="1">
      <c r="A2640" s="21"/>
      <c r="B2640" s="21" t="s">
        <v>3495</v>
      </c>
      <c r="D2640" s="25">
        <v>0.0</v>
      </c>
      <c r="E2640" s="27"/>
      <c r="F2640" s="25">
        <v>0.0</v>
      </c>
      <c r="G2640" s="27"/>
    </row>
    <row r="2641" hidden="1">
      <c r="A2641" s="21"/>
      <c r="B2641" s="21" t="s">
        <v>3496</v>
      </c>
      <c r="D2641" s="25">
        <v>0.0</v>
      </c>
      <c r="E2641" s="27"/>
      <c r="F2641" s="25">
        <v>0.0</v>
      </c>
      <c r="G2641" s="27"/>
    </row>
    <row r="2642" hidden="1">
      <c r="A2642" s="21"/>
      <c r="B2642" s="21" t="s">
        <v>3497</v>
      </c>
      <c r="D2642" s="25">
        <v>0.0</v>
      </c>
      <c r="E2642" s="27"/>
      <c r="F2642" s="25">
        <v>0.0</v>
      </c>
      <c r="G2642" s="27"/>
    </row>
    <row r="2643" hidden="1">
      <c r="A2643" s="21"/>
      <c r="B2643" s="21" t="s">
        <v>3498</v>
      </c>
      <c r="D2643" s="25">
        <v>0.0</v>
      </c>
      <c r="E2643" s="27"/>
      <c r="F2643" s="25">
        <v>0.0</v>
      </c>
      <c r="G2643" s="27"/>
    </row>
    <row r="2644" hidden="1">
      <c r="A2644" s="21"/>
      <c r="B2644" s="21" t="s">
        <v>3499</v>
      </c>
      <c r="D2644" s="25">
        <v>0.0</v>
      </c>
      <c r="E2644" s="27"/>
      <c r="F2644" s="25">
        <v>0.0</v>
      </c>
      <c r="G2644" s="27"/>
    </row>
    <row r="2645" hidden="1">
      <c r="A2645" s="21"/>
      <c r="B2645" s="21" t="s">
        <v>3500</v>
      </c>
      <c r="D2645" s="25">
        <v>0.0</v>
      </c>
      <c r="E2645" s="27"/>
      <c r="F2645" s="25">
        <v>0.0</v>
      </c>
      <c r="G2645" s="27"/>
    </row>
    <row r="2646" hidden="1">
      <c r="A2646" s="21"/>
      <c r="B2646" s="21" t="s">
        <v>3501</v>
      </c>
      <c r="D2646" s="25">
        <v>0.0</v>
      </c>
      <c r="E2646" s="27"/>
      <c r="F2646" s="25">
        <v>0.0</v>
      </c>
      <c r="G2646" s="27"/>
    </row>
    <row r="2647" hidden="1">
      <c r="A2647" s="21"/>
      <c r="B2647" s="21" t="s">
        <v>3502</v>
      </c>
      <c r="D2647" s="25">
        <v>0.0</v>
      </c>
      <c r="E2647" s="27"/>
      <c r="F2647" s="25">
        <v>0.0</v>
      </c>
      <c r="G2647" s="27"/>
    </row>
    <row r="2648" hidden="1">
      <c r="A2648" s="21"/>
      <c r="B2648" s="21" t="s">
        <v>3503</v>
      </c>
      <c r="D2648" s="25">
        <v>0.0</v>
      </c>
      <c r="E2648" s="27"/>
      <c r="F2648" s="25">
        <v>0.0</v>
      </c>
      <c r="G2648" s="27"/>
    </row>
    <row r="2649" hidden="1">
      <c r="A2649" s="21"/>
      <c r="B2649" s="21" t="s">
        <v>3504</v>
      </c>
      <c r="D2649" s="25">
        <v>0.0</v>
      </c>
      <c r="E2649" s="27"/>
      <c r="F2649" s="25">
        <v>0.0</v>
      </c>
      <c r="G2649" s="27"/>
    </row>
    <row r="2650" hidden="1">
      <c r="A2650" s="21"/>
      <c r="B2650" s="21" t="s">
        <v>3505</v>
      </c>
      <c r="D2650" s="25">
        <v>0.0</v>
      </c>
      <c r="E2650" s="27"/>
      <c r="F2650" s="25">
        <v>0.0</v>
      </c>
      <c r="G2650" s="27"/>
    </row>
    <row r="2651" hidden="1">
      <c r="A2651" s="21"/>
      <c r="B2651" s="21" t="s">
        <v>3506</v>
      </c>
      <c r="D2651" s="25">
        <v>0.0</v>
      </c>
      <c r="E2651" s="27"/>
      <c r="F2651" s="25">
        <v>0.0</v>
      </c>
      <c r="G2651" s="27"/>
    </row>
    <row r="2652" hidden="1">
      <c r="A2652" s="21"/>
      <c r="B2652" s="21" t="s">
        <v>3507</v>
      </c>
      <c r="D2652" s="25">
        <v>0.0</v>
      </c>
      <c r="E2652" s="27"/>
      <c r="F2652" s="25">
        <v>0.0</v>
      </c>
      <c r="G2652" s="27"/>
    </row>
    <row r="2653" hidden="1">
      <c r="A2653" s="21"/>
      <c r="B2653" s="21" t="s">
        <v>3508</v>
      </c>
      <c r="D2653" s="25">
        <v>0.0</v>
      </c>
      <c r="E2653" s="27"/>
      <c r="F2653" s="25">
        <v>0.0</v>
      </c>
      <c r="G2653" s="27"/>
    </row>
    <row r="2654" hidden="1">
      <c r="A2654" s="21"/>
      <c r="B2654" s="21" t="s">
        <v>3509</v>
      </c>
      <c r="D2654" s="25">
        <v>0.0</v>
      </c>
      <c r="E2654" s="27"/>
      <c r="F2654" s="25">
        <v>0.0</v>
      </c>
      <c r="G2654" s="27"/>
    </row>
    <row r="2655" hidden="1">
      <c r="A2655" s="21"/>
      <c r="B2655" s="21" t="s">
        <v>3510</v>
      </c>
      <c r="D2655" s="25">
        <v>0.0</v>
      </c>
      <c r="E2655" s="27"/>
      <c r="F2655" s="25">
        <v>0.0</v>
      </c>
      <c r="G2655" s="27"/>
    </row>
    <row r="2656" hidden="1">
      <c r="A2656" s="21"/>
      <c r="B2656" s="21" t="s">
        <v>3511</v>
      </c>
      <c r="D2656" s="25">
        <v>0.0</v>
      </c>
      <c r="E2656" s="27"/>
      <c r="F2656" s="25">
        <v>0.0</v>
      </c>
      <c r="G2656" s="27"/>
    </row>
    <row r="2657" hidden="1">
      <c r="A2657" s="21"/>
      <c r="B2657" s="21" t="s">
        <v>3512</v>
      </c>
      <c r="D2657" s="25">
        <v>0.0</v>
      </c>
      <c r="E2657" s="27"/>
      <c r="F2657" s="25">
        <v>0.0</v>
      </c>
      <c r="G2657" s="27"/>
    </row>
    <row r="2658" hidden="1">
      <c r="A2658" s="21"/>
      <c r="B2658" s="21" t="s">
        <v>3513</v>
      </c>
      <c r="D2658" s="25">
        <v>0.0</v>
      </c>
      <c r="E2658" s="27"/>
      <c r="F2658" s="25">
        <v>0.0</v>
      </c>
      <c r="G2658" s="27"/>
    </row>
    <row r="2659" hidden="1">
      <c r="A2659" s="21"/>
      <c r="B2659" s="21" t="s">
        <v>3514</v>
      </c>
      <c r="D2659" s="25">
        <v>0.0</v>
      </c>
      <c r="E2659" s="27"/>
      <c r="F2659" s="25">
        <v>0.0</v>
      </c>
      <c r="G2659" s="27"/>
    </row>
    <row r="2660" hidden="1">
      <c r="A2660" s="21"/>
      <c r="B2660" s="21" t="s">
        <v>3515</v>
      </c>
      <c r="D2660" s="25">
        <v>0.0</v>
      </c>
      <c r="E2660" s="27"/>
      <c r="F2660" s="25">
        <v>0.0</v>
      </c>
      <c r="G2660" s="27"/>
    </row>
    <row r="2661" hidden="1">
      <c r="A2661" s="21"/>
      <c r="B2661" s="21" t="s">
        <v>3516</v>
      </c>
      <c r="D2661" s="25">
        <v>0.0</v>
      </c>
      <c r="E2661" s="27"/>
      <c r="F2661" s="25">
        <v>0.0</v>
      </c>
      <c r="G2661" s="27"/>
    </row>
    <row r="2662" hidden="1">
      <c r="A2662" s="21"/>
      <c r="B2662" s="21" t="s">
        <v>3517</v>
      </c>
      <c r="D2662" s="25">
        <v>0.0</v>
      </c>
      <c r="E2662" s="27"/>
      <c r="F2662" s="25">
        <v>0.0</v>
      </c>
      <c r="G2662" s="27"/>
    </row>
    <row r="2663" hidden="1">
      <c r="A2663" s="21"/>
      <c r="B2663" s="21" t="s">
        <v>3518</v>
      </c>
      <c r="D2663" s="25">
        <v>0.0</v>
      </c>
      <c r="E2663" s="27"/>
      <c r="F2663" s="25">
        <v>0.0</v>
      </c>
      <c r="G2663" s="27"/>
    </row>
    <row r="2664" hidden="1">
      <c r="A2664" s="21"/>
      <c r="B2664" s="21" t="s">
        <v>3519</v>
      </c>
      <c r="D2664" s="25">
        <v>0.0</v>
      </c>
      <c r="E2664" s="27"/>
      <c r="F2664" s="25">
        <v>0.0</v>
      </c>
      <c r="G2664" s="27"/>
    </row>
    <row r="2665" hidden="1">
      <c r="A2665" s="21"/>
      <c r="B2665" s="21" t="s">
        <v>3520</v>
      </c>
      <c r="D2665" s="25">
        <v>0.0</v>
      </c>
      <c r="E2665" s="27"/>
      <c r="F2665" s="25">
        <v>0.0</v>
      </c>
      <c r="G2665" s="27"/>
    </row>
    <row r="2666" hidden="1">
      <c r="A2666" s="21"/>
      <c r="B2666" s="21" t="s">
        <v>3521</v>
      </c>
      <c r="D2666" s="25">
        <v>0.0</v>
      </c>
      <c r="E2666" s="27"/>
      <c r="F2666" s="25">
        <v>0.0</v>
      </c>
      <c r="G2666" s="27"/>
    </row>
    <row r="2667" hidden="1">
      <c r="A2667" s="21"/>
      <c r="B2667" s="21" t="s">
        <v>3522</v>
      </c>
      <c r="D2667" s="25">
        <v>0.0</v>
      </c>
      <c r="E2667" s="27"/>
      <c r="F2667" s="25">
        <v>0.0</v>
      </c>
      <c r="G2667" s="27"/>
    </row>
    <row r="2668" hidden="1">
      <c r="A2668" s="21"/>
      <c r="B2668" s="21" t="s">
        <v>3523</v>
      </c>
      <c r="D2668" s="25">
        <v>0.0</v>
      </c>
      <c r="E2668" s="27"/>
      <c r="F2668" s="25">
        <v>0.0</v>
      </c>
      <c r="G2668" s="27"/>
    </row>
    <row r="2669" hidden="1">
      <c r="A2669" s="21"/>
      <c r="B2669" s="21" t="s">
        <v>3524</v>
      </c>
      <c r="D2669" s="25">
        <v>0.0</v>
      </c>
      <c r="E2669" s="27"/>
      <c r="F2669" s="25">
        <v>0.0</v>
      </c>
      <c r="G2669" s="27"/>
    </row>
    <row r="2670" hidden="1">
      <c r="A2670" s="21"/>
      <c r="B2670" s="21" t="s">
        <v>3525</v>
      </c>
      <c r="D2670" s="25">
        <v>0.0</v>
      </c>
      <c r="E2670" s="27"/>
      <c r="F2670" s="25">
        <v>0.0</v>
      </c>
      <c r="G2670" s="27"/>
    </row>
    <row r="2671" hidden="1">
      <c r="A2671" s="21"/>
      <c r="B2671" s="21" t="s">
        <v>3526</v>
      </c>
      <c r="D2671" s="25">
        <v>0.0</v>
      </c>
      <c r="E2671" s="27"/>
      <c r="F2671" s="25">
        <v>0.0</v>
      </c>
      <c r="G2671" s="27"/>
    </row>
    <row r="2672" hidden="1">
      <c r="A2672" s="21"/>
      <c r="B2672" s="21" t="s">
        <v>3527</v>
      </c>
      <c r="D2672" s="25">
        <v>0.0</v>
      </c>
      <c r="E2672" s="27"/>
      <c r="F2672" s="25">
        <v>0.0</v>
      </c>
      <c r="G2672" s="27"/>
    </row>
    <row r="2673" hidden="1">
      <c r="A2673" s="21"/>
      <c r="B2673" s="21" t="s">
        <v>3528</v>
      </c>
      <c r="D2673" s="25">
        <v>0.0</v>
      </c>
      <c r="E2673" s="27"/>
      <c r="F2673" s="25">
        <v>0.0</v>
      </c>
      <c r="G2673" s="27"/>
    </row>
    <row r="2674" hidden="1">
      <c r="A2674" s="21"/>
      <c r="B2674" s="21" t="s">
        <v>3529</v>
      </c>
      <c r="D2674" s="25">
        <v>0.0</v>
      </c>
      <c r="E2674" s="27"/>
      <c r="F2674" s="25">
        <v>0.0</v>
      </c>
      <c r="G2674" s="27"/>
    </row>
    <row r="2675" hidden="1">
      <c r="A2675" s="21"/>
      <c r="B2675" s="21" t="s">
        <v>3530</v>
      </c>
      <c r="D2675" s="25">
        <v>0.0</v>
      </c>
      <c r="E2675" s="27"/>
      <c r="F2675" s="25">
        <v>0.0</v>
      </c>
      <c r="G2675" s="27"/>
    </row>
    <row r="2676" hidden="1">
      <c r="A2676" s="21"/>
      <c r="B2676" s="21" t="s">
        <v>3531</v>
      </c>
      <c r="D2676" s="25">
        <v>0.0</v>
      </c>
      <c r="E2676" s="27"/>
      <c r="F2676" s="25">
        <v>0.0</v>
      </c>
      <c r="G2676" s="27"/>
    </row>
    <row r="2677" hidden="1">
      <c r="A2677" s="21"/>
      <c r="B2677" s="21" t="s">
        <v>3532</v>
      </c>
      <c r="D2677" s="25">
        <v>0.0</v>
      </c>
      <c r="E2677" s="27"/>
      <c r="F2677" s="25">
        <v>0.0</v>
      </c>
      <c r="G2677" s="27"/>
    </row>
    <row r="2678" hidden="1">
      <c r="A2678" s="21"/>
      <c r="B2678" s="21" t="s">
        <v>3533</v>
      </c>
      <c r="D2678" s="25">
        <v>0.0</v>
      </c>
      <c r="E2678" s="27"/>
      <c r="F2678" s="25">
        <v>0.0</v>
      </c>
      <c r="G2678" s="27"/>
    </row>
    <row r="2679" hidden="1">
      <c r="A2679" s="21"/>
      <c r="B2679" s="21" t="s">
        <v>3534</v>
      </c>
      <c r="D2679" s="25">
        <v>0.0</v>
      </c>
      <c r="E2679" s="27"/>
      <c r="F2679" s="25">
        <v>0.0</v>
      </c>
      <c r="G2679" s="27"/>
    </row>
    <row r="2680" hidden="1">
      <c r="A2680" s="21"/>
      <c r="B2680" s="21" t="s">
        <v>3535</v>
      </c>
      <c r="D2680" s="25">
        <v>0.0</v>
      </c>
      <c r="E2680" s="27"/>
      <c r="F2680" s="25">
        <v>0.0</v>
      </c>
      <c r="G2680" s="27"/>
    </row>
    <row r="2681" hidden="1">
      <c r="A2681" s="21"/>
      <c r="B2681" s="21" t="s">
        <v>3536</v>
      </c>
      <c r="D2681" s="25">
        <v>0.0</v>
      </c>
      <c r="E2681" s="27"/>
      <c r="F2681" s="25">
        <v>0.0</v>
      </c>
      <c r="G2681" s="27"/>
    </row>
    <row r="2682" hidden="1">
      <c r="A2682" s="21"/>
      <c r="B2682" s="21" t="s">
        <v>3537</v>
      </c>
      <c r="D2682" s="25">
        <v>0.0</v>
      </c>
      <c r="E2682" s="27"/>
      <c r="F2682" s="25">
        <v>0.0</v>
      </c>
      <c r="G2682" s="27"/>
    </row>
    <row r="2683" hidden="1">
      <c r="A2683" s="21"/>
      <c r="B2683" s="21" t="s">
        <v>3538</v>
      </c>
      <c r="D2683" s="25">
        <v>0.0</v>
      </c>
      <c r="E2683" s="27"/>
      <c r="F2683" s="25">
        <v>0.0</v>
      </c>
      <c r="G2683" s="27"/>
    </row>
    <row r="2684" hidden="1">
      <c r="A2684" s="21"/>
      <c r="B2684" s="21" t="s">
        <v>3539</v>
      </c>
      <c r="D2684" s="25">
        <v>0.0</v>
      </c>
      <c r="E2684" s="27"/>
      <c r="F2684" s="25">
        <v>0.0</v>
      </c>
      <c r="G2684" s="27"/>
    </row>
    <row r="2685" hidden="1">
      <c r="A2685" s="21"/>
      <c r="B2685" s="21" t="s">
        <v>3540</v>
      </c>
      <c r="D2685" s="25">
        <v>0.0</v>
      </c>
      <c r="E2685" s="27"/>
      <c r="F2685" s="25">
        <v>0.0</v>
      </c>
      <c r="G2685" s="27"/>
    </row>
    <row r="2686" hidden="1">
      <c r="A2686" s="21"/>
      <c r="B2686" s="21" t="s">
        <v>3541</v>
      </c>
      <c r="D2686" s="25">
        <v>0.0</v>
      </c>
      <c r="E2686" s="27"/>
      <c r="F2686" s="25">
        <v>0.0</v>
      </c>
      <c r="G2686" s="27"/>
    </row>
    <row r="2687" hidden="1">
      <c r="A2687" s="21"/>
      <c r="B2687" s="21" t="s">
        <v>3542</v>
      </c>
      <c r="D2687" s="25">
        <v>0.0</v>
      </c>
      <c r="E2687" s="27"/>
      <c r="F2687" s="25">
        <v>0.0</v>
      </c>
      <c r="G2687" s="27"/>
    </row>
    <row r="2688" hidden="1">
      <c r="A2688" s="21"/>
      <c r="B2688" s="21" t="s">
        <v>3543</v>
      </c>
      <c r="D2688" s="25">
        <v>0.0</v>
      </c>
      <c r="E2688" s="27"/>
      <c r="F2688" s="25">
        <v>0.0</v>
      </c>
      <c r="G2688" s="27"/>
    </row>
    <row r="2689" hidden="1">
      <c r="A2689" s="21"/>
      <c r="B2689" s="21" t="s">
        <v>3544</v>
      </c>
      <c r="D2689" s="25">
        <v>0.0</v>
      </c>
      <c r="E2689" s="27"/>
      <c r="F2689" s="25">
        <v>0.0</v>
      </c>
      <c r="G2689" s="27"/>
    </row>
    <row r="2690" hidden="1">
      <c r="A2690" s="21"/>
      <c r="B2690" s="21" t="s">
        <v>3545</v>
      </c>
      <c r="D2690" s="25">
        <v>0.0</v>
      </c>
      <c r="E2690" s="27"/>
      <c r="F2690" s="25">
        <v>0.0</v>
      </c>
      <c r="G2690" s="27"/>
    </row>
    <row r="2691" hidden="1">
      <c r="A2691" s="21"/>
      <c r="B2691" s="21" t="s">
        <v>3546</v>
      </c>
      <c r="D2691" s="25">
        <v>0.0</v>
      </c>
      <c r="E2691" s="27"/>
      <c r="F2691" s="25">
        <v>0.0</v>
      </c>
      <c r="G2691" s="27"/>
    </row>
    <row r="2692" hidden="1">
      <c r="A2692" s="21"/>
      <c r="B2692" s="21" t="s">
        <v>3547</v>
      </c>
      <c r="D2692" s="25">
        <v>0.0</v>
      </c>
      <c r="E2692" s="27"/>
      <c r="F2692" s="25">
        <v>0.0</v>
      </c>
      <c r="G2692" s="27"/>
    </row>
    <row r="2693" hidden="1">
      <c r="A2693" s="21"/>
      <c r="B2693" s="21" t="s">
        <v>3548</v>
      </c>
      <c r="D2693" s="25">
        <v>0.0</v>
      </c>
      <c r="E2693" s="27"/>
      <c r="F2693" s="25">
        <v>8.79</v>
      </c>
      <c r="G2693" s="27"/>
    </row>
    <row r="2694" hidden="1">
      <c r="A2694" s="21"/>
      <c r="B2694" s="21" t="s">
        <v>3549</v>
      </c>
      <c r="D2694" s="25">
        <v>0.0</v>
      </c>
      <c r="E2694" s="27"/>
      <c r="F2694" s="25">
        <v>0.0</v>
      </c>
      <c r="G2694" s="27"/>
    </row>
    <row r="2695" hidden="1">
      <c r="A2695" s="21"/>
      <c r="B2695" s="21" t="s">
        <v>3550</v>
      </c>
      <c r="D2695" s="25">
        <v>0.0</v>
      </c>
      <c r="E2695" s="27"/>
      <c r="F2695" s="25">
        <v>0.0</v>
      </c>
      <c r="G2695" s="27"/>
    </row>
    <row r="2696" hidden="1">
      <c r="A2696" s="21"/>
      <c r="B2696" s="21" t="s">
        <v>3551</v>
      </c>
      <c r="D2696" s="25">
        <v>0.0</v>
      </c>
      <c r="E2696" s="27"/>
      <c r="F2696" s="25">
        <v>0.0</v>
      </c>
      <c r="G2696" s="27"/>
    </row>
    <row r="2697" hidden="1">
      <c r="A2697" s="21"/>
      <c r="B2697" s="21" t="s">
        <v>3552</v>
      </c>
      <c r="D2697" s="25">
        <v>0.0</v>
      </c>
      <c r="E2697" s="27"/>
      <c r="F2697" s="25">
        <v>0.0</v>
      </c>
      <c r="G2697" s="27"/>
    </row>
    <row r="2698" hidden="1">
      <c r="A2698" s="21"/>
      <c r="B2698" s="21" t="s">
        <v>3553</v>
      </c>
      <c r="D2698" s="25">
        <v>0.0</v>
      </c>
      <c r="E2698" s="27"/>
      <c r="F2698" s="25">
        <v>0.0</v>
      </c>
      <c r="G2698" s="27"/>
    </row>
    <row r="2699" hidden="1">
      <c r="A2699" s="21"/>
      <c r="B2699" s="21" t="s">
        <v>3554</v>
      </c>
      <c r="D2699" s="25">
        <v>0.0</v>
      </c>
      <c r="E2699" s="27"/>
      <c r="F2699" s="25">
        <v>0.0</v>
      </c>
      <c r="G2699" s="27"/>
    </row>
    <row r="2700" hidden="1">
      <c r="A2700" s="21"/>
      <c r="B2700" s="21" t="s">
        <v>3555</v>
      </c>
      <c r="D2700" s="25">
        <v>0.0</v>
      </c>
      <c r="E2700" s="27"/>
      <c r="F2700" s="25">
        <v>0.0</v>
      </c>
      <c r="G2700" s="27"/>
    </row>
    <row r="2701" hidden="1">
      <c r="A2701" s="21"/>
      <c r="B2701" s="21" t="s">
        <v>3556</v>
      </c>
      <c r="D2701" s="25">
        <v>0.0</v>
      </c>
      <c r="E2701" s="27"/>
      <c r="F2701" s="25">
        <v>0.0</v>
      </c>
      <c r="G2701" s="27"/>
    </row>
    <row r="2702" hidden="1">
      <c r="A2702" s="21"/>
      <c r="B2702" s="21" t="s">
        <v>3557</v>
      </c>
      <c r="D2702" s="25">
        <v>0.0</v>
      </c>
      <c r="E2702" s="27"/>
      <c r="F2702" s="25">
        <v>0.0</v>
      </c>
      <c r="G2702" s="27"/>
    </row>
    <row r="2703" hidden="1">
      <c r="A2703" s="21"/>
      <c r="B2703" s="21" t="s">
        <v>3558</v>
      </c>
      <c r="D2703" s="25">
        <v>0.0</v>
      </c>
      <c r="E2703" s="27"/>
      <c r="F2703" s="25">
        <v>0.0</v>
      </c>
      <c r="G2703" s="27"/>
    </row>
    <row r="2704" hidden="1">
      <c r="A2704" s="21"/>
      <c r="B2704" s="21" t="s">
        <v>3559</v>
      </c>
      <c r="D2704" s="25">
        <v>0.0</v>
      </c>
      <c r="E2704" s="27"/>
      <c r="F2704" s="25">
        <v>0.0</v>
      </c>
      <c r="G2704" s="27"/>
    </row>
    <row r="2705" hidden="1">
      <c r="A2705" s="21"/>
      <c r="B2705" s="21" t="s">
        <v>3560</v>
      </c>
      <c r="D2705" s="25">
        <v>0.0</v>
      </c>
      <c r="E2705" s="27"/>
      <c r="F2705" s="25">
        <v>0.0</v>
      </c>
      <c r="G2705" s="27"/>
    </row>
    <row r="2706" hidden="1">
      <c r="A2706" s="21"/>
      <c r="B2706" s="21" t="s">
        <v>3561</v>
      </c>
      <c r="D2706" s="25">
        <v>0.0</v>
      </c>
      <c r="E2706" s="27"/>
      <c r="F2706" s="25">
        <v>4.66</v>
      </c>
      <c r="G2706" s="27"/>
    </row>
    <row r="2707" hidden="1">
      <c r="A2707" s="21"/>
      <c r="B2707" s="21" t="s">
        <v>3562</v>
      </c>
      <c r="D2707" s="25">
        <v>0.0</v>
      </c>
      <c r="E2707" s="27"/>
      <c r="F2707" s="25">
        <v>0.0</v>
      </c>
      <c r="G2707" s="27"/>
    </row>
    <row r="2708" hidden="1">
      <c r="A2708" s="21"/>
      <c r="B2708" s="21" t="s">
        <v>3563</v>
      </c>
      <c r="D2708" s="25">
        <v>0.0</v>
      </c>
      <c r="E2708" s="27"/>
      <c r="F2708" s="25">
        <v>0.0</v>
      </c>
      <c r="G2708" s="27"/>
    </row>
    <row r="2709" hidden="1">
      <c r="A2709" s="21"/>
      <c r="B2709" s="21" t="s">
        <v>3564</v>
      </c>
      <c r="D2709" s="25">
        <v>0.0</v>
      </c>
      <c r="E2709" s="27"/>
      <c r="F2709" s="25">
        <v>0.0</v>
      </c>
      <c r="G2709" s="27"/>
    </row>
    <row r="2710" hidden="1">
      <c r="A2710" s="21"/>
      <c r="B2710" s="21" t="s">
        <v>3565</v>
      </c>
      <c r="D2710" s="25">
        <v>0.0</v>
      </c>
      <c r="E2710" s="27"/>
      <c r="F2710" s="25">
        <v>0.0</v>
      </c>
      <c r="G2710" s="27"/>
    </row>
    <row r="2711" hidden="1">
      <c r="A2711" s="21"/>
      <c r="B2711" s="21" t="s">
        <v>3566</v>
      </c>
      <c r="D2711" s="25">
        <v>0.0</v>
      </c>
      <c r="E2711" s="27"/>
      <c r="F2711" s="25">
        <v>0.0</v>
      </c>
      <c r="G2711" s="27"/>
    </row>
    <row r="2712" hidden="1">
      <c r="A2712" s="21"/>
      <c r="B2712" s="21" t="s">
        <v>3567</v>
      </c>
      <c r="D2712" s="25">
        <v>0.0</v>
      </c>
      <c r="E2712" s="27"/>
      <c r="F2712" s="25">
        <v>0.0</v>
      </c>
      <c r="G2712" s="27"/>
    </row>
    <row r="2713" hidden="1">
      <c r="A2713" s="21"/>
      <c r="B2713" s="21" t="s">
        <v>3568</v>
      </c>
      <c r="D2713" s="25">
        <v>0.0</v>
      </c>
      <c r="E2713" s="27"/>
      <c r="F2713" s="25">
        <v>0.0</v>
      </c>
      <c r="G2713" s="27"/>
    </row>
    <row r="2714" hidden="1">
      <c r="A2714" s="21"/>
      <c r="B2714" s="21" t="s">
        <v>3569</v>
      </c>
      <c r="D2714" s="25">
        <v>0.0</v>
      </c>
      <c r="E2714" s="27"/>
      <c r="F2714" s="25">
        <v>0.0</v>
      </c>
      <c r="G2714" s="27"/>
    </row>
    <row r="2715" hidden="1">
      <c r="A2715" s="21"/>
      <c r="B2715" s="21" t="s">
        <v>3570</v>
      </c>
      <c r="D2715" s="25">
        <v>0.0</v>
      </c>
      <c r="E2715" s="27"/>
      <c r="F2715" s="25">
        <v>0.0</v>
      </c>
      <c r="G2715" s="27"/>
    </row>
    <row r="2716" hidden="1">
      <c r="A2716" s="21"/>
      <c r="B2716" s="21" t="s">
        <v>3571</v>
      </c>
      <c r="D2716" s="25">
        <v>0.0</v>
      </c>
      <c r="E2716" s="27"/>
      <c r="F2716" s="25">
        <v>0.0</v>
      </c>
      <c r="G2716" s="27"/>
    </row>
    <row r="2717" hidden="1">
      <c r="A2717" s="21"/>
      <c r="B2717" s="21" t="s">
        <v>3572</v>
      </c>
      <c r="D2717" s="25">
        <v>0.0</v>
      </c>
      <c r="E2717" s="27"/>
      <c r="F2717" s="25">
        <v>0.0</v>
      </c>
      <c r="G2717" s="27"/>
    </row>
    <row r="2718" hidden="1">
      <c r="A2718" s="21"/>
      <c r="B2718" s="21" t="s">
        <v>3573</v>
      </c>
      <c r="D2718" s="25">
        <v>0.0</v>
      </c>
      <c r="E2718" s="27"/>
      <c r="F2718" s="25">
        <v>0.0</v>
      </c>
      <c r="G2718" s="27"/>
    </row>
    <row r="2719" hidden="1">
      <c r="A2719" s="21"/>
      <c r="B2719" s="21" t="s">
        <v>3574</v>
      </c>
      <c r="D2719" s="25">
        <v>0.0</v>
      </c>
      <c r="E2719" s="27"/>
      <c r="F2719" s="25">
        <v>0.0</v>
      </c>
      <c r="G2719" s="27"/>
    </row>
    <row r="2720" hidden="1">
      <c r="A2720" s="21"/>
      <c r="B2720" s="21" t="s">
        <v>3575</v>
      </c>
      <c r="D2720" s="25">
        <v>0.0</v>
      </c>
      <c r="E2720" s="27"/>
      <c r="F2720" s="25">
        <v>0.0</v>
      </c>
      <c r="G2720" s="27"/>
    </row>
    <row r="2721" hidden="1">
      <c r="A2721" s="21"/>
      <c r="B2721" s="21" t="s">
        <v>3576</v>
      </c>
      <c r="D2721" s="25">
        <v>0.0</v>
      </c>
      <c r="E2721" s="27"/>
      <c r="F2721" s="25">
        <v>0.0</v>
      </c>
      <c r="G2721" s="27"/>
    </row>
    <row r="2722" hidden="1">
      <c r="A2722" s="21"/>
      <c r="B2722" s="21" t="s">
        <v>3577</v>
      </c>
      <c r="D2722" s="25">
        <v>0.0</v>
      </c>
      <c r="E2722" s="27"/>
      <c r="F2722" s="25">
        <v>0.0</v>
      </c>
      <c r="G2722" s="27"/>
    </row>
    <row r="2723" hidden="1">
      <c r="A2723" s="21"/>
      <c r="B2723" s="21" t="s">
        <v>3578</v>
      </c>
      <c r="D2723" s="25">
        <v>0.0</v>
      </c>
      <c r="E2723" s="27"/>
      <c r="F2723" s="25">
        <v>0.0</v>
      </c>
      <c r="G2723" s="27"/>
    </row>
    <row r="2724" hidden="1">
      <c r="A2724" s="21"/>
      <c r="B2724" s="21" t="s">
        <v>3579</v>
      </c>
      <c r="D2724" s="25">
        <v>0.0</v>
      </c>
      <c r="E2724" s="27"/>
      <c r="F2724" s="25">
        <v>0.0</v>
      </c>
      <c r="G2724" s="27"/>
    </row>
    <row r="2725" hidden="1">
      <c r="A2725" s="21"/>
      <c r="B2725" s="21" t="s">
        <v>3580</v>
      </c>
      <c r="D2725" s="25">
        <v>0.0</v>
      </c>
      <c r="E2725" s="27"/>
      <c r="F2725" s="25">
        <v>0.0</v>
      </c>
      <c r="G2725" s="27"/>
    </row>
    <row r="2726" hidden="1">
      <c r="A2726" s="21"/>
      <c r="B2726" s="21" t="s">
        <v>3581</v>
      </c>
      <c r="D2726" s="25">
        <v>0.0</v>
      </c>
      <c r="E2726" s="27"/>
      <c r="F2726" s="25">
        <v>0.0</v>
      </c>
      <c r="G2726" s="27"/>
    </row>
    <row r="2727" hidden="1">
      <c r="A2727" s="21"/>
      <c r="B2727" s="21" t="s">
        <v>3582</v>
      </c>
      <c r="D2727" s="25">
        <v>0.0</v>
      </c>
      <c r="E2727" s="27"/>
      <c r="F2727" s="25">
        <v>0.0</v>
      </c>
      <c r="G2727" s="27"/>
    </row>
    <row r="2728" hidden="1">
      <c r="A2728" s="21"/>
      <c r="B2728" s="21" t="s">
        <v>3583</v>
      </c>
      <c r="D2728" s="25">
        <v>0.0</v>
      </c>
      <c r="E2728" s="27"/>
      <c r="F2728" s="25">
        <v>0.0</v>
      </c>
      <c r="G2728" s="27"/>
    </row>
    <row r="2729" hidden="1">
      <c r="A2729" s="21"/>
      <c r="B2729" s="21" t="s">
        <v>3584</v>
      </c>
      <c r="D2729" s="25">
        <v>0.0</v>
      </c>
      <c r="E2729" s="27"/>
      <c r="F2729" s="25">
        <v>0.0</v>
      </c>
      <c r="G2729" s="27"/>
    </row>
    <row r="2730" hidden="1">
      <c r="A2730" s="21"/>
      <c r="B2730" s="21" t="s">
        <v>3585</v>
      </c>
      <c r="D2730" s="25">
        <v>0.0</v>
      </c>
      <c r="E2730" s="27"/>
      <c r="F2730" s="25">
        <v>0.0</v>
      </c>
      <c r="G2730" s="27"/>
    </row>
    <row r="2731" hidden="1">
      <c r="A2731" s="21"/>
      <c r="B2731" s="21" t="s">
        <v>3586</v>
      </c>
      <c r="D2731" s="25">
        <v>0.0</v>
      </c>
      <c r="E2731" s="27"/>
      <c r="F2731" s="25">
        <v>0.0</v>
      </c>
      <c r="G2731" s="27"/>
    </row>
    <row r="2732" hidden="1">
      <c r="A2732" s="21"/>
      <c r="B2732" s="21" t="s">
        <v>3587</v>
      </c>
      <c r="D2732" s="25">
        <v>0.0</v>
      </c>
      <c r="E2732" s="27"/>
      <c r="F2732" s="25">
        <v>0.0</v>
      </c>
      <c r="G2732" s="27"/>
    </row>
    <row r="2733" hidden="1">
      <c r="A2733" s="21"/>
      <c r="B2733" s="21" t="s">
        <v>3588</v>
      </c>
      <c r="D2733" s="25">
        <v>0.0</v>
      </c>
      <c r="E2733" s="27"/>
      <c r="F2733" s="25">
        <v>0.0</v>
      </c>
      <c r="G2733" s="27"/>
    </row>
    <row r="2734" hidden="1">
      <c r="A2734" s="21"/>
      <c r="B2734" s="21" t="s">
        <v>3589</v>
      </c>
      <c r="D2734" s="25">
        <v>0.0</v>
      </c>
      <c r="E2734" s="27"/>
      <c r="F2734" s="25">
        <v>0.0</v>
      </c>
      <c r="G2734" s="27"/>
    </row>
    <row r="2735" hidden="1">
      <c r="A2735" s="21"/>
      <c r="B2735" s="21" t="s">
        <v>3590</v>
      </c>
      <c r="D2735" s="25">
        <v>0.0</v>
      </c>
      <c r="E2735" s="27"/>
      <c r="F2735" s="25">
        <v>0.0</v>
      </c>
      <c r="G2735" s="27"/>
    </row>
    <row r="2736" hidden="1">
      <c r="A2736" s="21"/>
      <c r="B2736" s="21" t="s">
        <v>3591</v>
      </c>
      <c r="D2736" s="25">
        <v>0.0</v>
      </c>
      <c r="E2736" s="27"/>
      <c r="F2736" s="25">
        <v>0.0</v>
      </c>
      <c r="G2736" s="27"/>
    </row>
    <row r="2737" hidden="1">
      <c r="A2737" s="21"/>
      <c r="B2737" s="21" t="s">
        <v>3592</v>
      </c>
      <c r="D2737" s="25">
        <v>0.0</v>
      </c>
      <c r="E2737" s="27"/>
      <c r="F2737" s="25">
        <v>0.0</v>
      </c>
      <c r="G2737" s="27"/>
    </row>
    <row r="2738" hidden="1">
      <c r="A2738" s="21"/>
      <c r="B2738" s="21" t="s">
        <v>3593</v>
      </c>
      <c r="D2738" s="25">
        <v>0.0</v>
      </c>
      <c r="E2738" s="27"/>
      <c r="F2738" s="25">
        <v>0.0</v>
      </c>
      <c r="G2738" s="27"/>
    </row>
    <row r="2739" hidden="1">
      <c r="A2739" s="21"/>
      <c r="B2739" s="21" t="s">
        <v>3594</v>
      </c>
      <c r="D2739" s="25">
        <v>0.0</v>
      </c>
      <c r="E2739" s="27"/>
      <c r="F2739" s="25">
        <v>0.0</v>
      </c>
      <c r="G2739" s="27"/>
    </row>
    <row r="2740" hidden="1">
      <c r="A2740" s="21"/>
      <c r="B2740" s="21" t="s">
        <v>3595</v>
      </c>
      <c r="D2740" s="25">
        <v>0.0</v>
      </c>
      <c r="E2740" s="27"/>
      <c r="F2740" s="25">
        <v>0.0</v>
      </c>
      <c r="G2740" s="27"/>
    </row>
    <row r="2741" hidden="1">
      <c r="A2741" s="21"/>
      <c r="B2741" s="21" t="s">
        <v>3596</v>
      </c>
      <c r="D2741" s="25">
        <v>0.0</v>
      </c>
      <c r="E2741" s="27"/>
      <c r="F2741" s="25">
        <v>6.28</v>
      </c>
      <c r="G2741" s="27"/>
    </row>
    <row r="2742" hidden="1">
      <c r="A2742" s="21"/>
      <c r="B2742" s="21" t="s">
        <v>3597</v>
      </c>
      <c r="D2742" s="25">
        <v>0.0</v>
      </c>
      <c r="E2742" s="27"/>
      <c r="F2742" s="25">
        <v>0.0</v>
      </c>
      <c r="G2742" s="27"/>
    </row>
    <row r="2743" hidden="1">
      <c r="A2743" s="21"/>
      <c r="B2743" s="21" t="s">
        <v>3598</v>
      </c>
      <c r="D2743" s="25">
        <v>0.0</v>
      </c>
      <c r="E2743" s="27"/>
      <c r="F2743" s="25">
        <v>0.0</v>
      </c>
      <c r="G2743" s="27"/>
    </row>
    <row r="2744" hidden="1">
      <c r="A2744" s="21"/>
      <c r="B2744" s="21" t="s">
        <v>3599</v>
      </c>
      <c r="D2744" s="25">
        <v>0.0</v>
      </c>
      <c r="E2744" s="27"/>
      <c r="F2744" s="25">
        <v>0.0</v>
      </c>
      <c r="G2744" s="27"/>
    </row>
    <row r="2745" hidden="1">
      <c r="A2745" s="21"/>
      <c r="B2745" s="21" t="s">
        <v>3600</v>
      </c>
      <c r="D2745" s="25">
        <v>0.0</v>
      </c>
      <c r="E2745" s="27"/>
      <c r="F2745" s="25">
        <v>6.28</v>
      </c>
      <c r="G2745" s="27"/>
    </row>
    <row r="2746" hidden="1">
      <c r="A2746" s="21"/>
      <c r="B2746" s="21" t="s">
        <v>3601</v>
      </c>
      <c r="D2746" s="25">
        <v>0.0</v>
      </c>
      <c r="E2746" s="27"/>
      <c r="F2746" s="25">
        <v>0.0</v>
      </c>
      <c r="G2746" s="27"/>
    </row>
    <row r="2747" hidden="1">
      <c r="A2747" s="21"/>
      <c r="B2747" s="21" t="s">
        <v>3602</v>
      </c>
      <c r="D2747" s="25">
        <v>0.0</v>
      </c>
      <c r="E2747" s="27"/>
      <c r="F2747" s="25">
        <v>0.0</v>
      </c>
      <c r="G2747" s="27"/>
    </row>
    <row r="2748" hidden="1">
      <c r="A2748" s="21"/>
      <c r="B2748" s="21" t="s">
        <v>3603</v>
      </c>
      <c r="D2748" s="25">
        <v>0.0</v>
      </c>
      <c r="E2748" s="27"/>
      <c r="F2748" s="25">
        <v>0.0</v>
      </c>
      <c r="G2748" s="27"/>
    </row>
    <row r="2749" hidden="1">
      <c r="A2749" s="21"/>
      <c r="B2749" s="21" t="s">
        <v>3604</v>
      </c>
      <c r="D2749" s="25">
        <v>0.0</v>
      </c>
      <c r="E2749" s="27"/>
      <c r="F2749" s="25">
        <v>0.0</v>
      </c>
      <c r="G2749" s="27"/>
    </row>
    <row r="2750" hidden="1">
      <c r="A2750" s="21"/>
      <c r="B2750" s="21" t="s">
        <v>3605</v>
      </c>
      <c r="D2750" s="25">
        <v>0.0</v>
      </c>
      <c r="E2750" s="27"/>
      <c r="F2750" s="25">
        <v>0.0</v>
      </c>
      <c r="G2750" s="27"/>
    </row>
    <row r="2751" hidden="1">
      <c r="A2751" s="21"/>
      <c r="B2751" s="21" t="s">
        <v>3606</v>
      </c>
      <c r="D2751" s="25">
        <v>0.0</v>
      </c>
      <c r="E2751" s="27"/>
      <c r="F2751" s="25">
        <v>0.0</v>
      </c>
      <c r="G2751" s="27"/>
    </row>
    <row r="2752" hidden="1">
      <c r="A2752" s="21"/>
      <c r="B2752" s="21" t="s">
        <v>3607</v>
      </c>
      <c r="D2752" s="25">
        <v>0.0</v>
      </c>
      <c r="E2752" s="27"/>
      <c r="F2752" s="25">
        <v>11.78</v>
      </c>
      <c r="G2752" s="27"/>
    </row>
    <row r="2753" hidden="1">
      <c r="A2753" s="21"/>
      <c r="B2753" s="21" t="s">
        <v>3608</v>
      </c>
      <c r="D2753" s="25">
        <v>0.0</v>
      </c>
      <c r="E2753" s="27"/>
      <c r="F2753" s="25">
        <v>0.0</v>
      </c>
      <c r="G2753" s="27"/>
    </row>
    <row r="2754" hidden="1">
      <c r="A2754" s="21"/>
      <c r="B2754" s="21" t="s">
        <v>3609</v>
      </c>
      <c r="D2754" s="25">
        <v>0.0</v>
      </c>
      <c r="E2754" s="27"/>
      <c r="F2754" s="25">
        <v>0.0</v>
      </c>
      <c r="G2754" s="27"/>
    </row>
    <row r="2755" hidden="1">
      <c r="A2755" s="21"/>
      <c r="B2755" s="21" t="s">
        <v>3610</v>
      </c>
      <c r="D2755" s="25">
        <v>0.0</v>
      </c>
      <c r="E2755" s="27"/>
      <c r="F2755" s="25">
        <v>0.0</v>
      </c>
      <c r="G2755" s="27"/>
    </row>
    <row r="2756" hidden="1">
      <c r="A2756" s="21"/>
      <c r="B2756" s="21" t="s">
        <v>3611</v>
      </c>
      <c r="D2756" s="25">
        <v>0.0</v>
      </c>
      <c r="E2756" s="27"/>
      <c r="F2756" s="25">
        <v>0.0</v>
      </c>
      <c r="G2756" s="27"/>
    </row>
    <row r="2757" hidden="1">
      <c r="A2757" s="21"/>
      <c r="B2757" s="21" t="s">
        <v>3612</v>
      </c>
      <c r="D2757" s="25">
        <v>0.0</v>
      </c>
      <c r="E2757" s="27"/>
      <c r="F2757" s="25">
        <v>0.0</v>
      </c>
      <c r="G2757" s="27"/>
    </row>
    <row r="2758" hidden="1">
      <c r="A2758" s="21"/>
      <c r="B2758" s="21" t="s">
        <v>3613</v>
      </c>
      <c r="D2758" s="25">
        <v>0.0</v>
      </c>
      <c r="E2758" s="27"/>
      <c r="F2758" s="25">
        <v>0.0</v>
      </c>
      <c r="G2758" s="27"/>
    </row>
    <row r="2759" hidden="1">
      <c r="A2759" s="21"/>
      <c r="B2759" s="21" t="s">
        <v>3614</v>
      </c>
      <c r="D2759" s="25">
        <v>0.0</v>
      </c>
      <c r="E2759" s="27"/>
      <c r="F2759" s="25">
        <v>6.47</v>
      </c>
      <c r="G2759" s="27"/>
    </row>
    <row r="2760" hidden="1">
      <c r="A2760" s="21"/>
      <c r="B2760" s="21" t="s">
        <v>3615</v>
      </c>
      <c r="D2760" s="25">
        <v>0.0</v>
      </c>
      <c r="E2760" s="27"/>
      <c r="F2760" s="25">
        <v>0.0</v>
      </c>
      <c r="G2760" s="27"/>
    </row>
    <row r="2761" hidden="1">
      <c r="A2761" s="21"/>
      <c r="B2761" s="21" t="s">
        <v>3616</v>
      </c>
      <c r="D2761" s="25">
        <v>0.0</v>
      </c>
      <c r="E2761" s="27"/>
      <c r="F2761" s="25">
        <v>0.0</v>
      </c>
      <c r="G2761" s="27"/>
    </row>
    <row r="2762" hidden="1">
      <c r="A2762" s="21"/>
      <c r="B2762" s="21" t="s">
        <v>3617</v>
      </c>
      <c r="D2762" s="25">
        <v>0.0</v>
      </c>
      <c r="E2762" s="27"/>
      <c r="F2762" s="25">
        <v>0.0</v>
      </c>
      <c r="G2762" s="27"/>
    </row>
    <row r="2763" hidden="1">
      <c r="A2763" s="21"/>
      <c r="B2763" s="21" t="s">
        <v>3618</v>
      </c>
      <c r="D2763" s="25">
        <v>0.0</v>
      </c>
      <c r="E2763" s="27"/>
      <c r="F2763" s="25">
        <v>0.0</v>
      </c>
      <c r="G2763" s="27"/>
    </row>
    <row r="2764" hidden="1">
      <c r="A2764" s="21"/>
      <c r="B2764" s="21" t="s">
        <v>3619</v>
      </c>
      <c r="D2764" s="25">
        <v>0.0</v>
      </c>
      <c r="E2764" s="27"/>
      <c r="F2764" s="25">
        <v>0.0</v>
      </c>
      <c r="G2764" s="27"/>
    </row>
    <row r="2765" hidden="1">
      <c r="A2765" s="21"/>
      <c r="B2765" s="21" t="s">
        <v>3620</v>
      </c>
      <c r="D2765" s="25">
        <v>0.0</v>
      </c>
      <c r="E2765" s="27"/>
      <c r="F2765" s="25">
        <v>0.0</v>
      </c>
      <c r="G2765" s="27"/>
    </row>
    <row r="2766" hidden="1">
      <c r="A2766" s="21"/>
      <c r="B2766" s="21" t="s">
        <v>3621</v>
      </c>
      <c r="D2766" s="25">
        <v>0.0</v>
      </c>
      <c r="E2766" s="27"/>
      <c r="F2766" s="25">
        <v>0.0</v>
      </c>
      <c r="G2766" s="27"/>
    </row>
    <row r="2767" hidden="1">
      <c r="A2767" s="21"/>
      <c r="B2767" s="21" t="s">
        <v>3622</v>
      </c>
      <c r="D2767" s="25">
        <v>0.0</v>
      </c>
      <c r="E2767" s="27"/>
      <c r="F2767" s="25">
        <v>0.0</v>
      </c>
      <c r="G2767" s="27"/>
    </row>
    <row r="2768" hidden="1">
      <c r="A2768" s="21"/>
      <c r="B2768" s="21" t="s">
        <v>3623</v>
      </c>
      <c r="D2768" s="25">
        <v>0.0</v>
      </c>
      <c r="E2768" s="27"/>
      <c r="F2768" s="25">
        <v>0.0</v>
      </c>
      <c r="G2768" s="27"/>
    </row>
    <row r="2769" hidden="1">
      <c r="A2769" s="21"/>
      <c r="B2769" s="21" t="s">
        <v>3624</v>
      </c>
      <c r="D2769" s="25">
        <v>0.0</v>
      </c>
      <c r="E2769" s="27"/>
      <c r="F2769" s="25">
        <v>0.0</v>
      </c>
      <c r="G2769" s="27"/>
    </row>
    <row r="2770" hidden="1">
      <c r="A2770" s="21"/>
      <c r="B2770" s="21" t="s">
        <v>3625</v>
      </c>
      <c r="D2770" s="25">
        <v>0.0</v>
      </c>
      <c r="E2770" s="27"/>
      <c r="F2770" s="25">
        <v>0.0</v>
      </c>
      <c r="G2770" s="27"/>
    </row>
    <row r="2771" hidden="1">
      <c r="A2771" s="21"/>
      <c r="B2771" s="21" t="s">
        <v>3626</v>
      </c>
      <c r="D2771" s="25">
        <v>0.0</v>
      </c>
      <c r="E2771" s="27"/>
      <c r="F2771" s="25">
        <v>0.0</v>
      </c>
      <c r="G2771" s="27"/>
    </row>
    <row r="2772" hidden="1">
      <c r="A2772" s="21"/>
      <c r="B2772" s="21" t="s">
        <v>3627</v>
      </c>
      <c r="D2772" s="25">
        <v>0.0</v>
      </c>
      <c r="E2772" s="27"/>
      <c r="F2772" s="25">
        <v>0.0</v>
      </c>
      <c r="G2772" s="27"/>
    </row>
    <row r="2773" hidden="1">
      <c r="A2773" s="21"/>
      <c r="B2773" s="21" t="s">
        <v>3628</v>
      </c>
      <c r="D2773" s="25">
        <v>0.0</v>
      </c>
      <c r="E2773" s="27"/>
      <c r="F2773" s="25">
        <v>0.0</v>
      </c>
      <c r="G2773" s="27"/>
    </row>
    <row r="2774" hidden="1">
      <c r="A2774" s="21"/>
      <c r="B2774" s="21" t="s">
        <v>3629</v>
      </c>
      <c r="D2774" s="25">
        <v>0.0</v>
      </c>
      <c r="E2774" s="27"/>
      <c r="F2774" s="25">
        <v>0.0</v>
      </c>
      <c r="G2774" s="27"/>
    </row>
    <row r="2775" hidden="1">
      <c r="A2775" s="21"/>
      <c r="B2775" s="21" t="s">
        <v>3630</v>
      </c>
      <c r="D2775" s="25">
        <v>0.0</v>
      </c>
      <c r="E2775" s="27"/>
      <c r="F2775" s="25">
        <v>0.0</v>
      </c>
      <c r="G2775" s="27"/>
    </row>
    <row r="2776" hidden="1">
      <c r="A2776" s="21"/>
      <c r="B2776" s="21" t="s">
        <v>3631</v>
      </c>
      <c r="D2776" s="25">
        <v>0.0</v>
      </c>
      <c r="E2776" s="27"/>
      <c r="F2776" s="25">
        <v>0.0</v>
      </c>
      <c r="G2776" s="27"/>
    </row>
    <row r="2777" hidden="1">
      <c r="A2777" s="21"/>
      <c r="B2777" s="21" t="s">
        <v>3632</v>
      </c>
      <c r="D2777" s="25">
        <v>0.0</v>
      </c>
      <c r="E2777" s="27"/>
      <c r="F2777" s="25">
        <v>0.0</v>
      </c>
      <c r="G2777" s="27"/>
    </row>
    <row r="2778" hidden="1">
      <c r="A2778" s="21"/>
      <c r="B2778" s="21" t="s">
        <v>3633</v>
      </c>
      <c r="D2778" s="25">
        <v>0.0</v>
      </c>
      <c r="E2778" s="27"/>
      <c r="F2778" s="25">
        <v>0.0</v>
      </c>
      <c r="G2778" s="27"/>
    </row>
    <row r="2779" hidden="1">
      <c r="A2779" s="21"/>
      <c r="B2779" s="21" t="s">
        <v>3634</v>
      </c>
      <c r="D2779" s="25">
        <v>0.0</v>
      </c>
      <c r="E2779" s="27"/>
      <c r="F2779" s="25">
        <v>0.0</v>
      </c>
      <c r="G2779" s="27"/>
    </row>
    <row r="2780" hidden="1">
      <c r="A2780" s="21"/>
      <c r="B2780" s="21" t="s">
        <v>3635</v>
      </c>
      <c r="D2780" s="25">
        <v>0.0</v>
      </c>
      <c r="E2780" s="27"/>
      <c r="F2780" s="25">
        <v>0.0</v>
      </c>
      <c r="G2780" s="27"/>
    </row>
    <row r="2781" hidden="1">
      <c r="A2781" s="21"/>
      <c r="B2781" s="21" t="s">
        <v>3636</v>
      </c>
      <c r="D2781" s="25">
        <v>0.0</v>
      </c>
      <c r="E2781" s="27"/>
      <c r="F2781" s="25">
        <v>0.0</v>
      </c>
      <c r="G2781" s="27"/>
    </row>
    <row r="2782" hidden="1">
      <c r="A2782" s="21"/>
      <c r="B2782" s="21" t="s">
        <v>3637</v>
      </c>
      <c r="D2782" s="25">
        <v>0.0</v>
      </c>
      <c r="E2782" s="27"/>
      <c r="F2782" s="25">
        <v>0.0</v>
      </c>
      <c r="G2782" s="27"/>
    </row>
    <row r="2783" hidden="1">
      <c r="A2783" s="21"/>
      <c r="B2783" s="21" t="s">
        <v>3638</v>
      </c>
      <c r="D2783" s="25">
        <v>0.0</v>
      </c>
      <c r="E2783" s="27"/>
      <c r="F2783" s="25">
        <v>0.0</v>
      </c>
      <c r="G2783" s="27"/>
    </row>
    <row r="2784" hidden="1">
      <c r="A2784" s="21"/>
      <c r="B2784" s="21" t="s">
        <v>3639</v>
      </c>
      <c r="D2784" s="25">
        <v>0.0</v>
      </c>
      <c r="E2784" s="27"/>
      <c r="F2784" s="25">
        <v>0.0</v>
      </c>
      <c r="G2784" s="27"/>
    </row>
    <row r="2785" hidden="1">
      <c r="A2785" s="21"/>
      <c r="B2785" s="21" t="s">
        <v>3640</v>
      </c>
      <c r="D2785" s="25">
        <v>0.0</v>
      </c>
      <c r="E2785" s="27"/>
      <c r="F2785" s="25">
        <v>0.0</v>
      </c>
      <c r="G2785" s="27"/>
    </row>
    <row r="2786" hidden="1">
      <c r="A2786" s="21"/>
      <c r="B2786" s="21" t="s">
        <v>3641</v>
      </c>
      <c r="D2786" s="25">
        <v>0.0</v>
      </c>
      <c r="E2786" s="27"/>
      <c r="F2786" s="25">
        <v>0.0</v>
      </c>
      <c r="G2786" s="27"/>
    </row>
    <row r="2787" hidden="1">
      <c r="A2787" s="21"/>
      <c r="B2787" s="21" t="s">
        <v>3642</v>
      </c>
      <c r="D2787" s="25">
        <v>0.0</v>
      </c>
      <c r="E2787" s="27"/>
      <c r="F2787" s="25">
        <v>0.0</v>
      </c>
      <c r="G2787" s="27"/>
    </row>
    <row r="2788" hidden="1">
      <c r="A2788" s="21"/>
      <c r="B2788" s="21" t="s">
        <v>3643</v>
      </c>
      <c r="D2788" s="25">
        <v>0.0</v>
      </c>
      <c r="E2788" s="27"/>
      <c r="F2788" s="25">
        <v>0.0</v>
      </c>
      <c r="G2788" s="27"/>
    </row>
    <row r="2789" hidden="1">
      <c r="A2789" s="21"/>
      <c r="B2789" s="21" t="s">
        <v>3644</v>
      </c>
      <c r="D2789" s="25">
        <v>0.0</v>
      </c>
      <c r="E2789" s="27"/>
      <c r="F2789" s="25">
        <v>0.0</v>
      </c>
      <c r="G2789" s="27"/>
    </row>
    <row r="2790" hidden="1">
      <c r="A2790" s="21"/>
      <c r="B2790" s="21" t="s">
        <v>3645</v>
      </c>
      <c r="D2790" s="25">
        <v>0.0</v>
      </c>
      <c r="E2790" s="27"/>
      <c r="F2790" s="25">
        <v>0.0</v>
      </c>
      <c r="G2790" s="27"/>
    </row>
    <row r="2791" hidden="1">
      <c r="A2791" s="21"/>
      <c r="B2791" s="21" t="s">
        <v>3646</v>
      </c>
      <c r="D2791" s="25">
        <v>0.0</v>
      </c>
      <c r="E2791" s="27"/>
      <c r="F2791" s="25">
        <v>0.0</v>
      </c>
      <c r="G2791" s="27"/>
    </row>
    <row r="2792" hidden="1">
      <c r="A2792" s="21"/>
      <c r="B2792" s="21" t="s">
        <v>3647</v>
      </c>
      <c r="D2792" s="25">
        <v>0.0</v>
      </c>
      <c r="E2792" s="27"/>
      <c r="F2792" s="25">
        <v>0.0</v>
      </c>
      <c r="G2792" s="27"/>
    </row>
    <row r="2793" hidden="1">
      <c r="A2793" s="21"/>
      <c r="B2793" s="21" t="s">
        <v>3648</v>
      </c>
      <c r="D2793" s="25">
        <v>0.0</v>
      </c>
      <c r="E2793" s="27"/>
      <c r="F2793" s="25">
        <v>0.0</v>
      </c>
      <c r="G2793" s="27"/>
    </row>
    <row r="2794" hidden="1">
      <c r="A2794" s="21"/>
      <c r="B2794" s="21" t="s">
        <v>3649</v>
      </c>
      <c r="D2794" s="25">
        <v>0.0</v>
      </c>
      <c r="E2794" s="27"/>
      <c r="F2794" s="25">
        <v>0.0</v>
      </c>
      <c r="G2794" s="27"/>
    </row>
    <row r="2795" hidden="1">
      <c r="A2795" s="21"/>
      <c r="B2795" s="21" t="s">
        <v>3650</v>
      </c>
      <c r="D2795" s="25">
        <v>0.0</v>
      </c>
      <c r="E2795" s="27"/>
      <c r="F2795" s="25">
        <v>0.0</v>
      </c>
      <c r="G2795" s="27"/>
    </row>
    <row r="2796" hidden="1">
      <c r="A2796" s="21"/>
      <c r="B2796" s="21" t="s">
        <v>3651</v>
      </c>
      <c r="D2796" s="25">
        <v>0.0</v>
      </c>
      <c r="E2796" s="27"/>
      <c r="F2796" s="25">
        <v>0.0</v>
      </c>
      <c r="G2796" s="27"/>
    </row>
    <row r="2797" hidden="1">
      <c r="A2797" s="21"/>
      <c r="B2797" s="21" t="s">
        <v>3652</v>
      </c>
      <c r="D2797" s="25">
        <v>0.0</v>
      </c>
      <c r="E2797" s="27"/>
      <c r="F2797" s="25">
        <v>0.0</v>
      </c>
      <c r="G2797" s="27"/>
    </row>
    <row r="2798" hidden="1">
      <c r="A2798" s="21"/>
      <c r="B2798" s="21" t="s">
        <v>3653</v>
      </c>
      <c r="D2798" s="25">
        <v>0.0</v>
      </c>
      <c r="E2798" s="27"/>
      <c r="F2798" s="25">
        <v>0.0</v>
      </c>
      <c r="G2798" s="27"/>
    </row>
    <row r="2799" hidden="1">
      <c r="A2799" s="21"/>
      <c r="B2799" s="21" t="s">
        <v>3654</v>
      </c>
      <c r="D2799" s="25">
        <v>0.0</v>
      </c>
      <c r="E2799" s="27"/>
      <c r="F2799" s="25">
        <v>0.0</v>
      </c>
      <c r="G2799" s="27"/>
    </row>
    <row r="2800" hidden="1">
      <c r="A2800" s="21"/>
      <c r="B2800" s="21" t="s">
        <v>3655</v>
      </c>
      <c r="D2800" s="25">
        <v>0.0</v>
      </c>
      <c r="E2800" s="27"/>
      <c r="F2800" s="25">
        <v>0.0</v>
      </c>
      <c r="G2800" s="27"/>
    </row>
    <row r="2801" hidden="1">
      <c r="A2801" s="21"/>
      <c r="B2801" s="21" t="s">
        <v>3656</v>
      </c>
      <c r="D2801" s="25">
        <v>0.0</v>
      </c>
      <c r="E2801" s="27"/>
      <c r="F2801" s="25">
        <v>0.0</v>
      </c>
      <c r="G2801" s="27"/>
    </row>
    <row r="2802" hidden="1">
      <c r="A2802" s="21"/>
      <c r="B2802" s="21" t="s">
        <v>3657</v>
      </c>
      <c r="D2802" s="25">
        <v>0.0</v>
      </c>
      <c r="E2802" s="27"/>
      <c r="F2802" s="25">
        <v>0.0</v>
      </c>
      <c r="G2802" s="27"/>
    </row>
    <row r="2803" hidden="1">
      <c r="A2803" s="21"/>
      <c r="B2803" s="21" t="s">
        <v>3658</v>
      </c>
      <c r="D2803" s="25">
        <v>0.0</v>
      </c>
      <c r="E2803" s="27"/>
      <c r="F2803" s="25">
        <v>0.0</v>
      </c>
      <c r="G2803" s="27"/>
    </row>
    <row r="2804" hidden="1">
      <c r="A2804" s="21"/>
      <c r="B2804" s="21" t="s">
        <v>3659</v>
      </c>
      <c r="D2804" s="25">
        <v>0.0</v>
      </c>
      <c r="E2804" s="27"/>
      <c r="F2804" s="25">
        <v>7.08</v>
      </c>
      <c r="G2804" s="27"/>
    </row>
    <row r="2805" hidden="1">
      <c r="A2805" s="21"/>
      <c r="B2805" s="21" t="s">
        <v>3660</v>
      </c>
      <c r="D2805" s="25">
        <v>0.0</v>
      </c>
      <c r="E2805" s="27"/>
      <c r="F2805" s="25">
        <v>0.0</v>
      </c>
      <c r="G2805" s="27"/>
    </row>
    <row r="2806" hidden="1">
      <c r="A2806" s="21"/>
      <c r="B2806" s="21" t="s">
        <v>3661</v>
      </c>
      <c r="D2806" s="25">
        <v>0.0</v>
      </c>
      <c r="E2806" s="27"/>
      <c r="F2806" s="25">
        <v>0.0</v>
      </c>
      <c r="G2806" s="27"/>
    </row>
    <row r="2807" hidden="1">
      <c r="A2807" s="21"/>
      <c r="B2807" s="21" t="s">
        <v>3662</v>
      </c>
      <c r="D2807" s="25">
        <v>0.0</v>
      </c>
      <c r="E2807" s="27"/>
      <c r="F2807" s="25">
        <v>0.0</v>
      </c>
      <c r="G2807" s="27"/>
    </row>
    <row r="2808" hidden="1">
      <c r="A2808" s="21"/>
      <c r="B2808" s="21" t="s">
        <v>3663</v>
      </c>
      <c r="D2808" s="25">
        <v>0.0</v>
      </c>
      <c r="E2808" s="27"/>
      <c r="F2808" s="25">
        <v>0.0</v>
      </c>
      <c r="G2808" s="27"/>
    </row>
    <row r="2809" hidden="1">
      <c r="A2809" s="21"/>
      <c r="B2809" s="21" t="s">
        <v>3664</v>
      </c>
      <c r="D2809" s="25">
        <v>0.0</v>
      </c>
      <c r="E2809" s="27"/>
      <c r="F2809" s="25">
        <v>0.0</v>
      </c>
      <c r="G2809" s="27"/>
    </row>
    <row r="2810" hidden="1">
      <c r="A2810" s="21"/>
      <c r="B2810" s="21" t="s">
        <v>3665</v>
      </c>
      <c r="D2810" s="25">
        <v>0.0</v>
      </c>
      <c r="E2810" s="27"/>
      <c r="F2810" s="25">
        <v>0.0</v>
      </c>
      <c r="G2810" s="27"/>
    </row>
    <row r="2811" hidden="1">
      <c r="A2811" s="21"/>
      <c r="B2811" s="21" t="s">
        <v>3666</v>
      </c>
      <c r="D2811" s="25">
        <v>0.0</v>
      </c>
      <c r="E2811" s="27"/>
      <c r="F2811" s="25">
        <v>0.0</v>
      </c>
      <c r="G2811" s="27"/>
    </row>
    <row r="2812" hidden="1">
      <c r="A2812" s="21"/>
      <c r="B2812" s="21" t="s">
        <v>3667</v>
      </c>
      <c r="D2812" s="25">
        <v>0.0</v>
      </c>
      <c r="E2812" s="27"/>
      <c r="F2812" s="25">
        <v>0.0</v>
      </c>
      <c r="G2812" s="27"/>
    </row>
    <row r="2813" hidden="1">
      <c r="A2813" s="21"/>
      <c r="B2813" s="21" t="s">
        <v>3668</v>
      </c>
      <c r="D2813" s="25">
        <v>0.0</v>
      </c>
      <c r="E2813" s="27"/>
      <c r="F2813" s="25">
        <v>0.0</v>
      </c>
      <c r="G2813" s="27"/>
    </row>
    <row r="2814" hidden="1">
      <c r="A2814" s="21"/>
      <c r="B2814" s="21" t="s">
        <v>3669</v>
      </c>
      <c r="D2814" s="25">
        <v>0.0</v>
      </c>
      <c r="E2814" s="27"/>
      <c r="F2814" s="25">
        <v>0.0</v>
      </c>
      <c r="G2814" s="27"/>
    </row>
    <row r="2815" hidden="1">
      <c r="A2815" s="21"/>
      <c r="B2815" s="21" t="s">
        <v>3670</v>
      </c>
      <c r="D2815" s="25">
        <v>0.0</v>
      </c>
      <c r="E2815" s="27"/>
      <c r="F2815" s="25">
        <v>0.0</v>
      </c>
      <c r="G2815" s="27"/>
    </row>
    <row r="2816" hidden="1">
      <c r="A2816" s="21"/>
      <c r="B2816" s="21" t="s">
        <v>3671</v>
      </c>
      <c r="D2816" s="25">
        <v>0.0</v>
      </c>
      <c r="E2816" s="27"/>
      <c r="F2816" s="25">
        <v>0.0</v>
      </c>
      <c r="G2816" s="27"/>
    </row>
    <row r="2817" hidden="1">
      <c r="A2817" s="21"/>
      <c r="B2817" s="21" t="s">
        <v>3672</v>
      </c>
      <c r="D2817" s="25">
        <v>0.0</v>
      </c>
      <c r="E2817" s="27"/>
      <c r="F2817" s="25">
        <v>0.0</v>
      </c>
      <c r="G2817" s="27"/>
    </row>
    <row r="2818" hidden="1">
      <c r="A2818" s="21"/>
      <c r="B2818" s="21" t="s">
        <v>3673</v>
      </c>
      <c r="D2818" s="25">
        <v>0.0</v>
      </c>
      <c r="E2818" s="27"/>
      <c r="F2818" s="25">
        <v>0.0</v>
      </c>
      <c r="G2818" s="27"/>
    </row>
    <row r="2819" hidden="1">
      <c r="A2819" s="21"/>
      <c r="B2819" s="21" t="s">
        <v>3674</v>
      </c>
      <c r="D2819" s="25">
        <v>0.0</v>
      </c>
      <c r="E2819" s="27"/>
      <c r="F2819" s="25">
        <v>0.0</v>
      </c>
      <c r="G2819" s="27"/>
    </row>
    <row r="2820" hidden="1">
      <c r="A2820" s="21"/>
      <c r="B2820" s="21" t="s">
        <v>3675</v>
      </c>
      <c r="D2820" s="25">
        <v>0.0</v>
      </c>
      <c r="E2820" s="27"/>
      <c r="F2820" s="25">
        <v>0.0</v>
      </c>
      <c r="G2820" s="27"/>
    </row>
    <row r="2821" hidden="1">
      <c r="A2821" s="21"/>
      <c r="B2821" s="21" t="s">
        <v>3676</v>
      </c>
      <c r="D2821" s="25">
        <v>0.0</v>
      </c>
      <c r="E2821" s="27"/>
      <c r="F2821" s="25">
        <v>0.0</v>
      </c>
      <c r="G2821" s="27"/>
    </row>
    <row r="2822" hidden="1">
      <c r="A2822" s="21"/>
      <c r="B2822" s="21" t="s">
        <v>3677</v>
      </c>
      <c r="D2822" s="25">
        <v>0.0</v>
      </c>
      <c r="E2822" s="27"/>
      <c r="F2822" s="25">
        <v>0.0</v>
      </c>
      <c r="G2822" s="27"/>
    </row>
    <row r="2823" hidden="1">
      <c r="A2823" s="21"/>
      <c r="B2823" s="21" t="s">
        <v>3678</v>
      </c>
      <c r="D2823" s="25">
        <v>0.0</v>
      </c>
      <c r="E2823" s="27"/>
      <c r="F2823" s="25">
        <v>0.0</v>
      </c>
      <c r="G2823" s="27"/>
    </row>
    <row r="2824" hidden="1">
      <c r="A2824" s="21"/>
      <c r="B2824" s="21" t="s">
        <v>3679</v>
      </c>
      <c r="D2824" s="25">
        <v>0.0</v>
      </c>
      <c r="E2824" s="27"/>
      <c r="F2824" s="25">
        <v>0.0</v>
      </c>
      <c r="G2824" s="27"/>
    </row>
    <row r="2825" hidden="1">
      <c r="A2825" s="21"/>
      <c r="B2825" s="21" t="s">
        <v>3680</v>
      </c>
      <c r="D2825" s="25">
        <v>0.0</v>
      </c>
      <c r="E2825" s="27"/>
      <c r="F2825" s="25">
        <v>0.0</v>
      </c>
      <c r="G2825" s="27"/>
    </row>
    <row r="2826" hidden="1">
      <c r="A2826" s="21"/>
      <c r="B2826" s="21" t="s">
        <v>3681</v>
      </c>
      <c r="D2826" s="25">
        <v>0.0</v>
      </c>
      <c r="E2826" s="27"/>
      <c r="F2826" s="25">
        <v>0.0</v>
      </c>
      <c r="G2826" s="27"/>
    </row>
    <row r="2827" hidden="1">
      <c r="A2827" s="21"/>
      <c r="B2827" s="21" t="s">
        <v>3682</v>
      </c>
      <c r="D2827" s="25">
        <v>0.0</v>
      </c>
      <c r="E2827" s="27"/>
      <c r="F2827" s="25">
        <v>0.0</v>
      </c>
      <c r="G2827" s="27"/>
    </row>
    <row r="2828" hidden="1">
      <c r="A2828" s="21"/>
      <c r="B2828" s="21" t="s">
        <v>3683</v>
      </c>
      <c r="D2828" s="25">
        <v>0.0</v>
      </c>
      <c r="E2828" s="27"/>
      <c r="F2828" s="25">
        <v>0.0</v>
      </c>
      <c r="G2828" s="27"/>
    </row>
    <row r="2829" hidden="1">
      <c r="A2829" s="21"/>
      <c r="B2829" s="21" t="s">
        <v>3684</v>
      </c>
      <c r="D2829" s="25">
        <v>0.0</v>
      </c>
      <c r="E2829" s="27"/>
      <c r="F2829" s="25">
        <v>0.0</v>
      </c>
      <c r="G2829" s="27"/>
    </row>
    <row r="2830" hidden="1">
      <c r="A2830" s="21"/>
      <c r="B2830" s="21" t="s">
        <v>3685</v>
      </c>
      <c r="D2830" s="25">
        <v>0.0</v>
      </c>
      <c r="E2830" s="27"/>
      <c r="F2830" s="25">
        <v>0.0</v>
      </c>
      <c r="G2830" s="27"/>
    </row>
    <row r="2831" hidden="1">
      <c r="A2831" s="21"/>
      <c r="B2831" s="21" t="s">
        <v>3686</v>
      </c>
      <c r="D2831" s="25">
        <v>0.0</v>
      </c>
      <c r="E2831" s="27"/>
      <c r="F2831" s="25">
        <v>0.0</v>
      </c>
      <c r="G2831" s="27"/>
    </row>
    <row r="2832" hidden="1">
      <c r="A2832" s="21"/>
      <c r="B2832" s="21" t="s">
        <v>3687</v>
      </c>
      <c r="D2832" s="25">
        <v>0.0</v>
      </c>
      <c r="E2832" s="27"/>
      <c r="F2832" s="25">
        <v>0.0</v>
      </c>
      <c r="G2832" s="27"/>
    </row>
    <row r="2833" hidden="1">
      <c r="A2833" s="21"/>
      <c r="B2833" s="21" t="s">
        <v>3688</v>
      </c>
      <c r="D2833" s="25">
        <v>0.0</v>
      </c>
      <c r="E2833" s="27"/>
      <c r="F2833" s="25">
        <v>0.0</v>
      </c>
      <c r="G2833" s="27"/>
    </row>
    <row r="2834" hidden="1">
      <c r="A2834" s="21"/>
      <c r="B2834" s="21" t="s">
        <v>3689</v>
      </c>
      <c r="D2834" s="25">
        <v>0.0</v>
      </c>
      <c r="E2834" s="27"/>
      <c r="F2834" s="25">
        <v>0.0</v>
      </c>
      <c r="G2834" s="27"/>
    </row>
    <row r="2835" hidden="1">
      <c r="A2835" s="21"/>
      <c r="B2835" s="21" t="s">
        <v>3690</v>
      </c>
      <c r="D2835" s="25">
        <v>0.0</v>
      </c>
      <c r="E2835" s="27"/>
      <c r="F2835" s="25">
        <v>0.0</v>
      </c>
      <c r="G2835" s="27"/>
    </row>
    <row r="2836" hidden="1">
      <c r="A2836" s="21"/>
      <c r="B2836" s="21" t="s">
        <v>3691</v>
      </c>
      <c r="D2836" s="25">
        <v>0.0</v>
      </c>
      <c r="E2836" s="27"/>
      <c r="F2836" s="25">
        <v>0.0</v>
      </c>
      <c r="G2836" s="27"/>
    </row>
    <row r="2837" hidden="1">
      <c r="A2837" s="21"/>
      <c r="B2837" s="21" t="s">
        <v>3692</v>
      </c>
      <c r="D2837" s="25">
        <v>0.0</v>
      </c>
      <c r="E2837" s="27"/>
      <c r="F2837" s="25">
        <v>0.0</v>
      </c>
      <c r="G2837" s="27"/>
    </row>
    <row r="2838" hidden="1">
      <c r="A2838" s="21"/>
      <c r="B2838" s="21" t="s">
        <v>3693</v>
      </c>
      <c r="D2838" s="25">
        <v>0.0</v>
      </c>
      <c r="E2838" s="27"/>
      <c r="F2838" s="25">
        <v>0.0</v>
      </c>
      <c r="G2838" s="27"/>
    </row>
    <row r="2839" hidden="1">
      <c r="A2839" s="21"/>
      <c r="B2839" s="21" t="s">
        <v>3694</v>
      </c>
      <c r="D2839" s="25">
        <v>0.0</v>
      </c>
      <c r="E2839" s="27"/>
      <c r="F2839" s="25">
        <v>0.0</v>
      </c>
      <c r="G2839" s="27"/>
    </row>
    <row r="2840" hidden="1">
      <c r="A2840" s="21"/>
      <c r="B2840" s="21" t="s">
        <v>3695</v>
      </c>
      <c r="D2840" s="25">
        <v>0.0</v>
      </c>
      <c r="E2840" s="27"/>
      <c r="F2840" s="25">
        <v>0.0</v>
      </c>
      <c r="G2840" s="27"/>
    </row>
    <row r="2841" hidden="1">
      <c r="A2841" s="21"/>
      <c r="B2841" s="21" t="s">
        <v>3696</v>
      </c>
      <c r="D2841" s="25">
        <v>0.0</v>
      </c>
      <c r="E2841" s="27"/>
      <c r="F2841" s="25">
        <v>0.0</v>
      </c>
      <c r="G2841" s="27"/>
    </row>
    <row r="2842" hidden="1">
      <c r="A2842" s="21"/>
      <c r="B2842" s="21" t="s">
        <v>3697</v>
      </c>
      <c r="D2842" s="25">
        <v>0.0</v>
      </c>
      <c r="E2842" s="27"/>
      <c r="F2842" s="25">
        <v>0.0</v>
      </c>
      <c r="G2842" s="27"/>
    </row>
    <row r="2843" hidden="1">
      <c r="A2843" s="21"/>
      <c r="B2843" s="21" t="s">
        <v>3698</v>
      </c>
      <c r="D2843" s="25">
        <v>0.0</v>
      </c>
      <c r="E2843" s="27"/>
      <c r="F2843" s="25">
        <v>0.0</v>
      </c>
      <c r="G2843" s="27"/>
    </row>
    <row r="2844" hidden="1">
      <c r="A2844" s="21"/>
      <c r="B2844" s="21" t="s">
        <v>3699</v>
      </c>
      <c r="D2844" s="25">
        <v>0.0</v>
      </c>
      <c r="E2844" s="27"/>
      <c r="F2844" s="25">
        <v>0.0</v>
      </c>
      <c r="G2844" s="27"/>
    </row>
    <row r="2845" hidden="1">
      <c r="A2845" s="21"/>
      <c r="B2845" s="21" t="s">
        <v>3700</v>
      </c>
      <c r="D2845" s="25">
        <v>0.0</v>
      </c>
      <c r="E2845" s="27"/>
      <c r="F2845" s="25">
        <v>0.0</v>
      </c>
      <c r="G2845" s="27"/>
    </row>
    <row r="2846" hidden="1">
      <c r="A2846" s="21"/>
      <c r="B2846" s="21" t="s">
        <v>3701</v>
      </c>
      <c r="D2846" s="25">
        <v>0.0</v>
      </c>
      <c r="E2846" s="27"/>
      <c r="F2846" s="25">
        <v>0.0</v>
      </c>
      <c r="G2846" s="27"/>
    </row>
    <row r="2847" hidden="1">
      <c r="A2847" s="21"/>
      <c r="B2847" s="21" t="s">
        <v>3702</v>
      </c>
      <c r="D2847" s="25">
        <v>0.0</v>
      </c>
      <c r="E2847" s="27"/>
      <c r="F2847" s="25">
        <v>0.0</v>
      </c>
      <c r="G2847" s="27"/>
    </row>
    <row r="2848" hidden="1">
      <c r="A2848" s="21"/>
      <c r="B2848" s="21" t="s">
        <v>3703</v>
      </c>
      <c r="D2848" s="25">
        <v>0.0</v>
      </c>
      <c r="E2848" s="27"/>
      <c r="F2848" s="25">
        <v>0.0</v>
      </c>
      <c r="G2848" s="27"/>
    </row>
    <row r="2849" hidden="1">
      <c r="A2849" s="21"/>
      <c r="B2849" s="21" t="s">
        <v>3704</v>
      </c>
      <c r="D2849" s="25">
        <v>0.0</v>
      </c>
      <c r="E2849" s="27"/>
      <c r="F2849" s="25">
        <v>0.0</v>
      </c>
      <c r="G2849" s="27"/>
    </row>
    <row r="2850" hidden="1">
      <c r="A2850" s="21"/>
      <c r="B2850" s="21" t="s">
        <v>3705</v>
      </c>
      <c r="D2850" s="25">
        <v>0.0</v>
      </c>
      <c r="E2850" s="27"/>
      <c r="F2850" s="25">
        <v>0.0</v>
      </c>
      <c r="G2850" s="27"/>
    </row>
    <row r="2851" hidden="1">
      <c r="A2851" s="21"/>
      <c r="B2851" s="21" t="s">
        <v>3706</v>
      </c>
      <c r="D2851" s="25">
        <v>0.0</v>
      </c>
      <c r="E2851" s="27"/>
      <c r="F2851" s="25">
        <v>0.0</v>
      </c>
      <c r="G2851" s="27"/>
    </row>
    <row r="2852" hidden="1">
      <c r="A2852" s="21"/>
      <c r="B2852" s="21" t="s">
        <v>3707</v>
      </c>
      <c r="D2852" s="25">
        <v>0.0</v>
      </c>
      <c r="E2852" s="27"/>
      <c r="F2852" s="25">
        <v>0.0</v>
      </c>
      <c r="G2852" s="27"/>
    </row>
    <row r="2853" hidden="1">
      <c r="A2853" s="21"/>
      <c r="B2853" s="21" t="s">
        <v>3708</v>
      </c>
      <c r="D2853" s="25">
        <v>0.0</v>
      </c>
      <c r="E2853" s="27"/>
      <c r="F2853" s="25">
        <v>0.0</v>
      </c>
      <c r="G2853" s="27"/>
    </row>
    <row r="2854" hidden="1">
      <c r="A2854" s="21"/>
      <c r="B2854" s="21" t="s">
        <v>3709</v>
      </c>
      <c r="D2854" s="25">
        <v>0.0</v>
      </c>
      <c r="E2854" s="27"/>
      <c r="F2854" s="25">
        <v>0.0</v>
      </c>
      <c r="G2854" s="27"/>
    </row>
    <row r="2855" hidden="1">
      <c r="A2855" s="21"/>
      <c r="B2855" s="21" t="s">
        <v>3710</v>
      </c>
      <c r="D2855" s="25">
        <v>0.0</v>
      </c>
      <c r="E2855" s="27"/>
      <c r="F2855" s="25">
        <v>0.0</v>
      </c>
      <c r="G2855" s="27"/>
    </row>
    <row r="2856" hidden="1">
      <c r="A2856" s="21"/>
      <c r="B2856" s="21" t="s">
        <v>3711</v>
      </c>
      <c r="D2856" s="25">
        <v>0.0</v>
      </c>
      <c r="E2856" s="27"/>
      <c r="F2856" s="25">
        <v>0.0</v>
      </c>
      <c r="G2856" s="27"/>
    </row>
    <row r="2857" hidden="1">
      <c r="A2857" s="21"/>
      <c r="B2857" s="21" t="s">
        <v>3712</v>
      </c>
      <c r="D2857" s="25">
        <v>0.0</v>
      </c>
      <c r="E2857" s="27"/>
      <c r="F2857" s="25">
        <v>0.0</v>
      </c>
      <c r="G2857" s="27"/>
    </row>
    <row r="2858" hidden="1">
      <c r="A2858" s="21"/>
      <c r="B2858" s="21" t="s">
        <v>3713</v>
      </c>
      <c r="D2858" s="25">
        <v>0.0</v>
      </c>
      <c r="E2858" s="27"/>
      <c r="F2858" s="25">
        <v>0.0</v>
      </c>
      <c r="G2858" s="27"/>
    </row>
    <row r="2859" hidden="1">
      <c r="A2859" s="21"/>
      <c r="B2859" s="21" t="s">
        <v>3714</v>
      </c>
      <c r="D2859" s="25">
        <v>0.0</v>
      </c>
      <c r="E2859" s="27"/>
      <c r="F2859" s="25">
        <v>0.0</v>
      </c>
      <c r="G2859" s="27"/>
    </row>
    <row r="2860" hidden="1">
      <c r="A2860" s="21"/>
      <c r="B2860" s="21" t="s">
        <v>3715</v>
      </c>
      <c r="D2860" s="25">
        <v>0.0</v>
      </c>
      <c r="E2860" s="27"/>
      <c r="F2860" s="25">
        <v>0.0</v>
      </c>
      <c r="G2860" s="27"/>
    </row>
    <row r="2861" hidden="1">
      <c r="A2861" s="21"/>
      <c r="B2861" s="21" t="s">
        <v>3716</v>
      </c>
      <c r="D2861" s="25">
        <v>0.0</v>
      </c>
      <c r="E2861" s="27"/>
      <c r="F2861" s="25">
        <v>0.0</v>
      </c>
      <c r="G2861" s="27"/>
    </row>
    <row r="2862" hidden="1">
      <c r="A2862" s="21"/>
      <c r="B2862" s="21" t="s">
        <v>3717</v>
      </c>
      <c r="D2862" s="25">
        <v>0.0</v>
      </c>
      <c r="E2862" s="27"/>
      <c r="F2862" s="25">
        <v>0.0</v>
      </c>
      <c r="G2862" s="27"/>
    </row>
    <row r="2863" hidden="1">
      <c r="A2863" s="21"/>
      <c r="B2863" s="21" t="s">
        <v>3718</v>
      </c>
      <c r="D2863" s="25">
        <v>0.0</v>
      </c>
      <c r="E2863" s="27"/>
      <c r="F2863" s="25">
        <v>0.0</v>
      </c>
      <c r="G2863" s="27"/>
    </row>
    <row r="2864" hidden="1">
      <c r="A2864" s="21"/>
      <c r="B2864" s="21" t="s">
        <v>3719</v>
      </c>
      <c r="D2864" s="25">
        <v>0.0</v>
      </c>
      <c r="E2864" s="27"/>
      <c r="F2864" s="25">
        <v>0.0</v>
      </c>
      <c r="G2864" s="27"/>
    </row>
    <row r="2865" hidden="1">
      <c r="A2865" s="21"/>
      <c r="B2865" s="21" t="s">
        <v>3720</v>
      </c>
      <c r="D2865" s="25">
        <v>0.0</v>
      </c>
      <c r="E2865" s="27"/>
      <c r="F2865" s="25">
        <v>0.0</v>
      </c>
      <c r="G2865" s="27"/>
    </row>
    <row r="2866" hidden="1">
      <c r="A2866" s="21"/>
      <c r="B2866" s="21" t="s">
        <v>3721</v>
      </c>
      <c r="D2866" s="25">
        <v>0.0</v>
      </c>
      <c r="E2866" s="27"/>
      <c r="F2866" s="25">
        <v>0.0</v>
      </c>
      <c r="G2866" s="27"/>
    </row>
    <row r="2867" hidden="1">
      <c r="A2867" s="21"/>
      <c r="B2867" s="21" t="s">
        <v>3722</v>
      </c>
      <c r="D2867" s="25">
        <v>0.0</v>
      </c>
      <c r="E2867" s="27"/>
      <c r="F2867" s="25">
        <v>0.0</v>
      </c>
      <c r="G2867" s="27"/>
    </row>
    <row r="2868" hidden="1">
      <c r="A2868" s="21"/>
      <c r="B2868" s="21" t="s">
        <v>3723</v>
      </c>
      <c r="D2868" s="25">
        <v>0.0</v>
      </c>
      <c r="E2868" s="27"/>
      <c r="F2868" s="25">
        <v>0.0</v>
      </c>
      <c r="G2868" s="27"/>
    </row>
    <row r="2869" hidden="1">
      <c r="A2869" s="21"/>
      <c r="B2869" s="21" t="s">
        <v>3724</v>
      </c>
      <c r="D2869" s="25">
        <v>0.0</v>
      </c>
      <c r="E2869" s="27"/>
      <c r="F2869" s="25">
        <v>0.0</v>
      </c>
      <c r="G2869" s="27"/>
    </row>
    <row r="2870" hidden="1">
      <c r="A2870" s="21"/>
      <c r="B2870" s="21" t="s">
        <v>3725</v>
      </c>
      <c r="D2870" s="25">
        <v>0.0</v>
      </c>
      <c r="E2870" s="27"/>
      <c r="F2870" s="25">
        <v>0.0</v>
      </c>
      <c r="G2870" s="27"/>
    </row>
    <row r="2871" hidden="1">
      <c r="A2871" s="21"/>
      <c r="B2871" s="21" t="s">
        <v>3726</v>
      </c>
      <c r="D2871" s="25">
        <v>0.0</v>
      </c>
      <c r="E2871" s="27"/>
      <c r="F2871" s="25">
        <v>0.0</v>
      </c>
      <c r="G2871" s="27"/>
    </row>
    <row r="2872" hidden="1">
      <c r="A2872" s="21"/>
      <c r="B2872" s="21" t="s">
        <v>3727</v>
      </c>
      <c r="D2872" s="25">
        <v>0.0</v>
      </c>
      <c r="E2872" s="27"/>
      <c r="F2872" s="25">
        <v>0.0</v>
      </c>
      <c r="G2872" s="27"/>
    </row>
    <row r="2873" hidden="1">
      <c r="A2873" s="21"/>
      <c r="B2873" s="21" t="s">
        <v>3728</v>
      </c>
      <c r="D2873" s="25">
        <v>0.0</v>
      </c>
      <c r="E2873" s="27"/>
      <c r="F2873" s="25">
        <v>0.0</v>
      </c>
      <c r="G2873" s="27"/>
    </row>
    <row r="2874" hidden="1">
      <c r="A2874" s="21"/>
      <c r="B2874" s="21" t="s">
        <v>3729</v>
      </c>
      <c r="D2874" s="25">
        <v>0.0</v>
      </c>
      <c r="E2874" s="27"/>
      <c r="F2874" s="25">
        <v>0.0</v>
      </c>
      <c r="G2874" s="27"/>
    </row>
    <row r="2875" hidden="1">
      <c r="A2875" s="21"/>
      <c r="B2875" s="21" t="s">
        <v>3730</v>
      </c>
      <c r="D2875" s="25">
        <v>0.0</v>
      </c>
      <c r="E2875" s="27"/>
      <c r="F2875" s="25">
        <v>0.0</v>
      </c>
      <c r="G2875" s="27"/>
    </row>
    <row r="2876" hidden="1">
      <c r="A2876" s="21"/>
      <c r="B2876" s="21" t="s">
        <v>3731</v>
      </c>
      <c r="D2876" s="25">
        <v>0.0</v>
      </c>
      <c r="E2876" s="27"/>
      <c r="F2876" s="25">
        <v>0.0</v>
      </c>
      <c r="G2876" s="27"/>
    </row>
    <row r="2877" hidden="1">
      <c r="A2877" s="21"/>
      <c r="B2877" s="21" t="s">
        <v>3732</v>
      </c>
      <c r="D2877" s="25">
        <v>0.0</v>
      </c>
      <c r="E2877" s="27"/>
      <c r="F2877" s="25">
        <v>0.0</v>
      </c>
      <c r="G2877" s="27"/>
    </row>
    <row r="2878" hidden="1">
      <c r="A2878" s="21"/>
      <c r="B2878" s="21" t="s">
        <v>3733</v>
      </c>
      <c r="D2878" s="25">
        <v>0.0</v>
      </c>
      <c r="E2878" s="27"/>
      <c r="F2878" s="25">
        <v>0.0</v>
      </c>
      <c r="G2878" s="27"/>
    </row>
    <row r="2879" hidden="1">
      <c r="A2879" s="21"/>
      <c r="B2879" s="21" t="s">
        <v>3734</v>
      </c>
      <c r="D2879" s="25">
        <v>0.0</v>
      </c>
      <c r="E2879" s="27"/>
      <c r="F2879" s="25">
        <v>0.0</v>
      </c>
      <c r="G2879" s="27"/>
    </row>
    <row r="2880" hidden="1">
      <c r="A2880" s="21"/>
      <c r="B2880" s="21" t="s">
        <v>3735</v>
      </c>
      <c r="D2880" s="25">
        <v>0.0</v>
      </c>
      <c r="E2880" s="27"/>
      <c r="F2880" s="25">
        <v>0.0</v>
      </c>
      <c r="G2880" s="27"/>
    </row>
    <row r="2881" hidden="1">
      <c r="A2881" s="21"/>
      <c r="B2881" s="21" t="s">
        <v>3736</v>
      </c>
      <c r="D2881" s="25">
        <v>0.0</v>
      </c>
      <c r="E2881" s="27"/>
      <c r="F2881" s="25">
        <v>0.0</v>
      </c>
      <c r="G2881" s="27"/>
    </row>
    <row r="2882" hidden="1">
      <c r="A2882" s="21"/>
      <c r="B2882" s="21" t="s">
        <v>3737</v>
      </c>
      <c r="D2882" s="25">
        <v>0.0</v>
      </c>
      <c r="E2882" s="27"/>
      <c r="F2882" s="25">
        <v>0.0</v>
      </c>
      <c r="G2882" s="27"/>
    </row>
    <row r="2883" hidden="1">
      <c r="A2883" s="21"/>
      <c r="B2883" s="21" t="s">
        <v>3738</v>
      </c>
      <c r="D2883" s="25">
        <v>0.0</v>
      </c>
      <c r="E2883" s="27"/>
      <c r="F2883" s="25">
        <v>0.0</v>
      </c>
      <c r="G2883" s="27"/>
    </row>
    <row r="2884" hidden="1">
      <c r="A2884" s="21"/>
      <c r="B2884" s="21" t="s">
        <v>3739</v>
      </c>
      <c r="D2884" s="25">
        <v>0.0</v>
      </c>
      <c r="E2884" s="27"/>
      <c r="F2884" s="25">
        <v>0.0</v>
      </c>
      <c r="G2884" s="27"/>
    </row>
    <row r="2885" hidden="1">
      <c r="A2885" s="21"/>
      <c r="B2885" s="21" t="s">
        <v>3740</v>
      </c>
      <c r="D2885" s="25">
        <v>0.0</v>
      </c>
      <c r="E2885" s="27"/>
      <c r="F2885" s="25">
        <v>0.0</v>
      </c>
      <c r="G2885" s="27"/>
    </row>
    <row r="2886" hidden="1">
      <c r="A2886" s="21"/>
      <c r="B2886" s="21" t="s">
        <v>3741</v>
      </c>
      <c r="D2886" s="25">
        <v>0.0</v>
      </c>
      <c r="E2886" s="27"/>
      <c r="F2886" s="25">
        <v>0.0</v>
      </c>
      <c r="G2886" s="27"/>
    </row>
    <row r="2887" hidden="1">
      <c r="A2887" s="21"/>
      <c r="B2887" s="21" t="s">
        <v>3742</v>
      </c>
      <c r="D2887" s="25">
        <v>0.0</v>
      </c>
      <c r="E2887" s="27"/>
      <c r="F2887" s="25">
        <v>0.0</v>
      </c>
      <c r="G2887" s="27"/>
    </row>
    <row r="2888" hidden="1">
      <c r="A2888" s="21"/>
      <c r="B2888" s="21" t="s">
        <v>3743</v>
      </c>
      <c r="D2888" s="25">
        <v>0.0</v>
      </c>
      <c r="E2888" s="27"/>
      <c r="F2888" s="25">
        <v>0.0</v>
      </c>
      <c r="G2888" s="27"/>
    </row>
    <row r="2889" hidden="1">
      <c r="A2889" s="21"/>
      <c r="B2889" s="21" t="s">
        <v>3744</v>
      </c>
      <c r="D2889" s="25">
        <v>0.0</v>
      </c>
      <c r="E2889" s="27"/>
      <c r="F2889" s="25">
        <v>0.0</v>
      </c>
      <c r="G2889" s="27"/>
    </row>
    <row r="2890" hidden="1">
      <c r="A2890" s="21"/>
      <c r="B2890" s="21" t="s">
        <v>3745</v>
      </c>
      <c r="D2890" s="25">
        <v>0.0</v>
      </c>
      <c r="E2890" s="27"/>
      <c r="F2890" s="25">
        <v>0.0</v>
      </c>
      <c r="G2890" s="27"/>
    </row>
    <row r="2891" hidden="1">
      <c r="A2891" s="21"/>
      <c r="B2891" s="21" t="s">
        <v>3746</v>
      </c>
      <c r="D2891" s="25">
        <v>0.0</v>
      </c>
      <c r="E2891" s="27"/>
      <c r="F2891" s="25">
        <v>0.0</v>
      </c>
      <c r="G2891" s="27"/>
    </row>
    <row r="2892" hidden="1">
      <c r="A2892" s="21"/>
      <c r="B2892" s="21" t="s">
        <v>3747</v>
      </c>
      <c r="D2892" s="25">
        <v>0.0</v>
      </c>
      <c r="E2892" s="27"/>
      <c r="F2892" s="25">
        <v>0.0</v>
      </c>
      <c r="G2892" s="27"/>
    </row>
    <row r="2893" hidden="1">
      <c r="A2893" s="21"/>
      <c r="B2893" s="21" t="s">
        <v>3748</v>
      </c>
      <c r="D2893" s="25">
        <v>0.0</v>
      </c>
      <c r="E2893" s="27"/>
      <c r="F2893" s="25">
        <v>0.0</v>
      </c>
      <c r="G2893" s="27"/>
    </row>
    <row r="2894" hidden="1">
      <c r="A2894" s="21"/>
      <c r="B2894" s="21" t="s">
        <v>3749</v>
      </c>
      <c r="D2894" s="25">
        <v>0.0</v>
      </c>
      <c r="E2894" s="27"/>
      <c r="F2894" s="25">
        <v>0.0</v>
      </c>
      <c r="G2894" s="27"/>
    </row>
    <row r="2895" hidden="1">
      <c r="A2895" s="21"/>
      <c r="B2895" s="21" t="s">
        <v>3750</v>
      </c>
      <c r="D2895" s="25">
        <v>0.0</v>
      </c>
      <c r="E2895" s="27"/>
      <c r="F2895" s="25">
        <v>0.0</v>
      </c>
      <c r="G2895" s="27"/>
    </row>
    <row r="2896" hidden="1">
      <c r="A2896" s="21"/>
      <c r="B2896" s="21" t="s">
        <v>3751</v>
      </c>
      <c r="D2896" s="25">
        <v>0.0</v>
      </c>
      <c r="E2896" s="27"/>
      <c r="F2896" s="25">
        <v>0.0</v>
      </c>
      <c r="G2896" s="27"/>
    </row>
    <row r="2897" hidden="1">
      <c r="A2897" s="21"/>
      <c r="B2897" s="21" t="s">
        <v>3752</v>
      </c>
      <c r="D2897" s="25">
        <v>0.0</v>
      </c>
      <c r="E2897" s="27"/>
      <c r="F2897" s="25">
        <v>0.0</v>
      </c>
      <c r="G2897" s="27"/>
    </row>
    <row r="2898" hidden="1">
      <c r="A2898" s="21"/>
      <c r="B2898" s="21" t="s">
        <v>3753</v>
      </c>
      <c r="D2898" s="25">
        <v>0.0</v>
      </c>
      <c r="E2898" s="27"/>
      <c r="F2898" s="25">
        <v>0.0</v>
      </c>
      <c r="G2898" s="27"/>
    </row>
    <row r="2899" hidden="1">
      <c r="A2899" s="21"/>
      <c r="B2899" s="21" t="s">
        <v>3754</v>
      </c>
      <c r="D2899" s="25">
        <v>0.0</v>
      </c>
      <c r="E2899" s="27"/>
      <c r="F2899" s="25">
        <v>0.0</v>
      </c>
      <c r="G2899" s="27"/>
    </row>
    <row r="2900" hidden="1">
      <c r="A2900" s="21"/>
      <c r="B2900" s="21" t="s">
        <v>3755</v>
      </c>
      <c r="D2900" s="25">
        <v>0.0</v>
      </c>
      <c r="E2900" s="27"/>
      <c r="F2900" s="25">
        <v>0.0</v>
      </c>
      <c r="G2900" s="27"/>
    </row>
    <row r="2901" hidden="1">
      <c r="A2901" s="21"/>
      <c r="B2901" s="21" t="s">
        <v>3756</v>
      </c>
      <c r="D2901" s="25">
        <v>0.0</v>
      </c>
      <c r="E2901" s="27"/>
      <c r="F2901" s="25">
        <v>0.0</v>
      </c>
      <c r="G2901" s="27"/>
    </row>
    <row r="2902" hidden="1">
      <c r="A2902" s="21"/>
      <c r="B2902" s="21" t="s">
        <v>3757</v>
      </c>
      <c r="D2902" s="25">
        <v>0.0</v>
      </c>
      <c r="E2902" s="27"/>
      <c r="F2902" s="25">
        <v>0.0</v>
      </c>
      <c r="G2902" s="27"/>
    </row>
    <row r="2903" hidden="1">
      <c r="A2903" s="21"/>
      <c r="B2903" s="21" t="s">
        <v>3758</v>
      </c>
      <c r="D2903" s="25">
        <v>0.0</v>
      </c>
      <c r="E2903" s="27"/>
      <c r="F2903" s="25">
        <v>0.0</v>
      </c>
      <c r="G2903" s="27"/>
    </row>
    <row r="2904" hidden="1">
      <c r="A2904" s="21"/>
      <c r="B2904" s="21" t="s">
        <v>3759</v>
      </c>
      <c r="D2904" s="25">
        <v>0.0</v>
      </c>
      <c r="E2904" s="27"/>
      <c r="F2904" s="25">
        <v>0.0</v>
      </c>
      <c r="G2904" s="27"/>
    </row>
    <row r="2905" hidden="1">
      <c r="A2905" s="21"/>
      <c r="B2905" s="21" t="s">
        <v>3760</v>
      </c>
      <c r="D2905" s="25">
        <v>0.0</v>
      </c>
      <c r="E2905" s="27"/>
      <c r="F2905" s="25">
        <v>0.0</v>
      </c>
      <c r="G2905" s="27"/>
    </row>
    <row r="2906" hidden="1">
      <c r="A2906" s="21"/>
      <c r="B2906" s="21" t="s">
        <v>3761</v>
      </c>
      <c r="D2906" s="25">
        <v>0.0</v>
      </c>
      <c r="E2906" s="27"/>
      <c r="F2906" s="25">
        <v>0.0</v>
      </c>
      <c r="G2906" s="27"/>
    </row>
    <row r="2907" hidden="1">
      <c r="A2907" s="21"/>
      <c r="B2907" s="21" t="s">
        <v>3762</v>
      </c>
      <c r="D2907" s="25">
        <v>0.0</v>
      </c>
      <c r="E2907" s="27"/>
      <c r="F2907" s="25">
        <v>0.0</v>
      </c>
      <c r="G2907" s="27"/>
    </row>
    <row r="2908" hidden="1">
      <c r="A2908" s="21"/>
      <c r="B2908" s="21" t="s">
        <v>3763</v>
      </c>
      <c r="D2908" s="25">
        <v>0.0</v>
      </c>
      <c r="E2908" s="27"/>
      <c r="F2908" s="25">
        <v>0.0</v>
      </c>
      <c r="G2908" s="27"/>
    </row>
    <row r="2909" hidden="1">
      <c r="A2909" s="21"/>
      <c r="B2909" s="21" t="s">
        <v>3764</v>
      </c>
      <c r="D2909" s="25">
        <v>0.0</v>
      </c>
      <c r="E2909" s="27"/>
      <c r="F2909" s="25">
        <v>0.0</v>
      </c>
      <c r="G2909" s="27"/>
    </row>
    <row r="2910" hidden="1">
      <c r="A2910" s="21"/>
      <c r="B2910" s="21" t="s">
        <v>3765</v>
      </c>
      <c r="D2910" s="25">
        <v>0.0</v>
      </c>
      <c r="E2910" s="27"/>
      <c r="F2910" s="25">
        <v>0.0</v>
      </c>
      <c r="G2910" s="27"/>
    </row>
    <row r="2911" hidden="1">
      <c r="A2911" s="21"/>
      <c r="B2911" s="21" t="s">
        <v>3766</v>
      </c>
      <c r="D2911" s="25">
        <v>0.0</v>
      </c>
      <c r="E2911" s="27"/>
      <c r="F2911" s="25">
        <v>0.0</v>
      </c>
      <c r="G2911" s="27"/>
    </row>
    <row r="2912" hidden="1">
      <c r="A2912" s="21"/>
      <c r="B2912" s="21" t="s">
        <v>3767</v>
      </c>
      <c r="D2912" s="25">
        <v>0.0</v>
      </c>
      <c r="E2912" s="27"/>
      <c r="F2912" s="25">
        <v>0.0</v>
      </c>
      <c r="G2912" s="27"/>
    </row>
    <row r="2913" hidden="1">
      <c r="A2913" s="21"/>
      <c r="B2913" s="21" t="s">
        <v>3768</v>
      </c>
      <c r="D2913" s="25">
        <v>0.0</v>
      </c>
      <c r="E2913" s="27"/>
      <c r="F2913" s="25">
        <v>0.0</v>
      </c>
      <c r="G2913" s="27"/>
    </row>
    <row r="2914" hidden="1">
      <c r="A2914" s="21"/>
      <c r="B2914" s="21" t="s">
        <v>3769</v>
      </c>
      <c r="D2914" s="25">
        <v>0.0</v>
      </c>
      <c r="E2914" s="27"/>
      <c r="F2914" s="25">
        <v>0.0</v>
      </c>
      <c r="G2914" s="27"/>
    </row>
    <row r="2915" hidden="1">
      <c r="A2915" s="21"/>
      <c r="B2915" s="21" t="s">
        <v>3770</v>
      </c>
      <c r="D2915" s="25">
        <v>0.0</v>
      </c>
      <c r="E2915" s="27"/>
      <c r="F2915" s="25">
        <v>0.0</v>
      </c>
      <c r="G2915" s="27"/>
    </row>
    <row r="2916" hidden="1">
      <c r="A2916" s="21"/>
      <c r="B2916" s="21" t="s">
        <v>3771</v>
      </c>
      <c r="D2916" s="25">
        <v>0.0</v>
      </c>
      <c r="E2916" s="27"/>
      <c r="F2916" s="25">
        <v>0.0</v>
      </c>
      <c r="G2916" s="27"/>
    </row>
    <row r="2917" hidden="1">
      <c r="A2917" s="21"/>
      <c r="B2917" s="21" t="s">
        <v>3772</v>
      </c>
      <c r="D2917" s="25">
        <v>0.0</v>
      </c>
      <c r="E2917" s="27"/>
      <c r="F2917" s="25">
        <v>0.0</v>
      </c>
      <c r="G2917" s="27"/>
    </row>
    <row r="2918" hidden="1">
      <c r="A2918" s="21"/>
      <c r="B2918" s="21" t="s">
        <v>3773</v>
      </c>
      <c r="D2918" s="25">
        <v>0.0</v>
      </c>
      <c r="E2918" s="27"/>
      <c r="F2918" s="25">
        <v>0.0</v>
      </c>
      <c r="G2918" s="27"/>
    </row>
    <row r="2919" hidden="1">
      <c r="A2919" s="21"/>
      <c r="B2919" s="21" t="s">
        <v>3774</v>
      </c>
      <c r="D2919" s="25">
        <v>0.0</v>
      </c>
      <c r="E2919" s="27"/>
      <c r="F2919" s="25">
        <v>0.0</v>
      </c>
      <c r="G2919" s="27"/>
    </row>
    <row r="2920" hidden="1">
      <c r="A2920" s="21"/>
      <c r="B2920" s="21" t="s">
        <v>3775</v>
      </c>
      <c r="D2920" s="25">
        <v>0.0</v>
      </c>
      <c r="E2920" s="27"/>
      <c r="F2920" s="25">
        <v>0.0</v>
      </c>
      <c r="G2920" s="27"/>
    </row>
    <row r="2921" hidden="1">
      <c r="A2921" s="21"/>
      <c r="B2921" s="21" t="s">
        <v>3776</v>
      </c>
      <c r="D2921" s="25">
        <v>0.0</v>
      </c>
      <c r="E2921" s="27"/>
      <c r="F2921" s="25">
        <v>0.0</v>
      </c>
      <c r="G2921" s="27"/>
    </row>
    <row r="2922" hidden="1">
      <c r="A2922" s="21"/>
      <c r="B2922" s="21" t="s">
        <v>3777</v>
      </c>
      <c r="D2922" s="25">
        <v>0.0</v>
      </c>
      <c r="E2922" s="27"/>
      <c r="F2922" s="25">
        <v>0.0</v>
      </c>
      <c r="G2922" s="27"/>
    </row>
    <row r="2923" hidden="1">
      <c r="A2923" s="21"/>
      <c r="B2923" s="21" t="s">
        <v>3778</v>
      </c>
      <c r="D2923" s="25">
        <v>0.0</v>
      </c>
      <c r="E2923" s="27"/>
      <c r="F2923" s="25">
        <v>0.0</v>
      </c>
      <c r="G2923" s="27"/>
    </row>
    <row r="2924" hidden="1">
      <c r="A2924" s="21"/>
      <c r="B2924" s="21" t="s">
        <v>3779</v>
      </c>
      <c r="D2924" s="25">
        <v>0.0</v>
      </c>
      <c r="E2924" s="27"/>
      <c r="F2924" s="25">
        <v>0.0</v>
      </c>
      <c r="G2924" s="27"/>
    </row>
    <row r="2925" hidden="1">
      <c r="A2925" s="21"/>
      <c r="B2925" s="21" t="s">
        <v>3780</v>
      </c>
      <c r="D2925" s="25">
        <v>0.0</v>
      </c>
      <c r="E2925" s="27"/>
      <c r="F2925" s="25">
        <v>0.0</v>
      </c>
      <c r="G2925" s="27"/>
    </row>
    <row r="2926" hidden="1">
      <c r="A2926" s="21"/>
      <c r="B2926" s="21" t="s">
        <v>3781</v>
      </c>
      <c r="D2926" s="25">
        <v>0.0</v>
      </c>
      <c r="E2926" s="27"/>
      <c r="F2926" s="25">
        <v>0.0</v>
      </c>
      <c r="G2926" s="27"/>
    </row>
    <row r="2927" hidden="1">
      <c r="A2927" s="21"/>
      <c r="B2927" s="21" t="s">
        <v>3782</v>
      </c>
      <c r="D2927" s="25">
        <v>0.0</v>
      </c>
      <c r="E2927" s="27"/>
      <c r="F2927" s="25">
        <v>0.0</v>
      </c>
      <c r="G2927" s="27"/>
    </row>
    <row r="2928" hidden="1">
      <c r="A2928" s="21"/>
      <c r="B2928" s="21" t="s">
        <v>3783</v>
      </c>
      <c r="D2928" s="25">
        <v>0.0</v>
      </c>
      <c r="E2928" s="27"/>
      <c r="F2928" s="25">
        <v>0.0</v>
      </c>
      <c r="G2928" s="27"/>
    </row>
    <row r="2929" hidden="1">
      <c r="A2929" s="21"/>
      <c r="B2929" s="21" t="s">
        <v>3784</v>
      </c>
      <c r="D2929" s="25">
        <v>0.0</v>
      </c>
      <c r="E2929" s="27"/>
      <c r="F2929" s="25">
        <v>0.0</v>
      </c>
      <c r="G2929" s="27"/>
    </row>
    <row r="2930" hidden="1">
      <c r="A2930" s="21"/>
      <c r="B2930" s="21" t="s">
        <v>3785</v>
      </c>
      <c r="D2930" s="25">
        <v>0.0</v>
      </c>
      <c r="E2930" s="27"/>
      <c r="F2930" s="25">
        <v>0.0</v>
      </c>
      <c r="G2930" s="27"/>
    </row>
    <row r="2931" hidden="1">
      <c r="A2931" s="21"/>
      <c r="B2931" s="21" t="s">
        <v>3786</v>
      </c>
      <c r="D2931" s="25">
        <v>0.0</v>
      </c>
      <c r="E2931" s="27"/>
      <c r="F2931" s="25">
        <v>0.0</v>
      </c>
      <c r="G2931" s="27"/>
    </row>
    <row r="2932" hidden="1">
      <c r="A2932" s="21"/>
      <c r="B2932" s="21" t="s">
        <v>3787</v>
      </c>
      <c r="D2932" s="25">
        <v>0.0</v>
      </c>
      <c r="E2932" s="27"/>
      <c r="F2932" s="25">
        <v>0.0</v>
      </c>
      <c r="G2932" s="27"/>
    </row>
    <row r="2933" hidden="1">
      <c r="A2933" s="21"/>
      <c r="B2933" s="21" t="s">
        <v>3788</v>
      </c>
      <c r="D2933" s="25">
        <v>0.0</v>
      </c>
      <c r="E2933" s="27"/>
      <c r="F2933" s="25">
        <v>0.0</v>
      </c>
      <c r="G2933" s="27"/>
    </row>
    <row r="2934" hidden="1">
      <c r="A2934" s="21"/>
      <c r="B2934" s="21" t="s">
        <v>3789</v>
      </c>
      <c r="D2934" s="25">
        <v>0.0</v>
      </c>
      <c r="E2934" s="27"/>
      <c r="F2934" s="25">
        <v>0.0</v>
      </c>
      <c r="G2934" s="27"/>
    </row>
    <row r="2935" hidden="1">
      <c r="A2935" s="21"/>
      <c r="B2935" s="21" t="s">
        <v>3790</v>
      </c>
      <c r="D2935" s="25">
        <v>0.0</v>
      </c>
      <c r="E2935" s="27"/>
      <c r="F2935" s="25">
        <v>0.0</v>
      </c>
      <c r="G2935" s="27"/>
    </row>
    <row r="2936" hidden="1">
      <c r="A2936" s="21"/>
      <c r="B2936" s="21" t="s">
        <v>3791</v>
      </c>
      <c r="D2936" s="25">
        <v>0.0</v>
      </c>
      <c r="E2936" s="27"/>
      <c r="F2936" s="25">
        <v>0.0</v>
      </c>
      <c r="G2936" s="27"/>
    </row>
    <row r="2937" hidden="1">
      <c r="A2937" s="21"/>
      <c r="B2937" s="21" t="s">
        <v>3792</v>
      </c>
      <c r="D2937" s="25">
        <v>0.0</v>
      </c>
      <c r="E2937" s="27"/>
      <c r="F2937" s="25">
        <v>0.0</v>
      </c>
      <c r="G2937" s="27"/>
    </row>
    <row r="2938" hidden="1">
      <c r="A2938" s="21"/>
      <c r="B2938" s="21" t="s">
        <v>3793</v>
      </c>
      <c r="D2938" s="25">
        <v>0.0</v>
      </c>
      <c r="E2938" s="27"/>
      <c r="F2938" s="25">
        <v>0.0</v>
      </c>
      <c r="G2938" s="27"/>
    </row>
    <row r="2939" hidden="1">
      <c r="A2939" s="21"/>
      <c r="B2939" s="21" t="s">
        <v>3794</v>
      </c>
      <c r="D2939" s="25">
        <v>0.0</v>
      </c>
      <c r="E2939" s="27"/>
      <c r="F2939" s="25">
        <v>0.0</v>
      </c>
      <c r="G2939" s="27"/>
    </row>
    <row r="2940" hidden="1">
      <c r="A2940" s="21"/>
      <c r="B2940" s="21" t="s">
        <v>3795</v>
      </c>
      <c r="D2940" s="25">
        <v>0.0</v>
      </c>
      <c r="E2940" s="27"/>
      <c r="F2940" s="25">
        <v>0.0</v>
      </c>
      <c r="G2940" s="27"/>
    </row>
    <row r="2941" hidden="1">
      <c r="A2941" s="21"/>
      <c r="B2941" s="21" t="s">
        <v>3796</v>
      </c>
      <c r="D2941" s="25">
        <v>0.0</v>
      </c>
      <c r="E2941" s="27"/>
      <c r="F2941" s="25">
        <v>10.91</v>
      </c>
      <c r="G2941" s="27"/>
    </row>
    <row r="2942" hidden="1">
      <c r="A2942" s="21"/>
      <c r="B2942" s="21" t="s">
        <v>3797</v>
      </c>
      <c r="D2942" s="25">
        <v>0.0</v>
      </c>
      <c r="E2942" s="27"/>
      <c r="F2942" s="25">
        <v>10.4</v>
      </c>
      <c r="G2942" s="27"/>
    </row>
    <row r="2943" hidden="1">
      <c r="A2943" s="21"/>
      <c r="B2943" s="21" t="s">
        <v>3798</v>
      </c>
      <c r="D2943" s="25">
        <v>0.0</v>
      </c>
      <c r="E2943" s="27"/>
      <c r="F2943" s="25">
        <v>0.0</v>
      </c>
      <c r="G2943" s="27"/>
    </row>
    <row r="2944" hidden="1">
      <c r="A2944" s="21"/>
      <c r="B2944" s="21" t="s">
        <v>3799</v>
      </c>
      <c r="D2944" s="25">
        <v>0.0</v>
      </c>
      <c r="E2944" s="27"/>
      <c r="F2944" s="25">
        <v>0.0</v>
      </c>
      <c r="G2944" s="27"/>
    </row>
    <row r="2945" hidden="1">
      <c r="A2945" s="21"/>
      <c r="B2945" s="21" t="s">
        <v>3800</v>
      </c>
      <c r="D2945" s="25">
        <v>0.0</v>
      </c>
      <c r="E2945" s="27"/>
      <c r="F2945" s="25">
        <v>0.0</v>
      </c>
      <c r="G2945" s="27"/>
    </row>
    <row r="2946" hidden="1">
      <c r="A2946" s="21"/>
      <c r="B2946" s="21" t="s">
        <v>3801</v>
      </c>
      <c r="D2946" s="25">
        <v>0.0</v>
      </c>
      <c r="E2946" s="27"/>
      <c r="F2946" s="25">
        <v>0.0</v>
      </c>
      <c r="G2946" s="27"/>
    </row>
    <row r="2947" hidden="1">
      <c r="A2947" s="21"/>
      <c r="B2947" s="21" t="s">
        <v>3802</v>
      </c>
      <c r="D2947" s="25">
        <v>0.0</v>
      </c>
      <c r="E2947" s="27"/>
      <c r="F2947" s="25">
        <v>0.0</v>
      </c>
      <c r="G2947" s="27"/>
    </row>
    <row r="2948" hidden="1">
      <c r="A2948" s="21"/>
      <c r="B2948" s="21" t="s">
        <v>3803</v>
      </c>
      <c r="D2948" s="25">
        <v>0.0</v>
      </c>
      <c r="E2948" s="27"/>
      <c r="F2948" s="25">
        <v>0.0</v>
      </c>
      <c r="G2948" s="27"/>
    </row>
    <row r="2949" hidden="1">
      <c r="A2949" s="21"/>
      <c r="B2949" s="21" t="s">
        <v>3804</v>
      </c>
      <c r="D2949" s="25">
        <v>0.0</v>
      </c>
      <c r="E2949" s="27"/>
      <c r="F2949" s="25">
        <v>6.98</v>
      </c>
      <c r="G2949" s="27"/>
    </row>
    <row r="2950" hidden="1">
      <c r="A2950" s="21"/>
      <c r="B2950" s="21" t="s">
        <v>3805</v>
      </c>
      <c r="D2950" s="25">
        <v>0.0</v>
      </c>
      <c r="E2950" s="27"/>
      <c r="F2950" s="25">
        <v>0.0</v>
      </c>
      <c r="G2950" s="27"/>
    </row>
    <row r="2951" hidden="1">
      <c r="A2951" s="21"/>
      <c r="B2951" s="21" t="s">
        <v>3806</v>
      </c>
      <c r="D2951" s="25">
        <v>0.0</v>
      </c>
      <c r="E2951" s="27"/>
      <c r="F2951" s="25">
        <v>0.0</v>
      </c>
      <c r="G2951" s="27"/>
    </row>
    <row r="2952" hidden="1">
      <c r="A2952" s="21"/>
      <c r="B2952" s="21" t="s">
        <v>3807</v>
      </c>
      <c r="D2952" s="25">
        <v>0.0</v>
      </c>
      <c r="E2952" s="27"/>
      <c r="F2952" s="25">
        <v>0.0</v>
      </c>
      <c r="G2952" s="27"/>
    </row>
    <row r="2953" hidden="1">
      <c r="A2953" s="21"/>
      <c r="B2953" s="21" t="s">
        <v>3808</v>
      </c>
      <c r="D2953" s="25">
        <v>0.0</v>
      </c>
      <c r="E2953" s="27"/>
      <c r="F2953" s="25">
        <v>6.28</v>
      </c>
      <c r="G2953" s="27"/>
    </row>
    <row r="2954" hidden="1">
      <c r="A2954" s="21"/>
      <c r="B2954" s="21" t="s">
        <v>3809</v>
      </c>
      <c r="D2954" s="25">
        <v>0.0</v>
      </c>
      <c r="E2954" s="27"/>
      <c r="F2954" s="25">
        <v>0.0</v>
      </c>
      <c r="G2954" s="27"/>
    </row>
    <row r="2955" hidden="1">
      <c r="A2955" s="21"/>
      <c r="B2955" s="21" t="s">
        <v>3810</v>
      </c>
      <c r="D2955" s="25">
        <v>0.0</v>
      </c>
      <c r="E2955" s="27"/>
      <c r="F2955" s="25">
        <v>0.0</v>
      </c>
      <c r="G2955" s="27"/>
    </row>
    <row r="2956" hidden="1">
      <c r="A2956" s="21"/>
      <c r="B2956" s="21" t="s">
        <v>3811</v>
      </c>
      <c r="D2956" s="25">
        <v>0.0</v>
      </c>
      <c r="E2956" s="27"/>
      <c r="F2956" s="25">
        <v>0.0</v>
      </c>
      <c r="G2956" s="27"/>
    </row>
    <row r="2957" hidden="1">
      <c r="A2957" s="21"/>
      <c r="B2957" s="21" t="s">
        <v>3812</v>
      </c>
      <c r="D2957" s="25">
        <v>0.0</v>
      </c>
      <c r="E2957" s="27"/>
      <c r="F2957" s="25">
        <v>0.0</v>
      </c>
      <c r="G2957" s="27"/>
    </row>
    <row r="2958" hidden="1">
      <c r="A2958" s="21"/>
      <c r="B2958" s="21" t="s">
        <v>3813</v>
      </c>
      <c r="D2958" s="25">
        <v>0.0</v>
      </c>
      <c r="E2958" s="27"/>
      <c r="F2958" s="25">
        <v>0.0</v>
      </c>
      <c r="G2958" s="27"/>
    </row>
    <row r="2959" hidden="1">
      <c r="A2959" s="21"/>
      <c r="B2959" s="21" t="s">
        <v>3814</v>
      </c>
      <c r="D2959" s="25">
        <v>0.0</v>
      </c>
      <c r="E2959" s="27"/>
      <c r="F2959" s="25">
        <v>0.0</v>
      </c>
      <c r="G2959" s="27"/>
    </row>
    <row r="2960" hidden="1">
      <c r="A2960" s="21"/>
      <c r="B2960" s="21" t="s">
        <v>3815</v>
      </c>
      <c r="D2960" s="25">
        <v>0.0</v>
      </c>
      <c r="E2960" s="27"/>
      <c r="F2960" s="25">
        <v>0.0</v>
      </c>
      <c r="G2960" s="27"/>
    </row>
    <row r="2961" hidden="1">
      <c r="A2961" s="21"/>
      <c r="B2961" s="21" t="s">
        <v>3816</v>
      </c>
      <c r="D2961" s="25">
        <v>0.0</v>
      </c>
      <c r="E2961" s="27"/>
      <c r="F2961" s="25">
        <v>0.0</v>
      </c>
      <c r="G2961" s="27"/>
    </row>
    <row r="2962" hidden="1">
      <c r="A2962" s="21"/>
      <c r="B2962" s="21" t="s">
        <v>3817</v>
      </c>
      <c r="D2962" s="25">
        <v>0.0</v>
      </c>
      <c r="E2962" s="27"/>
      <c r="F2962" s="25">
        <v>0.0</v>
      </c>
      <c r="G2962" s="27"/>
    </row>
    <row r="2963" hidden="1">
      <c r="A2963" s="21"/>
      <c r="B2963" s="21" t="s">
        <v>3818</v>
      </c>
      <c r="D2963" s="25">
        <v>0.0</v>
      </c>
      <c r="E2963" s="27"/>
      <c r="F2963" s="25">
        <v>0.0</v>
      </c>
      <c r="G2963" s="27"/>
    </row>
    <row r="2964" hidden="1">
      <c r="A2964" s="21"/>
      <c r="B2964" s="21" t="s">
        <v>3819</v>
      </c>
      <c r="D2964" s="25">
        <v>0.0</v>
      </c>
      <c r="E2964" s="27"/>
      <c r="F2964" s="25">
        <v>0.0</v>
      </c>
      <c r="G2964" s="27"/>
    </row>
    <row r="2965" hidden="1">
      <c r="A2965" s="21"/>
      <c r="B2965" s="21" t="s">
        <v>3820</v>
      </c>
      <c r="D2965" s="25">
        <v>0.0</v>
      </c>
      <c r="E2965" s="27"/>
      <c r="F2965" s="25">
        <v>0.0</v>
      </c>
      <c r="G2965" s="27"/>
    </row>
    <row r="2966" hidden="1">
      <c r="A2966" s="21"/>
      <c r="B2966" s="21" t="s">
        <v>3821</v>
      </c>
      <c r="D2966" s="25">
        <v>0.0</v>
      </c>
      <c r="E2966" s="27"/>
      <c r="F2966" s="25">
        <v>0.0</v>
      </c>
      <c r="G2966" s="27"/>
    </row>
    <row r="2967" hidden="1">
      <c r="A2967" s="21"/>
      <c r="B2967" s="21" t="s">
        <v>3822</v>
      </c>
      <c r="D2967" s="25">
        <v>0.0</v>
      </c>
      <c r="E2967" s="27"/>
      <c r="F2967" s="25">
        <v>0.0</v>
      </c>
      <c r="G2967" s="27"/>
    </row>
    <row r="2968" hidden="1">
      <c r="A2968" s="21"/>
      <c r="B2968" s="21" t="s">
        <v>3823</v>
      </c>
      <c r="D2968" s="25">
        <v>0.0</v>
      </c>
      <c r="E2968" s="27"/>
      <c r="F2968" s="25">
        <v>0.0</v>
      </c>
      <c r="G2968" s="27"/>
    </row>
    <row r="2969" hidden="1">
      <c r="A2969" s="21"/>
      <c r="B2969" s="21" t="s">
        <v>3824</v>
      </c>
      <c r="D2969" s="25">
        <v>0.0</v>
      </c>
      <c r="E2969" s="27"/>
      <c r="F2969" s="25">
        <v>0.0</v>
      </c>
      <c r="G2969" s="27"/>
    </row>
    <row r="2970" hidden="1">
      <c r="A2970" s="21"/>
      <c r="B2970" s="21" t="s">
        <v>3825</v>
      </c>
      <c r="D2970" s="25">
        <v>0.0</v>
      </c>
      <c r="E2970" s="27"/>
      <c r="F2970" s="25">
        <v>0.0</v>
      </c>
      <c r="G2970" s="27"/>
    </row>
    <row r="2971" hidden="1">
      <c r="A2971" s="21"/>
      <c r="B2971" s="21" t="s">
        <v>3826</v>
      </c>
      <c r="D2971" s="25">
        <v>0.0</v>
      </c>
      <c r="E2971" s="27"/>
      <c r="F2971" s="25">
        <v>0.0</v>
      </c>
      <c r="G2971" s="27"/>
    </row>
    <row r="2972" hidden="1">
      <c r="A2972" s="21"/>
      <c r="B2972" s="21" t="s">
        <v>3827</v>
      </c>
      <c r="D2972" s="25">
        <v>0.0</v>
      </c>
      <c r="E2972" s="27"/>
      <c r="F2972" s="25">
        <v>0.0</v>
      </c>
      <c r="G2972" s="27"/>
    </row>
    <row r="2973" hidden="1">
      <c r="A2973" s="21"/>
      <c r="B2973" s="21" t="s">
        <v>3828</v>
      </c>
      <c r="D2973" s="25">
        <v>0.0</v>
      </c>
      <c r="E2973" s="27"/>
      <c r="F2973" s="25">
        <v>0.0</v>
      </c>
      <c r="G2973" s="27"/>
    </row>
    <row r="2974" hidden="1">
      <c r="A2974" s="21"/>
      <c r="B2974" s="21" t="s">
        <v>3829</v>
      </c>
      <c r="D2974" s="25">
        <v>0.0</v>
      </c>
      <c r="E2974" s="27"/>
      <c r="F2974" s="25">
        <v>0.0</v>
      </c>
      <c r="G2974" s="27"/>
    </row>
    <row r="2975" hidden="1">
      <c r="A2975" s="21"/>
      <c r="B2975" s="21" t="s">
        <v>3830</v>
      </c>
      <c r="D2975" s="25">
        <v>0.0</v>
      </c>
      <c r="E2975" s="27"/>
      <c r="F2975" s="25">
        <v>0.0</v>
      </c>
      <c r="G2975" s="27"/>
    </row>
    <row r="2976" hidden="1">
      <c r="A2976" s="21"/>
      <c r="B2976" s="21" t="s">
        <v>3831</v>
      </c>
      <c r="D2976" s="25">
        <v>0.0</v>
      </c>
      <c r="E2976" s="27"/>
      <c r="F2976" s="25">
        <v>0.0</v>
      </c>
      <c r="G2976" s="27"/>
    </row>
    <row r="2977" hidden="1">
      <c r="A2977" s="21"/>
      <c r="B2977" s="21" t="s">
        <v>3832</v>
      </c>
      <c r="D2977" s="25">
        <v>0.0</v>
      </c>
      <c r="E2977" s="27"/>
      <c r="F2977" s="25">
        <v>0.0</v>
      </c>
      <c r="G2977" s="27"/>
    </row>
    <row r="2978" hidden="1">
      <c r="A2978" s="21"/>
      <c r="B2978" s="21" t="s">
        <v>3833</v>
      </c>
      <c r="D2978" s="25">
        <v>0.0</v>
      </c>
      <c r="E2978" s="27"/>
      <c r="F2978" s="25">
        <v>0.0</v>
      </c>
      <c r="G2978" s="27"/>
    </row>
    <row r="2979" hidden="1">
      <c r="A2979" s="21"/>
      <c r="B2979" s="21" t="s">
        <v>3834</v>
      </c>
      <c r="D2979" s="25">
        <v>0.0</v>
      </c>
      <c r="E2979" s="27"/>
      <c r="F2979" s="25">
        <v>0.0</v>
      </c>
      <c r="G2979" s="27"/>
    </row>
    <row r="2980" hidden="1">
      <c r="A2980" s="21"/>
      <c r="B2980" s="21" t="s">
        <v>3835</v>
      </c>
      <c r="D2980" s="25">
        <v>0.0</v>
      </c>
      <c r="E2980" s="27"/>
      <c r="F2980" s="25">
        <v>0.0</v>
      </c>
      <c r="G2980" s="27"/>
    </row>
    <row r="2981" hidden="1">
      <c r="A2981" s="21"/>
      <c r="B2981" s="21" t="s">
        <v>3836</v>
      </c>
      <c r="D2981" s="25">
        <v>0.0</v>
      </c>
      <c r="E2981" s="27"/>
      <c r="F2981" s="25">
        <v>0.0</v>
      </c>
      <c r="G2981" s="27"/>
    </row>
    <row r="2982" hidden="1">
      <c r="A2982" s="21"/>
      <c r="B2982" s="21" t="s">
        <v>3837</v>
      </c>
      <c r="D2982" s="25">
        <v>0.0</v>
      </c>
      <c r="E2982" s="27"/>
      <c r="F2982" s="25">
        <v>0.0</v>
      </c>
      <c r="G2982" s="27"/>
    </row>
    <row r="2983" hidden="1">
      <c r="A2983" s="21"/>
      <c r="B2983" s="21" t="s">
        <v>3838</v>
      </c>
      <c r="D2983" s="25">
        <v>0.0</v>
      </c>
      <c r="E2983" s="27"/>
      <c r="F2983" s="25">
        <v>0.0</v>
      </c>
      <c r="G2983" s="27"/>
    </row>
    <row r="2984" hidden="1">
      <c r="A2984" s="21"/>
      <c r="B2984" s="21" t="s">
        <v>3839</v>
      </c>
      <c r="D2984" s="25">
        <v>0.0</v>
      </c>
      <c r="E2984" s="27"/>
      <c r="F2984" s="25">
        <v>0.0</v>
      </c>
      <c r="G2984" s="27"/>
    </row>
    <row r="2985" hidden="1">
      <c r="A2985" s="21"/>
      <c r="B2985" s="21" t="s">
        <v>3840</v>
      </c>
      <c r="D2985" s="25">
        <v>0.0</v>
      </c>
      <c r="E2985" s="27"/>
      <c r="F2985" s="25">
        <v>7.31</v>
      </c>
      <c r="G2985" s="27"/>
    </row>
    <row r="2986" hidden="1">
      <c r="A2986" s="21"/>
      <c r="B2986" s="21" t="s">
        <v>3841</v>
      </c>
      <c r="D2986" s="25">
        <v>0.0</v>
      </c>
      <c r="E2986" s="27"/>
      <c r="F2986" s="25">
        <v>0.0</v>
      </c>
      <c r="G2986" s="27"/>
    </row>
    <row r="2987" hidden="1">
      <c r="A2987" s="21"/>
      <c r="B2987" s="21" t="s">
        <v>3842</v>
      </c>
      <c r="D2987" s="25">
        <v>0.0</v>
      </c>
      <c r="E2987" s="27"/>
      <c r="F2987" s="25">
        <v>8.92</v>
      </c>
      <c r="G2987" s="27"/>
    </row>
    <row r="2988" hidden="1">
      <c r="A2988" s="21"/>
      <c r="B2988" s="21" t="s">
        <v>3843</v>
      </c>
      <c r="D2988" s="25">
        <v>0.0</v>
      </c>
      <c r="E2988" s="27"/>
      <c r="F2988" s="25">
        <v>0.0</v>
      </c>
      <c r="G2988" s="27"/>
    </row>
    <row r="2989" hidden="1">
      <c r="A2989" s="21"/>
      <c r="B2989" s="21" t="s">
        <v>3844</v>
      </c>
      <c r="D2989" s="25">
        <v>0.0</v>
      </c>
      <c r="E2989" s="27"/>
      <c r="F2989" s="25">
        <v>0.0</v>
      </c>
      <c r="G2989" s="27"/>
    </row>
    <row r="2990" hidden="1">
      <c r="A2990" s="21"/>
      <c r="B2990" s="21" t="s">
        <v>3845</v>
      </c>
      <c r="D2990" s="25">
        <v>0.0</v>
      </c>
      <c r="E2990" s="27"/>
      <c r="F2990" s="25">
        <v>0.0</v>
      </c>
      <c r="G2990" s="27"/>
    </row>
    <row r="2991" hidden="1">
      <c r="A2991" s="21"/>
      <c r="B2991" s="21" t="s">
        <v>3846</v>
      </c>
      <c r="D2991" s="25">
        <v>0.0</v>
      </c>
      <c r="E2991" s="27"/>
      <c r="F2991" s="25">
        <v>0.0</v>
      </c>
      <c r="G2991" s="27"/>
    </row>
    <row r="2992" hidden="1">
      <c r="A2992" s="21"/>
      <c r="B2992" s="21" t="s">
        <v>3847</v>
      </c>
      <c r="D2992" s="25">
        <v>0.0</v>
      </c>
      <c r="E2992" s="27"/>
      <c r="F2992" s="25">
        <v>0.0</v>
      </c>
      <c r="G2992" s="27"/>
    </row>
    <row r="2993" hidden="1">
      <c r="A2993" s="21"/>
      <c r="B2993" s="21" t="s">
        <v>3848</v>
      </c>
      <c r="D2993" s="25">
        <v>0.0</v>
      </c>
      <c r="E2993" s="27"/>
      <c r="F2993" s="25">
        <v>0.0</v>
      </c>
      <c r="G2993" s="27"/>
    </row>
    <row r="2994" hidden="1">
      <c r="A2994" s="21"/>
      <c r="B2994" s="21" t="s">
        <v>3849</v>
      </c>
      <c r="D2994" s="25">
        <v>0.0</v>
      </c>
      <c r="E2994" s="27"/>
      <c r="F2994" s="25">
        <v>0.0</v>
      </c>
      <c r="G2994" s="27"/>
    </row>
    <row r="2995" hidden="1">
      <c r="A2995" s="21"/>
      <c r="B2995" s="21" t="s">
        <v>3850</v>
      </c>
      <c r="D2995" s="25">
        <v>0.0</v>
      </c>
      <c r="E2995" s="27"/>
      <c r="F2995" s="25">
        <v>0.0</v>
      </c>
      <c r="G2995" s="27"/>
    </row>
    <row r="2996" hidden="1">
      <c r="A2996" s="21"/>
      <c r="B2996" s="21" t="s">
        <v>3851</v>
      </c>
      <c r="D2996" s="25">
        <v>0.0</v>
      </c>
      <c r="E2996" s="27"/>
      <c r="F2996" s="25">
        <v>0.0</v>
      </c>
      <c r="G2996" s="27"/>
    </row>
    <row r="2997" hidden="1">
      <c r="A2997" s="21"/>
      <c r="B2997" s="21" t="s">
        <v>3852</v>
      </c>
      <c r="D2997" s="25">
        <v>0.0</v>
      </c>
      <c r="E2997" s="27"/>
      <c r="F2997" s="25">
        <v>3.87</v>
      </c>
      <c r="G2997" s="27"/>
    </row>
    <row r="2998" hidden="1">
      <c r="A2998" s="21"/>
      <c r="B2998" s="21" t="s">
        <v>3853</v>
      </c>
      <c r="D2998" s="25">
        <v>0.0</v>
      </c>
      <c r="E2998" s="27"/>
      <c r="F2998" s="25">
        <v>0.0</v>
      </c>
      <c r="G2998" s="27"/>
    </row>
    <row r="2999" hidden="1">
      <c r="A2999" s="21"/>
      <c r="B2999" s="21" t="s">
        <v>3854</v>
      </c>
      <c r="D2999" s="25">
        <v>0.0</v>
      </c>
      <c r="E2999" s="27"/>
      <c r="F2999" s="25">
        <v>0.0</v>
      </c>
      <c r="G2999" s="27"/>
    </row>
    <row r="3000" hidden="1">
      <c r="A3000" s="21"/>
      <c r="B3000" s="21" t="s">
        <v>3855</v>
      </c>
      <c r="D3000" s="25">
        <v>0.0</v>
      </c>
      <c r="E3000" s="27"/>
      <c r="F3000" s="25">
        <v>0.0</v>
      </c>
      <c r="G3000" s="27"/>
    </row>
    <row r="3001" hidden="1">
      <c r="A3001" s="21"/>
      <c r="B3001" s="21" t="s">
        <v>3856</v>
      </c>
      <c r="D3001" s="25">
        <v>0.0</v>
      </c>
      <c r="E3001" s="27"/>
      <c r="F3001" s="25">
        <v>0.0</v>
      </c>
      <c r="G3001" s="27"/>
    </row>
    <row r="3002" hidden="1">
      <c r="A3002" s="21"/>
      <c r="B3002" s="21" t="s">
        <v>3857</v>
      </c>
      <c r="D3002" s="25">
        <v>0.0</v>
      </c>
      <c r="E3002" s="27"/>
      <c r="F3002" s="25">
        <v>0.0</v>
      </c>
      <c r="G3002" s="27"/>
    </row>
    <row r="3003" hidden="1">
      <c r="A3003" s="21"/>
      <c r="B3003" s="21" t="s">
        <v>3858</v>
      </c>
      <c r="D3003" s="25">
        <v>0.0</v>
      </c>
      <c r="E3003" s="27"/>
      <c r="F3003" s="25">
        <v>0.0</v>
      </c>
      <c r="G3003" s="27"/>
    </row>
    <row r="3004" hidden="1">
      <c r="A3004" s="21"/>
      <c r="B3004" s="21" t="s">
        <v>3859</v>
      </c>
      <c r="D3004" s="25">
        <v>0.0</v>
      </c>
      <c r="E3004" s="27"/>
      <c r="F3004" s="25">
        <v>0.0</v>
      </c>
      <c r="G3004" s="27"/>
    </row>
    <row r="3005" hidden="1">
      <c r="A3005" s="21"/>
      <c r="B3005" s="21" t="s">
        <v>3860</v>
      </c>
      <c r="D3005" s="25">
        <v>0.0</v>
      </c>
      <c r="E3005" s="27"/>
      <c r="F3005" s="25">
        <v>0.0</v>
      </c>
      <c r="G3005" s="27"/>
    </row>
    <row r="3006" hidden="1">
      <c r="A3006" s="21"/>
      <c r="B3006" s="21" t="s">
        <v>3861</v>
      </c>
      <c r="D3006" s="25">
        <v>0.0</v>
      </c>
      <c r="E3006" s="27"/>
      <c r="F3006" s="25">
        <v>0.0</v>
      </c>
      <c r="G3006" s="27"/>
    </row>
    <row r="3007" hidden="1">
      <c r="A3007" s="21"/>
      <c r="B3007" s="21" t="s">
        <v>3862</v>
      </c>
      <c r="D3007" s="25">
        <v>0.0</v>
      </c>
      <c r="E3007" s="27"/>
      <c r="F3007" s="25">
        <v>0.0</v>
      </c>
      <c r="G3007" s="27"/>
    </row>
    <row r="3008" hidden="1">
      <c r="A3008" s="21"/>
      <c r="B3008" s="21" t="s">
        <v>3863</v>
      </c>
      <c r="D3008" s="25">
        <v>0.0</v>
      </c>
      <c r="E3008" s="27"/>
      <c r="F3008" s="25">
        <v>0.0</v>
      </c>
      <c r="G3008" s="27"/>
    </row>
    <row r="3009" hidden="1">
      <c r="A3009" s="21"/>
      <c r="B3009" s="21" t="s">
        <v>3864</v>
      </c>
      <c r="D3009" s="25">
        <v>0.0</v>
      </c>
      <c r="E3009" s="27"/>
      <c r="F3009" s="25">
        <v>0.0</v>
      </c>
      <c r="G3009" s="27"/>
    </row>
    <row r="3010" hidden="1">
      <c r="A3010" s="21"/>
      <c r="B3010" s="21" t="s">
        <v>3865</v>
      </c>
      <c r="D3010" s="25">
        <v>0.0</v>
      </c>
      <c r="E3010" s="27"/>
      <c r="F3010" s="25">
        <v>0.0</v>
      </c>
      <c r="G3010" s="27"/>
    </row>
    <row r="3011" hidden="1">
      <c r="A3011" s="21"/>
      <c r="B3011" s="21" t="s">
        <v>3866</v>
      </c>
      <c r="D3011" s="25">
        <v>0.0</v>
      </c>
      <c r="E3011" s="27"/>
      <c r="F3011" s="25">
        <v>0.0</v>
      </c>
      <c r="G3011" s="27"/>
    </row>
    <row r="3012" hidden="1">
      <c r="A3012" s="21"/>
      <c r="B3012" s="21" t="s">
        <v>3867</v>
      </c>
      <c r="D3012" s="25">
        <v>0.0</v>
      </c>
      <c r="E3012" s="27"/>
      <c r="F3012" s="25">
        <v>0.0</v>
      </c>
      <c r="G3012" s="27"/>
    </row>
    <row r="3013" hidden="1">
      <c r="A3013" s="21"/>
      <c r="B3013" s="21" t="s">
        <v>3868</v>
      </c>
      <c r="D3013" s="25">
        <v>0.0</v>
      </c>
      <c r="E3013" s="27"/>
      <c r="F3013" s="25">
        <v>0.0</v>
      </c>
      <c r="G3013" s="27"/>
    </row>
    <row r="3014" hidden="1">
      <c r="A3014" s="21"/>
      <c r="B3014" s="21" t="s">
        <v>3869</v>
      </c>
      <c r="D3014" s="25">
        <v>0.0</v>
      </c>
      <c r="E3014" s="27"/>
      <c r="F3014" s="25">
        <v>0.0</v>
      </c>
      <c r="G3014" s="27"/>
    </row>
    <row r="3015" hidden="1">
      <c r="A3015" s="21"/>
      <c r="B3015" s="21" t="s">
        <v>3870</v>
      </c>
      <c r="D3015" s="25">
        <v>0.0</v>
      </c>
      <c r="E3015" s="27"/>
      <c r="F3015" s="25">
        <v>0.0</v>
      </c>
      <c r="G3015" s="27"/>
    </row>
    <row r="3016" hidden="1">
      <c r="A3016" s="21"/>
      <c r="B3016" s="21" t="s">
        <v>3871</v>
      </c>
      <c r="D3016" s="25">
        <v>0.0</v>
      </c>
      <c r="E3016" s="27"/>
      <c r="F3016" s="25">
        <v>0.0</v>
      </c>
      <c r="G3016" s="27"/>
    </row>
    <row r="3017" hidden="1">
      <c r="A3017" s="21"/>
      <c r="B3017" s="21" t="s">
        <v>3872</v>
      </c>
      <c r="D3017" s="25">
        <v>0.0</v>
      </c>
      <c r="E3017" s="27"/>
      <c r="F3017" s="25">
        <v>0.0</v>
      </c>
      <c r="G3017" s="27"/>
    </row>
    <row r="3018" hidden="1">
      <c r="A3018" s="21"/>
      <c r="B3018" s="21" t="s">
        <v>3873</v>
      </c>
      <c r="D3018" s="25">
        <v>0.0</v>
      </c>
      <c r="E3018" s="27"/>
      <c r="F3018" s="25">
        <v>0.0</v>
      </c>
      <c r="G3018" s="27"/>
    </row>
    <row r="3019" hidden="1">
      <c r="A3019" s="21"/>
      <c r="B3019" s="21" t="s">
        <v>3874</v>
      </c>
      <c r="D3019" s="25">
        <v>0.0</v>
      </c>
      <c r="E3019" s="27"/>
      <c r="F3019" s="25">
        <v>0.0</v>
      </c>
      <c r="G3019" s="27"/>
    </row>
    <row r="3020" hidden="1">
      <c r="A3020" s="21"/>
      <c r="B3020" s="21" t="s">
        <v>3875</v>
      </c>
      <c r="D3020" s="25">
        <v>0.0</v>
      </c>
      <c r="E3020" s="27"/>
      <c r="F3020" s="25">
        <v>0.0</v>
      </c>
      <c r="G3020" s="27"/>
    </row>
    <row r="3021" hidden="1">
      <c r="A3021" s="21"/>
      <c r="B3021" s="21" t="s">
        <v>3876</v>
      </c>
      <c r="D3021" s="25">
        <v>0.0</v>
      </c>
      <c r="E3021" s="27"/>
      <c r="F3021" s="25">
        <v>0.0</v>
      </c>
      <c r="G3021" s="27"/>
    </row>
    <row r="3022" hidden="1">
      <c r="A3022" s="21"/>
      <c r="B3022" s="21" t="s">
        <v>3877</v>
      </c>
      <c r="D3022" s="25">
        <v>0.0</v>
      </c>
      <c r="E3022" s="27"/>
      <c r="F3022" s="25">
        <v>0.0</v>
      </c>
      <c r="G3022" s="27"/>
    </row>
    <row r="3023" hidden="1">
      <c r="A3023" s="21"/>
      <c r="B3023" s="21" t="s">
        <v>3878</v>
      </c>
      <c r="D3023" s="25">
        <v>0.0</v>
      </c>
      <c r="E3023" s="27"/>
      <c r="F3023" s="25">
        <v>0.0</v>
      </c>
      <c r="G3023" s="27"/>
    </row>
    <row r="3024" hidden="1">
      <c r="A3024" s="21"/>
      <c r="B3024" s="21" t="s">
        <v>3879</v>
      </c>
      <c r="D3024" s="25">
        <v>0.0</v>
      </c>
      <c r="E3024" s="27"/>
      <c r="F3024" s="25">
        <v>0.0</v>
      </c>
      <c r="G3024" s="27"/>
    </row>
    <row r="3025" hidden="1">
      <c r="A3025" s="21"/>
      <c r="B3025" s="21" t="s">
        <v>3880</v>
      </c>
      <c r="D3025" s="25">
        <v>0.0</v>
      </c>
      <c r="E3025" s="27"/>
      <c r="F3025" s="25">
        <v>0.0</v>
      </c>
      <c r="G3025" s="27"/>
    </row>
    <row r="3026" hidden="1">
      <c r="A3026" s="21"/>
      <c r="B3026" s="21" t="s">
        <v>3881</v>
      </c>
      <c r="D3026" s="25">
        <v>0.0</v>
      </c>
      <c r="E3026" s="27"/>
      <c r="F3026" s="25">
        <v>0.0</v>
      </c>
      <c r="G3026" s="27"/>
    </row>
    <row r="3027" hidden="1">
      <c r="A3027" s="21"/>
      <c r="B3027" s="21" t="s">
        <v>3882</v>
      </c>
      <c r="D3027" s="25">
        <v>0.0</v>
      </c>
      <c r="E3027" s="27"/>
      <c r="F3027" s="25">
        <v>0.0</v>
      </c>
      <c r="G3027" s="27"/>
    </row>
    <row r="3028" hidden="1">
      <c r="A3028" s="21"/>
      <c r="B3028" s="21" t="s">
        <v>3883</v>
      </c>
      <c r="D3028" s="25">
        <v>0.0</v>
      </c>
      <c r="E3028" s="27"/>
      <c r="F3028" s="25">
        <v>0.0</v>
      </c>
      <c r="G3028" s="27"/>
    </row>
    <row r="3029" hidden="1">
      <c r="A3029" s="21"/>
      <c r="B3029" s="21" t="s">
        <v>3884</v>
      </c>
      <c r="D3029" s="25">
        <v>0.0</v>
      </c>
      <c r="E3029" s="27"/>
      <c r="F3029" s="25">
        <v>0.0</v>
      </c>
      <c r="G3029" s="27"/>
    </row>
    <row r="3030" hidden="1">
      <c r="A3030" s="21"/>
      <c r="B3030" s="21" t="s">
        <v>3885</v>
      </c>
      <c r="D3030" s="25">
        <v>0.0</v>
      </c>
      <c r="E3030" s="27"/>
      <c r="F3030" s="25">
        <v>0.0</v>
      </c>
      <c r="G3030" s="27"/>
    </row>
    <row r="3031" hidden="1">
      <c r="A3031" s="21"/>
      <c r="B3031" s="21" t="s">
        <v>3886</v>
      </c>
      <c r="D3031" s="25">
        <v>0.0</v>
      </c>
      <c r="E3031" s="27"/>
      <c r="F3031" s="25">
        <v>0.0</v>
      </c>
      <c r="G3031" s="27"/>
    </row>
    <row r="3032" hidden="1">
      <c r="A3032" s="21"/>
      <c r="B3032" s="21" t="s">
        <v>3887</v>
      </c>
      <c r="D3032" s="25">
        <v>0.0</v>
      </c>
      <c r="E3032" s="27"/>
      <c r="F3032" s="25">
        <v>0.0</v>
      </c>
      <c r="G3032" s="27"/>
    </row>
    <row r="3033" hidden="1">
      <c r="A3033" s="21"/>
      <c r="B3033" s="21" t="s">
        <v>3888</v>
      </c>
      <c r="D3033" s="25">
        <v>0.0</v>
      </c>
      <c r="E3033" s="27"/>
      <c r="F3033" s="25">
        <v>0.0</v>
      </c>
      <c r="G3033" s="27"/>
    </row>
    <row r="3034" hidden="1">
      <c r="A3034" s="21"/>
      <c r="B3034" s="21" t="s">
        <v>3889</v>
      </c>
      <c r="D3034" s="25">
        <v>0.0</v>
      </c>
      <c r="E3034" s="27"/>
      <c r="F3034" s="25">
        <v>0.0</v>
      </c>
      <c r="G3034" s="27"/>
    </row>
    <row r="3035" hidden="1">
      <c r="A3035" s="21"/>
      <c r="B3035" s="21" t="s">
        <v>3890</v>
      </c>
      <c r="D3035" s="25">
        <v>0.0</v>
      </c>
      <c r="E3035" s="27"/>
      <c r="F3035" s="25">
        <v>0.0</v>
      </c>
      <c r="G3035" s="27"/>
    </row>
    <row r="3036" hidden="1">
      <c r="A3036" s="21"/>
      <c r="B3036" s="21" t="s">
        <v>3891</v>
      </c>
      <c r="D3036" s="25">
        <v>0.0</v>
      </c>
      <c r="E3036" s="27"/>
      <c r="F3036" s="25">
        <v>0.0</v>
      </c>
      <c r="G3036" s="27"/>
    </row>
    <row r="3037" hidden="1">
      <c r="A3037" s="21"/>
      <c r="B3037" s="21" t="s">
        <v>3892</v>
      </c>
      <c r="D3037" s="25">
        <v>0.0</v>
      </c>
      <c r="E3037" s="27"/>
      <c r="F3037" s="25">
        <v>0.0</v>
      </c>
      <c r="G3037" s="27"/>
    </row>
    <row r="3038" hidden="1">
      <c r="A3038" s="21"/>
      <c r="B3038" s="21" t="s">
        <v>3893</v>
      </c>
      <c r="D3038" s="25">
        <v>0.0</v>
      </c>
      <c r="E3038" s="27"/>
      <c r="F3038" s="25">
        <v>0.0</v>
      </c>
      <c r="G3038" s="27"/>
    </row>
    <row r="3039" hidden="1">
      <c r="A3039" s="21"/>
      <c r="B3039" s="21" t="s">
        <v>3894</v>
      </c>
      <c r="D3039" s="25">
        <v>0.0</v>
      </c>
      <c r="E3039" s="27"/>
      <c r="F3039" s="25">
        <v>0.0</v>
      </c>
      <c r="G3039" s="27"/>
    </row>
    <row r="3040" hidden="1">
      <c r="A3040" s="21"/>
      <c r="B3040" s="21" t="s">
        <v>3895</v>
      </c>
      <c r="D3040" s="25">
        <v>0.0</v>
      </c>
      <c r="E3040" s="27"/>
      <c r="F3040" s="25">
        <v>0.0</v>
      </c>
      <c r="G3040" s="27"/>
    </row>
    <row r="3041" hidden="1">
      <c r="A3041" s="21"/>
      <c r="B3041" s="21" t="s">
        <v>3896</v>
      </c>
      <c r="D3041" s="25">
        <v>0.0</v>
      </c>
      <c r="E3041" s="27"/>
      <c r="F3041" s="25">
        <v>0.0</v>
      </c>
      <c r="G3041" s="27"/>
    </row>
    <row r="3042" hidden="1">
      <c r="A3042" s="21"/>
      <c r="B3042" s="21" t="s">
        <v>3897</v>
      </c>
      <c r="D3042" s="25">
        <v>0.0</v>
      </c>
      <c r="E3042" s="27"/>
      <c r="F3042" s="25">
        <v>0.0</v>
      </c>
      <c r="G3042" s="27"/>
    </row>
    <row r="3043" hidden="1">
      <c r="A3043" s="21"/>
      <c r="B3043" s="21" t="s">
        <v>3898</v>
      </c>
      <c r="D3043" s="25">
        <v>0.0</v>
      </c>
      <c r="E3043" s="27"/>
      <c r="F3043" s="25">
        <v>0.0</v>
      </c>
      <c r="G3043" s="27"/>
    </row>
    <row r="3044" hidden="1">
      <c r="A3044" s="21"/>
      <c r="B3044" s="21" t="s">
        <v>3899</v>
      </c>
      <c r="D3044" s="25">
        <v>0.0</v>
      </c>
      <c r="E3044" s="27"/>
      <c r="F3044" s="25">
        <v>0.0</v>
      </c>
      <c r="G3044" s="27"/>
    </row>
    <row r="3045" hidden="1">
      <c r="A3045" s="21"/>
      <c r="B3045" s="21" t="s">
        <v>3900</v>
      </c>
      <c r="D3045" s="25">
        <v>0.0</v>
      </c>
      <c r="E3045" s="27"/>
      <c r="F3045" s="25">
        <v>0.0</v>
      </c>
      <c r="G3045" s="27"/>
    </row>
    <row r="3046" hidden="1">
      <c r="A3046" s="21"/>
      <c r="B3046" s="21" t="s">
        <v>3901</v>
      </c>
      <c r="D3046" s="25">
        <v>0.0</v>
      </c>
      <c r="E3046" s="27"/>
      <c r="F3046" s="25">
        <v>0.0</v>
      </c>
      <c r="G3046" s="27"/>
    </row>
    <row r="3047" hidden="1">
      <c r="A3047" s="21"/>
      <c r="B3047" s="21" t="s">
        <v>3902</v>
      </c>
      <c r="D3047" s="25">
        <v>0.0</v>
      </c>
      <c r="E3047" s="27"/>
      <c r="F3047" s="25">
        <v>0.0</v>
      </c>
      <c r="G3047" s="27"/>
    </row>
    <row r="3048" hidden="1">
      <c r="A3048" s="21"/>
      <c r="B3048" s="21" t="s">
        <v>3903</v>
      </c>
      <c r="D3048" s="25">
        <v>0.0</v>
      </c>
      <c r="E3048" s="27"/>
      <c r="F3048" s="25">
        <v>0.0</v>
      </c>
      <c r="G3048" s="27"/>
    </row>
    <row r="3049" hidden="1">
      <c r="A3049" s="21"/>
      <c r="B3049" s="21" t="s">
        <v>3904</v>
      </c>
      <c r="D3049" s="25">
        <v>0.0</v>
      </c>
      <c r="E3049" s="27"/>
      <c r="F3049" s="25">
        <v>0.0</v>
      </c>
      <c r="G3049" s="27"/>
    </row>
    <row r="3050" hidden="1">
      <c r="A3050" s="21"/>
      <c r="B3050" s="21" t="s">
        <v>3905</v>
      </c>
      <c r="D3050" s="25">
        <v>0.0</v>
      </c>
      <c r="E3050" s="27"/>
      <c r="F3050" s="25">
        <v>0.0</v>
      </c>
      <c r="G3050" s="27"/>
    </row>
    <row r="3051" hidden="1">
      <c r="A3051" s="21"/>
      <c r="B3051" s="21" t="s">
        <v>3906</v>
      </c>
      <c r="D3051" s="25">
        <v>0.0</v>
      </c>
      <c r="E3051" s="27"/>
      <c r="F3051" s="25">
        <v>0.0</v>
      </c>
      <c r="G3051" s="27"/>
    </row>
    <row r="3052" hidden="1">
      <c r="A3052" s="21"/>
      <c r="B3052" s="21" t="s">
        <v>3907</v>
      </c>
      <c r="D3052" s="25">
        <v>0.0</v>
      </c>
      <c r="E3052" s="27"/>
      <c r="F3052" s="25">
        <v>0.0</v>
      </c>
      <c r="G3052" s="27"/>
    </row>
    <row r="3053" hidden="1">
      <c r="A3053" s="21"/>
      <c r="B3053" s="21" t="s">
        <v>3908</v>
      </c>
      <c r="D3053" s="25">
        <v>0.0</v>
      </c>
      <c r="E3053" s="27"/>
      <c r="F3053" s="25">
        <v>0.0</v>
      </c>
      <c r="G3053" s="27"/>
    </row>
    <row r="3054" hidden="1">
      <c r="A3054" s="21"/>
      <c r="B3054" s="21" t="s">
        <v>3909</v>
      </c>
      <c r="D3054" s="25">
        <v>0.0</v>
      </c>
      <c r="E3054" s="27"/>
      <c r="F3054" s="25">
        <v>0.0</v>
      </c>
      <c r="G3054" s="27"/>
    </row>
    <row r="3055" hidden="1">
      <c r="A3055" s="21"/>
      <c r="B3055" s="21" t="s">
        <v>3910</v>
      </c>
      <c r="D3055" s="25">
        <v>0.0</v>
      </c>
      <c r="E3055" s="27"/>
      <c r="F3055" s="25">
        <v>0.0</v>
      </c>
      <c r="G3055" s="27"/>
    </row>
    <row r="3056" hidden="1">
      <c r="A3056" s="21"/>
      <c r="B3056" s="21" t="s">
        <v>3911</v>
      </c>
      <c r="D3056" s="25">
        <v>0.0</v>
      </c>
      <c r="E3056" s="27"/>
      <c r="F3056" s="25">
        <v>0.0</v>
      </c>
      <c r="G3056" s="27"/>
    </row>
    <row r="3057" hidden="1">
      <c r="A3057" s="21"/>
      <c r="B3057" s="21" t="s">
        <v>3912</v>
      </c>
      <c r="D3057" s="25">
        <v>0.0</v>
      </c>
      <c r="E3057" s="27"/>
      <c r="F3057" s="25">
        <v>0.0</v>
      </c>
      <c r="G3057" s="27"/>
    </row>
    <row r="3058" hidden="1">
      <c r="A3058" s="21"/>
      <c r="B3058" s="21" t="s">
        <v>3913</v>
      </c>
      <c r="D3058" s="25">
        <v>0.0</v>
      </c>
      <c r="E3058" s="27"/>
      <c r="F3058" s="25">
        <v>0.0</v>
      </c>
      <c r="G3058" s="27"/>
    </row>
    <row r="3059" hidden="1">
      <c r="A3059" s="21"/>
      <c r="B3059" s="21" t="s">
        <v>3914</v>
      </c>
      <c r="D3059" s="25">
        <v>0.0</v>
      </c>
      <c r="E3059" s="27"/>
      <c r="F3059" s="25">
        <v>8.2</v>
      </c>
      <c r="G3059" s="27"/>
    </row>
    <row r="3060" hidden="1">
      <c r="A3060" s="21"/>
      <c r="B3060" s="21" t="s">
        <v>3915</v>
      </c>
      <c r="D3060" s="25">
        <v>0.0</v>
      </c>
      <c r="E3060" s="27"/>
      <c r="F3060" s="25">
        <v>0.0</v>
      </c>
      <c r="G3060" s="27"/>
    </row>
    <row r="3061" hidden="1">
      <c r="A3061" s="21"/>
      <c r="B3061" s="21" t="s">
        <v>3916</v>
      </c>
      <c r="D3061" s="25">
        <v>0.0</v>
      </c>
      <c r="E3061" s="27"/>
      <c r="F3061" s="25">
        <v>0.0</v>
      </c>
      <c r="G3061" s="27"/>
    </row>
    <row r="3062" hidden="1">
      <c r="A3062" s="21"/>
      <c r="B3062" s="21" t="s">
        <v>3917</v>
      </c>
      <c r="D3062" s="25">
        <v>0.0</v>
      </c>
      <c r="E3062" s="27"/>
      <c r="F3062" s="25">
        <v>0.0</v>
      </c>
      <c r="G3062" s="27"/>
    </row>
    <row r="3063" hidden="1">
      <c r="A3063" s="21"/>
      <c r="B3063" s="21" t="s">
        <v>3918</v>
      </c>
      <c r="D3063" s="25">
        <v>0.0</v>
      </c>
      <c r="E3063" s="27"/>
      <c r="F3063" s="25">
        <v>0.0</v>
      </c>
      <c r="G3063" s="27"/>
    </row>
    <row r="3064" hidden="1">
      <c r="A3064" s="21"/>
      <c r="B3064" s="21" t="s">
        <v>3919</v>
      </c>
      <c r="D3064" s="25">
        <v>0.0</v>
      </c>
      <c r="E3064" s="27"/>
      <c r="F3064" s="25">
        <v>0.0</v>
      </c>
      <c r="G3064" s="27"/>
    </row>
    <row r="3065" hidden="1">
      <c r="A3065" s="21"/>
      <c r="B3065" s="21" t="s">
        <v>3920</v>
      </c>
      <c r="D3065" s="25">
        <v>0.0</v>
      </c>
      <c r="E3065" s="27"/>
      <c r="F3065" s="25">
        <v>0.0</v>
      </c>
      <c r="G3065" s="27"/>
    </row>
    <row r="3066" hidden="1">
      <c r="A3066" s="21"/>
      <c r="B3066" s="21" t="s">
        <v>3921</v>
      </c>
      <c r="D3066" s="25">
        <v>0.0</v>
      </c>
      <c r="E3066" s="27"/>
      <c r="F3066" s="25">
        <v>0.0</v>
      </c>
      <c r="G3066" s="27"/>
    </row>
    <row r="3067" hidden="1">
      <c r="A3067" s="21"/>
      <c r="B3067" s="21" t="s">
        <v>3922</v>
      </c>
      <c r="D3067" s="25">
        <v>0.0</v>
      </c>
      <c r="E3067" s="27"/>
      <c r="F3067" s="25">
        <v>0.0</v>
      </c>
      <c r="G3067" s="27"/>
    </row>
    <row r="3068" hidden="1">
      <c r="A3068" s="21"/>
      <c r="B3068" s="21" t="s">
        <v>3923</v>
      </c>
      <c r="D3068" s="25">
        <v>0.0</v>
      </c>
      <c r="E3068" s="27"/>
      <c r="F3068" s="25">
        <v>0.0</v>
      </c>
      <c r="G3068" s="27"/>
    </row>
    <row r="3069" hidden="1">
      <c r="A3069" s="21"/>
      <c r="B3069" s="21" t="s">
        <v>3924</v>
      </c>
      <c r="D3069" s="25">
        <v>0.0</v>
      </c>
      <c r="E3069" s="27"/>
      <c r="F3069" s="25">
        <v>0.0</v>
      </c>
      <c r="G3069" s="27"/>
    </row>
    <row r="3070" hidden="1">
      <c r="A3070" s="21"/>
      <c r="B3070" s="21" t="s">
        <v>3925</v>
      </c>
      <c r="D3070" s="25">
        <v>0.0</v>
      </c>
      <c r="E3070" s="27"/>
      <c r="F3070" s="25">
        <v>0.0</v>
      </c>
      <c r="G3070" s="27"/>
    </row>
    <row r="3071" hidden="1">
      <c r="A3071" s="21"/>
      <c r="B3071" s="21" t="s">
        <v>3926</v>
      </c>
      <c r="D3071" s="25">
        <v>0.0</v>
      </c>
      <c r="E3071" s="27"/>
      <c r="F3071" s="25">
        <v>0.0</v>
      </c>
      <c r="G3071" s="27"/>
    </row>
    <row r="3072" hidden="1">
      <c r="A3072" s="21"/>
      <c r="B3072" s="21" t="s">
        <v>3927</v>
      </c>
      <c r="D3072" s="25">
        <v>0.0</v>
      </c>
      <c r="E3072" s="27"/>
      <c r="F3072" s="25">
        <v>0.0</v>
      </c>
      <c r="G3072" s="27"/>
    </row>
    <row r="3073" hidden="1">
      <c r="A3073" s="21"/>
      <c r="B3073" s="21" t="s">
        <v>3928</v>
      </c>
      <c r="D3073" s="25">
        <v>0.0</v>
      </c>
      <c r="E3073" s="27"/>
      <c r="F3073" s="25">
        <v>0.0</v>
      </c>
      <c r="G3073" s="27"/>
    </row>
    <row r="3074" hidden="1">
      <c r="A3074" s="21"/>
      <c r="B3074" s="21" t="s">
        <v>3929</v>
      </c>
      <c r="D3074" s="25">
        <v>0.0</v>
      </c>
      <c r="E3074" s="27"/>
      <c r="F3074" s="25">
        <v>0.0</v>
      </c>
      <c r="G3074" s="27"/>
    </row>
    <row r="3075" hidden="1">
      <c r="A3075" s="21"/>
      <c r="B3075" s="21" t="s">
        <v>3930</v>
      </c>
      <c r="D3075" s="25">
        <v>0.0</v>
      </c>
      <c r="E3075" s="27"/>
      <c r="F3075" s="25">
        <v>4.31</v>
      </c>
      <c r="G3075" s="27"/>
    </row>
    <row r="3076" hidden="1">
      <c r="A3076" s="21"/>
      <c r="B3076" s="21" t="s">
        <v>3931</v>
      </c>
      <c r="D3076" s="25">
        <v>0.0</v>
      </c>
      <c r="E3076" s="27"/>
      <c r="F3076" s="25">
        <v>0.0</v>
      </c>
      <c r="G3076" s="27"/>
    </row>
    <row r="3077" hidden="1">
      <c r="A3077" s="21"/>
      <c r="B3077" s="21" t="s">
        <v>3932</v>
      </c>
      <c r="D3077" s="25">
        <v>0.0</v>
      </c>
      <c r="E3077" s="27"/>
      <c r="F3077" s="25">
        <v>0.0</v>
      </c>
      <c r="G3077" s="27"/>
    </row>
    <row r="3078" hidden="1">
      <c r="A3078" s="21"/>
      <c r="B3078" s="21" t="s">
        <v>3933</v>
      </c>
      <c r="D3078" s="25">
        <v>0.0</v>
      </c>
      <c r="E3078" s="27"/>
      <c r="F3078" s="25">
        <v>0.0</v>
      </c>
      <c r="G3078" s="27"/>
    </row>
    <row r="3079" hidden="1">
      <c r="A3079" s="21"/>
      <c r="B3079" s="21" t="s">
        <v>3934</v>
      </c>
      <c r="D3079" s="25">
        <v>0.0</v>
      </c>
      <c r="E3079" s="27"/>
      <c r="F3079" s="25">
        <v>0.0</v>
      </c>
      <c r="G3079" s="27"/>
    </row>
    <row r="3080" hidden="1">
      <c r="A3080" s="21"/>
      <c r="B3080" s="21" t="s">
        <v>3935</v>
      </c>
      <c r="D3080" s="25">
        <v>0.0</v>
      </c>
      <c r="E3080" s="27"/>
      <c r="F3080" s="25">
        <v>0.0</v>
      </c>
      <c r="G3080" s="27"/>
    </row>
    <row r="3081" hidden="1">
      <c r="A3081" s="21"/>
      <c r="B3081" s="21" t="s">
        <v>3936</v>
      </c>
      <c r="D3081" s="25">
        <v>0.0</v>
      </c>
      <c r="E3081" s="27"/>
      <c r="F3081" s="25">
        <v>0.0</v>
      </c>
      <c r="G3081" s="27"/>
    </row>
    <row r="3082" hidden="1">
      <c r="A3082" s="21"/>
      <c r="B3082" s="21" t="s">
        <v>3937</v>
      </c>
      <c r="D3082" s="25">
        <v>0.0</v>
      </c>
      <c r="E3082" s="27"/>
      <c r="F3082" s="25">
        <v>0.0</v>
      </c>
      <c r="G3082" s="27"/>
    </row>
    <row r="3083" hidden="1">
      <c r="A3083" s="21"/>
      <c r="B3083" s="21" t="s">
        <v>3938</v>
      </c>
      <c r="D3083" s="25">
        <v>0.0</v>
      </c>
      <c r="E3083" s="27"/>
      <c r="F3083" s="25">
        <v>0.0</v>
      </c>
      <c r="G3083" s="27"/>
    </row>
    <row r="3084" hidden="1">
      <c r="A3084" s="21"/>
      <c r="B3084" s="21" t="s">
        <v>3939</v>
      </c>
      <c r="D3084" s="25">
        <v>0.0</v>
      </c>
      <c r="E3084" s="27"/>
      <c r="F3084" s="25">
        <v>0.0</v>
      </c>
      <c r="G3084" s="27"/>
    </row>
    <row r="3085" hidden="1">
      <c r="A3085" s="21"/>
      <c r="B3085" s="21" t="s">
        <v>3940</v>
      </c>
      <c r="D3085" s="25">
        <v>0.0</v>
      </c>
      <c r="E3085" s="27"/>
      <c r="F3085" s="25">
        <v>0.0</v>
      </c>
      <c r="G3085" s="27"/>
    </row>
    <row r="3086" hidden="1">
      <c r="A3086" s="21"/>
      <c r="B3086" s="21" t="s">
        <v>3941</v>
      </c>
      <c r="D3086" s="25">
        <v>0.0</v>
      </c>
      <c r="E3086" s="27"/>
      <c r="F3086" s="25">
        <v>0.0</v>
      </c>
      <c r="G3086" s="27"/>
    </row>
    <row r="3087" hidden="1">
      <c r="A3087" s="21"/>
      <c r="B3087" s="21" t="s">
        <v>3942</v>
      </c>
      <c r="D3087" s="25">
        <v>0.0</v>
      </c>
      <c r="E3087" s="27"/>
      <c r="F3087" s="25">
        <v>0.0</v>
      </c>
      <c r="G3087" s="27"/>
    </row>
    <row r="3088" hidden="1">
      <c r="A3088" s="21"/>
      <c r="B3088" s="21" t="s">
        <v>3943</v>
      </c>
      <c r="D3088" s="25">
        <v>0.0</v>
      </c>
      <c r="E3088" s="27"/>
      <c r="F3088" s="25">
        <v>0.0</v>
      </c>
      <c r="G3088" s="27"/>
    </row>
    <row r="3089" hidden="1">
      <c r="A3089" s="21"/>
      <c r="B3089" s="21" t="s">
        <v>3944</v>
      </c>
      <c r="D3089" s="25">
        <v>0.0</v>
      </c>
      <c r="E3089" s="27"/>
      <c r="F3089" s="25">
        <v>0.0</v>
      </c>
      <c r="G3089" s="27"/>
    </row>
    <row r="3090" hidden="1">
      <c r="A3090" s="21"/>
      <c r="B3090" s="21" t="s">
        <v>3945</v>
      </c>
      <c r="D3090" s="25">
        <v>0.0</v>
      </c>
      <c r="E3090" s="27"/>
      <c r="F3090" s="25">
        <v>0.0</v>
      </c>
      <c r="G3090" s="27"/>
    </row>
    <row r="3091" hidden="1">
      <c r="A3091" s="21"/>
      <c r="B3091" s="21" t="s">
        <v>3946</v>
      </c>
      <c r="D3091" s="25">
        <v>0.0</v>
      </c>
      <c r="E3091" s="27"/>
      <c r="F3091" s="25">
        <v>0.0</v>
      </c>
      <c r="G3091" s="27"/>
    </row>
    <row r="3092" hidden="1">
      <c r="A3092" s="21"/>
      <c r="B3092" s="21" t="s">
        <v>3947</v>
      </c>
      <c r="D3092" s="25">
        <v>0.0</v>
      </c>
      <c r="E3092" s="27"/>
      <c r="F3092" s="25">
        <v>0.0</v>
      </c>
      <c r="G3092" s="27"/>
    </row>
    <row r="3093" hidden="1">
      <c r="A3093" s="21"/>
      <c r="B3093" s="21" t="s">
        <v>3948</v>
      </c>
      <c r="D3093" s="25">
        <v>0.0</v>
      </c>
      <c r="E3093" s="27"/>
      <c r="F3093" s="25">
        <v>0.0</v>
      </c>
      <c r="G3093" s="27"/>
    </row>
    <row r="3094" hidden="1">
      <c r="A3094" s="21"/>
      <c r="B3094" s="21" t="s">
        <v>3949</v>
      </c>
      <c r="D3094" s="25">
        <v>0.0</v>
      </c>
      <c r="E3094" s="27"/>
      <c r="F3094" s="25">
        <v>0.0</v>
      </c>
      <c r="G3094" s="27"/>
    </row>
    <row r="3095" hidden="1">
      <c r="A3095" s="21"/>
      <c r="B3095" s="21" t="s">
        <v>3950</v>
      </c>
      <c r="D3095" s="25">
        <v>0.0</v>
      </c>
      <c r="E3095" s="27"/>
      <c r="F3095" s="25">
        <v>0.0</v>
      </c>
      <c r="G3095" s="27"/>
    </row>
    <row r="3096" hidden="1">
      <c r="A3096" s="21"/>
      <c r="B3096" s="21" t="s">
        <v>3951</v>
      </c>
      <c r="D3096" s="25">
        <v>0.0</v>
      </c>
      <c r="E3096" s="27"/>
      <c r="F3096" s="25">
        <v>0.0</v>
      </c>
      <c r="G3096" s="27"/>
    </row>
    <row r="3097" hidden="1">
      <c r="A3097" s="21"/>
      <c r="B3097" s="21" t="s">
        <v>3952</v>
      </c>
      <c r="D3097" s="25">
        <v>0.0</v>
      </c>
      <c r="E3097" s="27"/>
      <c r="F3097" s="25">
        <v>0.0</v>
      </c>
      <c r="G3097" s="27"/>
    </row>
    <row r="3098" hidden="1">
      <c r="A3098" s="21"/>
      <c r="B3098" s="21" t="s">
        <v>3953</v>
      </c>
      <c r="D3098" s="25">
        <v>0.0</v>
      </c>
      <c r="E3098" s="27"/>
      <c r="F3098" s="25">
        <v>0.0</v>
      </c>
      <c r="G3098" s="27"/>
    </row>
    <row r="3099" hidden="1">
      <c r="A3099" s="21"/>
      <c r="B3099" s="21" t="s">
        <v>3954</v>
      </c>
      <c r="D3099" s="25">
        <v>0.0</v>
      </c>
      <c r="E3099" s="27"/>
      <c r="F3099" s="25">
        <v>0.0</v>
      </c>
      <c r="G3099" s="27"/>
    </row>
    <row r="3100" hidden="1">
      <c r="A3100" s="21"/>
      <c r="B3100" s="21" t="s">
        <v>3955</v>
      </c>
      <c r="D3100" s="25">
        <v>0.0</v>
      </c>
      <c r="E3100" s="27"/>
      <c r="F3100" s="25">
        <v>0.39</v>
      </c>
      <c r="G3100" s="27"/>
    </row>
    <row r="3101" hidden="1">
      <c r="A3101" s="21"/>
      <c r="B3101" s="21" t="s">
        <v>3956</v>
      </c>
      <c r="D3101" s="25">
        <v>0.0</v>
      </c>
      <c r="E3101" s="27"/>
      <c r="F3101" s="25">
        <v>0.0</v>
      </c>
      <c r="G3101" s="27"/>
    </row>
    <row r="3102" hidden="1">
      <c r="A3102" s="21"/>
      <c r="B3102" s="21" t="s">
        <v>3957</v>
      </c>
      <c r="D3102" s="25">
        <v>0.0</v>
      </c>
      <c r="E3102" s="27"/>
      <c r="F3102" s="25">
        <v>0.0</v>
      </c>
      <c r="G3102" s="27"/>
    </row>
    <row r="3103" hidden="1">
      <c r="A3103" s="21"/>
      <c r="B3103" s="21" t="s">
        <v>3958</v>
      </c>
      <c r="D3103" s="25">
        <v>0.0</v>
      </c>
      <c r="E3103" s="27"/>
      <c r="F3103" s="25">
        <v>0.0</v>
      </c>
      <c r="G3103" s="27"/>
    </row>
    <row r="3104" hidden="1">
      <c r="A3104" s="21"/>
      <c r="B3104" s="21" t="s">
        <v>3959</v>
      </c>
      <c r="D3104" s="25">
        <v>0.0</v>
      </c>
      <c r="E3104" s="27"/>
      <c r="F3104" s="25">
        <v>0.0</v>
      </c>
      <c r="G3104" s="27"/>
    </row>
    <row r="3105" hidden="1">
      <c r="A3105" s="21"/>
      <c r="B3105" s="21" t="s">
        <v>3960</v>
      </c>
      <c r="D3105" s="25">
        <v>0.0</v>
      </c>
      <c r="E3105" s="27"/>
      <c r="F3105" s="25">
        <v>0.5</v>
      </c>
      <c r="G3105" s="27"/>
    </row>
    <row r="3106" hidden="1">
      <c r="A3106" s="21"/>
      <c r="B3106" s="21" t="s">
        <v>3961</v>
      </c>
      <c r="D3106" s="25">
        <v>0.0</v>
      </c>
      <c r="E3106" s="27"/>
      <c r="F3106" s="25">
        <v>0.0</v>
      </c>
      <c r="G3106" s="27"/>
    </row>
    <row r="3107" hidden="1">
      <c r="A3107" s="21"/>
      <c r="B3107" s="21" t="s">
        <v>3962</v>
      </c>
      <c r="D3107" s="25">
        <v>0.0</v>
      </c>
      <c r="E3107" s="27"/>
      <c r="F3107" s="25">
        <v>0.0</v>
      </c>
      <c r="G3107" s="27"/>
    </row>
    <row r="3108" hidden="1">
      <c r="A3108" s="21"/>
      <c r="B3108" s="21" t="s">
        <v>3963</v>
      </c>
      <c r="D3108" s="25">
        <v>0.0</v>
      </c>
      <c r="E3108" s="27"/>
      <c r="F3108" s="25">
        <v>0.51</v>
      </c>
      <c r="G3108" s="27"/>
    </row>
    <row r="3109" hidden="1">
      <c r="A3109" s="21"/>
      <c r="B3109" s="21" t="s">
        <v>3964</v>
      </c>
      <c r="D3109" s="25">
        <v>0.0</v>
      </c>
      <c r="E3109" s="27"/>
      <c r="F3109" s="25">
        <v>0.0</v>
      </c>
      <c r="G3109" s="27"/>
    </row>
    <row r="3110" hidden="1">
      <c r="A3110" s="21"/>
      <c r="B3110" s="21" t="s">
        <v>3965</v>
      </c>
      <c r="D3110" s="25">
        <v>0.0</v>
      </c>
      <c r="E3110" s="27"/>
      <c r="F3110" s="25">
        <v>0.0</v>
      </c>
      <c r="G3110" s="27"/>
    </row>
    <row r="3111" hidden="1">
      <c r="A3111" s="21"/>
      <c r="B3111" s="21" t="s">
        <v>3966</v>
      </c>
      <c r="D3111" s="25">
        <v>0.0</v>
      </c>
      <c r="E3111" s="27"/>
      <c r="F3111" s="25">
        <v>0.0</v>
      </c>
      <c r="G3111" s="27"/>
    </row>
    <row r="3112" hidden="1">
      <c r="A3112" s="21"/>
      <c r="B3112" s="21" t="s">
        <v>3967</v>
      </c>
      <c r="D3112" s="25">
        <v>0.0</v>
      </c>
      <c r="E3112" s="27"/>
      <c r="F3112" s="25">
        <v>0.0</v>
      </c>
      <c r="G3112" s="27"/>
    </row>
    <row r="3113" hidden="1">
      <c r="A3113" s="21"/>
      <c r="B3113" s="21" t="s">
        <v>3968</v>
      </c>
      <c r="D3113" s="25">
        <v>0.0</v>
      </c>
      <c r="E3113" s="27"/>
      <c r="F3113" s="25">
        <v>0.0</v>
      </c>
      <c r="G3113" s="27"/>
    </row>
    <row r="3114" hidden="1">
      <c r="A3114" s="21"/>
      <c r="B3114" s="21" t="s">
        <v>3969</v>
      </c>
      <c r="D3114" s="25">
        <v>0.0</v>
      </c>
      <c r="E3114" s="27"/>
      <c r="F3114" s="25">
        <v>0.0</v>
      </c>
      <c r="G3114" s="27"/>
    </row>
    <row r="3115" hidden="1">
      <c r="A3115" s="21"/>
      <c r="B3115" s="21" t="s">
        <v>3970</v>
      </c>
      <c r="D3115" s="25">
        <v>0.0</v>
      </c>
      <c r="E3115" s="27"/>
      <c r="F3115" s="25">
        <v>0.0</v>
      </c>
      <c r="G3115" s="27"/>
    </row>
    <row r="3116" hidden="1">
      <c r="A3116" s="21"/>
      <c r="B3116" s="21" t="s">
        <v>3971</v>
      </c>
      <c r="D3116" s="25">
        <v>0.0</v>
      </c>
      <c r="E3116" s="27"/>
      <c r="F3116" s="25">
        <v>0.0</v>
      </c>
      <c r="G3116" s="27"/>
    </row>
    <row r="3117" hidden="1">
      <c r="A3117" s="21"/>
      <c r="B3117" s="21" t="s">
        <v>3972</v>
      </c>
      <c r="D3117" s="25">
        <v>0.0</v>
      </c>
      <c r="E3117" s="27"/>
      <c r="F3117" s="25">
        <v>0.0</v>
      </c>
      <c r="G3117" s="27"/>
    </row>
    <row r="3118" hidden="1">
      <c r="A3118" s="21"/>
      <c r="B3118" s="21" t="s">
        <v>3973</v>
      </c>
      <c r="D3118" s="25">
        <v>0.0</v>
      </c>
      <c r="E3118" s="27"/>
      <c r="F3118" s="25">
        <v>0.0</v>
      </c>
      <c r="G3118" s="27"/>
    </row>
    <row r="3119" hidden="1">
      <c r="A3119" s="21"/>
      <c r="B3119" s="21" t="s">
        <v>3974</v>
      </c>
      <c r="D3119" s="25">
        <v>0.0</v>
      </c>
      <c r="E3119" s="27"/>
      <c r="F3119" s="25">
        <v>0.0</v>
      </c>
      <c r="G3119" s="27"/>
    </row>
    <row r="3120" hidden="1">
      <c r="A3120" s="21"/>
      <c r="B3120" s="21" t="s">
        <v>3975</v>
      </c>
      <c r="D3120" s="25">
        <v>0.0</v>
      </c>
      <c r="E3120" s="27"/>
      <c r="F3120" s="25">
        <v>0.0</v>
      </c>
      <c r="G3120" s="27"/>
    </row>
    <row r="3121" hidden="1">
      <c r="A3121" s="21"/>
      <c r="B3121" s="21" t="s">
        <v>3976</v>
      </c>
      <c r="D3121" s="25">
        <v>0.0</v>
      </c>
      <c r="E3121" s="27"/>
      <c r="F3121" s="25">
        <v>0.0</v>
      </c>
      <c r="G3121" s="27"/>
    </row>
    <row r="3122" hidden="1">
      <c r="A3122" s="21"/>
      <c r="B3122" s="21" t="s">
        <v>3977</v>
      </c>
      <c r="D3122" s="25">
        <v>0.0</v>
      </c>
      <c r="E3122" s="27"/>
      <c r="F3122" s="25">
        <v>0.0</v>
      </c>
      <c r="G3122" s="27"/>
    </row>
    <row r="3123" hidden="1">
      <c r="A3123" s="21"/>
      <c r="B3123" s="21" t="s">
        <v>3978</v>
      </c>
      <c r="D3123" s="25">
        <v>0.0</v>
      </c>
      <c r="E3123" s="27"/>
      <c r="F3123" s="25">
        <v>0.0</v>
      </c>
      <c r="G3123" s="27"/>
    </row>
    <row r="3124" hidden="1">
      <c r="A3124" s="21"/>
      <c r="B3124" s="21" t="s">
        <v>3979</v>
      </c>
      <c r="D3124" s="25">
        <v>0.0</v>
      </c>
      <c r="E3124" s="27"/>
      <c r="F3124" s="25">
        <v>0.0</v>
      </c>
      <c r="G3124" s="27"/>
    </row>
    <row r="3125" hidden="1">
      <c r="A3125" s="21"/>
      <c r="B3125" s="21" t="s">
        <v>3980</v>
      </c>
      <c r="D3125" s="25">
        <v>0.0</v>
      </c>
      <c r="E3125" s="27"/>
      <c r="F3125" s="25">
        <v>0.0</v>
      </c>
      <c r="G3125" s="27"/>
    </row>
    <row r="3126" hidden="1">
      <c r="A3126" s="21"/>
      <c r="B3126" s="21" t="s">
        <v>3981</v>
      </c>
      <c r="D3126" s="25">
        <v>0.0</v>
      </c>
      <c r="E3126" s="27"/>
      <c r="F3126" s="25">
        <v>0.0</v>
      </c>
      <c r="G3126" s="27"/>
    </row>
    <row r="3127" hidden="1">
      <c r="A3127" s="21"/>
      <c r="B3127" s="21" t="s">
        <v>3982</v>
      </c>
      <c r="D3127" s="25">
        <v>0.0</v>
      </c>
      <c r="E3127" s="27"/>
      <c r="F3127" s="25">
        <v>0.0</v>
      </c>
      <c r="G3127" s="27"/>
    </row>
    <row r="3128" hidden="1">
      <c r="A3128" s="21"/>
      <c r="B3128" s="21" t="s">
        <v>3983</v>
      </c>
      <c r="D3128" s="25">
        <v>0.0</v>
      </c>
      <c r="E3128" s="27"/>
      <c r="F3128" s="25">
        <v>0.0</v>
      </c>
      <c r="G3128" s="27"/>
    </row>
    <row r="3129" hidden="1">
      <c r="A3129" s="21"/>
      <c r="B3129" s="21" t="s">
        <v>3984</v>
      </c>
      <c r="D3129" s="25">
        <v>0.0</v>
      </c>
      <c r="E3129" s="27"/>
      <c r="F3129" s="25">
        <v>0.0</v>
      </c>
      <c r="G3129" s="27"/>
    </row>
    <row r="3130" hidden="1">
      <c r="A3130" s="21"/>
      <c r="B3130" s="21" t="s">
        <v>3985</v>
      </c>
      <c r="D3130" s="25">
        <v>0.0</v>
      </c>
      <c r="E3130" s="27"/>
      <c r="F3130" s="25">
        <v>0.0</v>
      </c>
      <c r="G3130" s="27"/>
    </row>
    <row r="3131" hidden="1">
      <c r="A3131" s="21"/>
      <c r="B3131" s="21" t="s">
        <v>3986</v>
      </c>
      <c r="D3131" s="25">
        <v>0.0</v>
      </c>
      <c r="E3131" s="27"/>
      <c r="F3131" s="25">
        <v>0.0</v>
      </c>
      <c r="G3131" s="27"/>
    </row>
    <row r="3132" hidden="1">
      <c r="A3132" s="21"/>
      <c r="B3132" s="21" t="s">
        <v>3987</v>
      </c>
      <c r="D3132" s="25">
        <v>0.0</v>
      </c>
      <c r="E3132" s="27"/>
      <c r="F3132" s="25">
        <v>0.0</v>
      </c>
      <c r="G3132" s="27"/>
    </row>
    <row r="3133" hidden="1">
      <c r="A3133" s="21"/>
      <c r="B3133" s="21" t="s">
        <v>3988</v>
      </c>
      <c r="D3133" s="25">
        <v>0.0</v>
      </c>
      <c r="E3133" s="27"/>
      <c r="F3133" s="25">
        <v>0.0</v>
      </c>
      <c r="G3133" s="27"/>
    </row>
    <row r="3134" hidden="1">
      <c r="A3134" s="21"/>
      <c r="B3134" s="21" t="s">
        <v>3989</v>
      </c>
      <c r="D3134" s="25">
        <v>0.0</v>
      </c>
      <c r="E3134" s="27"/>
      <c r="F3134" s="25">
        <v>0.0</v>
      </c>
      <c r="G3134" s="27"/>
    </row>
    <row r="3135" hidden="1">
      <c r="A3135" s="21"/>
      <c r="B3135" s="21" t="s">
        <v>3990</v>
      </c>
      <c r="D3135" s="25">
        <v>0.0</v>
      </c>
      <c r="E3135" s="27"/>
      <c r="F3135" s="25">
        <v>0.0</v>
      </c>
      <c r="G3135" s="27"/>
    </row>
    <row r="3136" hidden="1">
      <c r="A3136" s="21"/>
      <c r="B3136" s="21" t="s">
        <v>3991</v>
      </c>
      <c r="D3136" s="25">
        <v>0.0</v>
      </c>
      <c r="E3136" s="27"/>
      <c r="F3136" s="25">
        <v>0.0</v>
      </c>
      <c r="G3136" s="27"/>
    </row>
    <row r="3137" hidden="1">
      <c r="A3137" s="21"/>
      <c r="B3137" s="21" t="s">
        <v>3992</v>
      </c>
      <c r="D3137" s="25">
        <v>0.0</v>
      </c>
      <c r="E3137" s="27"/>
      <c r="F3137" s="25">
        <v>0.0</v>
      </c>
      <c r="G3137" s="27"/>
    </row>
    <row r="3138" hidden="1">
      <c r="A3138" s="21"/>
      <c r="B3138" s="21" t="s">
        <v>3993</v>
      </c>
      <c r="D3138" s="25">
        <v>0.0</v>
      </c>
      <c r="E3138" s="27"/>
      <c r="F3138" s="25">
        <v>0.0</v>
      </c>
      <c r="G3138" s="27"/>
    </row>
    <row r="3139" hidden="1">
      <c r="A3139" s="21"/>
      <c r="B3139" s="21" t="s">
        <v>3994</v>
      </c>
      <c r="D3139" s="25">
        <v>0.0</v>
      </c>
      <c r="E3139" s="27"/>
      <c r="F3139" s="25">
        <v>0.0</v>
      </c>
      <c r="G3139" s="27"/>
    </row>
    <row r="3140" hidden="1">
      <c r="A3140" s="21"/>
      <c r="B3140" s="21" t="s">
        <v>3995</v>
      </c>
      <c r="D3140" s="25">
        <v>0.0</v>
      </c>
      <c r="E3140" s="27"/>
      <c r="F3140" s="25">
        <v>0.0</v>
      </c>
      <c r="G3140" s="27"/>
    </row>
    <row r="3141" hidden="1">
      <c r="A3141" s="21"/>
      <c r="B3141" s="21" t="s">
        <v>3996</v>
      </c>
      <c r="D3141" s="25">
        <v>0.0</v>
      </c>
      <c r="E3141" s="27"/>
      <c r="F3141" s="25">
        <v>0.0</v>
      </c>
      <c r="G3141" s="27"/>
    </row>
    <row r="3142" hidden="1">
      <c r="A3142" s="21"/>
      <c r="B3142" s="21" t="s">
        <v>3997</v>
      </c>
      <c r="D3142" s="25">
        <v>0.0</v>
      </c>
      <c r="E3142" s="27"/>
      <c r="F3142" s="25">
        <v>0.0</v>
      </c>
      <c r="G3142" s="27"/>
    </row>
    <row r="3143" hidden="1">
      <c r="A3143" s="21"/>
      <c r="B3143" s="21" t="s">
        <v>3998</v>
      </c>
      <c r="D3143" s="25">
        <v>0.0</v>
      </c>
      <c r="E3143" s="27"/>
      <c r="F3143" s="25">
        <v>0.0</v>
      </c>
      <c r="G3143" s="27"/>
    </row>
    <row r="3144" hidden="1">
      <c r="A3144" s="21"/>
      <c r="B3144" s="21" t="s">
        <v>3999</v>
      </c>
      <c r="D3144" s="25">
        <v>0.0</v>
      </c>
      <c r="E3144" s="27"/>
      <c r="F3144" s="25">
        <v>0.0</v>
      </c>
      <c r="G3144" s="27"/>
    </row>
    <row r="3145" hidden="1">
      <c r="A3145" s="21"/>
      <c r="B3145" s="21" t="s">
        <v>4000</v>
      </c>
      <c r="D3145" s="25">
        <v>0.0</v>
      </c>
      <c r="E3145" s="27"/>
      <c r="F3145" s="25">
        <v>0.0</v>
      </c>
      <c r="G3145" s="27"/>
    </row>
    <row r="3146" hidden="1">
      <c r="A3146" s="21"/>
      <c r="B3146" s="21" t="s">
        <v>4001</v>
      </c>
      <c r="D3146" s="25">
        <v>0.0</v>
      </c>
      <c r="E3146" s="27"/>
      <c r="F3146" s="25">
        <v>0.0</v>
      </c>
      <c r="G3146" s="27"/>
    </row>
    <row r="3147" hidden="1">
      <c r="A3147" s="21"/>
      <c r="B3147" s="21" t="s">
        <v>4002</v>
      </c>
      <c r="D3147" s="25">
        <v>0.0</v>
      </c>
      <c r="E3147" s="27"/>
      <c r="F3147" s="25">
        <v>0.0</v>
      </c>
      <c r="G3147" s="27"/>
    </row>
    <row r="3148" hidden="1">
      <c r="A3148" s="21"/>
      <c r="B3148" s="21" t="s">
        <v>4003</v>
      </c>
      <c r="D3148" s="25">
        <v>0.0</v>
      </c>
      <c r="E3148" s="27"/>
      <c r="F3148" s="25">
        <v>0.0</v>
      </c>
      <c r="G3148" s="27"/>
    </row>
    <row r="3149" hidden="1">
      <c r="A3149" s="21"/>
      <c r="B3149" s="21" t="s">
        <v>4004</v>
      </c>
      <c r="D3149" s="25">
        <v>0.0</v>
      </c>
      <c r="E3149" s="27"/>
      <c r="F3149" s="25">
        <v>0.0</v>
      </c>
      <c r="G3149" s="27"/>
    </row>
    <row r="3150" hidden="1">
      <c r="A3150" s="21"/>
      <c r="B3150" s="21" t="s">
        <v>4005</v>
      </c>
      <c r="D3150" s="25">
        <v>0.0</v>
      </c>
      <c r="E3150" s="27"/>
      <c r="F3150" s="25">
        <v>0.0</v>
      </c>
      <c r="G3150" s="27"/>
    </row>
    <row r="3151" hidden="1">
      <c r="A3151" s="21"/>
      <c r="B3151" s="21" t="s">
        <v>4006</v>
      </c>
      <c r="D3151" s="25">
        <v>0.0</v>
      </c>
      <c r="E3151" s="27"/>
      <c r="F3151" s="25">
        <v>0.0</v>
      </c>
      <c r="G3151" s="27"/>
    </row>
    <row r="3152" hidden="1">
      <c r="A3152" s="21"/>
      <c r="B3152" s="21" t="s">
        <v>4007</v>
      </c>
      <c r="D3152" s="25">
        <v>0.0</v>
      </c>
      <c r="E3152" s="27"/>
      <c r="F3152" s="25">
        <v>0.0</v>
      </c>
      <c r="G3152" s="27"/>
    </row>
    <row r="3153" hidden="1">
      <c r="A3153" s="21"/>
      <c r="B3153" s="21" t="s">
        <v>4008</v>
      </c>
      <c r="D3153" s="25">
        <v>0.0</v>
      </c>
      <c r="E3153" s="27"/>
      <c r="F3153" s="25">
        <v>0.0</v>
      </c>
      <c r="G3153" s="27"/>
    </row>
    <row r="3154" hidden="1">
      <c r="A3154" s="21"/>
      <c r="B3154" s="21" t="s">
        <v>4009</v>
      </c>
      <c r="D3154" s="25">
        <v>0.0</v>
      </c>
      <c r="E3154" s="27"/>
      <c r="F3154" s="25">
        <v>0.0</v>
      </c>
      <c r="G3154" s="27"/>
    </row>
    <row r="3155" hidden="1">
      <c r="A3155" s="21"/>
      <c r="B3155" s="21" t="s">
        <v>4010</v>
      </c>
      <c r="D3155" s="25">
        <v>0.0</v>
      </c>
      <c r="E3155" s="27"/>
      <c r="F3155" s="25">
        <v>8.9</v>
      </c>
      <c r="G3155" s="27"/>
    </row>
    <row r="3156" hidden="1">
      <c r="A3156" s="21"/>
      <c r="B3156" s="21" t="s">
        <v>4011</v>
      </c>
      <c r="D3156" s="25">
        <v>0.0</v>
      </c>
      <c r="E3156" s="27"/>
      <c r="F3156" s="25">
        <v>0.0</v>
      </c>
      <c r="G3156" s="27"/>
    </row>
    <row r="3157" hidden="1">
      <c r="A3157" s="21"/>
      <c r="B3157" s="21" t="s">
        <v>4012</v>
      </c>
      <c r="D3157" s="25">
        <v>0.0</v>
      </c>
      <c r="E3157" s="27"/>
      <c r="F3157" s="25">
        <v>4.17</v>
      </c>
      <c r="G3157" s="27"/>
    </row>
    <row r="3158" hidden="1">
      <c r="A3158" s="21"/>
      <c r="B3158" s="21" t="s">
        <v>4013</v>
      </c>
      <c r="D3158" s="25">
        <v>0.0</v>
      </c>
      <c r="E3158" s="27"/>
      <c r="F3158" s="25">
        <v>0.0</v>
      </c>
      <c r="G3158" s="27"/>
    </row>
    <row r="3159" hidden="1">
      <c r="A3159" s="21"/>
      <c r="B3159" s="21" t="s">
        <v>4014</v>
      </c>
      <c r="D3159" s="25">
        <v>0.0</v>
      </c>
      <c r="E3159" s="27"/>
      <c r="F3159" s="25">
        <v>0.0</v>
      </c>
      <c r="G3159" s="27"/>
    </row>
    <row r="3160" hidden="1">
      <c r="A3160" s="21"/>
      <c r="B3160" s="21" t="s">
        <v>4015</v>
      </c>
      <c r="D3160" s="25">
        <v>0.0</v>
      </c>
      <c r="E3160" s="27"/>
      <c r="F3160" s="25">
        <v>0.0</v>
      </c>
      <c r="G3160" s="27"/>
    </row>
    <row r="3161" hidden="1">
      <c r="A3161" s="21"/>
      <c r="B3161" s="21" t="s">
        <v>4016</v>
      </c>
      <c r="D3161" s="25">
        <v>0.0</v>
      </c>
      <c r="E3161" s="27"/>
      <c r="F3161" s="25">
        <v>0.0</v>
      </c>
      <c r="G3161" s="27"/>
    </row>
    <row r="3162" hidden="1">
      <c r="A3162" s="21"/>
      <c r="B3162" s="21" t="s">
        <v>4017</v>
      </c>
      <c r="D3162" s="25">
        <v>0.0</v>
      </c>
      <c r="E3162" s="27"/>
      <c r="F3162" s="25">
        <v>7.93</v>
      </c>
      <c r="G3162" s="27"/>
    </row>
    <row r="3163" hidden="1">
      <c r="A3163" s="21"/>
      <c r="B3163" s="21" t="s">
        <v>4018</v>
      </c>
      <c r="D3163" s="25">
        <v>0.0</v>
      </c>
      <c r="E3163" s="27"/>
      <c r="F3163" s="25">
        <v>0.0</v>
      </c>
      <c r="G3163" s="27"/>
    </row>
    <row r="3164" hidden="1">
      <c r="A3164" s="21"/>
      <c r="B3164" s="21" t="s">
        <v>4019</v>
      </c>
      <c r="D3164" s="25">
        <v>0.0</v>
      </c>
      <c r="E3164" s="27"/>
      <c r="F3164" s="25">
        <v>0.0</v>
      </c>
      <c r="G3164" s="27"/>
    </row>
    <row r="3165" hidden="1">
      <c r="A3165" s="21"/>
      <c r="B3165" s="21" t="s">
        <v>4020</v>
      </c>
      <c r="D3165" s="25">
        <v>0.0</v>
      </c>
      <c r="E3165" s="27"/>
      <c r="F3165" s="25">
        <v>0.0</v>
      </c>
      <c r="G3165" s="27"/>
    </row>
    <row r="3166" hidden="1">
      <c r="A3166" s="21"/>
      <c r="B3166" s="21" t="s">
        <v>4021</v>
      </c>
      <c r="D3166" s="25">
        <v>0.0</v>
      </c>
      <c r="E3166" s="27"/>
      <c r="F3166" s="25">
        <v>2.14</v>
      </c>
      <c r="G3166" s="27"/>
    </row>
    <row r="3167" hidden="1">
      <c r="A3167" s="21"/>
      <c r="B3167" s="21" t="s">
        <v>4022</v>
      </c>
      <c r="D3167" s="25">
        <v>0.0</v>
      </c>
      <c r="E3167" s="27"/>
      <c r="F3167" s="25">
        <v>0.0</v>
      </c>
      <c r="G3167" s="27"/>
    </row>
    <row r="3168" hidden="1">
      <c r="A3168" s="21"/>
      <c r="B3168" s="21" t="s">
        <v>4023</v>
      </c>
      <c r="D3168" s="25">
        <v>0.0</v>
      </c>
      <c r="E3168" s="27"/>
      <c r="F3168" s="25">
        <v>0.0</v>
      </c>
      <c r="G3168" s="27"/>
    </row>
    <row r="3169" hidden="1">
      <c r="A3169" s="21"/>
      <c r="B3169" s="21" t="s">
        <v>4024</v>
      </c>
      <c r="D3169" s="25">
        <v>0.0</v>
      </c>
      <c r="E3169" s="27"/>
      <c r="F3169" s="25">
        <v>0.0</v>
      </c>
      <c r="G3169" s="27"/>
    </row>
    <row r="3170" hidden="1">
      <c r="A3170" s="21"/>
      <c r="B3170" s="21" t="s">
        <v>4025</v>
      </c>
      <c r="D3170" s="25">
        <v>0.0</v>
      </c>
      <c r="E3170" s="27"/>
      <c r="F3170" s="25">
        <v>0.0</v>
      </c>
      <c r="G3170" s="27"/>
    </row>
    <row r="3171" hidden="1">
      <c r="A3171" s="21"/>
      <c r="B3171" s="21" t="s">
        <v>4026</v>
      </c>
      <c r="D3171" s="25">
        <v>0.0</v>
      </c>
      <c r="E3171" s="27"/>
      <c r="F3171" s="25">
        <v>0.0</v>
      </c>
      <c r="G3171" s="27"/>
    </row>
    <row r="3172" hidden="1">
      <c r="A3172" s="21"/>
      <c r="B3172" s="21" t="s">
        <v>4027</v>
      </c>
      <c r="D3172" s="25">
        <v>0.0</v>
      </c>
      <c r="E3172" s="27"/>
      <c r="F3172" s="25">
        <v>0.0</v>
      </c>
      <c r="G3172" s="27"/>
    </row>
    <row r="3173" hidden="1">
      <c r="A3173" s="21"/>
      <c r="B3173" s="21" t="s">
        <v>4028</v>
      </c>
      <c r="D3173" s="25">
        <v>0.0</v>
      </c>
      <c r="E3173" s="27"/>
      <c r="F3173" s="25">
        <v>0.0</v>
      </c>
      <c r="G3173" s="27"/>
    </row>
    <row r="3174" hidden="1">
      <c r="A3174" s="21"/>
      <c r="B3174" s="21" t="s">
        <v>4029</v>
      </c>
      <c r="D3174" s="25">
        <v>0.0</v>
      </c>
      <c r="E3174" s="27"/>
      <c r="F3174" s="25">
        <v>0.0</v>
      </c>
      <c r="G3174" s="27"/>
    </row>
    <row r="3175" hidden="1">
      <c r="A3175" s="21"/>
      <c r="B3175" s="21" t="s">
        <v>4030</v>
      </c>
      <c r="D3175" s="25">
        <v>0.0</v>
      </c>
      <c r="E3175" s="27"/>
      <c r="F3175" s="25">
        <v>0.0</v>
      </c>
      <c r="G3175" s="27"/>
    </row>
    <row r="3176" hidden="1">
      <c r="A3176" s="21"/>
      <c r="B3176" s="21" t="s">
        <v>4031</v>
      </c>
      <c r="D3176" s="25">
        <v>0.0</v>
      </c>
      <c r="E3176" s="27"/>
      <c r="F3176" s="25">
        <v>0.0</v>
      </c>
      <c r="G3176" s="27"/>
    </row>
    <row r="3177" hidden="1">
      <c r="A3177" s="21"/>
      <c r="B3177" s="21" t="s">
        <v>4032</v>
      </c>
      <c r="D3177" s="25">
        <v>0.0</v>
      </c>
      <c r="E3177" s="27"/>
      <c r="F3177" s="25">
        <v>0.0</v>
      </c>
      <c r="G3177" s="27"/>
    </row>
    <row r="3178" hidden="1">
      <c r="A3178" s="21"/>
      <c r="B3178" s="21" t="s">
        <v>4033</v>
      </c>
      <c r="D3178" s="25">
        <v>0.0</v>
      </c>
      <c r="E3178" s="27"/>
      <c r="F3178" s="25">
        <v>0.0</v>
      </c>
      <c r="G3178" s="27"/>
    </row>
    <row r="3179" hidden="1">
      <c r="A3179" s="21"/>
      <c r="B3179" s="21" t="s">
        <v>4034</v>
      </c>
      <c r="D3179" s="25">
        <v>0.0</v>
      </c>
      <c r="E3179" s="27"/>
      <c r="F3179" s="25">
        <v>0.0</v>
      </c>
      <c r="G3179" s="27"/>
    </row>
    <row r="3180" hidden="1">
      <c r="A3180" s="21"/>
      <c r="B3180" s="21" t="s">
        <v>4035</v>
      </c>
      <c r="D3180" s="25">
        <v>0.0</v>
      </c>
      <c r="E3180" s="27"/>
      <c r="F3180" s="25">
        <v>0.0</v>
      </c>
      <c r="G3180" s="27"/>
    </row>
    <row r="3181" hidden="1">
      <c r="A3181" s="21"/>
      <c r="B3181" s="21" t="s">
        <v>4036</v>
      </c>
      <c r="D3181" s="25">
        <v>0.0</v>
      </c>
      <c r="E3181" s="27"/>
      <c r="F3181" s="25">
        <v>0.0</v>
      </c>
      <c r="G3181" s="27"/>
    </row>
    <row r="3182" hidden="1">
      <c r="A3182" s="21"/>
      <c r="B3182" s="21" t="s">
        <v>4037</v>
      </c>
      <c r="D3182" s="25">
        <v>0.0</v>
      </c>
      <c r="E3182" s="27"/>
      <c r="F3182" s="25">
        <v>0.0</v>
      </c>
      <c r="G3182" s="27"/>
    </row>
    <row r="3183" hidden="1">
      <c r="A3183" s="21"/>
      <c r="B3183" s="21" t="s">
        <v>4038</v>
      </c>
      <c r="D3183" s="25">
        <v>0.0</v>
      </c>
      <c r="E3183" s="27"/>
      <c r="F3183" s="25">
        <v>0.0</v>
      </c>
      <c r="G3183" s="27"/>
    </row>
    <row r="3184" hidden="1">
      <c r="A3184" s="21"/>
      <c r="B3184" s="21" t="s">
        <v>4039</v>
      </c>
      <c r="D3184" s="25">
        <v>0.0</v>
      </c>
      <c r="E3184" s="27"/>
      <c r="F3184" s="25">
        <v>0.0</v>
      </c>
      <c r="G3184" s="27"/>
    </row>
    <row r="3185" hidden="1">
      <c r="A3185" s="21"/>
      <c r="B3185" s="21" t="s">
        <v>4040</v>
      </c>
      <c r="D3185" s="25">
        <v>0.0</v>
      </c>
      <c r="E3185" s="27"/>
      <c r="F3185" s="25">
        <v>0.0</v>
      </c>
      <c r="G3185" s="27"/>
    </row>
    <row r="3186" hidden="1">
      <c r="A3186" s="21"/>
      <c r="B3186" s="21" t="s">
        <v>4041</v>
      </c>
      <c r="D3186" s="25">
        <v>0.0</v>
      </c>
      <c r="E3186" s="27"/>
      <c r="F3186" s="25">
        <v>0.0</v>
      </c>
      <c r="G3186" s="27"/>
    </row>
    <row r="3187" hidden="1">
      <c r="A3187" s="21"/>
      <c r="B3187" s="21" t="s">
        <v>4042</v>
      </c>
      <c r="D3187" s="25">
        <v>0.0</v>
      </c>
      <c r="E3187" s="27"/>
      <c r="F3187" s="25">
        <v>0.0</v>
      </c>
      <c r="G3187" s="27"/>
    </row>
    <row r="3188" hidden="1">
      <c r="A3188" s="21"/>
      <c r="B3188" s="21" t="s">
        <v>4043</v>
      </c>
      <c r="D3188" s="25">
        <v>0.0</v>
      </c>
      <c r="E3188" s="27"/>
      <c r="F3188" s="25">
        <v>0.0</v>
      </c>
      <c r="G3188" s="27"/>
    </row>
    <row r="3189" hidden="1">
      <c r="A3189" s="21"/>
      <c r="B3189" s="21" t="s">
        <v>4044</v>
      </c>
      <c r="D3189" s="25">
        <v>0.0</v>
      </c>
      <c r="E3189" s="27"/>
      <c r="F3189" s="25">
        <v>0.0</v>
      </c>
      <c r="G3189" s="27"/>
    </row>
    <row r="3190" hidden="1">
      <c r="A3190" s="21"/>
      <c r="B3190" s="21" t="s">
        <v>4045</v>
      </c>
      <c r="D3190" s="25">
        <v>0.0</v>
      </c>
      <c r="E3190" s="27"/>
      <c r="F3190" s="25">
        <v>0.0</v>
      </c>
      <c r="G3190" s="27"/>
    </row>
    <row r="3191" hidden="1">
      <c r="A3191" s="21"/>
      <c r="B3191" s="21" t="s">
        <v>4046</v>
      </c>
      <c r="D3191" s="25">
        <v>0.0</v>
      </c>
      <c r="E3191" s="27"/>
      <c r="F3191" s="25">
        <v>0.0</v>
      </c>
      <c r="G3191" s="27"/>
    </row>
    <row r="3192" hidden="1">
      <c r="A3192" s="21"/>
      <c r="B3192" s="21" t="s">
        <v>4047</v>
      </c>
      <c r="D3192" s="25">
        <v>0.0</v>
      </c>
      <c r="E3192" s="27"/>
      <c r="F3192" s="25">
        <v>0.0</v>
      </c>
      <c r="G3192" s="27"/>
    </row>
    <row r="3193" hidden="1">
      <c r="A3193" s="21"/>
      <c r="B3193" s="21" t="s">
        <v>4048</v>
      </c>
      <c r="D3193" s="25">
        <v>0.0</v>
      </c>
      <c r="E3193" s="27"/>
      <c r="F3193" s="25">
        <v>0.0</v>
      </c>
      <c r="G3193" s="27"/>
    </row>
    <row r="3194" hidden="1">
      <c r="A3194" s="21"/>
      <c r="B3194" s="21" t="s">
        <v>4049</v>
      </c>
      <c r="D3194" s="25">
        <v>0.0</v>
      </c>
      <c r="E3194" s="27"/>
      <c r="F3194" s="25">
        <v>0.0</v>
      </c>
      <c r="G3194" s="27"/>
    </row>
    <row r="3195" hidden="1">
      <c r="A3195" s="21"/>
      <c r="B3195" s="21" t="s">
        <v>4050</v>
      </c>
      <c r="D3195" s="25">
        <v>0.0</v>
      </c>
      <c r="E3195" s="27"/>
      <c r="F3195" s="25">
        <v>0.0</v>
      </c>
      <c r="G3195" s="27"/>
    </row>
    <row r="3196" hidden="1">
      <c r="A3196" s="21"/>
      <c r="B3196" s="21" t="s">
        <v>4051</v>
      </c>
      <c r="D3196" s="25">
        <v>0.0</v>
      </c>
      <c r="E3196" s="27"/>
      <c r="F3196" s="25">
        <v>0.0</v>
      </c>
      <c r="G3196" s="27"/>
    </row>
    <row r="3197" hidden="1">
      <c r="A3197" s="21"/>
      <c r="B3197" s="21" t="s">
        <v>4052</v>
      </c>
      <c r="D3197" s="25">
        <v>0.0</v>
      </c>
      <c r="E3197" s="27"/>
      <c r="F3197" s="25">
        <v>0.0</v>
      </c>
      <c r="G3197" s="27"/>
    </row>
    <row r="3198" hidden="1">
      <c r="A3198" s="21"/>
      <c r="B3198" s="21" t="s">
        <v>4053</v>
      </c>
      <c r="D3198" s="25">
        <v>0.0</v>
      </c>
      <c r="E3198" s="27"/>
      <c r="F3198" s="25">
        <v>0.0</v>
      </c>
      <c r="G3198" s="27"/>
    </row>
    <row r="3199" hidden="1">
      <c r="A3199" s="21"/>
      <c r="B3199" s="21" t="s">
        <v>4054</v>
      </c>
      <c r="D3199" s="25">
        <v>0.0</v>
      </c>
      <c r="E3199" s="27"/>
      <c r="F3199" s="25">
        <v>0.0</v>
      </c>
      <c r="G3199" s="27"/>
    </row>
    <row r="3200" hidden="1">
      <c r="A3200" s="21"/>
      <c r="B3200" s="21" t="s">
        <v>4055</v>
      </c>
      <c r="D3200" s="25">
        <v>0.0</v>
      </c>
      <c r="E3200" s="27"/>
      <c r="F3200" s="25">
        <v>0.0</v>
      </c>
      <c r="G3200" s="27"/>
    </row>
    <row r="3201" hidden="1">
      <c r="A3201" s="21"/>
      <c r="B3201" s="21" t="s">
        <v>4056</v>
      </c>
      <c r="D3201" s="25">
        <v>0.0</v>
      </c>
      <c r="E3201" s="27"/>
      <c r="F3201" s="25">
        <v>0.0</v>
      </c>
      <c r="G3201" s="27"/>
    </row>
    <row r="3202" hidden="1">
      <c r="A3202" s="21"/>
      <c r="B3202" s="21" t="s">
        <v>4057</v>
      </c>
      <c r="D3202" s="25">
        <v>0.0</v>
      </c>
      <c r="E3202" s="27"/>
      <c r="F3202" s="25">
        <v>0.0</v>
      </c>
      <c r="G3202" s="27"/>
    </row>
    <row r="3203" hidden="1">
      <c r="A3203" s="21"/>
      <c r="B3203" s="21" t="s">
        <v>4058</v>
      </c>
      <c r="D3203" s="25">
        <v>0.0</v>
      </c>
      <c r="E3203" s="27"/>
      <c r="F3203" s="25">
        <v>0.0</v>
      </c>
      <c r="G3203" s="27"/>
    </row>
    <row r="3204" hidden="1">
      <c r="A3204" s="21"/>
      <c r="B3204" s="21" t="s">
        <v>4059</v>
      </c>
      <c r="D3204" s="25">
        <v>0.0</v>
      </c>
      <c r="E3204" s="27"/>
      <c r="F3204" s="25">
        <v>0.0</v>
      </c>
      <c r="G3204" s="27"/>
    </row>
    <row r="3205" hidden="1">
      <c r="A3205" s="21"/>
      <c r="B3205" s="21" t="s">
        <v>4060</v>
      </c>
      <c r="D3205" s="25">
        <v>0.0</v>
      </c>
      <c r="E3205" s="27"/>
      <c r="F3205" s="25">
        <v>0.0</v>
      </c>
      <c r="G3205" s="27"/>
    </row>
    <row r="3206" hidden="1">
      <c r="A3206" s="21"/>
      <c r="B3206" s="21" t="s">
        <v>4061</v>
      </c>
      <c r="D3206" s="25">
        <v>0.0</v>
      </c>
      <c r="E3206" s="27"/>
      <c r="F3206" s="25">
        <v>0.0</v>
      </c>
      <c r="G3206" s="27"/>
    </row>
    <row r="3207" hidden="1">
      <c r="A3207" s="21"/>
      <c r="B3207" s="21" t="s">
        <v>4062</v>
      </c>
      <c r="D3207" s="25">
        <v>0.0</v>
      </c>
      <c r="E3207" s="27"/>
      <c r="F3207" s="25">
        <v>0.0</v>
      </c>
      <c r="G3207" s="27"/>
    </row>
    <row r="3208" hidden="1">
      <c r="A3208" s="21"/>
      <c r="B3208" s="21" t="s">
        <v>4063</v>
      </c>
      <c r="D3208" s="25">
        <v>0.0</v>
      </c>
      <c r="E3208" s="27"/>
      <c r="F3208" s="25">
        <v>4.64</v>
      </c>
      <c r="G3208" s="27"/>
    </row>
    <row r="3209" hidden="1">
      <c r="A3209" s="21"/>
      <c r="B3209" s="21" t="s">
        <v>4064</v>
      </c>
      <c r="D3209" s="25">
        <v>0.0</v>
      </c>
      <c r="E3209" s="27"/>
      <c r="F3209" s="25">
        <v>0.0</v>
      </c>
      <c r="G3209" s="27"/>
    </row>
    <row r="3210" hidden="1">
      <c r="A3210" s="21"/>
      <c r="B3210" s="21" t="s">
        <v>4065</v>
      </c>
      <c r="D3210" s="25">
        <v>0.0</v>
      </c>
      <c r="E3210" s="27"/>
      <c r="F3210" s="25">
        <v>0.0</v>
      </c>
      <c r="G3210" s="27"/>
    </row>
    <row r="3211" hidden="1">
      <c r="A3211" s="21"/>
      <c r="B3211" s="21" t="s">
        <v>4066</v>
      </c>
      <c r="D3211" s="25">
        <v>0.0</v>
      </c>
      <c r="E3211" s="27"/>
      <c r="F3211" s="25">
        <v>0.0</v>
      </c>
      <c r="G3211" s="27"/>
    </row>
    <row r="3212" hidden="1">
      <c r="A3212" s="21"/>
      <c r="B3212" s="21" t="s">
        <v>4067</v>
      </c>
      <c r="D3212" s="25">
        <v>0.0</v>
      </c>
      <c r="E3212" s="27"/>
      <c r="F3212" s="25">
        <v>0.0</v>
      </c>
      <c r="G3212" s="27"/>
    </row>
    <row r="3213" hidden="1">
      <c r="A3213" s="21"/>
      <c r="B3213" s="21" t="s">
        <v>4068</v>
      </c>
      <c r="D3213" s="25">
        <v>0.0</v>
      </c>
      <c r="E3213" s="27"/>
      <c r="F3213" s="25">
        <v>0.0</v>
      </c>
      <c r="G3213" s="27"/>
    </row>
    <row r="3214" hidden="1">
      <c r="A3214" s="21"/>
      <c r="B3214" s="21" t="s">
        <v>4069</v>
      </c>
      <c r="D3214" s="25">
        <v>0.0</v>
      </c>
      <c r="E3214" s="27"/>
      <c r="F3214" s="25">
        <v>0.0</v>
      </c>
      <c r="G3214" s="27"/>
    </row>
    <row r="3215" hidden="1">
      <c r="A3215" s="21"/>
      <c r="B3215" s="21" t="s">
        <v>4070</v>
      </c>
      <c r="D3215" s="25">
        <v>0.0</v>
      </c>
      <c r="E3215" s="27"/>
      <c r="F3215" s="25">
        <v>0.0</v>
      </c>
      <c r="G3215" s="27"/>
    </row>
    <row r="3216" hidden="1">
      <c r="A3216" s="21"/>
      <c r="B3216" s="21" t="s">
        <v>4071</v>
      </c>
      <c r="D3216" s="25">
        <v>0.0</v>
      </c>
      <c r="E3216" s="27"/>
      <c r="F3216" s="25">
        <v>0.0</v>
      </c>
      <c r="G3216" s="27"/>
    </row>
    <row r="3217" hidden="1">
      <c r="A3217" s="21"/>
      <c r="B3217" s="21" t="s">
        <v>4072</v>
      </c>
      <c r="D3217" s="25">
        <v>0.0</v>
      </c>
      <c r="E3217" s="27"/>
      <c r="F3217" s="25">
        <v>0.0</v>
      </c>
      <c r="G3217" s="27"/>
    </row>
    <row r="3218" hidden="1">
      <c r="A3218" s="21"/>
      <c r="B3218" s="21" t="s">
        <v>4073</v>
      </c>
      <c r="D3218" s="25">
        <v>0.0</v>
      </c>
      <c r="E3218" s="27"/>
      <c r="F3218" s="25">
        <v>0.0</v>
      </c>
      <c r="G3218" s="27"/>
    </row>
    <row r="3219" hidden="1">
      <c r="A3219" s="21"/>
      <c r="B3219" s="21" t="s">
        <v>4074</v>
      </c>
      <c r="D3219" s="25">
        <v>0.0</v>
      </c>
      <c r="E3219" s="27"/>
      <c r="F3219" s="25">
        <v>0.0</v>
      </c>
      <c r="G3219" s="27"/>
    </row>
    <row r="3220" hidden="1">
      <c r="A3220" s="21"/>
      <c r="B3220" s="21" t="s">
        <v>4075</v>
      </c>
      <c r="D3220" s="25">
        <v>0.0</v>
      </c>
      <c r="E3220" s="27"/>
      <c r="F3220" s="25">
        <v>0.0</v>
      </c>
      <c r="G3220" s="27"/>
    </row>
    <row r="3221" hidden="1">
      <c r="A3221" s="21"/>
      <c r="B3221" s="21" t="s">
        <v>4076</v>
      </c>
      <c r="D3221" s="25">
        <v>0.0</v>
      </c>
      <c r="E3221" s="27"/>
      <c r="F3221" s="25">
        <v>0.0</v>
      </c>
      <c r="G3221" s="27"/>
    </row>
    <row r="3222" hidden="1">
      <c r="A3222" s="21"/>
      <c r="B3222" s="21" t="s">
        <v>4077</v>
      </c>
      <c r="D3222" s="25">
        <v>0.0</v>
      </c>
      <c r="E3222" s="27"/>
      <c r="F3222" s="25">
        <v>0.0</v>
      </c>
      <c r="G3222" s="27"/>
    </row>
    <row r="3223" hidden="1">
      <c r="A3223" s="21"/>
      <c r="B3223" s="21" t="s">
        <v>4078</v>
      </c>
      <c r="D3223" s="25">
        <v>0.0</v>
      </c>
      <c r="E3223" s="27"/>
      <c r="F3223" s="25">
        <v>0.0</v>
      </c>
      <c r="G3223" s="27"/>
    </row>
    <row r="3224" hidden="1">
      <c r="A3224" s="21"/>
      <c r="B3224" s="21" t="s">
        <v>4079</v>
      </c>
      <c r="D3224" s="25">
        <v>0.0</v>
      </c>
      <c r="E3224" s="27"/>
      <c r="F3224" s="25">
        <v>0.0</v>
      </c>
      <c r="G3224" s="27"/>
    </row>
    <row r="3225" hidden="1">
      <c r="A3225" s="21"/>
      <c r="B3225" s="21" t="s">
        <v>4080</v>
      </c>
      <c r="D3225" s="25">
        <v>0.0</v>
      </c>
      <c r="E3225" s="27"/>
      <c r="F3225" s="25">
        <v>0.0</v>
      </c>
      <c r="G3225" s="27"/>
    </row>
    <row r="3226" hidden="1">
      <c r="A3226" s="21"/>
      <c r="B3226" s="21" t="s">
        <v>4081</v>
      </c>
      <c r="D3226" s="25">
        <v>0.0</v>
      </c>
      <c r="E3226" s="27"/>
      <c r="F3226" s="25">
        <v>0.0</v>
      </c>
      <c r="G3226" s="27"/>
    </row>
    <row r="3227" hidden="1">
      <c r="A3227" s="21"/>
      <c r="B3227" s="21" t="s">
        <v>4082</v>
      </c>
      <c r="D3227" s="25">
        <v>0.0</v>
      </c>
      <c r="E3227" s="27"/>
      <c r="F3227" s="25">
        <v>0.0</v>
      </c>
      <c r="G3227" s="27"/>
    </row>
    <row r="3228" hidden="1">
      <c r="A3228" s="21"/>
      <c r="B3228" s="21" t="s">
        <v>4083</v>
      </c>
      <c r="D3228" s="25">
        <v>0.0</v>
      </c>
      <c r="E3228" s="27"/>
      <c r="F3228" s="25">
        <v>0.0</v>
      </c>
      <c r="G3228" s="27"/>
    </row>
    <row r="3229" hidden="1">
      <c r="A3229" s="21"/>
      <c r="B3229" s="21" t="s">
        <v>4084</v>
      </c>
      <c r="D3229" s="25">
        <v>0.0</v>
      </c>
      <c r="E3229" s="27"/>
      <c r="F3229" s="25">
        <v>0.0</v>
      </c>
      <c r="G3229" s="27"/>
    </row>
    <row r="3230" hidden="1">
      <c r="A3230" s="21"/>
      <c r="B3230" s="21" t="s">
        <v>4085</v>
      </c>
      <c r="D3230" s="25">
        <v>0.0</v>
      </c>
      <c r="E3230" s="27"/>
      <c r="F3230" s="25">
        <v>0.0</v>
      </c>
      <c r="G3230" s="27"/>
    </row>
    <row r="3231" hidden="1">
      <c r="A3231" s="21"/>
      <c r="B3231" s="21" t="s">
        <v>4086</v>
      </c>
      <c r="D3231" s="25">
        <v>0.0</v>
      </c>
      <c r="E3231" s="27"/>
      <c r="F3231" s="25">
        <v>0.0</v>
      </c>
      <c r="G3231" s="27"/>
    </row>
    <row r="3232" hidden="1">
      <c r="A3232" s="21"/>
      <c r="B3232" s="21" t="s">
        <v>4087</v>
      </c>
      <c r="D3232" s="25">
        <v>0.0</v>
      </c>
      <c r="E3232" s="27"/>
      <c r="F3232" s="25">
        <v>0.0</v>
      </c>
      <c r="G3232" s="27"/>
    </row>
    <row r="3233" hidden="1">
      <c r="A3233" s="21"/>
      <c r="B3233" s="21" t="s">
        <v>4088</v>
      </c>
      <c r="D3233" s="25">
        <v>0.0</v>
      </c>
      <c r="E3233" s="27"/>
      <c r="F3233" s="25">
        <v>0.0</v>
      </c>
      <c r="G3233" s="27"/>
    </row>
    <row r="3234" hidden="1">
      <c r="A3234" s="21"/>
      <c r="B3234" s="21" t="s">
        <v>4089</v>
      </c>
      <c r="D3234" s="25">
        <v>0.0</v>
      </c>
      <c r="E3234" s="27"/>
      <c r="F3234" s="25">
        <v>0.0</v>
      </c>
      <c r="G3234" s="27"/>
    </row>
    <row r="3235" hidden="1">
      <c r="A3235" s="21"/>
      <c r="B3235" s="21" t="s">
        <v>4090</v>
      </c>
      <c r="D3235" s="25">
        <v>0.0</v>
      </c>
      <c r="E3235" s="27"/>
      <c r="F3235" s="25">
        <v>0.0</v>
      </c>
      <c r="G3235" s="27"/>
    </row>
    <row r="3236" hidden="1">
      <c r="A3236" s="21"/>
      <c r="B3236" s="21" t="s">
        <v>4091</v>
      </c>
      <c r="D3236" s="25">
        <v>0.0</v>
      </c>
      <c r="E3236" s="27"/>
      <c r="F3236" s="25">
        <v>0.0</v>
      </c>
      <c r="G3236" s="27"/>
    </row>
    <row r="3237" hidden="1">
      <c r="A3237" s="21"/>
      <c r="B3237" s="21" t="s">
        <v>4092</v>
      </c>
      <c r="D3237" s="25">
        <v>0.0</v>
      </c>
      <c r="E3237" s="27"/>
      <c r="F3237" s="25">
        <v>0.0</v>
      </c>
      <c r="G3237" s="27"/>
    </row>
    <row r="3238" hidden="1">
      <c r="A3238" s="21"/>
      <c r="B3238" s="21" t="s">
        <v>4093</v>
      </c>
      <c r="D3238" s="25">
        <v>0.0</v>
      </c>
      <c r="E3238" s="27"/>
      <c r="F3238" s="25">
        <v>0.0</v>
      </c>
      <c r="G3238" s="27"/>
    </row>
    <row r="3239" hidden="1">
      <c r="A3239" s="21"/>
      <c r="B3239" s="21" t="s">
        <v>4094</v>
      </c>
      <c r="D3239" s="25">
        <v>0.0</v>
      </c>
      <c r="E3239" s="27"/>
      <c r="F3239" s="25">
        <v>0.0</v>
      </c>
      <c r="G3239" s="27"/>
    </row>
    <row r="3240" hidden="1">
      <c r="A3240" s="21"/>
      <c r="B3240" s="21" t="s">
        <v>4095</v>
      </c>
      <c r="D3240" s="25">
        <v>0.0</v>
      </c>
      <c r="E3240" s="27"/>
      <c r="F3240" s="25">
        <v>0.0</v>
      </c>
      <c r="G3240" s="27"/>
    </row>
    <row r="3241" hidden="1">
      <c r="A3241" s="21"/>
      <c r="B3241" s="21" t="s">
        <v>4096</v>
      </c>
      <c r="D3241" s="25">
        <v>0.0</v>
      </c>
      <c r="E3241" s="27"/>
      <c r="F3241" s="25">
        <v>0.0</v>
      </c>
      <c r="G3241" s="27"/>
    </row>
    <row r="3242" hidden="1">
      <c r="A3242" s="21"/>
      <c r="B3242" s="21" t="s">
        <v>4097</v>
      </c>
      <c r="D3242" s="25">
        <v>0.0</v>
      </c>
      <c r="E3242" s="27"/>
      <c r="F3242" s="25">
        <v>0.0</v>
      </c>
      <c r="G3242" s="27"/>
    </row>
    <row r="3243" hidden="1">
      <c r="A3243" s="21"/>
      <c r="B3243" s="21" t="s">
        <v>4098</v>
      </c>
      <c r="D3243" s="25">
        <v>0.0</v>
      </c>
      <c r="E3243" s="27"/>
      <c r="F3243" s="25">
        <v>0.0</v>
      </c>
      <c r="G3243" s="27"/>
    </row>
    <row r="3244" hidden="1">
      <c r="A3244" s="21"/>
      <c r="B3244" s="21" t="s">
        <v>4099</v>
      </c>
      <c r="D3244" s="25">
        <v>0.0</v>
      </c>
      <c r="E3244" s="27"/>
      <c r="F3244" s="25">
        <v>0.0</v>
      </c>
      <c r="G3244" s="27"/>
    </row>
    <row r="3245" hidden="1">
      <c r="A3245" s="21"/>
      <c r="B3245" s="21" t="s">
        <v>4100</v>
      </c>
      <c r="D3245" s="25">
        <v>0.0</v>
      </c>
      <c r="E3245" s="27"/>
      <c r="F3245" s="25">
        <v>0.0</v>
      </c>
      <c r="G3245" s="27"/>
    </row>
    <row r="3246" hidden="1">
      <c r="A3246" s="21"/>
      <c r="B3246" s="21" t="s">
        <v>4101</v>
      </c>
      <c r="D3246" s="25">
        <v>0.0</v>
      </c>
      <c r="E3246" s="27"/>
      <c r="F3246" s="25">
        <v>0.0</v>
      </c>
      <c r="G3246" s="27"/>
    </row>
    <row r="3247" hidden="1">
      <c r="A3247" s="21"/>
      <c r="B3247" s="21" t="s">
        <v>4102</v>
      </c>
      <c r="D3247" s="25">
        <v>0.0</v>
      </c>
      <c r="E3247" s="27"/>
      <c r="F3247" s="25">
        <v>0.0</v>
      </c>
      <c r="G3247" s="27"/>
    </row>
    <row r="3248" hidden="1">
      <c r="A3248" s="21"/>
      <c r="B3248" s="21" t="s">
        <v>4103</v>
      </c>
      <c r="D3248" s="25">
        <v>0.0</v>
      </c>
      <c r="E3248" s="27"/>
      <c r="F3248" s="25">
        <v>0.0</v>
      </c>
      <c r="G3248" s="27"/>
    </row>
    <row r="3249" hidden="1">
      <c r="A3249" s="21"/>
      <c r="B3249" s="21" t="s">
        <v>4104</v>
      </c>
      <c r="D3249" s="25">
        <v>0.0</v>
      </c>
      <c r="E3249" s="27"/>
      <c r="F3249" s="25">
        <v>0.0</v>
      </c>
      <c r="G3249" s="27"/>
    </row>
    <row r="3250" hidden="1">
      <c r="A3250" s="21"/>
      <c r="B3250" s="21" t="s">
        <v>4105</v>
      </c>
      <c r="D3250" s="25">
        <v>0.0</v>
      </c>
      <c r="E3250" s="27"/>
      <c r="F3250" s="25">
        <v>0.0</v>
      </c>
      <c r="G3250" s="27"/>
    </row>
    <row r="3251" hidden="1">
      <c r="A3251" s="21"/>
      <c r="B3251" s="21" t="s">
        <v>4106</v>
      </c>
      <c r="D3251" s="25">
        <v>0.0</v>
      </c>
      <c r="E3251" s="27"/>
      <c r="F3251" s="25">
        <v>0.0</v>
      </c>
      <c r="G3251" s="27"/>
    </row>
    <row r="3252" hidden="1">
      <c r="A3252" s="21"/>
      <c r="B3252" s="21" t="s">
        <v>4107</v>
      </c>
      <c r="D3252" s="25">
        <v>0.0</v>
      </c>
      <c r="E3252" s="27"/>
      <c r="F3252" s="25">
        <v>0.0</v>
      </c>
      <c r="G3252" s="27"/>
    </row>
    <row r="3253" hidden="1">
      <c r="A3253" s="21"/>
      <c r="B3253" s="21" t="s">
        <v>4108</v>
      </c>
      <c r="D3253" s="25">
        <v>0.0</v>
      </c>
      <c r="E3253" s="27"/>
      <c r="F3253" s="25">
        <v>0.0</v>
      </c>
      <c r="G3253" s="27"/>
    </row>
    <row r="3254" hidden="1">
      <c r="A3254" s="21"/>
      <c r="B3254" s="21" t="s">
        <v>4109</v>
      </c>
      <c r="D3254" s="25">
        <v>0.0</v>
      </c>
      <c r="E3254" s="27"/>
      <c r="F3254" s="25">
        <v>0.0</v>
      </c>
      <c r="G3254" s="27"/>
    </row>
    <row r="3255" hidden="1">
      <c r="A3255" s="21"/>
      <c r="B3255" s="21" t="s">
        <v>4110</v>
      </c>
      <c r="D3255" s="25">
        <v>0.0</v>
      </c>
      <c r="E3255" s="27"/>
      <c r="F3255" s="25">
        <v>0.0</v>
      </c>
      <c r="G3255" s="27"/>
    </row>
    <row r="3256" hidden="1">
      <c r="A3256" s="21"/>
      <c r="B3256" s="21" t="s">
        <v>4111</v>
      </c>
      <c r="D3256" s="25">
        <v>0.0</v>
      </c>
      <c r="E3256" s="27"/>
      <c r="F3256" s="25">
        <v>0.0</v>
      </c>
      <c r="G3256" s="27"/>
    </row>
    <row r="3257" hidden="1">
      <c r="A3257" s="21"/>
      <c r="B3257" s="21" t="s">
        <v>4112</v>
      </c>
      <c r="D3257" s="25">
        <v>0.0</v>
      </c>
      <c r="E3257" s="27"/>
      <c r="F3257" s="25">
        <v>0.0</v>
      </c>
      <c r="G3257" s="27"/>
    </row>
    <row r="3258" hidden="1">
      <c r="A3258" s="21"/>
      <c r="B3258" s="21" t="s">
        <v>4113</v>
      </c>
      <c r="D3258" s="25">
        <v>0.0</v>
      </c>
      <c r="E3258" s="27"/>
      <c r="F3258" s="25">
        <v>0.0</v>
      </c>
      <c r="G3258" s="27"/>
    </row>
    <row r="3259" hidden="1">
      <c r="A3259" s="21"/>
      <c r="B3259" s="21" t="s">
        <v>4114</v>
      </c>
      <c r="D3259" s="25">
        <v>0.0</v>
      </c>
      <c r="E3259" s="27"/>
      <c r="F3259" s="25">
        <v>0.0</v>
      </c>
      <c r="G3259" s="27"/>
    </row>
    <row r="3260" hidden="1">
      <c r="A3260" s="21"/>
      <c r="B3260" s="21" t="s">
        <v>4115</v>
      </c>
      <c r="D3260" s="25">
        <v>0.0</v>
      </c>
      <c r="E3260" s="27"/>
      <c r="F3260" s="25">
        <v>0.0</v>
      </c>
      <c r="G3260" s="27"/>
    </row>
    <row r="3261" hidden="1">
      <c r="A3261" s="21"/>
      <c r="B3261" s="21" t="s">
        <v>4116</v>
      </c>
      <c r="D3261" s="25">
        <v>0.0</v>
      </c>
      <c r="E3261" s="27"/>
      <c r="F3261" s="25">
        <v>0.0</v>
      </c>
      <c r="G3261" s="27"/>
    </row>
    <row r="3262" hidden="1">
      <c r="A3262" s="21"/>
      <c r="B3262" s="21" t="s">
        <v>4117</v>
      </c>
      <c r="D3262" s="25">
        <v>0.0</v>
      </c>
      <c r="E3262" s="27"/>
      <c r="F3262" s="25">
        <v>0.0</v>
      </c>
      <c r="G3262" s="27"/>
    </row>
    <row r="3263" hidden="1">
      <c r="A3263" s="21"/>
      <c r="B3263" s="21" t="s">
        <v>4118</v>
      </c>
      <c r="D3263" s="25">
        <v>0.0</v>
      </c>
      <c r="E3263" s="27"/>
      <c r="F3263" s="25">
        <v>0.0</v>
      </c>
      <c r="G3263" s="27"/>
    </row>
    <row r="3264" hidden="1">
      <c r="A3264" s="21"/>
      <c r="B3264" s="21" t="s">
        <v>4119</v>
      </c>
      <c r="D3264" s="25">
        <v>0.0</v>
      </c>
      <c r="E3264" s="27"/>
      <c r="F3264" s="25">
        <v>0.0</v>
      </c>
      <c r="G3264" s="27"/>
    </row>
    <row r="3265" hidden="1">
      <c r="A3265" s="21"/>
      <c r="B3265" s="21" t="s">
        <v>4120</v>
      </c>
      <c r="D3265" s="25">
        <v>0.0</v>
      </c>
      <c r="E3265" s="27"/>
      <c r="F3265" s="25">
        <v>0.0</v>
      </c>
      <c r="G3265" s="27"/>
    </row>
    <row r="3266" hidden="1">
      <c r="A3266" s="21"/>
      <c r="B3266" s="21" t="s">
        <v>4121</v>
      </c>
      <c r="D3266" s="25">
        <v>0.0</v>
      </c>
      <c r="E3266" s="27"/>
      <c r="F3266" s="25">
        <v>7.05</v>
      </c>
      <c r="G3266" s="27"/>
    </row>
    <row r="3267" hidden="1">
      <c r="A3267" s="21"/>
      <c r="B3267" s="21" t="s">
        <v>4122</v>
      </c>
      <c r="D3267" s="25">
        <v>0.0</v>
      </c>
      <c r="E3267" s="27"/>
      <c r="F3267" s="25">
        <v>0.0</v>
      </c>
      <c r="G3267" s="27"/>
    </row>
    <row r="3268" hidden="1">
      <c r="A3268" s="21"/>
      <c r="B3268" s="21" t="s">
        <v>4123</v>
      </c>
      <c r="D3268" s="25">
        <v>0.0</v>
      </c>
      <c r="E3268" s="27"/>
      <c r="F3268" s="25">
        <v>0.0</v>
      </c>
      <c r="G3268" s="27"/>
    </row>
    <row r="3269" hidden="1">
      <c r="A3269" s="21"/>
      <c r="B3269" s="21" t="s">
        <v>4124</v>
      </c>
      <c r="D3269" s="25">
        <v>0.0</v>
      </c>
      <c r="E3269" s="27"/>
      <c r="F3269" s="25">
        <v>6.65</v>
      </c>
      <c r="G3269" s="27"/>
    </row>
    <row r="3270" hidden="1">
      <c r="A3270" s="21"/>
      <c r="B3270" s="21" t="s">
        <v>4125</v>
      </c>
      <c r="D3270" s="25">
        <v>0.0</v>
      </c>
      <c r="E3270" s="27"/>
      <c r="F3270" s="25">
        <v>0.0</v>
      </c>
      <c r="G3270" s="27"/>
    </row>
    <row r="3271" hidden="1">
      <c r="A3271" s="21"/>
      <c r="B3271" s="21" t="s">
        <v>4126</v>
      </c>
      <c r="D3271" s="25">
        <v>0.0</v>
      </c>
      <c r="E3271" s="27"/>
      <c r="F3271" s="25">
        <v>0.0</v>
      </c>
      <c r="G3271" s="27"/>
    </row>
    <row r="3272" hidden="1">
      <c r="A3272" s="21"/>
      <c r="B3272" s="21" t="s">
        <v>4127</v>
      </c>
      <c r="D3272" s="25">
        <v>0.0</v>
      </c>
      <c r="E3272" s="27"/>
      <c r="F3272" s="25">
        <v>0.0</v>
      </c>
      <c r="G3272" s="27"/>
    </row>
    <row r="3273" hidden="1">
      <c r="A3273" s="21"/>
      <c r="B3273" s="21" t="s">
        <v>4128</v>
      </c>
      <c r="D3273" s="25">
        <v>0.0</v>
      </c>
      <c r="E3273" s="27"/>
      <c r="F3273" s="25">
        <v>0.0</v>
      </c>
      <c r="G3273" s="27"/>
    </row>
    <row r="3274" hidden="1">
      <c r="A3274" s="21"/>
      <c r="B3274" s="21" t="s">
        <v>4129</v>
      </c>
      <c r="D3274" s="25">
        <v>0.0</v>
      </c>
      <c r="E3274" s="27"/>
      <c r="F3274" s="25">
        <v>0.0</v>
      </c>
      <c r="G3274" s="27"/>
    </row>
    <row r="3275" hidden="1">
      <c r="A3275" s="21"/>
      <c r="B3275" s="21" t="s">
        <v>4130</v>
      </c>
      <c r="D3275" s="25">
        <v>0.0</v>
      </c>
      <c r="E3275" s="27"/>
      <c r="F3275" s="25">
        <v>0.0</v>
      </c>
      <c r="G3275" s="27"/>
    </row>
    <row r="3276" hidden="1">
      <c r="A3276" s="21"/>
      <c r="B3276" s="21" t="s">
        <v>4131</v>
      </c>
      <c r="D3276" s="25">
        <v>0.0</v>
      </c>
      <c r="E3276" s="27"/>
      <c r="F3276" s="25">
        <v>0.0</v>
      </c>
      <c r="G3276" s="27"/>
    </row>
    <row r="3277" hidden="1">
      <c r="A3277" s="21"/>
      <c r="B3277" s="21" t="s">
        <v>4132</v>
      </c>
      <c r="D3277" s="25">
        <v>0.0</v>
      </c>
      <c r="E3277" s="27"/>
      <c r="F3277" s="25">
        <v>4.38</v>
      </c>
      <c r="G3277" s="27"/>
    </row>
    <row r="3278" hidden="1">
      <c r="A3278" s="21"/>
      <c r="B3278" s="21" t="s">
        <v>4133</v>
      </c>
      <c r="D3278" s="25">
        <v>0.0</v>
      </c>
      <c r="E3278" s="27"/>
      <c r="F3278" s="25">
        <v>0.0</v>
      </c>
      <c r="G3278" s="27"/>
    </row>
    <row r="3279" hidden="1">
      <c r="A3279" s="21"/>
      <c r="B3279" s="21" t="s">
        <v>4134</v>
      </c>
      <c r="D3279" s="25">
        <v>0.0</v>
      </c>
      <c r="E3279" s="27"/>
      <c r="F3279" s="25">
        <v>0.0</v>
      </c>
      <c r="G3279" s="27"/>
    </row>
    <row r="3280" hidden="1">
      <c r="A3280" s="21"/>
      <c r="B3280" s="21" t="s">
        <v>4135</v>
      </c>
      <c r="D3280" s="25">
        <v>0.0</v>
      </c>
      <c r="E3280" s="27"/>
      <c r="F3280" s="25">
        <v>0.0</v>
      </c>
      <c r="G3280" s="27"/>
    </row>
    <row r="3281" hidden="1">
      <c r="A3281" s="21"/>
      <c r="B3281" s="21" t="s">
        <v>4136</v>
      </c>
      <c r="D3281" s="25">
        <v>0.0</v>
      </c>
      <c r="E3281" s="27"/>
      <c r="F3281" s="25">
        <v>0.0</v>
      </c>
      <c r="G3281" s="27"/>
    </row>
    <row r="3282" hidden="1">
      <c r="A3282" s="21"/>
      <c r="B3282" s="21" t="s">
        <v>4137</v>
      </c>
      <c r="D3282" s="25">
        <v>0.0</v>
      </c>
      <c r="E3282" s="27"/>
      <c r="F3282" s="25">
        <v>0.0</v>
      </c>
      <c r="G3282" s="27"/>
    </row>
    <row r="3283" hidden="1">
      <c r="A3283" s="21"/>
      <c r="B3283" s="21" t="s">
        <v>4138</v>
      </c>
      <c r="D3283" s="25">
        <v>0.0</v>
      </c>
      <c r="E3283" s="27"/>
      <c r="F3283" s="25">
        <v>0.0</v>
      </c>
      <c r="G3283" s="27"/>
    </row>
    <row r="3284" hidden="1">
      <c r="A3284" s="21"/>
      <c r="B3284" s="21" t="s">
        <v>4139</v>
      </c>
      <c r="D3284" s="25">
        <v>0.0</v>
      </c>
      <c r="E3284" s="27"/>
      <c r="F3284" s="25">
        <v>0.0</v>
      </c>
      <c r="G3284" s="27"/>
    </row>
    <row r="3285" hidden="1">
      <c r="A3285" s="21"/>
      <c r="B3285" s="21" t="s">
        <v>4140</v>
      </c>
      <c r="D3285" s="25">
        <v>0.0</v>
      </c>
      <c r="E3285" s="27"/>
      <c r="F3285" s="25">
        <v>0.0</v>
      </c>
      <c r="G3285" s="27"/>
    </row>
    <row r="3286" hidden="1">
      <c r="A3286" s="21"/>
      <c r="B3286" s="21" t="s">
        <v>4141</v>
      </c>
      <c r="D3286" s="25">
        <v>0.0</v>
      </c>
      <c r="E3286" s="27"/>
      <c r="F3286" s="25">
        <v>0.0</v>
      </c>
      <c r="G3286" s="27"/>
    </row>
    <row r="3287" hidden="1">
      <c r="A3287" s="21"/>
      <c r="B3287" s="21" t="s">
        <v>4142</v>
      </c>
      <c r="D3287" s="25">
        <v>0.0</v>
      </c>
      <c r="E3287" s="27"/>
      <c r="F3287" s="25">
        <v>0.0</v>
      </c>
      <c r="G3287" s="27"/>
    </row>
    <row r="3288" hidden="1">
      <c r="A3288" s="21"/>
      <c r="B3288" s="21" t="s">
        <v>4143</v>
      </c>
      <c r="D3288" s="25">
        <v>0.0</v>
      </c>
      <c r="E3288" s="27"/>
      <c r="F3288" s="25">
        <v>0.0</v>
      </c>
      <c r="G3288" s="27"/>
    </row>
    <row r="3289" hidden="1">
      <c r="A3289" s="21"/>
      <c r="B3289" s="21" t="s">
        <v>4144</v>
      </c>
      <c r="D3289" s="25">
        <v>0.0</v>
      </c>
      <c r="E3289" s="27"/>
      <c r="F3289" s="25">
        <v>0.0</v>
      </c>
      <c r="G3289" s="27"/>
    </row>
    <row r="3290" hidden="1">
      <c r="A3290" s="21"/>
      <c r="B3290" s="21" t="s">
        <v>4145</v>
      </c>
      <c r="D3290" s="25">
        <v>0.0</v>
      </c>
      <c r="E3290" s="27"/>
      <c r="F3290" s="25">
        <v>0.0</v>
      </c>
      <c r="G3290" s="27"/>
    </row>
    <row r="3291" hidden="1">
      <c r="A3291" s="21"/>
      <c r="B3291" s="21" t="s">
        <v>4146</v>
      </c>
      <c r="D3291" s="25">
        <v>0.0</v>
      </c>
      <c r="E3291" s="27"/>
      <c r="F3291" s="25">
        <v>0.0</v>
      </c>
      <c r="G3291" s="27"/>
    </row>
    <row r="3292" hidden="1">
      <c r="A3292" s="21"/>
      <c r="B3292" s="21" t="s">
        <v>4147</v>
      </c>
      <c r="D3292" s="25">
        <v>0.0</v>
      </c>
      <c r="E3292" s="27"/>
      <c r="F3292" s="25">
        <v>0.0</v>
      </c>
      <c r="G3292" s="27"/>
    </row>
    <row r="3293" hidden="1">
      <c r="A3293" s="21"/>
      <c r="B3293" s="21" t="s">
        <v>4148</v>
      </c>
      <c r="D3293" s="25">
        <v>0.0</v>
      </c>
      <c r="E3293" s="27"/>
      <c r="F3293" s="25">
        <v>0.0</v>
      </c>
      <c r="G3293" s="27"/>
    </row>
    <row r="3294" hidden="1">
      <c r="A3294" s="21"/>
      <c r="B3294" s="21" t="s">
        <v>4149</v>
      </c>
      <c r="D3294" s="25">
        <v>0.0</v>
      </c>
      <c r="E3294" s="27"/>
      <c r="F3294" s="25">
        <v>0.0</v>
      </c>
      <c r="G3294" s="27"/>
    </row>
    <row r="3295" hidden="1">
      <c r="A3295" s="21"/>
      <c r="B3295" s="21" t="s">
        <v>4150</v>
      </c>
      <c r="D3295" s="25">
        <v>0.0</v>
      </c>
      <c r="E3295" s="27"/>
      <c r="F3295" s="25">
        <v>0.0</v>
      </c>
      <c r="G3295" s="27"/>
    </row>
    <row r="3296" hidden="1">
      <c r="A3296" s="21"/>
      <c r="B3296" s="21" t="s">
        <v>4151</v>
      </c>
      <c r="D3296" s="25">
        <v>0.0</v>
      </c>
      <c r="E3296" s="27"/>
      <c r="F3296" s="25">
        <v>0.0</v>
      </c>
      <c r="G3296" s="27"/>
    </row>
    <row r="3297" hidden="1">
      <c r="A3297" s="21"/>
      <c r="B3297" s="21" t="s">
        <v>4152</v>
      </c>
      <c r="D3297" s="25">
        <v>0.0</v>
      </c>
      <c r="E3297" s="27"/>
      <c r="F3297" s="25">
        <v>0.0</v>
      </c>
      <c r="G3297" s="27"/>
    </row>
    <row r="3298" hidden="1">
      <c r="A3298" s="21"/>
      <c r="B3298" s="21" t="s">
        <v>4153</v>
      </c>
      <c r="D3298" s="25">
        <v>0.0</v>
      </c>
      <c r="E3298" s="27"/>
      <c r="F3298" s="25">
        <v>0.0</v>
      </c>
      <c r="G3298" s="27"/>
    </row>
    <row r="3299" hidden="1">
      <c r="A3299" s="21"/>
      <c r="B3299" s="21" t="s">
        <v>4154</v>
      </c>
      <c r="D3299" s="25">
        <v>0.0</v>
      </c>
      <c r="E3299" s="27"/>
      <c r="F3299" s="25">
        <v>0.0</v>
      </c>
      <c r="G3299" s="27"/>
    </row>
    <row r="3300" hidden="1">
      <c r="A3300" s="21"/>
      <c r="B3300" s="21" t="s">
        <v>4155</v>
      </c>
      <c r="D3300" s="25">
        <v>0.0</v>
      </c>
      <c r="E3300" s="27"/>
      <c r="F3300" s="25">
        <v>0.0</v>
      </c>
      <c r="G3300" s="27"/>
    </row>
    <row r="3301" hidden="1">
      <c r="A3301" s="21"/>
      <c r="B3301" s="21" t="s">
        <v>4156</v>
      </c>
      <c r="D3301" s="25">
        <v>0.0</v>
      </c>
      <c r="E3301" s="27"/>
      <c r="F3301" s="25">
        <v>0.0</v>
      </c>
      <c r="G3301" s="27"/>
    </row>
    <row r="3302" hidden="1">
      <c r="A3302" s="21"/>
      <c r="B3302" s="21" t="s">
        <v>4157</v>
      </c>
      <c r="D3302" s="25">
        <v>0.0</v>
      </c>
      <c r="E3302" s="27"/>
      <c r="F3302" s="25">
        <v>0.0</v>
      </c>
      <c r="G3302" s="27"/>
    </row>
    <row r="3303" hidden="1">
      <c r="A3303" s="21"/>
      <c r="B3303" s="21" t="s">
        <v>4158</v>
      </c>
      <c r="D3303" s="25">
        <v>0.0</v>
      </c>
      <c r="E3303" s="27"/>
      <c r="F3303" s="25">
        <v>0.0</v>
      </c>
      <c r="G3303" s="27"/>
    </row>
    <row r="3304" hidden="1">
      <c r="A3304" s="21"/>
      <c r="B3304" s="21" t="s">
        <v>4159</v>
      </c>
      <c r="D3304" s="25">
        <v>0.0</v>
      </c>
      <c r="E3304" s="27"/>
      <c r="F3304" s="25">
        <v>0.0</v>
      </c>
      <c r="G3304" s="27"/>
    </row>
    <row r="3305" hidden="1">
      <c r="A3305" s="21"/>
      <c r="B3305" s="21" t="s">
        <v>4160</v>
      </c>
      <c r="D3305" s="25">
        <v>0.0</v>
      </c>
      <c r="E3305" s="27"/>
      <c r="F3305" s="25">
        <v>0.0</v>
      </c>
      <c r="G3305" s="27"/>
    </row>
    <row r="3306" hidden="1">
      <c r="A3306" s="21"/>
      <c r="B3306" s="21" t="s">
        <v>4161</v>
      </c>
      <c r="D3306" s="25">
        <v>0.0</v>
      </c>
      <c r="E3306" s="27"/>
      <c r="F3306" s="25">
        <v>0.0</v>
      </c>
      <c r="G3306" s="27"/>
    </row>
    <row r="3307" hidden="1">
      <c r="A3307" s="21"/>
      <c r="B3307" s="21" t="s">
        <v>4162</v>
      </c>
      <c r="D3307" s="25">
        <v>0.0</v>
      </c>
      <c r="E3307" s="27"/>
      <c r="F3307" s="25">
        <v>0.0</v>
      </c>
      <c r="G3307" s="27"/>
    </row>
    <row r="3308" hidden="1">
      <c r="A3308" s="21"/>
      <c r="B3308" s="21" t="s">
        <v>4163</v>
      </c>
      <c r="D3308" s="25">
        <v>0.0</v>
      </c>
      <c r="E3308" s="27"/>
      <c r="F3308" s="25">
        <v>0.0</v>
      </c>
      <c r="G3308" s="27"/>
    </row>
    <row r="3309" hidden="1">
      <c r="A3309" s="21"/>
      <c r="B3309" s="21" t="s">
        <v>4164</v>
      </c>
      <c r="D3309" s="25">
        <v>0.0</v>
      </c>
      <c r="E3309" s="27"/>
      <c r="F3309" s="25">
        <v>0.0</v>
      </c>
      <c r="G3309" s="27"/>
    </row>
    <row r="3310" hidden="1">
      <c r="A3310" s="21"/>
      <c r="B3310" s="21" t="s">
        <v>4165</v>
      </c>
      <c r="D3310" s="25">
        <v>0.0</v>
      </c>
      <c r="E3310" s="27"/>
      <c r="F3310" s="25">
        <v>0.0</v>
      </c>
      <c r="G3310" s="27"/>
    </row>
    <row r="3311" hidden="1">
      <c r="A3311" s="21"/>
      <c r="B3311" s="21" t="s">
        <v>4166</v>
      </c>
      <c r="D3311" s="25">
        <v>0.0</v>
      </c>
      <c r="E3311" s="27"/>
      <c r="F3311" s="25">
        <v>0.0</v>
      </c>
      <c r="G3311" s="27"/>
    </row>
    <row r="3312" hidden="1">
      <c r="A3312" s="21"/>
      <c r="B3312" s="21" t="s">
        <v>4167</v>
      </c>
      <c r="D3312" s="25">
        <v>0.0</v>
      </c>
      <c r="E3312" s="27"/>
      <c r="F3312" s="25">
        <v>0.0</v>
      </c>
      <c r="G3312" s="27"/>
    </row>
    <row r="3313" hidden="1">
      <c r="A3313" s="21"/>
      <c r="B3313" s="21" t="s">
        <v>4168</v>
      </c>
      <c r="D3313" s="25">
        <v>0.0</v>
      </c>
      <c r="E3313" s="27"/>
      <c r="F3313" s="25">
        <v>0.0</v>
      </c>
      <c r="G3313" s="27"/>
    </row>
    <row r="3314" hidden="1">
      <c r="A3314" s="21"/>
      <c r="B3314" s="21" t="s">
        <v>4169</v>
      </c>
      <c r="D3314" s="25">
        <v>0.0</v>
      </c>
      <c r="E3314" s="27"/>
      <c r="F3314" s="25">
        <v>0.0</v>
      </c>
      <c r="G3314" s="27"/>
    </row>
    <row r="3315" hidden="1">
      <c r="A3315" s="21"/>
      <c r="B3315" s="21" t="s">
        <v>4170</v>
      </c>
      <c r="D3315" s="25">
        <v>0.0</v>
      </c>
      <c r="E3315" s="27"/>
      <c r="F3315" s="25">
        <v>0.0</v>
      </c>
      <c r="G3315" s="27"/>
    </row>
    <row r="3316" hidden="1">
      <c r="A3316" s="21"/>
      <c r="B3316" s="21" t="s">
        <v>4171</v>
      </c>
      <c r="D3316" s="25">
        <v>0.0</v>
      </c>
      <c r="E3316" s="27"/>
      <c r="F3316" s="25">
        <v>0.0</v>
      </c>
      <c r="G3316" s="27"/>
    </row>
    <row r="3317" hidden="1">
      <c r="A3317" s="21"/>
      <c r="B3317" s="21" t="s">
        <v>4172</v>
      </c>
      <c r="D3317" s="25">
        <v>0.0</v>
      </c>
      <c r="E3317" s="27"/>
      <c r="F3317" s="25">
        <v>0.0</v>
      </c>
      <c r="G3317" s="27"/>
    </row>
    <row r="3318" hidden="1">
      <c r="A3318" s="21"/>
      <c r="B3318" s="21" t="s">
        <v>4173</v>
      </c>
      <c r="D3318" s="25">
        <v>0.0</v>
      </c>
      <c r="E3318" s="27"/>
      <c r="F3318" s="25">
        <v>0.0</v>
      </c>
      <c r="G3318" s="27"/>
    </row>
    <row r="3319" hidden="1">
      <c r="A3319" s="21"/>
      <c r="B3319" s="21" t="s">
        <v>4174</v>
      </c>
      <c r="D3319" s="25">
        <v>0.0</v>
      </c>
      <c r="E3319" s="27"/>
      <c r="F3319" s="25">
        <v>0.0</v>
      </c>
      <c r="G3319" s="27"/>
    </row>
    <row r="3320" hidden="1">
      <c r="A3320" s="21"/>
      <c r="B3320" s="21" t="s">
        <v>4175</v>
      </c>
      <c r="D3320" s="25">
        <v>0.0</v>
      </c>
      <c r="E3320" s="27"/>
      <c r="F3320" s="25">
        <v>0.0</v>
      </c>
      <c r="G3320" s="27"/>
    </row>
    <row r="3321" hidden="1">
      <c r="A3321" s="21"/>
      <c r="B3321" s="21" t="s">
        <v>4176</v>
      </c>
      <c r="D3321" s="25">
        <v>0.0</v>
      </c>
      <c r="E3321" s="27"/>
      <c r="F3321" s="25">
        <v>0.0</v>
      </c>
      <c r="G3321" s="27"/>
    </row>
    <row r="3322" hidden="1">
      <c r="A3322" s="21"/>
      <c r="B3322" s="21" t="s">
        <v>4177</v>
      </c>
      <c r="D3322" s="25">
        <v>0.0</v>
      </c>
      <c r="E3322" s="27"/>
      <c r="F3322" s="25">
        <v>0.0</v>
      </c>
      <c r="G3322" s="27"/>
    </row>
    <row r="3323" hidden="1">
      <c r="A3323" s="21"/>
      <c r="B3323" s="21" t="s">
        <v>4178</v>
      </c>
      <c r="D3323" s="25">
        <v>0.0</v>
      </c>
      <c r="E3323" s="27"/>
      <c r="F3323" s="25">
        <v>0.0</v>
      </c>
      <c r="G3323" s="27"/>
    </row>
    <row r="3324" hidden="1">
      <c r="A3324" s="21"/>
      <c r="B3324" s="21" t="s">
        <v>4179</v>
      </c>
      <c r="D3324" s="25">
        <v>0.0</v>
      </c>
      <c r="E3324" s="27"/>
      <c r="F3324" s="25">
        <v>0.0</v>
      </c>
      <c r="G3324" s="27"/>
    </row>
    <row r="3325" hidden="1">
      <c r="A3325" s="21"/>
      <c r="B3325" s="21" t="s">
        <v>4180</v>
      </c>
      <c r="D3325" s="25">
        <v>0.0</v>
      </c>
      <c r="E3325" s="27"/>
      <c r="F3325" s="25">
        <v>0.0</v>
      </c>
      <c r="G3325" s="27"/>
    </row>
    <row r="3326" hidden="1">
      <c r="A3326" s="21"/>
      <c r="B3326" s="21" t="s">
        <v>4181</v>
      </c>
      <c r="D3326" s="25">
        <v>0.0</v>
      </c>
      <c r="E3326" s="27"/>
      <c r="F3326" s="25">
        <v>0.0</v>
      </c>
      <c r="G3326" s="27"/>
    </row>
    <row r="3327" hidden="1">
      <c r="A3327" s="21"/>
      <c r="B3327" s="21" t="s">
        <v>4182</v>
      </c>
      <c r="D3327" s="25">
        <v>0.0</v>
      </c>
      <c r="E3327" s="27"/>
      <c r="F3327" s="25">
        <v>0.0</v>
      </c>
      <c r="G3327" s="27"/>
    </row>
    <row r="3328" hidden="1">
      <c r="A3328" s="21"/>
      <c r="B3328" s="21" t="s">
        <v>4183</v>
      </c>
      <c r="D3328" s="25">
        <v>0.0</v>
      </c>
      <c r="E3328" s="27"/>
      <c r="F3328" s="25">
        <v>0.0</v>
      </c>
      <c r="G3328" s="27"/>
    </row>
    <row r="3329" hidden="1">
      <c r="A3329" s="21"/>
      <c r="B3329" s="21" t="s">
        <v>4184</v>
      </c>
      <c r="D3329" s="25">
        <v>0.0</v>
      </c>
      <c r="E3329" s="27"/>
      <c r="F3329" s="25">
        <v>0.0</v>
      </c>
      <c r="G3329" s="27"/>
    </row>
    <row r="3330" hidden="1">
      <c r="A3330" s="21"/>
      <c r="B3330" s="21" t="s">
        <v>4185</v>
      </c>
      <c r="D3330" s="25">
        <v>0.0</v>
      </c>
      <c r="E3330" s="27"/>
      <c r="F3330" s="25">
        <v>0.0</v>
      </c>
      <c r="G3330" s="27"/>
    </row>
    <row r="3331" hidden="1">
      <c r="A3331" s="21"/>
      <c r="B3331" s="21" t="s">
        <v>4186</v>
      </c>
      <c r="D3331" s="25">
        <v>0.0</v>
      </c>
      <c r="E3331" s="27"/>
      <c r="F3331" s="25">
        <v>0.0</v>
      </c>
      <c r="G3331" s="27"/>
    </row>
    <row r="3332" hidden="1">
      <c r="A3332" s="21"/>
      <c r="B3332" s="21" t="s">
        <v>4187</v>
      </c>
      <c r="D3332" s="25">
        <v>0.0</v>
      </c>
      <c r="E3332" s="27"/>
      <c r="F3332" s="25">
        <v>0.0</v>
      </c>
      <c r="G3332" s="27"/>
    </row>
    <row r="3333" hidden="1">
      <c r="A3333" s="21"/>
      <c r="B3333" s="21" t="s">
        <v>4188</v>
      </c>
      <c r="D3333" s="25">
        <v>0.0</v>
      </c>
      <c r="E3333" s="27"/>
      <c r="F3333" s="25">
        <v>0.0</v>
      </c>
      <c r="G3333" s="27"/>
    </row>
    <row r="3334" hidden="1">
      <c r="A3334" s="21"/>
      <c r="B3334" s="21" t="s">
        <v>4189</v>
      </c>
      <c r="D3334" s="25">
        <v>0.0</v>
      </c>
      <c r="E3334" s="27"/>
      <c r="F3334" s="25">
        <v>0.0</v>
      </c>
      <c r="G3334" s="27"/>
    </row>
    <row r="3335" hidden="1">
      <c r="A3335" s="21"/>
      <c r="B3335" s="21" t="s">
        <v>4190</v>
      </c>
      <c r="D3335" s="25">
        <v>0.0</v>
      </c>
      <c r="E3335" s="27"/>
      <c r="F3335" s="25">
        <v>0.0</v>
      </c>
      <c r="G3335" s="27"/>
    </row>
    <row r="3336" hidden="1">
      <c r="A3336" s="21"/>
      <c r="B3336" s="21" t="s">
        <v>4191</v>
      </c>
      <c r="D3336" s="25">
        <v>0.0</v>
      </c>
      <c r="E3336" s="27"/>
      <c r="F3336" s="25">
        <v>0.0</v>
      </c>
      <c r="G3336" s="27"/>
    </row>
    <row r="3337" hidden="1">
      <c r="A3337" s="21"/>
      <c r="B3337" s="21" t="s">
        <v>4192</v>
      </c>
      <c r="D3337" s="25">
        <v>0.0</v>
      </c>
      <c r="E3337" s="27"/>
      <c r="F3337" s="25">
        <v>0.0</v>
      </c>
      <c r="G3337" s="27"/>
    </row>
    <row r="3338" hidden="1">
      <c r="A3338" s="21"/>
      <c r="B3338" s="21" t="s">
        <v>4193</v>
      </c>
      <c r="D3338" s="25">
        <v>0.0</v>
      </c>
      <c r="E3338" s="27"/>
      <c r="F3338" s="25">
        <v>0.0</v>
      </c>
      <c r="G3338" s="27"/>
    </row>
    <row r="3339" hidden="1">
      <c r="A3339" s="21"/>
      <c r="B3339" s="21" t="s">
        <v>4194</v>
      </c>
      <c r="D3339" s="25">
        <v>0.0</v>
      </c>
      <c r="E3339" s="27"/>
      <c r="F3339" s="25">
        <v>0.0</v>
      </c>
      <c r="G3339" s="27"/>
    </row>
    <row r="3340" hidden="1">
      <c r="A3340" s="21"/>
      <c r="B3340" s="21" t="s">
        <v>4195</v>
      </c>
      <c r="D3340" s="25">
        <v>0.0</v>
      </c>
      <c r="E3340" s="27"/>
      <c r="F3340" s="25">
        <v>0.0</v>
      </c>
      <c r="G3340" s="27"/>
    </row>
    <row r="3341" hidden="1">
      <c r="A3341" s="21"/>
      <c r="B3341" s="21" t="s">
        <v>4196</v>
      </c>
      <c r="D3341" s="25">
        <v>0.0</v>
      </c>
      <c r="E3341" s="27"/>
      <c r="F3341" s="25">
        <v>0.0</v>
      </c>
      <c r="G3341" s="27"/>
    </row>
    <row r="3342" hidden="1">
      <c r="A3342" s="21"/>
      <c r="B3342" s="21" t="s">
        <v>4197</v>
      </c>
      <c r="D3342" s="25">
        <v>0.0</v>
      </c>
      <c r="E3342" s="27"/>
      <c r="F3342" s="25">
        <v>5.48</v>
      </c>
      <c r="G3342" s="27"/>
    </row>
    <row r="3343" hidden="1">
      <c r="A3343" s="21"/>
      <c r="B3343" s="21" t="s">
        <v>4198</v>
      </c>
      <c r="D3343" s="25">
        <v>0.0</v>
      </c>
      <c r="E3343" s="27"/>
      <c r="F3343" s="25">
        <v>0.0</v>
      </c>
      <c r="G3343" s="27"/>
    </row>
    <row r="3344" hidden="1">
      <c r="A3344" s="21"/>
      <c r="B3344" s="21" t="s">
        <v>4199</v>
      </c>
      <c r="D3344" s="25">
        <v>0.0</v>
      </c>
      <c r="E3344" s="27"/>
      <c r="F3344" s="25">
        <v>0.0</v>
      </c>
      <c r="G3344" s="27"/>
    </row>
    <row r="3345" hidden="1">
      <c r="A3345" s="21"/>
      <c r="B3345" s="21" t="s">
        <v>4200</v>
      </c>
      <c r="D3345" s="25">
        <v>0.0</v>
      </c>
      <c r="E3345" s="27"/>
      <c r="F3345" s="25">
        <v>0.0</v>
      </c>
      <c r="G3345" s="27"/>
    </row>
    <row r="3346" hidden="1">
      <c r="A3346" s="21"/>
      <c r="B3346" s="21" t="s">
        <v>4201</v>
      </c>
      <c r="D3346" s="25">
        <v>0.0</v>
      </c>
      <c r="E3346" s="27"/>
      <c r="F3346" s="25">
        <v>0.0</v>
      </c>
      <c r="G3346" s="27"/>
    </row>
    <row r="3347" hidden="1">
      <c r="A3347" s="21"/>
      <c r="B3347" s="21" t="s">
        <v>4202</v>
      </c>
      <c r="D3347" s="25">
        <v>0.0</v>
      </c>
      <c r="E3347" s="27"/>
      <c r="F3347" s="25">
        <v>0.0</v>
      </c>
      <c r="G3347" s="27"/>
    </row>
    <row r="3348" hidden="1">
      <c r="A3348" s="21"/>
      <c r="B3348" s="21" t="s">
        <v>4203</v>
      </c>
      <c r="D3348" s="25">
        <v>0.0</v>
      </c>
      <c r="E3348" s="27"/>
      <c r="F3348" s="25">
        <v>0.0</v>
      </c>
      <c r="G3348" s="27"/>
    </row>
    <row r="3349" hidden="1">
      <c r="A3349" s="21"/>
      <c r="B3349" s="21" t="s">
        <v>4204</v>
      </c>
      <c r="D3349" s="25">
        <v>0.0</v>
      </c>
      <c r="E3349" s="27"/>
      <c r="F3349" s="25">
        <v>0.0</v>
      </c>
      <c r="G3349" s="27"/>
    </row>
    <row r="3350" hidden="1">
      <c r="A3350" s="21"/>
      <c r="B3350" s="21" t="s">
        <v>4205</v>
      </c>
      <c r="D3350" s="25">
        <v>0.0</v>
      </c>
      <c r="E3350" s="27"/>
      <c r="F3350" s="25">
        <v>0.0</v>
      </c>
      <c r="G3350" s="27"/>
    </row>
    <row r="3351" hidden="1">
      <c r="A3351" s="21"/>
      <c r="B3351" s="21" t="s">
        <v>4206</v>
      </c>
      <c r="D3351" s="25">
        <v>0.0</v>
      </c>
      <c r="E3351" s="27"/>
      <c r="F3351" s="25">
        <v>0.0</v>
      </c>
      <c r="G3351" s="27"/>
    </row>
    <row r="3352" hidden="1">
      <c r="A3352" s="21"/>
      <c r="B3352" s="21" t="s">
        <v>4207</v>
      </c>
      <c r="D3352" s="25">
        <v>0.0</v>
      </c>
      <c r="E3352" s="27"/>
      <c r="F3352" s="25">
        <v>0.0</v>
      </c>
      <c r="G3352" s="27"/>
    </row>
    <row r="3353" hidden="1">
      <c r="A3353" s="21"/>
      <c r="B3353" s="21" t="s">
        <v>4208</v>
      </c>
      <c r="D3353" s="25">
        <v>0.0</v>
      </c>
      <c r="E3353" s="27"/>
      <c r="F3353" s="25">
        <v>0.0</v>
      </c>
      <c r="G3353" s="27"/>
    </row>
    <row r="3354" hidden="1">
      <c r="A3354" s="21"/>
      <c r="B3354" s="21" t="s">
        <v>4209</v>
      </c>
      <c r="D3354" s="25">
        <v>0.0</v>
      </c>
      <c r="E3354" s="27"/>
      <c r="F3354" s="25">
        <v>0.0</v>
      </c>
      <c r="G3354" s="27"/>
    </row>
    <row r="3355" hidden="1">
      <c r="A3355" s="21"/>
      <c r="B3355" s="21" t="s">
        <v>4210</v>
      </c>
      <c r="D3355" s="25">
        <v>0.0</v>
      </c>
      <c r="E3355" s="27"/>
      <c r="F3355" s="25">
        <v>0.0</v>
      </c>
      <c r="G3355" s="27"/>
    </row>
    <row r="3356" hidden="1">
      <c r="A3356" s="21"/>
      <c r="B3356" s="21" t="s">
        <v>4211</v>
      </c>
      <c r="D3356" s="25">
        <v>0.0</v>
      </c>
      <c r="E3356" s="27"/>
      <c r="F3356" s="25">
        <v>0.0</v>
      </c>
      <c r="G3356" s="27"/>
    </row>
    <row r="3357" hidden="1">
      <c r="A3357" s="21"/>
      <c r="B3357" s="21" t="s">
        <v>4212</v>
      </c>
      <c r="D3357" s="25">
        <v>0.0</v>
      </c>
      <c r="E3357" s="27"/>
      <c r="F3357" s="25">
        <v>0.0</v>
      </c>
      <c r="G3357" s="27"/>
    </row>
    <row r="3358" hidden="1">
      <c r="A3358" s="21"/>
      <c r="B3358" s="21" t="s">
        <v>4213</v>
      </c>
      <c r="D3358" s="25">
        <v>0.0</v>
      </c>
      <c r="E3358" s="27"/>
      <c r="F3358" s="25">
        <v>0.0</v>
      </c>
      <c r="G3358" s="27"/>
    </row>
    <row r="3359" hidden="1">
      <c r="A3359" s="21"/>
      <c r="B3359" s="21" t="s">
        <v>4214</v>
      </c>
      <c r="D3359" s="25">
        <v>0.0</v>
      </c>
      <c r="E3359" s="27"/>
      <c r="F3359" s="25">
        <v>0.0</v>
      </c>
      <c r="G3359" s="27"/>
    </row>
    <row r="3360" hidden="1">
      <c r="A3360" s="21"/>
      <c r="B3360" s="21" t="s">
        <v>4215</v>
      </c>
      <c r="D3360" s="25">
        <v>0.0</v>
      </c>
      <c r="E3360" s="27"/>
      <c r="F3360" s="25">
        <v>0.0</v>
      </c>
      <c r="G3360" s="27"/>
    </row>
    <row r="3361" hidden="1">
      <c r="A3361" s="21"/>
      <c r="B3361" s="21" t="s">
        <v>4216</v>
      </c>
      <c r="D3361" s="25">
        <v>0.0</v>
      </c>
      <c r="E3361" s="27"/>
      <c r="F3361" s="25">
        <v>0.0</v>
      </c>
      <c r="G3361" s="27"/>
    </row>
    <row r="3362" hidden="1">
      <c r="A3362" s="21"/>
      <c r="B3362" s="21" t="s">
        <v>4217</v>
      </c>
      <c r="D3362" s="25">
        <v>0.0</v>
      </c>
      <c r="E3362" s="27"/>
      <c r="F3362" s="25">
        <v>0.0</v>
      </c>
      <c r="G3362" s="27"/>
    </row>
    <row r="3363" hidden="1">
      <c r="A3363" s="21"/>
      <c r="B3363" s="21" t="s">
        <v>4218</v>
      </c>
      <c r="D3363" s="25">
        <v>0.0</v>
      </c>
      <c r="E3363" s="27"/>
      <c r="F3363" s="25">
        <v>0.0</v>
      </c>
      <c r="G3363" s="27"/>
    </row>
    <row r="3364" hidden="1">
      <c r="A3364" s="21"/>
      <c r="B3364" s="21" t="s">
        <v>4219</v>
      </c>
      <c r="D3364" s="25">
        <v>0.0</v>
      </c>
      <c r="E3364" s="27"/>
      <c r="F3364" s="25">
        <v>0.0</v>
      </c>
      <c r="G3364" s="27"/>
    </row>
    <row r="3365" hidden="1">
      <c r="A3365" s="21"/>
      <c r="B3365" s="21" t="s">
        <v>4220</v>
      </c>
      <c r="D3365" s="25">
        <v>0.0</v>
      </c>
      <c r="E3365" s="27"/>
      <c r="F3365" s="25">
        <v>0.0</v>
      </c>
      <c r="G3365" s="27"/>
    </row>
    <row r="3366" hidden="1">
      <c r="A3366" s="21"/>
      <c r="B3366" s="21" t="s">
        <v>4221</v>
      </c>
      <c r="D3366" s="25">
        <v>0.0</v>
      </c>
      <c r="E3366" s="27"/>
      <c r="F3366" s="25">
        <v>0.0</v>
      </c>
      <c r="G3366" s="27"/>
    </row>
    <row r="3367" hidden="1">
      <c r="A3367" s="21"/>
      <c r="B3367" s="21" t="s">
        <v>4222</v>
      </c>
      <c r="D3367" s="25">
        <v>0.0</v>
      </c>
      <c r="E3367" s="27"/>
      <c r="F3367" s="25">
        <v>0.0</v>
      </c>
      <c r="G3367" s="27"/>
    </row>
    <row r="3368" hidden="1">
      <c r="A3368" s="21"/>
      <c r="B3368" s="21" t="s">
        <v>4223</v>
      </c>
      <c r="D3368" s="25">
        <v>0.0</v>
      </c>
      <c r="E3368" s="27"/>
      <c r="F3368" s="25">
        <v>0.0</v>
      </c>
      <c r="G3368" s="27"/>
    </row>
    <row r="3369" hidden="1">
      <c r="A3369" s="21"/>
      <c r="B3369" s="21" t="s">
        <v>4224</v>
      </c>
      <c r="D3369" s="25">
        <v>0.0</v>
      </c>
      <c r="E3369" s="27"/>
      <c r="F3369" s="25">
        <v>0.0</v>
      </c>
      <c r="G3369" s="27"/>
    </row>
    <row r="3370" hidden="1">
      <c r="A3370" s="21"/>
      <c r="B3370" s="21" t="s">
        <v>4225</v>
      </c>
      <c r="D3370" s="25">
        <v>0.0</v>
      </c>
      <c r="E3370" s="27"/>
      <c r="F3370" s="25">
        <v>0.0</v>
      </c>
      <c r="G3370" s="27"/>
    </row>
    <row r="3371" hidden="1">
      <c r="A3371" s="21"/>
      <c r="B3371" s="21" t="s">
        <v>4226</v>
      </c>
      <c r="D3371" s="25">
        <v>0.0</v>
      </c>
      <c r="E3371" s="27"/>
      <c r="F3371" s="25">
        <v>0.0</v>
      </c>
      <c r="G3371" s="27"/>
    </row>
    <row r="3372" hidden="1">
      <c r="A3372" s="21"/>
      <c r="B3372" s="21" t="s">
        <v>4227</v>
      </c>
      <c r="D3372" s="25">
        <v>0.0</v>
      </c>
      <c r="E3372" s="27"/>
      <c r="F3372" s="25">
        <v>0.0</v>
      </c>
      <c r="G3372" s="27"/>
    </row>
    <row r="3373" hidden="1">
      <c r="A3373" s="21"/>
      <c r="B3373" s="21" t="s">
        <v>4228</v>
      </c>
      <c r="D3373" s="25">
        <v>0.0</v>
      </c>
      <c r="E3373" s="27"/>
      <c r="F3373" s="25">
        <v>0.0</v>
      </c>
      <c r="G3373" s="27"/>
    </row>
    <row r="3374" hidden="1">
      <c r="A3374" s="21"/>
      <c r="B3374" s="21" t="s">
        <v>4229</v>
      </c>
      <c r="D3374" s="25">
        <v>0.0</v>
      </c>
      <c r="E3374" s="27"/>
      <c r="F3374" s="25">
        <v>0.0</v>
      </c>
      <c r="G3374" s="27"/>
    </row>
    <row r="3375" hidden="1">
      <c r="A3375" s="21"/>
      <c r="B3375" s="21" t="s">
        <v>4230</v>
      </c>
      <c r="D3375" s="25">
        <v>0.0</v>
      </c>
      <c r="E3375" s="27"/>
      <c r="F3375" s="25">
        <v>0.0</v>
      </c>
      <c r="G3375" s="27"/>
    </row>
    <row r="3376" hidden="1">
      <c r="A3376" s="21"/>
      <c r="B3376" s="21" t="s">
        <v>4231</v>
      </c>
      <c r="D3376" s="25">
        <v>0.0</v>
      </c>
      <c r="E3376" s="27"/>
      <c r="F3376" s="25">
        <v>0.0</v>
      </c>
      <c r="G3376" s="27"/>
    </row>
    <row r="3377" hidden="1">
      <c r="A3377" s="21"/>
      <c r="B3377" s="21" t="s">
        <v>4232</v>
      </c>
      <c r="D3377" s="25">
        <v>0.0</v>
      </c>
      <c r="E3377" s="27"/>
      <c r="F3377" s="25">
        <v>0.0</v>
      </c>
      <c r="G3377" s="27"/>
    </row>
    <row r="3378" hidden="1">
      <c r="A3378" s="21"/>
      <c r="B3378" s="21" t="s">
        <v>4233</v>
      </c>
      <c r="D3378" s="25">
        <v>0.0</v>
      </c>
      <c r="E3378" s="27"/>
      <c r="F3378" s="25">
        <v>0.0</v>
      </c>
      <c r="G3378" s="27"/>
    </row>
    <row r="3379" hidden="1">
      <c r="A3379" s="21"/>
      <c r="B3379" s="21" t="s">
        <v>4234</v>
      </c>
      <c r="D3379" s="25">
        <v>0.0</v>
      </c>
      <c r="E3379" s="27"/>
      <c r="F3379" s="25">
        <v>0.0</v>
      </c>
      <c r="G3379" s="27"/>
    </row>
    <row r="3380" hidden="1">
      <c r="A3380" s="21"/>
      <c r="B3380" s="21" t="s">
        <v>4235</v>
      </c>
      <c r="D3380" s="25">
        <v>0.0</v>
      </c>
      <c r="E3380" s="27"/>
      <c r="F3380" s="25">
        <v>0.0</v>
      </c>
      <c r="G3380" s="27"/>
    </row>
    <row r="3381" hidden="1">
      <c r="A3381" s="21"/>
      <c r="B3381" s="21" t="s">
        <v>4236</v>
      </c>
      <c r="D3381" s="25">
        <v>0.0</v>
      </c>
      <c r="E3381" s="27"/>
      <c r="F3381" s="25">
        <v>0.0</v>
      </c>
      <c r="G3381" s="27"/>
    </row>
    <row r="3382" hidden="1">
      <c r="A3382" s="21"/>
      <c r="B3382" s="21" t="s">
        <v>4237</v>
      </c>
      <c r="D3382" s="25">
        <v>0.0</v>
      </c>
      <c r="E3382" s="27"/>
      <c r="F3382" s="25">
        <v>0.0</v>
      </c>
      <c r="G3382" s="27"/>
    </row>
    <row r="3383" hidden="1">
      <c r="A3383" s="21"/>
      <c r="B3383" s="21" t="s">
        <v>4238</v>
      </c>
      <c r="D3383" s="25">
        <v>0.0</v>
      </c>
      <c r="E3383" s="27"/>
      <c r="F3383" s="25">
        <v>0.0</v>
      </c>
      <c r="G3383" s="27"/>
    </row>
    <row r="3384" hidden="1">
      <c r="A3384" s="21"/>
      <c r="B3384" s="21" t="s">
        <v>4239</v>
      </c>
      <c r="D3384" s="25">
        <v>0.0</v>
      </c>
      <c r="E3384" s="27"/>
      <c r="F3384" s="25">
        <v>0.0</v>
      </c>
      <c r="G3384" s="27"/>
    </row>
    <row r="3385" hidden="1">
      <c r="A3385" s="21"/>
      <c r="B3385" s="21" t="s">
        <v>4240</v>
      </c>
      <c r="D3385" s="25">
        <v>0.0</v>
      </c>
      <c r="E3385" s="27"/>
      <c r="F3385" s="25">
        <v>6.0</v>
      </c>
      <c r="G3385" s="27"/>
    </row>
    <row r="3386" hidden="1">
      <c r="A3386" s="21"/>
      <c r="B3386" s="21" t="s">
        <v>4241</v>
      </c>
      <c r="D3386" s="25">
        <v>0.0</v>
      </c>
      <c r="E3386" s="27"/>
      <c r="F3386" s="25">
        <v>0.0</v>
      </c>
      <c r="G3386" s="27"/>
    </row>
    <row r="3387" hidden="1">
      <c r="A3387" s="21"/>
      <c r="B3387" s="21" t="s">
        <v>4242</v>
      </c>
      <c r="D3387" s="25">
        <v>0.0</v>
      </c>
      <c r="E3387" s="27"/>
      <c r="F3387" s="25">
        <v>0.0</v>
      </c>
      <c r="G3387" s="27"/>
    </row>
    <row r="3388" hidden="1">
      <c r="A3388" s="21"/>
      <c r="B3388" s="21" t="s">
        <v>4243</v>
      </c>
      <c r="D3388" s="25">
        <v>0.0</v>
      </c>
      <c r="E3388" s="27"/>
      <c r="F3388" s="25">
        <v>0.0</v>
      </c>
      <c r="G3388" s="27"/>
    </row>
    <row r="3389" hidden="1">
      <c r="A3389" s="21"/>
      <c r="B3389" s="21" t="s">
        <v>4244</v>
      </c>
      <c r="D3389" s="25">
        <v>0.0</v>
      </c>
      <c r="E3389" s="27"/>
      <c r="F3389" s="25">
        <v>0.0</v>
      </c>
      <c r="G3389" s="27"/>
    </row>
    <row r="3390" hidden="1">
      <c r="A3390" s="21"/>
      <c r="B3390" s="21" t="s">
        <v>4245</v>
      </c>
      <c r="D3390" s="25">
        <v>0.0</v>
      </c>
      <c r="E3390" s="27"/>
      <c r="F3390" s="25">
        <v>0.0</v>
      </c>
      <c r="G3390" s="27"/>
    </row>
    <row r="3391" hidden="1">
      <c r="A3391" s="21"/>
      <c r="B3391" s="21" t="s">
        <v>4246</v>
      </c>
      <c r="D3391" s="25">
        <v>0.0</v>
      </c>
      <c r="E3391" s="27"/>
      <c r="F3391" s="25">
        <v>0.0</v>
      </c>
      <c r="G3391" s="27"/>
    </row>
    <row r="3392" hidden="1">
      <c r="A3392" s="21"/>
      <c r="B3392" s="21" t="s">
        <v>4247</v>
      </c>
      <c r="D3392" s="25">
        <v>0.0</v>
      </c>
      <c r="E3392" s="27"/>
      <c r="F3392" s="25">
        <v>0.0</v>
      </c>
      <c r="G3392" s="27"/>
    </row>
    <row r="3393" hidden="1">
      <c r="A3393" s="21"/>
      <c r="B3393" s="21" t="s">
        <v>4248</v>
      </c>
      <c r="D3393" s="25">
        <v>0.0</v>
      </c>
      <c r="E3393" s="27"/>
      <c r="F3393" s="25">
        <v>0.0</v>
      </c>
      <c r="G3393" s="27"/>
    </row>
    <row r="3394" hidden="1">
      <c r="A3394" s="21"/>
      <c r="B3394" s="21" t="s">
        <v>4249</v>
      </c>
      <c r="D3394" s="25">
        <v>0.0</v>
      </c>
      <c r="E3394" s="27"/>
      <c r="F3394" s="25">
        <v>0.0</v>
      </c>
      <c r="G3394" s="27"/>
    </row>
    <row r="3395" hidden="1">
      <c r="A3395" s="21"/>
      <c r="B3395" s="21" t="s">
        <v>4250</v>
      </c>
      <c r="D3395" s="25">
        <v>0.0</v>
      </c>
      <c r="E3395" s="27"/>
      <c r="F3395" s="25">
        <v>0.0</v>
      </c>
      <c r="G3395" s="27"/>
    </row>
    <row r="3396" hidden="1">
      <c r="A3396" s="21"/>
      <c r="B3396" s="21" t="s">
        <v>4251</v>
      </c>
      <c r="D3396" s="25">
        <v>0.0</v>
      </c>
      <c r="E3396" s="27"/>
      <c r="F3396" s="25">
        <v>0.0</v>
      </c>
      <c r="G3396" s="27"/>
    </row>
    <row r="3397" hidden="1">
      <c r="A3397" s="21"/>
      <c r="B3397" s="21" t="s">
        <v>4252</v>
      </c>
      <c r="D3397" s="25">
        <v>0.0</v>
      </c>
      <c r="E3397" s="27"/>
      <c r="F3397" s="25">
        <v>0.0</v>
      </c>
      <c r="G3397" s="27"/>
    </row>
    <row r="3398" hidden="1">
      <c r="A3398" s="21"/>
      <c r="B3398" s="21" t="s">
        <v>4253</v>
      </c>
      <c r="D3398" s="25">
        <v>0.0</v>
      </c>
      <c r="E3398" s="27"/>
      <c r="F3398" s="25">
        <v>0.0</v>
      </c>
      <c r="G3398" s="27"/>
    </row>
    <row r="3399" hidden="1">
      <c r="A3399" s="21"/>
      <c r="B3399" s="21" t="s">
        <v>4254</v>
      </c>
      <c r="D3399" s="25">
        <v>0.0</v>
      </c>
      <c r="E3399" s="27"/>
      <c r="F3399" s="25">
        <v>0.0</v>
      </c>
      <c r="G3399" s="27"/>
    </row>
    <row r="3400" hidden="1">
      <c r="A3400" s="21"/>
      <c r="B3400" s="21" t="s">
        <v>4255</v>
      </c>
      <c r="D3400" s="25">
        <v>0.0</v>
      </c>
      <c r="E3400" s="27"/>
      <c r="F3400" s="25">
        <v>0.0</v>
      </c>
      <c r="G3400" s="27"/>
    </row>
    <row r="3401" hidden="1">
      <c r="A3401" s="21"/>
      <c r="B3401" s="21" t="s">
        <v>4256</v>
      </c>
      <c r="D3401" s="25">
        <v>0.0</v>
      </c>
      <c r="E3401" s="27"/>
      <c r="F3401" s="25">
        <v>0.0</v>
      </c>
      <c r="G3401" s="27"/>
    </row>
    <row r="3402" hidden="1">
      <c r="A3402" s="21"/>
      <c r="B3402" s="21" t="s">
        <v>4257</v>
      </c>
      <c r="D3402" s="25">
        <v>0.0</v>
      </c>
      <c r="E3402" s="27"/>
      <c r="F3402" s="25">
        <v>0.0</v>
      </c>
      <c r="G3402" s="27"/>
    </row>
    <row r="3403" hidden="1">
      <c r="A3403" s="21"/>
      <c r="B3403" s="21" t="s">
        <v>4258</v>
      </c>
      <c r="D3403" s="25">
        <v>0.0</v>
      </c>
      <c r="E3403" s="27"/>
      <c r="F3403" s="25">
        <v>0.0</v>
      </c>
      <c r="G3403" s="27"/>
    </row>
    <row r="3404" hidden="1">
      <c r="A3404" s="21"/>
      <c r="B3404" s="21" t="s">
        <v>4259</v>
      </c>
      <c r="D3404" s="25">
        <v>0.0</v>
      </c>
      <c r="E3404" s="27"/>
      <c r="F3404" s="25">
        <v>0.0</v>
      </c>
      <c r="G3404" s="27"/>
    </row>
    <row r="3405" hidden="1">
      <c r="A3405" s="21"/>
      <c r="B3405" s="21" t="s">
        <v>4260</v>
      </c>
      <c r="D3405" s="25">
        <v>0.0</v>
      </c>
      <c r="E3405" s="27"/>
      <c r="F3405" s="25">
        <v>0.0</v>
      </c>
      <c r="G3405" s="27"/>
    </row>
    <row r="3406" hidden="1">
      <c r="A3406" s="21"/>
      <c r="B3406" s="21" t="s">
        <v>4261</v>
      </c>
      <c r="D3406" s="25">
        <v>0.0</v>
      </c>
      <c r="E3406" s="27"/>
      <c r="F3406" s="25">
        <v>0.0</v>
      </c>
      <c r="G3406" s="27"/>
    </row>
    <row r="3407" hidden="1">
      <c r="A3407" s="21"/>
      <c r="B3407" s="21" t="s">
        <v>4262</v>
      </c>
      <c r="D3407" s="25">
        <v>0.0</v>
      </c>
      <c r="E3407" s="27"/>
      <c r="F3407" s="25">
        <v>0.0</v>
      </c>
      <c r="G3407" s="27"/>
    </row>
    <row r="3408" hidden="1">
      <c r="A3408" s="21"/>
      <c r="B3408" s="21" t="s">
        <v>4263</v>
      </c>
      <c r="D3408" s="25">
        <v>0.0</v>
      </c>
      <c r="E3408" s="27"/>
      <c r="F3408" s="25">
        <v>0.0</v>
      </c>
      <c r="G3408" s="27"/>
    </row>
    <row r="3409" hidden="1">
      <c r="A3409" s="21"/>
      <c r="B3409" s="21" t="s">
        <v>4264</v>
      </c>
      <c r="D3409" s="25">
        <v>0.0</v>
      </c>
      <c r="E3409" s="27"/>
      <c r="F3409" s="25">
        <v>0.0</v>
      </c>
      <c r="G3409" s="27"/>
    </row>
    <row r="3410" hidden="1">
      <c r="A3410" s="21"/>
      <c r="B3410" s="21" t="s">
        <v>4265</v>
      </c>
      <c r="D3410" s="25">
        <v>0.0</v>
      </c>
      <c r="E3410" s="27"/>
      <c r="F3410" s="25">
        <v>0.0</v>
      </c>
      <c r="G3410" s="27"/>
    </row>
    <row r="3411" hidden="1">
      <c r="A3411" s="21"/>
      <c r="B3411" s="21" t="s">
        <v>4266</v>
      </c>
      <c r="D3411" s="25">
        <v>0.0</v>
      </c>
      <c r="E3411" s="27"/>
      <c r="F3411" s="25">
        <v>0.0</v>
      </c>
      <c r="G3411" s="27"/>
    </row>
    <row r="3412" hidden="1">
      <c r="A3412" s="21"/>
      <c r="B3412" s="21" t="s">
        <v>4267</v>
      </c>
      <c r="D3412" s="25">
        <v>0.0</v>
      </c>
      <c r="E3412" s="27"/>
      <c r="F3412" s="25">
        <v>0.0</v>
      </c>
      <c r="G3412" s="27"/>
    </row>
    <row r="3413" hidden="1">
      <c r="A3413" s="21"/>
      <c r="B3413" s="21" t="s">
        <v>4268</v>
      </c>
      <c r="D3413" s="25">
        <v>0.0</v>
      </c>
      <c r="E3413" s="27"/>
      <c r="F3413" s="25">
        <v>0.0</v>
      </c>
      <c r="G3413" s="27"/>
    </row>
    <row r="3414" hidden="1">
      <c r="A3414" s="21"/>
      <c r="B3414" s="21" t="s">
        <v>4269</v>
      </c>
      <c r="D3414" s="25">
        <v>0.0</v>
      </c>
      <c r="E3414" s="27"/>
      <c r="F3414" s="25">
        <v>0.0</v>
      </c>
      <c r="G3414" s="27"/>
    </row>
    <row r="3415" hidden="1">
      <c r="A3415" s="21"/>
      <c r="B3415" s="21" t="s">
        <v>4270</v>
      </c>
      <c r="D3415" s="25">
        <v>0.0</v>
      </c>
      <c r="E3415" s="27"/>
      <c r="F3415" s="25">
        <v>0.0</v>
      </c>
      <c r="G3415" s="27"/>
    </row>
    <row r="3416" hidden="1">
      <c r="A3416" s="21"/>
      <c r="B3416" s="21" t="s">
        <v>4271</v>
      </c>
      <c r="D3416" s="25">
        <v>0.0</v>
      </c>
      <c r="E3416" s="27"/>
      <c r="F3416" s="25">
        <v>0.0</v>
      </c>
      <c r="G3416" s="27"/>
    </row>
    <row r="3417" hidden="1">
      <c r="A3417" s="21"/>
      <c r="B3417" s="21" t="s">
        <v>4272</v>
      </c>
      <c r="D3417" s="25">
        <v>0.0</v>
      </c>
      <c r="E3417" s="27"/>
      <c r="F3417" s="25">
        <v>0.0</v>
      </c>
      <c r="G3417" s="27"/>
    </row>
    <row r="3418" hidden="1">
      <c r="A3418" s="21"/>
      <c r="B3418" s="21" t="s">
        <v>4273</v>
      </c>
      <c r="D3418" s="25">
        <v>0.0</v>
      </c>
      <c r="E3418" s="27"/>
      <c r="F3418" s="25">
        <v>0.0</v>
      </c>
      <c r="G3418" s="27"/>
    </row>
    <row r="3419" hidden="1">
      <c r="A3419" s="21"/>
      <c r="B3419" s="21" t="s">
        <v>4274</v>
      </c>
      <c r="D3419" s="25">
        <v>0.0</v>
      </c>
      <c r="E3419" s="27"/>
      <c r="F3419" s="25">
        <v>0.0</v>
      </c>
      <c r="G3419" s="27"/>
    </row>
    <row r="3420" hidden="1">
      <c r="A3420" s="21"/>
      <c r="B3420" s="21" t="s">
        <v>4275</v>
      </c>
      <c r="D3420" s="25">
        <v>0.0</v>
      </c>
      <c r="E3420" s="27"/>
      <c r="F3420" s="25">
        <v>0.0</v>
      </c>
      <c r="G3420" s="27"/>
    </row>
    <row r="3421" hidden="1">
      <c r="A3421" s="21"/>
      <c r="B3421" s="21" t="s">
        <v>4276</v>
      </c>
      <c r="D3421" s="25">
        <v>0.0</v>
      </c>
      <c r="E3421" s="27"/>
      <c r="F3421" s="25">
        <v>0.0</v>
      </c>
      <c r="G3421" s="27"/>
    </row>
    <row r="3422" hidden="1">
      <c r="A3422" s="21"/>
      <c r="B3422" s="21" t="s">
        <v>4277</v>
      </c>
      <c r="D3422" s="25">
        <v>0.0</v>
      </c>
      <c r="E3422" s="27"/>
      <c r="F3422" s="25">
        <v>0.0</v>
      </c>
      <c r="G3422" s="27"/>
    </row>
    <row r="3423" hidden="1">
      <c r="A3423" s="21"/>
      <c r="B3423" s="21" t="s">
        <v>4278</v>
      </c>
      <c r="D3423" s="25">
        <v>0.0</v>
      </c>
      <c r="E3423" s="27"/>
      <c r="F3423" s="25">
        <v>0.0</v>
      </c>
      <c r="G3423" s="27"/>
    </row>
    <row r="3424" hidden="1">
      <c r="A3424" s="21"/>
      <c r="B3424" s="21" t="s">
        <v>4279</v>
      </c>
      <c r="D3424" s="25">
        <v>0.0</v>
      </c>
      <c r="E3424" s="27"/>
      <c r="F3424" s="25">
        <v>0.0</v>
      </c>
      <c r="G3424" s="27"/>
    </row>
    <row r="3425" hidden="1">
      <c r="A3425" s="21"/>
      <c r="B3425" s="21" t="s">
        <v>4280</v>
      </c>
      <c r="D3425" s="25">
        <v>0.0</v>
      </c>
      <c r="E3425" s="27"/>
      <c r="F3425" s="25">
        <v>0.0</v>
      </c>
      <c r="G3425" s="27"/>
    </row>
    <row r="3426" hidden="1">
      <c r="A3426" s="21"/>
      <c r="B3426" s="21" t="s">
        <v>4281</v>
      </c>
      <c r="D3426" s="25">
        <v>0.0</v>
      </c>
      <c r="E3426" s="27"/>
      <c r="F3426" s="25">
        <v>0.0</v>
      </c>
      <c r="G3426" s="27"/>
    </row>
    <row r="3427" hidden="1">
      <c r="A3427" s="21"/>
      <c r="B3427" s="21" t="s">
        <v>4282</v>
      </c>
      <c r="D3427" s="25">
        <v>0.0</v>
      </c>
      <c r="E3427" s="27"/>
      <c r="F3427" s="25">
        <v>0.0</v>
      </c>
      <c r="G3427" s="27"/>
    </row>
    <row r="3428" hidden="1">
      <c r="A3428" s="21"/>
      <c r="B3428" s="21" t="s">
        <v>4283</v>
      </c>
      <c r="D3428" s="25">
        <v>0.0</v>
      </c>
      <c r="E3428" s="27"/>
      <c r="F3428" s="25">
        <v>0.0</v>
      </c>
      <c r="G3428" s="27"/>
    </row>
    <row r="3429" hidden="1">
      <c r="A3429" s="21"/>
      <c r="B3429" s="21" t="s">
        <v>4284</v>
      </c>
      <c r="D3429" s="25">
        <v>0.0</v>
      </c>
      <c r="E3429" s="27"/>
      <c r="F3429" s="25">
        <v>0.0</v>
      </c>
      <c r="G3429" s="27"/>
    </row>
    <row r="3430" hidden="1">
      <c r="A3430" s="21"/>
      <c r="B3430" s="21" t="s">
        <v>4285</v>
      </c>
      <c r="D3430" s="25">
        <v>0.0</v>
      </c>
      <c r="E3430" s="27"/>
      <c r="F3430" s="25">
        <v>0.0</v>
      </c>
      <c r="G3430" s="27"/>
    </row>
    <row r="3431" hidden="1">
      <c r="A3431" s="21"/>
      <c r="B3431" s="21" t="s">
        <v>4286</v>
      </c>
      <c r="D3431" s="25">
        <v>0.0</v>
      </c>
      <c r="E3431" s="27"/>
      <c r="F3431" s="25">
        <v>0.0</v>
      </c>
      <c r="G3431" s="27"/>
    </row>
    <row r="3432" hidden="1">
      <c r="A3432" s="21"/>
      <c r="B3432" s="21" t="s">
        <v>4287</v>
      </c>
      <c r="D3432" s="25">
        <v>0.0</v>
      </c>
      <c r="E3432" s="27"/>
      <c r="F3432" s="25">
        <v>0.0</v>
      </c>
      <c r="G3432" s="27"/>
    </row>
    <row r="3433" hidden="1">
      <c r="A3433" s="21"/>
      <c r="B3433" s="21" t="s">
        <v>4288</v>
      </c>
      <c r="D3433" s="25">
        <v>0.0</v>
      </c>
      <c r="E3433" s="27"/>
      <c r="F3433" s="25">
        <v>0.0</v>
      </c>
      <c r="G3433" s="27"/>
    </row>
    <row r="3434" hidden="1">
      <c r="A3434" s="21"/>
      <c r="B3434" s="21" t="s">
        <v>4289</v>
      </c>
      <c r="D3434" s="25">
        <v>0.0</v>
      </c>
      <c r="E3434" s="27"/>
      <c r="F3434" s="25">
        <v>0.0</v>
      </c>
      <c r="G3434" s="27"/>
    </row>
    <row r="3435" hidden="1">
      <c r="A3435" s="21"/>
      <c r="B3435" s="21" t="s">
        <v>4290</v>
      </c>
      <c r="D3435" s="25">
        <v>0.0</v>
      </c>
      <c r="E3435" s="27"/>
      <c r="F3435" s="25">
        <v>0.0</v>
      </c>
      <c r="G3435" s="27"/>
    </row>
    <row r="3436" hidden="1">
      <c r="A3436" s="21"/>
      <c r="B3436" s="21" t="s">
        <v>4291</v>
      </c>
      <c r="D3436" s="25">
        <v>0.0</v>
      </c>
      <c r="E3436" s="27"/>
      <c r="F3436" s="25">
        <v>0.0</v>
      </c>
      <c r="G3436" s="27"/>
    </row>
    <row r="3437" hidden="1">
      <c r="A3437" s="21"/>
      <c r="B3437" s="21" t="s">
        <v>4292</v>
      </c>
      <c r="D3437" s="25">
        <v>0.0</v>
      </c>
      <c r="E3437" s="27"/>
      <c r="F3437" s="25">
        <v>0.0</v>
      </c>
      <c r="G3437" s="27"/>
    </row>
    <row r="3438" hidden="1">
      <c r="A3438" s="21"/>
      <c r="B3438" s="21" t="s">
        <v>4293</v>
      </c>
      <c r="D3438" s="25">
        <v>0.0</v>
      </c>
      <c r="E3438" s="27"/>
      <c r="F3438" s="25">
        <v>0.0</v>
      </c>
      <c r="G3438" s="27"/>
    </row>
    <row r="3439" hidden="1">
      <c r="A3439" s="21"/>
      <c r="B3439" s="21" t="s">
        <v>4294</v>
      </c>
      <c r="D3439" s="25">
        <v>0.0</v>
      </c>
      <c r="E3439" s="27"/>
      <c r="F3439" s="25">
        <v>0.0</v>
      </c>
      <c r="G3439" s="27"/>
    </row>
    <row r="3440" hidden="1">
      <c r="A3440" s="21"/>
      <c r="B3440" s="21" t="s">
        <v>4295</v>
      </c>
      <c r="D3440" s="25">
        <v>0.0</v>
      </c>
      <c r="E3440" s="27"/>
      <c r="F3440" s="25">
        <v>0.0</v>
      </c>
      <c r="G3440" s="27"/>
    </row>
    <row r="3441" hidden="1">
      <c r="A3441" s="21"/>
      <c r="B3441" s="21" t="s">
        <v>4296</v>
      </c>
      <c r="D3441" s="25">
        <v>0.0</v>
      </c>
      <c r="E3441" s="27"/>
      <c r="F3441" s="25">
        <v>0.0</v>
      </c>
      <c r="G3441" s="27"/>
    </row>
    <row r="3442" hidden="1">
      <c r="A3442" s="21"/>
      <c r="B3442" s="21" t="s">
        <v>4297</v>
      </c>
      <c r="D3442" s="25">
        <v>0.0</v>
      </c>
      <c r="E3442" s="27"/>
      <c r="F3442" s="25">
        <v>0.0</v>
      </c>
      <c r="G3442" s="27"/>
    </row>
    <row r="3443" hidden="1">
      <c r="A3443" s="21"/>
      <c r="B3443" s="21" t="s">
        <v>4298</v>
      </c>
      <c r="D3443" s="25">
        <v>0.0</v>
      </c>
      <c r="E3443" s="27"/>
      <c r="F3443" s="25">
        <v>0.0</v>
      </c>
      <c r="G3443" s="27"/>
    </row>
    <row r="3444" hidden="1">
      <c r="A3444" s="21"/>
      <c r="B3444" s="21" t="s">
        <v>4299</v>
      </c>
      <c r="D3444" s="25">
        <v>0.0</v>
      </c>
      <c r="E3444" s="27"/>
      <c r="F3444" s="25">
        <v>0.0</v>
      </c>
      <c r="G3444" s="27"/>
    </row>
    <row r="3445" hidden="1">
      <c r="A3445" s="21"/>
      <c r="B3445" s="21" t="s">
        <v>4300</v>
      </c>
      <c r="D3445" s="25">
        <v>0.0</v>
      </c>
      <c r="E3445" s="27"/>
      <c r="F3445" s="25">
        <v>0.0</v>
      </c>
      <c r="G3445" s="27"/>
    </row>
    <row r="3446" hidden="1">
      <c r="A3446" s="21"/>
      <c r="B3446" s="21" t="s">
        <v>4301</v>
      </c>
      <c r="D3446" s="25">
        <v>0.0</v>
      </c>
      <c r="E3446" s="27"/>
      <c r="F3446" s="25">
        <v>0.0</v>
      </c>
      <c r="G3446" s="27"/>
    </row>
    <row r="3447" hidden="1">
      <c r="A3447" s="21"/>
      <c r="B3447" s="21" t="s">
        <v>4302</v>
      </c>
      <c r="D3447" s="25">
        <v>0.0</v>
      </c>
      <c r="E3447" s="27"/>
      <c r="F3447" s="25">
        <v>0.0</v>
      </c>
      <c r="G3447" s="27"/>
    </row>
    <row r="3448" hidden="1">
      <c r="A3448" s="21"/>
      <c r="B3448" s="21" t="s">
        <v>4303</v>
      </c>
      <c r="D3448" s="25">
        <v>0.0</v>
      </c>
      <c r="E3448" s="27"/>
      <c r="F3448" s="25">
        <v>0.0</v>
      </c>
      <c r="G3448" s="27"/>
    </row>
    <row r="3449" hidden="1">
      <c r="A3449" s="21"/>
      <c r="B3449" s="21" t="s">
        <v>4304</v>
      </c>
      <c r="D3449" s="25">
        <v>0.0</v>
      </c>
      <c r="E3449" s="27"/>
      <c r="F3449" s="25">
        <v>0.0</v>
      </c>
      <c r="G3449" s="27"/>
    </row>
    <row r="3450" hidden="1">
      <c r="A3450" s="21"/>
      <c r="B3450" s="21" t="s">
        <v>4305</v>
      </c>
      <c r="D3450" s="25">
        <v>0.0</v>
      </c>
      <c r="E3450" s="27"/>
      <c r="F3450" s="25">
        <v>0.0</v>
      </c>
      <c r="G3450" s="27"/>
    </row>
    <row r="3451" hidden="1">
      <c r="A3451" s="21"/>
      <c r="B3451" s="21" t="s">
        <v>4306</v>
      </c>
      <c r="D3451" s="25">
        <v>0.0</v>
      </c>
      <c r="E3451" s="27"/>
      <c r="F3451" s="25">
        <v>0.0</v>
      </c>
      <c r="G3451" s="27"/>
    </row>
    <row r="3452" hidden="1">
      <c r="A3452" s="21"/>
      <c r="B3452" s="21" t="s">
        <v>4307</v>
      </c>
      <c r="D3452" s="25">
        <v>0.0</v>
      </c>
      <c r="E3452" s="27"/>
      <c r="F3452" s="25">
        <v>0.0</v>
      </c>
      <c r="G3452" s="27"/>
    </row>
    <row r="3453" hidden="1">
      <c r="A3453" s="21"/>
      <c r="B3453" s="21" t="s">
        <v>4308</v>
      </c>
      <c r="D3453" s="25">
        <v>0.0</v>
      </c>
      <c r="E3453" s="27"/>
      <c r="F3453" s="25">
        <v>0.0</v>
      </c>
      <c r="G3453" s="27"/>
    </row>
    <row r="3454" hidden="1">
      <c r="A3454" s="21"/>
      <c r="B3454" s="21" t="s">
        <v>4309</v>
      </c>
      <c r="D3454" s="25">
        <v>0.0</v>
      </c>
      <c r="E3454" s="27"/>
      <c r="F3454" s="25">
        <v>0.0</v>
      </c>
      <c r="G3454" s="27"/>
    </row>
    <row r="3455" hidden="1">
      <c r="A3455" s="21"/>
      <c r="B3455" s="21" t="s">
        <v>4310</v>
      </c>
      <c r="D3455" s="25">
        <v>0.0</v>
      </c>
      <c r="E3455" s="27"/>
      <c r="F3455" s="25">
        <v>0.0</v>
      </c>
      <c r="G3455" s="27"/>
    </row>
    <row r="3456" hidden="1">
      <c r="A3456" s="21"/>
      <c r="B3456" s="21" t="s">
        <v>4311</v>
      </c>
      <c r="D3456" s="25">
        <v>0.0</v>
      </c>
      <c r="E3456" s="27"/>
      <c r="F3456" s="25">
        <v>0.0</v>
      </c>
      <c r="G3456" s="27"/>
    </row>
    <row r="3457" hidden="1">
      <c r="A3457" s="21"/>
      <c r="B3457" s="21" t="s">
        <v>4312</v>
      </c>
      <c r="D3457" s="25">
        <v>0.0</v>
      </c>
      <c r="E3457" s="27"/>
      <c r="F3457" s="25">
        <v>0.0</v>
      </c>
      <c r="G3457" s="27"/>
    </row>
    <row r="3458" hidden="1">
      <c r="A3458" s="21"/>
      <c r="B3458" s="21" t="s">
        <v>4313</v>
      </c>
      <c r="D3458" s="25">
        <v>0.0</v>
      </c>
      <c r="E3458" s="27"/>
      <c r="F3458" s="25">
        <v>0.0</v>
      </c>
      <c r="G3458" s="27"/>
    </row>
    <row r="3459" hidden="1">
      <c r="A3459" s="21"/>
      <c r="B3459" s="21" t="s">
        <v>4314</v>
      </c>
      <c r="D3459" s="25">
        <v>0.0</v>
      </c>
      <c r="E3459" s="27"/>
      <c r="F3459" s="25">
        <v>0.0</v>
      </c>
      <c r="G3459" s="27"/>
    </row>
    <row r="3460" hidden="1">
      <c r="A3460" s="21"/>
      <c r="B3460" s="21" t="s">
        <v>4315</v>
      </c>
      <c r="D3460" s="25">
        <v>0.0</v>
      </c>
      <c r="E3460" s="27"/>
      <c r="F3460" s="25">
        <v>0.0</v>
      </c>
      <c r="G3460" s="27"/>
    </row>
    <row r="3461" hidden="1">
      <c r="A3461" s="21"/>
      <c r="B3461" s="21" t="s">
        <v>4316</v>
      </c>
      <c r="D3461" s="25">
        <v>0.0</v>
      </c>
      <c r="E3461" s="27"/>
      <c r="F3461" s="25">
        <v>0.0</v>
      </c>
      <c r="G3461" s="27"/>
    </row>
    <row r="3462" hidden="1">
      <c r="A3462" s="21"/>
      <c r="B3462" s="21" t="s">
        <v>4317</v>
      </c>
      <c r="D3462" s="25">
        <v>0.0</v>
      </c>
      <c r="E3462" s="27"/>
      <c r="F3462" s="25">
        <v>0.0</v>
      </c>
      <c r="G3462" s="27"/>
    </row>
    <row r="3463" hidden="1">
      <c r="A3463" s="21"/>
      <c r="B3463" s="21" t="s">
        <v>4318</v>
      </c>
      <c r="D3463" s="25">
        <v>0.0</v>
      </c>
      <c r="E3463" s="27"/>
      <c r="F3463" s="25">
        <v>0.0</v>
      </c>
      <c r="G3463" s="27"/>
    </row>
    <row r="3464" hidden="1">
      <c r="A3464" s="21"/>
      <c r="B3464" s="21" t="s">
        <v>4319</v>
      </c>
      <c r="D3464" s="25">
        <v>0.0</v>
      </c>
      <c r="E3464" s="27"/>
      <c r="F3464" s="25">
        <v>0.0</v>
      </c>
      <c r="G3464" s="27"/>
    </row>
    <row r="3465" hidden="1">
      <c r="A3465" s="21"/>
      <c r="B3465" s="21" t="s">
        <v>4320</v>
      </c>
      <c r="D3465" s="25">
        <v>0.0</v>
      </c>
      <c r="E3465" s="27"/>
      <c r="F3465" s="25">
        <v>0.0</v>
      </c>
      <c r="G3465" s="27"/>
    </row>
    <row r="3466" hidden="1">
      <c r="A3466" s="21"/>
      <c r="B3466" s="21" t="s">
        <v>4321</v>
      </c>
      <c r="D3466" s="25">
        <v>0.0</v>
      </c>
      <c r="E3466" s="27"/>
      <c r="F3466" s="25">
        <v>0.0</v>
      </c>
      <c r="G3466" s="27"/>
    </row>
    <row r="3467" hidden="1">
      <c r="A3467" s="21"/>
      <c r="B3467" s="21" t="s">
        <v>4322</v>
      </c>
      <c r="D3467" s="25">
        <v>0.0</v>
      </c>
      <c r="E3467" s="27"/>
      <c r="F3467" s="25">
        <v>0.0</v>
      </c>
      <c r="G3467" s="27"/>
    </row>
    <row r="3468" hidden="1">
      <c r="A3468" s="21"/>
      <c r="B3468" s="21" t="s">
        <v>4323</v>
      </c>
      <c r="D3468" s="25">
        <v>0.0</v>
      </c>
      <c r="E3468" s="27"/>
      <c r="F3468" s="25">
        <v>0.0</v>
      </c>
      <c r="G3468" s="27"/>
    </row>
    <row r="3469" hidden="1">
      <c r="A3469" s="21"/>
      <c r="B3469" s="21" t="s">
        <v>4324</v>
      </c>
      <c r="D3469" s="25">
        <v>0.0</v>
      </c>
      <c r="E3469" s="27"/>
      <c r="F3469" s="25">
        <v>0.0</v>
      </c>
      <c r="G3469" s="27"/>
    </row>
    <row r="3470" hidden="1">
      <c r="A3470" s="21"/>
      <c r="B3470" s="21" t="s">
        <v>4325</v>
      </c>
      <c r="D3470" s="25">
        <v>0.0</v>
      </c>
      <c r="E3470" s="27"/>
      <c r="F3470" s="25">
        <v>0.0</v>
      </c>
      <c r="G3470" s="27"/>
    </row>
    <row r="3471" hidden="1">
      <c r="A3471" s="21"/>
      <c r="B3471" s="21" t="s">
        <v>4326</v>
      </c>
      <c r="D3471" s="25">
        <v>0.0</v>
      </c>
      <c r="E3471" s="27"/>
      <c r="F3471" s="25">
        <v>0.0</v>
      </c>
      <c r="G3471" s="27"/>
    </row>
    <row r="3472" hidden="1">
      <c r="A3472" s="21"/>
      <c r="B3472" s="21" t="s">
        <v>4327</v>
      </c>
      <c r="D3472" s="25">
        <v>0.0</v>
      </c>
      <c r="E3472" s="27"/>
      <c r="F3472" s="25">
        <v>0.0</v>
      </c>
      <c r="G3472" s="27"/>
    </row>
    <row r="3473" hidden="1">
      <c r="A3473" s="21"/>
      <c r="B3473" s="21" t="s">
        <v>4328</v>
      </c>
      <c r="D3473" s="25">
        <v>0.0</v>
      </c>
      <c r="E3473" s="27"/>
      <c r="F3473" s="25">
        <v>0.0</v>
      </c>
      <c r="G3473" s="27"/>
    </row>
    <row r="3474" hidden="1">
      <c r="A3474" s="21"/>
      <c r="B3474" s="21" t="s">
        <v>4329</v>
      </c>
      <c r="D3474" s="25">
        <v>0.0</v>
      </c>
      <c r="E3474" s="27"/>
      <c r="F3474" s="25">
        <v>0.0</v>
      </c>
      <c r="G3474" s="27"/>
    </row>
    <row r="3475" hidden="1">
      <c r="A3475" s="21"/>
      <c r="B3475" s="21" t="s">
        <v>4330</v>
      </c>
      <c r="D3475" s="25">
        <v>0.0</v>
      </c>
      <c r="E3475" s="27"/>
      <c r="F3475" s="25">
        <v>6.51</v>
      </c>
      <c r="G3475" s="27"/>
    </row>
    <row r="3476" hidden="1">
      <c r="A3476" s="21"/>
      <c r="B3476" s="21" t="s">
        <v>4331</v>
      </c>
      <c r="D3476" s="25">
        <v>0.0</v>
      </c>
      <c r="E3476" s="27"/>
      <c r="F3476" s="25">
        <v>0.0</v>
      </c>
      <c r="G3476" s="27"/>
    </row>
    <row r="3477" hidden="1">
      <c r="A3477" s="21"/>
      <c r="B3477" s="21" t="s">
        <v>4332</v>
      </c>
      <c r="D3477" s="25">
        <v>0.0</v>
      </c>
      <c r="E3477" s="27"/>
      <c r="F3477" s="25">
        <v>0.0</v>
      </c>
      <c r="G3477" s="27"/>
    </row>
    <row r="3478" hidden="1">
      <c r="A3478" s="21"/>
      <c r="B3478" s="21" t="s">
        <v>4333</v>
      </c>
      <c r="D3478" s="25">
        <v>0.0</v>
      </c>
      <c r="E3478" s="27"/>
      <c r="F3478" s="25">
        <v>0.0</v>
      </c>
      <c r="G3478" s="27"/>
    </row>
    <row r="3479" hidden="1">
      <c r="A3479" s="21"/>
      <c r="B3479" s="21" t="s">
        <v>4334</v>
      </c>
      <c r="D3479" s="25">
        <v>0.0</v>
      </c>
      <c r="E3479" s="27"/>
      <c r="F3479" s="25">
        <v>0.0</v>
      </c>
      <c r="G3479" s="27"/>
    </row>
    <row r="3480" hidden="1">
      <c r="A3480" s="21"/>
      <c r="B3480" s="21" t="s">
        <v>4335</v>
      </c>
      <c r="D3480" s="25">
        <v>0.0</v>
      </c>
      <c r="E3480" s="27"/>
      <c r="F3480" s="25">
        <v>0.0</v>
      </c>
      <c r="G3480" s="27"/>
    </row>
    <row r="3481" hidden="1">
      <c r="A3481" s="21"/>
      <c r="B3481" s="21" t="s">
        <v>4336</v>
      </c>
      <c r="D3481" s="25">
        <v>0.0</v>
      </c>
      <c r="E3481" s="27"/>
      <c r="F3481" s="25">
        <v>0.0</v>
      </c>
      <c r="G3481" s="27"/>
    </row>
    <row r="3482" hidden="1">
      <c r="A3482" s="21"/>
      <c r="B3482" s="21" t="s">
        <v>4337</v>
      </c>
      <c r="D3482" s="25">
        <v>0.0</v>
      </c>
      <c r="E3482" s="27"/>
      <c r="F3482" s="25">
        <v>0.0</v>
      </c>
      <c r="G3482" s="27"/>
    </row>
    <row r="3483" hidden="1">
      <c r="A3483" s="21"/>
      <c r="B3483" s="21" t="s">
        <v>4338</v>
      </c>
      <c r="D3483" s="25">
        <v>0.0</v>
      </c>
      <c r="E3483" s="27"/>
      <c r="F3483" s="25">
        <v>0.0</v>
      </c>
      <c r="G3483" s="27"/>
    </row>
    <row r="3484" hidden="1">
      <c r="A3484" s="21"/>
      <c r="B3484" s="21" t="s">
        <v>4339</v>
      </c>
      <c r="D3484" s="25">
        <v>0.0</v>
      </c>
      <c r="E3484" s="27"/>
      <c r="F3484" s="25">
        <v>0.0</v>
      </c>
      <c r="G3484" s="27"/>
    </row>
    <row r="3485" hidden="1">
      <c r="A3485" s="21"/>
      <c r="B3485" s="21" t="s">
        <v>4340</v>
      </c>
      <c r="D3485" s="25">
        <v>0.0</v>
      </c>
      <c r="E3485" s="27"/>
      <c r="F3485" s="25">
        <v>0.0</v>
      </c>
      <c r="G3485" s="27"/>
    </row>
    <row r="3486" hidden="1">
      <c r="A3486" s="21"/>
      <c r="B3486" s="21" t="s">
        <v>4341</v>
      </c>
      <c r="D3486" s="25">
        <v>0.0</v>
      </c>
      <c r="E3486" s="27"/>
      <c r="F3486" s="25">
        <v>0.0</v>
      </c>
      <c r="G3486" s="27"/>
    </row>
    <row r="3487" hidden="1">
      <c r="A3487" s="21"/>
      <c r="B3487" s="21" t="s">
        <v>4342</v>
      </c>
      <c r="D3487" s="25">
        <v>0.0</v>
      </c>
      <c r="E3487" s="27"/>
      <c r="F3487" s="25">
        <v>0.0</v>
      </c>
      <c r="G3487" s="27"/>
    </row>
    <row r="3488" hidden="1">
      <c r="A3488" s="21"/>
      <c r="B3488" s="21" t="s">
        <v>4343</v>
      </c>
      <c r="D3488" s="25">
        <v>0.0</v>
      </c>
      <c r="E3488" s="27"/>
      <c r="F3488" s="25">
        <v>0.0</v>
      </c>
      <c r="G3488" s="27"/>
    </row>
    <row r="3489" hidden="1">
      <c r="A3489" s="21"/>
      <c r="B3489" s="21" t="s">
        <v>4344</v>
      </c>
      <c r="D3489" s="25">
        <v>0.0</v>
      </c>
      <c r="E3489" s="27"/>
      <c r="F3489" s="25">
        <v>0.0</v>
      </c>
      <c r="G3489" s="27"/>
    </row>
    <row r="3490" hidden="1">
      <c r="A3490" s="21"/>
      <c r="B3490" s="21" t="s">
        <v>4345</v>
      </c>
      <c r="D3490" s="25">
        <v>0.0</v>
      </c>
      <c r="E3490" s="27"/>
      <c r="F3490" s="25">
        <v>0.0</v>
      </c>
      <c r="G3490" s="27"/>
    </row>
    <row r="3491" hidden="1">
      <c r="A3491" s="21"/>
      <c r="B3491" s="21" t="s">
        <v>4346</v>
      </c>
      <c r="D3491" s="25">
        <v>0.0</v>
      </c>
      <c r="E3491" s="27"/>
      <c r="F3491" s="25">
        <v>0.0</v>
      </c>
      <c r="G3491" s="27"/>
    </row>
    <row r="3492" hidden="1">
      <c r="A3492" s="21"/>
      <c r="B3492" s="21" t="s">
        <v>4347</v>
      </c>
      <c r="D3492" s="25">
        <v>0.0</v>
      </c>
      <c r="E3492" s="27"/>
      <c r="F3492" s="25">
        <v>5.38</v>
      </c>
      <c r="G3492" s="27"/>
    </row>
    <row r="3493" hidden="1">
      <c r="A3493" s="21"/>
      <c r="B3493" s="21" t="s">
        <v>4348</v>
      </c>
      <c r="D3493" s="25">
        <v>0.0</v>
      </c>
      <c r="E3493" s="27"/>
      <c r="F3493" s="25">
        <v>0.0</v>
      </c>
      <c r="G3493" s="27"/>
    </row>
    <row r="3494" hidden="1">
      <c r="A3494" s="21"/>
      <c r="B3494" s="21" t="s">
        <v>4349</v>
      </c>
      <c r="D3494" s="25">
        <v>0.0</v>
      </c>
      <c r="E3494" s="27"/>
      <c r="F3494" s="25">
        <v>0.0</v>
      </c>
      <c r="G3494" s="27"/>
    </row>
    <row r="3495" hidden="1">
      <c r="A3495" s="21"/>
      <c r="B3495" s="21" t="s">
        <v>4350</v>
      </c>
      <c r="D3495" s="25">
        <v>0.0</v>
      </c>
      <c r="E3495" s="27"/>
      <c r="F3495" s="25">
        <v>0.0</v>
      </c>
      <c r="G3495" s="27"/>
    </row>
    <row r="3496" hidden="1">
      <c r="A3496" s="21"/>
      <c r="B3496" s="21" t="s">
        <v>4351</v>
      </c>
      <c r="D3496" s="25">
        <v>0.0</v>
      </c>
      <c r="E3496" s="27"/>
      <c r="F3496" s="25">
        <v>0.0</v>
      </c>
      <c r="G3496" s="27"/>
    </row>
    <row r="3497" hidden="1">
      <c r="A3497" s="21"/>
      <c r="B3497" s="21" t="s">
        <v>4352</v>
      </c>
      <c r="D3497" s="25">
        <v>0.0</v>
      </c>
      <c r="E3497" s="27"/>
      <c r="F3497" s="25">
        <v>0.0</v>
      </c>
      <c r="G3497" s="27"/>
    </row>
    <row r="3498" hidden="1">
      <c r="A3498" s="21"/>
      <c r="B3498" s="21" t="s">
        <v>4353</v>
      </c>
      <c r="D3498" s="25">
        <v>0.0</v>
      </c>
      <c r="E3498" s="27"/>
      <c r="F3498" s="25">
        <v>0.0</v>
      </c>
      <c r="G3498" s="27"/>
    </row>
    <row r="3499" hidden="1">
      <c r="A3499" s="21"/>
      <c r="B3499" s="21" t="s">
        <v>4354</v>
      </c>
      <c r="D3499" s="25">
        <v>0.0</v>
      </c>
      <c r="E3499" s="27"/>
      <c r="F3499" s="25">
        <v>4.76</v>
      </c>
      <c r="G3499" s="27"/>
    </row>
    <row r="3500" hidden="1">
      <c r="A3500" s="21"/>
      <c r="B3500" s="21" t="s">
        <v>4355</v>
      </c>
      <c r="D3500" s="25">
        <v>0.0</v>
      </c>
      <c r="E3500" s="27"/>
      <c r="F3500" s="25">
        <v>0.0</v>
      </c>
      <c r="G3500" s="27"/>
    </row>
    <row r="3501" hidden="1">
      <c r="A3501" s="21"/>
      <c r="B3501" s="21" t="s">
        <v>4356</v>
      </c>
      <c r="D3501" s="25">
        <v>0.0</v>
      </c>
      <c r="E3501" s="27"/>
      <c r="F3501" s="25">
        <v>0.0</v>
      </c>
      <c r="G3501" s="27"/>
    </row>
    <row r="3502" hidden="1">
      <c r="A3502" s="21"/>
      <c r="B3502" s="21" t="s">
        <v>4357</v>
      </c>
      <c r="D3502" s="25">
        <v>0.0</v>
      </c>
      <c r="E3502" s="27"/>
      <c r="F3502" s="25">
        <v>0.0</v>
      </c>
      <c r="G3502" s="27"/>
    </row>
    <row r="3503" hidden="1">
      <c r="A3503" s="21"/>
      <c r="B3503" s="21" t="s">
        <v>4358</v>
      </c>
      <c r="D3503" s="25">
        <v>0.0</v>
      </c>
      <c r="E3503" s="27"/>
      <c r="F3503" s="25">
        <v>0.0</v>
      </c>
      <c r="G3503" s="27"/>
    </row>
    <row r="3504" hidden="1">
      <c r="A3504" s="21"/>
      <c r="B3504" s="21" t="s">
        <v>4359</v>
      </c>
      <c r="D3504" s="25">
        <v>0.0</v>
      </c>
      <c r="E3504" s="27"/>
      <c r="F3504" s="25">
        <v>0.0</v>
      </c>
      <c r="G3504" s="27"/>
    </row>
    <row r="3505" hidden="1">
      <c r="A3505" s="21"/>
      <c r="B3505" s="21" t="s">
        <v>4360</v>
      </c>
      <c r="D3505" s="25">
        <v>0.0</v>
      </c>
      <c r="E3505" s="27"/>
      <c r="F3505" s="25">
        <v>0.0</v>
      </c>
      <c r="G3505" s="27"/>
    </row>
    <row r="3506" hidden="1">
      <c r="A3506" s="21"/>
      <c r="B3506" s="21" t="s">
        <v>4361</v>
      </c>
      <c r="D3506" s="25">
        <v>0.0</v>
      </c>
      <c r="E3506" s="27"/>
      <c r="F3506" s="25">
        <v>0.0</v>
      </c>
      <c r="G3506" s="27"/>
    </row>
    <row r="3507" hidden="1">
      <c r="A3507" s="21"/>
      <c r="B3507" s="21" t="s">
        <v>4362</v>
      </c>
      <c r="D3507" s="25">
        <v>0.0</v>
      </c>
      <c r="E3507" s="27"/>
      <c r="F3507" s="25">
        <v>0.0</v>
      </c>
      <c r="G3507" s="27"/>
    </row>
    <row r="3508" hidden="1">
      <c r="A3508" s="21"/>
      <c r="B3508" s="21" t="s">
        <v>4363</v>
      </c>
      <c r="D3508" s="25">
        <v>0.0</v>
      </c>
      <c r="E3508" s="27"/>
      <c r="F3508" s="25">
        <v>0.0</v>
      </c>
      <c r="G3508" s="27"/>
    </row>
    <row r="3509" hidden="1">
      <c r="A3509" s="21"/>
      <c r="B3509" s="21" t="s">
        <v>4364</v>
      </c>
      <c r="D3509" s="25">
        <v>0.0</v>
      </c>
      <c r="E3509" s="27"/>
      <c r="F3509" s="25">
        <v>0.0</v>
      </c>
      <c r="G3509" s="27"/>
    </row>
    <row r="3510" hidden="1">
      <c r="A3510" s="21"/>
      <c r="B3510" s="21" t="s">
        <v>4365</v>
      </c>
      <c r="D3510" s="25">
        <v>0.0</v>
      </c>
      <c r="E3510" s="27"/>
      <c r="F3510" s="25">
        <v>0.0</v>
      </c>
      <c r="G3510" s="27"/>
    </row>
    <row r="3511" hidden="1">
      <c r="A3511" s="21"/>
      <c r="B3511" s="21" t="s">
        <v>4366</v>
      </c>
      <c r="D3511" s="25">
        <v>0.0</v>
      </c>
      <c r="E3511" s="27"/>
      <c r="F3511" s="25">
        <v>0.0</v>
      </c>
      <c r="G3511" s="27"/>
    </row>
    <row r="3512" hidden="1">
      <c r="A3512" s="21"/>
      <c r="B3512" s="21" t="s">
        <v>4367</v>
      </c>
      <c r="D3512" s="25">
        <v>0.0</v>
      </c>
      <c r="E3512" s="27"/>
      <c r="F3512" s="25">
        <v>0.0</v>
      </c>
      <c r="G3512" s="27"/>
    </row>
    <row r="3513" hidden="1">
      <c r="A3513" s="21"/>
      <c r="B3513" s="21" t="s">
        <v>4368</v>
      </c>
      <c r="D3513" s="25">
        <v>0.0</v>
      </c>
      <c r="E3513" s="27"/>
      <c r="F3513" s="25">
        <v>0.0</v>
      </c>
      <c r="G3513" s="27"/>
    </row>
    <row r="3514" hidden="1">
      <c r="A3514" s="21"/>
      <c r="B3514" s="21" t="s">
        <v>4369</v>
      </c>
      <c r="D3514" s="25">
        <v>0.0</v>
      </c>
      <c r="E3514" s="27"/>
      <c r="F3514" s="25">
        <v>0.0</v>
      </c>
      <c r="G3514" s="27"/>
    </row>
    <row r="3515" hidden="1">
      <c r="A3515" s="21"/>
      <c r="B3515" s="21" t="s">
        <v>4370</v>
      </c>
      <c r="D3515" s="25">
        <v>0.0</v>
      </c>
      <c r="E3515" s="27"/>
      <c r="F3515" s="25">
        <v>0.0</v>
      </c>
      <c r="G3515" s="27"/>
    </row>
    <row r="3516" hidden="1">
      <c r="A3516" s="21"/>
      <c r="B3516" s="21" t="s">
        <v>4371</v>
      </c>
      <c r="D3516" s="25">
        <v>0.0</v>
      </c>
      <c r="E3516" s="27"/>
      <c r="F3516" s="25">
        <v>0.0</v>
      </c>
      <c r="G3516" s="27"/>
    </row>
    <row r="3517" hidden="1">
      <c r="A3517" s="21"/>
      <c r="B3517" s="21" t="s">
        <v>4372</v>
      </c>
      <c r="D3517" s="25">
        <v>0.0</v>
      </c>
      <c r="E3517" s="27"/>
      <c r="F3517" s="25">
        <v>0.0</v>
      </c>
      <c r="G3517" s="27"/>
    </row>
    <row r="3518" hidden="1">
      <c r="A3518" s="21"/>
      <c r="B3518" s="21" t="s">
        <v>4373</v>
      </c>
      <c r="D3518" s="25">
        <v>0.0</v>
      </c>
      <c r="E3518" s="27"/>
      <c r="F3518" s="25">
        <v>0.0</v>
      </c>
      <c r="G3518" s="27"/>
    </row>
    <row r="3519" hidden="1">
      <c r="A3519" s="21"/>
      <c r="B3519" s="21" t="s">
        <v>4374</v>
      </c>
      <c r="D3519" s="25">
        <v>0.0</v>
      </c>
      <c r="E3519" s="27"/>
      <c r="F3519" s="25">
        <v>0.0</v>
      </c>
      <c r="G3519" s="27"/>
    </row>
    <row r="3520" hidden="1">
      <c r="A3520" s="21"/>
      <c r="B3520" s="21" t="s">
        <v>4375</v>
      </c>
      <c r="D3520" s="25">
        <v>0.0</v>
      </c>
      <c r="E3520" s="27"/>
      <c r="F3520" s="25">
        <v>0.0</v>
      </c>
      <c r="G3520" s="27"/>
    </row>
    <row r="3521" hidden="1">
      <c r="A3521" s="21"/>
      <c r="B3521" s="21" t="s">
        <v>4376</v>
      </c>
      <c r="D3521" s="25">
        <v>0.0</v>
      </c>
      <c r="E3521" s="27"/>
      <c r="F3521" s="25">
        <v>0.0</v>
      </c>
      <c r="G3521" s="27"/>
    </row>
    <row r="3522" hidden="1">
      <c r="A3522" s="21"/>
      <c r="B3522" s="21" t="s">
        <v>4377</v>
      </c>
      <c r="D3522" s="25">
        <v>0.0</v>
      </c>
      <c r="E3522" s="27"/>
      <c r="F3522" s="25">
        <v>0.0</v>
      </c>
      <c r="G3522" s="27"/>
    </row>
    <row r="3523" hidden="1">
      <c r="A3523" s="21"/>
      <c r="B3523" s="21" t="s">
        <v>4378</v>
      </c>
      <c r="D3523" s="25">
        <v>0.0</v>
      </c>
      <c r="E3523" s="27"/>
      <c r="F3523" s="25">
        <v>0.0</v>
      </c>
      <c r="G3523" s="27"/>
    </row>
    <row r="3524" hidden="1">
      <c r="A3524" s="21"/>
      <c r="B3524" s="21" t="s">
        <v>4379</v>
      </c>
      <c r="D3524" s="25">
        <v>0.0</v>
      </c>
      <c r="E3524" s="27"/>
      <c r="F3524" s="25">
        <v>0.0</v>
      </c>
      <c r="G3524" s="27"/>
    </row>
    <row r="3525" hidden="1">
      <c r="A3525" s="21"/>
      <c r="B3525" s="21" t="s">
        <v>4380</v>
      </c>
      <c r="D3525" s="25">
        <v>0.0</v>
      </c>
      <c r="E3525" s="27"/>
      <c r="F3525" s="25">
        <v>0.0</v>
      </c>
      <c r="G3525" s="27"/>
    </row>
    <row r="3526" hidden="1">
      <c r="A3526" s="21"/>
      <c r="B3526" s="21" t="s">
        <v>4381</v>
      </c>
      <c r="D3526" s="25">
        <v>0.0</v>
      </c>
      <c r="E3526" s="27"/>
      <c r="F3526" s="25">
        <v>0.0</v>
      </c>
      <c r="G3526" s="27"/>
    </row>
    <row r="3527" hidden="1">
      <c r="A3527" s="21"/>
      <c r="B3527" s="21" t="s">
        <v>4382</v>
      </c>
      <c r="D3527" s="25">
        <v>0.0</v>
      </c>
      <c r="E3527" s="27"/>
      <c r="F3527" s="25">
        <v>0.0</v>
      </c>
      <c r="G3527" s="27"/>
    </row>
    <row r="3528" hidden="1">
      <c r="A3528" s="21"/>
      <c r="B3528" s="21" t="s">
        <v>4383</v>
      </c>
      <c r="D3528" s="25">
        <v>0.0</v>
      </c>
      <c r="E3528" s="27"/>
      <c r="F3528" s="25">
        <v>0.0</v>
      </c>
      <c r="G3528" s="27"/>
    </row>
    <row r="3529" hidden="1">
      <c r="A3529" s="21"/>
      <c r="B3529" s="21" t="s">
        <v>4384</v>
      </c>
      <c r="D3529" s="25">
        <v>0.0</v>
      </c>
      <c r="E3529" s="27"/>
      <c r="F3529" s="25">
        <v>0.0</v>
      </c>
      <c r="G3529" s="27"/>
    </row>
    <row r="3530" hidden="1">
      <c r="A3530" s="21"/>
      <c r="B3530" s="21" t="s">
        <v>4385</v>
      </c>
      <c r="D3530" s="25">
        <v>0.0</v>
      </c>
      <c r="E3530" s="27"/>
      <c r="F3530" s="25">
        <v>0.0</v>
      </c>
      <c r="G3530" s="27"/>
    </row>
    <row r="3531" hidden="1">
      <c r="A3531" s="21"/>
      <c r="B3531" s="21" t="s">
        <v>4386</v>
      </c>
      <c r="D3531" s="25">
        <v>0.0</v>
      </c>
      <c r="E3531" s="27"/>
      <c r="F3531" s="25">
        <v>0.0</v>
      </c>
      <c r="G3531" s="27"/>
    </row>
    <row r="3532" hidden="1">
      <c r="A3532" s="21"/>
      <c r="B3532" s="21" t="s">
        <v>4387</v>
      </c>
      <c r="D3532" s="25">
        <v>0.0</v>
      </c>
      <c r="E3532" s="27"/>
      <c r="F3532" s="25">
        <v>0.0</v>
      </c>
      <c r="G3532" s="27"/>
    </row>
    <row r="3533" hidden="1">
      <c r="A3533" s="21"/>
      <c r="B3533" s="21" t="s">
        <v>4388</v>
      </c>
      <c r="D3533" s="25">
        <v>0.0</v>
      </c>
      <c r="E3533" s="27"/>
      <c r="F3533" s="25">
        <v>0.0</v>
      </c>
      <c r="G3533" s="27"/>
    </row>
    <row r="3534" hidden="1">
      <c r="A3534" s="21"/>
      <c r="B3534" s="21" t="s">
        <v>4389</v>
      </c>
      <c r="D3534" s="25">
        <v>0.0</v>
      </c>
      <c r="E3534" s="27"/>
      <c r="F3534" s="25">
        <v>0.0</v>
      </c>
      <c r="G3534" s="27"/>
    </row>
    <row r="3535" hidden="1">
      <c r="A3535" s="21"/>
      <c r="B3535" s="21" t="s">
        <v>4390</v>
      </c>
      <c r="D3535" s="25">
        <v>0.0</v>
      </c>
      <c r="E3535" s="27"/>
      <c r="F3535" s="25">
        <v>0.0</v>
      </c>
      <c r="G3535" s="27"/>
    </row>
    <row r="3536" hidden="1">
      <c r="A3536" s="21"/>
      <c r="B3536" s="21" t="s">
        <v>4391</v>
      </c>
      <c r="D3536" s="25">
        <v>0.0</v>
      </c>
      <c r="E3536" s="27"/>
      <c r="F3536" s="25">
        <v>0.0</v>
      </c>
      <c r="G3536" s="27"/>
    </row>
    <row r="3537" hidden="1">
      <c r="A3537" s="21"/>
      <c r="B3537" s="21" t="s">
        <v>4392</v>
      </c>
      <c r="D3537" s="25">
        <v>0.0</v>
      </c>
      <c r="E3537" s="27"/>
      <c r="F3537" s="25">
        <v>0.0</v>
      </c>
      <c r="G3537" s="27"/>
    </row>
    <row r="3538" hidden="1">
      <c r="A3538" s="21"/>
      <c r="B3538" s="21" t="s">
        <v>4393</v>
      </c>
      <c r="D3538" s="25">
        <v>0.0</v>
      </c>
      <c r="E3538" s="27"/>
      <c r="F3538" s="25">
        <v>0.0</v>
      </c>
      <c r="G3538" s="27"/>
    </row>
    <row r="3539" hidden="1">
      <c r="A3539" s="21"/>
      <c r="B3539" s="21" t="s">
        <v>4394</v>
      </c>
      <c r="D3539" s="25">
        <v>0.0</v>
      </c>
      <c r="E3539" s="27"/>
      <c r="F3539" s="25">
        <v>0.0</v>
      </c>
      <c r="G3539" s="27"/>
    </row>
    <row r="3540" hidden="1">
      <c r="A3540" s="21"/>
      <c r="B3540" s="21" t="s">
        <v>4395</v>
      </c>
      <c r="D3540" s="25">
        <v>0.0</v>
      </c>
      <c r="E3540" s="27"/>
      <c r="F3540" s="25">
        <v>0.0</v>
      </c>
      <c r="G3540" s="27"/>
    </row>
    <row r="3541" hidden="1">
      <c r="A3541" s="21"/>
      <c r="B3541" s="21" t="s">
        <v>4396</v>
      </c>
      <c r="D3541" s="25">
        <v>0.0</v>
      </c>
      <c r="E3541" s="27"/>
      <c r="F3541" s="25">
        <v>0.0</v>
      </c>
      <c r="G3541" s="27"/>
    </row>
    <row r="3542" hidden="1">
      <c r="A3542" s="21"/>
      <c r="B3542" s="21" t="s">
        <v>4397</v>
      </c>
      <c r="D3542" s="25">
        <v>0.0</v>
      </c>
      <c r="E3542" s="27"/>
      <c r="F3542" s="25">
        <v>0.0</v>
      </c>
      <c r="G3542" s="27"/>
    </row>
    <row r="3543" hidden="1">
      <c r="A3543" s="21"/>
      <c r="B3543" s="21" t="s">
        <v>4398</v>
      </c>
      <c r="D3543" s="25">
        <v>0.0</v>
      </c>
      <c r="E3543" s="27"/>
      <c r="F3543" s="25">
        <v>0.0</v>
      </c>
      <c r="G3543" s="27"/>
    </row>
    <row r="3544" hidden="1">
      <c r="A3544" s="21"/>
      <c r="B3544" s="21" t="s">
        <v>4399</v>
      </c>
      <c r="D3544" s="25">
        <v>0.0</v>
      </c>
      <c r="E3544" s="27"/>
      <c r="F3544" s="25">
        <v>0.0</v>
      </c>
      <c r="G3544" s="27"/>
    </row>
    <row r="3545" hidden="1">
      <c r="A3545" s="21"/>
      <c r="B3545" s="21" t="s">
        <v>4400</v>
      </c>
      <c r="D3545" s="25">
        <v>0.0</v>
      </c>
      <c r="E3545" s="27"/>
      <c r="F3545" s="25">
        <v>0.0</v>
      </c>
      <c r="G3545" s="27"/>
    </row>
    <row r="3546" hidden="1">
      <c r="A3546" s="21"/>
      <c r="B3546" s="21" t="s">
        <v>4401</v>
      </c>
      <c r="D3546" s="25">
        <v>0.0</v>
      </c>
      <c r="E3546" s="27"/>
      <c r="F3546" s="25">
        <v>0.0</v>
      </c>
      <c r="G3546" s="27"/>
    </row>
    <row r="3547" hidden="1">
      <c r="A3547" s="21"/>
      <c r="B3547" s="21" t="s">
        <v>4402</v>
      </c>
      <c r="D3547" s="25">
        <v>0.0</v>
      </c>
      <c r="E3547" s="27"/>
      <c r="F3547" s="25">
        <v>0.0</v>
      </c>
      <c r="G3547" s="27"/>
    </row>
    <row r="3548" hidden="1">
      <c r="A3548" s="21"/>
      <c r="B3548" s="21" t="s">
        <v>4403</v>
      </c>
      <c r="D3548" s="25">
        <v>0.0</v>
      </c>
      <c r="E3548" s="27"/>
      <c r="F3548" s="25">
        <v>0.0</v>
      </c>
      <c r="G3548" s="27"/>
    </row>
    <row r="3549" hidden="1">
      <c r="A3549" s="21"/>
      <c r="B3549" s="21" t="s">
        <v>4404</v>
      </c>
      <c r="D3549" s="25">
        <v>0.0</v>
      </c>
      <c r="E3549" s="27"/>
      <c r="F3549" s="25">
        <v>0.0</v>
      </c>
      <c r="G3549" s="27"/>
    </row>
    <row r="3550" hidden="1">
      <c r="A3550" s="21"/>
      <c r="B3550" s="21" t="s">
        <v>4405</v>
      </c>
      <c r="D3550" s="25">
        <v>0.0</v>
      </c>
      <c r="E3550" s="27"/>
      <c r="F3550" s="25">
        <v>0.0</v>
      </c>
      <c r="G3550" s="27"/>
    </row>
    <row r="3551" hidden="1">
      <c r="A3551" s="21"/>
      <c r="B3551" s="21" t="s">
        <v>4406</v>
      </c>
      <c r="D3551" s="25">
        <v>0.0</v>
      </c>
      <c r="E3551" s="27"/>
      <c r="F3551" s="25">
        <v>0.0</v>
      </c>
      <c r="G3551" s="27"/>
    </row>
    <row r="3552" hidden="1">
      <c r="A3552" s="21"/>
      <c r="B3552" s="21" t="s">
        <v>4407</v>
      </c>
      <c r="D3552" s="25">
        <v>0.0</v>
      </c>
      <c r="E3552" s="27"/>
      <c r="F3552" s="25">
        <v>0.0</v>
      </c>
      <c r="G3552" s="27"/>
    </row>
    <row r="3553" hidden="1">
      <c r="A3553" s="21"/>
      <c r="B3553" s="21" t="s">
        <v>4408</v>
      </c>
      <c r="D3553" s="25">
        <v>0.0</v>
      </c>
      <c r="E3553" s="27"/>
      <c r="F3553" s="25">
        <v>0.0</v>
      </c>
      <c r="G3553" s="27"/>
    </row>
    <row r="3554" hidden="1">
      <c r="A3554" s="21"/>
      <c r="B3554" s="21" t="s">
        <v>4409</v>
      </c>
      <c r="D3554" s="25">
        <v>0.0</v>
      </c>
      <c r="E3554" s="27"/>
      <c r="F3554" s="25">
        <v>0.0</v>
      </c>
      <c r="G3554" s="27"/>
    </row>
    <row r="3555" hidden="1">
      <c r="A3555" s="21"/>
      <c r="B3555" s="21" t="s">
        <v>4410</v>
      </c>
      <c r="D3555" s="25">
        <v>0.0</v>
      </c>
      <c r="E3555" s="27"/>
      <c r="F3555" s="25">
        <v>0.0</v>
      </c>
      <c r="G3555" s="27"/>
    </row>
    <row r="3556" hidden="1">
      <c r="A3556" s="21"/>
      <c r="B3556" s="21" t="s">
        <v>4411</v>
      </c>
      <c r="D3556" s="25">
        <v>0.0</v>
      </c>
      <c r="E3556" s="27"/>
      <c r="F3556" s="25">
        <v>0.0</v>
      </c>
      <c r="G3556" s="27"/>
    </row>
    <row r="3557" hidden="1">
      <c r="A3557" s="21"/>
      <c r="B3557" s="21" t="s">
        <v>4412</v>
      </c>
      <c r="D3557" s="25">
        <v>0.0</v>
      </c>
      <c r="E3557" s="27"/>
      <c r="F3557" s="25">
        <v>0.0</v>
      </c>
      <c r="G3557" s="27"/>
    </row>
    <row r="3558" hidden="1">
      <c r="A3558" s="21"/>
      <c r="B3558" s="21" t="s">
        <v>4413</v>
      </c>
      <c r="D3558" s="25">
        <v>0.0</v>
      </c>
      <c r="E3558" s="27"/>
      <c r="F3558" s="25">
        <v>0.0</v>
      </c>
      <c r="G3558" s="27"/>
    </row>
    <row r="3559" hidden="1">
      <c r="A3559" s="21"/>
      <c r="B3559" s="21" t="s">
        <v>4414</v>
      </c>
      <c r="D3559" s="25">
        <v>0.0</v>
      </c>
      <c r="E3559" s="27"/>
      <c r="F3559" s="25">
        <v>0.0</v>
      </c>
      <c r="G3559" s="27"/>
    </row>
    <row r="3560" hidden="1">
      <c r="A3560" s="21"/>
      <c r="B3560" s="21" t="s">
        <v>4415</v>
      </c>
      <c r="D3560" s="25">
        <v>0.0</v>
      </c>
      <c r="E3560" s="27"/>
      <c r="F3560" s="25">
        <v>0.0</v>
      </c>
      <c r="G3560" s="27"/>
    </row>
    <row r="3561" hidden="1">
      <c r="A3561" s="21"/>
      <c r="B3561" s="21" t="s">
        <v>4416</v>
      </c>
      <c r="D3561" s="25">
        <v>0.0</v>
      </c>
      <c r="E3561" s="27"/>
      <c r="F3561" s="25">
        <v>0.0</v>
      </c>
      <c r="G3561" s="27"/>
    </row>
    <row r="3562" hidden="1">
      <c r="A3562" s="21"/>
      <c r="B3562" s="21" t="s">
        <v>4417</v>
      </c>
      <c r="D3562" s="25">
        <v>0.0</v>
      </c>
      <c r="E3562" s="27"/>
      <c r="F3562" s="25">
        <v>0.0</v>
      </c>
      <c r="G3562" s="27"/>
    </row>
    <row r="3563" hidden="1">
      <c r="A3563" s="21"/>
      <c r="B3563" s="21" t="s">
        <v>4418</v>
      </c>
      <c r="D3563" s="25">
        <v>0.0</v>
      </c>
      <c r="E3563" s="27"/>
      <c r="F3563" s="25">
        <v>0.0</v>
      </c>
      <c r="G3563" s="27"/>
    </row>
    <row r="3564" hidden="1">
      <c r="A3564" s="21"/>
      <c r="B3564" s="21" t="s">
        <v>4419</v>
      </c>
      <c r="D3564" s="25">
        <v>0.0</v>
      </c>
      <c r="E3564" s="27"/>
      <c r="F3564" s="25">
        <v>0.0</v>
      </c>
      <c r="G3564" s="27"/>
    </row>
    <row r="3565" hidden="1">
      <c r="A3565" s="21"/>
      <c r="B3565" s="21" t="s">
        <v>4420</v>
      </c>
      <c r="D3565" s="25">
        <v>0.0</v>
      </c>
      <c r="E3565" s="27"/>
      <c r="F3565" s="25">
        <v>0.0</v>
      </c>
      <c r="G3565" s="27"/>
    </row>
    <row r="3566" hidden="1">
      <c r="A3566" s="21"/>
      <c r="B3566" s="21" t="s">
        <v>4421</v>
      </c>
      <c r="D3566" s="25">
        <v>0.0</v>
      </c>
      <c r="E3566" s="27"/>
      <c r="F3566" s="25">
        <v>0.0</v>
      </c>
      <c r="G3566" s="27"/>
    </row>
    <row r="3567" hidden="1">
      <c r="A3567" s="21"/>
      <c r="B3567" s="21" t="s">
        <v>4422</v>
      </c>
      <c r="D3567" s="25">
        <v>0.0</v>
      </c>
      <c r="E3567" s="27"/>
      <c r="F3567" s="25">
        <v>0.0</v>
      </c>
      <c r="G3567" s="27"/>
    </row>
    <row r="3568" hidden="1">
      <c r="A3568" s="21"/>
      <c r="B3568" s="21" t="s">
        <v>4423</v>
      </c>
      <c r="D3568" s="25">
        <v>0.0</v>
      </c>
      <c r="E3568" s="27"/>
      <c r="F3568" s="25">
        <v>0.0</v>
      </c>
      <c r="G3568" s="27"/>
    </row>
    <row r="3569" hidden="1">
      <c r="A3569" s="21"/>
      <c r="B3569" s="21" t="s">
        <v>4424</v>
      </c>
      <c r="D3569" s="25">
        <v>0.0</v>
      </c>
      <c r="E3569" s="27"/>
      <c r="F3569" s="25">
        <v>0.0</v>
      </c>
      <c r="G3569" s="27"/>
    </row>
    <row r="3570" hidden="1">
      <c r="A3570" s="21"/>
      <c r="B3570" s="21" t="s">
        <v>4425</v>
      </c>
      <c r="D3570" s="25">
        <v>0.0</v>
      </c>
      <c r="E3570" s="27"/>
      <c r="F3570" s="25">
        <v>0.0</v>
      </c>
      <c r="G3570" s="27"/>
    </row>
    <row r="3571" hidden="1">
      <c r="A3571" s="21"/>
      <c r="B3571" s="21" t="s">
        <v>4426</v>
      </c>
      <c r="D3571" s="25">
        <v>0.0</v>
      </c>
      <c r="E3571" s="27"/>
      <c r="F3571" s="25">
        <v>0.0</v>
      </c>
      <c r="G3571" s="27"/>
    </row>
    <row r="3572" hidden="1">
      <c r="A3572" s="21"/>
      <c r="B3572" s="21" t="s">
        <v>4427</v>
      </c>
      <c r="D3572" s="25">
        <v>0.0</v>
      </c>
      <c r="E3572" s="27"/>
      <c r="F3572" s="25">
        <v>0.0</v>
      </c>
      <c r="G3572" s="27"/>
    </row>
    <row r="3573" hidden="1">
      <c r="A3573" s="21"/>
      <c r="B3573" s="21" t="s">
        <v>4428</v>
      </c>
      <c r="D3573" s="25">
        <v>0.0</v>
      </c>
      <c r="E3573" s="27"/>
      <c r="F3573" s="25">
        <v>0.0</v>
      </c>
      <c r="G3573" s="27"/>
    </row>
    <row r="3574" hidden="1">
      <c r="A3574" s="21"/>
      <c r="B3574" s="21" t="s">
        <v>4429</v>
      </c>
      <c r="D3574" s="25">
        <v>0.0</v>
      </c>
      <c r="E3574" s="27"/>
      <c r="F3574" s="25">
        <v>0.0</v>
      </c>
      <c r="G3574" s="27"/>
    </row>
    <row r="3575" hidden="1">
      <c r="A3575" s="21"/>
      <c r="B3575" s="21" t="s">
        <v>4430</v>
      </c>
      <c r="D3575" s="25">
        <v>0.0</v>
      </c>
      <c r="E3575" s="27"/>
      <c r="F3575" s="25">
        <v>0.0</v>
      </c>
      <c r="G3575" s="27"/>
    </row>
    <row r="3576" hidden="1">
      <c r="A3576" s="21"/>
      <c r="B3576" s="21" t="s">
        <v>4431</v>
      </c>
      <c r="D3576" s="25">
        <v>0.0</v>
      </c>
      <c r="E3576" s="27"/>
      <c r="F3576" s="25">
        <v>0.0</v>
      </c>
      <c r="G3576" s="27"/>
    </row>
    <row r="3577" hidden="1">
      <c r="A3577" s="21"/>
      <c r="B3577" s="21" t="s">
        <v>4432</v>
      </c>
      <c r="D3577" s="25">
        <v>0.0</v>
      </c>
      <c r="E3577" s="27"/>
      <c r="F3577" s="25">
        <v>0.0</v>
      </c>
      <c r="G3577" s="27"/>
    </row>
    <row r="3578" hidden="1">
      <c r="A3578" s="21"/>
      <c r="B3578" s="21" t="s">
        <v>4433</v>
      </c>
      <c r="D3578" s="25">
        <v>0.0</v>
      </c>
      <c r="E3578" s="27"/>
      <c r="F3578" s="25">
        <v>0.0</v>
      </c>
      <c r="G3578" s="27"/>
    </row>
    <row r="3579" hidden="1">
      <c r="A3579" s="21"/>
      <c r="B3579" s="21" t="s">
        <v>4434</v>
      </c>
      <c r="D3579" s="25">
        <v>0.0</v>
      </c>
      <c r="E3579" s="27"/>
      <c r="F3579" s="25">
        <v>0.0</v>
      </c>
      <c r="G3579" s="27"/>
    </row>
    <row r="3580" hidden="1">
      <c r="A3580" s="21"/>
      <c r="B3580" s="21" t="s">
        <v>4435</v>
      </c>
      <c r="D3580" s="25">
        <v>0.0</v>
      </c>
      <c r="E3580" s="27"/>
      <c r="F3580" s="25">
        <v>0.0</v>
      </c>
      <c r="G3580" s="27"/>
    </row>
    <row r="3581" hidden="1">
      <c r="A3581" s="21"/>
      <c r="B3581" s="21" t="s">
        <v>4436</v>
      </c>
      <c r="D3581" s="25">
        <v>0.0</v>
      </c>
      <c r="E3581" s="27"/>
      <c r="F3581" s="25">
        <v>0.0</v>
      </c>
      <c r="G3581" s="27"/>
    </row>
    <row r="3582" hidden="1">
      <c r="A3582" s="21"/>
      <c r="B3582" s="21" t="s">
        <v>4437</v>
      </c>
      <c r="D3582" s="25">
        <v>0.0</v>
      </c>
      <c r="E3582" s="27"/>
      <c r="F3582" s="25">
        <v>0.0</v>
      </c>
      <c r="G3582" s="27"/>
    </row>
    <row r="3583" hidden="1">
      <c r="A3583" s="21"/>
      <c r="B3583" s="21" t="s">
        <v>4438</v>
      </c>
      <c r="D3583" s="25">
        <v>0.0</v>
      </c>
      <c r="E3583" s="27"/>
      <c r="F3583" s="25">
        <v>0.0</v>
      </c>
      <c r="G3583" s="27"/>
    </row>
    <row r="3584" hidden="1">
      <c r="A3584" s="21"/>
      <c r="B3584" s="21" t="s">
        <v>4439</v>
      </c>
      <c r="D3584" s="25">
        <v>0.0</v>
      </c>
      <c r="E3584" s="27"/>
      <c r="F3584" s="25">
        <v>0.0</v>
      </c>
      <c r="G3584" s="27"/>
    </row>
    <row r="3585" hidden="1">
      <c r="A3585" s="21"/>
      <c r="B3585" s="21" t="s">
        <v>4440</v>
      </c>
      <c r="D3585" s="25">
        <v>0.0</v>
      </c>
      <c r="E3585" s="27"/>
      <c r="F3585" s="25">
        <v>0.0</v>
      </c>
      <c r="G3585" s="27"/>
    </row>
    <row r="3586" hidden="1">
      <c r="A3586" s="21"/>
      <c r="B3586" s="21" t="s">
        <v>4441</v>
      </c>
      <c r="D3586" s="25">
        <v>0.0</v>
      </c>
      <c r="E3586" s="27"/>
      <c r="F3586" s="25">
        <v>0.0</v>
      </c>
      <c r="G3586" s="27"/>
    </row>
    <row r="3587" hidden="1">
      <c r="A3587" s="21"/>
      <c r="B3587" s="21" t="s">
        <v>4442</v>
      </c>
      <c r="D3587" s="25">
        <v>0.0</v>
      </c>
      <c r="E3587" s="27"/>
      <c r="F3587" s="25">
        <v>0.0</v>
      </c>
      <c r="G3587" s="27"/>
    </row>
    <row r="3588" hidden="1">
      <c r="A3588" s="21"/>
      <c r="B3588" s="21" t="s">
        <v>4443</v>
      </c>
      <c r="D3588" s="25">
        <v>0.0</v>
      </c>
      <c r="E3588" s="27"/>
      <c r="F3588" s="25">
        <v>0.0</v>
      </c>
      <c r="G3588" s="27"/>
    </row>
    <row r="3589" hidden="1">
      <c r="A3589" s="21"/>
      <c r="B3589" s="21" t="s">
        <v>4444</v>
      </c>
      <c r="D3589" s="25">
        <v>0.0</v>
      </c>
      <c r="E3589" s="27"/>
      <c r="F3589" s="25">
        <v>0.0</v>
      </c>
      <c r="G3589" s="27"/>
    </row>
    <row r="3590" hidden="1">
      <c r="A3590" s="21"/>
      <c r="B3590" s="21" t="s">
        <v>4445</v>
      </c>
      <c r="D3590" s="25">
        <v>0.0</v>
      </c>
      <c r="E3590" s="27"/>
      <c r="F3590" s="25">
        <v>0.0</v>
      </c>
      <c r="G3590" s="27"/>
    </row>
    <row r="3591" hidden="1">
      <c r="A3591" s="21"/>
      <c r="B3591" s="21" t="s">
        <v>4446</v>
      </c>
      <c r="D3591" s="25">
        <v>0.0</v>
      </c>
      <c r="E3591" s="27"/>
      <c r="F3591" s="25">
        <v>0.0</v>
      </c>
      <c r="G3591" s="27"/>
    </row>
    <row r="3592" hidden="1">
      <c r="A3592" s="21"/>
      <c r="B3592" s="21" t="s">
        <v>4447</v>
      </c>
      <c r="D3592" s="25">
        <v>0.0</v>
      </c>
      <c r="E3592" s="27"/>
      <c r="F3592" s="25">
        <v>0.0</v>
      </c>
      <c r="G3592" s="27"/>
    </row>
    <row r="3593" hidden="1">
      <c r="A3593" s="21"/>
      <c r="B3593" s="21" t="s">
        <v>4448</v>
      </c>
      <c r="D3593" s="25">
        <v>0.0</v>
      </c>
      <c r="E3593" s="27"/>
      <c r="F3593" s="25">
        <v>0.0</v>
      </c>
      <c r="G3593" s="27"/>
    </row>
    <row r="3594" hidden="1">
      <c r="A3594" s="21"/>
      <c r="B3594" s="21" t="s">
        <v>4449</v>
      </c>
      <c r="D3594" s="25">
        <v>0.0</v>
      </c>
      <c r="E3594" s="27"/>
      <c r="F3594" s="25">
        <v>0.0</v>
      </c>
      <c r="G3594" s="27"/>
    </row>
    <row r="3595" hidden="1">
      <c r="A3595" s="21"/>
      <c r="B3595" s="21" t="s">
        <v>4450</v>
      </c>
      <c r="D3595" s="25">
        <v>0.0</v>
      </c>
      <c r="E3595" s="27"/>
      <c r="F3595" s="25">
        <v>0.0</v>
      </c>
      <c r="G3595" s="27"/>
    </row>
    <row r="3596" hidden="1">
      <c r="A3596" s="21"/>
      <c r="B3596" s="21" t="s">
        <v>4451</v>
      </c>
      <c r="D3596" s="25">
        <v>0.0</v>
      </c>
      <c r="E3596" s="27"/>
      <c r="F3596" s="25">
        <v>0.0</v>
      </c>
      <c r="G3596" s="27"/>
    </row>
    <row r="3597" hidden="1">
      <c r="A3597" s="21"/>
      <c r="B3597" s="21" t="s">
        <v>4452</v>
      </c>
      <c r="D3597" s="25">
        <v>0.0</v>
      </c>
      <c r="E3597" s="27"/>
      <c r="F3597" s="25">
        <v>0.0</v>
      </c>
      <c r="G3597" s="27"/>
    </row>
    <row r="3598" hidden="1">
      <c r="A3598" s="21"/>
      <c r="B3598" s="21" t="s">
        <v>4453</v>
      </c>
      <c r="D3598" s="25">
        <v>0.0</v>
      </c>
      <c r="E3598" s="27"/>
      <c r="F3598" s="25">
        <v>0.0</v>
      </c>
      <c r="G3598" s="27"/>
    </row>
    <row r="3599" hidden="1">
      <c r="A3599" s="21"/>
      <c r="B3599" s="21" t="s">
        <v>4454</v>
      </c>
      <c r="D3599" s="25">
        <v>0.0</v>
      </c>
      <c r="E3599" s="27"/>
      <c r="F3599" s="25">
        <v>0.0</v>
      </c>
      <c r="G3599" s="27"/>
    </row>
    <row r="3600" hidden="1">
      <c r="A3600" s="21"/>
      <c r="B3600" s="21" t="s">
        <v>4455</v>
      </c>
      <c r="D3600" s="25">
        <v>0.0</v>
      </c>
      <c r="E3600" s="27"/>
      <c r="F3600" s="25">
        <v>0.0</v>
      </c>
      <c r="G3600" s="27"/>
    </row>
    <row r="3601" hidden="1">
      <c r="A3601" s="21"/>
      <c r="B3601" s="21" t="s">
        <v>4456</v>
      </c>
      <c r="D3601" s="25">
        <v>0.0</v>
      </c>
      <c r="E3601" s="27"/>
      <c r="F3601" s="25">
        <v>0.0</v>
      </c>
      <c r="G3601" s="27"/>
    </row>
    <row r="3602" hidden="1">
      <c r="A3602" s="21"/>
      <c r="B3602" s="21" t="s">
        <v>4457</v>
      </c>
      <c r="D3602" s="25">
        <v>0.0</v>
      </c>
      <c r="E3602" s="27"/>
      <c r="F3602" s="25">
        <v>0.0</v>
      </c>
      <c r="G3602" s="27"/>
    </row>
    <row r="3603" hidden="1">
      <c r="A3603" s="21"/>
      <c r="B3603" s="21" t="s">
        <v>4458</v>
      </c>
      <c r="D3603" s="25">
        <v>0.0</v>
      </c>
      <c r="E3603" s="27"/>
      <c r="F3603" s="25">
        <v>0.0</v>
      </c>
      <c r="G3603" s="27"/>
    </row>
    <row r="3604" hidden="1">
      <c r="A3604" s="21"/>
      <c r="B3604" s="21" t="s">
        <v>4459</v>
      </c>
      <c r="D3604" s="25">
        <v>0.0</v>
      </c>
      <c r="E3604" s="27"/>
      <c r="F3604" s="25">
        <v>0.0</v>
      </c>
      <c r="G3604" s="27"/>
    </row>
    <row r="3605" hidden="1">
      <c r="A3605" s="21"/>
      <c r="B3605" s="21" t="s">
        <v>4460</v>
      </c>
      <c r="D3605" s="25">
        <v>0.0</v>
      </c>
      <c r="E3605" s="27"/>
      <c r="F3605" s="25">
        <v>0.0</v>
      </c>
      <c r="G3605" s="27"/>
    </row>
    <row r="3606" hidden="1">
      <c r="A3606" s="21"/>
      <c r="B3606" s="21" t="s">
        <v>4461</v>
      </c>
      <c r="D3606" s="25">
        <v>0.0</v>
      </c>
      <c r="E3606" s="27"/>
      <c r="F3606" s="25">
        <v>0.0</v>
      </c>
      <c r="G3606" s="27"/>
    </row>
    <row r="3607" hidden="1">
      <c r="A3607" s="21"/>
      <c r="B3607" s="21" t="s">
        <v>4462</v>
      </c>
      <c r="D3607" s="25">
        <v>0.0</v>
      </c>
      <c r="E3607" s="27"/>
      <c r="F3607" s="25">
        <v>0.0</v>
      </c>
      <c r="G3607" s="27"/>
    </row>
    <row r="3608" hidden="1">
      <c r="A3608" s="21"/>
      <c r="B3608" s="21" t="s">
        <v>4463</v>
      </c>
      <c r="D3608" s="25">
        <v>0.0</v>
      </c>
      <c r="E3608" s="27"/>
      <c r="F3608" s="25">
        <v>0.0</v>
      </c>
      <c r="G3608" s="27"/>
    </row>
    <row r="3609" hidden="1">
      <c r="A3609" s="21"/>
      <c r="B3609" s="21" t="s">
        <v>4464</v>
      </c>
      <c r="D3609" s="25">
        <v>0.0</v>
      </c>
      <c r="E3609" s="27"/>
      <c r="F3609" s="25">
        <v>0.0</v>
      </c>
      <c r="G3609" s="27"/>
    </row>
    <row r="3610" hidden="1">
      <c r="A3610" s="21"/>
      <c r="B3610" s="21" t="s">
        <v>4465</v>
      </c>
      <c r="D3610" s="25">
        <v>0.0</v>
      </c>
      <c r="E3610" s="27"/>
      <c r="F3610" s="25">
        <v>0.0</v>
      </c>
      <c r="G3610" s="27"/>
    </row>
    <row r="3611" hidden="1">
      <c r="A3611" s="21"/>
      <c r="B3611" s="21" t="s">
        <v>4466</v>
      </c>
      <c r="D3611" s="25">
        <v>0.0</v>
      </c>
      <c r="E3611" s="27"/>
      <c r="F3611" s="25">
        <v>0.0</v>
      </c>
      <c r="G3611" s="27"/>
    </row>
    <row r="3612" hidden="1">
      <c r="A3612" s="21"/>
      <c r="B3612" s="21" t="s">
        <v>4467</v>
      </c>
      <c r="D3612" s="25">
        <v>0.0</v>
      </c>
      <c r="E3612" s="27"/>
      <c r="F3612" s="25">
        <v>0.0</v>
      </c>
      <c r="G3612" s="27"/>
    </row>
    <row r="3613" hidden="1">
      <c r="A3613" s="21"/>
      <c r="B3613" s="21" t="s">
        <v>4468</v>
      </c>
      <c r="D3613" s="25">
        <v>0.0</v>
      </c>
      <c r="E3613" s="27"/>
      <c r="F3613" s="25">
        <v>0.0</v>
      </c>
      <c r="G3613" s="27"/>
    </row>
    <row r="3614" hidden="1">
      <c r="A3614" s="21"/>
      <c r="B3614" s="21" t="s">
        <v>4469</v>
      </c>
      <c r="D3614" s="25">
        <v>0.0</v>
      </c>
      <c r="E3614" s="27"/>
      <c r="F3614" s="25">
        <v>0.0</v>
      </c>
      <c r="G3614" s="27"/>
    </row>
    <row r="3615" hidden="1">
      <c r="A3615" s="21"/>
      <c r="B3615" s="21" t="s">
        <v>4470</v>
      </c>
      <c r="D3615" s="25">
        <v>0.0</v>
      </c>
      <c r="E3615" s="27"/>
      <c r="F3615" s="25">
        <v>0.0</v>
      </c>
      <c r="G3615" s="27"/>
    </row>
    <row r="3616" hidden="1">
      <c r="A3616" s="21"/>
      <c r="B3616" s="21" t="s">
        <v>4471</v>
      </c>
      <c r="D3616" s="25">
        <v>0.0</v>
      </c>
      <c r="E3616" s="27"/>
      <c r="F3616" s="25">
        <v>0.0</v>
      </c>
      <c r="G3616" s="27"/>
    </row>
    <row r="3617" hidden="1">
      <c r="A3617" s="21"/>
      <c r="B3617" s="21" t="s">
        <v>4472</v>
      </c>
      <c r="D3617" s="25">
        <v>0.0</v>
      </c>
      <c r="E3617" s="27"/>
      <c r="F3617" s="25">
        <v>0.0</v>
      </c>
      <c r="G3617" s="27"/>
    </row>
    <row r="3618" hidden="1">
      <c r="A3618" s="21"/>
      <c r="B3618" s="21" t="s">
        <v>4473</v>
      </c>
      <c r="D3618" s="25">
        <v>0.0</v>
      </c>
      <c r="E3618" s="27"/>
      <c r="F3618" s="25">
        <v>0.0</v>
      </c>
      <c r="G3618" s="27"/>
    </row>
    <row r="3619" hidden="1">
      <c r="A3619" s="21"/>
      <c r="B3619" s="21" t="s">
        <v>4474</v>
      </c>
      <c r="D3619" s="25">
        <v>0.0</v>
      </c>
      <c r="E3619" s="27"/>
      <c r="F3619" s="25">
        <v>0.0</v>
      </c>
      <c r="G3619" s="27"/>
    </row>
    <row r="3620" hidden="1">
      <c r="A3620" s="21"/>
      <c r="B3620" s="21" t="s">
        <v>4475</v>
      </c>
      <c r="D3620" s="25">
        <v>0.0</v>
      </c>
      <c r="E3620" s="27"/>
      <c r="F3620" s="25">
        <v>0.0</v>
      </c>
      <c r="G3620" s="27"/>
    </row>
    <row r="3621" hidden="1">
      <c r="A3621" s="21"/>
      <c r="B3621" s="21" t="s">
        <v>4476</v>
      </c>
      <c r="D3621" s="25">
        <v>0.0</v>
      </c>
      <c r="E3621" s="27"/>
      <c r="F3621" s="25">
        <v>0.0</v>
      </c>
      <c r="G3621" s="27"/>
    </row>
    <row r="3622" hidden="1">
      <c r="A3622" s="21"/>
      <c r="B3622" s="21" t="s">
        <v>4477</v>
      </c>
      <c r="D3622" s="25">
        <v>0.0</v>
      </c>
      <c r="E3622" s="27"/>
      <c r="F3622" s="25">
        <v>0.0</v>
      </c>
      <c r="G3622" s="27"/>
    </row>
    <row r="3623" hidden="1">
      <c r="A3623" s="21"/>
      <c r="B3623" s="21" t="s">
        <v>4478</v>
      </c>
      <c r="D3623" s="25">
        <v>0.0</v>
      </c>
      <c r="E3623" s="27"/>
      <c r="F3623" s="25">
        <v>0.0</v>
      </c>
      <c r="G3623" s="27"/>
    </row>
    <row r="3624" hidden="1">
      <c r="A3624" s="21"/>
      <c r="B3624" s="21" t="s">
        <v>4479</v>
      </c>
      <c r="D3624" s="25">
        <v>0.0</v>
      </c>
      <c r="E3624" s="27"/>
      <c r="F3624" s="25">
        <v>0.0</v>
      </c>
      <c r="G3624" s="27"/>
    </row>
    <row r="3625" hidden="1">
      <c r="A3625" s="21"/>
      <c r="B3625" s="21" t="s">
        <v>4480</v>
      </c>
      <c r="D3625" s="25">
        <v>0.0</v>
      </c>
      <c r="E3625" s="27"/>
      <c r="F3625" s="25">
        <v>0.0</v>
      </c>
      <c r="G3625" s="27"/>
    </row>
    <row r="3626" hidden="1">
      <c r="A3626" s="21"/>
      <c r="B3626" s="21" t="s">
        <v>4481</v>
      </c>
      <c r="D3626" s="25">
        <v>0.0</v>
      </c>
      <c r="E3626" s="27"/>
      <c r="F3626" s="25">
        <v>0.0</v>
      </c>
      <c r="G3626" s="27"/>
    </row>
    <row r="3627" hidden="1">
      <c r="A3627" s="21"/>
      <c r="B3627" s="21" t="s">
        <v>4482</v>
      </c>
      <c r="D3627" s="25">
        <v>0.0</v>
      </c>
      <c r="E3627" s="27"/>
      <c r="F3627" s="25">
        <v>0.0</v>
      </c>
      <c r="G3627" s="27"/>
    </row>
    <row r="3628" hidden="1">
      <c r="A3628" s="21"/>
      <c r="B3628" s="21" t="s">
        <v>4483</v>
      </c>
      <c r="D3628" s="25">
        <v>0.0</v>
      </c>
      <c r="E3628" s="27"/>
      <c r="F3628" s="25">
        <v>0.0</v>
      </c>
      <c r="G3628" s="27"/>
    </row>
    <row r="3629" hidden="1">
      <c r="A3629" s="21"/>
      <c r="B3629" s="21" t="s">
        <v>4484</v>
      </c>
      <c r="D3629" s="25">
        <v>0.0</v>
      </c>
      <c r="E3629" s="27"/>
      <c r="F3629" s="25">
        <v>0.0</v>
      </c>
      <c r="G3629" s="27"/>
    </row>
    <row r="3630" hidden="1">
      <c r="A3630" s="21"/>
      <c r="B3630" s="21" t="s">
        <v>4485</v>
      </c>
      <c r="D3630" s="25">
        <v>0.0</v>
      </c>
      <c r="E3630" s="27"/>
      <c r="F3630" s="25">
        <v>0.0</v>
      </c>
      <c r="G3630" s="27"/>
    </row>
    <row r="3631" hidden="1">
      <c r="A3631" s="21"/>
      <c r="B3631" s="21" t="s">
        <v>4486</v>
      </c>
      <c r="D3631" s="25">
        <v>0.0</v>
      </c>
      <c r="E3631" s="27"/>
      <c r="F3631" s="25">
        <v>0.0</v>
      </c>
      <c r="G3631" s="27"/>
    </row>
    <row r="3632" hidden="1">
      <c r="A3632" s="21"/>
      <c r="B3632" s="21" t="s">
        <v>4487</v>
      </c>
      <c r="D3632" s="25">
        <v>0.0</v>
      </c>
      <c r="E3632" s="27"/>
      <c r="F3632" s="25">
        <v>0.0</v>
      </c>
      <c r="G3632" s="27"/>
    </row>
    <row r="3633" hidden="1">
      <c r="A3633" s="21"/>
      <c r="B3633" s="21" t="s">
        <v>4488</v>
      </c>
      <c r="D3633" s="25">
        <v>0.0</v>
      </c>
      <c r="E3633" s="27"/>
      <c r="F3633" s="25">
        <v>0.0</v>
      </c>
      <c r="G3633" s="27"/>
    </row>
    <row r="3634" hidden="1">
      <c r="A3634" s="21"/>
      <c r="B3634" s="21" t="s">
        <v>4489</v>
      </c>
      <c r="D3634" s="25">
        <v>0.0</v>
      </c>
      <c r="E3634" s="27"/>
      <c r="F3634" s="25">
        <v>0.0</v>
      </c>
      <c r="G3634" s="27"/>
    </row>
    <row r="3635" hidden="1">
      <c r="A3635" s="21"/>
      <c r="B3635" s="21" t="s">
        <v>4490</v>
      </c>
      <c r="D3635" s="25">
        <v>0.0</v>
      </c>
      <c r="E3635" s="27"/>
      <c r="F3635" s="25">
        <v>0.0</v>
      </c>
      <c r="G3635" s="27"/>
    </row>
    <row r="3636" hidden="1">
      <c r="A3636" s="21"/>
      <c r="B3636" s="21" t="s">
        <v>4491</v>
      </c>
      <c r="D3636" s="25">
        <v>0.0</v>
      </c>
      <c r="E3636" s="27"/>
      <c r="F3636" s="25">
        <v>0.0</v>
      </c>
      <c r="G3636" s="27"/>
    </row>
    <row r="3637" hidden="1">
      <c r="A3637" s="21"/>
      <c r="B3637" s="21" t="s">
        <v>4492</v>
      </c>
      <c r="D3637" s="25">
        <v>0.0</v>
      </c>
      <c r="E3637" s="27"/>
      <c r="F3637" s="25">
        <v>0.0</v>
      </c>
      <c r="G3637" s="27"/>
    </row>
    <row r="3638" hidden="1">
      <c r="A3638" s="21"/>
      <c r="B3638" s="21" t="s">
        <v>4493</v>
      </c>
      <c r="D3638" s="25">
        <v>0.0</v>
      </c>
      <c r="E3638" s="27"/>
      <c r="F3638" s="25">
        <v>0.0</v>
      </c>
      <c r="G3638" s="27"/>
    </row>
    <row r="3639" hidden="1">
      <c r="A3639" s="21"/>
      <c r="B3639" s="21" t="s">
        <v>4494</v>
      </c>
      <c r="D3639" s="25">
        <v>0.0</v>
      </c>
      <c r="E3639" s="27"/>
      <c r="F3639" s="25">
        <v>0.0</v>
      </c>
      <c r="G3639" s="27"/>
    </row>
    <row r="3640" hidden="1">
      <c r="A3640" s="21"/>
      <c r="B3640" s="21" t="s">
        <v>4495</v>
      </c>
      <c r="D3640" s="25">
        <v>0.0</v>
      </c>
      <c r="E3640" s="27"/>
      <c r="F3640" s="25">
        <v>0.0</v>
      </c>
      <c r="G3640" s="27"/>
    </row>
    <row r="3641" hidden="1">
      <c r="A3641" s="21"/>
      <c r="B3641" s="21" t="s">
        <v>4496</v>
      </c>
      <c r="D3641" s="25">
        <v>0.0</v>
      </c>
      <c r="E3641" s="27"/>
      <c r="F3641" s="25">
        <v>0.0</v>
      </c>
      <c r="G3641" s="27"/>
    </row>
    <row r="3642" hidden="1">
      <c r="A3642" s="21"/>
      <c r="B3642" s="21" t="s">
        <v>4497</v>
      </c>
      <c r="D3642" s="25">
        <v>0.0</v>
      </c>
      <c r="E3642" s="27"/>
      <c r="F3642" s="25">
        <v>0.0</v>
      </c>
      <c r="G3642" s="27"/>
    </row>
    <row r="3643" hidden="1">
      <c r="A3643" s="21"/>
      <c r="B3643" s="21" t="s">
        <v>4498</v>
      </c>
      <c r="D3643" s="25">
        <v>0.0</v>
      </c>
      <c r="E3643" s="27"/>
      <c r="F3643" s="25">
        <v>0.0</v>
      </c>
      <c r="G3643" s="27"/>
    </row>
    <row r="3644" hidden="1">
      <c r="A3644" s="21"/>
      <c r="B3644" s="21" t="s">
        <v>4499</v>
      </c>
      <c r="D3644" s="25">
        <v>0.0</v>
      </c>
      <c r="E3644" s="27"/>
      <c r="F3644" s="25">
        <v>0.0</v>
      </c>
      <c r="G3644" s="27"/>
    </row>
    <row r="3645" hidden="1">
      <c r="A3645" s="21"/>
      <c r="B3645" s="21" t="s">
        <v>4500</v>
      </c>
      <c r="D3645" s="25">
        <v>0.0</v>
      </c>
      <c r="E3645" s="27"/>
      <c r="F3645" s="25">
        <v>0.0</v>
      </c>
      <c r="G3645" s="27"/>
    </row>
    <row r="3646" hidden="1">
      <c r="A3646" s="21"/>
      <c r="B3646" s="21" t="s">
        <v>4501</v>
      </c>
      <c r="D3646" s="25">
        <v>0.0</v>
      </c>
      <c r="E3646" s="27"/>
      <c r="F3646" s="25">
        <v>0.0</v>
      </c>
      <c r="G3646" s="27"/>
    </row>
    <row r="3647" hidden="1">
      <c r="A3647" s="21"/>
      <c r="B3647" s="21" t="s">
        <v>4502</v>
      </c>
      <c r="D3647" s="25">
        <v>0.0</v>
      </c>
      <c r="E3647" s="27"/>
      <c r="F3647" s="25">
        <v>0.0</v>
      </c>
      <c r="G3647" s="27"/>
    </row>
    <row r="3648" hidden="1">
      <c r="A3648" s="21"/>
      <c r="B3648" s="21" t="s">
        <v>4503</v>
      </c>
      <c r="D3648" s="25">
        <v>0.0</v>
      </c>
      <c r="E3648" s="27"/>
      <c r="F3648" s="25">
        <v>0.0</v>
      </c>
      <c r="G3648" s="27"/>
    </row>
    <row r="3649" hidden="1">
      <c r="A3649" s="21"/>
      <c r="B3649" s="21" t="s">
        <v>4504</v>
      </c>
      <c r="D3649" s="25">
        <v>0.0</v>
      </c>
      <c r="E3649" s="27"/>
      <c r="F3649" s="25">
        <v>0.0</v>
      </c>
      <c r="G3649" s="27"/>
    </row>
    <row r="3650" hidden="1">
      <c r="A3650" s="21"/>
      <c r="B3650" s="21" t="s">
        <v>4505</v>
      </c>
      <c r="D3650" s="25">
        <v>0.0</v>
      </c>
      <c r="E3650" s="27"/>
      <c r="F3650" s="25">
        <v>0.0</v>
      </c>
      <c r="G3650" s="27"/>
    </row>
    <row r="3651" hidden="1">
      <c r="A3651" s="21"/>
      <c r="B3651" s="21" t="s">
        <v>4506</v>
      </c>
      <c r="D3651" s="25">
        <v>0.0</v>
      </c>
      <c r="E3651" s="27"/>
      <c r="F3651" s="25">
        <v>0.0</v>
      </c>
      <c r="G3651" s="27"/>
    </row>
    <row r="3652" hidden="1">
      <c r="A3652" s="21"/>
      <c r="B3652" s="21" t="s">
        <v>4507</v>
      </c>
      <c r="D3652" s="25">
        <v>0.0</v>
      </c>
      <c r="E3652" s="27"/>
      <c r="F3652" s="25">
        <v>0.0</v>
      </c>
      <c r="G3652" s="27"/>
    </row>
    <row r="3653" hidden="1">
      <c r="A3653" s="21"/>
      <c r="B3653" s="21" t="s">
        <v>4508</v>
      </c>
      <c r="D3653" s="25">
        <v>0.0</v>
      </c>
      <c r="E3653" s="27"/>
      <c r="F3653" s="25">
        <v>0.0</v>
      </c>
      <c r="G3653" s="27"/>
    </row>
    <row r="3654" hidden="1">
      <c r="A3654" s="21"/>
      <c r="B3654" s="21" t="s">
        <v>4509</v>
      </c>
      <c r="D3654" s="25">
        <v>0.0</v>
      </c>
      <c r="E3654" s="27"/>
      <c r="F3654" s="25">
        <v>0.0</v>
      </c>
      <c r="G3654" s="27"/>
    </row>
    <row r="3655" hidden="1">
      <c r="A3655" s="21"/>
      <c r="B3655" s="21" t="s">
        <v>4510</v>
      </c>
      <c r="D3655" s="25">
        <v>0.0</v>
      </c>
      <c r="E3655" s="27"/>
      <c r="F3655" s="25">
        <v>0.0</v>
      </c>
      <c r="G3655" s="27"/>
    </row>
    <row r="3656" hidden="1">
      <c r="A3656" s="21"/>
      <c r="B3656" s="21" t="s">
        <v>4511</v>
      </c>
      <c r="D3656" s="25">
        <v>0.0</v>
      </c>
      <c r="E3656" s="27"/>
      <c r="F3656" s="25">
        <v>0.0</v>
      </c>
      <c r="G3656" s="27"/>
    </row>
    <row r="3657" hidden="1">
      <c r="A3657" s="21"/>
      <c r="B3657" s="21" t="s">
        <v>4512</v>
      </c>
      <c r="D3657" s="25">
        <v>0.0</v>
      </c>
      <c r="E3657" s="27"/>
      <c r="F3657" s="25">
        <v>0.0</v>
      </c>
      <c r="G3657" s="27"/>
    </row>
    <row r="3658" hidden="1">
      <c r="A3658" s="21"/>
      <c r="B3658" s="21" t="s">
        <v>4513</v>
      </c>
      <c r="D3658" s="25">
        <v>0.0</v>
      </c>
      <c r="E3658" s="27"/>
      <c r="F3658" s="25">
        <v>0.0</v>
      </c>
      <c r="G3658" s="27"/>
    </row>
    <row r="3659" hidden="1">
      <c r="A3659" s="21"/>
      <c r="B3659" s="21" t="s">
        <v>4514</v>
      </c>
      <c r="D3659" s="25">
        <v>0.0</v>
      </c>
      <c r="E3659" s="27"/>
      <c r="F3659" s="25">
        <v>0.0</v>
      </c>
      <c r="G3659" s="27"/>
    </row>
    <row r="3660" hidden="1">
      <c r="A3660" s="21"/>
      <c r="B3660" s="21" t="s">
        <v>4515</v>
      </c>
      <c r="D3660" s="25">
        <v>0.0</v>
      </c>
      <c r="E3660" s="27"/>
      <c r="F3660" s="25">
        <v>0.0</v>
      </c>
      <c r="G3660" s="27"/>
    </row>
    <row r="3661" hidden="1">
      <c r="A3661" s="21"/>
      <c r="B3661" s="21" t="s">
        <v>4516</v>
      </c>
      <c r="D3661" s="25">
        <v>0.0</v>
      </c>
      <c r="E3661" s="27"/>
      <c r="F3661" s="25">
        <v>0.0</v>
      </c>
      <c r="G3661" s="27"/>
    </row>
    <row r="3662" hidden="1">
      <c r="A3662" s="21"/>
      <c r="B3662" s="21" t="s">
        <v>4517</v>
      </c>
      <c r="D3662" s="25">
        <v>0.0</v>
      </c>
      <c r="E3662" s="27"/>
      <c r="F3662" s="25">
        <v>8.53</v>
      </c>
      <c r="G3662" s="27"/>
    </row>
    <row r="3663" hidden="1">
      <c r="A3663" s="21"/>
      <c r="B3663" s="21" t="s">
        <v>4518</v>
      </c>
      <c r="D3663" s="25">
        <v>0.0</v>
      </c>
      <c r="E3663" s="27"/>
      <c r="F3663" s="25">
        <v>5.45</v>
      </c>
      <c r="G3663" s="27"/>
    </row>
    <row r="3664" hidden="1">
      <c r="A3664" s="21"/>
      <c r="B3664" s="21" t="s">
        <v>4519</v>
      </c>
      <c r="D3664" s="25">
        <v>0.0</v>
      </c>
      <c r="E3664" s="27"/>
      <c r="F3664" s="25">
        <v>0.0</v>
      </c>
      <c r="G3664" s="27"/>
    </row>
    <row r="3665" hidden="1">
      <c r="A3665" s="21"/>
      <c r="B3665" s="21" t="s">
        <v>4520</v>
      </c>
      <c r="D3665" s="25">
        <v>0.0</v>
      </c>
      <c r="E3665" s="27"/>
      <c r="F3665" s="25">
        <v>0.0</v>
      </c>
      <c r="G3665" s="27"/>
    </row>
    <row r="3666" hidden="1">
      <c r="A3666" s="21"/>
      <c r="B3666" s="21" t="s">
        <v>4521</v>
      </c>
      <c r="D3666" s="25">
        <v>0.0</v>
      </c>
      <c r="E3666" s="27"/>
      <c r="F3666" s="25">
        <v>0.0</v>
      </c>
      <c r="G3666" s="27"/>
    </row>
    <row r="3667" hidden="1">
      <c r="A3667" s="21"/>
      <c r="B3667" s="21" t="s">
        <v>4522</v>
      </c>
      <c r="D3667" s="25">
        <v>0.0</v>
      </c>
      <c r="E3667" s="27"/>
      <c r="F3667" s="25">
        <v>0.0</v>
      </c>
      <c r="G3667" s="27"/>
    </row>
    <row r="3668" hidden="1">
      <c r="A3668" s="21"/>
      <c r="B3668" s="21" t="s">
        <v>4523</v>
      </c>
      <c r="D3668" s="25">
        <v>0.0</v>
      </c>
      <c r="E3668" s="27"/>
      <c r="F3668" s="25">
        <v>0.0</v>
      </c>
      <c r="G3668" s="27"/>
    </row>
    <row r="3669" hidden="1">
      <c r="A3669" s="21"/>
      <c r="B3669" s="21" t="s">
        <v>4524</v>
      </c>
      <c r="D3669" s="25">
        <v>0.0</v>
      </c>
      <c r="E3669" s="27"/>
      <c r="F3669" s="25">
        <v>0.0</v>
      </c>
      <c r="G3669" s="27"/>
    </row>
    <row r="3670" hidden="1">
      <c r="A3670" s="21"/>
      <c r="B3670" s="21" t="s">
        <v>4525</v>
      </c>
      <c r="D3670" s="25">
        <v>0.0</v>
      </c>
      <c r="E3670" s="27"/>
      <c r="F3670" s="25">
        <v>0.0</v>
      </c>
      <c r="G3670" s="27"/>
    </row>
    <row r="3671" hidden="1">
      <c r="A3671" s="21"/>
      <c r="B3671" s="21" t="s">
        <v>4526</v>
      </c>
      <c r="D3671" s="25">
        <v>0.0</v>
      </c>
      <c r="E3671" s="27"/>
      <c r="F3671" s="25">
        <v>0.0</v>
      </c>
      <c r="G3671" s="27"/>
    </row>
    <row r="3672" hidden="1">
      <c r="A3672" s="21"/>
      <c r="B3672" s="21" t="s">
        <v>4527</v>
      </c>
      <c r="D3672" s="25">
        <v>0.0</v>
      </c>
      <c r="E3672" s="27"/>
      <c r="F3672" s="25">
        <v>0.0</v>
      </c>
      <c r="G3672" s="27"/>
    </row>
    <row r="3673" hidden="1">
      <c r="A3673" s="21"/>
      <c r="B3673" s="21" t="s">
        <v>4528</v>
      </c>
      <c r="D3673" s="25">
        <v>0.0</v>
      </c>
      <c r="E3673" s="27"/>
      <c r="F3673" s="25">
        <v>0.0</v>
      </c>
      <c r="G3673" s="27"/>
    </row>
    <row r="3674" hidden="1">
      <c r="A3674" s="21"/>
      <c r="B3674" s="21" t="s">
        <v>4529</v>
      </c>
      <c r="D3674" s="25">
        <v>0.0</v>
      </c>
      <c r="E3674" s="27"/>
      <c r="F3674" s="25">
        <v>0.0</v>
      </c>
      <c r="G3674" s="27"/>
    </row>
    <row r="3675" hidden="1">
      <c r="A3675" s="21"/>
      <c r="B3675" s="21" t="s">
        <v>4530</v>
      </c>
      <c r="D3675" s="25">
        <v>0.0</v>
      </c>
      <c r="E3675" s="27"/>
      <c r="F3675" s="25">
        <v>0.0</v>
      </c>
      <c r="G3675" s="27"/>
    </row>
    <row r="3676" hidden="1">
      <c r="A3676" s="21"/>
      <c r="B3676" s="21" t="s">
        <v>4531</v>
      </c>
      <c r="D3676" s="25">
        <v>0.0</v>
      </c>
      <c r="E3676" s="27"/>
      <c r="F3676" s="25">
        <v>0.0</v>
      </c>
      <c r="G3676" s="27"/>
    </row>
    <row r="3677" hidden="1">
      <c r="A3677" s="21"/>
      <c r="B3677" s="21" t="s">
        <v>4532</v>
      </c>
      <c r="D3677" s="25">
        <v>0.0</v>
      </c>
      <c r="E3677" s="27"/>
      <c r="F3677" s="25">
        <v>0.0</v>
      </c>
      <c r="G3677" s="27"/>
    </row>
    <row r="3678" hidden="1">
      <c r="A3678" s="21"/>
      <c r="B3678" s="21" t="s">
        <v>4533</v>
      </c>
      <c r="D3678" s="25">
        <v>0.0</v>
      </c>
      <c r="E3678" s="27"/>
      <c r="F3678" s="25">
        <v>0.0</v>
      </c>
      <c r="G3678" s="27"/>
    </row>
    <row r="3679" hidden="1">
      <c r="A3679" s="21"/>
      <c r="B3679" s="21" t="s">
        <v>4534</v>
      </c>
      <c r="D3679" s="25">
        <v>0.0</v>
      </c>
      <c r="E3679" s="27"/>
      <c r="F3679" s="25">
        <v>0.0</v>
      </c>
      <c r="G3679" s="27"/>
    </row>
    <row r="3680" hidden="1">
      <c r="A3680" s="21"/>
      <c r="B3680" s="21" t="s">
        <v>4535</v>
      </c>
      <c r="D3680" s="25">
        <v>0.0</v>
      </c>
      <c r="E3680" s="27"/>
      <c r="F3680" s="25">
        <v>0.0</v>
      </c>
      <c r="G3680" s="27"/>
    </row>
    <row r="3681" hidden="1">
      <c r="A3681" s="21"/>
      <c r="B3681" s="21" t="s">
        <v>4536</v>
      </c>
      <c r="D3681" s="25">
        <v>0.0</v>
      </c>
      <c r="E3681" s="27"/>
      <c r="F3681" s="25">
        <v>0.0</v>
      </c>
      <c r="G3681" s="27"/>
    </row>
    <row r="3682" hidden="1">
      <c r="A3682" s="21"/>
      <c r="B3682" s="21" t="s">
        <v>4537</v>
      </c>
      <c r="D3682" s="25">
        <v>0.0</v>
      </c>
      <c r="E3682" s="27"/>
      <c r="F3682" s="25">
        <v>0.0</v>
      </c>
      <c r="G3682" s="27"/>
    </row>
    <row r="3683" hidden="1">
      <c r="A3683" s="21"/>
      <c r="B3683" s="21" t="s">
        <v>4538</v>
      </c>
      <c r="D3683" s="25">
        <v>0.0</v>
      </c>
      <c r="E3683" s="27"/>
      <c r="F3683" s="25">
        <v>4.4</v>
      </c>
      <c r="G3683" s="27"/>
    </row>
    <row r="3684" hidden="1">
      <c r="A3684" s="21"/>
      <c r="B3684" s="21" t="s">
        <v>4539</v>
      </c>
      <c r="D3684" s="25">
        <v>0.0</v>
      </c>
      <c r="E3684" s="27"/>
      <c r="F3684" s="25">
        <v>0.0</v>
      </c>
      <c r="G3684" s="27"/>
    </row>
    <row r="3685" hidden="1">
      <c r="A3685" s="21"/>
      <c r="B3685" s="21" t="s">
        <v>4540</v>
      </c>
      <c r="D3685" s="25">
        <v>0.0</v>
      </c>
      <c r="E3685" s="27"/>
      <c r="F3685" s="25">
        <v>0.0</v>
      </c>
      <c r="G3685" s="27"/>
    </row>
    <row r="3686" hidden="1">
      <c r="A3686" s="21"/>
      <c r="B3686" s="21" t="s">
        <v>4541</v>
      </c>
      <c r="D3686" s="25">
        <v>0.0</v>
      </c>
      <c r="E3686" s="27"/>
      <c r="F3686" s="25">
        <v>0.0</v>
      </c>
      <c r="G3686" s="27"/>
    </row>
    <row r="3687" hidden="1">
      <c r="A3687" s="21"/>
      <c r="B3687" s="21" t="s">
        <v>4542</v>
      </c>
      <c r="D3687" s="25">
        <v>0.0</v>
      </c>
      <c r="E3687" s="27"/>
      <c r="F3687" s="25">
        <v>0.0</v>
      </c>
      <c r="G3687" s="27"/>
    </row>
    <row r="3688" hidden="1">
      <c r="A3688" s="21"/>
      <c r="B3688" s="21" t="s">
        <v>4543</v>
      </c>
      <c r="D3688" s="25">
        <v>0.0</v>
      </c>
      <c r="E3688" s="27"/>
      <c r="F3688" s="25">
        <v>0.0</v>
      </c>
      <c r="G3688" s="27"/>
    </row>
    <row r="3689" hidden="1">
      <c r="A3689" s="21"/>
      <c r="B3689" s="21" t="s">
        <v>4544</v>
      </c>
      <c r="D3689" s="25">
        <v>0.0</v>
      </c>
      <c r="E3689" s="27"/>
      <c r="F3689" s="25">
        <v>0.0</v>
      </c>
      <c r="G3689" s="27"/>
    </row>
    <row r="3690" hidden="1">
      <c r="A3690" s="21"/>
      <c r="B3690" s="21" t="s">
        <v>4545</v>
      </c>
      <c r="D3690" s="25">
        <v>0.0</v>
      </c>
      <c r="E3690" s="27"/>
      <c r="F3690" s="25">
        <v>0.0</v>
      </c>
      <c r="G3690" s="27"/>
    </row>
    <row r="3691" hidden="1">
      <c r="A3691" s="21"/>
      <c r="B3691" s="21" t="s">
        <v>4546</v>
      </c>
      <c r="D3691" s="25">
        <v>0.0</v>
      </c>
      <c r="E3691" s="27"/>
      <c r="F3691" s="25">
        <v>0.0</v>
      </c>
      <c r="G3691" s="27"/>
    </row>
    <row r="3692" hidden="1">
      <c r="A3692" s="21"/>
      <c r="B3692" s="21" t="s">
        <v>4547</v>
      </c>
      <c r="D3692" s="25">
        <v>0.0</v>
      </c>
      <c r="E3692" s="27"/>
      <c r="F3692" s="25">
        <v>0.0</v>
      </c>
      <c r="G3692" s="27"/>
    </row>
    <row r="3693" hidden="1">
      <c r="A3693" s="21"/>
      <c r="B3693" s="21" t="s">
        <v>4548</v>
      </c>
      <c r="D3693" s="25">
        <v>0.0</v>
      </c>
      <c r="E3693" s="27"/>
      <c r="F3693" s="25">
        <v>0.0</v>
      </c>
      <c r="G3693" s="27"/>
    </row>
    <row r="3694" hidden="1">
      <c r="A3694" s="21"/>
      <c r="B3694" s="21" t="s">
        <v>4549</v>
      </c>
      <c r="D3694" s="25">
        <v>0.0</v>
      </c>
      <c r="E3694" s="27"/>
      <c r="F3694" s="25">
        <v>0.0</v>
      </c>
      <c r="G3694" s="27"/>
    </row>
    <row r="3695" hidden="1">
      <c r="A3695" s="21"/>
      <c r="B3695" s="21" t="s">
        <v>4550</v>
      </c>
      <c r="D3695" s="25">
        <v>0.0</v>
      </c>
      <c r="E3695" s="27"/>
      <c r="F3695" s="25">
        <v>0.0</v>
      </c>
      <c r="G3695" s="27"/>
    </row>
    <row r="3696" hidden="1">
      <c r="A3696" s="21"/>
      <c r="B3696" s="21" t="s">
        <v>4551</v>
      </c>
      <c r="D3696" s="25">
        <v>0.0</v>
      </c>
      <c r="E3696" s="27"/>
      <c r="F3696" s="25">
        <v>0.0</v>
      </c>
      <c r="G3696" s="27"/>
    </row>
    <row r="3697" hidden="1">
      <c r="A3697" s="21"/>
      <c r="B3697" s="21" t="s">
        <v>4552</v>
      </c>
      <c r="D3697" s="25">
        <v>0.0</v>
      </c>
      <c r="E3697" s="27"/>
      <c r="F3697" s="25">
        <v>0.0</v>
      </c>
      <c r="G3697" s="27"/>
    </row>
    <row r="3698" hidden="1">
      <c r="A3698" s="21"/>
      <c r="B3698" s="21" t="s">
        <v>4553</v>
      </c>
      <c r="D3698" s="25">
        <v>0.0</v>
      </c>
      <c r="E3698" s="27"/>
      <c r="F3698" s="25">
        <v>0.0</v>
      </c>
      <c r="G3698" s="27"/>
    </row>
    <row r="3699" hidden="1">
      <c r="A3699" s="21"/>
      <c r="B3699" s="21" t="s">
        <v>4554</v>
      </c>
      <c r="D3699" s="25">
        <v>0.0</v>
      </c>
      <c r="E3699" s="27"/>
      <c r="F3699" s="25">
        <v>0.0</v>
      </c>
      <c r="G3699" s="27"/>
    </row>
    <row r="3700" hidden="1">
      <c r="A3700" s="21"/>
      <c r="B3700" s="21" t="s">
        <v>4555</v>
      </c>
      <c r="D3700" s="25">
        <v>0.0</v>
      </c>
      <c r="E3700" s="27"/>
      <c r="F3700" s="25">
        <v>0.0</v>
      </c>
      <c r="G3700" s="27"/>
    </row>
    <row r="3701" hidden="1">
      <c r="A3701" s="21"/>
      <c r="B3701" s="21" t="s">
        <v>4556</v>
      </c>
      <c r="D3701" s="25">
        <v>0.0</v>
      </c>
      <c r="E3701" s="27"/>
      <c r="F3701" s="25">
        <v>0.0</v>
      </c>
      <c r="G3701" s="27"/>
    </row>
    <row r="3702" hidden="1">
      <c r="A3702" s="21"/>
      <c r="B3702" s="21" t="s">
        <v>4557</v>
      </c>
      <c r="D3702" s="25">
        <v>0.0</v>
      </c>
      <c r="E3702" s="27"/>
      <c r="F3702" s="25">
        <v>0.0</v>
      </c>
      <c r="G3702" s="27"/>
    </row>
    <row r="3703" hidden="1">
      <c r="A3703" s="21"/>
      <c r="B3703" s="21" t="s">
        <v>4558</v>
      </c>
      <c r="D3703" s="25">
        <v>0.0</v>
      </c>
      <c r="E3703" s="27"/>
      <c r="F3703" s="25">
        <v>0.0</v>
      </c>
      <c r="G3703" s="27"/>
    </row>
    <row r="3704" hidden="1">
      <c r="A3704" s="21"/>
      <c r="B3704" s="21" t="s">
        <v>4559</v>
      </c>
      <c r="D3704" s="25">
        <v>0.0</v>
      </c>
      <c r="E3704" s="27"/>
      <c r="F3704" s="25">
        <v>0.0</v>
      </c>
      <c r="G3704" s="27"/>
    </row>
    <row r="3705" hidden="1">
      <c r="A3705" s="21"/>
      <c r="B3705" s="21" t="s">
        <v>4560</v>
      </c>
      <c r="D3705" s="25">
        <v>0.0</v>
      </c>
      <c r="E3705" s="27"/>
      <c r="F3705" s="25">
        <v>0.0</v>
      </c>
      <c r="G3705" s="27"/>
    </row>
    <row r="3706" hidden="1">
      <c r="A3706" s="21"/>
      <c r="B3706" s="21" t="s">
        <v>4561</v>
      </c>
      <c r="D3706" s="25">
        <v>0.0</v>
      </c>
      <c r="E3706" s="27"/>
      <c r="F3706" s="25">
        <v>0.0</v>
      </c>
      <c r="G3706" s="27"/>
    </row>
    <row r="3707" hidden="1">
      <c r="A3707" s="21"/>
      <c r="B3707" s="21" t="s">
        <v>4562</v>
      </c>
      <c r="D3707" s="25">
        <v>0.0</v>
      </c>
      <c r="E3707" s="27"/>
      <c r="F3707" s="25">
        <v>0.0</v>
      </c>
      <c r="G3707" s="27"/>
    </row>
    <row r="3708" hidden="1">
      <c r="A3708" s="21"/>
      <c r="B3708" s="21" t="s">
        <v>4563</v>
      </c>
      <c r="D3708" s="25">
        <v>0.0</v>
      </c>
      <c r="E3708" s="27"/>
      <c r="F3708" s="25">
        <v>0.0</v>
      </c>
      <c r="G3708" s="27"/>
    </row>
    <row r="3709" hidden="1">
      <c r="A3709" s="21"/>
      <c r="B3709" s="21" t="s">
        <v>4564</v>
      </c>
      <c r="D3709" s="25">
        <v>0.0</v>
      </c>
      <c r="E3709" s="27"/>
      <c r="F3709" s="25">
        <v>0.0</v>
      </c>
      <c r="G3709" s="27"/>
    </row>
    <row r="3710" hidden="1">
      <c r="A3710" s="21"/>
      <c r="B3710" s="21" t="s">
        <v>4565</v>
      </c>
      <c r="D3710" s="25">
        <v>0.0</v>
      </c>
      <c r="E3710" s="27"/>
      <c r="F3710" s="25">
        <v>0.0</v>
      </c>
      <c r="G3710" s="27"/>
    </row>
    <row r="3711" hidden="1">
      <c r="A3711" s="21"/>
      <c r="B3711" s="21" t="s">
        <v>4566</v>
      </c>
      <c r="D3711" s="25">
        <v>0.0</v>
      </c>
      <c r="E3711" s="27"/>
      <c r="F3711" s="25">
        <v>0.0</v>
      </c>
      <c r="G3711" s="27"/>
    </row>
    <row r="3712" hidden="1">
      <c r="A3712" s="21"/>
      <c r="B3712" s="21" t="s">
        <v>4567</v>
      </c>
      <c r="D3712" s="25">
        <v>0.0</v>
      </c>
      <c r="E3712" s="27"/>
      <c r="F3712" s="25">
        <v>0.0</v>
      </c>
      <c r="G3712" s="27"/>
    </row>
    <row r="3713" hidden="1">
      <c r="A3713" s="21"/>
      <c r="B3713" s="21" t="s">
        <v>4568</v>
      </c>
      <c r="D3713" s="25">
        <v>0.0</v>
      </c>
      <c r="E3713" s="27"/>
      <c r="F3713" s="25">
        <v>0.0</v>
      </c>
      <c r="G3713" s="27"/>
    </row>
    <row r="3714" hidden="1">
      <c r="A3714" s="21"/>
      <c r="B3714" s="21" t="s">
        <v>4569</v>
      </c>
      <c r="D3714" s="25">
        <v>0.0</v>
      </c>
      <c r="E3714" s="27"/>
      <c r="F3714" s="25">
        <v>6.83</v>
      </c>
      <c r="G3714" s="27"/>
    </row>
    <row r="3715" hidden="1">
      <c r="A3715" s="21"/>
      <c r="B3715" s="21" t="s">
        <v>4570</v>
      </c>
      <c r="D3715" s="25">
        <v>0.0</v>
      </c>
      <c r="E3715" s="27"/>
      <c r="F3715" s="25">
        <v>4.79</v>
      </c>
      <c r="G3715" s="27"/>
    </row>
    <row r="3716" hidden="1">
      <c r="A3716" s="21"/>
      <c r="B3716" s="21" t="s">
        <v>4571</v>
      </c>
      <c r="D3716" s="25">
        <v>0.0</v>
      </c>
      <c r="E3716" s="27"/>
      <c r="F3716" s="25">
        <v>4.79</v>
      </c>
      <c r="G3716" s="27"/>
    </row>
    <row r="3717" hidden="1">
      <c r="A3717" s="21"/>
      <c r="B3717" s="21" t="s">
        <v>4572</v>
      </c>
      <c r="D3717" s="25">
        <v>0.0</v>
      </c>
      <c r="E3717" s="27"/>
      <c r="F3717" s="25">
        <v>0.0</v>
      </c>
      <c r="G3717" s="27"/>
    </row>
    <row r="3718" hidden="1">
      <c r="A3718" s="21"/>
      <c r="B3718" s="21" t="s">
        <v>4573</v>
      </c>
      <c r="D3718" s="25">
        <v>0.0</v>
      </c>
      <c r="E3718" s="27"/>
      <c r="F3718" s="25">
        <v>0.0</v>
      </c>
      <c r="G3718" s="27"/>
    </row>
    <row r="3719" hidden="1">
      <c r="A3719" s="21"/>
      <c r="B3719" s="21" t="s">
        <v>4574</v>
      </c>
      <c r="D3719" s="25">
        <v>0.0</v>
      </c>
      <c r="E3719" s="27"/>
      <c r="F3719" s="25">
        <v>0.0</v>
      </c>
      <c r="G3719" s="27"/>
    </row>
    <row r="3720" hidden="1">
      <c r="A3720" s="21"/>
      <c r="B3720" s="21" t="s">
        <v>4575</v>
      </c>
      <c r="D3720" s="25">
        <v>0.0</v>
      </c>
      <c r="E3720" s="27"/>
      <c r="F3720" s="25">
        <v>0.0</v>
      </c>
      <c r="G3720" s="27"/>
    </row>
    <row r="3721" hidden="1">
      <c r="A3721" s="21"/>
      <c r="B3721" s="21" t="s">
        <v>4576</v>
      </c>
      <c r="D3721" s="25">
        <v>0.0</v>
      </c>
      <c r="E3721" s="27"/>
      <c r="F3721" s="25">
        <v>0.0</v>
      </c>
      <c r="G3721" s="27"/>
    </row>
    <row r="3722" hidden="1">
      <c r="A3722" s="21"/>
      <c r="B3722" s="21" t="s">
        <v>4577</v>
      </c>
      <c r="D3722" s="25">
        <v>0.0</v>
      </c>
      <c r="E3722" s="27"/>
      <c r="F3722" s="25">
        <v>0.0</v>
      </c>
      <c r="G3722" s="27"/>
    </row>
    <row r="3723" hidden="1">
      <c r="A3723" s="21"/>
      <c r="B3723" s="21" t="s">
        <v>4578</v>
      </c>
      <c r="D3723" s="25">
        <v>0.0</v>
      </c>
      <c r="E3723" s="27"/>
      <c r="F3723" s="25">
        <v>0.0</v>
      </c>
      <c r="G3723" s="27"/>
    </row>
    <row r="3724" hidden="1">
      <c r="A3724" s="21"/>
      <c r="B3724" s="21" t="s">
        <v>4579</v>
      </c>
      <c r="D3724" s="25">
        <v>0.0</v>
      </c>
      <c r="E3724" s="27"/>
      <c r="F3724" s="25">
        <v>0.0</v>
      </c>
      <c r="G3724" s="27"/>
    </row>
    <row r="3725" hidden="1">
      <c r="A3725" s="21"/>
      <c r="B3725" s="21" t="s">
        <v>4580</v>
      </c>
      <c r="D3725" s="25">
        <v>0.0</v>
      </c>
      <c r="E3725" s="27"/>
      <c r="F3725" s="25">
        <v>0.0</v>
      </c>
      <c r="G3725" s="27"/>
    </row>
    <row r="3726" hidden="1">
      <c r="A3726" s="21"/>
      <c r="B3726" s="21" t="s">
        <v>4581</v>
      </c>
      <c r="D3726" s="25">
        <v>0.0</v>
      </c>
      <c r="E3726" s="27"/>
      <c r="F3726" s="25">
        <v>0.0</v>
      </c>
      <c r="G3726" s="27"/>
    </row>
    <row r="3727" hidden="1">
      <c r="A3727" s="21"/>
      <c r="B3727" s="21" t="s">
        <v>4582</v>
      </c>
      <c r="D3727" s="25">
        <v>0.0</v>
      </c>
      <c r="E3727" s="27"/>
      <c r="F3727" s="25">
        <v>0.0</v>
      </c>
      <c r="G3727" s="27"/>
    </row>
    <row r="3728" hidden="1">
      <c r="A3728" s="21"/>
      <c r="B3728" s="21" t="s">
        <v>4583</v>
      </c>
      <c r="D3728" s="25">
        <v>0.0</v>
      </c>
      <c r="E3728" s="27"/>
      <c r="F3728" s="25">
        <v>0.0</v>
      </c>
      <c r="G3728" s="27"/>
    </row>
    <row r="3729" hidden="1">
      <c r="A3729" s="21"/>
      <c r="B3729" s="21" t="s">
        <v>4584</v>
      </c>
      <c r="D3729" s="25">
        <v>0.0</v>
      </c>
      <c r="E3729" s="27"/>
      <c r="F3729" s="25">
        <v>0.0</v>
      </c>
      <c r="G3729" s="27"/>
    </row>
    <row r="3730" hidden="1">
      <c r="A3730" s="21"/>
      <c r="B3730" s="21" t="s">
        <v>4585</v>
      </c>
      <c r="D3730" s="25">
        <v>0.0</v>
      </c>
      <c r="E3730" s="27"/>
      <c r="F3730" s="25">
        <v>0.0</v>
      </c>
      <c r="G3730" s="27"/>
    </row>
    <row r="3731" hidden="1">
      <c r="A3731" s="21"/>
      <c r="B3731" s="21" t="s">
        <v>4586</v>
      </c>
      <c r="D3731" s="25">
        <v>0.0</v>
      </c>
      <c r="E3731" s="27"/>
      <c r="F3731" s="25">
        <v>0.0</v>
      </c>
      <c r="G3731" s="27"/>
    </row>
    <row r="3732" hidden="1">
      <c r="A3732" s="21"/>
      <c r="B3732" s="21" t="s">
        <v>4587</v>
      </c>
      <c r="D3732" s="25">
        <v>0.0</v>
      </c>
      <c r="E3732" s="27"/>
      <c r="F3732" s="25">
        <v>0.0</v>
      </c>
      <c r="G3732" s="27"/>
    </row>
    <row r="3733" hidden="1">
      <c r="A3733" s="21"/>
      <c r="B3733" s="21" t="s">
        <v>4588</v>
      </c>
      <c r="D3733" s="25">
        <v>0.0</v>
      </c>
      <c r="E3733" s="27"/>
      <c r="F3733" s="25">
        <v>0.0</v>
      </c>
      <c r="G3733" s="27"/>
    </row>
    <row r="3734" hidden="1">
      <c r="A3734" s="21"/>
      <c r="B3734" s="21" t="s">
        <v>4589</v>
      </c>
      <c r="D3734" s="25">
        <v>0.0</v>
      </c>
      <c r="E3734" s="27"/>
      <c r="F3734" s="25">
        <v>0.0</v>
      </c>
      <c r="G3734" s="27"/>
    </row>
    <row r="3735" hidden="1">
      <c r="A3735" s="21"/>
      <c r="B3735" s="21" t="s">
        <v>4590</v>
      </c>
      <c r="D3735" s="25">
        <v>0.0</v>
      </c>
      <c r="E3735" s="27"/>
      <c r="F3735" s="25">
        <v>0.0</v>
      </c>
      <c r="G3735" s="27"/>
    </row>
    <row r="3736" hidden="1">
      <c r="A3736" s="21"/>
      <c r="B3736" s="21" t="s">
        <v>4591</v>
      </c>
      <c r="D3736" s="25">
        <v>0.0</v>
      </c>
      <c r="E3736" s="27"/>
      <c r="F3736" s="25">
        <v>0.0</v>
      </c>
      <c r="G3736" s="27"/>
    </row>
    <row r="3737" hidden="1">
      <c r="A3737" s="21"/>
      <c r="B3737" s="21" t="s">
        <v>4592</v>
      </c>
      <c r="D3737" s="25">
        <v>0.0</v>
      </c>
      <c r="E3737" s="27"/>
      <c r="F3737" s="25">
        <v>0.0</v>
      </c>
      <c r="G3737" s="27"/>
    </row>
    <row r="3738" hidden="1">
      <c r="A3738" s="21"/>
      <c r="B3738" s="21" t="s">
        <v>4593</v>
      </c>
      <c r="D3738" s="25">
        <v>0.0</v>
      </c>
      <c r="E3738" s="27"/>
      <c r="F3738" s="25">
        <v>0.0</v>
      </c>
      <c r="G3738" s="27"/>
    </row>
    <row r="3739" hidden="1">
      <c r="A3739" s="21"/>
      <c r="B3739" s="21" t="s">
        <v>4594</v>
      </c>
      <c r="D3739" s="25">
        <v>0.0</v>
      </c>
      <c r="E3739" s="27"/>
      <c r="F3739" s="25">
        <v>0.0</v>
      </c>
      <c r="G3739" s="27"/>
    </row>
    <row r="3740" hidden="1">
      <c r="A3740" s="21"/>
      <c r="B3740" s="21" t="s">
        <v>4595</v>
      </c>
      <c r="D3740" s="25">
        <v>0.0</v>
      </c>
      <c r="E3740" s="27"/>
      <c r="F3740" s="25">
        <v>0.0</v>
      </c>
      <c r="G3740" s="27"/>
    </row>
    <row r="3741" hidden="1">
      <c r="A3741" s="21"/>
      <c r="B3741" s="21" t="s">
        <v>4596</v>
      </c>
      <c r="D3741" s="25">
        <v>0.0</v>
      </c>
      <c r="E3741" s="27"/>
      <c r="F3741" s="25">
        <v>0.0</v>
      </c>
      <c r="G3741" s="27"/>
    </row>
    <row r="3742" hidden="1">
      <c r="A3742" s="21"/>
      <c r="B3742" s="21" t="s">
        <v>4597</v>
      </c>
      <c r="D3742" s="25">
        <v>0.0</v>
      </c>
      <c r="E3742" s="27"/>
      <c r="F3742" s="25">
        <v>0.0</v>
      </c>
      <c r="G3742" s="27"/>
    </row>
    <row r="3743" hidden="1">
      <c r="A3743" s="21"/>
      <c r="B3743" s="21" t="s">
        <v>4598</v>
      </c>
      <c r="D3743" s="25">
        <v>0.0</v>
      </c>
      <c r="E3743" s="27"/>
      <c r="F3743" s="25">
        <v>0.0</v>
      </c>
      <c r="G3743" s="27"/>
    </row>
    <row r="3744" hidden="1">
      <c r="A3744" s="21"/>
      <c r="B3744" s="21" t="s">
        <v>4599</v>
      </c>
      <c r="D3744" s="25">
        <v>0.0</v>
      </c>
      <c r="E3744" s="27"/>
      <c r="F3744" s="25">
        <v>0.0</v>
      </c>
      <c r="G3744" s="27"/>
    </row>
    <row r="3745" hidden="1">
      <c r="A3745" s="21"/>
      <c r="B3745" s="21" t="s">
        <v>4600</v>
      </c>
      <c r="D3745" s="25">
        <v>0.0</v>
      </c>
      <c r="E3745" s="27"/>
      <c r="F3745" s="25">
        <v>0.0</v>
      </c>
      <c r="G3745" s="27"/>
    </row>
    <row r="3746" hidden="1">
      <c r="A3746" s="21"/>
      <c r="B3746" s="21" t="s">
        <v>4601</v>
      </c>
      <c r="D3746" s="25">
        <v>0.0</v>
      </c>
      <c r="E3746" s="27"/>
      <c r="F3746" s="25">
        <v>0.0</v>
      </c>
      <c r="G3746" s="27"/>
    </row>
    <row r="3747" hidden="1">
      <c r="A3747" s="21"/>
      <c r="B3747" s="21" t="s">
        <v>4602</v>
      </c>
      <c r="D3747" s="25">
        <v>0.0</v>
      </c>
      <c r="E3747" s="27"/>
      <c r="F3747" s="25">
        <v>0.0</v>
      </c>
      <c r="G3747" s="27"/>
    </row>
    <row r="3748" hidden="1">
      <c r="A3748" s="21"/>
      <c r="B3748" s="21" t="s">
        <v>4603</v>
      </c>
      <c r="D3748" s="25">
        <v>0.0</v>
      </c>
      <c r="E3748" s="27"/>
      <c r="F3748" s="25">
        <v>0.0</v>
      </c>
      <c r="G3748" s="27"/>
    </row>
    <row r="3749" hidden="1">
      <c r="A3749" s="21"/>
      <c r="B3749" s="21" t="s">
        <v>4604</v>
      </c>
      <c r="D3749" s="25">
        <v>0.0</v>
      </c>
      <c r="E3749" s="27"/>
      <c r="F3749" s="25">
        <v>0.0</v>
      </c>
      <c r="G3749" s="27"/>
    </row>
    <row r="3750" hidden="1">
      <c r="A3750" s="21"/>
      <c r="B3750" s="21" t="s">
        <v>4605</v>
      </c>
      <c r="D3750" s="25">
        <v>0.0</v>
      </c>
      <c r="E3750" s="27"/>
      <c r="F3750" s="25">
        <v>0.0</v>
      </c>
      <c r="G3750" s="27"/>
    </row>
    <row r="3751" hidden="1">
      <c r="A3751" s="21"/>
      <c r="B3751" s="21" t="s">
        <v>4606</v>
      </c>
      <c r="D3751" s="25">
        <v>0.0</v>
      </c>
      <c r="E3751" s="27"/>
      <c r="F3751" s="25">
        <v>0.0</v>
      </c>
      <c r="G3751" s="27"/>
    </row>
    <row r="3752" hidden="1">
      <c r="A3752" s="21"/>
      <c r="B3752" s="21" t="s">
        <v>4607</v>
      </c>
      <c r="D3752" s="25">
        <v>0.0</v>
      </c>
      <c r="E3752" s="27"/>
      <c r="F3752" s="25">
        <v>0.0</v>
      </c>
      <c r="G3752" s="27"/>
    </row>
    <row r="3753" hidden="1">
      <c r="A3753" s="21"/>
      <c r="B3753" s="21" t="s">
        <v>4608</v>
      </c>
      <c r="D3753" s="25">
        <v>0.0</v>
      </c>
      <c r="E3753" s="27"/>
      <c r="F3753" s="25">
        <v>0.0</v>
      </c>
      <c r="G3753" s="27"/>
    </row>
    <row r="3754" hidden="1">
      <c r="A3754" s="21"/>
      <c r="B3754" s="21" t="s">
        <v>4609</v>
      </c>
      <c r="D3754" s="25">
        <v>0.0</v>
      </c>
      <c r="E3754" s="27"/>
      <c r="F3754" s="25">
        <v>0.0</v>
      </c>
      <c r="G3754" s="27"/>
    </row>
    <row r="3755" hidden="1">
      <c r="A3755" s="21"/>
      <c r="B3755" s="21" t="s">
        <v>4610</v>
      </c>
      <c r="D3755" s="25">
        <v>0.0</v>
      </c>
      <c r="E3755" s="27"/>
      <c r="F3755" s="25">
        <v>0.0</v>
      </c>
      <c r="G3755" s="27"/>
    </row>
    <row r="3756" hidden="1">
      <c r="A3756" s="21"/>
      <c r="B3756" s="21" t="s">
        <v>4611</v>
      </c>
      <c r="D3756" s="25">
        <v>0.0</v>
      </c>
      <c r="E3756" s="27"/>
      <c r="F3756" s="25">
        <v>0.0</v>
      </c>
      <c r="G3756" s="27"/>
    </row>
    <row r="3757" hidden="1">
      <c r="A3757" s="21"/>
      <c r="B3757" s="21" t="s">
        <v>4612</v>
      </c>
      <c r="D3757" s="25">
        <v>0.0</v>
      </c>
      <c r="E3757" s="27"/>
      <c r="F3757" s="25">
        <v>0.0</v>
      </c>
      <c r="G3757" s="27"/>
    </row>
    <row r="3758" hidden="1">
      <c r="A3758" s="21"/>
      <c r="B3758" s="21" t="s">
        <v>4613</v>
      </c>
      <c r="D3758" s="25">
        <v>0.0</v>
      </c>
      <c r="E3758" s="27"/>
      <c r="F3758" s="25">
        <v>0.0</v>
      </c>
      <c r="G3758" s="27"/>
    </row>
    <row r="3759" hidden="1">
      <c r="A3759" s="21"/>
      <c r="B3759" s="21" t="s">
        <v>4614</v>
      </c>
      <c r="D3759" s="25">
        <v>0.0</v>
      </c>
      <c r="E3759" s="27"/>
      <c r="F3759" s="25">
        <v>0.0</v>
      </c>
      <c r="G3759" s="27"/>
    </row>
    <row r="3760" hidden="1">
      <c r="A3760" s="21"/>
      <c r="B3760" s="21" t="s">
        <v>4615</v>
      </c>
      <c r="D3760" s="25">
        <v>0.0</v>
      </c>
      <c r="E3760" s="27"/>
      <c r="F3760" s="25">
        <v>0.0</v>
      </c>
      <c r="G3760" s="27"/>
    </row>
    <row r="3761" hidden="1">
      <c r="A3761" s="21"/>
      <c r="B3761" s="21" t="s">
        <v>4616</v>
      </c>
      <c r="D3761" s="25">
        <v>0.0</v>
      </c>
      <c r="E3761" s="27"/>
      <c r="F3761" s="25">
        <v>0.0</v>
      </c>
      <c r="G3761" s="27"/>
    </row>
    <row r="3762" hidden="1">
      <c r="A3762" s="21"/>
      <c r="B3762" s="21" t="s">
        <v>4617</v>
      </c>
      <c r="D3762" s="25">
        <v>0.0</v>
      </c>
      <c r="E3762" s="27"/>
      <c r="F3762" s="25">
        <v>0.0</v>
      </c>
      <c r="G3762" s="27"/>
    </row>
    <row r="3763" hidden="1">
      <c r="A3763" s="21"/>
      <c r="B3763" s="21" t="s">
        <v>4618</v>
      </c>
      <c r="D3763" s="25">
        <v>0.0</v>
      </c>
      <c r="E3763" s="27"/>
      <c r="F3763" s="25">
        <v>0.0</v>
      </c>
      <c r="G3763" s="27"/>
    </row>
    <row r="3764" hidden="1">
      <c r="A3764" s="21"/>
      <c r="B3764" s="21" t="s">
        <v>4619</v>
      </c>
      <c r="D3764" s="25">
        <v>0.0</v>
      </c>
      <c r="E3764" s="27"/>
      <c r="F3764" s="25">
        <v>0.0</v>
      </c>
      <c r="G3764" s="27"/>
    </row>
    <row r="3765" hidden="1">
      <c r="A3765" s="21"/>
      <c r="B3765" s="21" t="s">
        <v>4620</v>
      </c>
      <c r="D3765" s="25">
        <v>0.0</v>
      </c>
      <c r="E3765" s="27"/>
      <c r="F3765" s="25">
        <v>0.0</v>
      </c>
      <c r="G3765" s="27"/>
    </row>
    <row r="3766" hidden="1">
      <c r="A3766" s="21"/>
      <c r="B3766" s="21" t="s">
        <v>4621</v>
      </c>
      <c r="D3766" s="25">
        <v>0.0</v>
      </c>
      <c r="E3766" s="27"/>
      <c r="F3766" s="25">
        <v>6.1</v>
      </c>
      <c r="G3766" s="27"/>
    </row>
    <row r="3767" hidden="1">
      <c r="A3767" s="21"/>
      <c r="B3767" s="21" t="s">
        <v>4622</v>
      </c>
      <c r="D3767" s="25">
        <v>0.0</v>
      </c>
      <c r="E3767" s="27"/>
      <c r="F3767" s="25">
        <v>0.0</v>
      </c>
      <c r="G3767" s="27"/>
    </row>
    <row r="3768" hidden="1">
      <c r="A3768" s="21"/>
      <c r="B3768" s="21" t="s">
        <v>4623</v>
      </c>
      <c r="D3768" s="25">
        <v>0.0</v>
      </c>
      <c r="E3768" s="27"/>
      <c r="F3768" s="25">
        <v>0.0</v>
      </c>
      <c r="G3768" s="27"/>
    </row>
    <row r="3769" hidden="1">
      <c r="A3769" s="21"/>
      <c r="B3769" s="21" t="s">
        <v>4624</v>
      </c>
      <c r="D3769" s="25">
        <v>0.0</v>
      </c>
      <c r="E3769" s="27"/>
      <c r="F3769" s="25">
        <v>0.0</v>
      </c>
      <c r="G3769" s="27"/>
    </row>
    <row r="3770" hidden="1">
      <c r="A3770" s="21"/>
      <c r="B3770" s="21" t="s">
        <v>4625</v>
      </c>
      <c r="D3770" s="25">
        <v>0.0</v>
      </c>
      <c r="E3770" s="27"/>
      <c r="F3770" s="25">
        <v>0.0</v>
      </c>
      <c r="G3770" s="27"/>
    </row>
    <row r="3771" hidden="1">
      <c r="A3771" s="21"/>
      <c r="B3771" s="21" t="s">
        <v>4626</v>
      </c>
      <c r="D3771" s="25">
        <v>0.0</v>
      </c>
      <c r="E3771" s="27"/>
      <c r="F3771" s="25">
        <v>0.0</v>
      </c>
      <c r="G3771" s="27"/>
    </row>
    <row r="3772" hidden="1">
      <c r="A3772" s="21"/>
      <c r="B3772" s="21" t="s">
        <v>4627</v>
      </c>
      <c r="D3772" s="25">
        <v>0.0</v>
      </c>
      <c r="E3772" s="27"/>
      <c r="F3772" s="25">
        <v>0.0</v>
      </c>
      <c r="G3772" s="27"/>
    </row>
    <row r="3773" hidden="1">
      <c r="A3773" s="21"/>
      <c r="B3773" s="21" t="s">
        <v>4628</v>
      </c>
      <c r="D3773" s="25">
        <v>0.0</v>
      </c>
      <c r="E3773" s="27"/>
      <c r="F3773" s="25">
        <v>0.0</v>
      </c>
      <c r="G3773" s="27"/>
    </row>
    <row r="3774" hidden="1">
      <c r="A3774" s="21"/>
      <c r="B3774" s="21" t="s">
        <v>4629</v>
      </c>
      <c r="D3774" s="25">
        <v>0.0</v>
      </c>
      <c r="E3774" s="27"/>
      <c r="F3774" s="25">
        <v>0.0</v>
      </c>
      <c r="G3774" s="27"/>
    </row>
    <row r="3775" hidden="1">
      <c r="A3775" s="21"/>
      <c r="B3775" s="21" t="s">
        <v>4630</v>
      </c>
      <c r="D3775" s="25">
        <v>0.0</v>
      </c>
      <c r="E3775" s="27"/>
      <c r="F3775" s="25">
        <v>0.0</v>
      </c>
      <c r="G3775" s="27"/>
    </row>
    <row r="3776" hidden="1">
      <c r="A3776" s="21"/>
      <c r="B3776" s="21" t="s">
        <v>4631</v>
      </c>
      <c r="D3776" s="25">
        <v>0.0</v>
      </c>
      <c r="E3776" s="27"/>
      <c r="F3776" s="25">
        <v>0.0</v>
      </c>
      <c r="G3776" s="27"/>
    </row>
    <row r="3777" hidden="1">
      <c r="A3777" s="21"/>
      <c r="B3777" s="21" t="s">
        <v>4632</v>
      </c>
      <c r="D3777" s="25">
        <v>0.0</v>
      </c>
      <c r="E3777" s="27"/>
      <c r="F3777" s="25">
        <v>0.0</v>
      </c>
      <c r="G3777" s="27"/>
    </row>
    <row r="3778" hidden="1">
      <c r="A3778" s="21"/>
      <c r="B3778" s="21" t="s">
        <v>4633</v>
      </c>
      <c r="D3778" s="25">
        <v>0.0</v>
      </c>
      <c r="E3778" s="27"/>
      <c r="F3778" s="25">
        <v>0.0</v>
      </c>
      <c r="G3778" s="27"/>
    </row>
    <row r="3779" hidden="1">
      <c r="A3779" s="21"/>
      <c r="B3779" s="21" t="s">
        <v>4634</v>
      </c>
      <c r="D3779" s="25">
        <v>0.0</v>
      </c>
      <c r="E3779" s="27"/>
      <c r="F3779" s="25">
        <v>0.0</v>
      </c>
      <c r="G3779" s="27"/>
    </row>
    <row r="3780" hidden="1">
      <c r="A3780" s="21"/>
      <c r="B3780" s="21" t="s">
        <v>4635</v>
      </c>
      <c r="D3780" s="25">
        <v>0.0</v>
      </c>
      <c r="E3780" s="27"/>
      <c r="F3780" s="25">
        <v>0.0</v>
      </c>
      <c r="G3780" s="27"/>
    </row>
    <row r="3781" hidden="1">
      <c r="A3781" s="21"/>
      <c r="B3781" s="21" t="s">
        <v>4636</v>
      </c>
      <c r="D3781" s="25">
        <v>0.0</v>
      </c>
      <c r="E3781" s="27"/>
      <c r="F3781" s="25">
        <v>0.0</v>
      </c>
      <c r="G3781" s="27"/>
    </row>
    <row r="3782" hidden="1">
      <c r="A3782" s="21"/>
      <c r="B3782" s="21" t="s">
        <v>4637</v>
      </c>
      <c r="D3782" s="25">
        <v>0.0</v>
      </c>
      <c r="E3782" s="27"/>
      <c r="F3782" s="25">
        <v>0.0</v>
      </c>
      <c r="G3782" s="27"/>
    </row>
    <row r="3783" hidden="1">
      <c r="A3783" s="21"/>
      <c r="B3783" s="21" t="s">
        <v>4638</v>
      </c>
      <c r="D3783" s="25">
        <v>0.0</v>
      </c>
      <c r="E3783" s="27"/>
      <c r="F3783" s="25">
        <v>0.0</v>
      </c>
      <c r="G3783" s="27"/>
    </row>
    <row r="3784" hidden="1">
      <c r="A3784" s="21"/>
      <c r="B3784" s="21" t="s">
        <v>4639</v>
      </c>
      <c r="D3784" s="25">
        <v>0.0</v>
      </c>
      <c r="E3784" s="27"/>
      <c r="F3784" s="25">
        <v>0.0</v>
      </c>
      <c r="G3784" s="27"/>
    </row>
    <row r="3785" hidden="1">
      <c r="A3785" s="21"/>
      <c r="B3785" s="21" t="s">
        <v>4640</v>
      </c>
      <c r="D3785" s="25">
        <v>0.0</v>
      </c>
      <c r="E3785" s="27"/>
      <c r="F3785" s="25">
        <v>0.0</v>
      </c>
      <c r="G3785" s="27"/>
    </row>
    <row r="3786" hidden="1">
      <c r="A3786" s="21"/>
      <c r="B3786" s="21" t="s">
        <v>4641</v>
      </c>
      <c r="D3786" s="25">
        <v>0.0</v>
      </c>
      <c r="E3786" s="27"/>
      <c r="F3786" s="25">
        <v>0.0</v>
      </c>
      <c r="G3786" s="27"/>
    </row>
    <row r="3787" hidden="1">
      <c r="A3787" s="21"/>
      <c r="B3787" s="21" t="s">
        <v>4642</v>
      </c>
      <c r="D3787" s="25">
        <v>0.0</v>
      </c>
      <c r="E3787" s="27"/>
      <c r="F3787" s="25">
        <v>0.0</v>
      </c>
      <c r="G3787" s="27"/>
    </row>
    <row r="3788" hidden="1">
      <c r="A3788" s="21"/>
      <c r="B3788" s="21" t="s">
        <v>4643</v>
      </c>
      <c r="D3788" s="25">
        <v>0.0</v>
      </c>
      <c r="E3788" s="27"/>
      <c r="F3788" s="25">
        <v>0.0</v>
      </c>
      <c r="G3788" s="27"/>
    </row>
    <row r="3789" hidden="1">
      <c r="A3789" s="21"/>
      <c r="B3789" s="21" t="s">
        <v>4644</v>
      </c>
      <c r="D3789" s="25">
        <v>0.0</v>
      </c>
      <c r="E3789" s="27"/>
      <c r="F3789" s="25">
        <v>0.0</v>
      </c>
      <c r="G3789" s="27"/>
    </row>
    <row r="3790" hidden="1">
      <c r="A3790" s="21"/>
      <c r="B3790" s="21" t="s">
        <v>4645</v>
      </c>
      <c r="D3790" s="25">
        <v>0.0</v>
      </c>
      <c r="E3790" s="27"/>
      <c r="F3790" s="25">
        <v>0.0</v>
      </c>
      <c r="G3790" s="27"/>
    </row>
    <row r="3791" hidden="1">
      <c r="A3791" s="21"/>
      <c r="B3791" s="21" t="s">
        <v>4646</v>
      </c>
      <c r="D3791" s="25">
        <v>0.0</v>
      </c>
      <c r="E3791" s="27"/>
      <c r="F3791" s="25">
        <v>0.0</v>
      </c>
      <c r="G3791" s="27"/>
    </row>
    <row r="3792" hidden="1">
      <c r="A3792" s="21"/>
      <c r="B3792" s="21" t="s">
        <v>4647</v>
      </c>
      <c r="D3792" s="25">
        <v>0.0</v>
      </c>
      <c r="E3792" s="27"/>
      <c r="F3792" s="25">
        <v>0.0</v>
      </c>
      <c r="G3792" s="27"/>
    </row>
    <row r="3793" hidden="1">
      <c r="A3793" s="21"/>
      <c r="B3793" s="21" t="s">
        <v>4648</v>
      </c>
      <c r="D3793" s="25">
        <v>0.0</v>
      </c>
      <c r="E3793" s="27"/>
      <c r="F3793" s="25">
        <v>0.0</v>
      </c>
      <c r="G3793" s="27"/>
    </row>
    <row r="3794" hidden="1">
      <c r="A3794" s="21"/>
      <c r="B3794" s="21" t="s">
        <v>4649</v>
      </c>
      <c r="D3794" s="25">
        <v>0.0</v>
      </c>
      <c r="E3794" s="27"/>
      <c r="F3794" s="25">
        <v>0.0</v>
      </c>
      <c r="G3794" s="27"/>
    </row>
    <row r="3795" hidden="1">
      <c r="A3795" s="21"/>
      <c r="B3795" s="21" t="s">
        <v>4650</v>
      </c>
      <c r="D3795" s="25">
        <v>0.0</v>
      </c>
      <c r="E3795" s="27"/>
      <c r="F3795" s="25">
        <v>0.0</v>
      </c>
      <c r="G3795" s="27"/>
    </row>
    <row r="3796" hidden="1">
      <c r="A3796" s="21"/>
      <c r="B3796" s="21" t="s">
        <v>4651</v>
      </c>
      <c r="D3796" s="25">
        <v>0.0</v>
      </c>
      <c r="E3796" s="27"/>
      <c r="F3796" s="25">
        <v>0.0</v>
      </c>
      <c r="G3796" s="27"/>
    </row>
    <row r="3797" hidden="1">
      <c r="A3797" s="21"/>
      <c r="B3797" s="21" t="s">
        <v>4652</v>
      </c>
      <c r="D3797" s="25">
        <v>0.0</v>
      </c>
      <c r="E3797" s="27"/>
      <c r="F3797" s="25">
        <v>0.0</v>
      </c>
      <c r="G3797" s="27"/>
    </row>
    <row r="3798" hidden="1">
      <c r="A3798" s="21"/>
      <c r="B3798" s="21" t="s">
        <v>4653</v>
      </c>
      <c r="D3798" s="25">
        <v>0.0</v>
      </c>
      <c r="E3798" s="27"/>
      <c r="F3798" s="25">
        <v>0.0</v>
      </c>
      <c r="G3798" s="27"/>
    </row>
    <row r="3799" hidden="1">
      <c r="A3799" s="21"/>
      <c r="B3799" s="21" t="s">
        <v>4654</v>
      </c>
      <c r="D3799" s="25">
        <v>0.0</v>
      </c>
      <c r="E3799" s="27"/>
      <c r="F3799" s="25">
        <v>0.0</v>
      </c>
      <c r="G3799" s="27"/>
    </row>
    <row r="3800" hidden="1">
      <c r="A3800" s="21"/>
      <c r="B3800" s="21" t="s">
        <v>4655</v>
      </c>
      <c r="D3800" s="25">
        <v>0.0</v>
      </c>
      <c r="E3800" s="27"/>
      <c r="F3800" s="25">
        <v>0.0</v>
      </c>
      <c r="G3800" s="27"/>
    </row>
    <row r="3801" hidden="1">
      <c r="A3801" s="21"/>
      <c r="B3801" s="21" t="s">
        <v>4656</v>
      </c>
      <c r="D3801" s="25">
        <v>0.0</v>
      </c>
      <c r="E3801" s="27"/>
      <c r="F3801" s="25">
        <v>0.0</v>
      </c>
      <c r="G3801" s="27"/>
    </row>
    <row r="3802" hidden="1">
      <c r="A3802" s="21"/>
      <c r="B3802" s="21" t="s">
        <v>4657</v>
      </c>
      <c r="D3802" s="25">
        <v>0.0</v>
      </c>
      <c r="E3802" s="27"/>
      <c r="F3802" s="25">
        <v>0.0</v>
      </c>
      <c r="G3802" s="27"/>
    </row>
    <row r="3803" hidden="1">
      <c r="A3803" s="21"/>
      <c r="B3803" s="21" t="s">
        <v>4658</v>
      </c>
      <c r="D3803" s="25">
        <v>0.0</v>
      </c>
      <c r="E3803" s="27"/>
      <c r="F3803" s="25">
        <v>0.0</v>
      </c>
      <c r="G3803" s="27"/>
    </row>
    <row r="3804" hidden="1">
      <c r="A3804" s="21"/>
      <c r="B3804" s="21" t="s">
        <v>4659</v>
      </c>
      <c r="D3804" s="25">
        <v>0.0</v>
      </c>
      <c r="E3804" s="27"/>
      <c r="F3804" s="25">
        <v>0.0</v>
      </c>
      <c r="G3804" s="27"/>
    </row>
    <row r="3805" hidden="1">
      <c r="A3805" s="21"/>
      <c r="B3805" s="21" t="s">
        <v>4660</v>
      </c>
      <c r="D3805" s="25">
        <v>0.0</v>
      </c>
      <c r="E3805" s="27"/>
      <c r="F3805" s="25">
        <v>0.0</v>
      </c>
      <c r="G3805" s="27"/>
    </row>
    <row r="3806" hidden="1">
      <c r="A3806" s="21"/>
      <c r="B3806" s="21" t="s">
        <v>4661</v>
      </c>
      <c r="D3806" s="25">
        <v>0.0</v>
      </c>
      <c r="E3806" s="27"/>
      <c r="F3806" s="25">
        <v>0.0</v>
      </c>
      <c r="G3806" s="27"/>
    </row>
    <row r="3807" hidden="1">
      <c r="A3807" s="21"/>
      <c r="B3807" s="21" t="s">
        <v>4662</v>
      </c>
      <c r="D3807" s="25">
        <v>0.0</v>
      </c>
      <c r="E3807" s="27"/>
      <c r="F3807" s="25">
        <v>0.0</v>
      </c>
      <c r="G3807" s="27"/>
    </row>
    <row r="3808" hidden="1">
      <c r="A3808" s="21"/>
      <c r="B3808" s="21" t="s">
        <v>4663</v>
      </c>
      <c r="D3808" s="25">
        <v>0.0</v>
      </c>
      <c r="E3808" s="27"/>
      <c r="F3808" s="25">
        <v>0.0</v>
      </c>
      <c r="G3808" s="27"/>
    </row>
    <row r="3809" hidden="1">
      <c r="A3809" s="21"/>
      <c r="B3809" s="21" t="s">
        <v>4664</v>
      </c>
      <c r="D3809" s="25">
        <v>0.0</v>
      </c>
      <c r="E3809" s="27"/>
      <c r="F3809" s="25">
        <v>0.0</v>
      </c>
      <c r="G3809" s="27"/>
    </row>
    <row r="3810" hidden="1">
      <c r="A3810" s="21"/>
      <c r="B3810" s="21" t="s">
        <v>4665</v>
      </c>
      <c r="D3810" s="25">
        <v>0.0</v>
      </c>
      <c r="E3810" s="27"/>
      <c r="F3810" s="25">
        <v>0.0</v>
      </c>
      <c r="G3810" s="27"/>
    </row>
    <row r="3811" hidden="1">
      <c r="A3811" s="21"/>
      <c r="B3811" s="21" t="s">
        <v>4666</v>
      </c>
      <c r="D3811" s="25">
        <v>0.0</v>
      </c>
      <c r="E3811" s="27"/>
      <c r="F3811" s="25">
        <v>0.0</v>
      </c>
      <c r="G3811" s="27"/>
    </row>
    <row r="3812" hidden="1">
      <c r="A3812" s="21"/>
      <c r="B3812" s="21" t="s">
        <v>4667</v>
      </c>
      <c r="D3812" s="25">
        <v>0.0</v>
      </c>
      <c r="E3812" s="27"/>
      <c r="F3812" s="25">
        <v>0.0</v>
      </c>
      <c r="G3812" s="27"/>
    </row>
    <row r="3813" hidden="1">
      <c r="A3813" s="21"/>
      <c r="B3813" s="21" t="s">
        <v>4668</v>
      </c>
      <c r="D3813" s="25">
        <v>0.0</v>
      </c>
      <c r="E3813" s="27"/>
      <c r="F3813" s="25">
        <v>0.0</v>
      </c>
      <c r="G3813" s="27"/>
    </row>
    <row r="3814" hidden="1">
      <c r="A3814" s="21"/>
      <c r="B3814" s="21" t="s">
        <v>4669</v>
      </c>
      <c r="D3814" s="25">
        <v>0.0</v>
      </c>
      <c r="E3814" s="27"/>
      <c r="F3814" s="25">
        <v>0.0</v>
      </c>
      <c r="G3814" s="27"/>
    </row>
    <row r="3815" hidden="1">
      <c r="A3815" s="21"/>
      <c r="B3815" s="21" t="s">
        <v>4670</v>
      </c>
      <c r="D3815" s="25">
        <v>0.0</v>
      </c>
      <c r="E3815" s="27"/>
      <c r="F3815" s="25">
        <v>0.0</v>
      </c>
      <c r="G3815" s="27"/>
    </row>
    <row r="3816" hidden="1">
      <c r="A3816" s="21"/>
      <c r="B3816" s="21" t="s">
        <v>4671</v>
      </c>
      <c r="D3816" s="25">
        <v>0.0</v>
      </c>
      <c r="E3816" s="27"/>
      <c r="F3816" s="25">
        <v>0.0</v>
      </c>
      <c r="G3816" s="27"/>
    </row>
    <row r="3817" hidden="1">
      <c r="A3817" s="21"/>
      <c r="B3817" s="21" t="s">
        <v>4672</v>
      </c>
      <c r="D3817" s="25">
        <v>0.0</v>
      </c>
      <c r="E3817" s="27"/>
      <c r="F3817" s="25">
        <v>0.0</v>
      </c>
      <c r="G3817" s="27"/>
    </row>
    <row r="3818" hidden="1">
      <c r="A3818" s="21"/>
      <c r="B3818" s="21" t="s">
        <v>4673</v>
      </c>
      <c r="D3818" s="25">
        <v>0.0</v>
      </c>
      <c r="E3818" s="27"/>
      <c r="F3818" s="25">
        <v>0.0</v>
      </c>
      <c r="G3818" s="27"/>
    </row>
    <row r="3819" hidden="1">
      <c r="A3819" s="21"/>
      <c r="B3819" s="21" t="s">
        <v>4674</v>
      </c>
      <c r="D3819" s="25">
        <v>0.0</v>
      </c>
      <c r="E3819" s="27"/>
      <c r="F3819" s="25">
        <v>0.0</v>
      </c>
      <c r="G3819" s="27"/>
    </row>
    <row r="3820" hidden="1">
      <c r="A3820" s="21"/>
      <c r="B3820" s="21" t="s">
        <v>4675</v>
      </c>
      <c r="D3820" s="25">
        <v>0.0</v>
      </c>
      <c r="E3820" s="27"/>
      <c r="F3820" s="25">
        <v>0.0</v>
      </c>
      <c r="G3820" s="27"/>
    </row>
    <row r="3821" hidden="1">
      <c r="A3821" s="21"/>
      <c r="B3821" s="21" t="s">
        <v>4676</v>
      </c>
      <c r="D3821" s="25">
        <v>0.0</v>
      </c>
      <c r="E3821" s="27"/>
      <c r="F3821" s="25">
        <v>0.0</v>
      </c>
      <c r="G3821" s="27"/>
    </row>
    <row r="3822" hidden="1">
      <c r="A3822" s="21"/>
      <c r="B3822" s="21" t="s">
        <v>4677</v>
      </c>
      <c r="D3822" s="25">
        <v>0.0</v>
      </c>
      <c r="E3822" s="27"/>
      <c r="F3822" s="25">
        <v>0.0</v>
      </c>
      <c r="G3822" s="27"/>
    </row>
    <row r="3823" hidden="1">
      <c r="A3823" s="21"/>
      <c r="B3823" s="21" t="s">
        <v>4678</v>
      </c>
      <c r="D3823" s="25">
        <v>0.0</v>
      </c>
      <c r="E3823" s="27"/>
      <c r="F3823" s="25">
        <v>0.0</v>
      </c>
      <c r="G3823" s="27"/>
    </row>
    <row r="3824" hidden="1">
      <c r="A3824" s="21"/>
      <c r="B3824" s="21" t="s">
        <v>4679</v>
      </c>
      <c r="D3824" s="25">
        <v>0.0</v>
      </c>
      <c r="E3824" s="27"/>
      <c r="F3824" s="25">
        <v>0.0</v>
      </c>
      <c r="G3824" s="27"/>
    </row>
    <row r="3825" hidden="1">
      <c r="A3825" s="21"/>
      <c r="B3825" s="21" t="s">
        <v>4680</v>
      </c>
      <c r="D3825" s="25">
        <v>0.0</v>
      </c>
      <c r="E3825" s="27"/>
      <c r="F3825" s="25">
        <v>0.0</v>
      </c>
      <c r="G3825" s="27"/>
    </row>
    <row r="3826" hidden="1">
      <c r="A3826" s="21"/>
      <c r="B3826" s="21" t="s">
        <v>4681</v>
      </c>
      <c r="D3826" s="25">
        <v>0.0</v>
      </c>
      <c r="E3826" s="27"/>
      <c r="F3826" s="25">
        <v>0.0</v>
      </c>
      <c r="G3826" s="27"/>
    </row>
    <row r="3827" hidden="1">
      <c r="A3827" s="21"/>
      <c r="B3827" s="21" t="s">
        <v>4682</v>
      </c>
      <c r="D3827" s="25">
        <v>0.0</v>
      </c>
      <c r="E3827" s="27"/>
      <c r="F3827" s="25">
        <v>0.0</v>
      </c>
      <c r="G3827" s="27"/>
    </row>
    <row r="3828" hidden="1">
      <c r="A3828" s="21"/>
      <c r="B3828" s="21" t="s">
        <v>4683</v>
      </c>
      <c r="D3828" s="25">
        <v>0.0</v>
      </c>
      <c r="E3828" s="27"/>
      <c r="F3828" s="25">
        <v>0.0</v>
      </c>
      <c r="G3828" s="27"/>
    </row>
    <row r="3829" hidden="1">
      <c r="A3829" s="21"/>
      <c r="B3829" s="21" t="s">
        <v>4684</v>
      </c>
      <c r="D3829" s="25">
        <v>0.0</v>
      </c>
      <c r="E3829" s="27"/>
      <c r="F3829" s="25">
        <v>0.0</v>
      </c>
      <c r="G3829" s="27"/>
    </row>
    <row r="3830" hidden="1">
      <c r="A3830" s="21"/>
      <c r="B3830" s="21" t="s">
        <v>4685</v>
      </c>
      <c r="D3830" s="25">
        <v>0.0</v>
      </c>
      <c r="E3830" s="27"/>
      <c r="F3830" s="25">
        <v>0.0</v>
      </c>
      <c r="G3830" s="27"/>
    </row>
    <row r="3831" hidden="1">
      <c r="A3831" s="21"/>
      <c r="B3831" s="21" t="s">
        <v>4686</v>
      </c>
      <c r="D3831" s="25">
        <v>0.0</v>
      </c>
      <c r="E3831" s="27"/>
      <c r="F3831" s="25">
        <v>0.0</v>
      </c>
      <c r="G3831" s="27"/>
    </row>
    <row r="3832" hidden="1">
      <c r="A3832" s="21"/>
      <c r="B3832" s="21" t="s">
        <v>4687</v>
      </c>
      <c r="D3832" s="25">
        <v>0.0</v>
      </c>
      <c r="E3832" s="27"/>
      <c r="F3832" s="25">
        <v>0.0</v>
      </c>
      <c r="G3832" s="27"/>
    </row>
    <row r="3833" hidden="1">
      <c r="A3833" s="21"/>
      <c r="B3833" s="21" t="s">
        <v>4688</v>
      </c>
      <c r="D3833" s="25">
        <v>0.0</v>
      </c>
      <c r="E3833" s="27"/>
      <c r="F3833" s="25">
        <v>0.0</v>
      </c>
      <c r="G3833" s="27"/>
    </row>
    <row r="3834" hidden="1">
      <c r="A3834" s="21"/>
      <c r="B3834" s="21" t="s">
        <v>4689</v>
      </c>
      <c r="D3834" s="25">
        <v>0.0</v>
      </c>
      <c r="E3834" s="27"/>
      <c r="F3834" s="25">
        <v>0.0</v>
      </c>
      <c r="G3834" s="27"/>
    </row>
    <row r="3835" hidden="1">
      <c r="A3835" s="21"/>
      <c r="B3835" s="21" t="s">
        <v>4690</v>
      </c>
      <c r="D3835" s="25">
        <v>0.0</v>
      </c>
      <c r="E3835" s="27"/>
      <c r="F3835" s="25">
        <v>0.0</v>
      </c>
      <c r="G3835" s="27"/>
    </row>
    <row r="3836" hidden="1">
      <c r="A3836" s="21"/>
      <c r="B3836" s="21" t="s">
        <v>4691</v>
      </c>
      <c r="D3836" s="25">
        <v>0.0</v>
      </c>
      <c r="E3836" s="27"/>
      <c r="F3836" s="25">
        <v>0.0</v>
      </c>
      <c r="G3836" s="27"/>
    </row>
    <row r="3837" hidden="1">
      <c r="A3837" s="21"/>
      <c r="B3837" s="21" t="s">
        <v>4692</v>
      </c>
      <c r="D3837" s="25">
        <v>0.0</v>
      </c>
      <c r="E3837" s="27"/>
      <c r="F3837" s="25">
        <v>0.0</v>
      </c>
      <c r="G3837" s="27"/>
    </row>
    <row r="3838" hidden="1">
      <c r="A3838" s="21"/>
      <c r="B3838" s="21" t="s">
        <v>4693</v>
      </c>
      <c r="D3838" s="25">
        <v>0.0</v>
      </c>
      <c r="E3838" s="27"/>
      <c r="F3838" s="25">
        <v>0.0</v>
      </c>
      <c r="G3838" s="27"/>
    </row>
    <row r="3839" hidden="1">
      <c r="A3839" s="21"/>
      <c r="B3839" s="21" t="s">
        <v>4694</v>
      </c>
      <c r="D3839" s="25">
        <v>0.0</v>
      </c>
      <c r="E3839" s="27"/>
      <c r="F3839" s="25">
        <v>0.0</v>
      </c>
      <c r="G3839" s="27"/>
    </row>
    <row r="3840" hidden="1">
      <c r="A3840" s="21"/>
      <c r="B3840" s="21" t="s">
        <v>4695</v>
      </c>
      <c r="D3840" s="25">
        <v>0.0</v>
      </c>
      <c r="E3840" s="27"/>
      <c r="F3840" s="25">
        <v>0.0</v>
      </c>
      <c r="G3840" s="27"/>
    </row>
    <row r="3841" hidden="1">
      <c r="A3841" s="21"/>
      <c r="B3841" s="21" t="s">
        <v>4696</v>
      </c>
      <c r="D3841" s="25">
        <v>0.0</v>
      </c>
      <c r="E3841" s="27"/>
      <c r="F3841" s="25">
        <v>0.0</v>
      </c>
      <c r="G3841" s="27"/>
    </row>
    <row r="3842" hidden="1">
      <c r="A3842" s="21"/>
      <c r="B3842" s="21" t="s">
        <v>4697</v>
      </c>
      <c r="D3842" s="25">
        <v>0.0</v>
      </c>
      <c r="E3842" s="27"/>
      <c r="F3842" s="25">
        <v>5.59</v>
      </c>
      <c r="G3842" s="27"/>
    </row>
    <row r="3843" hidden="1">
      <c r="A3843" s="21"/>
      <c r="B3843" s="21" t="s">
        <v>4698</v>
      </c>
      <c r="D3843" s="25">
        <v>0.0</v>
      </c>
      <c r="E3843" s="27"/>
      <c r="F3843" s="25">
        <v>0.0</v>
      </c>
      <c r="G3843" s="27"/>
    </row>
    <row r="3844" hidden="1">
      <c r="A3844" s="21"/>
      <c r="B3844" s="21" t="s">
        <v>4699</v>
      </c>
      <c r="D3844" s="25">
        <v>0.0</v>
      </c>
      <c r="E3844" s="27"/>
      <c r="F3844" s="25">
        <v>0.0</v>
      </c>
      <c r="G3844" s="27"/>
    </row>
    <row r="3845" hidden="1">
      <c r="A3845" s="21"/>
      <c r="B3845" s="21" t="s">
        <v>4700</v>
      </c>
      <c r="D3845" s="25">
        <v>0.0</v>
      </c>
      <c r="E3845" s="27"/>
      <c r="F3845" s="25">
        <v>0.0</v>
      </c>
      <c r="G3845" s="27"/>
    </row>
    <row r="3846" hidden="1">
      <c r="A3846" s="21"/>
      <c r="B3846" s="21" t="s">
        <v>4701</v>
      </c>
      <c r="D3846" s="25">
        <v>0.0</v>
      </c>
      <c r="E3846" s="27"/>
      <c r="F3846" s="25">
        <v>0.0</v>
      </c>
      <c r="G3846" s="27"/>
    </row>
    <row r="3847" hidden="1">
      <c r="A3847" s="21"/>
      <c r="B3847" s="21" t="s">
        <v>4702</v>
      </c>
      <c r="D3847" s="25">
        <v>0.0</v>
      </c>
      <c r="E3847" s="27"/>
      <c r="F3847" s="25">
        <v>0.0</v>
      </c>
      <c r="G3847" s="27"/>
    </row>
    <row r="3848" hidden="1">
      <c r="A3848" s="21"/>
      <c r="B3848" s="21" t="s">
        <v>4703</v>
      </c>
      <c r="D3848" s="25">
        <v>0.0</v>
      </c>
      <c r="E3848" s="27"/>
      <c r="F3848" s="25">
        <v>0.0</v>
      </c>
      <c r="G3848" s="27"/>
    </row>
    <row r="3849" hidden="1">
      <c r="A3849" s="21"/>
      <c r="B3849" s="21" t="s">
        <v>4704</v>
      </c>
      <c r="D3849" s="25">
        <v>0.0</v>
      </c>
      <c r="E3849" s="27"/>
      <c r="F3849" s="25">
        <v>0.0</v>
      </c>
      <c r="G3849" s="27"/>
    </row>
    <row r="3850" hidden="1">
      <c r="A3850" s="21"/>
      <c r="B3850" s="21" t="s">
        <v>4705</v>
      </c>
      <c r="D3850" s="25">
        <v>0.0</v>
      </c>
      <c r="E3850" s="27"/>
      <c r="F3850" s="25">
        <v>0.0</v>
      </c>
      <c r="G3850" s="27"/>
    </row>
    <row r="3851" hidden="1">
      <c r="A3851" s="21"/>
      <c r="B3851" s="21" t="s">
        <v>4706</v>
      </c>
      <c r="D3851" s="25">
        <v>0.0</v>
      </c>
      <c r="E3851" s="27"/>
      <c r="F3851" s="25">
        <v>0.0</v>
      </c>
      <c r="G3851" s="27"/>
    </row>
    <row r="3852" hidden="1">
      <c r="A3852" s="21"/>
      <c r="B3852" s="21" t="s">
        <v>4707</v>
      </c>
      <c r="D3852" s="25">
        <v>0.0</v>
      </c>
      <c r="E3852" s="27"/>
      <c r="F3852" s="25">
        <v>0.0</v>
      </c>
      <c r="G3852" s="27"/>
    </row>
    <row r="3853" hidden="1">
      <c r="A3853" s="21"/>
      <c r="B3853" s="21" t="s">
        <v>4708</v>
      </c>
      <c r="D3853" s="25">
        <v>0.0</v>
      </c>
      <c r="E3853" s="27"/>
      <c r="F3853" s="25">
        <v>0.0</v>
      </c>
      <c r="G3853" s="27"/>
    </row>
    <row r="3854" hidden="1">
      <c r="A3854" s="21"/>
      <c r="B3854" s="21" t="s">
        <v>4709</v>
      </c>
      <c r="D3854" s="25">
        <v>0.0</v>
      </c>
      <c r="E3854" s="27"/>
      <c r="F3854" s="25">
        <v>0.0</v>
      </c>
      <c r="G3854" s="27"/>
    </row>
    <row r="3855" hidden="1">
      <c r="A3855" s="21"/>
      <c r="B3855" s="21" t="s">
        <v>4710</v>
      </c>
      <c r="D3855" s="25">
        <v>0.0</v>
      </c>
      <c r="E3855" s="27"/>
      <c r="F3855" s="25">
        <v>0.0</v>
      </c>
      <c r="G3855" s="27"/>
    </row>
    <row r="3856" hidden="1">
      <c r="A3856" s="21"/>
      <c r="B3856" s="21" t="s">
        <v>4711</v>
      </c>
      <c r="D3856" s="25">
        <v>0.0</v>
      </c>
      <c r="E3856" s="27"/>
      <c r="F3856" s="25">
        <v>0.0</v>
      </c>
      <c r="G3856" s="27"/>
    </row>
    <row r="3857" hidden="1">
      <c r="A3857" s="21"/>
      <c r="B3857" s="21" t="s">
        <v>4712</v>
      </c>
      <c r="D3857" s="25">
        <v>0.0</v>
      </c>
      <c r="E3857" s="27"/>
      <c r="F3857" s="25">
        <v>0.0</v>
      </c>
      <c r="G3857" s="27"/>
    </row>
    <row r="3858" hidden="1">
      <c r="A3858" s="21"/>
      <c r="B3858" s="21" t="s">
        <v>4713</v>
      </c>
      <c r="D3858" s="25">
        <v>0.0</v>
      </c>
      <c r="E3858" s="27"/>
      <c r="F3858" s="25">
        <v>0.0</v>
      </c>
      <c r="G3858" s="27"/>
    </row>
    <row r="3859" hidden="1">
      <c r="A3859" s="21"/>
      <c r="B3859" s="21" t="s">
        <v>4714</v>
      </c>
      <c r="D3859" s="25">
        <v>0.0</v>
      </c>
      <c r="E3859" s="27"/>
      <c r="F3859" s="25">
        <v>0.0</v>
      </c>
      <c r="G3859" s="27"/>
    </row>
    <row r="3860" hidden="1">
      <c r="A3860" s="21"/>
      <c r="B3860" s="21" t="s">
        <v>4715</v>
      </c>
      <c r="D3860" s="25">
        <v>0.0</v>
      </c>
      <c r="E3860" s="27"/>
      <c r="F3860" s="25">
        <v>0.0</v>
      </c>
      <c r="G3860" s="27"/>
    </row>
    <row r="3861" hidden="1">
      <c r="A3861" s="21"/>
      <c r="B3861" s="21" t="s">
        <v>4716</v>
      </c>
      <c r="D3861" s="25">
        <v>0.0</v>
      </c>
      <c r="E3861" s="27"/>
      <c r="F3861" s="25">
        <v>0.0</v>
      </c>
      <c r="G3861" s="27"/>
    </row>
    <row r="3862" hidden="1">
      <c r="A3862" s="21"/>
      <c r="B3862" s="21" t="s">
        <v>4717</v>
      </c>
      <c r="D3862" s="25">
        <v>0.0</v>
      </c>
      <c r="E3862" s="27"/>
      <c r="F3862" s="25">
        <v>0.0</v>
      </c>
      <c r="G3862" s="27"/>
    </row>
    <row r="3863" hidden="1">
      <c r="A3863" s="21"/>
      <c r="B3863" s="21" t="s">
        <v>4718</v>
      </c>
      <c r="D3863" s="25">
        <v>0.0</v>
      </c>
      <c r="E3863" s="27"/>
      <c r="F3863" s="25">
        <v>0.0</v>
      </c>
      <c r="G3863" s="27"/>
    </row>
    <row r="3864" hidden="1">
      <c r="A3864" s="21"/>
      <c r="B3864" s="21" t="s">
        <v>4719</v>
      </c>
      <c r="D3864" s="25">
        <v>0.0</v>
      </c>
      <c r="E3864" s="27"/>
      <c r="F3864" s="25">
        <v>0.0</v>
      </c>
      <c r="G3864" s="27"/>
    </row>
    <row r="3865" hidden="1">
      <c r="A3865" s="21"/>
      <c r="B3865" s="21" t="s">
        <v>4720</v>
      </c>
      <c r="D3865" s="25">
        <v>0.0</v>
      </c>
      <c r="E3865" s="27"/>
      <c r="F3865" s="25">
        <v>0.0</v>
      </c>
      <c r="G3865" s="27"/>
    </row>
    <row r="3866" hidden="1">
      <c r="A3866" s="21"/>
      <c r="B3866" s="21" t="s">
        <v>4721</v>
      </c>
      <c r="D3866" s="25">
        <v>0.0</v>
      </c>
      <c r="E3866" s="27"/>
      <c r="F3866" s="25">
        <v>0.0</v>
      </c>
      <c r="G3866" s="27"/>
    </row>
    <row r="3867" hidden="1">
      <c r="A3867" s="21"/>
      <c r="B3867" s="21" t="s">
        <v>4722</v>
      </c>
      <c r="D3867" s="25">
        <v>0.0</v>
      </c>
      <c r="E3867" s="27"/>
      <c r="F3867" s="25">
        <v>0.0</v>
      </c>
      <c r="G3867" s="27"/>
    </row>
    <row r="3868" hidden="1">
      <c r="A3868" s="21"/>
      <c r="B3868" s="21" t="s">
        <v>4723</v>
      </c>
      <c r="D3868" s="25">
        <v>0.0</v>
      </c>
      <c r="E3868" s="27"/>
      <c r="F3868" s="25">
        <v>0.0</v>
      </c>
      <c r="G3868" s="27"/>
    </row>
    <row r="3869" hidden="1">
      <c r="A3869" s="21"/>
      <c r="B3869" s="21" t="s">
        <v>4724</v>
      </c>
      <c r="D3869" s="25">
        <v>0.0</v>
      </c>
      <c r="E3869" s="27"/>
      <c r="F3869" s="25">
        <v>0.0</v>
      </c>
      <c r="G3869" s="27"/>
    </row>
    <row r="3870" hidden="1">
      <c r="A3870" s="21"/>
      <c r="B3870" s="21" t="s">
        <v>4725</v>
      </c>
      <c r="D3870" s="25">
        <v>0.0</v>
      </c>
      <c r="E3870" s="27"/>
      <c r="F3870" s="25">
        <v>0.0</v>
      </c>
      <c r="G3870" s="27"/>
    </row>
    <row r="3871" hidden="1">
      <c r="A3871" s="21"/>
      <c r="B3871" s="21" t="s">
        <v>4726</v>
      </c>
      <c r="D3871" s="25">
        <v>0.0</v>
      </c>
      <c r="E3871" s="27"/>
      <c r="F3871" s="25">
        <v>0.0</v>
      </c>
      <c r="G3871" s="27"/>
    </row>
    <row r="3872" hidden="1">
      <c r="A3872" s="21"/>
      <c r="B3872" s="21" t="s">
        <v>4727</v>
      </c>
      <c r="D3872" s="25">
        <v>0.0</v>
      </c>
      <c r="E3872" s="27"/>
      <c r="F3872" s="25">
        <v>0.0</v>
      </c>
      <c r="G3872" s="27"/>
    </row>
    <row r="3873" hidden="1">
      <c r="A3873" s="21"/>
      <c r="B3873" s="21" t="s">
        <v>4728</v>
      </c>
      <c r="D3873" s="25">
        <v>0.0</v>
      </c>
      <c r="E3873" s="27"/>
      <c r="F3873" s="25">
        <v>0.0</v>
      </c>
      <c r="G3873" s="27"/>
    </row>
    <row r="3874" hidden="1">
      <c r="A3874" s="21"/>
      <c r="B3874" s="21" t="s">
        <v>4729</v>
      </c>
      <c r="D3874" s="25">
        <v>0.0</v>
      </c>
      <c r="E3874" s="27"/>
      <c r="F3874" s="25">
        <v>0.0</v>
      </c>
      <c r="G3874" s="27"/>
    </row>
    <row r="3875" hidden="1">
      <c r="A3875" s="21"/>
      <c r="B3875" s="21" t="s">
        <v>4730</v>
      </c>
      <c r="D3875" s="25">
        <v>0.0</v>
      </c>
      <c r="E3875" s="27"/>
      <c r="F3875" s="25">
        <v>0.0</v>
      </c>
      <c r="G3875" s="27"/>
    </row>
    <row r="3876" hidden="1">
      <c r="A3876" s="21"/>
      <c r="B3876" s="21" t="s">
        <v>4731</v>
      </c>
      <c r="D3876" s="25">
        <v>0.0</v>
      </c>
      <c r="E3876" s="27"/>
      <c r="F3876" s="25">
        <v>0.0</v>
      </c>
      <c r="G3876" s="27"/>
    </row>
    <row r="3877" hidden="1">
      <c r="A3877" s="21"/>
      <c r="B3877" s="21" t="s">
        <v>4732</v>
      </c>
      <c r="D3877" s="25">
        <v>0.0</v>
      </c>
      <c r="E3877" s="27"/>
      <c r="F3877" s="25">
        <v>0.0</v>
      </c>
      <c r="G3877" s="27"/>
    </row>
    <row r="3878" hidden="1">
      <c r="A3878" s="21"/>
      <c r="B3878" s="21" t="s">
        <v>4733</v>
      </c>
      <c r="D3878" s="25">
        <v>0.0</v>
      </c>
      <c r="E3878" s="27"/>
      <c r="F3878" s="25">
        <v>0.0</v>
      </c>
      <c r="G3878" s="27"/>
    </row>
    <row r="3879" hidden="1">
      <c r="A3879" s="21"/>
      <c r="B3879" s="21" t="s">
        <v>4734</v>
      </c>
      <c r="D3879" s="25">
        <v>0.0</v>
      </c>
      <c r="E3879" s="27"/>
      <c r="F3879" s="25">
        <v>0.0</v>
      </c>
      <c r="G3879" s="27"/>
    </row>
    <row r="3880" hidden="1">
      <c r="A3880" s="21"/>
      <c r="B3880" s="21" t="s">
        <v>4735</v>
      </c>
      <c r="D3880" s="25">
        <v>0.0</v>
      </c>
      <c r="E3880" s="27"/>
      <c r="F3880" s="25">
        <v>0.0</v>
      </c>
      <c r="G3880" s="27"/>
    </row>
    <row r="3881" hidden="1">
      <c r="A3881" s="21"/>
      <c r="B3881" s="21" t="s">
        <v>4736</v>
      </c>
      <c r="D3881" s="25">
        <v>0.0</v>
      </c>
      <c r="E3881" s="27"/>
      <c r="F3881" s="25">
        <v>0.0</v>
      </c>
      <c r="G3881" s="27"/>
    </row>
    <row r="3882" hidden="1">
      <c r="A3882" s="21"/>
      <c r="B3882" s="21" t="s">
        <v>4737</v>
      </c>
      <c r="D3882" s="25">
        <v>0.0</v>
      </c>
      <c r="E3882" s="27"/>
      <c r="F3882" s="25">
        <v>0.0</v>
      </c>
      <c r="G3882" s="27"/>
    </row>
    <row r="3883" hidden="1">
      <c r="A3883" s="21"/>
      <c r="B3883" s="21" t="s">
        <v>4738</v>
      </c>
      <c r="D3883" s="25">
        <v>0.0</v>
      </c>
      <c r="E3883" s="27"/>
      <c r="F3883" s="25">
        <v>0.0</v>
      </c>
      <c r="G3883" s="27"/>
    </row>
    <row r="3884" hidden="1">
      <c r="A3884" s="21"/>
      <c r="B3884" s="21" t="s">
        <v>4739</v>
      </c>
      <c r="D3884" s="25">
        <v>0.0</v>
      </c>
      <c r="E3884" s="27"/>
      <c r="F3884" s="25">
        <v>0.0</v>
      </c>
      <c r="G3884" s="27"/>
    </row>
    <row r="3885" hidden="1">
      <c r="A3885" s="21"/>
      <c r="B3885" s="21" t="s">
        <v>4740</v>
      </c>
      <c r="D3885" s="25">
        <v>0.0</v>
      </c>
      <c r="E3885" s="27"/>
      <c r="F3885" s="25">
        <v>0.0</v>
      </c>
      <c r="G3885" s="27"/>
    </row>
    <row r="3886" hidden="1">
      <c r="A3886" s="21"/>
      <c r="B3886" s="21" t="s">
        <v>4741</v>
      </c>
      <c r="D3886" s="25">
        <v>0.0</v>
      </c>
      <c r="E3886" s="27"/>
      <c r="F3886" s="25">
        <v>0.0</v>
      </c>
      <c r="G3886" s="27"/>
    </row>
    <row r="3887" hidden="1">
      <c r="A3887" s="21"/>
      <c r="B3887" s="21" t="s">
        <v>4742</v>
      </c>
      <c r="D3887" s="25">
        <v>0.0</v>
      </c>
      <c r="E3887" s="27"/>
      <c r="F3887" s="25">
        <v>0.0</v>
      </c>
      <c r="G3887" s="27"/>
    </row>
    <row r="3888" hidden="1">
      <c r="A3888" s="21"/>
      <c r="B3888" s="21" t="s">
        <v>4743</v>
      </c>
      <c r="D3888" s="25">
        <v>0.0</v>
      </c>
      <c r="E3888" s="27"/>
      <c r="F3888" s="25">
        <v>0.0</v>
      </c>
      <c r="G3888" s="27"/>
    </row>
    <row r="3889" hidden="1">
      <c r="A3889" s="21"/>
      <c r="B3889" s="21" t="s">
        <v>4744</v>
      </c>
      <c r="D3889" s="25">
        <v>0.0</v>
      </c>
      <c r="E3889" s="27"/>
      <c r="F3889" s="25">
        <v>0.0</v>
      </c>
      <c r="G3889" s="27"/>
    </row>
    <row r="3890" hidden="1">
      <c r="A3890" s="21"/>
      <c r="B3890" s="21" t="s">
        <v>4745</v>
      </c>
      <c r="D3890" s="25">
        <v>0.0</v>
      </c>
      <c r="E3890" s="27"/>
      <c r="F3890" s="25">
        <v>0.0</v>
      </c>
      <c r="G3890" s="27"/>
    </row>
    <row r="3891" hidden="1">
      <c r="A3891" s="21"/>
      <c r="B3891" s="21" t="s">
        <v>4746</v>
      </c>
      <c r="D3891" s="25">
        <v>0.0</v>
      </c>
      <c r="E3891" s="27"/>
      <c r="F3891" s="25">
        <v>0.0</v>
      </c>
      <c r="G3891" s="27"/>
    </row>
    <row r="3892" hidden="1">
      <c r="A3892" s="21"/>
      <c r="B3892" s="21" t="s">
        <v>4747</v>
      </c>
      <c r="D3892" s="25">
        <v>0.0</v>
      </c>
      <c r="E3892" s="27"/>
      <c r="F3892" s="25">
        <v>0.0</v>
      </c>
      <c r="G3892" s="27"/>
    </row>
    <row r="3893" hidden="1">
      <c r="A3893" s="21"/>
      <c r="B3893" s="21" t="s">
        <v>4748</v>
      </c>
      <c r="D3893" s="25">
        <v>0.0</v>
      </c>
      <c r="E3893" s="27"/>
      <c r="F3893" s="25">
        <v>3.06</v>
      </c>
      <c r="G3893" s="27"/>
    </row>
    <row r="3894" hidden="1">
      <c r="A3894" s="21"/>
      <c r="B3894" s="21" t="s">
        <v>4749</v>
      </c>
      <c r="D3894" s="25">
        <v>0.0</v>
      </c>
      <c r="E3894" s="27"/>
      <c r="F3894" s="25">
        <v>0.0</v>
      </c>
      <c r="G3894" s="27"/>
    </row>
    <row r="3895" hidden="1">
      <c r="A3895" s="21"/>
      <c r="B3895" s="21" t="s">
        <v>4750</v>
      </c>
      <c r="D3895" s="25">
        <v>0.0</v>
      </c>
      <c r="E3895" s="27"/>
      <c r="F3895" s="25">
        <v>0.0</v>
      </c>
      <c r="G3895" s="27"/>
    </row>
    <row r="3896" hidden="1">
      <c r="A3896" s="21"/>
      <c r="B3896" s="21" t="s">
        <v>4751</v>
      </c>
      <c r="D3896" s="25">
        <v>0.0</v>
      </c>
      <c r="E3896" s="27"/>
      <c r="F3896" s="25">
        <v>0.0</v>
      </c>
      <c r="G3896" s="27"/>
    </row>
    <row r="3897" hidden="1">
      <c r="A3897" s="21"/>
      <c r="B3897" s="21" t="s">
        <v>4752</v>
      </c>
      <c r="D3897" s="25">
        <v>0.0</v>
      </c>
      <c r="E3897" s="27"/>
      <c r="F3897" s="25">
        <v>0.0</v>
      </c>
      <c r="G3897" s="27"/>
    </row>
    <row r="3898" hidden="1">
      <c r="A3898" s="21"/>
      <c r="B3898" s="21" t="s">
        <v>4753</v>
      </c>
      <c r="D3898" s="25">
        <v>0.0</v>
      </c>
      <c r="E3898" s="27"/>
      <c r="F3898" s="25">
        <v>0.0</v>
      </c>
      <c r="G3898" s="27"/>
    </row>
    <row r="3899" hidden="1">
      <c r="A3899" s="21"/>
      <c r="B3899" s="21" t="s">
        <v>4754</v>
      </c>
      <c r="D3899" s="25">
        <v>0.0</v>
      </c>
      <c r="E3899" s="27"/>
      <c r="F3899" s="25">
        <v>0.0</v>
      </c>
      <c r="G3899" s="27"/>
    </row>
    <row r="3900" hidden="1">
      <c r="A3900" s="21"/>
      <c r="B3900" s="21" t="s">
        <v>4755</v>
      </c>
      <c r="D3900" s="25">
        <v>0.0</v>
      </c>
      <c r="E3900" s="27"/>
      <c r="F3900" s="25">
        <v>0.0</v>
      </c>
      <c r="G3900" s="27"/>
    </row>
    <row r="3901" hidden="1">
      <c r="A3901" s="21"/>
      <c r="B3901" s="21" t="s">
        <v>4756</v>
      </c>
      <c r="D3901" s="25">
        <v>0.0</v>
      </c>
      <c r="E3901" s="27"/>
      <c r="F3901" s="25">
        <v>0.0</v>
      </c>
      <c r="G3901" s="27"/>
    </row>
    <row r="3902" hidden="1">
      <c r="A3902" s="21"/>
      <c r="B3902" s="21" t="s">
        <v>4757</v>
      </c>
      <c r="D3902" s="25">
        <v>0.0</v>
      </c>
      <c r="E3902" s="27"/>
      <c r="F3902" s="25">
        <v>0.0</v>
      </c>
      <c r="G3902" s="27"/>
    </row>
    <row r="3903" hidden="1">
      <c r="A3903" s="21"/>
      <c r="B3903" s="21" t="s">
        <v>4758</v>
      </c>
      <c r="D3903" s="25">
        <v>0.0</v>
      </c>
      <c r="E3903" s="27"/>
      <c r="F3903" s="25">
        <v>0.0</v>
      </c>
      <c r="G3903" s="27"/>
    </row>
    <row r="3904" hidden="1">
      <c r="A3904" s="21"/>
      <c r="B3904" s="21" t="s">
        <v>4759</v>
      </c>
      <c r="D3904" s="25">
        <v>0.0</v>
      </c>
      <c r="E3904" s="27"/>
      <c r="F3904" s="25">
        <v>0.0</v>
      </c>
      <c r="G3904" s="27"/>
    </row>
    <row r="3905" hidden="1">
      <c r="A3905" s="21"/>
      <c r="B3905" s="21" t="s">
        <v>4760</v>
      </c>
      <c r="D3905" s="25">
        <v>0.0</v>
      </c>
      <c r="E3905" s="27"/>
      <c r="F3905" s="25">
        <v>0.0</v>
      </c>
      <c r="G3905" s="27"/>
    </row>
    <row r="3906" hidden="1">
      <c r="A3906" s="21"/>
      <c r="B3906" s="21" t="s">
        <v>4761</v>
      </c>
      <c r="D3906" s="25">
        <v>0.0</v>
      </c>
      <c r="E3906" s="27"/>
      <c r="F3906" s="25">
        <v>0.0</v>
      </c>
      <c r="G3906" s="27"/>
    </row>
    <row r="3907" hidden="1">
      <c r="A3907" s="21"/>
      <c r="B3907" s="21" t="s">
        <v>4762</v>
      </c>
      <c r="D3907" s="25">
        <v>0.0</v>
      </c>
      <c r="E3907" s="27"/>
      <c r="F3907" s="25">
        <v>0.0</v>
      </c>
      <c r="G3907" s="27"/>
    </row>
    <row r="3908" hidden="1">
      <c r="A3908" s="21"/>
      <c r="B3908" s="21" t="s">
        <v>4763</v>
      </c>
      <c r="D3908" s="25">
        <v>0.0</v>
      </c>
      <c r="E3908" s="27"/>
      <c r="F3908" s="25">
        <v>0.0</v>
      </c>
      <c r="G3908" s="27"/>
    </row>
    <row r="3909" hidden="1">
      <c r="A3909" s="21"/>
      <c r="B3909" s="21" t="s">
        <v>4764</v>
      </c>
      <c r="D3909" s="25">
        <v>0.0</v>
      </c>
      <c r="E3909" s="27"/>
      <c r="F3909" s="25">
        <v>0.0</v>
      </c>
      <c r="G3909" s="27"/>
    </row>
    <row r="3910" hidden="1">
      <c r="A3910" s="21"/>
      <c r="B3910" s="21" t="s">
        <v>4765</v>
      </c>
      <c r="D3910" s="25">
        <v>0.0</v>
      </c>
      <c r="E3910" s="27"/>
      <c r="F3910" s="25">
        <v>0.0</v>
      </c>
      <c r="G3910" s="27"/>
    </row>
    <row r="3911" hidden="1">
      <c r="A3911" s="21"/>
      <c r="B3911" s="21" t="s">
        <v>4766</v>
      </c>
      <c r="D3911" s="25">
        <v>0.0</v>
      </c>
      <c r="E3911" s="27"/>
      <c r="F3911" s="25">
        <v>0.0</v>
      </c>
      <c r="G3911" s="27"/>
    </row>
    <row r="3912" hidden="1">
      <c r="A3912" s="21"/>
      <c r="B3912" s="21" t="s">
        <v>4767</v>
      </c>
      <c r="D3912" s="25">
        <v>0.0</v>
      </c>
      <c r="E3912" s="27"/>
      <c r="F3912" s="25">
        <v>0.0</v>
      </c>
      <c r="G3912" s="27"/>
    </row>
    <row r="3913" hidden="1">
      <c r="A3913" s="21"/>
      <c r="B3913" s="21" t="s">
        <v>4768</v>
      </c>
      <c r="D3913" s="25">
        <v>0.0</v>
      </c>
      <c r="E3913" s="27"/>
      <c r="F3913" s="25">
        <v>0.0</v>
      </c>
      <c r="G3913" s="27"/>
    </row>
    <row r="3914" hidden="1">
      <c r="A3914" s="21"/>
      <c r="B3914" s="21" t="s">
        <v>4769</v>
      </c>
      <c r="D3914" s="25">
        <v>0.0</v>
      </c>
      <c r="E3914" s="27"/>
      <c r="F3914" s="25">
        <v>0.0</v>
      </c>
      <c r="G3914" s="27"/>
    </row>
    <row r="3915" hidden="1">
      <c r="A3915" s="21"/>
      <c r="B3915" s="21" t="s">
        <v>4770</v>
      </c>
      <c r="D3915" s="25">
        <v>0.0</v>
      </c>
      <c r="E3915" s="27"/>
      <c r="F3915" s="25">
        <v>0.0</v>
      </c>
      <c r="G3915" s="27"/>
    </row>
    <row r="3916" hidden="1">
      <c r="A3916" s="21"/>
      <c r="B3916" s="21" t="s">
        <v>4771</v>
      </c>
      <c r="D3916" s="25">
        <v>0.0</v>
      </c>
      <c r="E3916" s="27"/>
      <c r="F3916" s="25">
        <v>0.0</v>
      </c>
      <c r="G3916" s="27"/>
    </row>
    <row r="3917" hidden="1">
      <c r="A3917" s="21"/>
      <c r="B3917" s="21" t="s">
        <v>4772</v>
      </c>
      <c r="D3917" s="25">
        <v>0.0</v>
      </c>
      <c r="E3917" s="27"/>
      <c r="F3917" s="25">
        <v>0.0</v>
      </c>
      <c r="G3917" s="27"/>
    </row>
    <row r="3918" hidden="1">
      <c r="A3918" s="21"/>
      <c r="B3918" s="21" t="s">
        <v>4773</v>
      </c>
      <c r="D3918" s="25">
        <v>0.0</v>
      </c>
      <c r="E3918" s="27"/>
      <c r="F3918" s="25">
        <v>0.0</v>
      </c>
      <c r="G3918" s="27"/>
    </row>
    <row r="3919" hidden="1">
      <c r="A3919" s="21"/>
      <c r="B3919" s="21" t="s">
        <v>4774</v>
      </c>
      <c r="D3919" s="25">
        <v>0.0</v>
      </c>
      <c r="E3919" s="27"/>
      <c r="F3919" s="25">
        <v>0.0</v>
      </c>
      <c r="G3919" s="27"/>
    </row>
    <row r="3920" hidden="1">
      <c r="A3920" s="21"/>
      <c r="B3920" s="21" t="s">
        <v>4775</v>
      </c>
      <c r="D3920" s="25">
        <v>0.0</v>
      </c>
      <c r="E3920" s="27"/>
      <c r="F3920" s="25">
        <v>0.0</v>
      </c>
      <c r="G3920" s="27"/>
    </row>
    <row r="3921" hidden="1">
      <c r="A3921" s="21"/>
      <c r="B3921" s="21" t="s">
        <v>4776</v>
      </c>
      <c r="D3921" s="25">
        <v>0.0</v>
      </c>
      <c r="E3921" s="27"/>
      <c r="F3921" s="25">
        <v>0.0</v>
      </c>
      <c r="G3921" s="27"/>
    </row>
    <row r="3922" hidden="1">
      <c r="A3922" s="21"/>
      <c r="B3922" s="21" t="s">
        <v>4777</v>
      </c>
      <c r="D3922" s="25">
        <v>0.0</v>
      </c>
      <c r="E3922" s="27"/>
      <c r="F3922" s="25">
        <v>0.0</v>
      </c>
      <c r="G3922" s="27"/>
    </row>
    <row r="3923" hidden="1">
      <c r="A3923" s="21"/>
      <c r="B3923" s="21" t="s">
        <v>4778</v>
      </c>
      <c r="D3923" s="25">
        <v>0.0</v>
      </c>
      <c r="E3923" s="27"/>
      <c r="F3923" s="25">
        <v>0.0</v>
      </c>
      <c r="G3923" s="27"/>
    </row>
    <row r="3924" hidden="1">
      <c r="A3924" s="21"/>
      <c r="B3924" s="21" t="s">
        <v>4779</v>
      </c>
      <c r="D3924" s="25">
        <v>0.0</v>
      </c>
      <c r="E3924" s="27"/>
      <c r="F3924" s="25">
        <v>0.0</v>
      </c>
      <c r="G3924" s="27"/>
    </row>
    <row r="3925" hidden="1">
      <c r="A3925" s="21"/>
      <c r="B3925" s="21" t="s">
        <v>4780</v>
      </c>
      <c r="D3925" s="25">
        <v>0.0</v>
      </c>
      <c r="E3925" s="27"/>
      <c r="F3925" s="25">
        <v>0.0</v>
      </c>
      <c r="G3925" s="27"/>
    </row>
    <row r="3926" hidden="1">
      <c r="A3926" s="21"/>
      <c r="B3926" s="21" t="s">
        <v>4781</v>
      </c>
      <c r="D3926" s="25">
        <v>0.0</v>
      </c>
      <c r="E3926" s="27"/>
      <c r="F3926" s="25">
        <v>0.0</v>
      </c>
      <c r="G3926" s="27"/>
    </row>
    <row r="3927" hidden="1">
      <c r="A3927" s="21"/>
      <c r="B3927" s="21" t="s">
        <v>4782</v>
      </c>
      <c r="D3927" s="25">
        <v>0.0</v>
      </c>
      <c r="E3927" s="27"/>
      <c r="F3927" s="25">
        <v>0.0</v>
      </c>
      <c r="G3927" s="27"/>
    </row>
    <row r="3928" hidden="1">
      <c r="A3928" s="21"/>
      <c r="B3928" s="21" t="s">
        <v>4783</v>
      </c>
      <c r="D3928" s="25">
        <v>0.0</v>
      </c>
      <c r="E3928" s="27"/>
      <c r="F3928" s="25">
        <v>0.0</v>
      </c>
      <c r="G3928" s="27"/>
    </row>
    <row r="3929" hidden="1">
      <c r="A3929" s="21"/>
      <c r="B3929" s="21" t="s">
        <v>4784</v>
      </c>
      <c r="D3929" s="25">
        <v>0.0</v>
      </c>
      <c r="E3929" s="27"/>
      <c r="F3929" s="25">
        <v>0.0</v>
      </c>
      <c r="G3929" s="27"/>
    </row>
    <row r="3930" hidden="1">
      <c r="A3930" s="21"/>
      <c r="B3930" s="21" t="s">
        <v>4785</v>
      </c>
      <c r="D3930" s="25">
        <v>0.0</v>
      </c>
      <c r="E3930" s="27"/>
      <c r="F3930" s="25">
        <v>0.0</v>
      </c>
      <c r="G3930" s="27"/>
    </row>
    <row r="3931" hidden="1">
      <c r="A3931" s="21"/>
      <c r="B3931" s="21" t="s">
        <v>4786</v>
      </c>
      <c r="D3931" s="25">
        <v>0.0</v>
      </c>
      <c r="E3931" s="27"/>
      <c r="F3931" s="25">
        <v>0.0</v>
      </c>
      <c r="G3931" s="27"/>
    </row>
    <row r="3932" hidden="1">
      <c r="A3932" s="21"/>
      <c r="B3932" s="21" t="s">
        <v>4787</v>
      </c>
      <c r="D3932" s="25">
        <v>0.0</v>
      </c>
      <c r="E3932" s="27"/>
      <c r="F3932" s="25">
        <v>0.0</v>
      </c>
      <c r="G3932" s="27"/>
    </row>
    <row r="3933" hidden="1">
      <c r="A3933" s="21"/>
      <c r="B3933" s="21" t="s">
        <v>4788</v>
      </c>
      <c r="D3933" s="25">
        <v>0.0</v>
      </c>
      <c r="E3933" s="27"/>
      <c r="F3933" s="25">
        <v>0.0</v>
      </c>
      <c r="G3933" s="27"/>
    </row>
    <row r="3934" hidden="1">
      <c r="A3934" s="21"/>
      <c r="B3934" s="21" t="s">
        <v>4789</v>
      </c>
      <c r="D3934" s="25">
        <v>0.0</v>
      </c>
      <c r="E3934" s="27"/>
      <c r="F3934" s="25">
        <v>0.0</v>
      </c>
      <c r="G3934" s="27"/>
    </row>
    <row r="3935" hidden="1">
      <c r="A3935" s="21"/>
      <c r="B3935" s="21" t="s">
        <v>4790</v>
      </c>
      <c r="D3935" s="25">
        <v>0.0</v>
      </c>
      <c r="E3935" s="27"/>
      <c r="F3935" s="25">
        <v>0.0</v>
      </c>
      <c r="G3935" s="27"/>
    </row>
    <row r="3936" hidden="1">
      <c r="A3936" s="21"/>
      <c r="B3936" s="21" t="s">
        <v>4791</v>
      </c>
      <c r="D3936" s="25">
        <v>0.0</v>
      </c>
      <c r="E3936" s="27"/>
      <c r="F3936" s="25">
        <v>0.0</v>
      </c>
      <c r="G3936" s="27"/>
    </row>
    <row r="3937" hidden="1">
      <c r="A3937" s="21"/>
      <c r="B3937" s="21" t="s">
        <v>4792</v>
      </c>
      <c r="D3937" s="25">
        <v>0.0</v>
      </c>
      <c r="E3937" s="27"/>
      <c r="F3937" s="25">
        <v>0.0</v>
      </c>
      <c r="G3937" s="27"/>
    </row>
    <row r="3938" hidden="1">
      <c r="A3938" s="21"/>
      <c r="B3938" s="21" t="s">
        <v>4793</v>
      </c>
      <c r="D3938" s="25">
        <v>0.0</v>
      </c>
      <c r="E3938" s="27"/>
      <c r="F3938" s="25">
        <v>0.0</v>
      </c>
      <c r="G3938" s="27"/>
    </row>
    <row r="3939" hidden="1">
      <c r="A3939" s="21"/>
      <c r="B3939" s="21" t="s">
        <v>4794</v>
      </c>
      <c r="D3939" s="25">
        <v>0.0</v>
      </c>
      <c r="E3939" s="27"/>
      <c r="F3939" s="25">
        <v>0.0</v>
      </c>
      <c r="G3939" s="27"/>
    </row>
    <row r="3940" hidden="1">
      <c r="A3940" s="21"/>
      <c r="B3940" s="21" t="s">
        <v>4795</v>
      </c>
      <c r="D3940" s="25">
        <v>0.0</v>
      </c>
      <c r="E3940" s="27"/>
      <c r="F3940" s="25">
        <v>0.0</v>
      </c>
      <c r="G3940" s="27"/>
    </row>
    <row r="3941" hidden="1">
      <c r="A3941" s="21"/>
      <c r="B3941" s="21" t="s">
        <v>4796</v>
      </c>
      <c r="D3941" s="25">
        <v>0.0</v>
      </c>
      <c r="E3941" s="27"/>
      <c r="F3941" s="25">
        <v>0.0</v>
      </c>
      <c r="G3941" s="27"/>
    </row>
    <row r="3942" hidden="1">
      <c r="A3942" s="21"/>
      <c r="B3942" s="21" t="s">
        <v>4797</v>
      </c>
      <c r="D3942" s="25">
        <v>0.0</v>
      </c>
      <c r="E3942" s="27"/>
      <c r="F3942" s="25">
        <v>0.0</v>
      </c>
      <c r="G3942" s="27"/>
    </row>
    <row r="3943" hidden="1">
      <c r="A3943" s="21"/>
      <c r="B3943" s="21" t="s">
        <v>4798</v>
      </c>
      <c r="D3943" s="25">
        <v>0.0</v>
      </c>
      <c r="E3943" s="27"/>
      <c r="F3943" s="25">
        <v>0.0</v>
      </c>
      <c r="G3943" s="27"/>
    </row>
    <row r="3944" hidden="1">
      <c r="A3944" s="21"/>
      <c r="B3944" s="21" t="s">
        <v>4799</v>
      </c>
      <c r="D3944" s="25">
        <v>0.0</v>
      </c>
      <c r="E3944" s="27"/>
      <c r="F3944" s="25">
        <v>0.0</v>
      </c>
      <c r="G3944" s="27"/>
    </row>
    <row r="3945" hidden="1">
      <c r="A3945" s="21"/>
      <c r="B3945" s="21" t="s">
        <v>4800</v>
      </c>
      <c r="D3945" s="25">
        <v>0.0</v>
      </c>
      <c r="E3945" s="27"/>
      <c r="F3945" s="25">
        <v>0.0</v>
      </c>
      <c r="G3945" s="27"/>
    </row>
    <row r="3946" hidden="1">
      <c r="A3946" s="21"/>
      <c r="B3946" s="21" t="s">
        <v>4801</v>
      </c>
      <c r="D3946" s="25">
        <v>0.0</v>
      </c>
      <c r="E3946" s="27"/>
      <c r="F3946" s="25">
        <v>0.0</v>
      </c>
      <c r="G3946" s="27"/>
    </row>
    <row r="3947" hidden="1">
      <c r="A3947" s="21"/>
      <c r="B3947" s="21" t="s">
        <v>4802</v>
      </c>
      <c r="D3947" s="25">
        <v>0.0</v>
      </c>
      <c r="E3947" s="27"/>
      <c r="F3947" s="25">
        <v>0.0</v>
      </c>
      <c r="G3947" s="27"/>
    </row>
    <row r="3948" hidden="1">
      <c r="A3948" s="21"/>
      <c r="B3948" s="21" t="s">
        <v>4803</v>
      </c>
      <c r="D3948" s="25">
        <v>0.0</v>
      </c>
      <c r="E3948" s="27"/>
      <c r="F3948" s="25">
        <v>3.06</v>
      </c>
      <c r="G3948" s="27"/>
    </row>
    <row r="3949" hidden="1">
      <c r="A3949" s="21"/>
      <c r="B3949" s="21" t="s">
        <v>4804</v>
      </c>
      <c r="D3949" s="25">
        <v>0.0</v>
      </c>
      <c r="E3949" s="27"/>
      <c r="F3949" s="25">
        <v>0.0</v>
      </c>
      <c r="G3949" s="27"/>
    </row>
    <row r="3950" hidden="1">
      <c r="A3950" s="21"/>
      <c r="B3950" s="21" t="s">
        <v>4805</v>
      </c>
      <c r="D3950" s="25">
        <v>0.0</v>
      </c>
      <c r="E3950" s="27"/>
      <c r="F3950" s="25">
        <v>0.0</v>
      </c>
      <c r="G3950" s="27"/>
    </row>
    <row r="3951" hidden="1">
      <c r="A3951" s="21"/>
      <c r="B3951" s="21" t="s">
        <v>4806</v>
      </c>
      <c r="D3951" s="25">
        <v>0.0</v>
      </c>
      <c r="E3951" s="27"/>
      <c r="F3951" s="25">
        <v>0.0</v>
      </c>
      <c r="G3951" s="27"/>
    </row>
    <row r="3952" hidden="1">
      <c r="A3952" s="21"/>
      <c r="B3952" s="21" t="s">
        <v>4807</v>
      </c>
      <c r="D3952" s="25">
        <v>0.0</v>
      </c>
      <c r="E3952" s="27"/>
      <c r="F3952" s="25">
        <v>0.0</v>
      </c>
      <c r="G3952" s="27"/>
    </row>
    <row r="3953" hidden="1">
      <c r="A3953" s="21"/>
      <c r="B3953" s="21" t="s">
        <v>4808</v>
      </c>
      <c r="D3953" s="25">
        <v>0.0</v>
      </c>
      <c r="E3953" s="27"/>
      <c r="F3953" s="25">
        <v>0.0</v>
      </c>
      <c r="G3953" s="27"/>
    </row>
    <row r="3954" hidden="1">
      <c r="A3954" s="21"/>
      <c r="B3954" s="21" t="s">
        <v>4809</v>
      </c>
      <c r="D3954" s="25">
        <v>0.0</v>
      </c>
      <c r="E3954" s="27"/>
      <c r="F3954" s="25">
        <v>0.0</v>
      </c>
      <c r="G3954" s="27"/>
    </row>
    <row r="3955" hidden="1">
      <c r="A3955" s="21"/>
      <c r="B3955" s="21" t="s">
        <v>4810</v>
      </c>
      <c r="D3955" s="25">
        <v>0.0</v>
      </c>
      <c r="E3955" s="27"/>
      <c r="F3955" s="25">
        <v>0.0</v>
      </c>
      <c r="G3955" s="27"/>
    </row>
    <row r="3956" hidden="1">
      <c r="A3956" s="21"/>
      <c r="B3956" s="21" t="s">
        <v>4811</v>
      </c>
      <c r="D3956" s="25">
        <v>0.0</v>
      </c>
      <c r="E3956" s="27"/>
      <c r="F3956" s="25">
        <v>0.0</v>
      </c>
      <c r="G3956" s="27"/>
    </row>
    <row r="3957" hidden="1">
      <c r="A3957" s="21"/>
      <c r="B3957" s="21" t="s">
        <v>4812</v>
      </c>
      <c r="D3957" s="25">
        <v>0.0</v>
      </c>
      <c r="E3957" s="27"/>
      <c r="F3957" s="25">
        <v>0.0</v>
      </c>
      <c r="G3957" s="27"/>
    </row>
    <row r="3958" hidden="1">
      <c r="A3958" s="21"/>
      <c r="B3958" s="21" t="s">
        <v>4813</v>
      </c>
      <c r="D3958" s="25">
        <v>0.0</v>
      </c>
      <c r="E3958" s="27"/>
      <c r="F3958" s="25">
        <v>0.0</v>
      </c>
      <c r="G3958" s="27"/>
    </row>
    <row r="3959" hidden="1">
      <c r="A3959" s="21"/>
      <c r="B3959" s="21" t="s">
        <v>4814</v>
      </c>
      <c r="D3959" s="25">
        <v>0.0</v>
      </c>
      <c r="E3959" s="27"/>
      <c r="F3959" s="25">
        <v>0.0</v>
      </c>
      <c r="G3959" s="27"/>
    </row>
    <row r="3960" hidden="1">
      <c r="A3960" s="21"/>
      <c r="B3960" s="21" t="s">
        <v>4815</v>
      </c>
      <c r="D3960" s="25">
        <v>0.0</v>
      </c>
      <c r="E3960" s="27"/>
      <c r="F3960" s="25">
        <v>0.0</v>
      </c>
      <c r="G3960" s="27"/>
    </row>
    <row r="3961" hidden="1">
      <c r="A3961" s="21"/>
      <c r="B3961" s="21" t="s">
        <v>4816</v>
      </c>
      <c r="D3961" s="25">
        <v>0.0</v>
      </c>
      <c r="E3961" s="27"/>
      <c r="F3961" s="25">
        <v>0.0</v>
      </c>
      <c r="G3961" s="27"/>
    </row>
    <row r="3962" hidden="1">
      <c r="A3962" s="21"/>
      <c r="B3962" s="21" t="s">
        <v>4817</v>
      </c>
      <c r="D3962" s="25">
        <v>0.0</v>
      </c>
      <c r="E3962" s="27"/>
      <c r="F3962" s="25">
        <v>0.61</v>
      </c>
      <c r="G3962" s="27"/>
    </row>
    <row r="3963" hidden="1">
      <c r="A3963" s="21"/>
      <c r="B3963" s="21" t="s">
        <v>4818</v>
      </c>
      <c r="D3963" s="25">
        <v>0.0</v>
      </c>
      <c r="E3963" s="27"/>
      <c r="F3963" s="25">
        <v>0.0</v>
      </c>
      <c r="G3963" s="27"/>
    </row>
    <row r="3964" hidden="1">
      <c r="A3964" s="21"/>
      <c r="B3964" s="21" t="s">
        <v>4819</v>
      </c>
      <c r="D3964" s="25">
        <v>0.0</v>
      </c>
      <c r="E3964" s="27"/>
      <c r="F3964" s="25">
        <v>0.0</v>
      </c>
      <c r="G3964" s="27"/>
    </row>
    <row r="3965" hidden="1">
      <c r="A3965" s="21"/>
      <c r="B3965" s="21" t="s">
        <v>4820</v>
      </c>
      <c r="D3965" s="25">
        <v>0.0</v>
      </c>
      <c r="E3965" s="27"/>
      <c r="F3965" s="25">
        <v>0.0</v>
      </c>
      <c r="G3965" s="27"/>
    </row>
    <row r="3966" hidden="1">
      <c r="A3966" s="21"/>
      <c r="B3966" s="21" t="s">
        <v>4821</v>
      </c>
      <c r="D3966" s="25">
        <v>0.0</v>
      </c>
      <c r="E3966" s="27"/>
      <c r="F3966" s="25">
        <v>0.0</v>
      </c>
      <c r="G3966" s="27"/>
    </row>
    <row r="3967" hidden="1">
      <c r="A3967" s="21"/>
      <c r="B3967" s="21" t="s">
        <v>4822</v>
      </c>
      <c r="D3967" s="25">
        <v>0.0</v>
      </c>
      <c r="E3967" s="27"/>
      <c r="F3967" s="25">
        <v>0.0</v>
      </c>
      <c r="G3967" s="27"/>
    </row>
    <row r="3968" hidden="1">
      <c r="A3968" s="21"/>
      <c r="B3968" s="21" t="s">
        <v>4823</v>
      </c>
      <c r="D3968" s="25">
        <v>0.0</v>
      </c>
      <c r="E3968" s="27"/>
      <c r="F3968" s="25">
        <v>0.0</v>
      </c>
      <c r="G3968" s="27"/>
    </row>
    <row r="3969" hidden="1">
      <c r="A3969" s="21"/>
      <c r="B3969" s="21" t="s">
        <v>4824</v>
      </c>
      <c r="D3969" s="25">
        <v>0.0</v>
      </c>
      <c r="E3969" s="27"/>
      <c r="F3969" s="25">
        <v>0.0</v>
      </c>
      <c r="G3969" s="27"/>
    </row>
    <row r="3970" hidden="1">
      <c r="A3970" s="21"/>
      <c r="B3970" s="21" t="s">
        <v>4825</v>
      </c>
      <c r="D3970" s="25">
        <v>0.0</v>
      </c>
      <c r="E3970" s="27"/>
      <c r="F3970" s="25">
        <v>0.0</v>
      </c>
      <c r="G3970" s="27"/>
    </row>
    <row r="3971" hidden="1">
      <c r="A3971" s="21"/>
      <c r="B3971" s="21" t="s">
        <v>4826</v>
      </c>
      <c r="D3971" s="25">
        <v>0.0</v>
      </c>
      <c r="E3971" s="27"/>
      <c r="F3971" s="25">
        <v>0.0</v>
      </c>
      <c r="G3971" s="27"/>
    </row>
    <row r="3972" hidden="1">
      <c r="A3972" s="21"/>
      <c r="B3972" s="21" t="s">
        <v>4827</v>
      </c>
      <c r="D3972" s="25">
        <v>0.0</v>
      </c>
      <c r="E3972" s="27"/>
      <c r="F3972" s="25">
        <v>0.0</v>
      </c>
      <c r="G3972" s="27"/>
    </row>
    <row r="3973" hidden="1">
      <c r="A3973" s="21"/>
      <c r="B3973" s="21" t="s">
        <v>4828</v>
      </c>
      <c r="D3973" s="25">
        <v>0.0</v>
      </c>
      <c r="E3973" s="27"/>
      <c r="F3973" s="25">
        <v>0.0</v>
      </c>
      <c r="G3973" s="27"/>
    </row>
    <row r="3974" hidden="1">
      <c r="A3974" s="21"/>
      <c r="B3974" s="21" t="s">
        <v>4829</v>
      </c>
      <c r="D3974" s="25">
        <v>0.0</v>
      </c>
      <c r="E3974" s="27"/>
      <c r="F3974" s="25">
        <v>0.0</v>
      </c>
      <c r="G3974" s="27"/>
    </row>
    <row r="3975" hidden="1">
      <c r="A3975" s="21"/>
      <c r="B3975" s="21" t="s">
        <v>4830</v>
      </c>
      <c r="D3975" s="25">
        <v>0.0</v>
      </c>
      <c r="E3975" s="27"/>
      <c r="F3975" s="25">
        <v>0.0</v>
      </c>
      <c r="G3975" s="27"/>
    </row>
    <row r="3976" hidden="1">
      <c r="A3976" s="21"/>
      <c r="B3976" s="21" t="s">
        <v>4831</v>
      </c>
      <c r="D3976" s="25">
        <v>0.0</v>
      </c>
      <c r="E3976" s="27"/>
      <c r="F3976" s="25">
        <v>0.0</v>
      </c>
      <c r="G3976" s="27"/>
    </row>
    <row r="3977" hidden="1">
      <c r="A3977" s="21"/>
      <c r="B3977" s="21" t="s">
        <v>4832</v>
      </c>
      <c r="D3977" s="25">
        <v>0.0</v>
      </c>
      <c r="E3977" s="27"/>
      <c r="F3977" s="25">
        <v>0.0</v>
      </c>
      <c r="G3977" s="27"/>
    </row>
    <row r="3978" hidden="1">
      <c r="A3978" s="21"/>
      <c r="B3978" s="21" t="s">
        <v>4833</v>
      </c>
      <c r="D3978" s="25">
        <v>0.0</v>
      </c>
      <c r="E3978" s="27"/>
      <c r="F3978" s="25">
        <v>0.0</v>
      </c>
      <c r="G3978" s="27"/>
    </row>
    <row r="3979" hidden="1">
      <c r="A3979" s="21"/>
      <c r="B3979" s="21" t="s">
        <v>4834</v>
      </c>
      <c r="D3979" s="25">
        <v>0.0</v>
      </c>
      <c r="E3979" s="27"/>
      <c r="F3979" s="25">
        <v>0.0</v>
      </c>
      <c r="G3979" s="27"/>
    </row>
    <row r="3980" hidden="1">
      <c r="A3980" s="21"/>
      <c r="B3980" s="21" t="s">
        <v>4835</v>
      </c>
      <c r="D3980" s="25">
        <v>0.0</v>
      </c>
      <c r="E3980" s="27"/>
      <c r="F3980" s="25">
        <v>0.0</v>
      </c>
      <c r="G3980" s="27"/>
    </row>
    <row r="3981" hidden="1">
      <c r="A3981" s="21"/>
      <c r="B3981" s="21" t="s">
        <v>4836</v>
      </c>
      <c r="D3981" s="25">
        <v>0.0</v>
      </c>
      <c r="E3981" s="27"/>
      <c r="F3981" s="25">
        <v>0.0</v>
      </c>
      <c r="G3981" s="27"/>
    </row>
    <row r="3982" hidden="1">
      <c r="A3982" s="21"/>
      <c r="B3982" s="21" t="s">
        <v>4837</v>
      </c>
      <c r="D3982" s="25">
        <v>0.0</v>
      </c>
      <c r="E3982" s="27"/>
      <c r="F3982" s="25">
        <v>0.0</v>
      </c>
      <c r="G3982" s="27"/>
    </row>
    <row r="3983" hidden="1">
      <c r="A3983" s="21"/>
      <c r="B3983" s="21" t="s">
        <v>4838</v>
      </c>
      <c r="D3983" s="25">
        <v>0.0</v>
      </c>
      <c r="E3983" s="27"/>
      <c r="F3983" s="25">
        <v>0.0</v>
      </c>
      <c r="G3983" s="27"/>
    </row>
    <row r="3984" hidden="1">
      <c r="A3984" s="21"/>
      <c r="B3984" s="21" t="s">
        <v>4839</v>
      </c>
      <c r="D3984" s="25">
        <v>0.0</v>
      </c>
      <c r="E3984" s="27"/>
      <c r="F3984" s="25">
        <v>0.0</v>
      </c>
      <c r="G3984" s="27"/>
    </row>
    <row r="3985" hidden="1">
      <c r="A3985" s="21"/>
      <c r="B3985" s="21" t="s">
        <v>4840</v>
      </c>
      <c r="D3985" s="25">
        <v>0.0</v>
      </c>
      <c r="E3985" s="27"/>
      <c r="F3985" s="25">
        <v>0.0</v>
      </c>
      <c r="G3985" s="27"/>
    </row>
    <row r="3986" hidden="1">
      <c r="A3986" s="21"/>
      <c r="B3986" s="21" t="s">
        <v>4841</v>
      </c>
      <c r="D3986" s="25">
        <v>0.0</v>
      </c>
      <c r="E3986" s="27"/>
      <c r="F3986" s="25">
        <v>0.0</v>
      </c>
      <c r="G3986" s="27"/>
    </row>
    <row r="3987" hidden="1">
      <c r="A3987" s="21"/>
      <c r="B3987" s="21" t="s">
        <v>613</v>
      </c>
      <c r="D3987" s="25">
        <v>0.0</v>
      </c>
      <c r="E3987" s="27"/>
      <c r="F3987" s="25">
        <v>0.0</v>
      </c>
      <c r="G3987" s="27"/>
    </row>
    <row r="3988" hidden="1">
      <c r="A3988" s="21"/>
      <c r="B3988" s="21" t="s">
        <v>614</v>
      </c>
      <c r="D3988" s="25">
        <v>0.0</v>
      </c>
      <c r="E3988" s="27"/>
      <c r="F3988" s="25">
        <v>0.0</v>
      </c>
      <c r="G3988" s="27"/>
    </row>
    <row r="3989" hidden="1">
      <c r="A3989" s="21"/>
      <c r="B3989" s="21" t="s">
        <v>615</v>
      </c>
      <c r="D3989" s="25">
        <v>0.0</v>
      </c>
      <c r="E3989" s="27"/>
      <c r="F3989" s="25">
        <v>0.0</v>
      </c>
      <c r="G3989" s="27"/>
    </row>
    <row r="3990" hidden="1">
      <c r="A3990" s="21"/>
      <c r="B3990" s="21" t="s">
        <v>616</v>
      </c>
      <c r="D3990" s="25">
        <v>0.0</v>
      </c>
      <c r="E3990" s="27"/>
      <c r="F3990" s="25">
        <v>0.0</v>
      </c>
      <c r="G3990" s="27"/>
    </row>
    <row r="3991" hidden="1">
      <c r="A3991" s="21"/>
      <c r="B3991" s="21" t="s">
        <v>617</v>
      </c>
      <c r="D3991" s="25">
        <v>0.0</v>
      </c>
      <c r="E3991" s="27"/>
      <c r="F3991" s="25">
        <v>0.0</v>
      </c>
      <c r="G3991" s="27"/>
    </row>
    <row r="3992" hidden="1">
      <c r="A3992" s="21"/>
      <c r="B3992" s="21" t="s">
        <v>618</v>
      </c>
      <c r="D3992" s="25">
        <v>0.0</v>
      </c>
      <c r="E3992" s="27"/>
      <c r="F3992" s="25">
        <v>0.0</v>
      </c>
      <c r="G3992" s="27"/>
    </row>
    <row r="3993" hidden="1">
      <c r="A3993" s="21"/>
      <c r="B3993" s="21" t="s">
        <v>619</v>
      </c>
      <c r="D3993" s="25">
        <v>0.0</v>
      </c>
      <c r="E3993" s="27"/>
      <c r="F3993" s="25">
        <v>0.0</v>
      </c>
      <c r="G3993" s="27"/>
    </row>
    <row r="3994" hidden="1">
      <c r="A3994" s="21"/>
      <c r="B3994" s="21" t="s">
        <v>620</v>
      </c>
      <c r="D3994" s="25">
        <v>0.0</v>
      </c>
      <c r="E3994" s="27"/>
      <c r="F3994" s="25">
        <v>0.0</v>
      </c>
      <c r="G3994" s="27"/>
    </row>
    <row r="3995" hidden="1">
      <c r="A3995" s="21"/>
      <c r="B3995" s="21" t="s">
        <v>621</v>
      </c>
      <c r="D3995" s="25">
        <v>0.0</v>
      </c>
      <c r="E3995" s="27"/>
      <c r="F3995" s="25">
        <v>3.2</v>
      </c>
      <c r="G3995" s="27"/>
    </row>
    <row r="3996" hidden="1">
      <c r="A3996" s="21"/>
      <c r="B3996" s="21" t="s">
        <v>622</v>
      </c>
      <c r="D3996" s="25">
        <v>0.0</v>
      </c>
      <c r="E3996" s="27"/>
      <c r="F3996" s="25">
        <v>0.0</v>
      </c>
      <c r="G3996" s="27"/>
    </row>
    <row r="3997" hidden="1">
      <c r="A3997" s="21"/>
      <c r="B3997" s="21" t="s">
        <v>623</v>
      </c>
      <c r="D3997" s="25">
        <v>0.0</v>
      </c>
      <c r="E3997" s="27"/>
      <c r="F3997" s="25">
        <v>0.0</v>
      </c>
      <c r="G3997" s="27"/>
    </row>
    <row r="3998" hidden="1">
      <c r="A3998" s="21"/>
      <c r="B3998" s="21" t="s">
        <v>624</v>
      </c>
      <c r="D3998" s="25">
        <v>0.0</v>
      </c>
      <c r="E3998" s="27"/>
      <c r="F3998" s="25">
        <v>0.0</v>
      </c>
      <c r="G3998" s="27"/>
    </row>
    <row r="3999" hidden="1">
      <c r="A3999" s="21"/>
      <c r="B3999" s="21" t="s">
        <v>625</v>
      </c>
      <c r="D3999" s="25">
        <v>0.0</v>
      </c>
      <c r="E3999" s="27"/>
      <c r="F3999" s="25">
        <v>3.11</v>
      </c>
      <c r="G3999" s="27"/>
    </row>
    <row r="4000" hidden="1">
      <c r="A4000" s="21"/>
      <c r="B4000" s="21" t="s">
        <v>626</v>
      </c>
      <c r="D4000" s="25">
        <v>0.0</v>
      </c>
      <c r="E4000" s="27"/>
      <c r="F4000" s="25">
        <v>0.0</v>
      </c>
      <c r="G4000" s="27"/>
    </row>
    <row r="4001" hidden="1">
      <c r="A4001" s="21"/>
      <c r="B4001" s="21" t="s">
        <v>627</v>
      </c>
      <c r="D4001" s="25">
        <v>0.0</v>
      </c>
      <c r="E4001" s="27"/>
      <c r="F4001" s="25">
        <v>0.0</v>
      </c>
      <c r="G4001" s="27"/>
    </row>
    <row r="4002" hidden="1">
      <c r="A4002" s="21"/>
      <c r="B4002" s="21" t="s">
        <v>628</v>
      </c>
      <c r="D4002" s="25">
        <v>0.0</v>
      </c>
      <c r="E4002" s="27"/>
      <c r="F4002" s="25">
        <v>0.0</v>
      </c>
      <c r="G4002" s="27"/>
    </row>
    <row r="4003" hidden="1">
      <c r="A4003" s="21"/>
      <c r="B4003" s="21" t="s">
        <v>629</v>
      </c>
      <c r="D4003" s="25">
        <v>0.0</v>
      </c>
      <c r="E4003" s="27"/>
      <c r="F4003" s="25">
        <v>0.0</v>
      </c>
      <c r="G4003" s="27"/>
    </row>
    <row r="4004" hidden="1">
      <c r="A4004" s="21"/>
      <c r="B4004" s="21" t="s">
        <v>630</v>
      </c>
      <c r="D4004" s="25">
        <v>0.0</v>
      </c>
      <c r="E4004" s="27"/>
      <c r="F4004" s="25">
        <v>0.0</v>
      </c>
      <c r="G4004" s="27"/>
    </row>
    <row r="4005" hidden="1">
      <c r="A4005" s="21"/>
      <c r="B4005" s="21" t="s">
        <v>631</v>
      </c>
      <c r="D4005" s="25">
        <v>0.0</v>
      </c>
      <c r="E4005" s="27"/>
      <c r="F4005" s="25">
        <v>0.0</v>
      </c>
      <c r="G4005" s="27"/>
    </row>
    <row r="4006" hidden="1">
      <c r="A4006" s="21"/>
      <c r="B4006" s="21" t="s">
        <v>632</v>
      </c>
      <c r="D4006" s="25">
        <v>0.0</v>
      </c>
      <c r="E4006" s="27"/>
      <c r="F4006" s="25">
        <v>0.0</v>
      </c>
      <c r="G4006" s="27"/>
    </row>
    <row r="4007" hidden="1">
      <c r="A4007" s="21"/>
      <c r="B4007" s="21" t="s">
        <v>633</v>
      </c>
      <c r="D4007" s="25">
        <v>0.0</v>
      </c>
      <c r="E4007" s="27"/>
      <c r="F4007" s="25">
        <v>0.0</v>
      </c>
      <c r="G4007" s="27"/>
    </row>
    <row r="4008" hidden="1">
      <c r="A4008" s="21"/>
      <c r="B4008" s="21" t="s">
        <v>634</v>
      </c>
      <c r="D4008" s="25">
        <v>0.0</v>
      </c>
      <c r="E4008" s="27"/>
      <c r="F4008" s="25">
        <v>0.0</v>
      </c>
      <c r="G4008" s="27"/>
    </row>
    <row r="4009" hidden="1">
      <c r="A4009" s="21"/>
      <c r="B4009" s="21" t="s">
        <v>635</v>
      </c>
      <c r="D4009" s="25">
        <v>0.0</v>
      </c>
      <c r="E4009" s="27"/>
      <c r="F4009" s="25">
        <v>0.0</v>
      </c>
      <c r="G4009" s="27"/>
    </row>
    <row r="4010" hidden="1">
      <c r="A4010" s="21"/>
      <c r="B4010" s="21" t="s">
        <v>636</v>
      </c>
      <c r="D4010" s="25">
        <v>0.0</v>
      </c>
      <c r="E4010" s="27"/>
      <c r="F4010" s="25">
        <v>0.0</v>
      </c>
      <c r="G4010" s="27"/>
    </row>
    <row r="4011" hidden="1">
      <c r="A4011" s="21"/>
      <c r="B4011" s="21" t="s">
        <v>637</v>
      </c>
      <c r="D4011" s="25">
        <v>0.0</v>
      </c>
      <c r="E4011" s="27"/>
      <c r="F4011" s="25">
        <v>0.0</v>
      </c>
      <c r="G4011" s="27"/>
    </row>
    <row r="4012" hidden="1">
      <c r="A4012" s="21"/>
      <c r="B4012" s="21" t="s">
        <v>638</v>
      </c>
      <c r="D4012" s="25">
        <v>0.0</v>
      </c>
      <c r="E4012" s="27"/>
      <c r="F4012" s="25">
        <v>0.0</v>
      </c>
      <c r="G4012" s="27"/>
    </row>
    <row r="4013" hidden="1">
      <c r="A4013" s="21"/>
      <c r="B4013" s="21" t="s">
        <v>639</v>
      </c>
      <c r="D4013" s="25">
        <v>0.0</v>
      </c>
      <c r="E4013" s="27"/>
      <c r="F4013" s="25">
        <v>0.0</v>
      </c>
      <c r="G4013" s="27"/>
    </row>
    <row r="4014" hidden="1">
      <c r="A4014" s="21"/>
      <c r="B4014" s="21" t="s">
        <v>640</v>
      </c>
      <c r="D4014" s="25">
        <v>0.0</v>
      </c>
      <c r="E4014" s="27"/>
      <c r="F4014" s="25">
        <v>0.0</v>
      </c>
      <c r="G4014" s="27"/>
    </row>
    <row r="4015" hidden="1">
      <c r="A4015" s="21"/>
      <c r="B4015" s="21" t="s">
        <v>641</v>
      </c>
      <c r="D4015" s="25">
        <v>0.0</v>
      </c>
      <c r="E4015" s="27"/>
      <c r="F4015" s="25">
        <v>0.0</v>
      </c>
      <c r="G4015" s="27"/>
    </row>
    <row r="4016" hidden="1">
      <c r="A4016" s="21"/>
      <c r="B4016" s="21" t="s">
        <v>642</v>
      </c>
      <c r="D4016" s="25">
        <v>0.0</v>
      </c>
      <c r="E4016" s="27"/>
      <c r="F4016" s="25">
        <v>0.0</v>
      </c>
      <c r="G4016" s="27"/>
    </row>
    <row r="4017" hidden="1">
      <c r="A4017" s="21"/>
      <c r="B4017" s="21" t="s">
        <v>643</v>
      </c>
      <c r="D4017" s="25">
        <v>0.0</v>
      </c>
      <c r="E4017" s="27"/>
      <c r="F4017" s="25">
        <v>0.0</v>
      </c>
      <c r="G4017" s="27"/>
    </row>
    <row r="4018" hidden="1">
      <c r="A4018" s="21"/>
      <c r="B4018" s="21" t="s">
        <v>644</v>
      </c>
      <c r="D4018" s="25">
        <v>0.0</v>
      </c>
      <c r="E4018" s="27"/>
      <c r="F4018" s="25">
        <v>0.0</v>
      </c>
      <c r="G4018" s="27"/>
    </row>
    <row r="4019" hidden="1">
      <c r="A4019" s="21"/>
      <c r="B4019" s="21" t="s">
        <v>645</v>
      </c>
      <c r="D4019" s="25">
        <v>0.0</v>
      </c>
      <c r="E4019" s="27"/>
      <c r="F4019" s="25">
        <v>0.0</v>
      </c>
      <c r="G4019" s="27"/>
    </row>
    <row r="4020" hidden="1">
      <c r="A4020" s="21"/>
      <c r="B4020" s="21" t="s">
        <v>4842</v>
      </c>
      <c r="D4020" s="25">
        <v>0.0</v>
      </c>
      <c r="E4020" s="27"/>
      <c r="F4020" s="25">
        <v>0.0</v>
      </c>
      <c r="G4020" s="27"/>
    </row>
    <row r="4021" hidden="1">
      <c r="A4021" s="21"/>
      <c r="B4021" s="21" t="s">
        <v>4843</v>
      </c>
      <c r="D4021" s="25">
        <v>0.0</v>
      </c>
      <c r="E4021" s="27"/>
      <c r="F4021" s="25">
        <v>0.0</v>
      </c>
      <c r="G4021" s="27"/>
    </row>
    <row r="4022" hidden="1">
      <c r="A4022" s="21"/>
      <c r="B4022" s="21" t="s">
        <v>4844</v>
      </c>
      <c r="D4022" s="25">
        <v>0.0</v>
      </c>
      <c r="E4022" s="27"/>
      <c r="F4022" s="25">
        <v>0.0</v>
      </c>
      <c r="G4022" s="27"/>
    </row>
    <row r="4023" hidden="1">
      <c r="A4023" s="21"/>
      <c r="B4023" s="21" t="s">
        <v>4845</v>
      </c>
      <c r="D4023" s="25">
        <v>0.0</v>
      </c>
      <c r="E4023" s="27"/>
      <c r="F4023" s="25">
        <v>0.0</v>
      </c>
      <c r="G4023" s="27"/>
    </row>
    <row r="4024" hidden="1">
      <c r="A4024" s="21"/>
      <c r="B4024" s="21" t="s">
        <v>4846</v>
      </c>
      <c r="D4024" s="25">
        <v>0.0</v>
      </c>
      <c r="E4024" s="27"/>
      <c r="F4024" s="25">
        <v>0.0</v>
      </c>
      <c r="G4024" s="27"/>
    </row>
    <row r="4025" hidden="1">
      <c r="A4025" s="21"/>
      <c r="B4025" s="21" t="s">
        <v>4847</v>
      </c>
      <c r="D4025" s="25">
        <v>0.0</v>
      </c>
      <c r="E4025" s="27"/>
      <c r="F4025" s="25">
        <v>0.0</v>
      </c>
      <c r="G4025" s="27"/>
    </row>
    <row r="4026" hidden="1">
      <c r="A4026" s="21"/>
      <c r="B4026" s="21" t="s">
        <v>4848</v>
      </c>
      <c r="D4026" s="25">
        <v>0.0</v>
      </c>
      <c r="E4026" s="27"/>
      <c r="F4026" s="25">
        <v>0.0</v>
      </c>
      <c r="G4026" s="27"/>
    </row>
    <row r="4027" hidden="1">
      <c r="A4027" s="21"/>
      <c r="B4027" s="21" t="s">
        <v>4849</v>
      </c>
      <c r="D4027" s="25">
        <v>0.0</v>
      </c>
      <c r="E4027" s="27"/>
      <c r="F4027" s="25">
        <v>0.0</v>
      </c>
      <c r="G4027" s="27"/>
    </row>
    <row r="4028" hidden="1">
      <c r="A4028" s="21"/>
      <c r="B4028" s="21" t="s">
        <v>4850</v>
      </c>
      <c r="D4028" s="25">
        <v>0.0</v>
      </c>
      <c r="E4028" s="27"/>
      <c r="F4028" s="25">
        <v>0.0</v>
      </c>
      <c r="G4028" s="27"/>
    </row>
    <row r="4029" hidden="1">
      <c r="A4029" s="21"/>
      <c r="B4029" s="21" t="s">
        <v>4851</v>
      </c>
      <c r="D4029" s="25">
        <v>0.0</v>
      </c>
      <c r="E4029" s="27"/>
      <c r="F4029" s="25">
        <v>0.0</v>
      </c>
      <c r="G4029" s="27"/>
    </row>
    <row r="4030" hidden="1">
      <c r="A4030" s="21"/>
      <c r="B4030" s="21" t="s">
        <v>4852</v>
      </c>
      <c r="D4030" s="25">
        <v>0.0</v>
      </c>
      <c r="E4030" s="27"/>
      <c r="F4030" s="25">
        <v>0.0</v>
      </c>
      <c r="G4030" s="27"/>
    </row>
    <row r="4031" hidden="1">
      <c r="A4031" s="21"/>
      <c r="B4031" s="21" t="s">
        <v>4853</v>
      </c>
      <c r="D4031" s="25">
        <v>0.0</v>
      </c>
      <c r="E4031" s="27"/>
      <c r="F4031" s="25">
        <v>0.0</v>
      </c>
      <c r="G4031" s="27"/>
    </row>
    <row r="4032" hidden="1">
      <c r="A4032" s="21"/>
      <c r="B4032" s="21" t="s">
        <v>4854</v>
      </c>
      <c r="D4032" s="25">
        <v>0.0</v>
      </c>
      <c r="E4032" s="27"/>
      <c r="F4032" s="25">
        <v>0.0</v>
      </c>
      <c r="G4032" s="27"/>
    </row>
    <row r="4033" hidden="1">
      <c r="A4033" s="21"/>
      <c r="B4033" s="21" t="s">
        <v>4855</v>
      </c>
      <c r="D4033" s="25">
        <v>0.0</v>
      </c>
      <c r="E4033" s="27"/>
      <c r="F4033" s="25">
        <v>0.0</v>
      </c>
      <c r="G4033" s="27"/>
    </row>
    <row r="4034" hidden="1">
      <c r="A4034" s="21"/>
      <c r="B4034" s="21" t="s">
        <v>4856</v>
      </c>
      <c r="D4034" s="25">
        <v>0.0</v>
      </c>
      <c r="E4034" s="27"/>
      <c r="F4034" s="25">
        <v>0.0</v>
      </c>
      <c r="G4034" s="27"/>
    </row>
    <row r="4035" hidden="1">
      <c r="A4035" s="21"/>
      <c r="B4035" s="21" t="s">
        <v>4857</v>
      </c>
      <c r="D4035" s="25">
        <v>0.0</v>
      </c>
      <c r="E4035" s="27"/>
      <c r="F4035" s="25">
        <v>0.0</v>
      </c>
      <c r="G4035" s="27"/>
    </row>
    <row r="4036" hidden="1">
      <c r="A4036" s="21"/>
      <c r="B4036" s="21" t="s">
        <v>4858</v>
      </c>
      <c r="D4036" s="25">
        <v>0.0</v>
      </c>
      <c r="E4036" s="27"/>
      <c r="F4036" s="25">
        <v>0.0</v>
      </c>
      <c r="G4036" s="27"/>
    </row>
    <row r="4037" hidden="1">
      <c r="A4037" s="21"/>
      <c r="B4037" s="21" t="s">
        <v>4859</v>
      </c>
      <c r="D4037" s="25">
        <v>0.0</v>
      </c>
      <c r="E4037" s="27"/>
      <c r="F4037" s="25">
        <v>0.0</v>
      </c>
      <c r="G4037" s="27"/>
    </row>
    <row r="4038" hidden="1">
      <c r="A4038" s="21"/>
      <c r="B4038" s="21" t="s">
        <v>4860</v>
      </c>
      <c r="D4038" s="25">
        <v>0.0</v>
      </c>
      <c r="E4038" s="27"/>
      <c r="F4038" s="25">
        <v>0.0</v>
      </c>
      <c r="G4038" s="27"/>
    </row>
    <row r="4039" hidden="1">
      <c r="A4039" s="21"/>
      <c r="B4039" s="21" t="s">
        <v>4861</v>
      </c>
      <c r="D4039" s="25">
        <v>0.0</v>
      </c>
      <c r="E4039" s="27"/>
      <c r="F4039" s="25">
        <v>0.0</v>
      </c>
      <c r="G4039" s="27"/>
    </row>
    <row r="4040" hidden="1">
      <c r="A4040" s="21"/>
      <c r="B4040" s="21" t="s">
        <v>4862</v>
      </c>
      <c r="D4040" s="25">
        <v>0.0</v>
      </c>
      <c r="E4040" s="27"/>
      <c r="F4040" s="25">
        <v>0.0</v>
      </c>
      <c r="G4040" s="27"/>
    </row>
    <row r="4041" hidden="1">
      <c r="A4041" s="21"/>
      <c r="B4041" s="21" t="s">
        <v>4863</v>
      </c>
      <c r="D4041" s="25">
        <v>0.0</v>
      </c>
      <c r="E4041" s="27"/>
      <c r="F4041" s="25">
        <v>0.0</v>
      </c>
      <c r="G4041" s="27"/>
    </row>
    <row r="4042" hidden="1">
      <c r="A4042" s="21"/>
      <c r="B4042" s="21" t="s">
        <v>4864</v>
      </c>
      <c r="D4042" s="25">
        <v>0.0</v>
      </c>
      <c r="E4042" s="27"/>
      <c r="F4042" s="25">
        <v>0.0</v>
      </c>
      <c r="G4042" s="27"/>
    </row>
    <row r="4043" hidden="1">
      <c r="A4043" s="21"/>
      <c r="B4043" s="21" t="s">
        <v>4865</v>
      </c>
      <c r="D4043" s="25">
        <v>0.0</v>
      </c>
      <c r="E4043" s="27"/>
      <c r="F4043" s="25">
        <v>0.0</v>
      </c>
      <c r="G4043" s="27"/>
    </row>
    <row r="4044" hidden="1">
      <c r="A4044" s="21"/>
      <c r="B4044" s="21" t="s">
        <v>4866</v>
      </c>
      <c r="D4044" s="25">
        <v>0.0</v>
      </c>
      <c r="E4044" s="27"/>
      <c r="F4044" s="25">
        <v>0.0</v>
      </c>
      <c r="G4044" s="27"/>
    </row>
    <row r="4045" hidden="1">
      <c r="A4045" s="21"/>
      <c r="B4045" s="21" t="s">
        <v>4867</v>
      </c>
      <c r="D4045" s="25">
        <v>0.0</v>
      </c>
      <c r="E4045" s="27"/>
      <c r="F4045" s="25">
        <v>0.0</v>
      </c>
      <c r="G4045" s="27"/>
    </row>
    <row r="4046" hidden="1">
      <c r="A4046" s="21"/>
      <c r="B4046" s="21" t="s">
        <v>4868</v>
      </c>
      <c r="D4046" s="25">
        <v>0.0</v>
      </c>
      <c r="E4046" s="27"/>
      <c r="F4046" s="25">
        <v>3.31</v>
      </c>
      <c r="G4046" s="27"/>
    </row>
    <row r="4047" hidden="1">
      <c r="A4047" s="21"/>
      <c r="B4047" s="21" t="s">
        <v>4869</v>
      </c>
      <c r="D4047" s="25">
        <v>0.0</v>
      </c>
      <c r="E4047" s="27"/>
      <c r="F4047" s="25">
        <v>0.0</v>
      </c>
      <c r="G4047" s="27"/>
    </row>
    <row r="4048" hidden="1">
      <c r="A4048" s="21"/>
      <c r="B4048" s="21" t="s">
        <v>4870</v>
      </c>
      <c r="D4048" s="25">
        <v>0.0</v>
      </c>
      <c r="E4048" s="27"/>
      <c r="F4048" s="25">
        <v>0.0</v>
      </c>
      <c r="G4048" s="27"/>
    </row>
    <row r="4049" hidden="1">
      <c r="A4049" s="21"/>
      <c r="B4049" s="21" t="s">
        <v>4871</v>
      </c>
      <c r="D4049" s="25">
        <v>0.0</v>
      </c>
      <c r="E4049" s="27"/>
      <c r="F4049" s="25">
        <v>0.0</v>
      </c>
      <c r="G4049" s="27"/>
    </row>
    <row r="4050" hidden="1">
      <c r="A4050" s="21"/>
      <c r="B4050" s="21" t="s">
        <v>4872</v>
      </c>
      <c r="D4050" s="25">
        <v>0.0</v>
      </c>
      <c r="E4050" s="27"/>
      <c r="F4050" s="25">
        <v>0.0</v>
      </c>
      <c r="G4050" s="27"/>
    </row>
    <row r="4051" hidden="1">
      <c r="A4051" s="21"/>
      <c r="B4051" s="21" t="s">
        <v>4873</v>
      </c>
      <c r="D4051" s="25">
        <v>0.0</v>
      </c>
      <c r="E4051" s="27"/>
      <c r="F4051" s="25">
        <v>0.0</v>
      </c>
      <c r="G4051" s="27"/>
    </row>
    <row r="4052" hidden="1">
      <c r="A4052" s="21"/>
      <c r="B4052" s="21" t="s">
        <v>4874</v>
      </c>
      <c r="D4052" s="25">
        <v>0.0</v>
      </c>
      <c r="E4052" s="27"/>
      <c r="F4052" s="25">
        <v>0.0</v>
      </c>
      <c r="G4052" s="27"/>
    </row>
    <row r="4053" hidden="1">
      <c r="A4053" s="21"/>
      <c r="B4053" s="21" t="s">
        <v>4875</v>
      </c>
      <c r="D4053" s="25">
        <v>0.0</v>
      </c>
      <c r="E4053" s="27"/>
      <c r="F4053" s="25">
        <v>0.0</v>
      </c>
      <c r="G4053" s="27"/>
    </row>
    <row r="4054" hidden="1">
      <c r="A4054" s="21"/>
      <c r="B4054" s="21" t="s">
        <v>4876</v>
      </c>
      <c r="D4054" s="25">
        <v>0.0</v>
      </c>
      <c r="E4054" s="27"/>
      <c r="F4054" s="25">
        <v>0.0</v>
      </c>
      <c r="G4054" s="27"/>
    </row>
    <row r="4055" hidden="1">
      <c r="A4055" s="21"/>
      <c r="B4055" s="21" t="s">
        <v>4877</v>
      </c>
      <c r="D4055" s="25">
        <v>0.0</v>
      </c>
      <c r="E4055" s="27"/>
      <c r="F4055" s="25">
        <v>0.0</v>
      </c>
      <c r="G4055" s="27"/>
    </row>
    <row r="4056" hidden="1">
      <c r="A4056" s="21"/>
      <c r="B4056" s="21" t="s">
        <v>4878</v>
      </c>
      <c r="D4056" s="25">
        <v>0.0</v>
      </c>
      <c r="E4056" s="27"/>
      <c r="F4056" s="25">
        <v>0.0</v>
      </c>
      <c r="G4056" s="27"/>
    </row>
    <row r="4057" hidden="1">
      <c r="A4057" s="21"/>
      <c r="B4057" s="21" t="s">
        <v>4879</v>
      </c>
      <c r="D4057" s="25">
        <v>0.0</v>
      </c>
      <c r="E4057" s="27"/>
      <c r="F4057" s="25">
        <v>0.0</v>
      </c>
      <c r="G4057" s="27"/>
    </row>
    <row r="4058" hidden="1">
      <c r="A4058" s="21"/>
      <c r="B4058" s="21" t="s">
        <v>4880</v>
      </c>
      <c r="D4058" s="25">
        <v>0.0</v>
      </c>
      <c r="E4058" s="27"/>
      <c r="F4058" s="25">
        <v>5.92</v>
      </c>
      <c r="G4058" s="27"/>
    </row>
    <row r="4059" hidden="1">
      <c r="A4059" s="21"/>
      <c r="B4059" s="21" t="s">
        <v>4881</v>
      </c>
      <c r="D4059" s="25">
        <v>0.0</v>
      </c>
      <c r="E4059" s="27"/>
      <c r="F4059" s="25">
        <v>0.0</v>
      </c>
      <c r="G4059" s="27"/>
    </row>
    <row r="4060" hidden="1">
      <c r="A4060" s="21"/>
      <c r="B4060" s="21" t="s">
        <v>4882</v>
      </c>
      <c r="D4060" s="25">
        <v>0.0</v>
      </c>
      <c r="E4060" s="27"/>
      <c r="F4060" s="25">
        <v>5.92</v>
      </c>
      <c r="G4060" s="27"/>
    </row>
    <row r="4061" hidden="1">
      <c r="A4061" s="21"/>
      <c r="B4061" s="21" t="s">
        <v>4883</v>
      </c>
      <c r="D4061" s="25">
        <v>0.0</v>
      </c>
      <c r="E4061" s="27"/>
      <c r="F4061" s="25">
        <v>0.0</v>
      </c>
      <c r="G4061" s="27"/>
    </row>
    <row r="4062" hidden="1">
      <c r="A4062" s="21"/>
      <c r="B4062" s="21" t="s">
        <v>4884</v>
      </c>
      <c r="D4062" s="25">
        <v>0.0</v>
      </c>
      <c r="E4062" s="27"/>
      <c r="F4062" s="25">
        <v>0.0</v>
      </c>
      <c r="G4062" s="27"/>
    </row>
    <row r="4063" hidden="1">
      <c r="A4063" s="21"/>
      <c r="B4063" s="21" t="s">
        <v>4885</v>
      </c>
      <c r="D4063" s="25">
        <v>0.0</v>
      </c>
      <c r="E4063" s="27"/>
      <c r="F4063" s="25">
        <v>0.0</v>
      </c>
      <c r="G4063" s="27"/>
    </row>
    <row r="4064" hidden="1">
      <c r="A4064" s="21"/>
      <c r="B4064" s="21" t="s">
        <v>4886</v>
      </c>
      <c r="D4064" s="25">
        <v>0.0</v>
      </c>
      <c r="E4064" s="27"/>
      <c r="F4064" s="25">
        <v>0.0</v>
      </c>
      <c r="G4064" s="27"/>
    </row>
    <row r="4065" hidden="1">
      <c r="A4065" s="21"/>
      <c r="B4065" s="21" t="s">
        <v>4887</v>
      </c>
      <c r="D4065" s="25">
        <v>0.0</v>
      </c>
      <c r="E4065" s="27"/>
      <c r="F4065" s="25">
        <v>3.37</v>
      </c>
      <c r="G4065" s="27"/>
    </row>
    <row r="4066" hidden="1">
      <c r="A4066" s="21"/>
      <c r="B4066" s="21" t="s">
        <v>4888</v>
      </c>
      <c r="D4066" s="25">
        <v>0.0</v>
      </c>
      <c r="E4066" s="27"/>
      <c r="F4066" s="25">
        <v>0.0</v>
      </c>
      <c r="G4066" s="27"/>
    </row>
    <row r="4067" hidden="1">
      <c r="A4067" s="21"/>
      <c r="B4067" s="21" t="s">
        <v>4889</v>
      </c>
      <c r="D4067" s="25">
        <v>0.0</v>
      </c>
      <c r="E4067" s="27"/>
      <c r="F4067" s="25">
        <v>0.0</v>
      </c>
      <c r="G4067" s="27"/>
    </row>
    <row r="4068" hidden="1">
      <c r="A4068" s="21"/>
      <c r="B4068" s="21" t="s">
        <v>4890</v>
      </c>
      <c r="D4068" s="25">
        <v>0.0</v>
      </c>
      <c r="E4068" s="27"/>
      <c r="F4068" s="25">
        <v>0.0</v>
      </c>
      <c r="G4068" s="27"/>
    </row>
    <row r="4069" hidden="1">
      <c r="A4069" s="21"/>
      <c r="B4069" s="21" t="s">
        <v>4891</v>
      </c>
      <c r="D4069" s="25">
        <v>0.0</v>
      </c>
      <c r="E4069" s="27"/>
      <c r="F4069" s="25">
        <v>0.0</v>
      </c>
      <c r="G4069" s="27"/>
    </row>
    <row r="4070" hidden="1">
      <c r="A4070" s="21"/>
      <c r="B4070" s="21" t="s">
        <v>4892</v>
      </c>
      <c r="D4070" s="25">
        <v>0.0</v>
      </c>
      <c r="E4070" s="27"/>
      <c r="F4070" s="25">
        <v>0.0</v>
      </c>
      <c r="G4070" s="27"/>
    </row>
    <row r="4071" hidden="1">
      <c r="A4071" s="21"/>
      <c r="B4071" s="21" t="s">
        <v>4893</v>
      </c>
      <c r="D4071" s="25">
        <v>0.0</v>
      </c>
      <c r="E4071" s="27"/>
      <c r="F4071" s="25">
        <v>0.0</v>
      </c>
      <c r="G4071" s="27"/>
    </row>
    <row r="4072" hidden="1">
      <c r="A4072" s="21"/>
      <c r="B4072" s="21" t="s">
        <v>4894</v>
      </c>
      <c r="D4072" s="25">
        <v>0.0</v>
      </c>
      <c r="E4072" s="27"/>
      <c r="F4072" s="25">
        <v>0.0</v>
      </c>
      <c r="G4072" s="27"/>
    </row>
    <row r="4073" hidden="1">
      <c r="A4073" s="21"/>
      <c r="B4073" s="21" t="s">
        <v>4895</v>
      </c>
      <c r="D4073" s="25">
        <v>0.0</v>
      </c>
      <c r="E4073" s="27"/>
      <c r="F4073" s="25">
        <v>0.0</v>
      </c>
      <c r="G4073" s="27"/>
    </row>
    <row r="4074" hidden="1">
      <c r="A4074" s="21"/>
      <c r="B4074" s="21" t="s">
        <v>4896</v>
      </c>
      <c r="D4074" s="25">
        <v>0.0</v>
      </c>
      <c r="E4074" s="27"/>
      <c r="F4074" s="25">
        <v>0.0</v>
      </c>
      <c r="G4074" s="27"/>
    </row>
    <row r="4075" hidden="1">
      <c r="A4075" s="21"/>
      <c r="B4075" s="21" t="s">
        <v>4897</v>
      </c>
      <c r="D4075" s="25">
        <v>0.0</v>
      </c>
      <c r="E4075" s="27"/>
      <c r="F4075" s="25">
        <v>0.0</v>
      </c>
      <c r="G4075" s="27"/>
    </row>
    <row r="4076" hidden="1">
      <c r="A4076" s="21"/>
      <c r="B4076" s="21" t="s">
        <v>4898</v>
      </c>
      <c r="D4076" s="25">
        <v>0.0</v>
      </c>
      <c r="E4076" s="27"/>
      <c r="F4076" s="25">
        <v>0.0</v>
      </c>
      <c r="G4076" s="27"/>
    </row>
    <row r="4077" hidden="1">
      <c r="A4077" s="21"/>
      <c r="B4077" s="21" t="s">
        <v>4899</v>
      </c>
      <c r="D4077" s="25">
        <v>0.0</v>
      </c>
      <c r="E4077" s="27"/>
      <c r="F4077" s="25">
        <v>0.0</v>
      </c>
      <c r="G4077" s="27"/>
    </row>
    <row r="4078" hidden="1">
      <c r="A4078" s="21"/>
      <c r="B4078" s="21" t="s">
        <v>4900</v>
      </c>
      <c r="D4078" s="25">
        <v>0.0</v>
      </c>
      <c r="E4078" s="27"/>
      <c r="F4078" s="25">
        <v>0.0</v>
      </c>
      <c r="G4078" s="27"/>
    </row>
    <row r="4079" hidden="1">
      <c r="A4079" s="21"/>
      <c r="B4079" s="21" t="s">
        <v>4901</v>
      </c>
      <c r="D4079" s="25">
        <v>0.0</v>
      </c>
      <c r="E4079" s="27"/>
      <c r="F4079" s="25">
        <v>0.0</v>
      </c>
      <c r="G4079" s="27"/>
    </row>
    <row r="4080" hidden="1">
      <c r="A4080" s="21"/>
      <c r="B4080" s="21" t="s">
        <v>4902</v>
      </c>
      <c r="D4080" s="25">
        <v>0.0</v>
      </c>
      <c r="E4080" s="27"/>
      <c r="F4080" s="25">
        <v>0.0</v>
      </c>
      <c r="G4080" s="27"/>
    </row>
    <row r="4081" hidden="1">
      <c r="A4081" s="21"/>
      <c r="B4081" s="21" t="s">
        <v>4903</v>
      </c>
      <c r="D4081" s="25">
        <v>0.0</v>
      </c>
      <c r="E4081" s="27"/>
      <c r="F4081" s="25">
        <v>0.0</v>
      </c>
      <c r="G4081" s="27"/>
    </row>
    <row r="4082" hidden="1">
      <c r="A4082" s="21"/>
      <c r="B4082" s="21" t="s">
        <v>4904</v>
      </c>
      <c r="D4082" s="25">
        <v>0.0</v>
      </c>
      <c r="E4082" s="27"/>
      <c r="F4082" s="25">
        <v>0.0</v>
      </c>
      <c r="G4082" s="27"/>
    </row>
    <row r="4083" hidden="1">
      <c r="A4083" s="21"/>
      <c r="B4083" s="21" t="s">
        <v>4905</v>
      </c>
      <c r="D4083" s="25">
        <v>0.0</v>
      </c>
      <c r="E4083" s="27"/>
      <c r="F4083" s="25">
        <v>0.0</v>
      </c>
      <c r="G4083" s="27"/>
    </row>
    <row r="4084" hidden="1">
      <c r="A4084" s="21"/>
      <c r="B4084" s="21" t="s">
        <v>4906</v>
      </c>
      <c r="D4084" s="25">
        <v>0.0</v>
      </c>
      <c r="E4084" s="27"/>
      <c r="F4084" s="25">
        <v>0.0</v>
      </c>
      <c r="G4084" s="27"/>
    </row>
    <row r="4085" hidden="1">
      <c r="A4085" s="21"/>
      <c r="B4085" s="21" t="s">
        <v>4907</v>
      </c>
      <c r="D4085" s="25">
        <v>0.0</v>
      </c>
      <c r="E4085" s="27"/>
      <c r="F4085" s="25">
        <v>0.0</v>
      </c>
      <c r="G4085" s="27"/>
    </row>
    <row r="4086" hidden="1">
      <c r="A4086" s="21"/>
      <c r="B4086" s="21" t="s">
        <v>4908</v>
      </c>
      <c r="D4086" s="25">
        <v>0.0</v>
      </c>
      <c r="E4086" s="27"/>
      <c r="F4086" s="25">
        <v>0.0</v>
      </c>
      <c r="G4086" s="27"/>
    </row>
    <row r="4087" hidden="1">
      <c r="A4087" s="21"/>
      <c r="B4087" s="21" t="s">
        <v>4909</v>
      </c>
      <c r="D4087" s="25">
        <v>0.0</v>
      </c>
      <c r="E4087" s="27"/>
      <c r="F4087" s="25">
        <v>0.0</v>
      </c>
      <c r="G4087" s="27"/>
    </row>
    <row r="4088" hidden="1">
      <c r="A4088" s="21"/>
      <c r="B4088" s="21" t="s">
        <v>4910</v>
      </c>
      <c r="D4088" s="25">
        <v>0.0</v>
      </c>
      <c r="E4088" s="27"/>
      <c r="F4088" s="25">
        <v>0.0</v>
      </c>
      <c r="G4088" s="27"/>
    </row>
    <row r="4089" hidden="1">
      <c r="A4089" s="21"/>
      <c r="B4089" s="21" t="s">
        <v>4911</v>
      </c>
      <c r="D4089" s="25">
        <v>0.0</v>
      </c>
      <c r="E4089" s="27"/>
      <c r="F4089" s="25">
        <v>0.0</v>
      </c>
      <c r="G4089" s="27"/>
    </row>
    <row r="4090" hidden="1">
      <c r="A4090" s="21"/>
      <c r="B4090" s="21" t="s">
        <v>4912</v>
      </c>
      <c r="D4090" s="25">
        <v>0.0</v>
      </c>
      <c r="E4090" s="27"/>
      <c r="F4090" s="25">
        <v>0.0</v>
      </c>
      <c r="G4090" s="27"/>
    </row>
    <row r="4091" hidden="1">
      <c r="A4091" s="21"/>
      <c r="B4091" s="21" t="s">
        <v>4913</v>
      </c>
      <c r="D4091" s="25">
        <v>0.0</v>
      </c>
      <c r="E4091" s="27"/>
      <c r="F4091" s="25">
        <v>0.0</v>
      </c>
      <c r="G4091" s="27"/>
    </row>
    <row r="4092" hidden="1">
      <c r="A4092" s="21"/>
      <c r="B4092" s="21" t="s">
        <v>4914</v>
      </c>
      <c r="D4092" s="25">
        <v>0.0</v>
      </c>
      <c r="E4092" s="27"/>
      <c r="F4092" s="25">
        <v>0.0</v>
      </c>
      <c r="G4092" s="27"/>
    </row>
    <row r="4093" hidden="1">
      <c r="A4093" s="21"/>
      <c r="B4093" s="21" t="s">
        <v>4915</v>
      </c>
      <c r="D4093" s="25">
        <v>0.0</v>
      </c>
      <c r="E4093" s="27"/>
      <c r="F4093" s="25">
        <v>0.0</v>
      </c>
      <c r="G4093" s="27"/>
    </row>
    <row r="4094" hidden="1">
      <c r="A4094" s="21"/>
      <c r="B4094" s="21" t="s">
        <v>4916</v>
      </c>
      <c r="D4094" s="25">
        <v>0.0</v>
      </c>
      <c r="E4094" s="27"/>
      <c r="F4094" s="25">
        <v>0.0</v>
      </c>
      <c r="G4094" s="27"/>
    </row>
    <row r="4095" hidden="1">
      <c r="A4095" s="21"/>
      <c r="B4095" s="21" t="s">
        <v>4917</v>
      </c>
      <c r="D4095" s="25">
        <v>0.0</v>
      </c>
      <c r="E4095" s="27"/>
      <c r="F4095" s="25">
        <v>0.0</v>
      </c>
      <c r="G4095" s="27"/>
    </row>
    <row r="4096" hidden="1">
      <c r="A4096" s="21"/>
      <c r="B4096" s="21" t="s">
        <v>4918</v>
      </c>
      <c r="D4096" s="25">
        <v>0.0</v>
      </c>
      <c r="E4096" s="27"/>
      <c r="F4096" s="25">
        <v>0.0</v>
      </c>
      <c r="G4096" s="27"/>
    </row>
    <row r="4097" hidden="1">
      <c r="A4097" s="21"/>
      <c r="B4097" s="21" t="s">
        <v>4919</v>
      </c>
      <c r="D4097" s="25">
        <v>0.0</v>
      </c>
      <c r="E4097" s="27"/>
      <c r="F4097" s="25">
        <v>0.0</v>
      </c>
      <c r="G4097" s="27"/>
    </row>
    <row r="4098" hidden="1">
      <c r="A4098" s="21"/>
      <c r="B4098" s="21" t="s">
        <v>4920</v>
      </c>
      <c r="D4098" s="25">
        <v>0.0</v>
      </c>
      <c r="E4098" s="27"/>
      <c r="F4098" s="25">
        <v>0.0</v>
      </c>
      <c r="G4098" s="27"/>
    </row>
    <row r="4099" hidden="1">
      <c r="A4099" s="21"/>
      <c r="B4099" s="21" t="s">
        <v>4921</v>
      </c>
      <c r="D4099" s="25">
        <v>0.0</v>
      </c>
      <c r="E4099" s="27"/>
      <c r="F4099" s="25">
        <v>0.0</v>
      </c>
      <c r="G4099" s="27"/>
    </row>
    <row r="4100" hidden="1">
      <c r="A4100" s="21"/>
      <c r="B4100" s="21" t="s">
        <v>4922</v>
      </c>
      <c r="D4100" s="25">
        <v>0.0</v>
      </c>
      <c r="E4100" s="27"/>
      <c r="F4100" s="25">
        <v>0.0</v>
      </c>
      <c r="G4100" s="27"/>
    </row>
    <row r="4101" hidden="1">
      <c r="A4101" s="21"/>
      <c r="B4101" s="21" t="s">
        <v>4923</v>
      </c>
      <c r="D4101" s="25">
        <v>0.0</v>
      </c>
      <c r="E4101" s="27"/>
      <c r="F4101" s="25">
        <v>0.0</v>
      </c>
      <c r="G4101" s="27"/>
    </row>
    <row r="4102" hidden="1">
      <c r="A4102" s="21"/>
      <c r="B4102" s="21" t="s">
        <v>4924</v>
      </c>
      <c r="D4102" s="25">
        <v>0.0</v>
      </c>
      <c r="E4102" s="27"/>
      <c r="F4102" s="25">
        <v>0.0</v>
      </c>
      <c r="G4102" s="27"/>
    </row>
    <row r="4103" hidden="1">
      <c r="A4103" s="21"/>
      <c r="B4103" s="21" t="s">
        <v>4925</v>
      </c>
      <c r="D4103" s="25">
        <v>0.0</v>
      </c>
      <c r="E4103" s="27"/>
      <c r="F4103" s="25">
        <v>0.0</v>
      </c>
      <c r="G4103" s="27"/>
    </row>
    <row r="4104" hidden="1">
      <c r="A4104" s="21"/>
      <c r="B4104" s="21" t="s">
        <v>4926</v>
      </c>
      <c r="D4104" s="25">
        <v>0.0</v>
      </c>
      <c r="E4104" s="27"/>
      <c r="F4104" s="25">
        <v>0.0</v>
      </c>
      <c r="G4104" s="27"/>
    </row>
    <row r="4105" hidden="1">
      <c r="A4105" s="21"/>
      <c r="B4105" s="21" t="s">
        <v>4927</v>
      </c>
      <c r="D4105" s="25">
        <v>0.0</v>
      </c>
      <c r="E4105" s="27"/>
      <c r="F4105" s="25">
        <v>0.0</v>
      </c>
      <c r="G4105" s="27"/>
    </row>
    <row r="4106" hidden="1">
      <c r="A4106" s="21"/>
      <c r="B4106" s="21" t="s">
        <v>4928</v>
      </c>
      <c r="D4106" s="25">
        <v>0.0</v>
      </c>
      <c r="E4106" s="27"/>
      <c r="F4106" s="25">
        <v>0.0</v>
      </c>
      <c r="G4106" s="27"/>
    </row>
    <row r="4107" hidden="1">
      <c r="A4107" s="21"/>
      <c r="B4107" s="21" t="s">
        <v>4929</v>
      </c>
      <c r="D4107" s="25">
        <v>0.0</v>
      </c>
      <c r="E4107" s="27"/>
      <c r="F4107" s="25">
        <v>0.0</v>
      </c>
      <c r="G4107" s="27"/>
    </row>
    <row r="4108" hidden="1">
      <c r="A4108" s="21"/>
      <c r="B4108" s="21" t="s">
        <v>4930</v>
      </c>
      <c r="D4108" s="25">
        <v>0.0</v>
      </c>
      <c r="E4108" s="27"/>
      <c r="F4108" s="25">
        <v>0.0</v>
      </c>
      <c r="G4108" s="27"/>
    </row>
    <row r="4109" hidden="1">
      <c r="A4109" s="21"/>
      <c r="B4109" s="21" t="s">
        <v>4931</v>
      </c>
      <c r="D4109" s="25">
        <v>0.0</v>
      </c>
      <c r="E4109" s="27"/>
      <c r="F4109" s="25">
        <v>0.0</v>
      </c>
      <c r="G4109" s="27"/>
    </row>
    <row r="4110" hidden="1">
      <c r="A4110" s="21"/>
      <c r="B4110" s="21" t="s">
        <v>4932</v>
      </c>
      <c r="D4110" s="25">
        <v>0.0</v>
      </c>
      <c r="E4110" s="27"/>
      <c r="F4110" s="25">
        <v>0.0</v>
      </c>
      <c r="G4110" s="27"/>
    </row>
    <row r="4111" hidden="1">
      <c r="A4111" s="21"/>
      <c r="B4111" s="21" t="s">
        <v>4933</v>
      </c>
      <c r="D4111" s="25">
        <v>0.0</v>
      </c>
      <c r="E4111" s="27"/>
      <c r="F4111" s="25">
        <v>0.0</v>
      </c>
      <c r="G4111" s="27"/>
    </row>
    <row r="4112" hidden="1">
      <c r="A4112" s="21"/>
      <c r="B4112" s="21" t="s">
        <v>4934</v>
      </c>
      <c r="D4112" s="25">
        <v>0.0</v>
      </c>
      <c r="E4112" s="27"/>
      <c r="F4112" s="25">
        <v>0.0</v>
      </c>
      <c r="G4112" s="27"/>
    </row>
    <row r="4113" hidden="1">
      <c r="A4113" s="21"/>
      <c r="B4113" s="21" t="s">
        <v>4935</v>
      </c>
      <c r="D4113" s="25">
        <v>0.0</v>
      </c>
      <c r="E4113" s="27"/>
      <c r="F4113" s="25">
        <v>0.0</v>
      </c>
      <c r="G4113" s="27"/>
    </row>
    <row r="4114" hidden="1">
      <c r="A4114" s="21"/>
      <c r="B4114" s="21" t="s">
        <v>4936</v>
      </c>
      <c r="D4114" s="25">
        <v>0.0</v>
      </c>
      <c r="E4114" s="27"/>
      <c r="F4114" s="25">
        <v>0.0</v>
      </c>
      <c r="G4114" s="27"/>
    </row>
    <row r="4115" hidden="1">
      <c r="A4115" s="21"/>
      <c r="B4115" s="21" t="s">
        <v>4937</v>
      </c>
      <c r="D4115" s="25">
        <v>0.0</v>
      </c>
      <c r="E4115" s="27"/>
      <c r="F4115" s="25">
        <v>0.0</v>
      </c>
      <c r="G4115" s="27"/>
    </row>
    <row r="4116" hidden="1">
      <c r="A4116" s="21"/>
      <c r="B4116" s="21" t="s">
        <v>4938</v>
      </c>
      <c r="D4116" s="25">
        <v>0.0</v>
      </c>
      <c r="E4116" s="27"/>
      <c r="F4116" s="25">
        <v>0.0</v>
      </c>
      <c r="G4116" s="27"/>
    </row>
    <row r="4117" hidden="1">
      <c r="A4117" s="21"/>
      <c r="B4117" s="21" t="s">
        <v>4939</v>
      </c>
      <c r="D4117" s="25">
        <v>0.0</v>
      </c>
      <c r="E4117" s="27"/>
      <c r="F4117" s="25">
        <v>0.0</v>
      </c>
      <c r="G4117" s="27"/>
    </row>
    <row r="4118" hidden="1">
      <c r="A4118" s="21"/>
      <c r="B4118" s="21" t="s">
        <v>4940</v>
      </c>
      <c r="D4118" s="25">
        <v>0.0</v>
      </c>
      <c r="E4118" s="27"/>
      <c r="F4118" s="25">
        <v>0.0</v>
      </c>
      <c r="G4118" s="27"/>
    </row>
    <row r="4119" hidden="1">
      <c r="A4119" s="21"/>
      <c r="B4119" s="21" t="s">
        <v>4941</v>
      </c>
      <c r="D4119" s="25">
        <v>0.0</v>
      </c>
      <c r="E4119" s="27"/>
      <c r="F4119" s="25">
        <v>0.0</v>
      </c>
      <c r="G4119" s="27"/>
    </row>
    <row r="4120" hidden="1">
      <c r="A4120" s="21"/>
      <c r="B4120" s="21" t="s">
        <v>4942</v>
      </c>
      <c r="D4120" s="25">
        <v>0.0</v>
      </c>
      <c r="E4120" s="27"/>
      <c r="F4120" s="25">
        <v>0.0</v>
      </c>
      <c r="G4120" s="27"/>
    </row>
    <row r="4121" hidden="1">
      <c r="A4121" s="21"/>
      <c r="B4121" s="21" t="s">
        <v>4943</v>
      </c>
      <c r="D4121" s="25">
        <v>0.0</v>
      </c>
      <c r="E4121" s="27"/>
      <c r="F4121" s="25">
        <v>3.7</v>
      </c>
      <c r="G4121" s="27"/>
    </row>
    <row r="4122" hidden="1">
      <c r="A4122" s="21"/>
      <c r="B4122" s="21" t="s">
        <v>4944</v>
      </c>
      <c r="D4122" s="25">
        <v>0.0</v>
      </c>
      <c r="E4122" s="27"/>
      <c r="F4122" s="25">
        <v>3.7</v>
      </c>
      <c r="G4122" s="27"/>
    </row>
    <row r="4123" hidden="1">
      <c r="A4123" s="21"/>
      <c r="B4123" s="21" t="s">
        <v>4945</v>
      </c>
      <c r="D4123" s="25">
        <v>0.0</v>
      </c>
      <c r="E4123" s="27"/>
      <c r="F4123" s="25">
        <v>0.0</v>
      </c>
      <c r="G4123" s="27"/>
    </row>
    <row r="4124" hidden="1">
      <c r="A4124" s="21"/>
      <c r="B4124" s="21" t="s">
        <v>4946</v>
      </c>
      <c r="D4124" s="25">
        <v>0.0</v>
      </c>
      <c r="E4124" s="27"/>
      <c r="F4124" s="25">
        <v>0.0</v>
      </c>
      <c r="G4124" s="27"/>
    </row>
    <row r="4125" hidden="1">
      <c r="A4125" s="21"/>
      <c r="B4125" s="21" t="s">
        <v>4947</v>
      </c>
      <c r="D4125" s="25">
        <v>0.0</v>
      </c>
      <c r="E4125" s="27"/>
      <c r="F4125" s="25">
        <v>0.0</v>
      </c>
      <c r="G4125" s="27"/>
    </row>
    <row r="4126" hidden="1">
      <c r="A4126" s="21"/>
      <c r="B4126" s="21" t="s">
        <v>4948</v>
      </c>
      <c r="D4126" s="25">
        <v>0.0</v>
      </c>
      <c r="E4126" s="27"/>
      <c r="F4126" s="25">
        <v>0.0</v>
      </c>
      <c r="G4126" s="27"/>
    </row>
    <row r="4127" hidden="1">
      <c r="A4127" s="21"/>
      <c r="B4127" s="21" t="s">
        <v>4949</v>
      </c>
      <c r="D4127" s="25">
        <v>0.0</v>
      </c>
      <c r="E4127" s="27"/>
      <c r="F4127" s="25">
        <v>0.0</v>
      </c>
      <c r="G4127" s="27"/>
    </row>
    <row r="4128" hidden="1">
      <c r="A4128" s="21"/>
      <c r="B4128" s="21" t="s">
        <v>4950</v>
      </c>
      <c r="D4128" s="25">
        <v>0.0</v>
      </c>
      <c r="E4128" s="27"/>
      <c r="F4128" s="25">
        <v>0.0</v>
      </c>
      <c r="G4128" s="27"/>
    </row>
    <row r="4129" hidden="1">
      <c r="A4129" s="21"/>
      <c r="B4129" s="21" t="s">
        <v>4951</v>
      </c>
      <c r="D4129" s="25">
        <v>0.0</v>
      </c>
      <c r="E4129" s="27"/>
      <c r="F4129" s="25">
        <v>0.0</v>
      </c>
      <c r="G4129" s="27"/>
    </row>
    <row r="4130" hidden="1">
      <c r="A4130" s="21"/>
      <c r="B4130" s="21" t="s">
        <v>4952</v>
      </c>
      <c r="D4130" s="25">
        <v>0.0</v>
      </c>
      <c r="E4130" s="27"/>
      <c r="F4130" s="25">
        <v>3.7</v>
      </c>
      <c r="G4130" s="27"/>
    </row>
    <row r="4131" hidden="1">
      <c r="A4131" s="21"/>
      <c r="B4131" s="21" t="s">
        <v>4953</v>
      </c>
      <c r="D4131" s="25">
        <v>0.0</v>
      </c>
      <c r="E4131" s="27"/>
      <c r="F4131" s="25">
        <v>0.0</v>
      </c>
      <c r="G4131" s="27"/>
    </row>
    <row r="4132" hidden="1">
      <c r="A4132" s="21"/>
      <c r="B4132" s="21" t="s">
        <v>4954</v>
      </c>
      <c r="D4132" s="25">
        <v>0.0</v>
      </c>
      <c r="E4132" s="27"/>
      <c r="F4132" s="25">
        <v>0.0</v>
      </c>
      <c r="G4132" s="27"/>
    </row>
    <row r="4133" hidden="1">
      <c r="A4133" s="21"/>
      <c r="B4133" s="21" t="s">
        <v>4955</v>
      </c>
      <c r="D4133" s="25">
        <v>0.0</v>
      </c>
      <c r="E4133" s="27"/>
      <c r="F4133" s="25">
        <v>0.0</v>
      </c>
      <c r="G4133" s="27"/>
    </row>
    <row r="4134" hidden="1">
      <c r="A4134" s="21"/>
      <c r="B4134" s="21" t="s">
        <v>4956</v>
      </c>
      <c r="D4134" s="25">
        <v>0.0</v>
      </c>
      <c r="E4134" s="27"/>
      <c r="F4134" s="25">
        <v>0.0</v>
      </c>
      <c r="G4134" s="27"/>
    </row>
    <row r="4135" hidden="1">
      <c r="A4135" s="21"/>
      <c r="B4135" s="21" t="s">
        <v>4957</v>
      </c>
      <c r="D4135" s="25">
        <v>0.0</v>
      </c>
      <c r="E4135" s="27"/>
      <c r="F4135" s="25">
        <v>0.0</v>
      </c>
      <c r="G4135" s="27"/>
    </row>
    <row r="4136" hidden="1">
      <c r="A4136" s="21"/>
      <c r="B4136" s="21" t="s">
        <v>4958</v>
      </c>
      <c r="D4136" s="25">
        <v>0.0</v>
      </c>
      <c r="E4136" s="27"/>
      <c r="F4136" s="25">
        <v>0.0</v>
      </c>
      <c r="G4136" s="27"/>
    </row>
    <row r="4137" hidden="1">
      <c r="A4137" s="21"/>
      <c r="B4137" s="21" t="s">
        <v>4959</v>
      </c>
      <c r="D4137" s="25">
        <v>0.0</v>
      </c>
      <c r="E4137" s="27"/>
      <c r="F4137" s="25">
        <v>0.0</v>
      </c>
      <c r="G4137" s="27"/>
    </row>
    <row r="4138" hidden="1">
      <c r="A4138" s="21"/>
      <c r="B4138" s="21" t="s">
        <v>4960</v>
      </c>
      <c r="D4138" s="25">
        <v>0.0</v>
      </c>
      <c r="E4138" s="27"/>
      <c r="F4138" s="25">
        <v>0.0</v>
      </c>
      <c r="G4138" s="27"/>
    </row>
    <row r="4139" hidden="1">
      <c r="A4139" s="21"/>
      <c r="B4139" s="21" t="s">
        <v>4961</v>
      </c>
      <c r="D4139" s="25">
        <v>0.0</v>
      </c>
      <c r="E4139" s="27"/>
      <c r="F4139" s="25">
        <v>0.0</v>
      </c>
      <c r="G4139" s="27"/>
    </row>
    <row r="4140" hidden="1">
      <c r="A4140" s="21"/>
      <c r="B4140" s="21" t="s">
        <v>4962</v>
      </c>
      <c r="D4140" s="25">
        <v>0.0</v>
      </c>
      <c r="E4140" s="27"/>
      <c r="F4140" s="25">
        <v>0.0</v>
      </c>
      <c r="G4140" s="27"/>
    </row>
    <row r="4141" hidden="1">
      <c r="A4141" s="21"/>
      <c r="B4141" s="21" t="s">
        <v>4963</v>
      </c>
      <c r="D4141" s="25">
        <v>0.0</v>
      </c>
      <c r="E4141" s="27"/>
      <c r="F4141" s="25">
        <v>0.0</v>
      </c>
      <c r="G4141" s="27"/>
    </row>
    <row r="4142" hidden="1">
      <c r="A4142" s="21"/>
      <c r="B4142" s="21" t="s">
        <v>4964</v>
      </c>
      <c r="D4142" s="25">
        <v>0.0</v>
      </c>
      <c r="E4142" s="27"/>
      <c r="F4142" s="25">
        <v>0.0</v>
      </c>
      <c r="G4142" s="27"/>
    </row>
    <row r="4143" hidden="1">
      <c r="A4143" s="21"/>
      <c r="B4143" s="21" t="s">
        <v>4965</v>
      </c>
      <c r="D4143" s="25">
        <v>0.0</v>
      </c>
      <c r="E4143" s="27"/>
      <c r="F4143" s="25">
        <v>0.0</v>
      </c>
      <c r="G4143" s="27"/>
    </row>
    <row r="4144" hidden="1">
      <c r="A4144" s="21"/>
      <c r="B4144" s="21" t="s">
        <v>4966</v>
      </c>
      <c r="D4144" s="25">
        <v>0.0</v>
      </c>
      <c r="E4144" s="27"/>
      <c r="F4144" s="25">
        <v>0.0</v>
      </c>
      <c r="G4144" s="27"/>
    </row>
    <row r="4145" hidden="1">
      <c r="A4145" s="21"/>
      <c r="B4145" s="21" t="s">
        <v>4967</v>
      </c>
      <c r="D4145" s="25">
        <v>0.0</v>
      </c>
      <c r="E4145" s="27"/>
      <c r="F4145" s="25">
        <v>0.0</v>
      </c>
      <c r="G4145" s="27"/>
    </row>
    <row r="4146" hidden="1">
      <c r="A4146" s="21"/>
      <c r="B4146" s="21" t="s">
        <v>4968</v>
      </c>
      <c r="D4146" s="25">
        <v>0.0</v>
      </c>
      <c r="E4146" s="27"/>
      <c r="F4146" s="25">
        <v>0.0</v>
      </c>
      <c r="G4146" s="27"/>
    </row>
    <row r="4147" hidden="1">
      <c r="A4147" s="21"/>
      <c r="B4147" s="21" t="s">
        <v>4969</v>
      </c>
      <c r="D4147" s="25">
        <v>0.0</v>
      </c>
      <c r="E4147" s="27"/>
      <c r="F4147" s="25">
        <v>0.0</v>
      </c>
      <c r="G4147" s="27"/>
    </row>
    <row r="4148" hidden="1">
      <c r="A4148" s="21"/>
      <c r="B4148" s="21" t="s">
        <v>4970</v>
      </c>
      <c r="D4148" s="25">
        <v>0.0</v>
      </c>
      <c r="E4148" s="27"/>
      <c r="F4148" s="25">
        <v>0.0</v>
      </c>
      <c r="G4148" s="27"/>
    </row>
    <row r="4149" hidden="1">
      <c r="A4149" s="21"/>
      <c r="B4149" s="21" t="s">
        <v>4971</v>
      </c>
      <c r="D4149" s="25">
        <v>0.0</v>
      </c>
      <c r="E4149" s="27"/>
      <c r="F4149" s="25">
        <v>0.0</v>
      </c>
      <c r="G4149" s="27"/>
    </row>
    <row r="4150" hidden="1">
      <c r="A4150" s="21"/>
      <c r="B4150" s="21" t="s">
        <v>4972</v>
      </c>
      <c r="D4150" s="25">
        <v>0.0</v>
      </c>
      <c r="E4150" s="27"/>
      <c r="F4150" s="25">
        <v>0.0</v>
      </c>
      <c r="G4150" s="27"/>
    </row>
    <row r="4151" hidden="1">
      <c r="A4151" s="21"/>
      <c r="B4151" s="21" t="s">
        <v>4973</v>
      </c>
      <c r="D4151" s="25">
        <v>0.0</v>
      </c>
      <c r="E4151" s="27"/>
      <c r="F4151" s="25">
        <v>0.0</v>
      </c>
      <c r="G4151" s="27"/>
    </row>
    <row r="4152" hidden="1">
      <c r="A4152" s="21"/>
      <c r="B4152" s="21" t="s">
        <v>4974</v>
      </c>
      <c r="D4152" s="25">
        <v>0.0</v>
      </c>
      <c r="E4152" s="27"/>
      <c r="F4152" s="25">
        <v>0.0</v>
      </c>
      <c r="G4152" s="27"/>
    </row>
    <row r="4153" hidden="1">
      <c r="A4153" s="21"/>
      <c r="B4153" s="21" t="s">
        <v>4975</v>
      </c>
      <c r="D4153" s="25">
        <v>0.0</v>
      </c>
      <c r="E4153" s="27"/>
      <c r="F4153" s="25">
        <v>0.0</v>
      </c>
      <c r="G4153" s="27"/>
    </row>
    <row r="4154" hidden="1">
      <c r="A4154" s="21"/>
      <c r="B4154" s="21" t="s">
        <v>4976</v>
      </c>
      <c r="D4154" s="25">
        <v>0.0</v>
      </c>
      <c r="E4154" s="27"/>
      <c r="F4154" s="25">
        <v>0.0</v>
      </c>
      <c r="G4154" s="27"/>
    </row>
    <row r="4155" hidden="1">
      <c r="A4155" s="21"/>
      <c r="B4155" s="21" t="s">
        <v>4977</v>
      </c>
      <c r="D4155" s="25">
        <v>0.0</v>
      </c>
      <c r="E4155" s="27"/>
      <c r="F4155" s="25">
        <v>0.0</v>
      </c>
      <c r="G4155" s="27"/>
    </row>
    <row r="4156" hidden="1">
      <c r="A4156" s="21"/>
      <c r="B4156" s="21" t="s">
        <v>4978</v>
      </c>
      <c r="D4156" s="25">
        <v>0.0</v>
      </c>
      <c r="E4156" s="27"/>
      <c r="F4156" s="25">
        <v>0.0</v>
      </c>
      <c r="G4156" s="27"/>
    </row>
    <row r="4157" hidden="1">
      <c r="A4157" s="21"/>
      <c r="B4157" s="21" t="s">
        <v>4979</v>
      </c>
      <c r="D4157" s="25">
        <v>0.0</v>
      </c>
      <c r="E4157" s="27"/>
      <c r="F4157" s="25">
        <v>0.0</v>
      </c>
      <c r="G4157" s="27"/>
    </row>
    <row r="4158" hidden="1">
      <c r="A4158" s="21"/>
      <c r="B4158" s="21" t="s">
        <v>4980</v>
      </c>
      <c r="D4158" s="25">
        <v>0.0</v>
      </c>
      <c r="E4158" s="27"/>
      <c r="F4158" s="25">
        <v>0.0</v>
      </c>
      <c r="G4158" s="27"/>
    </row>
    <row r="4159" hidden="1">
      <c r="A4159" s="21"/>
      <c r="B4159" s="21" t="s">
        <v>4981</v>
      </c>
      <c r="D4159" s="25">
        <v>0.0</v>
      </c>
      <c r="E4159" s="27"/>
      <c r="F4159" s="25">
        <v>0.0</v>
      </c>
      <c r="G4159" s="27"/>
    </row>
    <row r="4160" hidden="1">
      <c r="A4160" s="21"/>
      <c r="B4160" s="21" t="s">
        <v>4982</v>
      </c>
      <c r="D4160" s="25">
        <v>0.0</v>
      </c>
      <c r="E4160" s="27"/>
      <c r="F4160" s="25">
        <v>0.0</v>
      </c>
      <c r="G4160" s="27"/>
    </row>
    <row r="4161" hidden="1">
      <c r="A4161" s="21"/>
      <c r="B4161" s="21" t="s">
        <v>4983</v>
      </c>
      <c r="D4161" s="25">
        <v>0.0</v>
      </c>
      <c r="E4161" s="27"/>
      <c r="F4161" s="25">
        <v>0.0</v>
      </c>
      <c r="G4161" s="27"/>
    </row>
    <row r="4162" hidden="1">
      <c r="A4162" s="21"/>
      <c r="B4162" s="21" t="s">
        <v>4984</v>
      </c>
      <c r="D4162" s="25">
        <v>0.0</v>
      </c>
      <c r="E4162" s="27"/>
      <c r="F4162" s="25">
        <v>0.0</v>
      </c>
      <c r="G4162" s="27"/>
    </row>
    <row r="4163" hidden="1">
      <c r="A4163" s="21"/>
      <c r="B4163" s="21" t="s">
        <v>4985</v>
      </c>
      <c r="D4163" s="25">
        <v>0.0</v>
      </c>
      <c r="E4163" s="27"/>
      <c r="F4163" s="25">
        <v>0.0</v>
      </c>
      <c r="G4163" s="27"/>
    </row>
    <row r="4164" hidden="1">
      <c r="A4164" s="21"/>
      <c r="B4164" s="21" t="s">
        <v>4986</v>
      </c>
      <c r="D4164" s="25">
        <v>0.0</v>
      </c>
      <c r="E4164" s="27"/>
      <c r="F4164" s="25">
        <v>0.0</v>
      </c>
      <c r="G4164" s="27"/>
    </row>
    <row r="4165" hidden="1">
      <c r="A4165" s="21"/>
      <c r="B4165" s="21" t="s">
        <v>4987</v>
      </c>
      <c r="D4165" s="25">
        <v>0.0</v>
      </c>
      <c r="E4165" s="27"/>
      <c r="F4165" s="25">
        <v>0.0</v>
      </c>
      <c r="G4165" s="27"/>
    </row>
    <row r="4166" hidden="1">
      <c r="A4166" s="21"/>
      <c r="B4166" s="21" t="s">
        <v>4988</v>
      </c>
      <c r="D4166" s="25">
        <v>0.0</v>
      </c>
      <c r="E4166" s="27"/>
      <c r="F4166" s="25">
        <v>9.24</v>
      </c>
      <c r="G4166" s="27"/>
    </row>
    <row r="4167" hidden="1">
      <c r="A4167" s="21"/>
      <c r="B4167" s="21" t="s">
        <v>4989</v>
      </c>
      <c r="D4167" s="25">
        <v>0.0</v>
      </c>
      <c r="E4167" s="27"/>
      <c r="F4167" s="25">
        <v>0.0</v>
      </c>
      <c r="G4167" s="27"/>
    </row>
    <row r="4168" hidden="1">
      <c r="A4168" s="21"/>
      <c r="B4168" s="21" t="s">
        <v>4990</v>
      </c>
      <c r="D4168" s="25">
        <v>0.0</v>
      </c>
      <c r="E4168" s="27"/>
      <c r="F4168" s="25">
        <v>0.0</v>
      </c>
      <c r="G4168" s="27"/>
    </row>
    <row r="4169" hidden="1">
      <c r="A4169" s="21"/>
      <c r="B4169" s="21" t="s">
        <v>4991</v>
      </c>
      <c r="D4169" s="25">
        <v>0.0</v>
      </c>
      <c r="E4169" s="27"/>
      <c r="F4169" s="25">
        <v>4.11</v>
      </c>
      <c r="G4169" s="27"/>
    </row>
    <row r="4170" hidden="1">
      <c r="A4170" s="21"/>
      <c r="B4170" s="21" t="s">
        <v>4992</v>
      </c>
      <c r="D4170" s="25">
        <v>0.0</v>
      </c>
      <c r="E4170" s="27"/>
      <c r="F4170" s="25">
        <v>0.0</v>
      </c>
      <c r="G4170" s="27"/>
    </row>
    <row r="4171" hidden="1">
      <c r="A4171" s="21"/>
      <c r="B4171" s="21" t="s">
        <v>4993</v>
      </c>
      <c r="D4171" s="25">
        <v>0.0</v>
      </c>
      <c r="E4171" s="27"/>
      <c r="F4171" s="25">
        <v>0.0</v>
      </c>
      <c r="G4171" s="27"/>
    </row>
    <row r="4172" hidden="1">
      <c r="A4172" s="21"/>
      <c r="B4172" s="21" t="s">
        <v>4994</v>
      </c>
      <c r="D4172" s="25">
        <v>0.0</v>
      </c>
      <c r="E4172" s="27"/>
      <c r="F4172" s="25">
        <v>0.0</v>
      </c>
      <c r="G4172" s="27"/>
    </row>
    <row r="4173" hidden="1">
      <c r="A4173" s="21"/>
      <c r="B4173" s="21" t="s">
        <v>4995</v>
      </c>
      <c r="D4173" s="25">
        <v>0.0</v>
      </c>
      <c r="E4173" s="27"/>
      <c r="F4173" s="25">
        <v>0.0</v>
      </c>
      <c r="G4173" s="27"/>
    </row>
    <row r="4174" hidden="1">
      <c r="A4174" s="21"/>
      <c r="B4174" s="21" t="s">
        <v>4996</v>
      </c>
      <c r="D4174" s="25">
        <v>0.0</v>
      </c>
      <c r="E4174" s="27"/>
      <c r="F4174" s="25">
        <v>0.0</v>
      </c>
      <c r="G4174" s="27"/>
    </row>
    <row r="4175" hidden="1">
      <c r="A4175" s="21"/>
      <c r="B4175" s="21" t="s">
        <v>4997</v>
      </c>
      <c r="D4175" s="25">
        <v>0.0</v>
      </c>
      <c r="E4175" s="27"/>
      <c r="F4175" s="25">
        <v>0.0</v>
      </c>
      <c r="G4175" s="27"/>
    </row>
    <row r="4176" hidden="1">
      <c r="A4176" s="21"/>
      <c r="B4176" s="21" t="s">
        <v>4998</v>
      </c>
      <c r="D4176" s="25">
        <v>0.0</v>
      </c>
      <c r="E4176" s="27"/>
      <c r="F4176" s="25">
        <v>0.0</v>
      </c>
      <c r="G4176" s="27"/>
    </row>
    <row r="4177" hidden="1">
      <c r="A4177" s="21"/>
      <c r="B4177" s="21" t="s">
        <v>4999</v>
      </c>
      <c r="D4177" s="25">
        <v>0.0</v>
      </c>
      <c r="E4177" s="27"/>
      <c r="F4177" s="25">
        <v>0.93</v>
      </c>
      <c r="G4177" s="27"/>
    </row>
    <row r="4178" hidden="1">
      <c r="A4178" s="21"/>
      <c r="B4178" s="21" t="s">
        <v>5000</v>
      </c>
      <c r="D4178" s="25">
        <v>0.0</v>
      </c>
      <c r="E4178" s="27"/>
      <c r="F4178" s="25">
        <v>0.0</v>
      </c>
      <c r="G4178" s="27"/>
    </row>
    <row r="4179" hidden="1">
      <c r="A4179" s="21"/>
      <c r="B4179" s="21" t="s">
        <v>5001</v>
      </c>
      <c r="D4179" s="25">
        <v>0.0</v>
      </c>
      <c r="E4179" s="27"/>
      <c r="F4179" s="25">
        <v>0.0</v>
      </c>
      <c r="G4179" s="27"/>
    </row>
    <row r="4180" hidden="1">
      <c r="A4180" s="21"/>
      <c r="B4180" s="21" t="s">
        <v>5002</v>
      </c>
      <c r="D4180" s="25">
        <v>0.0</v>
      </c>
      <c r="E4180" s="27"/>
      <c r="F4180" s="25">
        <v>0.0</v>
      </c>
      <c r="G4180" s="27"/>
    </row>
    <row r="4181" hidden="1">
      <c r="A4181" s="21"/>
      <c r="B4181" s="21" t="s">
        <v>5003</v>
      </c>
      <c r="D4181" s="25">
        <v>0.0</v>
      </c>
      <c r="E4181" s="27"/>
      <c r="F4181" s="25">
        <v>0.0</v>
      </c>
      <c r="G4181" s="27"/>
    </row>
    <row r="4182" hidden="1">
      <c r="A4182" s="21"/>
      <c r="B4182" s="21" t="s">
        <v>5004</v>
      </c>
      <c r="D4182" s="25">
        <v>0.0</v>
      </c>
      <c r="E4182" s="27"/>
      <c r="F4182" s="25">
        <v>0.0</v>
      </c>
      <c r="G4182" s="27"/>
    </row>
    <row r="4183" hidden="1">
      <c r="A4183" s="21"/>
      <c r="B4183" s="21" t="s">
        <v>5005</v>
      </c>
      <c r="D4183" s="25">
        <v>0.0</v>
      </c>
      <c r="E4183" s="27"/>
      <c r="F4183" s="25">
        <v>0.0</v>
      </c>
      <c r="G4183" s="27"/>
    </row>
    <row r="4184" hidden="1">
      <c r="A4184" s="21"/>
      <c r="B4184" s="21" t="s">
        <v>5006</v>
      </c>
      <c r="D4184" s="25">
        <v>0.0</v>
      </c>
      <c r="E4184" s="27"/>
      <c r="F4184" s="25">
        <v>0.0</v>
      </c>
      <c r="G4184" s="27"/>
    </row>
    <row r="4185" hidden="1">
      <c r="A4185" s="21"/>
      <c r="B4185" s="21" t="s">
        <v>5007</v>
      </c>
      <c r="D4185" s="25">
        <v>0.0</v>
      </c>
      <c r="E4185" s="27"/>
      <c r="F4185" s="25">
        <v>0.0</v>
      </c>
      <c r="G4185" s="27"/>
    </row>
    <row r="4186" hidden="1">
      <c r="A4186" s="21"/>
      <c r="B4186" s="21" t="s">
        <v>5008</v>
      </c>
      <c r="D4186" s="25">
        <v>0.0</v>
      </c>
      <c r="E4186" s="27"/>
      <c r="F4186" s="25">
        <v>0.0</v>
      </c>
      <c r="G4186" s="27"/>
    </row>
    <row r="4187" hidden="1">
      <c r="A4187" s="21"/>
      <c r="B4187" s="21" t="s">
        <v>5009</v>
      </c>
      <c r="D4187" s="25">
        <v>0.0</v>
      </c>
      <c r="E4187" s="27"/>
      <c r="F4187" s="25">
        <v>0.0</v>
      </c>
      <c r="G4187" s="27"/>
    </row>
    <row r="4188" hidden="1">
      <c r="A4188" s="21"/>
      <c r="B4188" s="21" t="s">
        <v>5010</v>
      </c>
      <c r="D4188" s="25">
        <v>0.0</v>
      </c>
      <c r="E4188" s="27"/>
      <c r="F4188" s="25">
        <v>0.0</v>
      </c>
      <c r="G4188" s="27"/>
    </row>
    <row r="4189" hidden="1">
      <c r="A4189" s="21"/>
      <c r="B4189" s="21" t="s">
        <v>5011</v>
      </c>
      <c r="D4189" s="25">
        <v>0.0</v>
      </c>
      <c r="E4189" s="27"/>
      <c r="F4189" s="25">
        <v>0.0</v>
      </c>
      <c r="G4189" s="27"/>
    </row>
    <row r="4190" hidden="1">
      <c r="A4190" s="21"/>
      <c r="B4190" s="21" t="s">
        <v>5012</v>
      </c>
      <c r="D4190" s="25">
        <v>0.0</v>
      </c>
      <c r="E4190" s="27"/>
      <c r="F4190" s="25">
        <v>0.0</v>
      </c>
      <c r="G4190" s="27"/>
    </row>
    <row r="4191" hidden="1">
      <c r="A4191" s="21"/>
      <c r="B4191" s="21" t="s">
        <v>5013</v>
      </c>
      <c r="D4191" s="25">
        <v>0.0</v>
      </c>
      <c r="E4191" s="27"/>
      <c r="F4191" s="25">
        <v>0.0</v>
      </c>
      <c r="G4191" s="27"/>
    </row>
    <row r="4192" hidden="1">
      <c r="A4192" s="21"/>
      <c r="B4192" s="21" t="s">
        <v>5014</v>
      </c>
      <c r="D4192" s="25">
        <v>0.0</v>
      </c>
      <c r="E4192" s="27"/>
      <c r="F4192" s="25">
        <v>0.0</v>
      </c>
      <c r="G4192" s="27"/>
    </row>
    <row r="4193" hidden="1">
      <c r="A4193" s="21"/>
      <c r="B4193" s="21" t="s">
        <v>5015</v>
      </c>
      <c r="D4193" s="25">
        <v>0.0</v>
      </c>
      <c r="E4193" s="27"/>
      <c r="F4193" s="25">
        <v>0.0</v>
      </c>
      <c r="G4193" s="27"/>
    </row>
    <row r="4194" hidden="1">
      <c r="A4194" s="21"/>
      <c r="B4194" s="21" t="s">
        <v>5016</v>
      </c>
      <c r="D4194" s="25">
        <v>0.0</v>
      </c>
      <c r="E4194" s="27"/>
      <c r="F4194" s="25">
        <v>0.0</v>
      </c>
      <c r="G4194" s="27"/>
    </row>
    <row r="4195" hidden="1">
      <c r="A4195" s="21"/>
      <c r="B4195" s="21" t="s">
        <v>5017</v>
      </c>
      <c r="D4195" s="25">
        <v>0.0</v>
      </c>
      <c r="E4195" s="27"/>
      <c r="F4195" s="25">
        <v>0.0</v>
      </c>
      <c r="G4195" s="27"/>
    </row>
    <row r="4196" hidden="1">
      <c r="A4196" s="21"/>
      <c r="B4196" s="21" t="s">
        <v>5018</v>
      </c>
      <c r="D4196" s="25">
        <v>0.0</v>
      </c>
      <c r="E4196" s="27"/>
      <c r="F4196" s="25">
        <v>0.0</v>
      </c>
      <c r="G4196" s="27"/>
    </row>
    <row r="4197" hidden="1">
      <c r="A4197" s="21"/>
      <c r="B4197" s="21" t="s">
        <v>5019</v>
      </c>
      <c r="D4197" s="25">
        <v>0.0</v>
      </c>
      <c r="E4197" s="27"/>
      <c r="F4197" s="25">
        <v>0.0</v>
      </c>
      <c r="G4197" s="27"/>
    </row>
    <row r="4198" hidden="1">
      <c r="A4198" s="21"/>
      <c r="B4198" s="21" t="s">
        <v>5020</v>
      </c>
      <c r="D4198" s="25">
        <v>0.0</v>
      </c>
      <c r="E4198" s="27"/>
      <c r="F4198" s="25">
        <v>0.0</v>
      </c>
      <c r="G4198" s="27"/>
    </row>
    <row r="4199" hidden="1">
      <c r="A4199" s="21"/>
      <c r="B4199" s="21" t="s">
        <v>5021</v>
      </c>
      <c r="D4199" s="25">
        <v>0.0</v>
      </c>
      <c r="E4199" s="27"/>
      <c r="F4199" s="25">
        <v>0.0</v>
      </c>
      <c r="G4199" s="27"/>
    </row>
    <row r="4200" hidden="1">
      <c r="A4200" s="21"/>
      <c r="B4200" s="21" t="s">
        <v>5022</v>
      </c>
      <c r="D4200" s="25">
        <v>0.0</v>
      </c>
      <c r="E4200" s="27"/>
      <c r="F4200" s="25">
        <v>0.0</v>
      </c>
      <c r="G4200" s="27"/>
    </row>
    <row r="4201" hidden="1">
      <c r="A4201" s="21"/>
      <c r="B4201" s="21" t="s">
        <v>5023</v>
      </c>
      <c r="D4201" s="25">
        <v>0.0</v>
      </c>
      <c r="E4201" s="27"/>
      <c r="F4201" s="25">
        <v>0.0</v>
      </c>
      <c r="G4201" s="27"/>
    </row>
    <row r="4202" hidden="1">
      <c r="A4202" s="21"/>
      <c r="B4202" s="21" t="s">
        <v>5024</v>
      </c>
      <c r="D4202" s="25">
        <v>0.0</v>
      </c>
      <c r="E4202" s="27"/>
      <c r="F4202" s="25">
        <v>0.0</v>
      </c>
      <c r="G4202" s="27"/>
    </row>
    <row r="4203" hidden="1">
      <c r="A4203" s="21"/>
      <c r="B4203" s="21" t="s">
        <v>5025</v>
      </c>
      <c r="D4203" s="25">
        <v>0.0</v>
      </c>
      <c r="E4203" s="27"/>
      <c r="F4203" s="25">
        <v>0.0</v>
      </c>
      <c r="G4203" s="27"/>
    </row>
    <row r="4204" hidden="1">
      <c r="A4204" s="21"/>
      <c r="B4204" s="21" t="s">
        <v>5026</v>
      </c>
      <c r="D4204" s="25">
        <v>0.0</v>
      </c>
      <c r="E4204" s="27"/>
      <c r="F4204" s="25">
        <v>0.0</v>
      </c>
      <c r="G4204" s="27"/>
    </row>
    <row r="4205" hidden="1">
      <c r="A4205" s="21"/>
      <c r="B4205" s="21" t="s">
        <v>5027</v>
      </c>
      <c r="D4205" s="25">
        <v>0.0</v>
      </c>
      <c r="E4205" s="27"/>
      <c r="F4205" s="25">
        <v>0.0</v>
      </c>
      <c r="G4205" s="27"/>
    </row>
    <row r="4206" hidden="1">
      <c r="A4206" s="21"/>
      <c r="B4206" s="21" t="s">
        <v>646</v>
      </c>
      <c r="D4206" s="25">
        <v>0.0</v>
      </c>
      <c r="E4206" s="27"/>
      <c r="F4206" s="25">
        <v>0.0</v>
      </c>
      <c r="G4206" s="27"/>
    </row>
    <row r="4207" hidden="1">
      <c r="A4207" s="21"/>
      <c r="B4207" s="21" t="s">
        <v>647</v>
      </c>
      <c r="D4207" s="25">
        <v>0.0</v>
      </c>
      <c r="E4207" s="27"/>
      <c r="F4207" s="25">
        <v>0.0</v>
      </c>
      <c r="G4207" s="27"/>
    </row>
    <row r="4208" hidden="1">
      <c r="A4208" s="21"/>
      <c r="B4208" s="21" t="s">
        <v>648</v>
      </c>
      <c r="D4208" s="25">
        <v>0.0</v>
      </c>
      <c r="E4208" s="27"/>
      <c r="F4208" s="25">
        <v>0.0</v>
      </c>
      <c r="G4208" s="27"/>
    </row>
    <row r="4209" hidden="1">
      <c r="A4209" s="21"/>
      <c r="B4209" s="21" t="s">
        <v>649</v>
      </c>
      <c r="D4209" s="25">
        <v>0.0</v>
      </c>
      <c r="E4209" s="27"/>
      <c r="F4209" s="25">
        <v>0.0</v>
      </c>
      <c r="G4209" s="27"/>
    </row>
    <row r="4210" hidden="1">
      <c r="A4210" s="21"/>
      <c r="B4210" s="21" t="s">
        <v>650</v>
      </c>
      <c r="D4210" s="25">
        <v>0.0</v>
      </c>
      <c r="E4210" s="27"/>
      <c r="F4210" s="25">
        <v>0.0</v>
      </c>
      <c r="G4210" s="27"/>
    </row>
    <row r="4211" hidden="1">
      <c r="A4211" s="21"/>
      <c r="B4211" s="21" t="s">
        <v>651</v>
      </c>
      <c r="D4211" s="25">
        <v>0.0</v>
      </c>
      <c r="E4211" s="27"/>
      <c r="F4211" s="25">
        <v>0.0</v>
      </c>
      <c r="G4211" s="27"/>
    </row>
    <row r="4212" hidden="1">
      <c r="A4212" s="21"/>
      <c r="B4212" s="21" t="s">
        <v>652</v>
      </c>
      <c r="D4212" s="25">
        <v>0.0</v>
      </c>
      <c r="E4212" s="27"/>
      <c r="F4212" s="25">
        <v>0.0</v>
      </c>
      <c r="G4212" s="27"/>
    </row>
    <row r="4213" hidden="1">
      <c r="A4213" s="21"/>
      <c r="B4213" s="21" t="s">
        <v>653</v>
      </c>
      <c r="D4213" s="25">
        <v>0.0</v>
      </c>
      <c r="E4213" s="27"/>
      <c r="F4213" s="25">
        <v>0.0</v>
      </c>
      <c r="G4213" s="27"/>
    </row>
    <row r="4214" hidden="1">
      <c r="A4214" s="21"/>
      <c r="B4214" s="21" t="s">
        <v>654</v>
      </c>
      <c r="D4214" s="25">
        <v>0.0</v>
      </c>
      <c r="E4214" s="27"/>
      <c r="F4214" s="25">
        <v>0.0</v>
      </c>
      <c r="G4214" s="27"/>
    </row>
    <row r="4215" hidden="1">
      <c r="A4215" s="21"/>
      <c r="B4215" s="21" t="s">
        <v>655</v>
      </c>
      <c r="D4215" s="25">
        <v>0.0</v>
      </c>
      <c r="E4215" s="27"/>
      <c r="F4215" s="25">
        <v>0.0</v>
      </c>
      <c r="G4215" s="27"/>
    </row>
    <row r="4216" hidden="1">
      <c r="A4216" s="21"/>
      <c r="B4216" s="21" t="s">
        <v>656</v>
      </c>
      <c r="D4216" s="25">
        <v>0.0</v>
      </c>
      <c r="E4216" s="27"/>
      <c r="F4216" s="25">
        <v>0.0</v>
      </c>
      <c r="G4216" s="27"/>
    </row>
    <row r="4217" hidden="1">
      <c r="A4217" s="21"/>
      <c r="B4217" s="21" t="s">
        <v>657</v>
      </c>
      <c r="D4217" s="25">
        <v>0.0</v>
      </c>
      <c r="E4217" s="27"/>
      <c r="F4217" s="25">
        <v>0.0</v>
      </c>
      <c r="G4217" s="27"/>
    </row>
    <row r="4218" hidden="1">
      <c r="A4218" s="21"/>
      <c r="B4218" s="21" t="s">
        <v>658</v>
      </c>
      <c r="D4218" s="25">
        <v>0.0</v>
      </c>
      <c r="E4218" s="27"/>
      <c r="F4218" s="25">
        <v>0.0</v>
      </c>
      <c r="G4218" s="27"/>
    </row>
    <row r="4219" hidden="1">
      <c r="A4219" s="21"/>
      <c r="B4219" s="21" t="s">
        <v>659</v>
      </c>
      <c r="D4219" s="25">
        <v>0.0</v>
      </c>
      <c r="E4219" s="27"/>
      <c r="F4219" s="25">
        <v>0.0</v>
      </c>
      <c r="G4219" s="27"/>
    </row>
    <row r="4220" hidden="1">
      <c r="A4220" s="21"/>
      <c r="B4220" s="21" t="s">
        <v>660</v>
      </c>
      <c r="D4220" s="25">
        <v>0.0</v>
      </c>
      <c r="E4220" s="27"/>
      <c r="F4220" s="25">
        <v>0.0</v>
      </c>
      <c r="G4220" s="27"/>
    </row>
    <row r="4221" hidden="1">
      <c r="A4221" s="21"/>
      <c r="B4221" s="21" t="s">
        <v>661</v>
      </c>
      <c r="D4221" s="25">
        <v>0.0</v>
      </c>
      <c r="E4221" s="27"/>
      <c r="F4221" s="25">
        <v>0.0</v>
      </c>
      <c r="G4221" s="27"/>
    </row>
    <row r="4222" hidden="1">
      <c r="A4222" s="21"/>
      <c r="B4222" s="21" t="s">
        <v>662</v>
      </c>
      <c r="D4222" s="25">
        <v>0.0</v>
      </c>
      <c r="E4222" s="27"/>
      <c r="F4222" s="25">
        <v>0.0</v>
      </c>
      <c r="G4222" s="27"/>
    </row>
    <row r="4223" hidden="1">
      <c r="A4223" s="21"/>
      <c r="B4223" s="21" t="s">
        <v>663</v>
      </c>
      <c r="D4223" s="25">
        <v>0.0</v>
      </c>
      <c r="E4223" s="27"/>
      <c r="F4223" s="25">
        <v>0.0</v>
      </c>
      <c r="G4223" s="27"/>
    </row>
    <row r="4224" hidden="1">
      <c r="A4224" s="21"/>
      <c r="B4224" s="21" t="s">
        <v>5028</v>
      </c>
      <c r="D4224" s="25">
        <v>0.0</v>
      </c>
      <c r="E4224" s="27"/>
      <c r="F4224" s="25">
        <v>0.0</v>
      </c>
      <c r="G4224" s="27"/>
    </row>
    <row r="4225" hidden="1">
      <c r="A4225" s="21"/>
      <c r="B4225" s="21" t="s">
        <v>5029</v>
      </c>
      <c r="D4225" s="25">
        <v>0.0</v>
      </c>
      <c r="E4225" s="27"/>
      <c r="F4225" s="25">
        <v>0.0</v>
      </c>
      <c r="G4225" s="27"/>
    </row>
    <row r="4226" hidden="1">
      <c r="A4226" s="21"/>
      <c r="B4226" s="21" t="s">
        <v>5030</v>
      </c>
      <c r="D4226" s="25">
        <v>0.0</v>
      </c>
      <c r="E4226" s="27"/>
      <c r="F4226" s="25">
        <v>0.0</v>
      </c>
      <c r="G4226" s="27"/>
    </row>
    <row r="4227" hidden="1">
      <c r="A4227" s="21"/>
      <c r="B4227" s="21" t="s">
        <v>5031</v>
      </c>
      <c r="D4227" s="25">
        <v>0.0</v>
      </c>
      <c r="E4227" s="27"/>
      <c r="F4227" s="25">
        <v>0.0</v>
      </c>
      <c r="G4227" s="27"/>
    </row>
    <row r="4228" hidden="1">
      <c r="A4228" s="21"/>
      <c r="B4228" s="21" t="s">
        <v>5032</v>
      </c>
      <c r="D4228" s="25">
        <v>0.0</v>
      </c>
      <c r="E4228" s="27"/>
      <c r="F4228" s="25">
        <v>0.0</v>
      </c>
      <c r="G4228" s="27"/>
    </row>
    <row r="4229" hidden="1">
      <c r="A4229" s="21"/>
      <c r="B4229" s="21" t="s">
        <v>5033</v>
      </c>
      <c r="D4229" s="25">
        <v>0.0</v>
      </c>
      <c r="E4229" s="27"/>
      <c r="F4229" s="25">
        <v>0.0</v>
      </c>
      <c r="G4229" s="27"/>
    </row>
    <row r="4230" hidden="1">
      <c r="A4230" s="21"/>
      <c r="B4230" s="21" t="s">
        <v>5034</v>
      </c>
      <c r="D4230" s="25">
        <v>0.0</v>
      </c>
      <c r="E4230" s="27"/>
      <c r="F4230" s="25">
        <v>0.0</v>
      </c>
      <c r="G4230" s="27"/>
    </row>
    <row r="4231" hidden="1">
      <c r="A4231" s="21"/>
      <c r="B4231" s="21" t="s">
        <v>5035</v>
      </c>
      <c r="D4231" s="25">
        <v>0.0</v>
      </c>
      <c r="E4231" s="27"/>
      <c r="F4231" s="25">
        <v>0.0</v>
      </c>
      <c r="G4231" s="27"/>
    </row>
    <row r="4232" hidden="1">
      <c r="A4232" s="21"/>
      <c r="B4232" s="21" t="s">
        <v>5036</v>
      </c>
      <c r="D4232" s="25">
        <v>0.0</v>
      </c>
      <c r="E4232" s="27"/>
      <c r="F4232" s="25">
        <v>0.0</v>
      </c>
      <c r="G4232" s="27"/>
    </row>
    <row r="4233" hidden="1">
      <c r="A4233" s="21"/>
      <c r="B4233" s="21" t="s">
        <v>5037</v>
      </c>
      <c r="D4233" s="25">
        <v>0.0</v>
      </c>
      <c r="E4233" s="27"/>
      <c r="F4233" s="25">
        <v>0.0</v>
      </c>
      <c r="G4233" s="27"/>
    </row>
    <row r="4234" hidden="1">
      <c r="A4234" s="21"/>
      <c r="B4234" s="21" t="s">
        <v>5038</v>
      </c>
      <c r="D4234" s="25">
        <v>0.0</v>
      </c>
      <c r="E4234" s="27"/>
      <c r="F4234" s="25">
        <v>0.0</v>
      </c>
      <c r="G4234" s="27"/>
    </row>
    <row r="4235" hidden="1">
      <c r="A4235" s="21"/>
      <c r="B4235" s="21" t="s">
        <v>5039</v>
      </c>
      <c r="D4235" s="25">
        <v>0.0</v>
      </c>
      <c r="E4235" s="27"/>
      <c r="F4235" s="25">
        <v>0.0</v>
      </c>
      <c r="G4235" s="27"/>
    </row>
    <row r="4236" hidden="1">
      <c r="A4236" s="21"/>
      <c r="B4236" s="21" t="s">
        <v>5040</v>
      </c>
      <c r="D4236" s="25">
        <v>0.0</v>
      </c>
      <c r="E4236" s="27"/>
      <c r="F4236" s="25">
        <v>0.0</v>
      </c>
      <c r="G4236" s="27"/>
    </row>
    <row r="4237" hidden="1">
      <c r="A4237" s="21"/>
      <c r="B4237" s="21" t="s">
        <v>5041</v>
      </c>
      <c r="D4237" s="25">
        <v>0.0</v>
      </c>
      <c r="E4237" s="27"/>
      <c r="F4237" s="25">
        <v>0.0</v>
      </c>
      <c r="G4237" s="27"/>
    </row>
    <row r="4238" hidden="1">
      <c r="A4238" s="21"/>
      <c r="B4238" s="21" t="s">
        <v>5042</v>
      </c>
      <c r="D4238" s="25">
        <v>0.0</v>
      </c>
      <c r="E4238" s="27"/>
      <c r="F4238" s="25">
        <v>0.0</v>
      </c>
      <c r="G4238" s="27"/>
    </row>
    <row r="4239" hidden="1">
      <c r="A4239" s="21"/>
      <c r="B4239" s="21" t="s">
        <v>5043</v>
      </c>
      <c r="D4239" s="25">
        <v>0.0</v>
      </c>
      <c r="E4239" s="27"/>
      <c r="F4239" s="25">
        <v>0.0</v>
      </c>
      <c r="G4239" s="27"/>
    </row>
    <row r="4240" hidden="1">
      <c r="A4240" s="21"/>
      <c r="B4240" s="21" t="s">
        <v>5044</v>
      </c>
      <c r="D4240" s="25">
        <v>0.0</v>
      </c>
      <c r="E4240" s="27"/>
      <c r="F4240" s="25">
        <v>0.0</v>
      </c>
      <c r="G4240" s="27"/>
    </row>
    <row r="4241" hidden="1">
      <c r="A4241" s="21"/>
      <c r="B4241" s="21" t="s">
        <v>5045</v>
      </c>
      <c r="D4241" s="25">
        <v>0.0</v>
      </c>
      <c r="E4241" s="27"/>
      <c r="F4241" s="25">
        <v>0.0</v>
      </c>
      <c r="G4241" s="27"/>
    </row>
    <row r="4242" hidden="1">
      <c r="A4242" s="21"/>
      <c r="B4242" s="21" t="s">
        <v>5046</v>
      </c>
      <c r="D4242" s="25">
        <v>0.0</v>
      </c>
      <c r="E4242" s="27"/>
      <c r="F4242" s="25">
        <v>0.0</v>
      </c>
      <c r="G4242" s="27"/>
    </row>
    <row r="4243" hidden="1">
      <c r="A4243" s="21"/>
      <c r="B4243" s="21" t="s">
        <v>5047</v>
      </c>
      <c r="D4243" s="25">
        <v>0.0</v>
      </c>
      <c r="E4243" s="27"/>
      <c r="F4243" s="25">
        <v>0.0</v>
      </c>
      <c r="G4243" s="27"/>
    </row>
    <row r="4244" hidden="1">
      <c r="A4244" s="21"/>
      <c r="B4244" s="21" t="s">
        <v>5048</v>
      </c>
      <c r="D4244" s="25">
        <v>0.0</v>
      </c>
      <c r="E4244" s="27"/>
      <c r="F4244" s="25">
        <v>0.0</v>
      </c>
      <c r="G4244" s="27"/>
    </row>
    <row r="4245" hidden="1">
      <c r="A4245" s="21"/>
      <c r="B4245" s="21" t="s">
        <v>5049</v>
      </c>
      <c r="D4245" s="25">
        <v>0.0</v>
      </c>
      <c r="E4245" s="27"/>
      <c r="F4245" s="25">
        <v>0.0</v>
      </c>
      <c r="G4245" s="27"/>
    </row>
    <row r="4246" hidden="1">
      <c r="A4246" s="21"/>
      <c r="B4246" s="21" t="s">
        <v>5050</v>
      </c>
      <c r="D4246" s="25">
        <v>0.0</v>
      </c>
      <c r="E4246" s="27"/>
      <c r="F4246" s="25">
        <v>0.0</v>
      </c>
      <c r="G4246" s="27"/>
    </row>
    <row r="4247" hidden="1">
      <c r="A4247" s="21"/>
      <c r="B4247" s="21" t="s">
        <v>5051</v>
      </c>
      <c r="D4247" s="25">
        <v>0.0</v>
      </c>
      <c r="E4247" s="27"/>
      <c r="F4247" s="25">
        <v>0.0</v>
      </c>
      <c r="G4247" s="27"/>
    </row>
    <row r="4248" hidden="1">
      <c r="A4248" s="21"/>
      <c r="B4248" s="21" t="s">
        <v>5052</v>
      </c>
      <c r="D4248" s="25">
        <v>0.0</v>
      </c>
      <c r="E4248" s="27"/>
      <c r="F4248" s="25">
        <v>0.0</v>
      </c>
      <c r="G4248" s="27"/>
    </row>
    <row r="4249" hidden="1">
      <c r="A4249" s="21"/>
      <c r="B4249" s="21" t="s">
        <v>5053</v>
      </c>
      <c r="D4249" s="25">
        <v>0.0</v>
      </c>
      <c r="E4249" s="27"/>
      <c r="F4249" s="25">
        <v>0.0</v>
      </c>
      <c r="G4249" s="27"/>
    </row>
    <row r="4250" hidden="1">
      <c r="A4250" s="21"/>
      <c r="B4250" s="21" t="s">
        <v>5054</v>
      </c>
      <c r="D4250" s="25">
        <v>0.0</v>
      </c>
      <c r="E4250" s="27"/>
      <c r="F4250" s="25">
        <v>0.0</v>
      </c>
      <c r="G4250" s="27"/>
    </row>
    <row r="4251" hidden="1">
      <c r="A4251" s="21"/>
      <c r="B4251" s="21" t="s">
        <v>5055</v>
      </c>
      <c r="D4251" s="25">
        <v>0.0</v>
      </c>
      <c r="E4251" s="27"/>
      <c r="F4251" s="25">
        <v>0.0</v>
      </c>
      <c r="G4251" s="27"/>
    </row>
    <row r="4252" hidden="1">
      <c r="A4252" s="21"/>
      <c r="B4252" s="21" t="s">
        <v>5056</v>
      </c>
      <c r="D4252" s="25">
        <v>0.0</v>
      </c>
      <c r="E4252" s="27"/>
      <c r="F4252" s="25">
        <v>0.0</v>
      </c>
      <c r="G4252" s="27"/>
    </row>
    <row r="4253" hidden="1">
      <c r="A4253" s="21"/>
      <c r="B4253" s="21" t="s">
        <v>5057</v>
      </c>
      <c r="D4253" s="25">
        <v>0.0</v>
      </c>
      <c r="E4253" s="27"/>
      <c r="F4253" s="25">
        <v>0.0</v>
      </c>
      <c r="G4253" s="27"/>
    </row>
    <row r="4254" hidden="1">
      <c r="A4254" s="21"/>
      <c r="B4254" s="21" t="s">
        <v>5058</v>
      </c>
      <c r="D4254" s="25">
        <v>0.0</v>
      </c>
      <c r="E4254" s="27"/>
      <c r="F4254" s="25">
        <v>0.0</v>
      </c>
      <c r="G4254" s="27"/>
    </row>
    <row r="4255" hidden="1">
      <c r="A4255" s="21"/>
      <c r="B4255" s="21" t="s">
        <v>5059</v>
      </c>
      <c r="D4255" s="25">
        <v>0.0</v>
      </c>
      <c r="E4255" s="27"/>
      <c r="F4255" s="25">
        <v>0.0</v>
      </c>
      <c r="G4255" s="27"/>
    </row>
    <row r="4256" hidden="1">
      <c r="A4256" s="21"/>
      <c r="B4256" s="21" t="s">
        <v>5060</v>
      </c>
      <c r="D4256" s="25">
        <v>0.0</v>
      </c>
      <c r="E4256" s="27"/>
      <c r="F4256" s="25">
        <v>2.52</v>
      </c>
      <c r="G4256" s="27"/>
    </row>
    <row r="4257" hidden="1">
      <c r="A4257" s="21"/>
      <c r="B4257" s="21" t="s">
        <v>5061</v>
      </c>
      <c r="D4257" s="25">
        <v>0.0</v>
      </c>
      <c r="E4257" s="27"/>
      <c r="F4257" s="25">
        <v>0.0</v>
      </c>
      <c r="G4257" s="27"/>
    </row>
    <row r="4258" hidden="1">
      <c r="A4258" s="21"/>
      <c r="B4258" s="21" t="s">
        <v>5062</v>
      </c>
      <c r="D4258" s="25">
        <v>0.0</v>
      </c>
      <c r="E4258" s="27"/>
      <c r="F4258" s="25">
        <v>0.0</v>
      </c>
      <c r="G4258" s="27"/>
    </row>
    <row r="4259" hidden="1">
      <c r="A4259" s="21"/>
      <c r="B4259" s="21" t="s">
        <v>5063</v>
      </c>
      <c r="D4259" s="25">
        <v>0.0</v>
      </c>
      <c r="E4259" s="27"/>
      <c r="F4259" s="25">
        <v>0.0</v>
      </c>
      <c r="G4259" s="27"/>
    </row>
    <row r="4260" hidden="1">
      <c r="A4260" s="21"/>
      <c r="B4260" s="21" t="s">
        <v>5064</v>
      </c>
      <c r="D4260" s="25">
        <v>0.0</v>
      </c>
      <c r="E4260" s="27"/>
      <c r="F4260" s="25">
        <v>0.0</v>
      </c>
      <c r="G4260" s="27"/>
    </row>
    <row r="4261" hidden="1">
      <c r="A4261" s="21"/>
      <c r="B4261" s="21" t="s">
        <v>5065</v>
      </c>
      <c r="D4261" s="25">
        <v>0.0</v>
      </c>
      <c r="E4261" s="27"/>
      <c r="F4261" s="25">
        <v>0.0</v>
      </c>
      <c r="G4261" s="27"/>
    </row>
    <row r="4262" hidden="1">
      <c r="A4262" s="21"/>
      <c r="B4262" s="21" t="s">
        <v>5066</v>
      </c>
      <c r="D4262" s="25">
        <v>0.0</v>
      </c>
      <c r="E4262" s="27"/>
      <c r="F4262" s="25">
        <v>0.0</v>
      </c>
      <c r="G4262" s="27"/>
    </row>
    <row r="4263" hidden="1">
      <c r="A4263" s="21"/>
      <c r="B4263" s="21" t="s">
        <v>5067</v>
      </c>
      <c r="D4263" s="25">
        <v>0.0</v>
      </c>
      <c r="E4263" s="27"/>
      <c r="F4263" s="25">
        <v>0.0</v>
      </c>
      <c r="G4263" s="27"/>
    </row>
    <row r="4264" hidden="1">
      <c r="A4264" s="21"/>
      <c r="B4264" s="21" t="s">
        <v>5068</v>
      </c>
      <c r="D4264" s="25">
        <v>0.0</v>
      </c>
      <c r="E4264" s="27"/>
      <c r="F4264" s="25">
        <v>0.0</v>
      </c>
      <c r="G4264" s="27"/>
    </row>
    <row r="4265" hidden="1">
      <c r="A4265" s="21"/>
      <c r="B4265" s="21" t="s">
        <v>5069</v>
      </c>
      <c r="D4265" s="25">
        <v>0.0</v>
      </c>
      <c r="E4265" s="27"/>
      <c r="F4265" s="25">
        <v>0.0</v>
      </c>
      <c r="G4265" s="27"/>
    </row>
    <row r="4266" hidden="1">
      <c r="A4266" s="21"/>
      <c r="B4266" s="21" t="s">
        <v>5070</v>
      </c>
      <c r="D4266" s="25">
        <v>0.0</v>
      </c>
      <c r="E4266" s="27"/>
      <c r="F4266" s="25">
        <v>0.0</v>
      </c>
      <c r="G4266" s="27"/>
    </row>
    <row r="4267" hidden="1">
      <c r="A4267" s="21"/>
      <c r="B4267" s="21" t="s">
        <v>5071</v>
      </c>
      <c r="D4267" s="25">
        <v>0.0</v>
      </c>
      <c r="E4267" s="27"/>
      <c r="F4267" s="25">
        <v>0.0</v>
      </c>
      <c r="G4267" s="27"/>
    </row>
    <row r="4268" hidden="1">
      <c r="A4268" s="21"/>
      <c r="B4268" s="21" t="s">
        <v>5072</v>
      </c>
      <c r="D4268" s="25">
        <v>0.0</v>
      </c>
      <c r="E4268" s="27"/>
      <c r="F4268" s="25">
        <v>0.0</v>
      </c>
      <c r="G4268" s="27"/>
    </row>
    <row r="4269" hidden="1">
      <c r="A4269" s="21"/>
      <c r="B4269" s="21" t="s">
        <v>5073</v>
      </c>
      <c r="D4269" s="25">
        <v>0.0</v>
      </c>
      <c r="E4269" s="27"/>
      <c r="F4269" s="25">
        <v>0.0</v>
      </c>
      <c r="G4269" s="27"/>
    </row>
    <row r="4270" hidden="1">
      <c r="A4270" s="21"/>
      <c r="B4270" s="21" t="s">
        <v>5074</v>
      </c>
      <c r="D4270" s="25">
        <v>0.0</v>
      </c>
      <c r="E4270" s="27"/>
      <c r="F4270" s="25">
        <v>0.0</v>
      </c>
      <c r="G4270" s="27"/>
    </row>
    <row r="4271" hidden="1">
      <c r="A4271" s="21"/>
      <c r="B4271" s="21" t="s">
        <v>5075</v>
      </c>
      <c r="D4271" s="25">
        <v>0.0</v>
      </c>
      <c r="E4271" s="27"/>
      <c r="F4271" s="25">
        <v>0.0</v>
      </c>
      <c r="G4271" s="27"/>
    </row>
    <row r="4272" hidden="1">
      <c r="A4272" s="21"/>
      <c r="B4272" s="21" t="s">
        <v>5076</v>
      </c>
      <c r="D4272" s="25">
        <v>0.0</v>
      </c>
      <c r="E4272" s="27"/>
      <c r="F4272" s="25">
        <v>0.0</v>
      </c>
      <c r="G4272" s="27"/>
    </row>
    <row r="4273" hidden="1">
      <c r="A4273" s="21"/>
      <c r="B4273" s="21" t="s">
        <v>5077</v>
      </c>
      <c r="D4273" s="25">
        <v>0.0</v>
      </c>
      <c r="E4273" s="27"/>
      <c r="F4273" s="25">
        <v>0.0</v>
      </c>
      <c r="G4273" s="27"/>
    </row>
    <row r="4274" hidden="1">
      <c r="A4274" s="21"/>
      <c r="B4274" s="21" t="s">
        <v>5078</v>
      </c>
      <c r="D4274" s="25">
        <v>0.0</v>
      </c>
      <c r="E4274" s="27"/>
      <c r="F4274" s="25">
        <v>0.0</v>
      </c>
      <c r="G4274" s="27"/>
    </row>
    <row r="4275" hidden="1">
      <c r="A4275" s="21"/>
      <c r="B4275" s="21" t="s">
        <v>5079</v>
      </c>
      <c r="D4275" s="25">
        <v>0.0</v>
      </c>
      <c r="E4275" s="27"/>
      <c r="F4275" s="25">
        <v>0.0</v>
      </c>
      <c r="G4275" s="27"/>
    </row>
    <row r="4276" hidden="1">
      <c r="A4276" s="21"/>
      <c r="B4276" s="21" t="s">
        <v>5080</v>
      </c>
      <c r="D4276" s="25">
        <v>0.0</v>
      </c>
      <c r="E4276" s="27"/>
      <c r="F4276" s="25">
        <v>0.0</v>
      </c>
      <c r="G4276" s="27"/>
    </row>
    <row r="4277" hidden="1">
      <c r="A4277" s="21"/>
      <c r="B4277" s="21" t="s">
        <v>5081</v>
      </c>
      <c r="D4277" s="25">
        <v>0.0</v>
      </c>
      <c r="E4277" s="27"/>
      <c r="F4277" s="25">
        <v>0.0</v>
      </c>
      <c r="G4277" s="27"/>
    </row>
    <row r="4278" hidden="1">
      <c r="A4278" s="21"/>
      <c r="B4278" s="21" t="s">
        <v>5082</v>
      </c>
      <c r="D4278" s="25">
        <v>0.0</v>
      </c>
      <c r="E4278" s="27"/>
      <c r="F4278" s="25">
        <v>0.0</v>
      </c>
      <c r="G4278" s="27"/>
    </row>
    <row r="4279" hidden="1">
      <c r="A4279" s="21"/>
      <c r="B4279" s="21" t="s">
        <v>5083</v>
      </c>
      <c r="D4279" s="25">
        <v>0.0</v>
      </c>
      <c r="E4279" s="27"/>
      <c r="F4279" s="25">
        <v>0.0</v>
      </c>
      <c r="G4279" s="27"/>
    </row>
    <row r="4280" hidden="1">
      <c r="A4280" s="21"/>
      <c r="B4280" s="21" t="s">
        <v>5084</v>
      </c>
      <c r="D4280" s="25">
        <v>0.0</v>
      </c>
      <c r="E4280" s="27"/>
      <c r="F4280" s="25">
        <v>0.0</v>
      </c>
      <c r="G4280" s="27"/>
    </row>
    <row r="4281" hidden="1">
      <c r="A4281" s="21"/>
      <c r="B4281" s="21" t="s">
        <v>5085</v>
      </c>
      <c r="D4281" s="25">
        <v>0.0</v>
      </c>
      <c r="E4281" s="27"/>
      <c r="F4281" s="25">
        <v>0.0</v>
      </c>
      <c r="G4281" s="27"/>
    </row>
    <row r="4282" hidden="1">
      <c r="A4282" s="21"/>
      <c r="B4282" s="21" t="s">
        <v>5086</v>
      </c>
      <c r="D4282" s="25">
        <v>0.0</v>
      </c>
      <c r="E4282" s="27"/>
      <c r="F4282" s="25">
        <v>0.0</v>
      </c>
      <c r="G4282" s="27"/>
    </row>
    <row r="4283" hidden="1">
      <c r="A4283" s="21"/>
      <c r="B4283" s="21" t="s">
        <v>5087</v>
      </c>
      <c r="D4283" s="25">
        <v>0.0</v>
      </c>
      <c r="E4283" s="27"/>
      <c r="F4283" s="25">
        <v>0.0</v>
      </c>
      <c r="G4283" s="27"/>
    </row>
    <row r="4284" hidden="1">
      <c r="A4284" s="21"/>
      <c r="B4284" s="21" t="s">
        <v>5088</v>
      </c>
      <c r="D4284" s="25">
        <v>0.0</v>
      </c>
      <c r="E4284" s="27"/>
      <c r="F4284" s="25">
        <v>0.0</v>
      </c>
      <c r="G4284" s="27"/>
    </row>
    <row r="4285" hidden="1">
      <c r="A4285" s="21"/>
      <c r="B4285" s="21" t="s">
        <v>5089</v>
      </c>
      <c r="D4285" s="25">
        <v>0.0</v>
      </c>
      <c r="E4285" s="27"/>
      <c r="F4285" s="25">
        <v>0.0</v>
      </c>
      <c r="G4285" s="27"/>
    </row>
    <row r="4286" hidden="1">
      <c r="A4286" s="21"/>
      <c r="B4286" s="21" t="s">
        <v>5090</v>
      </c>
      <c r="D4286" s="25">
        <v>0.0</v>
      </c>
      <c r="E4286" s="27"/>
      <c r="F4286" s="25">
        <v>0.0</v>
      </c>
      <c r="G4286" s="27"/>
    </row>
    <row r="4287" hidden="1">
      <c r="A4287" s="21"/>
      <c r="B4287" s="21" t="s">
        <v>5091</v>
      </c>
      <c r="D4287" s="25">
        <v>0.0</v>
      </c>
      <c r="E4287" s="27"/>
      <c r="F4287" s="25">
        <v>3.71</v>
      </c>
      <c r="G4287" s="27"/>
    </row>
    <row r="4288" hidden="1">
      <c r="A4288" s="21"/>
      <c r="B4288" s="21" t="s">
        <v>5092</v>
      </c>
      <c r="D4288" s="25">
        <v>0.0</v>
      </c>
      <c r="E4288" s="27"/>
      <c r="F4288" s="25">
        <v>0.0</v>
      </c>
      <c r="G4288" s="27"/>
    </row>
    <row r="4289" hidden="1">
      <c r="A4289" s="21"/>
      <c r="B4289" s="21" t="s">
        <v>5093</v>
      </c>
      <c r="D4289" s="25">
        <v>0.0</v>
      </c>
      <c r="E4289" s="27"/>
      <c r="F4289" s="25">
        <v>0.0</v>
      </c>
      <c r="G4289" s="27"/>
    </row>
    <row r="4290" hidden="1">
      <c r="A4290" s="21"/>
      <c r="B4290" s="21" t="s">
        <v>5094</v>
      </c>
      <c r="D4290" s="25">
        <v>0.0</v>
      </c>
      <c r="E4290" s="27"/>
      <c r="F4290" s="25">
        <v>0.0</v>
      </c>
      <c r="G4290" s="27"/>
    </row>
    <row r="4291" hidden="1">
      <c r="A4291" s="21"/>
      <c r="B4291" s="21" t="s">
        <v>5095</v>
      </c>
      <c r="D4291" s="25">
        <v>0.0</v>
      </c>
      <c r="E4291" s="27"/>
      <c r="F4291" s="25">
        <v>0.0</v>
      </c>
      <c r="G4291" s="27"/>
    </row>
    <row r="4292" hidden="1">
      <c r="A4292" s="21"/>
      <c r="B4292" s="21" t="s">
        <v>5096</v>
      </c>
      <c r="D4292" s="25">
        <v>0.0</v>
      </c>
      <c r="E4292" s="27"/>
      <c r="F4292" s="25">
        <v>0.0</v>
      </c>
      <c r="G4292" s="27"/>
    </row>
    <row r="4293" hidden="1">
      <c r="A4293" s="21"/>
      <c r="B4293" s="21" t="s">
        <v>5097</v>
      </c>
      <c r="D4293" s="25">
        <v>0.0</v>
      </c>
      <c r="E4293" s="27"/>
      <c r="F4293" s="25">
        <v>0.0</v>
      </c>
      <c r="G4293" s="27"/>
    </row>
    <row r="4294" hidden="1">
      <c r="A4294" s="21"/>
      <c r="B4294" s="21" t="s">
        <v>5098</v>
      </c>
      <c r="D4294" s="25">
        <v>0.0</v>
      </c>
      <c r="E4294" s="27"/>
      <c r="F4294" s="25">
        <v>0.0</v>
      </c>
      <c r="G4294" s="27"/>
    </row>
    <row r="4295" hidden="1">
      <c r="A4295" s="21"/>
      <c r="B4295" s="21" t="s">
        <v>5099</v>
      </c>
      <c r="D4295" s="25">
        <v>0.0</v>
      </c>
      <c r="E4295" s="27"/>
      <c r="F4295" s="25">
        <v>0.0</v>
      </c>
      <c r="G4295" s="27"/>
    </row>
    <row r="4296" hidden="1">
      <c r="A4296" s="21"/>
      <c r="B4296" s="21" t="s">
        <v>5100</v>
      </c>
      <c r="D4296" s="25">
        <v>0.0</v>
      </c>
      <c r="E4296" s="27"/>
      <c r="F4296" s="25">
        <v>7.95</v>
      </c>
      <c r="G4296" s="27"/>
    </row>
    <row r="4297" hidden="1">
      <c r="A4297" s="21"/>
      <c r="B4297" s="21" t="s">
        <v>5101</v>
      </c>
      <c r="D4297" s="25">
        <v>0.0</v>
      </c>
      <c r="E4297" s="27"/>
      <c r="F4297" s="25">
        <v>0.0</v>
      </c>
      <c r="G4297" s="27"/>
    </row>
    <row r="4298" hidden="1">
      <c r="A4298" s="21"/>
      <c r="B4298" s="21" t="s">
        <v>5102</v>
      </c>
      <c r="D4298" s="25">
        <v>0.0</v>
      </c>
      <c r="E4298" s="27"/>
      <c r="F4298" s="25">
        <v>0.0</v>
      </c>
      <c r="G4298" s="27"/>
    </row>
    <row r="4299" hidden="1">
      <c r="A4299" s="21"/>
      <c r="B4299" s="21" t="s">
        <v>5103</v>
      </c>
      <c r="D4299" s="25">
        <v>0.0</v>
      </c>
      <c r="E4299" s="27"/>
      <c r="F4299" s="25">
        <v>0.0</v>
      </c>
      <c r="G4299" s="27"/>
    </row>
    <row r="4300" hidden="1">
      <c r="A4300" s="21"/>
      <c r="B4300" s="21" t="s">
        <v>5104</v>
      </c>
      <c r="D4300" s="25">
        <v>0.0</v>
      </c>
      <c r="E4300" s="27"/>
      <c r="F4300" s="25">
        <v>0.0</v>
      </c>
      <c r="G4300" s="27"/>
    </row>
    <row r="4301" hidden="1">
      <c r="A4301" s="21"/>
      <c r="B4301" s="21" t="s">
        <v>5105</v>
      </c>
      <c r="D4301" s="25">
        <v>0.0</v>
      </c>
      <c r="E4301" s="27"/>
      <c r="F4301" s="25">
        <v>0.0</v>
      </c>
      <c r="G4301" s="27"/>
    </row>
    <row r="4302" hidden="1">
      <c r="A4302" s="21"/>
      <c r="B4302" s="21" t="s">
        <v>5106</v>
      </c>
      <c r="D4302" s="25">
        <v>0.0</v>
      </c>
      <c r="E4302" s="27"/>
      <c r="F4302" s="25">
        <v>0.0</v>
      </c>
      <c r="G4302" s="27"/>
    </row>
    <row r="4303" hidden="1">
      <c r="A4303" s="21"/>
      <c r="B4303" s="21" t="s">
        <v>5107</v>
      </c>
      <c r="D4303" s="25">
        <v>0.0</v>
      </c>
      <c r="E4303" s="27"/>
      <c r="F4303" s="25">
        <v>0.0</v>
      </c>
      <c r="G4303" s="27"/>
    </row>
    <row r="4304" hidden="1">
      <c r="A4304" s="21"/>
      <c r="B4304" s="21" t="s">
        <v>5108</v>
      </c>
      <c r="D4304" s="25">
        <v>0.0</v>
      </c>
      <c r="E4304" s="27"/>
      <c r="F4304" s="25">
        <v>0.0</v>
      </c>
      <c r="G4304" s="27"/>
    </row>
    <row r="4305" hidden="1">
      <c r="A4305" s="21"/>
      <c r="B4305" s="21" t="s">
        <v>5109</v>
      </c>
      <c r="D4305" s="25">
        <v>0.0</v>
      </c>
      <c r="E4305" s="27"/>
      <c r="F4305" s="25">
        <v>0.0</v>
      </c>
      <c r="G4305" s="27"/>
    </row>
    <row r="4306" hidden="1">
      <c r="A4306" s="21"/>
      <c r="B4306" s="21" t="s">
        <v>5110</v>
      </c>
      <c r="D4306" s="25">
        <v>0.0</v>
      </c>
      <c r="E4306" s="27"/>
      <c r="F4306" s="25">
        <v>0.0</v>
      </c>
      <c r="G4306" s="27"/>
    </row>
    <row r="4307" hidden="1">
      <c r="A4307" s="21"/>
      <c r="B4307" s="21" t="s">
        <v>5111</v>
      </c>
      <c r="D4307" s="25">
        <v>0.0</v>
      </c>
      <c r="E4307" s="27"/>
      <c r="F4307" s="25">
        <v>0.0</v>
      </c>
      <c r="G4307" s="27"/>
    </row>
    <row r="4308" hidden="1">
      <c r="A4308" s="21"/>
      <c r="B4308" s="21" t="s">
        <v>5112</v>
      </c>
      <c r="D4308" s="25">
        <v>0.0</v>
      </c>
      <c r="E4308" s="27"/>
      <c r="F4308" s="25">
        <v>0.0</v>
      </c>
      <c r="G4308" s="27"/>
    </row>
    <row r="4309" hidden="1">
      <c r="A4309" s="21"/>
      <c r="B4309" s="21" t="s">
        <v>5113</v>
      </c>
      <c r="D4309" s="25">
        <v>0.0</v>
      </c>
      <c r="E4309" s="27"/>
      <c r="F4309" s="25">
        <v>0.0</v>
      </c>
      <c r="G4309" s="27"/>
    </row>
    <row r="4310" hidden="1">
      <c r="A4310" s="21"/>
      <c r="B4310" s="21" t="s">
        <v>5114</v>
      </c>
      <c r="D4310" s="25">
        <v>0.0</v>
      </c>
      <c r="E4310" s="27"/>
      <c r="F4310" s="25">
        <v>0.0</v>
      </c>
      <c r="G4310" s="27"/>
    </row>
    <row r="4311" hidden="1">
      <c r="A4311" s="21"/>
      <c r="B4311" s="21" t="s">
        <v>5115</v>
      </c>
      <c r="D4311" s="25">
        <v>0.0</v>
      </c>
      <c r="E4311" s="27"/>
      <c r="F4311" s="25">
        <v>0.0</v>
      </c>
      <c r="G4311" s="27"/>
    </row>
    <row r="4312" hidden="1">
      <c r="A4312" s="21"/>
      <c r="B4312" s="21" t="s">
        <v>5116</v>
      </c>
      <c r="D4312" s="25">
        <v>0.0</v>
      </c>
      <c r="E4312" s="27"/>
      <c r="F4312" s="25">
        <v>0.0</v>
      </c>
      <c r="G4312" s="27"/>
    </row>
    <row r="4313" hidden="1">
      <c r="A4313" s="21"/>
      <c r="B4313" s="21" t="s">
        <v>5117</v>
      </c>
      <c r="D4313" s="25">
        <v>0.0</v>
      </c>
      <c r="E4313" s="27"/>
      <c r="F4313" s="25">
        <v>0.0</v>
      </c>
      <c r="G4313" s="27"/>
    </row>
    <row r="4314" hidden="1">
      <c r="A4314" s="21"/>
      <c r="B4314" s="21" t="s">
        <v>5118</v>
      </c>
      <c r="D4314" s="25">
        <v>0.0</v>
      </c>
      <c r="E4314" s="27"/>
      <c r="F4314" s="25">
        <v>0.0</v>
      </c>
      <c r="G4314" s="27"/>
    </row>
    <row r="4315" hidden="1">
      <c r="A4315" s="21"/>
      <c r="B4315" s="21" t="s">
        <v>5119</v>
      </c>
      <c r="D4315" s="25">
        <v>0.0</v>
      </c>
      <c r="E4315" s="27"/>
      <c r="F4315" s="25">
        <v>0.0</v>
      </c>
      <c r="G4315" s="27"/>
    </row>
    <row r="4316" hidden="1">
      <c r="A4316" s="21"/>
      <c r="B4316" s="21" t="s">
        <v>5120</v>
      </c>
      <c r="D4316" s="25">
        <v>0.0</v>
      </c>
      <c r="E4316" s="27"/>
      <c r="F4316" s="25">
        <v>0.0</v>
      </c>
      <c r="G4316" s="27"/>
    </row>
    <row r="4317" hidden="1">
      <c r="A4317" s="21"/>
      <c r="B4317" s="21" t="s">
        <v>5121</v>
      </c>
      <c r="D4317" s="25">
        <v>0.0</v>
      </c>
      <c r="E4317" s="27"/>
      <c r="F4317" s="25">
        <v>0.0</v>
      </c>
      <c r="G4317" s="27"/>
    </row>
    <row r="4318" hidden="1">
      <c r="A4318" s="21"/>
      <c r="B4318" s="21" t="s">
        <v>5122</v>
      </c>
      <c r="D4318" s="25">
        <v>0.0</v>
      </c>
      <c r="E4318" s="27"/>
      <c r="F4318" s="25">
        <v>0.0</v>
      </c>
      <c r="G4318" s="27"/>
    </row>
    <row r="4319" hidden="1">
      <c r="A4319" s="21"/>
      <c r="B4319" s="21" t="s">
        <v>5123</v>
      </c>
      <c r="D4319" s="25">
        <v>0.0</v>
      </c>
      <c r="E4319" s="27"/>
      <c r="F4319" s="25">
        <v>0.0</v>
      </c>
      <c r="G4319" s="27"/>
    </row>
    <row r="4320" hidden="1">
      <c r="A4320" s="21"/>
      <c r="B4320" s="21" t="s">
        <v>5124</v>
      </c>
      <c r="D4320" s="25">
        <v>0.0</v>
      </c>
      <c r="E4320" s="27"/>
      <c r="F4320" s="25">
        <v>0.0</v>
      </c>
      <c r="G4320" s="27"/>
    </row>
    <row r="4321" hidden="1">
      <c r="A4321" s="21"/>
      <c r="B4321" s="21" t="s">
        <v>5125</v>
      </c>
      <c r="D4321" s="25">
        <v>0.0</v>
      </c>
      <c r="E4321" s="27"/>
      <c r="F4321" s="25">
        <v>0.0</v>
      </c>
      <c r="G4321" s="27"/>
    </row>
    <row r="4322" hidden="1">
      <c r="A4322" s="21"/>
      <c r="B4322" s="21" t="s">
        <v>5126</v>
      </c>
      <c r="D4322" s="25">
        <v>0.0</v>
      </c>
      <c r="E4322" s="27"/>
      <c r="F4322" s="25">
        <v>0.0</v>
      </c>
      <c r="G4322" s="27"/>
    </row>
    <row r="4323" hidden="1">
      <c r="A4323" s="21"/>
      <c r="B4323" s="21" t="s">
        <v>5127</v>
      </c>
      <c r="D4323" s="25">
        <v>0.0</v>
      </c>
      <c r="E4323" s="27"/>
      <c r="F4323" s="25">
        <v>0.0</v>
      </c>
      <c r="G4323" s="27"/>
    </row>
    <row r="4324" hidden="1">
      <c r="A4324" s="21"/>
      <c r="B4324" s="21" t="s">
        <v>5128</v>
      </c>
      <c r="D4324" s="25">
        <v>0.0</v>
      </c>
      <c r="E4324" s="27"/>
      <c r="F4324" s="25">
        <v>0.0</v>
      </c>
      <c r="G4324" s="27"/>
    </row>
    <row r="4325" hidden="1">
      <c r="A4325" s="21"/>
      <c r="B4325" s="21" t="s">
        <v>5129</v>
      </c>
      <c r="D4325" s="25">
        <v>0.0</v>
      </c>
      <c r="E4325" s="27"/>
      <c r="F4325" s="25">
        <v>0.0</v>
      </c>
      <c r="G4325" s="27"/>
    </row>
    <row r="4326" hidden="1">
      <c r="A4326" s="21"/>
      <c r="B4326" s="21" t="s">
        <v>5130</v>
      </c>
      <c r="D4326" s="25">
        <v>0.0</v>
      </c>
      <c r="E4326" s="27"/>
      <c r="F4326" s="25">
        <v>0.0</v>
      </c>
      <c r="G4326" s="27"/>
    </row>
    <row r="4327" hidden="1">
      <c r="A4327" s="21"/>
      <c r="B4327" s="21" t="s">
        <v>5131</v>
      </c>
      <c r="D4327" s="25">
        <v>0.0</v>
      </c>
      <c r="E4327" s="27"/>
      <c r="F4327" s="25">
        <v>0.0</v>
      </c>
      <c r="G4327" s="27"/>
    </row>
    <row r="4328" hidden="1">
      <c r="A4328" s="21"/>
      <c r="B4328" s="21" t="s">
        <v>5132</v>
      </c>
      <c r="D4328" s="25">
        <v>0.0</v>
      </c>
      <c r="E4328" s="27"/>
      <c r="F4328" s="25">
        <v>6.51</v>
      </c>
      <c r="G4328" s="27"/>
    </row>
    <row r="4329" hidden="1">
      <c r="A4329" s="21"/>
      <c r="B4329" s="21" t="s">
        <v>5133</v>
      </c>
      <c r="D4329" s="25">
        <v>0.0</v>
      </c>
      <c r="E4329" s="27"/>
      <c r="F4329" s="25">
        <v>0.0</v>
      </c>
      <c r="G4329" s="27"/>
    </row>
    <row r="4330" hidden="1">
      <c r="A4330" s="21"/>
      <c r="B4330" s="21" t="s">
        <v>5134</v>
      </c>
      <c r="D4330" s="25">
        <v>0.0</v>
      </c>
      <c r="E4330" s="27"/>
      <c r="F4330" s="25">
        <v>0.0</v>
      </c>
      <c r="G4330" s="27"/>
    </row>
    <row r="4331" hidden="1">
      <c r="A4331" s="21"/>
      <c r="B4331" s="21" t="s">
        <v>5135</v>
      </c>
      <c r="D4331" s="25">
        <v>0.0</v>
      </c>
      <c r="E4331" s="27"/>
      <c r="F4331" s="25">
        <v>0.0</v>
      </c>
      <c r="G4331" s="27"/>
    </row>
    <row r="4332" hidden="1">
      <c r="A4332" s="21"/>
      <c r="B4332" s="21" t="s">
        <v>5136</v>
      </c>
      <c r="D4332" s="25">
        <v>0.0</v>
      </c>
      <c r="E4332" s="27"/>
      <c r="F4332" s="25">
        <v>0.0</v>
      </c>
      <c r="G4332" s="27"/>
    </row>
    <row r="4333" hidden="1">
      <c r="A4333" s="21"/>
      <c r="B4333" s="21" t="s">
        <v>5137</v>
      </c>
      <c r="D4333" s="25">
        <v>0.0</v>
      </c>
      <c r="E4333" s="27"/>
      <c r="F4333" s="25">
        <v>0.0</v>
      </c>
      <c r="G4333" s="27"/>
    </row>
    <row r="4334" hidden="1">
      <c r="A4334" s="21"/>
      <c r="B4334" s="21" t="s">
        <v>5138</v>
      </c>
      <c r="D4334" s="25">
        <v>0.0</v>
      </c>
      <c r="E4334" s="27"/>
      <c r="F4334" s="25">
        <v>0.0</v>
      </c>
      <c r="G4334" s="27"/>
    </row>
    <row r="4335" hidden="1">
      <c r="A4335" s="21"/>
      <c r="B4335" s="21" t="s">
        <v>5139</v>
      </c>
      <c r="D4335" s="25">
        <v>0.0</v>
      </c>
      <c r="E4335" s="27"/>
      <c r="F4335" s="25">
        <v>0.0</v>
      </c>
      <c r="G4335" s="27"/>
    </row>
    <row r="4336" hidden="1">
      <c r="A4336" s="21"/>
      <c r="B4336" s="21" t="s">
        <v>5140</v>
      </c>
      <c r="D4336" s="25">
        <v>0.0</v>
      </c>
      <c r="E4336" s="27"/>
      <c r="F4336" s="25">
        <v>0.0</v>
      </c>
      <c r="G4336" s="27"/>
    </row>
    <row r="4337" hidden="1">
      <c r="A4337" s="21"/>
      <c r="B4337" s="21" t="s">
        <v>5141</v>
      </c>
      <c r="D4337" s="25">
        <v>0.0</v>
      </c>
      <c r="E4337" s="27"/>
      <c r="F4337" s="25">
        <v>6.15</v>
      </c>
      <c r="G4337" s="27"/>
    </row>
    <row r="4338" hidden="1">
      <c r="A4338" s="21"/>
      <c r="B4338" s="21" t="s">
        <v>5142</v>
      </c>
      <c r="D4338" s="25">
        <v>0.0</v>
      </c>
      <c r="E4338" s="27"/>
      <c r="F4338" s="25">
        <v>0.0</v>
      </c>
      <c r="G4338" s="27"/>
    </row>
    <row r="4339" hidden="1">
      <c r="A4339" s="21"/>
      <c r="B4339" s="21" t="s">
        <v>5143</v>
      </c>
      <c r="D4339" s="25">
        <v>0.0</v>
      </c>
      <c r="E4339" s="27"/>
      <c r="F4339" s="25">
        <v>0.0</v>
      </c>
      <c r="G4339" s="27"/>
    </row>
    <row r="4340" hidden="1">
      <c r="A4340" s="21"/>
      <c r="B4340" s="21" t="s">
        <v>5144</v>
      </c>
      <c r="D4340" s="25">
        <v>0.0</v>
      </c>
      <c r="E4340" s="27"/>
      <c r="F4340" s="25">
        <v>0.0</v>
      </c>
      <c r="G4340" s="27"/>
    </row>
    <row r="4341" hidden="1">
      <c r="A4341" s="21"/>
      <c r="B4341" s="21" t="s">
        <v>5145</v>
      </c>
      <c r="D4341" s="25">
        <v>0.0</v>
      </c>
      <c r="E4341" s="27"/>
      <c r="F4341" s="25">
        <v>0.0</v>
      </c>
      <c r="G4341" s="27"/>
    </row>
    <row r="4342" hidden="1">
      <c r="A4342" s="21"/>
      <c r="B4342" s="21" t="s">
        <v>5146</v>
      </c>
      <c r="D4342" s="25">
        <v>0.0</v>
      </c>
      <c r="E4342" s="27"/>
      <c r="F4342" s="25">
        <v>0.0</v>
      </c>
      <c r="G4342" s="27"/>
    </row>
    <row r="4343" hidden="1">
      <c r="A4343" s="21"/>
      <c r="B4343" s="21" t="s">
        <v>5147</v>
      </c>
      <c r="D4343" s="25">
        <v>0.0</v>
      </c>
      <c r="E4343" s="27"/>
      <c r="F4343" s="25">
        <v>0.0</v>
      </c>
      <c r="G4343" s="27"/>
    </row>
    <row r="4344" hidden="1">
      <c r="A4344" s="21"/>
      <c r="B4344" s="21" t="s">
        <v>5148</v>
      </c>
      <c r="D4344" s="25">
        <v>0.0</v>
      </c>
      <c r="E4344" s="27"/>
      <c r="F4344" s="25">
        <v>0.0</v>
      </c>
      <c r="G4344" s="27"/>
    </row>
    <row r="4345" hidden="1">
      <c r="A4345" s="21"/>
      <c r="B4345" s="21" t="s">
        <v>5149</v>
      </c>
      <c r="D4345" s="25">
        <v>0.0</v>
      </c>
      <c r="E4345" s="27"/>
      <c r="F4345" s="25">
        <v>0.0</v>
      </c>
      <c r="G4345" s="27"/>
    </row>
    <row r="4346" hidden="1">
      <c r="A4346" s="21"/>
      <c r="B4346" s="21" t="s">
        <v>5150</v>
      </c>
      <c r="D4346" s="25">
        <v>0.0</v>
      </c>
      <c r="E4346" s="27"/>
      <c r="F4346" s="25">
        <v>0.0</v>
      </c>
      <c r="G4346" s="27"/>
    </row>
    <row r="4347" hidden="1">
      <c r="A4347" s="21"/>
      <c r="B4347" s="21" t="s">
        <v>5151</v>
      </c>
      <c r="D4347" s="25">
        <v>0.0</v>
      </c>
      <c r="E4347" s="27"/>
      <c r="F4347" s="25">
        <v>0.0</v>
      </c>
      <c r="G4347" s="27"/>
    </row>
    <row r="4348" hidden="1">
      <c r="A4348" s="21"/>
      <c r="B4348" s="21" t="s">
        <v>5152</v>
      </c>
      <c r="D4348" s="25">
        <v>0.0</v>
      </c>
      <c r="E4348" s="27"/>
      <c r="F4348" s="25">
        <v>0.0</v>
      </c>
      <c r="G4348" s="27"/>
    </row>
    <row r="4349" hidden="1">
      <c r="A4349" s="21"/>
      <c r="B4349" s="21" t="s">
        <v>5153</v>
      </c>
      <c r="D4349" s="25">
        <v>0.0</v>
      </c>
      <c r="E4349" s="27"/>
      <c r="F4349" s="25">
        <v>0.0</v>
      </c>
      <c r="G4349" s="27"/>
    </row>
    <row r="4350" hidden="1">
      <c r="A4350" s="21"/>
      <c r="B4350" s="21" t="s">
        <v>5154</v>
      </c>
      <c r="D4350" s="25">
        <v>0.0</v>
      </c>
      <c r="E4350" s="27"/>
      <c r="F4350" s="25">
        <v>0.0</v>
      </c>
      <c r="G4350" s="27"/>
    </row>
    <row r="4351" hidden="1">
      <c r="A4351" s="21"/>
      <c r="B4351" s="21" t="s">
        <v>5155</v>
      </c>
      <c r="D4351" s="25">
        <v>0.0</v>
      </c>
      <c r="E4351" s="27"/>
      <c r="F4351" s="25">
        <v>0.0</v>
      </c>
      <c r="G4351" s="27"/>
    </row>
    <row r="4352" hidden="1">
      <c r="A4352" s="21"/>
      <c r="B4352" s="21" t="s">
        <v>5156</v>
      </c>
      <c r="D4352" s="25">
        <v>0.0</v>
      </c>
      <c r="E4352" s="27"/>
      <c r="F4352" s="25">
        <v>0.0</v>
      </c>
      <c r="G4352" s="27"/>
    </row>
    <row r="4353" hidden="1">
      <c r="A4353" s="21"/>
      <c r="B4353" s="21" t="s">
        <v>5157</v>
      </c>
      <c r="D4353" s="25">
        <v>0.0</v>
      </c>
      <c r="E4353" s="27"/>
      <c r="F4353" s="25">
        <v>0.0</v>
      </c>
      <c r="G4353" s="27"/>
    </row>
    <row r="4354" hidden="1">
      <c r="A4354" s="21"/>
      <c r="B4354" s="21" t="s">
        <v>5158</v>
      </c>
      <c r="D4354" s="25">
        <v>0.0</v>
      </c>
      <c r="E4354" s="27"/>
      <c r="F4354" s="25">
        <v>0.0</v>
      </c>
      <c r="G4354" s="27"/>
    </row>
    <row r="4355" hidden="1">
      <c r="A4355" s="21"/>
      <c r="B4355" s="21" t="s">
        <v>5159</v>
      </c>
      <c r="D4355" s="25">
        <v>0.0</v>
      </c>
      <c r="E4355" s="27"/>
      <c r="F4355" s="25">
        <v>0.0</v>
      </c>
      <c r="G4355" s="27"/>
    </row>
    <row r="4356" hidden="1">
      <c r="A4356" s="21"/>
      <c r="B4356" s="21" t="s">
        <v>5160</v>
      </c>
      <c r="D4356" s="25">
        <v>0.0</v>
      </c>
      <c r="E4356" s="27"/>
      <c r="F4356" s="25">
        <v>0.0</v>
      </c>
      <c r="G4356" s="27"/>
    </row>
    <row r="4357" hidden="1">
      <c r="A4357" s="21"/>
      <c r="B4357" s="21" t="s">
        <v>5161</v>
      </c>
      <c r="D4357" s="25">
        <v>0.0</v>
      </c>
      <c r="E4357" s="27"/>
      <c r="F4357" s="25">
        <v>0.0</v>
      </c>
      <c r="G4357" s="27"/>
    </row>
    <row r="4358" hidden="1">
      <c r="A4358" s="21"/>
      <c r="B4358" s="21" t="s">
        <v>5162</v>
      </c>
      <c r="D4358" s="25">
        <v>0.0</v>
      </c>
      <c r="E4358" s="27"/>
      <c r="F4358" s="25">
        <v>0.0</v>
      </c>
      <c r="G4358" s="27"/>
    </row>
    <row r="4359" hidden="1">
      <c r="A4359" s="21"/>
      <c r="B4359" s="21" t="s">
        <v>5163</v>
      </c>
      <c r="D4359" s="25">
        <v>0.0</v>
      </c>
      <c r="E4359" s="27"/>
      <c r="F4359" s="25">
        <v>0.0</v>
      </c>
      <c r="G4359" s="27"/>
    </row>
    <row r="4360" hidden="1">
      <c r="A4360" s="21"/>
      <c r="B4360" s="21" t="s">
        <v>5164</v>
      </c>
      <c r="D4360" s="25">
        <v>0.0</v>
      </c>
      <c r="E4360" s="27"/>
      <c r="F4360" s="25">
        <v>0.0</v>
      </c>
      <c r="G4360" s="27"/>
    </row>
    <row r="4361" hidden="1">
      <c r="A4361" s="21"/>
      <c r="B4361" s="21" t="s">
        <v>5165</v>
      </c>
      <c r="D4361" s="25">
        <v>0.0</v>
      </c>
      <c r="E4361" s="27"/>
      <c r="F4361" s="25">
        <v>0.0</v>
      </c>
      <c r="G4361" s="27"/>
    </row>
    <row r="4362" hidden="1">
      <c r="A4362" s="21"/>
      <c r="B4362" s="21" t="s">
        <v>5166</v>
      </c>
      <c r="D4362" s="25">
        <v>0.0</v>
      </c>
      <c r="E4362" s="27"/>
      <c r="F4362" s="25">
        <v>0.0</v>
      </c>
      <c r="G4362" s="27"/>
    </row>
    <row r="4363" hidden="1">
      <c r="A4363" s="21"/>
      <c r="B4363" s="21" t="s">
        <v>5167</v>
      </c>
      <c r="D4363" s="25">
        <v>0.0</v>
      </c>
      <c r="E4363" s="27"/>
      <c r="F4363" s="25">
        <v>0.0</v>
      </c>
      <c r="G4363" s="27"/>
    </row>
    <row r="4364" hidden="1">
      <c r="A4364" s="21"/>
      <c r="B4364" s="21" t="s">
        <v>5168</v>
      </c>
      <c r="D4364" s="25">
        <v>0.0</v>
      </c>
      <c r="E4364" s="27"/>
      <c r="F4364" s="25">
        <v>0.0</v>
      </c>
      <c r="G4364" s="27"/>
    </row>
    <row r="4365" hidden="1">
      <c r="A4365" s="21"/>
      <c r="B4365" s="21" t="s">
        <v>5169</v>
      </c>
      <c r="D4365" s="25">
        <v>0.0</v>
      </c>
      <c r="E4365" s="27"/>
      <c r="F4365" s="25">
        <v>0.0</v>
      </c>
      <c r="G4365" s="27"/>
    </row>
    <row r="4366" hidden="1">
      <c r="A4366" s="21"/>
      <c r="B4366" s="21" t="s">
        <v>5170</v>
      </c>
      <c r="D4366" s="25">
        <v>0.0</v>
      </c>
      <c r="E4366" s="27"/>
      <c r="F4366" s="25">
        <v>0.0</v>
      </c>
      <c r="G4366" s="27"/>
    </row>
    <row r="4367" hidden="1">
      <c r="A4367" s="21"/>
      <c r="B4367" s="21" t="s">
        <v>5171</v>
      </c>
      <c r="D4367" s="25">
        <v>0.0</v>
      </c>
      <c r="E4367" s="27"/>
      <c r="F4367" s="25">
        <v>0.0</v>
      </c>
      <c r="G4367" s="27"/>
    </row>
    <row r="4368" hidden="1">
      <c r="A4368" s="21"/>
      <c r="B4368" s="21" t="s">
        <v>5172</v>
      </c>
      <c r="D4368" s="25">
        <v>0.0</v>
      </c>
      <c r="E4368" s="27"/>
      <c r="F4368" s="25">
        <v>0.0</v>
      </c>
      <c r="G4368" s="27"/>
    </row>
    <row r="4369" hidden="1">
      <c r="A4369" s="21"/>
      <c r="B4369" s="21" t="s">
        <v>664</v>
      </c>
      <c r="D4369" s="25">
        <v>0.0</v>
      </c>
      <c r="E4369" s="27"/>
      <c r="F4369" s="25">
        <v>0.0</v>
      </c>
      <c r="G4369" s="27"/>
    </row>
    <row r="4370" hidden="1">
      <c r="A4370" s="21"/>
      <c r="B4370" s="21" t="s">
        <v>665</v>
      </c>
      <c r="D4370" s="25">
        <v>0.0</v>
      </c>
      <c r="E4370" s="27"/>
      <c r="F4370" s="25">
        <v>1.21</v>
      </c>
      <c r="G4370" s="27"/>
    </row>
    <row r="4371" hidden="1">
      <c r="A4371" s="21"/>
      <c r="B4371" s="21" t="s">
        <v>666</v>
      </c>
      <c r="D4371" s="25">
        <v>0.0</v>
      </c>
      <c r="E4371" s="27"/>
      <c r="F4371" s="25">
        <v>1.21</v>
      </c>
      <c r="G4371" s="27"/>
    </row>
    <row r="4372" hidden="1">
      <c r="A4372" s="21"/>
      <c r="B4372" s="21" t="s">
        <v>667</v>
      </c>
      <c r="D4372" s="25">
        <v>0.0</v>
      </c>
      <c r="E4372" s="27"/>
      <c r="F4372" s="25">
        <v>0.0</v>
      </c>
      <c r="G4372" s="27"/>
    </row>
    <row r="4373" hidden="1">
      <c r="A4373" s="21"/>
      <c r="B4373" s="21" t="s">
        <v>668</v>
      </c>
      <c r="D4373" s="25">
        <v>0.0</v>
      </c>
      <c r="E4373" s="27"/>
      <c r="F4373" s="25">
        <v>0.0</v>
      </c>
      <c r="G4373" s="27"/>
    </row>
    <row r="4374" hidden="1">
      <c r="A4374" s="21"/>
      <c r="B4374" s="21" t="s">
        <v>669</v>
      </c>
      <c r="D4374" s="25">
        <v>0.0</v>
      </c>
      <c r="E4374" s="27"/>
      <c r="F4374" s="25">
        <v>0.0</v>
      </c>
      <c r="G4374" s="27"/>
    </row>
    <row r="4375" hidden="1">
      <c r="A4375" s="21"/>
      <c r="B4375" s="21" t="s">
        <v>670</v>
      </c>
      <c r="D4375" s="25">
        <v>0.0</v>
      </c>
      <c r="E4375" s="27"/>
      <c r="F4375" s="25">
        <v>0.0</v>
      </c>
      <c r="G4375" s="27"/>
    </row>
    <row r="4376" hidden="1">
      <c r="A4376" s="21"/>
      <c r="B4376" s="21" t="s">
        <v>671</v>
      </c>
      <c r="D4376" s="25">
        <v>0.0</v>
      </c>
      <c r="E4376" s="27"/>
      <c r="F4376" s="25">
        <v>0.0</v>
      </c>
      <c r="G4376" s="27"/>
    </row>
    <row r="4377" hidden="1">
      <c r="A4377" s="21"/>
      <c r="B4377" s="21" t="s">
        <v>672</v>
      </c>
      <c r="D4377" s="25">
        <v>0.0</v>
      </c>
      <c r="E4377" s="27"/>
      <c r="F4377" s="25">
        <v>0.0</v>
      </c>
      <c r="G4377" s="27"/>
    </row>
    <row r="4378" hidden="1">
      <c r="A4378" s="21"/>
      <c r="B4378" s="21" t="s">
        <v>673</v>
      </c>
      <c r="D4378" s="25">
        <v>0.0</v>
      </c>
      <c r="E4378" s="27"/>
      <c r="F4378" s="25">
        <v>0.0</v>
      </c>
      <c r="G4378" s="27"/>
    </row>
    <row r="4379" hidden="1">
      <c r="A4379" s="21"/>
      <c r="B4379" s="21" t="s">
        <v>674</v>
      </c>
      <c r="D4379" s="25">
        <v>0.0</v>
      </c>
      <c r="E4379" s="27"/>
      <c r="F4379" s="25">
        <v>0.0</v>
      </c>
      <c r="G4379" s="27"/>
    </row>
    <row r="4380" hidden="1">
      <c r="A4380" s="21"/>
      <c r="B4380" s="21" t="s">
        <v>675</v>
      </c>
      <c r="D4380" s="25">
        <v>0.0</v>
      </c>
      <c r="E4380" s="27"/>
      <c r="F4380" s="25">
        <v>0.0</v>
      </c>
      <c r="G4380" s="27"/>
    </row>
    <row r="4381" hidden="1">
      <c r="A4381" s="21"/>
      <c r="B4381" s="21" t="s">
        <v>676</v>
      </c>
      <c r="D4381" s="25">
        <v>0.0</v>
      </c>
      <c r="E4381" s="27"/>
      <c r="F4381" s="25">
        <v>0.0</v>
      </c>
      <c r="G4381" s="27"/>
    </row>
    <row r="4382" hidden="1">
      <c r="A4382" s="21"/>
      <c r="B4382" s="21" t="s">
        <v>677</v>
      </c>
      <c r="D4382" s="25">
        <v>0.0</v>
      </c>
      <c r="E4382" s="27"/>
      <c r="F4382" s="25">
        <v>0.0</v>
      </c>
      <c r="G4382" s="27"/>
    </row>
    <row r="4383" hidden="1">
      <c r="A4383" s="21"/>
      <c r="B4383" s="21" t="s">
        <v>678</v>
      </c>
      <c r="D4383" s="25">
        <v>0.0</v>
      </c>
      <c r="E4383" s="27"/>
      <c r="F4383" s="25">
        <v>0.0</v>
      </c>
      <c r="G4383" s="27"/>
    </row>
    <row r="4384" hidden="1">
      <c r="A4384" s="21"/>
      <c r="B4384" s="21" t="s">
        <v>679</v>
      </c>
      <c r="D4384" s="25">
        <v>0.0</v>
      </c>
      <c r="E4384" s="27"/>
      <c r="F4384" s="25">
        <v>0.0</v>
      </c>
      <c r="G4384" s="27"/>
    </row>
    <row r="4385" hidden="1">
      <c r="A4385" s="21"/>
      <c r="B4385" s="21" t="s">
        <v>680</v>
      </c>
      <c r="D4385" s="25">
        <v>0.0</v>
      </c>
      <c r="E4385" s="27"/>
      <c r="F4385" s="25">
        <v>0.0</v>
      </c>
      <c r="G4385" s="27"/>
    </row>
    <row r="4386" hidden="1">
      <c r="A4386" s="21"/>
      <c r="B4386" s="21" t="s">
        <v>681</v>
      </c>
      <c r="D4386" s="25">
        <v>0.0</v>
      </c>
      <c r="E4386" s="27"/>
      <c r="F4386" s="25">
        <v>0.0</v>
      </c>
      <c r="G4386" s="27"/>
    </row>
    <row r="4387" hidden="1">
      <c r="A4387" s="21"/>
      <c r="B4387" s="21" t="s">
        <v>682</v>
      </c>
      <c r="D4387" s="25">
        <v>0.0</v>
      </c>
      <c r="E4387" s="27"/>
      <c r="F4387" s="25">
        <v>0.0</v>
      </c>
      <c r="G4387" s="27"/>
    </row>
    <row r="4388" hidden="1">
      <c r="A4388" s="21"/>
      <c r="B4388" s="21" t="s">
        <v>683</v>
      </c>
      <c r="D4388" s="25">
        <v>0.0</v>
      </c>
      <c r="E4388" s="27"/>
      <c r="F4388" s="25">
        <v>0.0</v>
      </c>
      <c r="G4388" s="27"/>
    </row>
    <row r="4389" hidden="1">
      <c r="A4389" s="21"/>
      <c r="B4389" s="21" t="s">
        <v>684</v>
      </c>
      <c r="D4389" s="25">
        <v>0.0</v>
      </c>
      <c r="E4389" s="27"/>
      <c r="F4389" s="25">
        <v>0.0</v>
      </c>
      <c r="G4389" s="27"/>
    </row>
    <row r="4390" hidden="1">
      <c r="A4390" s="21"/>
      <c r="B4390" s="21" t="s">
        <v>685</v>
      </c>
      <c r="D4390" s="25">
        <v>0.0</v>
      </c>
      <c r="E4390" s="27"/>
      <c r="F4390" s="25">
        <v>0.0</v>
      </c>
      <c r="G4390" s="27"/>
    </row>
    <row r="4391" hidden="1">
      <c r="A4391" s="21"/>
      <c r="B4391" s="21" t="s">
        <v>686</v>
      </c>
      <c r="D4391" s="25">
        <v>0.0</v>
      </c>
      <c r="E4391" s="27"/>
      <c r="F4391" s="25">
        <v>0.0</v>
      </c>
      <c r="G4391" s="27"/>
    </row>
    <row r="4392" hidden="1">
      <c r="A4392" s="21"/>
      <c r="B4392" s="21" t="s">
        <v>687</v>
      </c>
      <c r="D4392" s="25">
        <v>0.0</v>
      </c>
      <c r="E4392" s="27"/>
      <c r="F4392" s="25">
        <v>0.0</v>
      </c>
      <c r="G4392" s="27"/>
    </row>
    <row r="4393" hidden="1">
      <c r="A4393" s="21"/>
      <c r="B4393" s="21" t="s">
        <v>688</v>
      </c>
      <c r="D4393" s="25">
        <v>0.0</v>
      </c>
      <c r="E4393" s="27"/>
      <c r="F4393" s="25">
        <v>0.0</v>
      </c>
      <c r="G4393" s="27"/>
    </row>
    <row r="4394" hidden="1">
      <c r="A4394" s="21"/>
      <c r="B4394" s="21" t="s">
        <v>689</v>
      </c>
      <c r="D4394" s="25">
        <v>0.0</v>
      </c>
      <c r="E4394" s="27"/>
      <c r="F4394" s="25">
        <v>0.0</v>
      </c>
      <c r="G4394" s="27"/>
    </row>
    <row r="4395" hidden="1">
      <c r="A4395" s="21"/>
      <c r="B4395" s="21" t="s">
        <v>690</v>
      </c>
      <c r="D4395" s="25">
        <v>0.0</v>
      </c>
      <c r="E4395" s="27"/>
      <c r="F4395" s="25">
        <v>0.0</v>
      </c>
      <c r="G4395" s="27"/>
    </row>
    <row r="4396" hidden="1">
      <c r="A4396" s="21"/>
      <c r="B4396" s="21" t="s">
        <v>691</v>
      </c>
      <c r="D4396" s="25">
        <v>0.0</v>
      </c>
      <c r="E4396" s="27"/>
      <c r="F4396" s="25">
        <v>0.0</v>
      </c>
      <c r="G4396" s="27"/>
    </row>
    <row r="4397" hidden="1">
      <c r="A4397" s="21"/>
      <c r="B4397" s="21" t="s">
        <v>692</v>
      </c>
      <c r="D4397" s="25">
        <v>0.0</v>
      </c>
      <c r="E4397" s="27"/>
      <c r="F4397" s="25">
        <v>0.0</v>
      </c>
      <c r="G4397" s="27"/>
    </row>
    <row r="4398" hidden="1">
      <c r="A4398" s="21"/>
      <c r="B4398" s="21" t="s">
        <v>693</v>
      </c>
      <c r="D4398" s="25">
        <v>0.0</v>
      </c>
      <c r="E4398" s="27"/>
      <c r="F4398" s="25">
        <v>0.0</v>
      </c>
      <c r="G4398" s="27"/>
    </row>
    <row r="4399" hidden="1">
      <c r="A4399" s="21"/>
      <c r="B4399" s="21" t="s">
        <v>694</v>
      </c>
      <c r="D4399" s="25">
        <v>0.0</v>
      </c>
      <c r="E4399" s="27"/>
      <c r="F4399" s="25">
        <v>0.0</v>
      </c>
      <c r="G4399" s="27"/>
    </row>
    <row r="4400" hidden="1">
      <c r="A4400" s="21"/>
      <c r="B4400" s="21" t="s">
        <v>695</v>
      </c>
      <c r="D4400" s="25">
        <v>0.0</v>
      </c>
      <c r="E4400" s="27"/>
      <c r="F4400" s="25">
        <v>0.0</v>
      </c>
      <c r="G4400" s="27"/>
    </row>
    <row r="4401" hidden="1">
      <c r="A4401" s="21"/>
      <c r="B4401" s="21" t="s">
        <v>696</v>
      </c>
      <c r="D4401" s="25">
        <v>0.0</v>
      </c>
      <c r="E4401" s="27"/>
      <c r="F4401" s="25">
        <v>0.0</v>
      </c>
      <c r="G4401" s="27"/>
    </row>
    <row r="4402" hidden="1">
      <c r="A4402" s="21"/>
      <c r="B4402" s="21" t="s">
        <v>697</v>
      </c>
      <c r="D4402" s="25">
        <v>0.0</v>
      </c>
      <c r="E4402" s="27"/>
      <c r="F4402" s="25">
        <v>0.0</v>
      </c>
      <c r="G4402" s="27"/>
    </row>
    <row r="4403" hidden="1">
      <c r="A4403" s="21"/>
      <c r="B4403" s="21" t="s">
        <v>698</v>
      </c>
      <c r="D4403" s="25">
        <v>0.0</v>
      </c>
      <c r="E4403" s="27"/>
      <c r="F4403" s="25">
        <v>0.0</v>
      </c>
      <c r="G4403" s="27"/>
    </row>
    <row r="4404" hidden="1">
      <c r="A4404" s="21"/>
      <c r="B4404" s="21" t="s">
        <v>699</v>
      </c>
      <c r="D4404" s="25">
        <v>0.0</v>
      </c>
      <c r="E4404" s="27"/>
      <c r="F4404" s="25">
        <v>0.0</v>
      </c>
      <c r="G4404" s="27"/>
    </row>
    <row r="4405" hidden="1">
      <c r="A4405" s="21"/>
      <c r="B4405" s="21" t="s">
        <v>700</v>
      </c>
      <c r="D4405" s="25">
        <v>0.0</v>
      </c>
      <c r="E4405" s="27"/>
      <c r="F4405" s="25">
        <v>0.0</v>
      </c>
      <c r="G4405" s="27"/>
    </row>
    <row r="4406" hidden="1">
      <c r="A4406" s="21"/>
      <c r="B4406" s="21" t="s">
        <v>701</v>
      </c>
      <c r="D4406" s="25">
        <v>0.0</v>
      </c>
      <c r="E4406" s="27"/>
      <c r="F4406" s="25">
        <v>0.0</v>
      </c>
      <c r="G4406" s="27"/>
    </row>
    <row r="4407" hidden="1">
      <c r="A4407" s="21"/>
      <c r="B4407" s="21" t="s">
        <v>702</v>
      </c>
      <c r="D4407" s="25">
        <v>0.0</v>
      </c>
      <c r="E4407" s="27"/>
      <c r="F4407" s="25">
        <v>0.0</v>
      </c>
      <c r="G4407" s="27"/>
    </row>
    <row r="4408" hidden="1">
      <c r="A4408" s="21"/>
      <c r="B4408" s="21" t="s">
        <v>703</v>
      </c>
      <c r="D4408" s="25">
        <v>0.0</v>
      </c>
      <c r="E4408" s="27"/>
      <c r="F4408" s="25">
        <v>3.12</v>
      </c>
      <c r="G4408" s="27"/>
    </row>
    <row r="4409" hidden="1">
      <c r="A4409" s="21"/>
      <c r="B4409" s="21" t="s">
        <v>704</v>
      </c>
      <c r="D4409" s="25">
        <v>0.0</v>
      </c>
      <c r="E4409" s="27"/>
      <c r="F4409" s="25">
        <v>0.0</v>
      </c>
      <c r="G4409" s="27"/>
    </row>
    <row r="4410" hidden="1">
      <c r="A4410" s="21"/>
      <c r="B4410" s="21" t="s">
        <v>705</v>
      </c>
      <c r="D4410" s="25">
        <v>0.0</v>
      </c>
      <c r="E4410" s="27"/>
      <c r="F4410" s="25">
        <v>0.0</v>
      </c>
      <c r="G4410" s="27"/>
    </row>
    <row r="4411" hidden="1">
      <c r="A4411" s="21"/>
      <c r="B4411" s="21" t="s">
        <v>706</v>
      </c>
      <c r="D4411" s="25">
        <v>0.0</v>
      </c>
      <c r="E4411" s="27"/>
      <c r="F4411" s="25">
        <v>0.0</v>
      </c>
      <c r="G4411" s="27"/>
    </row>
    <row r="4412" hidden="1">
      <c r="A4412" s="21"/>
      <c r="B4412" s="21" t="s">
        <v>707</v>
      </c>
      <c r="D4412" s="25">
        <v>0.0</v>
      </c>
      <c r="E4412" s="27"/>
      <c r="F4412" s="25">
        <v>2.96</v>
      </c>
      <c r="G4412" s="27"/>
    </row>
    <row r="4413" hidden="1">
      <c r="A4413" s="21"/>
      <c r="B4413" s="21" t="s">
        <v>708</v>
      </c>
      <c r="D4413" s="25">
        <v>0.0</v>
      </c>
      <c r="E4413" s="27"/>
      <c r="F4413" s="25">
        <v>0.0</v>
      </c>
      <c r="G4413" s="27"/>
    </row>
    <row r="4414" hidden="1">
      <c r="A4414" s="21"/>
      <c r="B4414" s="21" t="s">
        <v>709</v>
      </c>
      <c r="D4414" s="25">
        <v>0.0</v>
      </c>
      <c r="E4414" s="27"/>
      <c r="F4414" s="25">
        <v>0.0</v>
      </c>
      <c r="G4414" s="27"/>
    </row>
    <row r="4415" hidden="1">
      <c r="A4415" s="21"/>
      <c r="B4415" s="21" t="s">
        <v>710</v>
      </c>
      <c r="D4415" s="25">
        <v>0.0</v>
      </c>
      <c r="E4415" s="27"/>
      <c r="F4415" s="25">
        <v>0.0</v>
      </c>
      <c r="G4415" s="27"/>
    </row>
    <row r="4416" hidden="1">
      <c r="A4416" s="21"/>
      <c r="B4416" s="21" t="s">
        <v>711</v>
      </c>
      <c r="D4416" s="25">
        <v>0.0</v>
      </c>
      <c r="E4416" s="27"/>
      <c r="F4416" s="25">
        <v>0.0</v>
      </c>
      <c r="G4416" s="27"/>
    </row>
    <row r="4417" hidden="1">
      <c r="A4417" s="21"/>
      <c r="B4417" s="21" t="s">
        <v>712</v>
      </c>
      <c r="D4417" s="25">
        <v>0.0</v>
      </c>
      <c r="E4417" s="27"/>
      <c r="F4417" s="25">
        <v>0.0</v>
      </c>
      <c r="G4417" s="27"/>
    </row>
    <row r="4418" hidden="1">
      <c r="A4418" s="21"/>
      <c r="B4418" s="21" t="s">
        <v>713</v>
      </c>
      <c r="D4418" s="25">
        <v>0.0</v>
      </c>
      <c r="E4418" s="27"/>
      <c r="F4418" s="25">
        <v>0.0</v>
      </c>
      <c r="G4418" s="27"/>
    </row>
    <row r="4419" hidden="1">
      <c r="A4419" s="21"/>
      <c r="B4419" s="21" t="s">
        <v>714</v>
      </c>
      <c r="D4419" s="25">
        <v>0.0</v>
      </c>
      <c r="E4419" s="27"/>
      <c r="F4419" s="25">
        <v>0.0</v>
      </c>
      <c r="G4419" s="27"/>
    </row>
    <row r="4420" hidden="1">
      <c r="A4420" s="21"/>
      <c r="B4420" s="21" t="s">
        <v>715</v>
      </c>
      <c r="D4420" s="25">
        <v>0.0</v>
      </c>
      <c r="E4420" s="27"/>
      <c r="F4420" s="25">
        <v>0.0</v>
      </c>
      <c r="G4420" s="27"/>
    </row>
    <row r="4421" hidden="1">
      <c r="A4421" s="21"/>
      <c r="B4421" s="21" t="s">
        <v>716</v>
      </c>
      <c r="D4421" s="25">
        <v>0.0</v>
      </c>
      <c r="E4421" s="27"/>
      <c r="F4421" s="25">
        <v>0.0</v>
      </c>
      <c r="G4421" s="27"/>
    </row>
    <row r="4422" hidden="1">
      <c r="A4422" s="21"/>
      <c r="B4422" s="21" t="s">
        <v>717</v>
      </c>
      <c r="D4422" s="25">
        <v>0.0</v>
      </c>
      <c r="E4422" s="27"/>
      <c r="F4422" s="25">
        <v>0.0</v>
      </c>
      <c r="G4422" s="27"/>
    </row>
    <row r="4423" hidden="1">
      <c r="A4423" s="21"/>
      <c r="B4423" s="21" t="s">
        <v>718</v>
      </c>
      <c r="D4423" s="25">
        <v>0.0</v>
      </c>
      <c r="E4423" s="27"/>
      <c r="F4423" s="25">
        <v>0.0</v>
      </c>
      <c r="G4423" s="27"/>
    </row>
    <row r="4424" hidden="1">
      <c r="A4424" s="21"/>
      <c r="B4424" s="21" t="s">
        <v>719</v>
      </c>
      <c r="D4424" s="25">
        <v>0.0</v>
      </c>
      <c r="E4424" s="27"/>
      <c r="F4424" s="25">
        <v>0.0</v>
      </c>
      <c r="G4424" s="27"/>
    </row>
    <row r="4425" hidden="1">
      <c r="A4425" s="21"/>
      <c r="B4425" s="21" t="s">
        <v>720</v>
      </c>
      <c r="D4425" s="25">
        <v>0.0</v>
      </c>
      <c r="E4425" s="27"/>
      <c r="F4425" s="25">
        <v>0.0</v>
      </c>
      <c r="G4425" s="27"/>
    </row>
    <row r="4426" hidden="1">
      <c r="A4426" s="21"/>
      <c r="B4426" s="21" t="s">
        <v>721</v>
      </c>
      <c r="D4426" s="25">
        <v>0.0</v>
      </c>
      <c r="E4426" s="27"/>
      <c r="F4426" s="25">
        <v>0.0</v>
      </c>
      <c r="G4426" s="27"/>
    </row>
    <row r="4427" hidden="1">
      <c r="A4427" s="21"/>
      <c r="B4427" s="21" t="s">
        <v>722</v>
      </c>
      <c r="D4427" s="25">
        <v>0.0</v>
      </c>
      <c r="E4427" s="27"/>
      <c r="F4427" s="25">
        <v>0.0</v>
      </c>
      <c r="G4427" s="27"/>
    </row>
    <row r="4428" hidden="1">
      <c r="A4428" s="21"/>
      <c r="B4428" s="21" t="s">
        <v>723</v>
      </c>
      <c r="D4428" s="25">
        <v>0.0</v>
      </c>
      <c r="E4428" s="27"/>
      <c r="F4428" s="25">
        <v>0.0</v>
      </c>
      <c r="G4428" s="27"/>
    </row>
    <row r="4429" hidden="1">
      <c r="A4429" s="21"/>
      <c r="B4429" s="21" t="s">
        <v>724</v>
      </c>
      <c r="D4429" s="25">
        <v>0.0</v>
      </c>
      <c r="E4429" s="27"/>
      <c r="F4429" s="25">
        <v>1.21</v>
      </c>
      <c r="G4429" s="27"/>
    </row>
    <row r="4430" hidden="1">
      <c r="A4430" s="21"/>
      <c r="B4430" s="21" t="s">
        <v>725</v>
      </c>
      <c r="D4430" s="25">
        <v>0.0</v>
      </c>
      <c r="E4430" s="27"/>
      <c r="F4430" s="25">
        <v>0.0</v>
      </c>
      <c r="G4430" s="27"/>
    </row>
    <row r="4431" hidden="1">
      <c r="A4431" s="21"/>
      <c r="B4431" s="21" t="s">
        <v>726</v>
      </c>
      <c r="D4431" s="25">
        <v>0.0</v>
      </c>
      <c r="E4431" s="27"/>
      <c r="F4431" s="25">
        <v>0.0</v>
      </c>
      <c r="G4431" s="27"/>
    </row>
    <row r="4432" hidden="1">
      <c r="A4432" s="21"/>
      <c r="B4432" s="21" t="s">
        <v>727</v>
      </c>
      <c r="D4432" s="25">
        <v>0.0</v>
      </c>
      <c r="E4432" s="27"/>
      <c r="F4432" s="25">
        <v>0.0</v>
      </c>
      <c r="G4432" s="27"/>
    </row>
    <row r="4433" hidden="1">
      <c r="A4433" s="21"/>
      <c r="B4433" s="21" t="s">
        <v>728</v>
      </c>
      <c r="D4433" s="25">
        <v>0.0</v>
      </c>
      <c r="E4433" s="27"/>
      <c r="F4433" s="25">
        <v>0.0</v>
      </c>
      <c r="G4433" s="27"/>
    </row>
    <row r="4434" hidden="1">
      <c r="A4434" s="21"/>
      <c r="B4434" s="21" t="s">
        <v>729</v>
      </c>
      <c r="D4434" s="25">
        <v>0.0</v>
      </c>
      <c r="E4434" s="27"/>
      <c r="F4434" s="25">
        <v>0.0</v>
      </c>
      <c r="G4434" s="27"/>
    </row>
    <row r="4435" hidden="1">
      <c r="A4435" s="21"/>
      <c r="B4435" s="21" t="s">
        <v>730</v>
      </c>
      <c r="D4435" s="25">
        <v>0.0</v>
      </c>
      <c r="E4435" s="27"/>
      <c r="F4435" s="25">
        <v>0.0</v>
      </c>
      <c r="G4435" s="27"/>
    </row>
    <row r="4436" hidden="1">
      <c r="A4436" s="21"/>
      <c r="B4436" s="21" t="s">
        <v>731</v>
      </c>
      <c r="D4436" s="25">
        <v>0.0</v>
      </c>
      <c r="E4436" s="27"/>
      <c r="F4436" s="25">
        <v>0.0</v>
      </c>
      <c r="G4436" s="27"/>
    </row>
    <row r="4437" hidden="1">
      <c r="A4437" s="21"/>
      <c r="B4437" s="21" t="s">
        <v>732</v>
      </c>
      <c r="D4437" s="25">
        <v>0.0</v>
      </c>
      <c r="E4437" s="27"/>
      <c r="F4437" s="25">
        <v>0.0</v>
      </c>
      <c r="G4437" s="27"/>
    </row>
    <row r="4438" hidden="1">
      <c r="A4438" s="21"/>
      <c r="B4438" s="21" t="s">
        <v>733</v>
      </c>
      <c r="D4438" s="25">
        <v>0.0</v>
      </c>
      <c r="E4438" s="27"/>
      <c r="F4438" s="25">
        <v>0.0</v>
      </c>
      <c r="G4438" s="27"/>
    </row>
    <row r="4439" hidden="1">
      <c r="A4439" s="21"/>
      <c r="B4439" s="21" t="s">
        <v>734</v>
      </c>
      <c r="D4439" s="25">
        <v>0.0</v>
      </c>
      <c r="E4439" s="27"/>
      <c r="F4439" s="25">
        <v>0.0</v>
      </c>
      <c r="G4439" s="27"/>
    </row>
    <row r="4440" hidden="1">
      <c r="A4440" s="21"/>
      <c r="B4440" s="21" t="s">
        <v>735</v>
      </c>
      <c r="D4440" s="25">
        <v>0.0</v>
      </c>
      <c r="E4440" s="27"/>
      <c r="F4440" s="25">
        <v>0.0</v>
      </c>
      <c r="G4440" s="27"/>
    </row>
    <row r="4441" hidden="1">
      <c r="A4441" s="21"/>
      <c r="B4441" s="21" t="s">
        <v>736</v>
      </c>
      <c r="D4441" s="25">
        <v>0.0</v>
      </c>
      <c r="E4441" s="27"/>
      <c r="F4441" s="25">
        <v>0.0</v>
      </c>
      <c r="G4441" s="27"/>
    </row>
    <row r="4442" hidden="1">
      <c r="A4442" s="21"/>
      <c r="B4442" s="21" t="s">
        <v>737</v>
      </c>
      <c r="D4442" s="25">
        <v>0.0</v>
      </c>
      <c r="E4442" s="27"/>
      <c r="F4442" s="25">
        <v>0.0</v>
      </c>
      <c r="G4442" s="27"/>
    </row>
    <row r="4443" hidden="1">
      <c r="A4443" s="21"/>
      <c r="B4443" s="21" t="s">
        <v>738</v>
      </c>
      <c r="D4443" s="25">
        <v>0.0</v>
      </c>
      <c r="E4443" s="27"/>
      <c r="F4443" s="25">
        <v>0.0</v>
      </c>
      <c r="G4443" s="27"/>
    </row>
    <row r="4444" hidden="1">
      <c r="A4444" s="21"/>
      <c r="B4444" s="21" t="s">
        <v>739</v>
      </c>
      <c r="D4444" s="25">
        <v>0.0</v>
      </c>
      <c r="E4444" s="27"/>
      <c r="F4444" s="25">
        <v>0.0</v>
      </c>
      <c r="G4444" s="27"/>
    </row>
    <row r="4445" hidden="1">
      <c r="A4445" s="21"/>
      <c r="B4445" s="21" t="s">
        <v>740</v>
      </c>
      <c r="D4445" s="25">
        <v>0.0</v>
      </c>
      <c r="E4445" s="27"/>
      <c r="F4445" s="25">
        <v>0.0</v>
      </c>
      <c r="G4445" s="27"/>
    </row>
    <row r="4446" hidden="1">
      <c r="A4446" s="21"/>
      <c r="B4446" s="21" t="s">
        <v>741</v>
      </c>
      <c r="D4446" s="25">
        <v>0.0</v>
      </c>
      <c r="E4446" s="27"/>
      <c r="F4446" s="25">
        <v>0.0</v>
      </c>
      <c r="G4446" s="27"/>
    </row>
    <row r="4447" hidden="1">
      <c r="A4447" s="21"/>
      <c r="B4447" s="21" t="s">
        <v>742</v>
      </c>
      <c r="D4447" s="25">
        <v>0.0</v>
      </c>
      <c r="E4447" s="27"/>
      <c r="F4447" s="25">
        <v>0.0</v>
      </c>
      <c r="G4447" s="27"/>
    </row>
    <row r="4448" hidden="1">
      <c r="A4448" s="21"/>
      <c r="B4448" s="21" t="s">
        <v>743</v>
      </c>
      <c r="D4448" s="25">
        <v>0.0</v>
      </c>
      <c r="E4448" s="27"/>
      <c r="F4448" s="25">
        <v>0.0</v>
      </c>
      <c r="G4448" s="27"/>
    </row>
    <row r="4449" hidden="1">
      <c r="A4449" s="21"/>
      <c r="B4449" s="21" t="s">
        <v>744</v>
      </c>
      <c r="D4449" s="25">
        <v>0.0</v>
      </c>
      <c r="E4449" s="27"/>
      <c r="F4449" s="25">
        <v>0.0</v>
      </c>
      <c r="G4449" s="27"/>
    </row>
    <row r="4450" hidden="1">
      <c r="A4450" s="21"/>
      <c r="B4450" s="21" t="s">
        <v>745</v>
      </c>
      <c r="D4450" s="25">
        <v>0.0</v>
      </c>
      <c r="E4450" s="27"/>
      <c r="F4450" s="25">
        <v>0.0</v>
      </c>
      <c r="G4450" s="27"/>
    </row>
    <row r="4451" hidden="1">
      <c r="A4451" s="21"/>
      <c r="B4451" s="21" t="s">
        <v>746</v>
      </c>
      <c r="D4451" s="25">
        <v>0.0</v>
      </c>
      <c r="E4451" s="27"/>
      <c r="F4451" s="25">
        <v>0.0</v>
      </c>
      <c r="G4451" s="27"/>
    </row>
    <row r="4452" hidden="1">
      <c r="A4452" s="21"/>
      <c r="B4452" s="21" t="s">
        <v>747</v>
      </c>
      <c r="D4452" s="25">
        <v>0.0</v>
      </c>
      <c r="E4452" s="27"/>
      <c r="F4452" s="25">
        <v>0.0</v>
      </c>
      <c r="G4452" s="27"/>
    </row>
    <row r="4453" hidden="1">
      <c r="A4453" s="21"/>
      <c r="B4453" s="21" t="s">
        <v>748</v>
      </c>
      <c r="D4453" s="25">
        <v>0.0</v>
      </c>
      <c r="E4453" s="27"/>
      <c r="F4453" s="25">
        <v>0.0</v>
      </c>
      <c r="G4453" s="27"/>
    </row>
    <row r="4454" hidden="1">
      <c r="A4454" s="21"/>
      <c r="B4454" s="21" t="s">
        <v>749</v>
      </c>
      <c r="D4454" s="25">
        <v>0.0</v>
      </c>
      <c r="E4454" s="27"/>
      <c r="F4454" s="25">
        <v>0.0</v>
      </c>
      <c r="G4454" s="27"/>
    </row>
    <row r="4455" hidden="1">
      <c r="A4455" s="21"/>
      <c r="B4455" s="21" t="s">
        <v>750</v>
      </c>
      <c r="D4455" s="25">
        <v>0.0</v>
      </c>
      <c r="E4455" s="27"/>
      <c r="F4455" s="25">
        <v>1.15</v>
      </c>
      <c r="G4455" s="27"/>
    </row>
    <row r="4456" hidden="1">
      <c r="A4456" s="21"/>
      <c r="B4456" s="21" t="s">
        <v>751</v>
      </c>
      <c r="D4456" s="25">
        <v>0.0</v>
      </c>
      <c r="E4456" s="27"/>
      <c r="F4456" s="25">
        <v>0.0</v>
      </c>
      <c r="G4456" s="27"/>
    </row>
    <row r="4457" hidden="1">
      <c r="A4457" s="21"/>
      <c r="B4457" s="21" t="s">
        <v>752</v>
      </c>
      <c r="D4457" s="25">
        <v>0.0</v>
      </c>
      <c r="E4457" s="27"/>
      <c r="F4457" s="25">
        <v>0.0</v>
      </c>
      <c r="G4457" s="27"/>
    </row>
    <row r="4458" hidden="1">
      <c r="A4458" s="21"/>
      <c r="B4458" s="21" t="s">
        <v>753</v>
      </c>
      <c r="D4458" s="25">
        <v>0.0</v>
      </c>
      <c r="E4458" s="27"/>
      <c r="F4458" s="25">
        <v>0.0</v>
      </c>
      <c r="G4458" s="27"/>
    </row>
    <row r="4459" hidden="1">
      <c r="A4459" s="21"/>
      <c r="B4459" s="21" t="s">
        <v>754</v>
      </c>
      <c r="D4459" s="25">
        <v>0.0</v>
      </c>
      <c r="E4459" s="27"/>
      <c r="F4459" s="25">
        <v>0.0</v>
      </c>
      <c r="G4459" s="27"/>
    </row>
    <row r="4460" hidden="1">
      <c r="A4460" s="21"/>
      <c r="B4460" s="21" t="s">
        <v>755</v>
      </c>
      <c r="D4460" s="25">
        <v>0.0</v>
      </c>
      <c r="E4460" s="27"/>
      <c r="F4460" s="25">
        <v>0.0</v>
      </c>
      <c r="G4460" s="27"/>
    </row>
    <row r="4461" hidden="1">
      <c r="A4461" s="21"/>
      <c r="B4461" s="21" t="s">
        <v>756</v>
      </c>
      <c r="D4461" s="25">
        <v>0.0</v>
      </c>
      <c r="E4461" s="27"/>
      <c r="F4461" s="25">
        <v>0.0</v>
      </c>
      <c r="G4461" s="27"/>
    </row>
    <row r="4462" hidden="1">
      <c r="A4462" s="21"/>
      <c r="B4462" s="21" t="s">
        <v>757</v>
      </c>
      <c r="D4462" s="25">
        <v>0.0</v>
      </c>
      <c r="E4462" s="27"/>
      <c r="F4462" s="25">
        <v>0.0</v>
      </c>
      <c r="G4462" s="27"/>
    </row>
    <row r="4463" hidden="1">
      <c r="A4463" s="21"/>
      <c r="B4463" s="21" t="s">
        <v>758</v>
      </c>
      <c r="D4463" s="25">
        <v>0.0</v>
      </c>
      <c r="E4463" s="27"/>
      <c r="F4463" s="25">
        <v>0.0</v>
      </c>
      <c r="G4463" s="27"/>
    </row>
    <row r="4464" hidden="1">
      <c r="A4464" s="21"/>
      <c r="B4464" s="21" t="s">
        <v>759</v>
      </c>
      <c r="D4464" s="25">
        <v>0.0</v>
      </c>
      <c r="E4464" s="27"/>
      <c r="F4464" s="25">
        <v>0.0</v>
      </c>
      <c r="G4464" s="27"/>
    </row>
    <row r="4465" hidden="1">
      <c r="A4465" s="21"/>
      <c r="B4465" s="21" t="s">
        <v>760</v>
      </c>
      <c r="D4465" s="25">
        <v>0.0</v>
      </c>
      <c r="E4465" s="27"/>
      <c r="F4465" s="25">
        <v>0.0</v>
      </c>
      <c r="G4465" s="27"/>
    </row>
    <row r="4466" hidden="1">
      <c r="A4466" s="21"/>
      <c r="B4466" s="21" t="s">
        <v>761</v>
      </c>
      <c r="D4466" s="25">
        <v>0.0</v>
      </c>
      <c r="E4466" s="27"/>
      <c r="F4466" s="25">
        <v>0.0</v>
      </c>
      <c r="G4466" s="27"/>
    </row>
    <row r="4467" hidden="1">
      <c r="A4467" s="21"/>
      <c r="B4467" s="21" t="s">
        <v>762</v>
      </c>
      <c r="D4467" s="25">
        <v>0.0</v>
      </c>
      <c r="E4467" s="27"/>
      <c r="F4467" s="25">
        <v>0.0</v>
      </c>
      <c r="G4467" s="27"/>
    </row>
    <row r="4468" hidden="1">
      <c r="A4468" s="21"/>
      <c r="B4468" s="21" t="s">
        <v>763</v>
      </c>
      <c r="D4468" s="25">
        <v>0.0</v>
      </c>
      <c r="E4468" s="27"/>
      <c r="F4468" s="25">
        <v>0.0</v>
      </c>
      <c r="G4468" s="27"/>
    </row>
    <row r="4469" hidden="1">
      <c r="A4469" s="21"/>
      <c r="B4469" s="21" t="s">
        <v>764</v>
      </c>
      <c r="D4469" s="25">
        <v>0.0</v>
      </c>
      <c r="E4469" s="27"/>
      <c r="F4469" s="25">
        <v>0.0</v>
      </c>
      <c r="G4469" s="27"/>
    </row>
    <row r="4470" hidden="1">
      <c r="A4470" s="21"/>
      <c r="B4470" s="21" t="s">
        <v>765</v>
      </c>
      <c r="D4470" s="25">
        <v>0.0</v>
      </c>
      <c r="E4470" s="27"/>
      <c r="F4470" s="25">
        <v>0.0</v>
      </c>
      <c r="G4470" s="27"/>
    </row>
    <row r="4471" hidden="1">
      <c r="A4471" s="21"/>
      <c r="B4471" s="21" t="s">
        <v>766</v>
      </c>
      <c r="D4471" s="25">
        <v>0.0</v>
      </c>
      <c r="E4471" s="27"/>
      <c r="F4471" s="25">
        <v>0.0</v>
      </c>
      <c r="G4471" s="27"/>
    </row>
    <row r="4472" hidden="1">
      <c r="A4472" s="21"/>
      <c r="B4472" s="21" t="s">
        <v>767</v>
      </c>
      <c r="D4472" s="25">
        <v>0.0</v>
      </c>
      <c r="E4472" s="27"/>
      <c r="F4472" s="25">
        <v>0.99</v>
      </c>
      <c r="G4472" s="27"/>
    </row>
    <row r="4473" hidden="1">
      <c r="A4473" s="21"/>
      <c r="B4473" s="21" t="s">
        <v>768</v>
      </c>
      <c r="D4473" s="25">
        <v>0.0</v>
      </c>
      <c r="E4473" s="27"/>
      <c r="F4473" s="25">
        <v>0.0</v>
      </c>
      <c r="G4473" s="27"/>
    </row>
    <row r="4474" hidden="1">
      <c r="A4474" s="21"/>
      <c r="B4474" s="21" t="s">
        <v>769</v>
      </c>
      <c r="D4474" s="25">
        <v>0.0</v>
      </c>
      <c r="E4474" s="27"/>
      <c r="F4474" s="25">
        <v>0.0</v>
      </c>
      <c r="G4474" s="27"/>
    </row>
    <row r="4475" hidden="1">
      <c r="A4475" s="21"/>
      <c r="B4475" s="21" t="s">
        <v>770</v>
      </c>
      <c r="D4475" s="25">
        <v>0.0</v>
      </c>
      <c r="E4475" s="27"/>
      <c r="F4475" s="25">
        <v>0.0</v>
      </c>
      <c r="G4475" s="27"/>
    </row>
    <row r="4476" hidden="1">
      <c r="A4476" s="21"/>
      <c r="B4476" s="21" t="s">
        <v>771</v>
      </c>
      <c r="D4476" s="25">
        <v>0.0</v>
      </c>
      <c r="E4476" s="27"/>
      <c r="F4476" s="25">
        <v>0.0</v>
      </c>
      <c r="G4476" s="27"/>
    </row>
    <row r="4477" hidden="1">
      <c r="A4477" s="21"/>
      <c r="B4477" s="21" t="s">
        <v>772</v>
      </c>
      <c r="D4477" s="25">
        <v>0.0</v>
      </c>
      <c r="E4477" s="27"/>
      <c r="F4477" s="25">
        <v>0.0</v>
      </c>
      <c r="G4477" s="27"/>
    </row>
    <row r="4478" hidden="1">
      <c r="A4478" s="21"/>
      <c r="B4478" s="21" t="s">
        <v>773</v>
      </c>
      <c r="D4478" s="25">
        <v>0.0</v>
      </c>
      <c r="E4478" s="27"/>
      <c r="F4478" s="25">
        <v>1.09</v>
      </c>
      <c r="G4478" s="27"/>
    </row>
    <row r="4479" hidden="1">
      <c r="A4479" s="21"/>
      <c r="B4479" s="21" t="s">
        <v>774</v>
      </c>
      <c r="D4479" s="25">
        <v>0.0</v>
      </c>
      <c r="E4479" s="27"/>
      <c r="F4479" s="25">
        <v>0.0</v>
      </c>
      <c r="G4479" s="27"/>
    </row>
    <row r="4480" hidden="1">
      <c r="A4480" s="21"/>
      <c r="B4480" s="21" t="s">
        <v>775</v>
      </c>
      <c r="D4480" s="25">
        <v>0.0</v>
      </c>
      <c r="E4480" s="27"/>
      <c r="F4480" s="25">
        <v>0.0</v>
      </c>
      <c r="G4480" s="27"/>
    </row>
    <row r="4481" hidden="1">
      <c r="A4481" s="21"/>
      <c r="B4481" s="21" t="s">
        <v>776</v>
      </c>
      <c r="D4481" s="25">
        <v>0.0</v>
      </c>
      <c r="E4481" s="27"/>
      <c r="F4481" s="25">
        <v>0.0</v>
      </c>
      <c r="G4481" s="27"/>
    </row>
    <row r="4482" hidden="1">
      <c r="A4482" s="21"/>
      <c r="B4482" s="21" t="s">
        <v>777</v>
      </c>
      <c r="D4482" s="25">
        <v>0.0</v>
      </c>
      <c r="E4482" s="27"/>
      <c r="F4482" s="25">
        <v>0.0</v>
      </c>
      <c r="G4482" s="27"/>
    </row>
    <row r="4483" hidden="1">
      <c r="A4483" s="21"/>
      <c r="B4483" s="21" t="s">
        <v>778</v>
      </c>
      <c r="D4483" s="25">
        <v>0.0</v>
      </c>
      <c r="E4483" s="27"/>
      <c r="F4483" s="25">
        <v>0.0</v>
      </c>
      <c r="G4483" s="27"/>
    </row>
    <row r="4484" hidden="1">
      <c r="A4484" s="21"/>
      <c r="B4484" s="21" t="s">
        <v>779</v>
      </c>
      <c r="D4484" s="25">
        <v>0.0</v>
      </c>
      <c r="E4484" s="27"/>
      <c r="F4484" s="25">
        <v>0.0</v>
      </c>
      <c r="G4484" s="27"/>
    </row>
    <row r="4485" hidden="1">
      <c r="A4485" s="21"/>
      <c r="B4485" s="21" t="s">
        <v>780</v>
      </c>
      <c r="D4485" s="25">
        <v>0.0</v>
      </c>
      <c r="E4485" s="27"/>
      <c r="F4485" s="25">
        <v>0.0</v>
      </c>
      <c r="G4485" s="27"/>
    </row>
    <row r="4486" hidden="1">
      <c r="A4486" s="21"/>
      <c r="B4486" s="21" t="s">
        <v>781</v>
      </c>
      <c r="D4486" s="25">
        <v>0.0</v>
      </c>
      <c r="E4486" s="27"/>
      <c r="F4486" s="25">
        <v>1.21</v>
      </c>
      <c r="G4486" s="27"/>
    </row>
    <row r="4487" hidden="1">
      <c r="A4487" s="21"/>
      <c r="B4487" s="21" t="s">
        <v>782</v>
      </c>
      <c r="D4487" s="25">
        <v>0.0</v>
      </c>
      <c r="E4487" s="27"/>
      <c r="F4487" s="25">
        <v>0.0</v>
      </c>
      <c r="G4487" s="27"/>
    </row>
    <row r="4488" hidden="1">
      <c r="A4488" s="21"/>
      <c r="B4488" s="21" t="s">
        <v>783</v>
      </c>
      <c r="D4488" s="25">
        <v>0.0</v>
      </c>
      <c r="E4488" s="27"/>
      <c r="F4488" s="25">
        <v>0.0</v>
      </c>
      <c r="G4488" s="27"/>
    </row>
    <row r="4489" hidden="1">
      <c r="A4489" s="21"/>
      <c r="B4489" s="21" t="s">
        <v>784</v>
      </c>
      <c r="D4489" s="25">
        <v>0.0</v>
      </c>
      <c r="E4489" s="27"/>
      <c r="F4489" s="25">
        <v>0.0</v>
      </c>
      <c r="G4489" s="27"/>
    </row>
    <row r="4490" hidden="1">
      <c r="A4490" s="21"/>
      <c r="B4490" s="21" t="s">
        <v>785</v>
      </c>
      <c r="D4490" s="25">
        <v>0.0</v>
      </c>
      <c r="E4490" s="27"/>
      <c r="F4490" s="25">
        <v>0.0</v>
      </c>
      <c r="G4490" s="27"/>
    </row>
    <row r="4491" hidden="1">
      <c r="A4491" s="21"/>
      <c r="B4491" s="21" t="s">
        <v>786</v>
      </c>
      <c r="D4491" s="25">
        <v>0.0</v>
      </c>
      <c r="E4491" s="27"/>
      <c r="F4491" s="25">
        <v>0.0</v>
      </c>
      <c r="G4491" s="27"/>
    </row>
    <row r="4492" hidden="1">
      <c r="A4492" s="21"/>
      <c r="B4492" s="21" t="s">
        <v>787</v>
      </c>
      <c r="D4492" s="25">
        <v>0.0</v>
      </c>
      <c r="E4492" s="27"/>
      <c r="F4492" s="25">
        <v>0.0</v>
      </c>
      <c r="G4492" s="27"/>
    </row>
    <row r="4493" hidden="1">
      <c r="A4493" s="21"/>
      <c r="B4493" s="21" t="s">
        <v>788</v>
      </c>
      <c r="D4493" s="25">
        <v>0.0</v>
      </c>
      <c r="E4493" s="27"/>
      <c r="F4493" s="25">
        <v>0.0</v>
      </c>
      <c r="G4493" s="27"/>
    </row>
    <row r="4494" hidden="1">
      <c r="A4494" s="21"/>
      <c r="B4494" s="21" t="s">
        <v>789</v>
      </c>
      <c r="D4494" s="25">
        <v>0.0</v>
      </c>
      <c r="E4494" s="27"/>
      <c r="F4494" s="25">
        <v>0.0</v>
      </c>
      <c r="G4494" s="27"/>
    </row>
    <row r="4495" hidden="1">
      <c r="A4495" s="21"/>
      <c r="B4495" s="21" t="s">
        <v>790</v>
      </c>
      <c r="D4495" s="25">
        <v>0.0</v>
      </c>
      <c r="E4495" s="27"/>
      <c r="F4495" s="25">
        <v>0.0</v>
      </c>
      <c r="G4495" s="27"/>
    </row>
    <row r="4496" hidden="1">
      <c r="A4496" s="21"/>
      <c r="B4496" s="21" t="s">
        <v>791</v>
      </c>
      <c r="D4496" s="25">
        <v>0.0</v>
      </c>
      <c r="E4496" s="27"/>
      <c r="F4496" s="25">
        <v>0.0</v>
      </c>
      <c r="G4496" s="27"/>
    </row>
    <row r="4497" hidden="1">
      <c r="A4497" s="21"/>
      <c r="B4497" s="21" t="s">
        <v>792</v>
      </c>
      <c r="D4497" s="25">
        <v>0.0</v>
      </c>
      <c r="E4497" s="27"/>
      <c r="F4497" s="25">
        <v>0.0</v>
      </c>
      <c r="G4497" s="27"/>
    </row>
    <row r="4498" hidden="1">
      <c r="A4498" s="21"/>
      <c r="B4498" s="21" t="s">
        <v>793</v>
      </c>
      <c r="D4498" s="25">
        <v>0.0</v>
      </c>
      <c r="E4498" s="27"/>
      <c r="F4498" s="25">
        <v>0.0</v>
      </c>
      <c r="G4498" s="27"/>
    </row>
    <row r="4499" hidden="1">
      <c r="A4499" s="21"/>
      <c r="B4499" s="21" t="s">
        <v>794</v>
      </c>
      <c r="D4499" s="25">
        <v>0.0</v>
      </c>
      <c r="E4499" s="27"/>
      <c r="F4499" s="25">
        <v>0.0</v>
      </c>
      <c r="G4499" s="27"/>
    </row>
    <row r="4500" hidden="1">
      <c r="A4500" s="21"/>
      <c r="B4500" s="21" t="s">
        <v>5173</v>
      </c>
      <c r="D4500" s="25">
        <v>0.0</v>
      </c>
      <c r="E4500" s="27"/>
      <c r="F4500" s="25">
        <v>0.0</v>
      </c>
      <c r="G4500" s="27"/>
    </row>
    <row r="4501" hidden="1">
      <c r="A4501" s="21"/>
      <c r="B4501" s="21" t="s">
        <v>5174</v>
      </c>
      <c r="D4501" s="25">
        <v>0.0</v>
      </c>
      <c r="E4501" s="27"/>
      <c r="F4501" s="25">
        <v>0.0</v>
      </c>
      <c r="G4501" s="27"/>
    </row>
    <row r="4502" hidden="1">
      <c r="A4502" s="21"/>
      <c r="B4502" s="21" t="s">
        <v>5175</v>
      </c>
      <c r="D4502" s="25">
        <v>0.0</v>
      </c>
      <c r="E4502" s="27"/>
      <c r="F4502" s="25">
        <v>0.0</v>
      </c>
      <c r="G4502" s="27"/>
    </row>
    <row r="4503" hidden="1">
      <c r="A4503" s="21"/>
      <c r="B4503" s="21" t="s">
        <v>5176</v>
      </c>
      <c r="D4503" s="25">
        <v>0.0</v>
      </c>
      <c r="E4503" s="27"/>
      <c r="F4503" s="25">
        <v>0.0</v>
      </c>
      <c r="G4503" s="27"/>
    </row>
    <row r="4504" hidden="1">
      <c r="A4504" s="21"/>
      <c r="B4504" s="21" t="s">
        <v>5177</v>
      </c>
      <c r="D4504" s="25">
        <v>0.0</v>
      </c>
      <c r="E4504" s="27"/>
      <c r="F4504" s="25">
        <v>0.0</v>
      </c>
      <c r="G4504" s="27"/>
    </row>
    <row r="4505" hidden="1">
      <c r="A4505" s="21"/>
      <c r="B4505" s="21" t="s">
        <v>5178</v>
      </c>
      <c r="D4505" s="25">
        <v>0.0</v>
      </c>
      <c r="E4505" s="27"/>
      <c r="F4505" s="25">
        <v>0.0</v>
      </c>
      <c r="G4505" s="27"/>
    </row>
    <row r="4506" hidden="1">
      <c r="A4506" s="21"/>
      <c r="B4506" s="21" t="s">
        <v>5179</v>
      </c>
      <c r="D4506" s="25">
        <v>0.0</v>
      </c>
      <c r="E4506" s="27"/>
      <c r="F4506" s="25">
        <v>0.0</v>
      </c>
      <c r="G4506" s="27"/>
    </row>
    <row r="4507" hidden="1">
      <c r="A4507" s="21"/>
      <c r="B4507" s="21" t="s">
        <v>5180</v>
      </c>
      <c r="D4507" s="25">
        <v>0.0</v>
      </c>
      <c r="E4507" s="27"/>
      <c r="F4507" s="25">
        <v>0.0</v>
      </c>
      <c r="G4507" s="27"/>
    </row>
    <row r="4508" hidden="1">
      <c r="A4508" s="21"/>
      <c r="B4508" s="21" t="s">
        <v>5181</v>
      </c>
      <c r="D4508" s="25">
        <v>0.0</v>
      </c>
      <c r="E4508" s="27"/>
      <c r="F4508" s="25">
        <v>0.0</v>
      </c>
      <c r="G4508" s="27"/>
    </row>
    <row r="4509" hidden="1">
      <c r="A4509" s="21"/>
      <c r="B4509" s="21" t="s">
        <v>5182</v>
      </c>
      <c r="D4509" s="25">
        <v>0.0</v>
      </c>
      <c r="E4509" s="27"/>
      <c r="F4509" s="25">
        <v>0.0</v>
      </c>
      <c r="G4509" s="27"/>
    </row>
    <row r="4510" hidden="1">
      <c r="A4510" s="21"/>
      <c r="B4510" s="21" t="s">
        <v>5183</v>
      </c>
      <c r="D4510" s="25">
        <v>0.0</v>
      </c>
      <c r="E4510" s="27"/>
      <c r="F4510" s="25">
        <v>0.0</v>
      </c>
      <c r="G4510" s="27"/>
    </row>
    <row r="4511" hidden="1">
      <c r="A4511" s="21"/>
      <c r="B4511" s="21" t="s">
        <v>5184</v>
      </c>
      <c r="D4511" s="25">
        <v>0.0</v>
      </c>
      <c r="E4511" s="27"/>
      <c r="F4511" s="25">
        <v>0.0</v>
      </c>
      <c r="G4511" s="27"/>
    </row>
    <row r="4512" hidden="1">
      <c r="A4512" s="21"/>
      <c r="B4512" s="21" t="s">
        <v>5185</v>
      </c>
      <c r="D4512" s="25">
        <v>0.0</v>
      </c>
      <c r="E4512" s="27"/>
      <c r="F4512" s="25">
        <v>0.0</v>
      </c>
      <c r="G4512" s="27"/>
    </row>
    <row r="4513" hidden="1">
      <c r="A4513" s="21"/>
      <c r="B4513" s="21" t="s">
        <v>5186</v>
      </c>
      <c r="D4513" s="25">
        <v>0.0</v>
      </c>
      <c r="E4513" s="27"/>
      <c r="F4513" s="25">
        <v>0.0</v>
      </c>
      <c r="G4513" s="27"/>
    </row>
    <row r="4514" hidden="1">
      <c r="A4514" s="21"/>
      <c r="B4514" s="21" t="s">
        <v>5187</v>
      </c>
      <c r="D4514" s="25">
        <v>0.0</v>
      </c>
      <c r="E4514" s="27"/>
      <c r="F4514" s="25">
        <v>0.0</v>
      </c>
      <c r="G4514" s="27"/>
    </row>
    <row r="4515" hidden="1">
      <c r="A4515" s="21"/>
      <c r="B4515" s="21" t="s">
        <v>5188</v>
      </c>
      <c r="D4515" s="25">
        <v>0.0</v>
      </c>
      <c r="E4515" s="27"/>
      <c r="F4515" s="25">
        <v>0.0</v>
      </c>
      <c r="G4515" s="27"/>
    </row>
    <row r="4516" hidden="1">
      <c r="A4516" s="21"/>
      <c r="B4516" s="21" t="s">
        <v>5189</v>
      </c>
      <c r="D4516" s="25">
        <v>0.0</v>
      </c>
      <c r="E4516" s="27"/>
      <c r="F4516" s="25">
        <v>0.0</v>
      </c>
      <c r="G4516" s="27"/>
    </row>
    <row r="4517" hidden="1">
      <c r="A4517" s="21"/>
      <c r="B4517" s="21" t="s">
        <v>5190</v>
      </c>
      <c r="D4517" s="25">
        <v>0.0</v>
      </c>
      <c r="E4517" s="27"/>
      <c r="F4517" s="25">
        <v>0.0</v>
      </c>
      <c r="G4517" s="27"/>
    </row>
    <row r="4518" hidden="1">
      <c r="A4518" s="21"/>
      <c r="B4518" s="21" t="s">
        <v>5191</v>
      </c>
      <c r="D4518" s="25">
        <v>0.0</v>
      </c>
      <c r="E4518" s="27"/>
      <c r="F4518" s="25">
        <v>0.0</v>
      </c>
      <c r="G4518" s="27"/>
    </row>
    <row r="4519" hidden="1">
      <c r="A4519" s="21"/>
      <c r="B4519" s="21" t="s">
        <v>5192</v>
      </c>
      <c r="D4519" s="25">
        <v>0.0</v>
      </c>
      <c r="E4519" s="27"/>
      <c r="F4519" s="25">
        <v>0.0</v>
      </c>
      <c r="G4519" s="27"/>
    </row>
    <row r="4520" hidden="1">
      <c r="A4520" s="21"/>
      <c r="B4520" s="21" t="s">
        <v>5193</v>
      </c>
      <c r="D4520" s="25">
        <v>0.0</v>
      </c>
      <c r="E4520" s="27"/>
      <c r="F4520" s="25">
        <v>0.0</v>
      </c>
      <c r="G4520" s="27"/>
    </row>
    <row r="4521" hidden="1">
      <c r="A4521" s="21"/>
      <c r="B4521" s="21" t="s">
        <v>5194</v>
      </c>
      <c r="D4521" s="25">
        <v>0.0</v>
      </c>
      <c r="E4521" s="27"/>
      <c r="F4521" s="25">
        <v>0.0</v>
      </c>
      <c r="G4521" s="27"/>
    </row>
    <row r="4522" hidden="1">
      <c r="A4522" s="21"/>
      <c r="B4522" s="21" t="s">
        <v>5195</v>
      </c>
      <c r="D4522" s="25">
        <v>0.0</v>
      </c>
      <c r="E4522" s="27"/>
      <c r="F4522" s="25">
        <v>0.0</v>
      </c>
      <c r="G4522" s="27"/>
    </row>
    <row r="4523" hidden="1">
      <c r="A4523" s="21"/>
      <c r="B4523" s="21" t="s">
        <v>795</v>
      </c>
      <c r="D4523" s="25">
        <v>0.0</v>
      </c>
      <c r="E4523" s="27"/>
      <c r="F4523" s="25">
        <v>0.0</v>
      </c>
      <c r="G4523" s="27"/>
    </row>
    <row r="4524" hidden="1">
      <c r="A4524" s="21"/>
      <c r="B4524" s="21" t="s">
        <v>796</v>
      </c>
      <c r="D4524" s="25">
        <v>0.0</v>
      </c>
      <c r="E4524" s="27"/>
      <c r="F4524" s="25">
        <v>0.0</v>
      </c>
      <c r="G4524" s="27"/>
    </row>
    <row r="4525" hidden="1">
      <c r="A4525" s="21"/>
      <c r="B4525" s="21" t="s">
        <v>797</v>
      </c>
      <c r="D4525" s="25">
        <v>0.0</v>
      </c>
      <c r="E4525" s="27"/>
      <c r="F4525" s="25">
        <v>0.0</v>
      </c>
      <c r="G4525" s="27"/>
    </row>
    <row r="4526" hidden="1">
      <c r="A4526" s="21"/>
      <c r="B4526" s="21" t="s">
        <v>798</v>
      </c>
      <c r="D4526" s="25">
        <v>0.0</v>
      </c>
      <c r="E4526" s="27"/>
      <c r="F4526" s="25">
        <v>0.0</v>
      </c>
      <c r="G4526" s="27"/>
    </row>
    <row r="4527" hidden="1">
      <c r="A4527" s="21"/>
      <c r="B4527" s="21" t="s">
        <v>799</v>
      </c>
      <c r="D4527" s="25">
        <v>0.0</v>
      </c>
      <c r="E4527" s="27"/>
      <c r="F4527" s="25">
        <v>0.0</v>
      </c>
      <c r="G4527" s="27"/>
    </row>
    <row r="4528" hidden="1">
      <c r="A4528" s="21"/>
      <c r="B4528" s="21" t="s">
        <v>800</v>
      </c>
      <c r="D4528" s="25">
        <v>0.0</v>
      </c>
      <c r="E4528" s="27"/>
      <c r="F4528" s="25">
        <v>0.0</v>
      </c>
      <c r="G4528" s="27"/>
    </row>
    <row r="4529" hidden="1">
      <c r="A4529" s="21"/>
      <c r="B4529" s="21" t="s">
        <v>801</v>
      </c>
      <c r="D4529" s="25">
        <v>0.0</v>
      </c>
      <c r="E4529" s="27"/>
      <c r="F4529" s="25">
        <v>0.0</v>
      </c>
      <c r="G4529" s="27"/>
    </row>
    <row r="4530" hidden="1">
      <c r="A4530" s="21"/>
      <c r="B4530" s="21" t="s">
        <v>802</v>
      </c>
      <c r="D4530" s="25">
        <v>0.0</v>
      </c>
      <c r="E4530" s="27"/>
      <c r="F4530" s="25">
        <v>0.0</v>
      </c>
      <c r="G4530" s="27"/>
    </row>
    <row r="4531" hidden="1">
      <c r="A4531" s="21"/>
      <c r="B4531" s="21" t="s">
        <v>5196</v>
      </c>
      <c r="D4531" s="25">
        <v>0.0</v>
      </c>
      <c r="E4531" s="27"/>
      <c r="F4531" s="25">
        <v>0.0</v>
      </c>
      <c r="G4531" s="27"/>
    </row>
    <row r="4532" hidden="1">
      <c r="A4532" s="21"/>
      <c r="B4532" s="21" t="s">
        <v>5197</v>
      </c>
      <c r="D4532" s="25">
        <v>0.0</v>
      </c>
      <c r="E4532" s="27"/>
      <c r="F4532" s="25">
        <v>0.0</v>
      </c>
      <c r="G4532" s="27"/>
    </row>
    <row r="4533" hidden="1">
      <c r="A4533" s="21"/>
      <c r="B4533" s="21" t="s">
        <v>5198</v>
      </c>
      <c r="D4533" s="25">
        <v>0.0</v>
      </c>
      <c r="E4533" s="27"/>
      <c r="F4533" s="25">
        <v>0.0</v>
      </c>
      <c r="G4533" s="27"/>
    </row>
    <row r="4534" hidden="1">
      <c r="A4534" s="21"/>
      <c r="B4534" s="21" t="s">
        <v>5199</v>
      </c>
      <c r="D4534" s="25">
        <v>0.0</v>
      </c>
      <c r="E4534" s="27"/>
      <c r="F4534" s="25">
        <v>0.0</v>
      </c>
      <c r="G4534" s="27"/>
    </row>
    <row r="4535" hidden="1">
      <c r="A4535" s="21"/>
      <c r="B4535" s="21" t="s">
        <v>5200</v>
      </c>
      <c r="D4535" s="25">
        <v>0.0</v>
      </c>
      <c r="E4535" s="27"/>
      <c r="F4535" s="25">
        <v>0.0</v>
      </c>
      <c r="G4535" s="27"/>
    </row>
    <row r="4536" hidden="1">
      <c r="A4536" s="21"/>
      <c r="B4536" s="21" t="s">
        <v>5201</v>
      </c>
      <c r="D4536" s="25">
        <v>0.0</v>
      </c>
      <c r="E4536" s="27"/>
      <c r="F4536" s="25">
        <v>0.0</v>
      </c>
      <c r="G4536" s="27"/>
    </row>
    <row r="4537" hidden="1">
      <c r="A4537" s="21"/>
      <c r="B4537" s="21" t="s">
        <v>5202</v>
      </c>
      <c r="D4537" s="25">
        <v>0.0</v>
      </c>
      <c r="E4537" s="27"/>
      <c r="F4537" s="25">
        <v>0.0</v>
      </c>
      <c r="G4537" s="27"/>
    </row>
    <row r="4538" hidden="1">
      <c r="A4538" s="21"/>
      <c r="B4538" s="21" t="s">
        <v>5203</v>
      </c>
      <c r="D4538" s="25">
        <v>0.0</v>
      </c>
      <c r="E4538" s="27"/>
      <c r="F4538" s="25">
        <v>0.0</v>
      </c>
      <c r="G4538" s="27"/>
    </row>
    <row r="4539" hidden="1">
      <c r="A4539" s="21"/>
      <c r="B4539" s="21" t="s">
        <v>5204</v>
      </c>
      <c r="D4539" s="25">
        <v>0.0</v>
      </c>
      <c r="E4539" s="27"/>
      <c r="F4539" s="25">
        <v>0.0</v>
      </c>
      <c r="G4539" s="27"/>
    </row>
    <row r="4540" hidden="1">
      <c r="A4540" s="21"/>
      <c r="B4540" s="21" t="s">
        <v>5205</v>
      </c>
      <c r="D4540" s="25">
        <v>0.0</v>
      </c>
      <c r="E4540" s="27"/>
      <c r="F4540" s="25">
        <v>0.0</v>
      </c>
      <c r="G4540" s="27"/>
    </row>
    <row r="4541" hidden="1">
      <c r="A4541" s="21"/>
      <c r="B4541" s="21" t="s">
        <v>5206</v>
      </c>
      <c r="D4541" s="25">
        <v>0.0</v>
      </c>
      <c r="E4541" s="27"/>
      <c r="F4541" s="25">
        <v>0.0</v>
      </c>
      <c r="G4541" s="27"/>
    </row>
    <row r="4542" hidden="1">
      <c r="A4542" s="21"/>
      <c r="B4542" s="21" t="s">
        <v>5207</v>
      </c>
      <c r="D4542" s="25">
        <v>0.0</v>
      </c>
      <c r="E4542" s="27"/>
      <c r="F4542" s="25">
        <v>0.0</v>
      </c>
      <c r="G4542" s="27"/>
    </row>
    <row r="4543" hidden="1">
      <c r="A4543" s="21"/>
      <c r="B4543" s="21" t="s">
        <v>5208</v>
      </c>
      <c r="D4543" s="25">
        <v>0.0</v>
      </c>
      <c r="E4543" s="27"/>
      <c r="F4543" s="25">
        <v>0.0</v>
      </c>
      <c r="G4543" s="27"/>
    </row>
    <row r="4544" hidden="1">
      <c r="A4544" s="21"/>
      <c r="B4544" s="21" t="s">
        <v>5209</v>
      </c>
      <c r="D4544" s="25">
        <v>0.0</v>
      </c>
      <c r="E4544" s="27"/>
      <c r="F4544" s="25">
        <v>0.0</v>
      </c>
      <c r="G4544" s="27"/>
    </row>
    <row r="4545" hidden="1">
      <c r="A4545" s="21"/>
      <c r="B4545" s="21" t="s">
        <v>5210</v>
      </c>
      <c r="D4545" s="25">
        <v>0.0</v>
      </c>
      <c r="E4545" s="27"/>
      <c r="F4545" s="25">
        <v>0.0</v>
      </c>
      <c r="G4545" s="27"/>
    </row>
    <row r="4546" hidden="1">
      <c r="A4546" s="21"/>
      <c r="B4546" s="21" t="s">
        <v>5211</v>
      </c>
      <c r="D4546" s="25">
        <v>0.0</v>
      </c>
      <c r="E4546" s="27"/>
      <c r="F4546" s="25">
        <v>0.0</v>
      </c>
      <c r="G4546" s="27"/>
    </row>
    <row r="4547" hidden="1">
      <c r="A4547" s="21"/>
      <c r="B4547" s="21" t="s">
        <v>5212</v>
      </c>
      <c r="D4547" s="25">
        <v>0.0</v>
      </c>
      <c r="E4547" s="27"/>
      <c r="F4547" s="25">
        <v>0.0</v>
      </c>
      <c r="G4547" s="27"/>
    </row>
    <row r="4548" hidden="1">
      <c r="A4548" s="21"/>
      <c r="B4548" s="21" t="s">
        <v>5213</v>
      </c>
      <c r="D4548" s="25">
        <v>0.0</v>
      </c>
      <c r="E4548" s="27"/>
      <c r="F4548" s="25">
        <v>9.67</v>
      </c>
      <c r="G4548" s="27"/>
    </row>
    <row r="4549" hidden="1">
      <c r="A4549" s="21"/>
      <c r="B4549" s="21" t="s">
        <v>5214</v>
      </c>
      <c r="D4549" s="25">
        <v>0.0</v>
      </c>
      <c r="E4549" s="27"/>
      <c r="F4549" s="25">
        <v>0.0</v>
      </c>
      <c r="G4549" s="27"/>
    </row>
    <row r="4550" hidden="1">
      <c r="A4550" s="21"/>
      <c r="B4550" s="21" t="s">
        <v>5215</v>
      </c>
      <c r="D4550" s="25">
        <v>0.0</v>
      </c>
      <c r="E4550" s="27"/>
      <c r="F4550" s="25">
        <v>0.0</v>
      </c>
      <c r="G4550" s="27"/>
    </row>
    <row r="4551" hidden="1">
      <c r="A4551" s="21"/>
      <c r="B4551" s="21" t="s">
        <v>5216</v>
      </c>
      <c r="D4551" s="25">
        <v>0.0</v>
      </c>
      <c r="E4551" s="27"/>
      <c r="F4551" s="25">
        <v>0.0</v>
      </c>
      <c r="G4551" s="27"/>
    </row>
    <row r="4552" hidden="1">
      <c r="A4552" s="21"/>
      <c r="B4552" s="21" t="s">
        <v>5217</v>
      </c>
      <c r="D4552" s="25">
        <v>0.0</v>
      </c>
      <c r="E4552" s="27"/>
      <c r="F4552" s="25">
        <v>0.0</v>
      </c>
      <c r="G4552" s="27"/>
    </row>
    <row r="4553" hidden="1">
      <c r="A4553" s="21"/>
      <c r="B4553" s="21" t="s">
        <v>5218</v>
      </c>
      <c r="D4553" s="25">
        <v>0.0</v>
      </c>
      <c r="E4553" s="27"/>
      <c r="F4553" s="25">
        <v>0.0</v>
      </c>
      <c r="G4553" s="27"/>
    </row>
    <row r="4554" hidden="1">
      <c r="A4554" s="21"/>
      <c r="B4554" s="21" t="s">
        <v>5219</v>
      </c>
      <c r="D4554" s="25">
        <v>0.0</v>
      </c>
      <c r="E4554" s="27"/>
      <c r="F4554" s="25">
        <v>0.0</v>
      </c>
      <c r="G4554" s="27"/>
    </row>
    <row r="4555" hidden="1">
      <c r="A4555" s="21"/>
      <c r="B4555" s="21" t="s">
        <v>5220</v>
      </c>
      <c r="D4555" s="25">
        <v>0.0</v>
      </c>
      <c r="E4555" s="27"/>
      <c r="F4555" s="25">
        <v>0.0</v>
      </c>
      <c r="G4555" s="27"/>
    </row>
    <row r="4556" hidden="1">
      <c r="A4556" s="21"/>
      <c r="B4556" s="21" t="s">
        <v>5221</v>
      </c>
      <c r="D4556" s="25">
        <v>0.0</v>
      </c>
      <c r="E4556" s="27"/>
      <c r="F4556" s="25">
        <v>0.0</v>
      </c>
      <c r="G4556" s="27"/>
    </row>
    <row r="4557" hidden="1">
      <c r="A4557" s="21"/>
      <c r="B4557" s="21" t="s">
        <v>5222</v>
      </c>
      <c r="D4557" s="25">
        <v>0.0</v>
      </c>
      <c r="E4557" s="27"/>
      <c r="F4557" s="25">
        <v>0.0</v>
      </c>
      <c r="G4557" s="27"/>
    </row>
    <row r="4558" hidden="1">
      <c r="A4558" s="21"/>
      <c r="B4558" s="21" t="s">
        <v>5223</v>
      </c>
      <c r="D4558" s="25">
        <v>0.0</v>
      </c>
      <c r="E4558" s="27"/>
      <c r="F4558" s="25">
        <v>0.0</v>
      </c>
      <c r="G4558" s="27"/>
    </row>
    <row r="4559" hidden="1">
      <c r="A4559" s="21"/>
      <c r="B4559" s="21" t="s">
        <v>5224</v>
      </c>
      <c r="D4559" s="25">
        <v>0.0</v>
      </c>
      <c r="E4559" s="27"/>
      <c r="F4559" s="25">
        <v>0.0</v>
      </c>
      <c r="G4559" s="27"/>
    </row>
    <row r="4560" hidden="1">
      <c r="A4560" s="21"/>
      <c r="B4560" s="21" t="s">
        <v>5225</v>
      </c>
      <c r="D4560" s="25">
        <v>0.0</v>
      </c>
      <c r="E4560" s="27"/>
      <c r="F4560" s="25">
        <v>0.0</v>
      </c>
      <c r="G4560" s="27"/>
    </row>
    <row r="4561" hidden="1">
      <c r="A4561" s="21"/>
      <c r="B4561" s="21" t="s">
        <v>5226</v>
      </c>
      <c r="D4561" s="25">
        <v>0.0</v>
      </c>
      <c r="E4561" s="27"/>
      <c r="F4561" s="25">
        <v>0.0</v>
      </c>
      <c r="G4561" s="27"/>
    </row>
    <row r="4562" hidden="1">
      <c r="A4562" s="21"/>
      <c r="B4562" s="21" t="s">
        <v>5227</v>
      </c>
      <c r="D4562" s="25">
        <v>0.0</v>
      </c>
      <c r="E4562" s="27"/>
      <c r="F4562" s="25">
        <v>0.0</v>
      </c>
      <c r="G4562" s="27"/>
    </row>
    <row r="4563" hidden="1">
      <c r="A4563" s="21"/>
      <c r="B4563" s="21" t="s">
        <v>5228</v>
      </c>
      <c r="D4563" s="25">
        <v>0.0</v>
      </c>
      <c r="E4563" s="27"/>
      <c r="F4563" s="25">
        <v>0.0</v>
      </c>
      <c r="G4563" s="27"/>
    </row>
    <row r="4564" hidden="1">
      <c r="A4564" s="21"/>
      <c r="B4564" s="21" t="s">
        <v>5229</v>
      </c>
      <c r="D4564" s="25">
        <v>0.0</v>
      </c>
      <c r="E4564" s="27"/>
      <c r="F4564" s="25">
        <v>0.0</v>
      </c>
      <c r="G4564" s="27"/>
    </row>
    <row r="4565" hidden="1">
      <c r="A4565" s="21"/>
      <c r="B4565" s="21" t="s">
        <v>5230</v>
      </c>
      <c r="D4565" s="25">
        <v>0.0</v>
      </c>
      <c r="E4565" s="27"/>
      <c r="F4565" s="25">
        <v>0.0</v>
      </c>
      <c r="G4565" s="27"/>
    </row>
    <row r="4566" hidden="1">
      <c r="A4566" s="21"/>
      <c r="B4566" s="21" t="s">
        <v>5231</v>
      </c>
      <c r="D4566" s="25">
        <v>0.0</v>
      </c>
      <c r="E4566" s="27"/>
      <c r="F4566" s="25">
        <v>0.0</v>
      </c>
      <c r="G4566" s="27"/>
    </row>
    <row r="4567" hidden="1">
      <c r="A4567" s="21"/>
      <c r="B4567" s="21" t="s">
        <v>5232</v>
      </c>
      <c r="D4567" s="25">
        <v>0.0</v>
      </c>
      <c r="E4567" s="27"/>
      <c r="F4567" s="25">
        <v>0.0</v>
      </c>
      <c r="G4567" s="27"/>
    </row>
    <row r="4568" hidden="1">
      <c r="A4568" s="21"/>
      <c r="B4568" s="21" t="s">
        <v>5233</v>
      </c>
      <c r="D4568" s="25">
        <v>0.0</v>
      </c>
      <c r="E4568" s="27"/>
      <c r="F4568" s="25">
        <v>0.0</v>
      </c>
      <c r="G4568" s="27"/>
    </row>
    <row r="4569" hidden="1">
      <c r="A4569" s="21"/>
      <c r="B4569" s="21" t="s">
        <v>5234</v>
      </c>
      <c r="D4569" s="25">
        <v>0.0</v>
      </c>
      <c r="E4569" s="27"/>
      <c r="F4569" s="25">
        <v>0.0</v>
      </c>
      <c r="G4569" s="27"/>
    </row>
    <row r="4570" hidden="1">
      <c r="A4570" s="21"/>
      <c r="B4570" s="21" t="s">
        <v>5235</v>
      </c>
      <c r="D4570" s="25">
        <v>0.0</v>
      </c>
      <c r="E4570" s="27"/>
      <c r="F4570" s="25">
        <v>0.0</v>
      </c>
      <c r="G4570" s="27"/>
    </row>
    <row r="4571" hidden="1">
      <c r="A4571" s="21"/>
      <c r="B4571" s="21" t="s">
        <v>5236</v>
      </c>
      <c r="D4571" s="25">
        <v>0.0</v>
      </c>
      <c r="E4571" s="27"/>
      <c r="F4571" s="25">
        <v>0.0</v>
      </c>
      <c r="G4571" s="27"/>
    </row>
    <row r="4572" hidden="1">
      <c r="A4572" s="21"/>
      <c r="B4572" s="21" t="s">
        <v>5237</v>
      </c>
      <c r="D4572" s="25">
        <v>0.0</v>
      </c>
      <c r="E4572" s="27"/>
      <c r="F4572" s="25">
        <v>0.0</v>
      </c>
      <c r="G4572" s="27"/>
    </row>
    <row r="4573" hidden="1">
      <c r="A4573" s="21"/>
      <c r="B4573" s="21" t="s">
        <v>5238</v>
      </c>
      <c r="D4573" s="25">
        <v>0.0</v>
      </c>
      <c r="E4573" s="27"/>
      <c r="F4573" s="25">
        <v>0.0</v>
      </c>
      <c r="G4573" s="27"/>
    </row>
    <row r="4574" hidden="1">
      <c r="A4574" s="21"/>
      <c r="B4574" s="21" t="s">
        <v>5239</v>
      </c>
      <c r="D4574" s="25">
        <v>0.0</v>
      </c>
      <c r="E4574" s="27"/>
      <c r="F4574" s="25">
        <v>0.0</v>
      </c>
      <c r="G4574" s="27"/>
    </row>
    <row r="4575" hidden="1">
      <c r="A4575" s="21"/>
      <c r="B4575" s="21" t="s">
        <v>5240</v>
      </c>
      <c r="D4575" s="25">
        <v>0.0</v>
      </c>
      <c r="E4575" s="27"/>
      <c r="F4575" s="25">
        <v>0.0</v>
      </c>
      <c r="G4575" s="27"/>
    </row>
    <row r="4576" hidden="1">
      <c r="A4576" s="21"/>
      <c r="B4576" s="21" t="s">
        <v>5241</v>
      </c>
      <c r="D4576" s="25">
        <v>0.0</v>
      </c>
      <c r="E4576" s="27"/>
      <c r="F4576" s="25">
        <v>0.0</v>
      </c>
      <c r="G4576" s="27"/>
    </row>
    <row r="4577" hidden="1">
      <c r="A4577" s="21"/>
      <c r="B4577" s="21" t="s">
        <v>5242</v>
      </c>
      <c r="D4577" s="25">
        <v>0.0</v>
      </c>
      <c r="E4577" s="27"/>
      <c r="F4577" s="25">
        <v>0.0</v>
      </c>
      <c r="G4577" s="27"/>
    </row>
    <row r="4578" hidden="1">
      <c r="A4578" s="21"/>
      <c r="B4578" s="21" t="s">
        <v>5243</v>
      </c>
      <c r="D4578" s="25">
        <v>0.0</v>
      </c>
      <c r="E4578" s="27"/>
      <c r="F4578" s="25">
        <v>0.0</v>
      </c>
      <c r="G4578" s="27"/>
    </row>
    <row r="4579" hidden="1">
      <c r="A4579" s="21"/>
      <c r="B4579" s="21" t="s">
        <v>5244</v>
      </c>
      <c r="D4579" s="25">
        <v>0.0</v>
      </c>
      <c r="E4579" s="27"/>
      <c r="F4579" s="25">
        <v>0.0</v>
      </c>
      <c r="G4579" s="27"/>
    </row>
    <row r="4580" hidden="1">
      <c r="A4580" s="21"/>
      <c r="B4580" s="21" t="s">
        <v>5245</v>
      </c>
      <c r="D4580" s="25">
        <v>0.0</v>
      </c>
      <c r="E4580" s="27"/>
      <c r="F4580" s="25">
        <v>0.0</v>
      </c>
      <c r="G4580" s="27"/>
    </row>
    <row r="4581" hidden="1">
      <c r="A4581" s="21"/>
      <c r="B4581" s="21" t="s">
        <v>5246</v>
      </c>
      <c r="D4581" s="25">
        <v>0.0</v>
      </c>
      <c r="E4581" s="27"/>
      <c r="F4581" s="25">
        <v>0.0</v>
      </c>
      <c r="G4581" s="27"/>
    </row>
    <row r="4582" hidden="1">
      <c r="A4582" s="21"/>
      <c r="B4582" s="21" t="s">
        <v>5247</v>
      </c>
      <c r="D4582" s="25">
        <v>0.0</v>
      </c>
      <c r="E4582" s="27"/>
      <c r="F4582" s="25">
        <v>0.0</v>
      </c>
      <c r="G4582" s="27"/>
    </row>
    <row r="4583" hidden="1">
      <c r="A4583" s="21"/>
      <c r="B4583" s="21" t="s">
        <v>5248</v>
      </c>
      <c r="D4583" s="25">
        <v>0.0</v>
      </c>
      <c r="E4583" s="27"/>
      <c r="F4583" s="25">
        <v>0.0</v>
      </c>
      <c r="G4583" s="27"/>
    </row>
    <row r="4584" hidden="1">
      <c r="A4584" s="21"/>
      <c r="B4584" s="21" t="s">
        <v>5249</v>
      </c>
      <c r="D4584" s="25">
        <v>0.0</v>
      </c>
      <c r="E4584" s="27"/>
      <c r="F4584" s="25">
        <v>0.0</v>
      </c>
      <c r="G4584" s="27"/>
    </row>
    <row r="4585" hidden="1">
      <c r="A4585" s="21"/>
      <c r="B4585" s="21" t="s">
        <v>5250</v>
      </c>
      <c r="D4585" s="25">
        <v>0.0</v>
      </c>
      <c r="E4585" s="27"/>
      <c r="F4585" s="25">
        <v>0.0</v>
      </c>
      <c r="G4585" s="27"/>
    </row>
    <row r="4586" hidden="1">
      <c r="A4586" s="21"/>
      <c r="B4586" s="21" t="s">
        <v>5251</v>
      </c>
      <c r="D4586" s="25">
        <v>0.0</v>
      </c>
      <c r="E4586" s="27"/>
      <c r="F4586" s="25">
        <v>0.0</v>
      </c>
      <c r="G4586" s="27"/>
    </row>
    <row r="4587" hidden="1">
      <c r="A4587" s="21"/>
      <c r="B4587" s="21" t="s">
        <v>5252</v>
      </c>
      <c r="D4587" s="25">
        <v>0.0</v>
      </c>
      <c r="E4587" s="27"/>
      <c r="F4587" s="25">
        <v>0.0</v>
      </c>
      <c r="G4587" s="27"/>
    </row>
    <row r="4588" hidden="1">
      <c r="A4588" s="21"/>
      <c r="B4588" s="21" t="s">
        <v>5253</v>
      </c>
      <c r="D4588" s="25">
        <v>0.0</v>
      </c>
      <c r="E4588" s="27"/>
      <c r="F4588" s="25">
        <v>0.0</v>
      </c>
      <c r="G4588" s="27"/>
    </row>
    <row r="4589" hidden="1">
      <c r="A4589" s="21"/>
      <c r="B4589" s="21" t="s">
        <v>5254</v>
      </c>
      <c r="D4589" s="25">
        <v>0.0</v>
      </c>
      <c r="E4589" s="27"/>
      <c r="F4589" s="25">
        <v>0.0</v>
      </c>
      <c r="G4589" s="27"/>
    </row>
    <row r="4590" hidden="1">
      <c r="A4590" s="21"/>
      <c r="B4590" s="21" t="s">
        <v>5255</v>
      </c>
      <c r="D4590" s="25">
        <v>0.0</v>
      </c>
      <c r="E4590" s="27"/>
      <c r="F4590" s="25">
        <v>0.0</v>
      </c>
      <c r="G4590" s="27"/>
    </row>
    <row r="4591" hidden="1">
      <c r="A4591" s="21"/>
      <c r="B4591" s="21" t="s">
        <v>5256</v>
      </c>
      <c r="D4591" s="25">
        <v>0.0</v>
      </c>
      <c r="E4591" s="27"/>
      <c r="F4591" s="25">
        <v>0.0</v>
      </c>
      <c r="G4591" s="27"/>
    </row>
    <row r="4592" hidden="1">
      <c r="A4592" s="21"/>
      <c r="B4592" s="21" t="s">
        <v>5257</v>
      </c>
      <c r="D4592" s="25">
        <v>0.0</v>
      </c>
      <c r="E4592" s="27"/>
      <c r="F4592" s="25">
        <v>0.0</v>
      </c>
      <c r="G4592" s="27"/>
    </row>
    <row r="4593" hidden="1">
      <c r="A4593" s="21"/>
      <c r="B4593" s="21" t="s">
        <v>5258</v>
      </c>
      <c r="D4593" s="25">
        <v>0.0</v>
      </c>
      <c r="E4593" s="27"/>
      <c r="F4593" s="25">
        <v>0.0</v>
      </c>
      <c r="G4593" s="27"/>
    </row>
    <row r="4594" hidden="1">
      <c r="A4594" s="21"/>
      <c r="B4594" s="21" t="s">
        <v>5259</v>
      </c>
      <c r="D4594" s="25">
        <v>0.0</v>
      </c>
      <c r="E4594" s="27"/>
      <c r="F4594" s="25">
        <v>0.0</v>
      </c>
      <c r="G4594" s="27"/>
    </row>
    <row r="4595" hidden="1">
      <c r="A4595" s="21"/>
      <c r="B4595" s="21" t="s">
        <v>5260</v>
      </c>
      <c r="D4595" s="25">
        <v>0.0</v>
      </c>
      <c r="E4595" s="27"/>
      <c r="F4595" s="25">
        <v>0.0</v>
      </c>
      <c r="G4595" s="27"/>
    </row>
    <row r="4596" hidden="1">
      <c r="A4596" s="21"/>
      <c r="B4596" s="21" t="s">
        <v>5261</v>
      </c>
      <c r="D4596" s="25">
        <v>0.0</v>
      </c>
      <c r="E4596" s="27"/>
      <c r="F4596" s="25">
        <v>0.0</v>
      </c>
      <c r="G4596" s="27"/>
    </row>
    <row r="4597" hidden="1">
      <c r="A4597" s="21"/>
      <c r="B4597" s="21" t="s">
        <v>5262</v>
      </c>
      <c r="D4597" s="25">
        <v>0.0</v>
      </c>
      <c r="E4597" s="27"/>
      <c r="F4597" s="25">
        <v>0.0</v>
      </c>
      <c r="G4597" s="27"/>
    </row>
    <row r="4598" hidden="1">
      <c r="A4598" s="21"/>
      <c r="B4598" s="21" t="s">
        <v>5263</v>
      </c>
      <c r="D4598" s="25">
        <v>0.0</v>
      </c>
      <c r="E4598" s="27"/>
      <c r="F4598" s="25">
        <v>0.0</v>
      </c>
      <c r="G4598" s="27"/>
    </row>
    <row r="4599" hidden="1">
      <c r="A4599" s="21"/>
      <c r="B4599" s="21" t="s">
        <v>5264</v>
      </c>
      <c r="D4599" s="25">
        <v>0.0</v>
      </c>
      <c r="E4599" s="27"/>
      <c r="F4599" s="25">
        <v>0.0</v>
      </c>
      <c r="G4599" s="27"/>
    </row>
    <row r="4600" hidden="1">
      <c r="A4600" s="21"/>
      <c r="B4600" s="21" t="s">
        <v>5265</v>
      </c>
      <c r="D4600" s="25">
        <v>0.0</v>
      </c>
      <c r="E4600" s="27"/>
      <c r="F4600" s="25">
        <v>0.0</v>
      </c>
      <c r="G4600" s="27"/>
    </row>
    <row r="4601" hidden="1">
      <c r="A4601" s="21"/>
      <c r="B4601" s="21" t="s">
        <v>5266</v>
      </c>
      <c r="D4601" s="25">
        <v>0.0</v>
      </c>
      <c r="E4601" s="27"/>
      <c r="F4601" s="25">
        <v>0.0</v>
      </c>
      <c r="G4601" s="27"/>
    </row>
    <row r="4602" hidden="1">
      <c r="A4602" s="21"/>
      <c r="B4602" s="21" t="s">
        <v>5267</v>
      </c>
      <c r="D4602" s="25">
        <v>0.0</v>
      </c>
      <c r="E4602" s="27"/>
      <c r="F4602" s="25">
        <v>6.44</v>
      </c>
      <c r="G4602" s="27"/>
    </row>
    <row r="4603" hidden="1">
      <c r="A4603" s="21"/>
      <c r="B4603" s="21" t="s">
        <v>5268</v>
      </c>
      <c r="D4603" s="25">
        <v>0.0</v>
      </c>
      <c r="E4603" s="27"/>
      <c r="F4603" s="25">
        <v>0.0</v>
      </c>
      <c r="G4603" s="27"/>
    </row>
    <row r="4604" hidden="1">
      <c r="A4604" s="21"/>
      <c r="B4604" s="21" t="s">
        <v>5269</v>
      </c>
      <c r="D4604" s="25">
        <v>0.0</v>
      </c>
      <c r="E4604" s="27"/>
      <c r="F4604" s="25">
        <v>0.0</v>
      </c>
      <c r="G4604" s="27"/>
    </row>
    <row r="4605" hidden="1">
      <c r="A4605" s="21"/>
      <c r="B4605" s="21" t="s">
        <v>5270</v>
      </c>
      <c r="D4605" s="25">
        <v>0.0</v>
      </c>
      <c r="E4605" s="27"/>
      <c r="F4605" s="25">
        <v>0.0</v>
      </c>
      <c r="G4605" s="27"/>
    </row>
    <row r="4606" hidden="1">
      <c r="A4606" s="21"/>
      <c r="B4606" s="21" t="s">
        <v>5271</v>
      </c>
      <c r="D4606" s="25">
        <v>0.0</v>
      </c>
      <c r="E4606" s="27"/>
      <c r="F4606" s="25">
        <v>0.0</v>
      </c>
      <c r="G4606" s="27"/>
    </row>
    <row r="4607" hidden="1">
      <c r="A4607" s="21"/>
      <c r="B4607" s="21" t="s">
        <v>5272</v>
      </c>
      <c r="D4607" s="25">
        <v>0.0</v>
      </c>
      <c r="E4607" s="27"/>
      <c r="F4607" s="25">
        <v>0.0</v>
      </c>
      <c r="G4607" s="27"/>
    </row>
    <row r="4608" hidden="1">
      <c r="A4608" s="21"/>
      <c r="B4608" s="21" t="s">
        <v>5273</v>
      </c>
      <c r="D4608" s="25">
        <v>0.0</v>
      </c>
      <c r="E4608" s="27"/>
      <c r="F4608" s="25">
        <v>0.0</v>
      </c>
      <c r="G4608" s="27"/>
    </row>
    <row r="4609" hidden="1">
      <c r="A4609" s="21"/>
      <c r="B4609" s="21" t="s">
        <v>5274</v>
      </c>
      <c r="D4609" s="25">
        <v>0.0</v>
      </c>
      <c r="E4609" s="27"/>
      <c r="F4609" s="25">
        <v>0.0</v>
      </c>
      <c r="G4609" s="27"/>
    </row>
    <row r="4610" hidden="1">
      <c r="A4610" s="21"/>
      <c r="B4610" s="21" t="s">
        <v>5275</v>
      </c>
      <c r="D4610" s="25">
        <v>0.0</v>
      </c>
      <c r="E4610" s="27"/>
      <c r="F4610" s="25">
        <v>0.0</v>
      </c>
      <c r="G4610" s="27"/>
    </row>
    <row r="4611" hidden="1">
      <c r="A4611" s="21"/>
      <c r="B4611" s="21" t="s">
        <v>5276</v>
      </c>
      <c r="D4611" s="25">
        <v>0.0</v>
      </c>
      <c r="E4611" s="27"/>
      <c r="F4611" s="25">
        <v>0.0</v>
      </c>
      <c r="G4611" s="27"/>
    </row>
    <row r="4612" hidden="1">
      <c r="A4612" s="21"/>
      <c r="B4612" s="21" t="s">
        <v>5277</v>
      </c>
      <c r="D4612" s="25">
        <v>0.0</v>
      </c>
      <c r="E4612" s="27"/>
      <c r="F4612" s="25">
        <v>0.0</v>
      </c>
      <c r="G4612" s="27"/>
    </row>
    <row r="4613" hidden="1">
      <c r="A4613" s="21"/>
      <c r="B4613" s="21" t="s">
        <v>5278</v>
      </c>
      <c r="D4613" s="25">
        <v>0.0</v>
      </c>
      <c r="E4613" s="27"/>
      <c r="F4613" s="25">
        <v>0.0</v>
      </c>
      <c r="G4613" s="27"/>
    </row>
    <row r="4614" hidden="1">
      <c r="A4614" s="21"/>
      <c r="B4614" s="21" t="s">
        <v>5279</v>
      </c>
      <c r="D4614" s="25">
        <v>0.0</v>
      </c>
      <c r="E4614" s="27"/>
      <c r="F4614" s="25">
        <v>0.0</v>
      </c>
      <c r="G4614" s="27"/>
    </row>
    <row r="4615" hidden="1">
      <c r="A4615" s="21"/>
      <c r="B4615" s="21" t="s">
        <v>5280</v>
      </c>
      <c r="D4615" s="25">
        <v>0.0</v>
      </c>
      <c r="E4615" s="27"/>
      <c r="F4615" s="25">
        <v>0.0</v>
      </c>
      <c r="G4615" s="27"/>
    </row>
    <row r="4616" hidden="1">
      <c r="A4616" s="21"/>
      <c r="B4616" s="21" t="s">
        <v>5281</v>
      </c>
      <c r="D4616" s="25">
        <v>0.0</v>
      </c>
      <c r="E4616" s="27"/>
      <c r="F4616" s="25">
        <v>0.0</v>
      </c>
      <c r="G4616" s="27"/>
    </row>
    <row r="4617" hidden="1">
      <c r="A4617" s="21"/>
      <c r="B4617" s="21" t="s">
        <v>5282</v>
      </c>
      <c r="D4617" s="25">
        <v>0.0</v>
      </c>
      <c r="E4617" s="27"/>
      <c r="F4617" s="25">
        <v>0.0</v>
      </c>
      <c r="G4617" s="27"/>
    </row>
    <row r="4618" hidden="1">
      <c r="A4618" s="21"/>
      <c r="B4618" s="21" t="s">
        <v>5283</v>
      </c>
      <c r="D4618" s="25">
        <v>0.0</v>
      </c>
      <c r="E4618" s="27"/>
      <c r="F4618" s="25">
        <v>0.0</v>
      </c>
      <c r="G4618" s="27"/>
    </row>
    <row r="4619" hidden="1">
      <c r="A4619" s="21"/>
      <c r="B4619" s="21" t="s">
        <v>5284</v>
      </c>
      <c r="D4619" s="25">
        <v>0.0</v>
      </c>
      <c r="E4619" s="27"/>
      <c r="F4619" s="25">
        <v>0.0</v>
      </c>
      <c r="G4619" s="27"/>
    </row>
    <row r="4620" hidden="1">
      <c r="A4620" s="21"/>
      <c r="B4620" s="21" t="s">
        <v>5285</v>
      </c>
      <c r="D4620" s="25">
        <v>0.0</v>
      </c>
      <c r="E4620" s="27"/>
      <c r="F4620" s="25">
        <v>0.0</v>
      </c>
      <c r="G4620" s="27"/>
    </row>
    <row r="4621" hidden="1">
      <c r="A4621" s="21"/>
      <c r="B4621" s="21" t="s">
        <v>5286</v>
      </c>
      <c r="D4621" s="25">
        <v>0.0</v>
      </c>
      <c r="E4621" s="27"/>
      <c r="F4621" s="25">
        <v>0.0</v>
      </c>
      <c r="G4621" s="27"/>
    </row>
    <row r="4622" hidden="1">
      <c r="A4622" s="21"/>
      <c r="B4622" s="21" t="s">
        <v>5287</v>
      </c>
      <c r="D4622" s="25">
        <v>0.0</v>
      </c>
      <c r="E4622" s="27"/>
      <c r="F4622" s="25">
        <v>0.0</v>
      </c>
      <c r="G4622" s="27"/>
    </row>
    <row r="4623" hidden="1">
      <c r="A4623" s="21"/>
      <c r="B4623" s="21" t="s">
        <v>5288</v>
      </c>
      <c r="D4623" s="25">
        <v>0.0</v>
      </c>
      <c r="E4623" s="27"/>
      <c r="F4623" s="25">
        <v>0.0</v>
      </c>
      <c r="G4623" s="27"/>
    </row>
    <row r="4624" hidden="1">
      <c r="A4624" s="21"/>
      <c r="B4624" s="21" t="s">
        <v>5289</v>
      </c>
      <c r="D4624" s="25">
        <v>0.0</v>
      </c>
      <c r="E4624" s="27"/>
      <c r="F4624" s="25">
        <v>0.0</v>
      </c>
      <c r="G4624" s="27"/>
    </row>
    <row r="4625" hidden="1">
      <c r="A4625" s="21"/>
      <c r="B4625" s="21" t="s">
        <v>5290</v>
      </c>
      <c r="D4625" s="25">
        <v>0.0</v>
      </c>
      <c r="E4625" s="27"/>
      <c r="F4625" s="25">
        <v>0.0</v>
      </c>
      <c r="G4625" s="27"/>
    </row>
    <row r="4626" hidden="1">
      <c r="A4626" s="21"/>
      <c r="B4626" s="21" t="s">
        <v>5291</v>
      </c>
      <c r="D4626" s="25">
        <v>0.0</v>
      </c>
      <c r="E4626" s="27"/>
      <c r="F4626" s="25">
        <v>0.0</v>
      </c>
      <c r="G4626" s="27"/>
    </row>
    <row r="4627" hidden="1">
      <c r="A4627" s="21"/>
      <c r="B4627" s="21" t="s">
        <v>5292</v>
      </c>
      <c r="D4627" s="25">
        <v>0.0</v>
      </c>
      <c r="E4627" s="27"/>
      <c r="F4627" s="25">
        <v>0.0</v>
      </c>
      <c r="G4627" s="27"/>
    </row>
    <row r="4628" hidden="1">
      <c r="A4628" s="21"/>
      <c r="B4628" s="21" t="s">
        <v>5293</v>
      </c>
      <c r="D4628" s="25">
        <v>0.0</v>
      </c>
      <c r="E4628" s="27"/>
      <c r="F4628" s="25">
        <v>0.0</v>
      </c>
      <c r="G4628" s="27"/>
    </row>
    <row r="4629" hidden="1">
      <c r="A4629" s="21"/>
      <c r="B4629" s="21" t="s">
        <v>5294</v>
      </c>
      <c r="D4629" s="25">
        <v>0.0</v>
      </c>
      <c r="E4629" s="27"/>
      <c r="F4629" s="25">
        <v>2.3</v>
      </c>
      <c r="G4629" s="27"/>
    </row>
    <row r="4630" hidden="1">
      <c r="A4630" s="21"/>
      <c r="B4630" s="21" t="s">
        <v>5295</v>
      </c>
      <c r="D4630" s="25">
        <v>0.0</v>
      </c>
      <c r="E4630" s="27"/>
      <c r="F4630" s="25">
        <v>0.0</v>
      </c>
      <c r="G4630" s="27"/>
    </row>
    <row r="4631" hidden="1">
      <c r="A4631" s="21"/>
      <c r="B4631" s="21" t="s">
        <v>5296</v>
      </c>
      <c r="D4631" s="25">
        <v>0.0</v>
      </c>
      <c r="E4631" s="27"/>
      <c r="F4631" s="25">
        <v>8.12</v>
      </c>
      <c r="G4631" s="27"/>
    </row>
    <row r="4632" hidden="1">
      <c r="A4632" s="21"/>
      <c r="B4632" s="21" t="s">
        <v>5297</v>
      </c>
      <c r="D4632" s="25">
        <v>0.0</v>
      </c>
      <c r="E4632" s="27"/>
      <c r="F4632" s="25">
        <v>0.0</v>
      </c>
      <c r="G4632" s="27"/>
    </row>
    <row r="4633" hidden="1">
      <c r="A4633" s="21"/>
      <c r="B4633" s="21" t="s">
        <v>5298</v>
      </c>
      <c r="D4633" s="25">
        <v>0.0</v>
      </c>
      <c r="E4633" s="27"/>
      <c r="F4633" s="25">
        <v>0.0</v>
      </c>
      <c r="G4633" s="27"/>
    </row>
    <row r="4634" hidden="1">
      <c r="A4634" s="21"/>
      <c r="B4634" s="21" t="s">
        <v>5299</v>
      </c>
      <c r="D4634" s="25">
        <v>0.0</v>
      </c>
      <c r="E4634" s="27"/>
      <c r="F4634" s="25">
        <v>0.0</v>
      </c>
      <c r="G4634" s="27"/>
    </row>
    <row r="4635" hidden="1">
      <c r="A4635" s="21"/>
      <c r="B4635" s="21" t="s">
        <v>5300</v>
      </c>
      <c r="D4635" s="25">
        <v>0.0</v>
      </c>
      <c r="E4635" s="27"/>
      <c r="F4635" s="25">
        <v>0.0</v>
      </c>
      <c r="G4635" s="27"/>
    </row>
    <row r="4636" hidden="1">
      <c r="A4636" s="21"/>
      <c r="B4636" s="21" t="s">
        <v>5301</v>
      </c>
      <c r="D4636" s="25">
        <v>0.0</v>
      </c>
      <c r="E4636" s="27"/>
      <c r="F4636" s="25">
        <v>0.0</v>
      </c>
      <c r="G4636" s="27"/>
    </row>
    <row r="4637" hidden="1">
      <c r="A4637" s="21"/>
      <c r="B4637" s="21" t="s">
        <v>5302</v>
      </c>
      <c r="D4637" s="25">
        <v>0.0</v>
      </c>
      <c r="E4637" s="27"/>
      <c r="F4637" s="25">
        <v>0.0</v>
      </c>
      <c r="G4637" s="27"/>
    </row>
    <row r="4638" hidden="1">
      <c r="A4638" s="21"/>
      <c r="B4638" s="21" t="s">
        <v>5303</v>
      </c>
      <c r="D4638" s="25">
        <v>0.0</v>
      </c>
      <c r="E4638" s="27"/>
      <c r="F4638" s="25">
        <v>0.0</v>
      </c>
      <c r="G4638" s="27"/>
    </row>
    <row r="4639" hidden="1">
      <c r="A4639" s="21"/>
      <c r="B4639" s="21" t="s">
        <v>5304</v>
      </c>
      <c r="D4639" s="25">
        <v>0.0</v>
      </c>
      <c r="E4639" s="27"/>
      <c r="F4639" s="25">
        <v>0.0</v>
      </c>
      <c r="G4639" s="27"/>
    </row>
    <row r="4640" hidden="1">
      <c r="A4640" s="21"/>
      <c r="B4640" s="21" t="s">
        <v>5305</v>
      </c>
      <c r="D4640" s="25">
        <v>0.0</v>
      </c>
      <c r="E4640" s="27"/>
      <c r="F4640" s="25">
        <v>0.0</v>
      </c>
      <c r="G4640" s="27"/>
    </row>
    <row r="4641" hidden="1">
      <c r="A4641" s="21"/>
      <c r="B4641" s="21" t="s">
        <v>5306</v>
      </c>
      <c r="D4641" s="25">
        <v>0.0</v>
      </c>
      <c r="E4641" s="27"/>
      <c r="F4641" s="25">
        <v>0.0</v>
      </c>
      <c r="G4641" s="27"/>
    </row>
    <row r="4642" hidden="1">
      <c r="A4642" s="21"/>
      <c r="B4642" s="21" t="s">
        <v>5307</v>
      </c>
      <c r="D4642" s="25">
        <v>0.0</v>
      </c>
      <c r="E4642" s="27"/>
      <c r="F4642" s="25">
        <v>3.32</v>
      </c>
      <c r="G4642" s="27"/>
    </row>
    <row r="4643" hidden="1">
      <c r="A4643" s="21"/>
      <c r="B4643" s="21" t="s">
        <v>5308</v>
      </c>
      <c r="D4643" s="25">
        <v>0.0</v>
      </c>
      <c r="E4643" s="27"/>
      <c r="F4643" s="25">
        <v>0.0</v>
      </c>
      <c r="G4643" s="27"/>
    </row>
    <row r="4644" hidden="1">
      <c r="A4644" s="21"/>
      <c r="B4644" s="21" t="s">
        <v>5309</v>
      </c>
      <c r="D4644" s="25">
        <v>0.0</v>
      </c>
      <c r="E4644" s="27"/>
      <c r="F4644" s="25">
        <v>0.0</v>
      </c>
      <c r="G4644" s="27"/>
    </row>
    <row r="4645" hidden="1">
      <c r="A4645" s="21"/>
      <c r="B4645" s="21" t="s">
        <v>5310</v>
      </c>
      <c r="D4645" s="25">
        <v>0.0</v>
      </c>
      <c r="E4645" s="27"/>
      <c r="F4645" s="25">
        <v>0.0</v>
      </c>
      <c r="G4645" s="27"/>
    </row>
    <row r="4646" hidden="1">
      <c r="A4646" s="21"/>
      <c r="B4646" s="21" t="s">
        <v>5311</v>
      </c>
      <c r="D4646" s="25">
        <v>0.0</v>
      </c>
      <c r="E4646" s="27"/>
      <c r="F4646" s="25">
        <v>0.0</v>
      </c>
      <c r="G4646" s="27"/>
    </row>
    <row r="4647" hidden="1">
      <c r="A4647" s="21"/>
      <c r="B4647" s="21" t="s">
        <v>5312</v>
      </c>
      <c r="D4647" s="25">
        <v>0.0</v>
      </c>
      <c r="E4647" s="27"/>
      <c r="F4647" s="25">
        <v>0.0</v>
      </c>
      <c r="G4647" s="27"/>
    </row>
    <row r="4648" hidden="1">
      <c r="A4648" s="21"/>
      <c r="B4648" s="21" t="s">
        <v>5313</v>
      </c>
      <c r="D4648" s="25">
        <v>0.0</v>
      </c>
      <c r="E4648" s="27"/>
      <c r="F4648" s="25">
        <v>0.0</v>
      </c>
      <c r="G4648" s="27"/>
    </row>
    <row r="4649" hidden="1">
      <c r="A4649" s="21"/>
      <c r="B4649" s="21" t="s">
        <v>5314</v>
      </c>
      <c r="D4649" s="25">
        <v>0.0</v>
      </c>
      <c r="E4649" s="27"/>
      <c r="F4649" s="25">
        <v>0.0</v>
      </c>
      <c r="G4649" s="27"/>
    </row>
    <row r="4650" hidden="1">
      <c r="A4650" s="21"/>
      <c r="B4650" s="21" t="s">
        <v>5315</v>
      </c>
      <c r="D4650" s="25">
        <v>0.0</v>
      </c>
      <c r="E4650" s="27"/>
      <c r="F4650" s="25">
        <v>0.0</v>
      </c>
      <c r="G4650" s="27"/>
    </row>
    <row r="4651" hidden="1">
      <c r="A4651" s="21"/>
      <c r="B4651" s="21" t="s">
        <v>5316</v>
      </c>
      <c r="D4651" s="25">
        <v>0.0</v>
      </c>
      <c r="E4651" s="27"/>
      <c r="F4651" s="25">
        <v>0.0</v>
      </c>
      <c r="G4651" s="27"/>
    </row>
    <row r="4652" hidden="1">
      <c r="A4652" s="21"/>
      <c r="B4652" s="21" t="s">
        <v>5317</v>
      </c>
      <c r="D4652" s="25">
        <v>0.0</v>
      </c>
      <c r="E4652" s="27"/>
      <c r="F4652" s="25">
        <v>0.0</v>
      </c>
      <c r="G4652" s="27"/>
    </row>
    <row r="4653" hidden="1">
      <c r="A4653" s="21"/>
      <c r="B4653" s="21" t="s">
        <v>5318</v>
      </c>
      <c r="D4653" s="25">
        <v>0.0</v>
      </c>
      <c r="E4653" s="27"/>
      <c r="F4653" s="25">
        <v>0.0</v>
      </c>
      <c r="G4653" s="27"/>
    </row>
    <row r="4654" hidden="1">
      <c r="A4654" s="21"/>
      <c r="B4654" s="21" t="s">
        <v>5319</v>
      </c>
      <c r="D4654" s="25">
        <v>0.0</v>
      </c>
      <c r="E4654" s="27"/>
      <c r="F4654" s="25">
        <v>0.0</v>
      </c>
      <c r="G4654" s="27"/>
    </row>
    <row r="4655" hidden="1">
      <c r="A4655" s="21"/>
      <c r="B4655" s="21" t="s">
        <v>5320</v>
      </c>
      <c r="D4655" s="25">
        <v>0.0</v>
      </c>
      <c r="E4655" s="27"/>
      <c r="F4655" s="25">
        <v>0.0</v>
      </c>
      <c r="G4655" s="27"/>
    </row>
    <row r="4656" hidden="1">
      <c r="A4656" s="21"/>
      <c r="B4656" s="21" t="s">
        <v>5321</v>
      </c>
      <c r="D4656" s="25">
        <v>0.0</v>
      </c>
      <c r="E4656" s="27"/>
      <c r="F4656" s="25">
        <v>0.0</v>
      </c>
      <c r="G4656" s="27"/>
    </row>
    <row r="4657" hidden="1">
      <c r="A4657" s="21"/>
      <c r="B4657" s="21" t="s">
        <v>5322</v>
      </c>
      <c r="D4657" s="25">
        <v>0.0</v>
      </c>
      <c r="E4657" s="27"/>
      <c r="F4657" s="25">
        <v>0.0</v>
      </c>
      <c r="G4657" s="27"/>
    </row>
    <row r="4658" hidden="1">
      <c r="A4658" s="21"/>
      <c r="B4658" s="21" t="s">
        <v>5323</v>
      </c>
      <c r="D4658" s="25">
        <v>0.0</v>
      </c>
      <c r="E4658" s="27"/>
      <c r="F4658" s="25">
        <v>0.0</v>
      </c>
      <c r="G4658" s="27"/>
    </row>
    <row r="4659" hidden="1">
      <c r="A4659" s="21"/>
      <c r="B4659" s="21" t="s">
        <v>5324</v>
      </c>
      <c r="D4659" s="25">
        <v>0.0</v>
      </c>
      <c r="E4659" s="27"/>
      <c r="F4659" s="25">
        <v>0.0</v>
      </c>
      <c r="G4659" s="27"/>
    </row>
    <row r="4660" hidden="1">
      <c r="A4660" s="21"/>
      <c r="B4660" s="21" t="s">
        <v>5325</v>
      </c>
      <c r="D4660" s="25">
        <v>0.0</v>
      </c>
      <c r="E4660" s="27"/>
      <c r="F4660" s="25">
        <v>0.0</v>
      </c>
      <c r="G4660" s="27"/>
    </row>
    <row r="4661" hidden="1">
      <c r="A4661" s="21"/>
      <c r="B4661" s="21" t="s">
        <v>5326</v>
      </c>
      <c r="D4661" s="25">
        <v>0.0</v>
      </c>
      <c r="E4661" s="27"/>
      <c r="F4661" s="25">
        <v>0.0</v>
      </c>
      <c r="G4661" s="27"/>
    </row>
    <row r="4662" hidden="1">
      <c r="A4662" s="21"/>
      <c r="B4662" s="21" t="s">
        <v>5327</v>
      </c>
      <c r="D4662" s="25">
        <v>0.0</v>
      </c>
      <c r="E4662" s="27"/>
      <c r="F4662" s="25">
        <v>0.0</v>
      </c>
      <c r="G4662" s="27"/>
    </row>
    <row r="4663" hidden="1">
      <c r="A4663" s="21"/>
      <c r="B4663" s="21" t="s">
        <v>5328</v>
      </c>
      <c r="D4663" s="25">
        <v>0.0</v>
      </c>
      <c r="E4663" s="27"/>
      <c r="F4663" s="25">
        <v>0.0</v>
      </c>
      <c r="G4663" s="27"/>
    </row>
    <row r="4664" hidden="1">
      <c r="A4664" s="21"/>
      <c r="B4664" s="21" t="s">
        <v>5329</v>
      </c>
      <c r="D4664" s="25">
        <v>0.0</v>
      </c>
      <c r="E4664" s="27"/>
      <c r="F4664" s="25">
        <v>0.0</v>
      </c>
      <c r="G4664" s="27"/>
    </row>
    <row r="4665" hidden="1">
      <c r="A4665" s="21"/>
      <c r="B4665" s="21" t="s">
        <v>5330</v>
      </c>
      <c r="D4665" s="25">
        <v>0.0</v>
      </c>
      <c r="E4665" s="27"/>
      <c r="F4665" s="25">
        <v>0.0</v>
      </c>
      <c r="G4665" s="27"/>
    </row>
    <row r="4666" hidden="1">
      <c r="A4666" s="21"/>
      <c r="B4666" s="21" t="s">
        <v>5331</v>
      </c>
      <c r="D4666" s="25">
        <v>0.0</v>
      </c>
      <c r="E4666" s="27"/>
      <c r="F4666" s="25">
        <v>0.0</v>
      </c>
      <c r="G4666" s="27"/>
    </row>
    <row r="4667" hidden="1">
      <c r="A4667" s="21"/>
      <c r="B4667" s="21" t="s">
        <v>5332</v>
      </c>
      <c r="D4667" s="25">
        <v>0.0</v>
      </c>
      <c r="E4667" s="27"/>
      <c r="F4667" s="25">
        <v>1.69</v>
      </c>
      <c r="G4667" s="27"/>
    </row>
    <row r="4668" hidden="1">
      <c r="A4668" s="21"/>
      <c r="B4668" s="21" t="s">
        <v>5333</v>
      </c>
      <c r="D4668" s="25">
        <v>0.0</v>
      </c>
      <c r="E4668" s="27"/>
      <c r="F4668" s="25">
        <v>0.0</v>
      </c>
      <c r="G4668" s="27"/>
    </row>
    <row r="4669" hidden="1">
      <c r="A4669" s="21"/>
      <c r="B4669" s="21" t="s">
        <v>5334</v>
      </c>
      <c r="D4669" s="25">
        <v>0.0</v>
      </c>
      <c r="E4669" s="27"/>
      <c r="F4669" s="25">
        <v>0.0</v>
      </c>
      <c r="G4669" s="27"/>
    </row>
    <row r="4670" hidden="1">
      <c r="A4670" s="21"/>
      <c r="B4670" s="21" t="s">
        <v>5335</v>
      </c>
      <c r="D4670" s="25">
        <v>0.0</v>
      </c>
      <c r="E4670" s="27"/>
      <c r="F4670" s="25">
        <v>0.0</v>
      </c>
      <c r="G4670" s="27"/>
    </row>
    <row r="4671" hidden="1">
      <c r="A4671" s="21"/>
      <c r="B4671" s="21" t="s">
        <v>5336</v>
      </c>
      <c r="D4671" s="25">
        <v>0.0</v>
      </c>
      <c r="E4671" s="27"/>
      <c r="F4671" s="25">
        <v>0.0</v>
      </c>
      <c r="G4671" s="27"/>
    </row>
    <row r="4672" hidden="1">
      <c r="A4672" s="21"/>
      <c r="B4672" s="21" t="s">
        <v>5337</v>
      </c>
      <c r="D4672" s="25">
        <v>0.0</v>
      </c>
      <c r="E4672" s="27"/>
      <c r="F4672" s="25">
        <v>0.0</v>
      </c>
      <c r="G4672" s="27"/>
    </row>
    <row r="4673" hidden="1">
      <c r="A4673" s="21"/>
      <c r="B4673" s="21" t="s">
        <v>5338</v>
      </c>
      <c r="D4673" s="25">
        <v>0.0</v>
      </c>
      <c r="E4673" s="27"/>
      <c r="F4673" s="25">
        <v>0.0</v>
      </c>
      <c r="G4673" s="27"/>
    </row>
    <row r="4674" hidden="1">
      <c r="A4674" s="21"/>
      <c r="B4674" s="21" t="s">
        <v>5339</v>
      </c>
      <c r="D4674" s="25">
        <v>0.0</v>
      </c>
      <c r="E4674" s="27"/>
      <c r="F4674" s="25">
        <v>0.0</v>
      </c>
      <c r="G4674" s="27"/>
    </row>
    <row r="4675" hidden="1">
      <c r="A4675" s="21"/>
      <c r="B4675" s="21" t="s">
        <v>5340</v>
      </c>
      <c r="D4675" s="25">
        <v>0.0</v>
      </c>
      <c r="E4675" s="27"/>
      <c r="F4675" s="25">
        <v>0.0</v>
      </c>
      <c r="G4675" s="27"/>
    </row>
    <row r="4676" hidden="1">
      <c r="A4676" s="21"/>
      <c r="B4676" s="21" t="s">
        <v>5341</v>
      </c>
      <c r="D4676" s="25">
        <v>0.0</v>
      </c>
      <c r="E4676" s="27"/>
      <c r="F4676" s="25">
        <v>0.0</v>
      </c>
      <c r="G4676" s="27"/>
    </row>
    <row r="4677" hidden="1">
      <c r="A4677" s="21"/>
      <c r="B4677" s="21" t="s">
        <v>5342</v>
      </c>
      <c r="D4677" s="25">
        <v>0.0</v>
      </c>
      <c r="E4677" s="27"/>
      <c r="F4677" s="25">
        <v>0.0</v>
      </c>
      <c r="G4677" s="27"/>
    </row>
    <row r="4678" hidden="1">
      <c r="A4678" s="21"/>
      <c r="B4678" s="21" t="s">
        <v>5343</v>
      </c>
      <c r="D4678" s="25">
        <v>0.0</v>
      </c>
      <c r="E4678" s="27"/>
      <c r="F4678" s="25">
        <v>0.0</v>
      </c>
      <c r="G4678" s="27"/>
    </row>
    <row r="4679" hidden="1">
      <c r="A4679" s="21"/>
      <c r="B4679" s="21" t="s">
        <v>5344</v>
      </c>
      <c r="D4679" s="25">
        <v>0.0</v>
      </c>
      <c r="E4679" s="27"/>
      <c r="F4679" s="25">
        <v>0.0</v>
      </c>
      <c r="G4679" s="27"/>
    </row>
    <row r="4680" hidden="1">
      <c r="A4680" s="21"/>
      <c r="B4680" s="21" t="s">
        <v>5345</v>
      </c>
      <c r="D4680" s="25">
        <v>0.0</v>
      </c>
      <c r="E4680" s="27"/>
      <c r="F4680" s="25">
        <v>0.0</v>
      </c>
      <c r="G4680" s="27"/>
    </row>
    <row r="4681" hidden="1">
      <c r="A4681" s="21"/>
      <c r="B4681" s="21" t="s">
        <v>5346</v>
      </c>
      <c r="D4681" s="25">
        <v>0.0</v>
      </c>
      <c r="E4681" s="27"/>
      <c r="F4681" s="25">
        <v>0.0</v>
      </c>
      <c r="G4681" s="27"/>
    </row>
    <row r="4682" hidden="1">
      <c r="A4682" s="21"/>
      <c r="B4682" s="21" t="s">
        <v>5347</v>
      </c>
      <c r="D4682" s="25">
        <v>0.0</v>
      </c>
      <c r="E4682" s="27"/>
      <c r="F4682" s="25">
        <v>0.0</v>
      </c>
      <c r="G4682" s="27"/>
    </row>
    <row r="4683" hidden="1">
      <c r="A4683" s="21"/>
      <c r="B4683" s="21" t="s">
        <v>5348</v>
      </c>
      <c r="D4683" s="25">
        <v>0.0</v>
      </c>
      <c r="E4683" s="27"/>
      <c r="F4683" s="25">
        <v>5.48</v>
      </c>
      <c r="G4683" s="27"/>
    </row>
    <row r="4684" hidden="1">
      <c r="A4684" s="21"/>
      <c r="B4684" s="21" t="s">
        <v>5349</v>
      </c>
      <c r="D4684" s="25">
        <v>0.0</v>
      </c>
      <c r="E4684" s="27"/>
      <c r="F4684" s="25">
        <v>0.0</v>
      </c>
      <c r="G4684" s="27"/>
    </row>
    <row r="4685" hidden="1">
      <c r="A4685" s="21"/>
      <c r="B4685" s="21" t="s">
        <v>5350</v>
      </c>
      <c r="D4685" s="25">
        <v>0.0</v>
      </c>
      <c r="E4685" s="27"/>
      <c r="F4685" s="25">
        <v>0.0</v>
      </c>
      <c r="G4685" s="27"/>
    </row>
    <row r="4686" hidden="1">
      <c r="A4686" s="21"/>
      <c r="B4686" s="21" t="s">
        <v>5351</v>
      </c>
      <c r="D4686" s="25">
        <v>0.0</v>
      </c>
      <c r="E4686" s="27"/>
      <c r="F4686" s="25">
        <v>0.0</v>
      </c>
      <c r="G4686" s="27"/>
    </row>
    <row r="4687" hidden="1">
      <c r="A4687" s="21"/>
      <c r="B4687" s="21" t="s">
        <v>5352</v>
      </c>
      <c r="D4687" s="25">
        <v>0.0</v>
      </c>
      <c r="E4687" s="27"/>
      <c r="F4687" s="25">
        <v>1.32</v>
      </c>
      <c r="G4687" s="27"/>
    </row>
    <row r="4688" hidden="1">
      <c r="A4688" s="21"/>
      <c r="B4688" s="21" t="s">
        <v>5353</v>
      </c>
      <c r="D4688" s="25">
        <v>0.0</v>
      </c>
      <c r="E4688" s="27"/>
      <c r="F4688" s="25">
        <v>0.0</v>
      </c>
      <c r="G4688" s="27"/>
    </row>
    <row r="4689" hidden="1">
      <c r="A4689" s="21"/>
      <c r="B4689" s="21" t="s">
        <v>5354</v>
      </c>
      <c r="D4689" s="25">
        <v>0.0</v>
      </c>
      <c r="E4689" s="27"/>
      <c r="F4689" s="25">
        <v>0.0</v>
      </c>
      <c r="G4689" s="27"/>
    </row>
    <row r="4690" hidden="1">
      <c r="A4690" s="21"/>
      <c r="B4690" s="21" t="s">
        <v>5355</v>
      </c>
      <c r="D4690" s="25">
        <v>0.0</v>
      </c>
      <c r="E4690" s="27"/>
      <c r="F4690" s="25">
        <v>0.0</v>
      </c>
      <c r="G4690" s="27"/>
    </row>
    <row r="4691" hidden="1">
      <c r="A4691" s="21"/>
      <c r="B4691" s="21" t="s">
        <v>5356</v>
      </c>
      <c r="D4691" s="25">
        <v>0.0</v>
      </c>
      <c r="E4691" s="27"/>
      <c r="F4691" s="25">
        <v>0.0</v>
      </c>
      <c r="G4691" s="27"/>
    </row>
    <row r="4692" hidden="1">
      <c r="A4692" s="21"/>
      <c r="B4692" s="21" t="s">
        <v>5357</v>
      </c>
      <c r="D4692" s="25">
        <v>0.0</v>
      </c>
      <c r="E4692" s="27"/>
      <c r="F4692" s="25">
        <v>0.0</v>
      </c>
      <c r="G4692" s="27"/>
    </row>
    <row r="4693" hidden="1">
      <c r="A4693" s="21"/>
      <c r="B4693" s="21" t="s">
        <v>5358</v>
      </c>
      <c r="D4693" s="25">
        <v>0.0</v>
      </c>
      <c r="E4693" s="27"/>
      <c r="F4693" s="25">
        <v>0.0</v>
      </c>
      <c r="G4693" s="27"/>
    </row>
    <row r="4694" hidden="1">
      <c r="A4694" s="21"/>
      <c r="B4694" s="21" t="s">
        <v>5359</v>
      </c>
      <c r="D4694" s="25">
        <v>0.0</v>
      </c>
      <c r="E4694" s="27"/>
      <c r="F4694" s="25">
        <v>0.0</v>
      </c>
      <c r="G4694" s="27"/>
    </row>
    <row r="4695" hidden="1">
      <c r="A4695" s="21"/>
      <c r="B4695" s="21" t="s">
        <v>5360</v>
      </c>
      <c r="D4695" s="25">
        <v>0.0</v>
      </c>
      <c r="E4695" s="27"/>
      <c r="F4695" s="25">
        <v>0.0</v>
      </c>
      <c r="G4695" s="27"/>
    </row>
    <row r="4696" hidden="1">
      <c r="A4696" s="21"/>
      <c r="B4696" s="21" t="s">
        <v>5361</v>
      </c>
      <c r="D4696" s="25">
        <v>0.0</v>
      </c>
      <c r="E4696" s="27"/>
      <c r="F4696" s="25">
        <v>0.0</v>
      </c>
      <c r="G4696" s="27"/>
    </row>
    <row r="4697" hidden="1">
      <c r="A4697" s="21"/>
      <c r="B4697" s="21" t="s">
        <v>5362</v>
      </c>
      <c r="D4697" s="25">
        <v>0.0</v>
      </c>
      <c r="E4697" s="27"/>
      <c r="F4697" s="25">
        <v>0.0</v>
      </c>
      <c r="G4697" s="27"/>
    </row>
    <row r="4698" hidden="1">
      <c r="A4698" s="21"/>
      <c r="B4698" s="21" t="s">
        <v>5363</v>
      </c>
      <c r="D4698" s="25">
        <v>0.0</v>
      </c>
      <c r="E4698" s="27"/>
      <c r="F4698" s="25">
        <v>0.0</v>
      </c>
      <c r="G4698" s="27"/>
    </row>
    <row r="4699" hidden="1">
      <c r="A4699" s="21"/>
      <c r="B4699" s="21" t="s">
        <v>5364</v>
      </c>
      <c r="D4699" s="25">
        <v>0.0</v>
      </c>
      <c r="E4699" s="27"/>
      <c r="F4699" s="25">
        <v>4.35</v>
      </c>
      <c r="G4699" s="27"/>
    </row>
    <row r="4700" hidden="1">
      <c r="A4700" s="21"/>
      <c r="B4700" s="21" t="s">
        <v>5365</v>
      </c>
      <c r="D4700" s="25">
        <v>0.0</v>
      </c>
      <c r="E4700" s="27"/>
      <c r="F4700" s="25">
        <v>0.0</v>
      </c>
      <c r="G4700" s="27"/>
    </row>
    <row r="4701" hidden="1">
      <c r="A4701" s="21"/>
      <c r="B4701" s="21" t="s">
        <v>5366</v>
      </c>
      <c r="D4701" s="25">
        <v>0.0</v>
      </c>
      <c r="E4701" s="27"/>
      <c r="F4701" s="25">
        <v>0.0</v>
      </c>
      <c r="G4701" s="27"/>
    </row>
    <row r="4702" hidden="1">
      <c r="A4702" s="21"/>
      <c r="B4702" s="21" t="s">
        <v>5367</v>
      </c>
      <c r="D4702" s="25">
        <v>0.0</v>
      </c>
      <c r="E4702" s="27"/>
      <c r="F4702" s="25">
        <v>0.0</v>
      </c>
      <c r="G4702" s="27"/>
    </row>
    <row r="4703" hidden="1">
      <c r="A4703" s="21"/>
      <c r="B4703" s="21" t="s">
        <v>5368</v>
      </c>
      <c r="D4703" s="25">
        <v>0.0</v>
      </c>
      <c r="E4703" s="27"/>
      <c r="F4703" s="25">
        <v>0.0</v>
      </c>
      <c r="G4703" s="27"/>
    </row>
    <row r="4704" hidden="1">
      <c r="A4704" s="21"/>
      <c r="B4704" s="21" t="s">
        <v>5369</v>
      </c>
      <c r="D4704" s="25">
        <v>0.0</v>
      </c>
      <c r="E4704" s="27"/>
      <c r="F4704" s="25">
        <v>0.0</v>
      </c>
      <c r="G4704" s="27"/>
    </row>
    <row r="4705" hidden="1">
      <c r="A4705" s="21"/>
      <c r="B4705" s="21" t="s">
        <v>5370</v>
      </c>
      <c r="D4705" s="25">
        <v>0.0</v>
      </c>
      <c r="E4705" s="27"/>
      <c r="F4705" s="25">
        <v>8.16</v>
      </c>
      <c r="G4705" s="27"/>
    </row>
    <row r="4706" hidden="1">
      <c r="A4706" s="21"/>
      <c r="B4706" s="21" t="s">
        <v>5371</v>
      </c>
      <c r="D4706" s="25">
        <v>0.0</v>
      </c>
      <c r="E4706" s="27"/>
      <c r="F4706" s="25">
        <v>0.0</v>
      </c>
      <c r="G4706" s="27"/>
    </row>
    <row r="4707" hidden="1">
      <c r="A4707" s="21"/>
      <c r="B4707" s="21" t="s">
        <v>5372</v>
      </c>
      <c r="D4707" s="25">
        <v>0.0</v>
      </c>
      <c r="E4707" s="27"/>
      <c r="F4707" s="25">
        <v>0.0</v>
      </c>
      <c r="G4707" s="27"/>
    </row>
    <row r="4708" hidden="1">
      <c r="A4708" s="21"/>
      <c r="B4708" s="21" t="s">
        <v>5373</v>
      </c>
      <c r="D4708" s="25">
        <v>0.0</v>
      </c>
      <c r="E4708" s="27"/>
      <c r="F4708" s="25">
        <v>0.0</v>
      </c>
      <c r="G4708" s="27"/>
    </row>
    <row r="4709" hidden="1">
      <c r="A4709" s="21"/>
      <c r="B4709" s="21" t="s">
        <v>5374</v>
      </c>
      <c r="D4709" s="25">
        <v>0.0</v>
      </c>
      <c r="E4709" s="27"/>
      <c r="F4709" s="25">
        <v>0.0</v>
      </c>
      <c r="G4709" s="27"/>
    </row>
    <row r="4710" hidden="1">
      <c r="A4710" s="21"/>
      <c r="B4710" s="21" t="s">
        <v>5375</v>
      </c>
      <c r="D4710" s="25">
        <v>0.0</v>
      </c>
      <c r="E4710" s="27"/>
      <c r="F4710" s="25">
        <v>0.0</v>
      </c>
      <c r="G4710" s="27"/>
    </row>
    <row r="4711" hidden="1">
      <c r="A4711" s="21"/>
      <c r="B4711" s="21" t="s">
        <v>5376</v>
      </c>
      <c r="D4711" s="25">
        <v>0.0</v>
      </c>
      <c r="E4711" s="27"/>
      <c r="F4711" s="25">
        <v>0.0</v>
      </c>
      <c r="G4711" s="27"/>
    </row>
    <row r="4712" hidden="1">
      <c r="A4712" s="21"/>
      <c r="B4712" s="21" t="s">
        <v>5377</v>
      </c>
      <c r="D4712" s="25">
        <v>0.0</v>
      </c>
      <c r="E4712" s="27"/>
      <c r="F4712" s="25">
        <v>0.0</v>
      </c>
      <c r="G4712" s="27"/>
    </row>
    <row r="4713" hidden="1">
      <c r="A4713" s="21"/>
      <c r="B4713" s="21" t="s">
        <v>5378</v>
      </c>
      <c r="D4713" s="25">
        <v>0.0</v>
      </c>
      <c r="E4713" s="27"/>
      <c r="F4713" s="25">
        <v>0.0</v>
      </c>
      <c r="G4713" s="27"/>
    </row>
    <row r="4714" hidden="1">
      <c r="A4714" s="21"/>
      <c r="B4714" s="21" t="s">
        <v>5379</v>
      </c>
      <c r="D4714" s="25">
        <v>0.0</v>
      </c>
      <c r="E4714" s="27"/>
      <c r="F4714" s="25">
        <v>0.0</v>
      </c>
      <c r="G4714" s="27"/>
    </row>
    <row r="4715" hidden="1">
      <c r="A4715" s="21"/>
      <c r="B4715" s="21" t="s">
        <v>5380</v>
      </c>
      <c r="D4715" s="25">
        <v>0.0</v>
      </c>
      <c r="E4715" s="27"/>
      <c r="F4715" s="25">
        <v>0.0</v>
      </c>
      <c r="G4715" s="27"/>
    </row>
    <row r="4716" hidden="1">
      <c r="A4716" s="21"/>
      <c r="B4716" s="21" t="s">
        <v>5381</v>
      </c>
      <c r="D4716" s="25">
        <v>0.0</v>
      </c>
      <c r="E4716" s="27"/>
      <c r="F4716" s="25">
        <v>0.0</v>
      </c>
      <c r="G4716" s="27"/>
    </row>
    <row r="4717" hidden="1">
      <c r="A4717" s="21"/>
      <c r="B4717" s="21" t="s">
        <v>5382</v>
      </c>
      <c r="D4717" s="25">
        <v>0.0</v>
      </c>
      <c r="E4717" s="27"/>
      <c r="F4717" s="25">
        <v>0.0</v>
      </c>
      <c r="G4717" s="27"/>
    </row>
    <row r="4718" hidden="1">
      <c r="A4718" s="21"/>
      <c r="B4718" s="21" t="s">
        <v>5383</v>
      </c>
      <c r="D4718" s="25">
        <v>0.0</v>
      </c>
      <c r="E4718" s="27"/>
      <c r="F4718" s="25">
        <v>0.0</v>
      </c>
      <c r="G4718" s="27"/>
    </row>
    <row r="4719" hidden="1">
      <c r="A4719" s="21"/>
      <c r="B4719" s="21" t="s">
        <v>5384</v>
      </c>
      <c r="D4719" s="25">
        <v>0.0</v>
      </c>
      <c r="E4719" s="27"/>
      <c r="F4719" s="25">
        <v>0.0</v>
      </c>
      <c r="G4719" s="27"/>
    </row>
    <row r="4720" hidden="1">
      <c r="A4720" s="21"/>
      <c r="B4720" s="21" t="s">
        <v>5385</v>
      </c>
      <c r="D4720" s="25">
        <v>0.0</v>
      </c>
      <c r="E4720" s="27"/>
      <c r="F4720" s="25">
        <v>0.0</v>
      </c>
      <c r="G4720" s="27"/>
    </row>
    <row r="4721" hidden="1">
      <c r="A4721" s="21"/>
      <c r="B4721" s="21" t="s">
        <v>5386</v>
      </c>
      <c r="D4721" s="25">
        <v>0.0</v>
      </c>
      <c r="E4721" s="27"/>
      <c r="F4721" s="25">
        <v>0.0</v>
      </c>
      <c r="G4721" s="27"/>
    </row>
    <row r="4722" hidden="1">
      <c r="A4722" s="21"/>
      <c r="B4722" s="21" t="s">
        <v>5387</v>
      </c>
      <c r="D4722" s="25">
        <v>0.0</v>
      </c>
      <c r="E4722" s="27"/>
      <c r="F4722" s="25">
        <v>0.0</v>
      </c>
      <c r="G4722" s="27"/>
    </row>
    <row r="4723" hidden="1">
      <c r="A4723" s="21"/>
      <c r="B4723" s="21" t="s">
        <v>5388</v>
      </c>
      <c r="D4723" s="25">
        <v>0.0</v>
      </c>
      <c r="E4723" s="27"/>
      <c r="F4723" s="25">
        <v>0.0</v>
      </c>
      <c r="G4723" s="27"/>
    </row>
    <row r="4724" hidden="1">
      <c r="A4724" s="21"/>
      <c r="B4724" s="21" t="s">
        <v>5389</v>
      </c>
      <c r="D4724" s="25">
        <v>0.0</v>
      </c>
      <c r="E4724" s="27"/>
      <c r="F4724" s="25">
        <v>0.0</v>
      </c>
      <c r="G4724" s="27"/>
    </row>
    <row r="4725" hidden="1">
      <c r="A4725" s="21"/>
      <c r="B4725" s="21" t="s">
        <v>5390</v>
      </c>
      <c r="D4725" s="25">
        <v>0.0</v>
      </c>
      <c r="E4725" s="27"/>
      <c r="F4725" s="25">
        <v>0.0</v>
      </c>
      <c r="G4725" s="27"/>
    </row>
    <row r="4726" hidden="1">
      <c r="A4726" s="21"/>
      <c r="B4726" s="21" t="s">
        <v>803</v>
      </c>
      <c r="D4726" s="25">
        <v>0.0</v>
      </c>
      <c r="E4726" s="27"/>
      <c r="F4726" s="25">
        <v>0.0</v>
      </c>
      <c r="G4726" s="27"/>
    </row>
    <row r="4727" hidden="1">
      <c r="A4727" s="21"/>
      <c r="B4727" s="21" t="s">
        <v>804</v>
      </c>
      <c r="D4727" s="25">
        <v>0.0</v>
      </c>
      <c r="E4727" s="27"/>
      <c r="F4727" s="25">
        <v>0.0</v>
      </c>
      <c r="G4727" s="27"/>
    </row>
    <row r="4728" hidden="1">
      <c r="A4728" s="21"/>
      <c r="B4728" s="21" t="s">
        <v>5391</v>
      </c>
      <c r="D4728" s="25">
        <v>0.0</v>
      </c>
      <c r="E4728" s="27"/>
      <c r="F4728" s="25">
        <v>0.0</v>
      </c>
      <c r="G4728" s="27"/>
    </row>
    <row r="4729" hidden="1">
      <c r="A4729" s="21"/>
      <c r="B4729" s="21" t="s">
        <v>5392</v>
      </c>
      <c r="D4729" s="25">
        <v>0.0</v>
      </c>
      <c r="E4729" s="27"/>
      <c r="F4729" s="25">
        <v>0.0</v>
      </c>
      <c r="G4729" s="27"/>
    </row>
    <row r="4730" hidden="1">
      <c r="A4730" s="21"/>
      <c r="B4730" s="21" t="s">
        <v>5393</v>
      </c>
      <c r="D4730" s="25">
        <v>0.0</v>
      </c>
      <c r="E4730" s="27"/>
      <c r="F4730" s="25">
        <v>0.0</v>
      </c>
      <c r="G4730" s="27"/>
    </row>
    <row r="4731" hidden="1">
      <c r="A4731" s="21"/>
      <c r="B4731" s="21" t="s">
        <v>5394</v>
      </c>
      <c r="D4731" s="25">
        <v>0.0</v>
      </c>
      <c r="E4731" s="27"/>
      <c r="F4731" s="25">
        <v>0.0</v>
      </c>
      <c r="G4731" s="27"/>
    </row>
    <row r="4732" hidden="1">
      <c r="A4732" s="21"/>
      <c r="B4732" s="21" t="s">
        <v>5395</v>
      </c>
      <c r="D4732" s="25">
        <v>0.0</v>
      </c>
      <c r="E4732" s="27"/>
      <c r="F4732" s="25">
        <v>0.0</v>
      </c>
      <c r="G4732" s="27"/>
    </row>
    <row r="4733" hidden="1">
      <c r="A4733" s="21"/>
      <c r="B4733" s="21" t="s">
        <v>5396</v>
      </c>
      <c r="D4733" s="25">
        <v>0.0</v>
      </c>
      <c r="E4733" s="27"/>
      <c r="F4733" s="25">
        <v>0.0</v>
      </c>
      <c r="G4733" s="27"/>
    </row>
    <row r="4734" hidden="1">
      <c r="A4734" s="21"/>
      <c r="B4734" s="21" t="s">
        <v>5397</v>
      </c>
      <c r="D4734" s="25">
        <v>0.0</v>
      </c>
      <c r="E4734" s="27"/>
      <c r="F4734" s="25">
        <v>0.0</v>
      </c>
      <c r="G4734" s="27"/>
    </row>
    <row r="4735" hidden="1">
      <c r="A4735" s="21"/>
      <c r="B4735" s="21" t="s">
        <v>5398</v>
      </c>
      <c r="D4735" s="25">
        <v>0.0</v>
      </c>
      <c r="E4735" s="27"/>
      <c r="F4735" s="25">
        <v>0.0</v>
      </c>
      <c r="G4735" s="27"/>
    </row>
    <row r="4736" hidden="1">
      <c r="A4736" s="21"/>
      <c r="B4736" s="21" t="s">
        <v>5399</v>
      </c>
      <c r="D4736" s="25">
        <v>0.0</v>
      </c>
      <c r="E4736" s="27"/>
      <c r="F4736" s="25">
        <v>0.0</v>
      </c>
      <c r="G4736" s="27"/>
    </row>
    <row r="4737" hidden="1">
      <c r="A4737" s="21"/>
      <c r="B4737" s="21" t="s">
        <v>5400</v>
      </c>
      <c r="D4737" s="25">
        <v>0.0</v>
      </c>
      <c r="E4737" s="27"/>
      <c r="F4737" s="25">
        <v>0.0</v>
      </c>
      <c r="G4737" s="27"/>
    </row>
    <row r="4738" hidden="1">
      <c r="A4738" s="21"/>
      <c r="B4738" s="21" t="s">
        <v>5401</v>
      </c>
      <c r="D4738" s="25">
        <v>0.0</v>
      </c>
      <c r="E4738" s="27"/>
      <c r="F4738" s="25">
        <v>0.0</v>
      </c>
      <c r="G4738" s="27"/>
    </row>
    <row r="4739" hidden="1">
      <c r="A4739" s="21"/>
      <c r="B4739" s="21" t="s">
        <v>5402</v>
      </c>
      <c r="D4739" s="25">
        <v>0.0</v>
      </c>
      <c r="E4739" s="27"/>
      <c r="F4739" s="25">
        <v>0.0</v>
      </c>
      <c r="G4739" s="27"/>
    </row>
    <row r="4740" hidden="1">
      <c r="A4740" s="21"/>
      <c r="B4740" s="21" t="s">
        <v>5403</v>
      </c>
      <c r="D4740" s="25">
        <v>0.0</v>
      </c>
      <c r="E4740" s="27"/>
      <c r="F4740" s="25">
        <v>0.0</v>
      </c>
      <c r="G4740" s="27"/>
    </row>
    <row r="4741" hidden="1">
      <c r="A4741" s="21"/>
      <c r="B4741" s="21" t="s">
        <v>5404</v>
      </c>
      <c r="D4741" s="25">
        <v>0.0</v>
      </c>
      <c r="E4741" s="27"/>
      <c r="F4741" s="25">
        <v>0.0</v>
      </c>
      <c r="G4741" s="27"/>
    </row>
    <row r="4742" hidden="1">
      <c r="A4742" s="21"/>
      <c r="B4742" s="21" t="s">
        <v>5405</v>
      </c>
      <c r="D4742" s="25">
        <v>0.0</v>
      </c>
      <c r="E4742" s="27"/>
      <c r="F4742" s="25">
        <v>0.0</v>
      </c>
      <c r="G4742" s="27"/>
    </row>
    <row r="4743" hidden="1">
      <c r="A4743" s="21"/>
      <c r="B4743" s="21" t="s">
        <v>5406</v>
      </c>
      <c r="D4743" s="25">
        <v>0.0</v>
      </c>
      <c r="E4743" s="27"/>
      <c r="F4743" s="25">
        <v>12.26</v>
      </c>
      <c r="G4743" s="27"/>
    </row>
    <row r="4744" hidden="1">
      <c r="A4744" s="21"/>
      <c r="B4744" s="21" t="s">
        <v>5407</v>
      </c>
      <c r="D4744" s="25">
        <v>0.0</v>
      </c>
      <c r="E4744" s="27"/>
      <c r="F4744" s="25">
        <v>0.0</v>
      </c>
      <c r="G4744" s="27"/>
    </row>
    <row r="4745" hidden="1">
      <c r="A4745" s="21"/>
      <c r="B4745" s="21" t="s">
        <v>5408</v>
      </c>
      <c r="D4745" s="25">
        <v>0.0</v>
      </c>
      <c r="E4745" s="27"/>
      <c r="F4745" s="25">
        <v>0.0</v>
      </c>
      <c r="G4745" s="27"/>
    </row>
    <row r="4746" hidden="1">
      <c r="A4746" s="21"/>
      <c r="B4746" s="21" t="s">
        <v>5409</v>
      </c>
      <c r="D4746" s="25">
        <v>0.0</v>
      </c>
      <c r="E4746" s="27"/>
      <c r="F4746" s="25">
        <v>0.0</v>
      </c>
      <c r="G4746" s="27"/>
    </row>
    <row r="4747" hidden="1">
      <c r="A4747" s="21"/>
      <c r="B4747" s="21" t="s">
        <v>5410</v>
      </c>
      <c r="D4747" s="25">
        <v>0.0</v>
      </c>
      <c r="E4747" s="27"/>
      <c r="F4747" s="25">
        <v>0.0</v>
      </c>
      <c r="G4747" s="27"/>
    </row>
    <row r="4748" hidden="1">
      <c r="A4748" s="21"/>
      <c r="B4748" s="21" t="s">
        <v>5411</v>
      </c>
      <c r="D4748" s="25">
        <v>0.0</v>
      </c>
      <c r="E4748" s="27"/>
      <c r="F4748" s="25">
        <v>0.0</v>
      </c>
      <c r="G4748" s="27"/>
    </row>
    <row r="4749" hidden="1">
      <c r="A4749" s="21"/>
      <c r="B4749" s="21" t="s">
        <v>5412</v>
      </c>
      <c r="D4749" s="25">
        <v>0.0</v>
      </c>
      <c r="E4749" s="27"/>
      <c r="F4749" s="25">
        <v>0.0</v>
      </c>
      <c r="G4749" s="27"/>
    </row>
    <row r="4750" hidden="1">
      <c r="A4750" s="21"/>
      <c r="B4750" s="21" t="s">
        <v>5413</v>
      </c>
      <c r="D4750" s="25">
        <v>0.0</v>
      </c>
      <c r="E4750" s="27"/>
      <c r="F4750" s="25">
        <v>0.0</v>
      </c>
      <c r="G4750" s="27"/>
    </row>
    <row r="4751" hidden="1">
      <c r="A4751" s="21"/>
      <c r="B4751" s="21" t="s">
        <v>5414</v>
      </c>
      <c r="D4751" s="25">
        <v>0.0</v>
      </c>
      <c r="E4751" s="27"/>
      <c r="F4751" s="25">
        <v>0.0</v>
      </c>
      <c r="G4751" s="27"/>
    </row>
    <row r="4752" hidden="1">
      <c r="A4752" s="21"/>
      <c r="B4752" s="21" t="s">
        <v>5415</v>
      </c>
      <c r="D4752" s="25">
        <v>0.0</v>
      </c>
      <c r="E4752" s="27"/>
      <c r="F4752" s="25">
        <v>0.0</v>
      </c>
      <c r="G4752" s="27"/>
    </row>
    <row r="4753" hidden="1">
      <c r="A4753" s="21"/>
      <c r="B4753" s="21" t="s">
        <v>5416</v>
      </c>
      <c r="D4753" s="25">
        <v>0.0</v>
      </c>
      <c r="E4753" s="27"/>
      <c r="F4753" s="25">
        <v>0.0</v>
      </c>
      <c r="G4753" s="27"/>
    </row>
    <row r="4754" hidden="1">
      <c r="A4754" s="21"/>
      <c r="B4754" s="21" t="s">
        <v>5417</v>
      </c>
      <c r="D4754" s="25">
        <v>0.0</v>
      </c>
      <c r="E4754" s="27"/>
      <c r="F4754" s="25">
        <v>0.0</v>
      </c>
      <c r="G4754" s="27"/>
    </row>
    <row r="4755" hidden="1">
      <c r="A4755" s="21"/>
      <c r="B4755" s="21" t="s">
        <v>5418</v>
      </c>
      <c r="D4755" s="25">
        <v>0.0</v>
      </c>
      <c r="E4755" s="27"/>
      <c r="F4755" s="25">
        <v>0.0</v>
      </c>
      <c r="G4755" s="27"/>
    </row>
    <row r="4756" hidden="1">
      <c r="A4756" s="21"/>
      <c r="B4756" s="21" t="s">
        <v>5419</v>
      </c>
      <c r="D4756" s="25">
        <v>0.0</v>
      </c>
      <c r="E4756" s="27"/>
      <c r="F4756" s="25">
        <v>0.0</v>
      </c>
      <c r="G4756" s="27"/>
    </row>
    <row r="4757" hidden="1">
      <c r="A4757" s="21"/>
      <c r="B4757" s="21" t="s">
        <v>5420</v>
      </c>
      <c r="D4757" s="25">
        <v>0.0</v>
      </c>
      <c r="E4757" s="27"/>
      <c r="F4757" s="25">
        <v>0.0</v>
      </c>
      <c r="G4757" s="27"/>
    </row>
    <row r="4758" hidden="1">
      <c r="A4758" s="21"/>
      <c r="B4758" s="21" t="s">
        <v>5421</v>
      </c>
      <c r="D4758" s="25">
        <v>0.0</v>
      </c>
      <c r="E4758" s="27"/>
      <c r="F4758" s="25">
        <v>0.0</v>
      </c>
      <c r="G4758" s="27"/>
    </row>
    <row r="4759" hidden="1">
      <c r="A4759" s="21"/>
      <c r="B4759" s="21" t="s">
        <v>5422</v>
      </c>
      <c r="D4759" s="25">
        <v>0.0</v>
      </c>
      <c r="E4759" s="27"/>
      <c r="F4759" s="25">
        <v>0.0</v>
      </c>
      <c r="G4759" s="27"/>
    </row>
    <row r="4760" hidden="1">
      <c r="A4760" s="21"/>
      <c r="B4760" s="21" t="s">
        <v>5423</v>
      </c>
      <c r="D4760" s="25">
        <v>0.0</v>
      </c>
      <c r="E4760" s="27"/>
      <c r="F4760" s="25">
        <v>0.0</v>
      </c>
      <c r="G4760" s="27"/>
    </row>
    <row r="4761" hidden="1">
      <c r="A4761" s="21"/>
      <c r="B4761" s="21" t="s">
        <v>5424</v>
      </c>
      <c r="D4761" s="25">
        <v>0.0</v>
      </c>
      <c r="E4761" s="27"/>
      <c r="F4761" s="25">
        <v>0.0</v>
      </c>
      <c r="G4761" s="27"/>
    </row>
    <row r="4762" hidden="1">
      <c r="A4762" s="21"/>
      <c r="B4762" s="21" t="s">
        <v>5425</v>
      </c>
      <c r="D4762" s="25">
        <v>0.0</v>
      </c>
      <c r="E4762" s="27"/>
      <c r="F4762" s="25">
        <v>0.0</v>
      </c>
      <c r="G4762" s="27"/>
    </row>
    <row r="4763" hidden="1">
      <c r="A4763" s="21"/>
      <c r="B4763" s="21" t="s">
        <v>5426</v>
      </c>
      <c r="D4763" s="25">
        <v>0.0</v>
      </c>
      <c r="E4763" s="27"/>
      <c r="F4763" s="25">
        <v>3.7</v>
      </c>
      <c r="G4763" s="27"/>
    </row>
    <row r="4764" hidden="1">
      <c r="A4764" s="21"/>
      <c r="B4764" s="21" t="s">
        <v>5427</v>
      </c>
      <c r="D4764" s="25">
        <v>0.0</v>
      </c>
      <c r="E4764" s="27"/>
      <c r="F4764" s="25">
        <v>0.0</v>
      </c>
      <c r="G4764" s="27"/>
    </row>
    <row r="4765" hidden="1">
      <c r="A4765" s="21"/>
      <c r="B4765" s="21" t="s">
        <v>5428</v>
      </c>
      <c r="D4765" s="25">
        <v>0.0</v>
      </c>
      <c r="E4765" s="27"/>
      <c r="F4765" s="25">
        <v>0.0</v>
      </c>
      <c r="G4765" s="27"/>
    </row>
    <row r="4766" hidden="1">
      <c r="A4766" s="21"/>
      <c r="B4766" s="21" t="s">
        <v>5429</v>
      </c>
      <c r="D4766" s="25">
        <v>0.0</v>
      </c>
      <c r="E4766" s="27"/>
      <c r="F4766" s="25">
        <v>0.0</v>
      </c>
      <c r="G4766" s="27"/>
    </row>
    <row r="4767" hidden="1">
      <c r="A4767" s="21"/>
      <c r="B4767" s="21" t="s">
        <v>5430</v>
      </c>
      <c r="D4767" s="25">
        <v>0.0</v>
      </c>
      <c r="E4767" s="27"/>
      <c r="F4767" s="25">
        <v>0.0</v>
      </c>
      <c r="G4767" s="27"/>
    </row>
    <row r="4768" hidden="1">
      <c r="A4768" s="21"/>
      <c r="B4768" s="21" t="s">
        <v>5431</v>
      </c>
      <c r="D4768" s="25">
        <v>0.0</v>
      </c>
      <c r="E4768" s="27"/>
      <c r="F4768" s="25">
        <v>0.0</v>
      </c>
      <c r="G4768" s="27"/>
    </row>
    <row r="4769" hidden="1">
      <c r="A4769" s="21"/>
      <c r="B4769" s="21" t="s">
        <v>5432</v>
      </c>
      <c r="D4769" s="25">
        <v>0.0</v>
      </c>
      <c r="E4769" s="27"/>
      <c r="F4769" s="25">
        <v>0.0</v>
      </c>
      <c r="G4769" s="27"/>
    </row>
    <row r="4770" hidden="1">
      <c r="A4770" s="21"/>
      <c r="B4770" s="21" t="s">
        <v>5433</v>
      </c>
      <c r="D4770" s="25">
        <v>0.0</v>
      </c>
      <c r="E4770" s="27"/>
      <c r="F4770" s="25">
        <v>0.0</v>
      </c>
      <c r="G4770" s="27"/>
    </row>
    <row r="4771" hidden="1">
      <c r="A4771" s="21"/>
      <c r="B4771" s="21" t="s">
        <v>5434</v>
      </c>
      <c r="D4771" s="25">
        <v>0.0</v>
      </c>
      <c r="E4771" s="27"/>
      <c r="F4771" s="25">
        <v>0.0</v>
      </c>
      <c r="G4771" s="27"/>
    </row>
    <row r="4772" hidden="1">
      <c r="A4772" s="21"/>
      <c r="B4772" s="21" t="s">
        <v>5435</v>
      </c>
      <c r="D4772" s="25">
        <v>0.0</v>
      </c>
      <c r="E4772" s="27"/>
      <c r="F4772" s="25">
        <v>0.0</v>
      </c>
      <c r="G4772" s="27"/>
    </row>
    <row r="4773" hidden="1">
      <c r="A4773" s="21"/>
      <c r="B4773" s="21" t="s">
        <v>5436</v>
      </c>
      <c r="D4773" s="25">
        <v>0.0</v>
      </c>
      <c r="E4773" s="27"/>
      <c r="F4773" s="25">
        <v>0.0</v>
      </c>
      <c r="G4773" s="27"/>
    </row>
    <row r="4774" hidden="1">
      <c r="A4774" s="21"/>
      <c r="B4774" s="21" t="s">
        <v>5437</v>
      </c>
      <c r="D4774" s="25">
        <v>0.0</v>
      </c>
      <c r="E4774" s="27"/>
      <c r="F4774" s="25">
        <v>0.0</v>
      </c>
      <c r="G4774" s="27"/>
    </row>
    <row r="4775" hidden="1">
      <c r="A4775" s="21"/>
      <c r="B4775" s="21" t="s">
        <v>5438</v>
      </c>
      <c r="D4775" s="25">
        <v>0.0</v>
      </c>
      <c r="E4775" s="27"/>
      <c r="F4775" s="25">
        <v>0.0</v>
      </c>
      <c r="G4775" s="27"/>
    </row>
    <row r="4776" hidden="1">
      <c r="A4776" s="21"/>
      <c r="B4776" s="21" t="s">
        <v>5439</v>
      </c>
      <c r="D4776" s="25">
        <v>0.0</v>
      </c>
      <c r="E4776" s="27"/>
      <c r="F4776" s="25">
        <v>0.0</v>
      </c>
      <c r="G4776" s="27"/>
    </row>
    <row r="4777" hidden="1">
      <c r="A4777" s="21"/>
      <c r="B4777" s="21" t="s">
        <v>5440</v>
      </c>
      <c r="D4777" s="25">
        <v>0.0</v>
      </c>
      <c r="E4777" s="27"/>
      <c r="F4777" s="25">
        <v>0.0</v>
      </c>
      <c r="G4777" s="27"/>
    </row>
    <row r="4778" hidden="1">
      <c r="A4778" s="21"/>
      <c r="B4778" s="21" t="s">
        <v>5441</v>
      </c>
      <c r="D4778" s="25">
        <v>0.0</v>
      </c>
      <c r="E4778" s="27"/>
      <c r="F4778" s="25">
        <v>0.0</v>
      </c>
      <c r="G4778" s="27"/>
    </row>
    <row r="4779" hidden="1">
      <c r="A4779" s="21"/>
      <c r="B4779" s="21" t="s">
        <v>5442</v>
      </c>
      <c r="D4779" s="25">
        <v>0.0</v>
      </c>
      <c r="E4779" s="27"/>
      <c r="F4779" s="25">
        <v>0.0</v>
      </c>
      <c r="G4779" s="27"/>
    </row>
    <row r="4780" hidden="1">
      <c r="A4780" s="21"/>
      <c r="B4780" s="21" t="s">
        <v>5443</v>
      </c>
      <c r="D4780" s="25">
        <v>0.0</v>
      </c>
      <c r="E4780" s="27"/>
      <c r="F4780" s="25">
        <v>0.0</v>
      </c>
      <c r="G4780" s="27"/>
    </row>
    <row r="4781" hidden="1">
      <c r="A4781" s="21"/>
      <c r="B4781" s="21" t="s">
        <v>5444</v>
      </c>
      <c r="D4781" s="25">
        <v>0.0</v>
      </c>
      <c r="E4781" s="27"/>
      <c r="F4781" s="25">
        <v>0.0</v>
      </c>
      <c r="G4781" s="27"/>
    </row>
    <row r="4782" hidden="1">
      <c r="A4782" s="21"/>
      <c r="B4782" s="21" t="s">
        <v>5445</v>
      </c>
      <c r="D4782" s="25">
        <v>0.0</v>
      </c>
      <c r="E4782" s="27"/>
      <c r="F4782" s="25">
        <v>0.0</v>
      </c>
      <c r="G4782" s="27"/>
    </row>
    <row r="4783" hidden="1">
      <c r="A4783" s="21"/>
      <c r="B4783" s="21" t="s">
        <v>5446</v>
      </c>
      <c r="D4783" s="25">
        <v>0.0</v>
      </c>
      <c r="E4783" s="27"/>
      <c r="F4783" s="25">
        <v>0.0</v>
      </c>
      <c r="G4783" s="27"/>
    </row>
    <row r="4784" hidden="1">
      <c r="A4784" s="21"/>
      <c r="B4784" s="21" t="s">
        <v>5447</v>
      </c>
      <c r="D4784" s="25">
        <v>0.0</v>
      </c>
      <c r="E4784" s="27"/>
      <c r="F4784" s="25">
        <v>0.0</v>
      </c>
      <c r="G4784" s="27"/>
    </row>
    <row r="4785" hidden="1">
      <c r="A4785" s="21"/>
      <c r="B4785" s="21" t="s">
        <v>5448</v>
      </c>
      <c r="D4785" s="25">
        <v>0.0</v>
      </c>
      <c r="E4785" s="27"/>
      <c r="F4785" s="25">
        <v>0.0</v>
      </c>
      <c r="G4785" s="27"/>
    </row>
    <row r="4786" hidden="1">
      <c r="A4786" s="21"/>
      <c r="B4786" s="21" t="s">
        <v>5449</v>
      </c>
      <c r="D4786" s="25">
        <v>0.0</v>
      </c>
      <c r="E4786" s="27"/>
      <c r="F4786" s="25">
        <v>0.0</v>
      </c>
      <c r="G4786" s="27"/>
    </row>
    <row r="4787" hidden="1">
      <c r="A4787" s="21"/>
      <c r="B4787" s="21" t="s">
        <v>5450</v>
      </c>
      <c r="D4787" s="25">
        <v>0.0</v>
      </c>
      <c r="E4787" s="27"/>
      <c r="F4787" s="25">
        <v>0.0</v>
      </c>
      <c r="G4787" s="27"/>
    </row>
    <row r="4788" hidden="1">
      <c r="A4788" s="21"/>
      <c r="B4788" s="21" t="s">
        <v>5451</v>
      </c>
      <c r="D4788" s="25">
        <v>0.0</v>
      </c>
      <c r="E4788" s="27"/>
      <c r="F4788" s="25">
        <v>0.0</v>
      </c>
      <c r="G4788" s="27"/>
    </row>
    <row r="4789" hidden="1">
      <c r="A4789" s="21"/>
      <c r="B4789" s="21" t="s">
        <v>5452</v>
      </c>
      <c r="D4789" s="25">
        <v>0.0</v>
      </c>
      <c r="E4789" s="27"/>
      <c r="F4789" s="25">
        <v>0.0</v>
      </c>
      <c r="G4789" s="27"/>
    </row>
    <row r="4790" hidden="1">
      <c r="A4790" s="21"/>
      <c r="B4790" s="21" t="s">
        <v>5453</v>
      </c>
      <c r="D4790" s="25">
        <v>0.0</v>
      </c>
      <c r="E4790" s="27"/>
      <c r="F4790" s="25">
        <v>0.0</v>
      </c>
      <c r="G4790" s="27"/>
    </row>
    <row r="4791" hidden="1">
      <c r="A4791" s="21"/>
      <c r="B4791" s="21" t="s">
        <v>5454</v>
      </c>
      <c r="D4791" s="25">
        <v>0.0</v>
      </c>
      <c r="E4791" s="27"/>
      <c r="F4791" s="25">
        <v>0.0</v>
      </c>
      <c r="G4791" s="27"/>
    </row>
    <row r="4792" hidden="1">
      <c r="A4792" s="21"/>
      <c r="B4792" s="21" t="s">
        <v>5455</v>
      </c>
      <c r="D4792" s="25">
        <v>0.0</v>
      </c>
      <c r="E4792" s="27"/>
      <c r="F4792" s="25">
        <v>0.0</v>
      </c>
      <c r="G4792" s="27"/>
    </row>
    <row r="4793" hidden="1">
      <c r="A4793" s="21"/>
      <c r="B4793" s="21" t="s">
        <v>5456</v>
      </c>
      <c r="D4793" s="25">
        <v>0.0</v>
      </c>
      <c r="E4793" s="27"/>
      <c r="F4793" s="25">
        <v>0.0</v>
      </c>
      <c r="G4793" s="27"/>
    </row>
    <row r="4794" hidden="1">
      <c r="A4794" s="21"/>
      <c r="B4794" s="21" t="s">
        <v>5457</v>
      </c>
      <c r="D4794" s="25">
        <v>0.0</v>
      </c>
      <c r="E4794" s="27"/>
      <c r="F4794" s="25">
        <v>0.0</v>
      </c>
      <c r="G4794" s="27"/>
    </row>
    <row r="4795" hidden="1">
      <c r="A4795" s="21"/>
      <c r="B4795" s="21" t="s">
        <v>5458</v>
      </c>
      <c r="D4795" s="25">
        <v>0.0</v>
      </c>
      <c r="E4795" s="27"/>
      <c r="F4795" s="25">
        <v>0.0</v>
      </c>
      <c r="G4795" s="27"/>
    </row>
    <row r="4796" hidden="1">
      <c r="A4796" s="21"/>
      <c r="B4796" s="21" t="s">
        <v>5459</v>
      </c>
      <c r="D4796" s="25">
        <v>0.0</v>
      </c>
      <c r="E4796" s="27"/>
      <c r="F4796" s="25">
        <v>0.0</v>
      </c>
      <c r="G4796" s="27"/>
    </row>
    <row r="4797" hidden="1">
      <c r="A4797" s="21"/>
      <c r="B4797" s="21" t="s">
        <v>5460</v>
      </c>
      <c r="D4797" s="25">
        <v>0.0</v>
      </c>
      <c r="E4797" s="27"/>
      <c r="F4797" s="25">
        <v>0.0</v>
      </c>
      <c r="G4797" s="27"/>
    </row>
    <row r="4798" hidden="1">
      <c r="A4798" s="21"/>
      <c r="B4798" s="21" t="s">
        <v>5461</v>
      </c>
      <c r="D4798" s="25">
        <v>0.0</v>
      </c>
      <c r="E4798" s="27"/>
      <c r="F4798" s="25">
        <v>0.0</v>
      </c>
      <c r="G4798" s="27"/>
    </row>
    <row r="4799" hidden="1">
      <c r="A4799" s="21"/>
      <c r="B4799" s="21" t="s">
        <v>5462</v>
      </c>
      <c r="D4799" s="25">
        <v>0.0</v>
      </c>
      <c r="E4799" s="27"/>
      <c r="F4799" s="25">
        <v>0.0</v>
      </c>
      <c r="G4799" s="27"/>
    </row>
    <row r="4800" hidden="1">
      <c r="A4800" s="21"/>
      <c r="B4800" s="21" t="s">
        <v>5463</v>
      </c>
      <c r="D4800" s="25">
        <v>0.0</v>
      </c>
      <c r="E4800" s="27"/>
      <c r="F4800" s="25">
        <v>0.0</v>
      </c>
      <c r="G4800" s="27"/>
    </row>
    <row r="4801" hidden="1">
      <c r="A4801" s="21"/>
      <c r="B4801" s="21" t="s">
        <v>5464</v>
      </c>
      <c r="D4801" s="25">
        <v>0.0</v>
      </c>
      <c r="E4801" s="27"/>
      <c r="F4801" s="25">
        <v>0.0</v>
      </c>
      <c r="G4801" s="27"/>
    </row>
    <row r="4802" hidden="1">
      <c r="A4802" s="21"/>
      <c r="B4802" s="21" t="s">
        <v>5465</v>
      </c>
      <c r="D4802" s="25">
        <v>0.0</v>
      </c>
      <c r="E4802" s="27"/>
      <c r="F4802" s="25">
        <v>0.0</v>
      </c>
      <c r="G4802" s="27"/>
    </row>
    <row r="4803" hidden="1">
      <c r="A4803" s="21"/>
      <c r="B4803" s="21" t="s">
        <v>5466</v>
      </c>
      <c r="D4803" s="25">
        <v>0.0</v>
      </c>
      <c r="E4803" s="27"/>
      <c r="F4803" s="25">
        <v>0.0</v>
      </c>
      <c r="G4803" s="27"/>
    </row>
    <row r="4804" hidden="1">
      <c r="A4804" s="21"/>
      <c r="B4804" s="21" t="s">
        <v>5467</v>
      </c>
      <c r="D4804" s="25">
        <v>0.0</v>
      </c>
      <c r="E4804" s="27"/>
      <c r="F4804" s="25">
        <v>0.0</v>
      </c>
      <c r="G4804" s="27"/>
    </row>
    <row r="4805" hidden="1">
      <c r="A4805" s="21"/>
      <c r="B4805" s="21" t="s">
        <v>5468</v>
      </c>
      <c r="D4805" s="25">
        <v>0.0</v>
      </c>
      <c r="E4805" s="27"/>
      <c r="F4805" s="25">
        <v>0.0</v>
      </c>
      <c r="G4805" s="27"/>
    </row>
    <row r="4806" hidden="1">
      <c r="A4806" s="21"/>
      <c r="B4806" s="21" t="s">
        <v>5469</v>
      </c>
      <c r="D4806" s="25">
        <v>0.0</v>
      </c>
      <c r="E4806" s="27"/>
      <c r="F4806" s="25">
        <v>0.0</v>
      </c>
      <c r="G4806" s="27"/>
    </row>
    <row r="4807" hidden="1">
      <c r="A4807" s="21"/>
      <c r="B4807" s="21" t="s">
        <v>5470</v>
      </c>
      <c r="D4807" s="25">
        <v>0.0</v>
      </c>
      <c r="E4807" s="27"/>
      <c r="F4807" s="25">
        <v>0.0</v>
      </c>
      <c r="G4807" s="27"/>
    </row>
    <row r="4808" hidden="1">
      <c r="A4808" s="21"/>
      <c r="B4808" s="21" t="s">
        <v>5471</v>
      </c>
      <c r="D4808" s="25">
        <v>0.0</v>
      </c>
      <c r="E4808" s="27"/>
      <c r="F4808" s="25">
        <v>0.0</v>
      </c>
      <c r="G4808" s="27"/>
    </row>
    <row r="4809" hidden="1">
      <c r="A4809" s="21"/>
      <c r="B4809" s="21" t="s">
        <v>5472</v>
      </c>
      <c r="D4809" s="25">
        <v>0.0</v>
      </c>
      <c r="E4809" s="27"/>
      <c r="F4809" s="25">
        <v>0.0</v>
      </c>
      <c r="G4809" s="27"/>
    </row>
    <row r="4810" hidden="1">
      <c r="A4810" s="21"/>
      <c r="B4810" s="21" t="s">
        <v>5473</v>
      </c>
      <c r="D4810" s="25">
        <v>0.0</v>
      </c>
      <c r="E4810" s="27"/>
      <c r="F4810" s="25">
        <v>0.0</v>
      </c>
      <c r="G4810" s="27"/>
    </row>
    <row r="4811" hidden="1">
      <c r="A4811" s="21"/>
      <c r="B4811" s="21" t="s">
        <v>5474</v>
      </c>
      <c r="D4811" s="25">
        <v>0.0</v>
      </c>
      <c r="E4811" s="27"/>
      <c r="F4811" s="25">
        <v>0.0</v>
      </c>
      <c r="G4811" s="27"/>
    </row>
    <row r="4812" hidden="1">
      <c r="A4812" s="21"/>
      <c r="B4812" s="21" t="s">
        <v>5475</v>
      </c>
      <c r="D4812" s="25">
        <v>0.0</v>
      </c>
      <c r="E4812" s="27"/>
      <c r="F4812" s="25">
        <v>0.0</v>
      </c>
      <c r="G4812" s="27"/>
    </row>
    <row r="4813" hidden="1">
      <c r="A4813" s="21"/>
      <c r="B4813" s="21" t="s">
        <v>5476</v>
      </c>
      <c r="D4813" s="25">
        <v>0.0</v>
      </c>
      <c r="E4813" s="27"/>
      <c r="F4813" s="25">
        <v>0.0</v>
      </c>
      <c r="G4813" s="27"/>
    </row>
    <row r="4814" hidden="1">
      <c r="A4814" s="21"/>
      <c r="B4814" s="21" t="s">
        <v>5477</v>
      </c>
      <c r="D4814" s="25">
        <v>0.0</v>
      </c>
      <c r="E4814" s="27"/>
      <c r="F4814" s="25">
        <v>0.0</v>
      </c>
      <c r="G4814" s="27"/>
    </row>
    <row r="4815" hidden="1">
      <c r="A4815" s="21"/>
      <c r="B4815" s="21" t="s">
        <v>5478</v>
      </c>
      <c r="D4815" s="25">
        <v>0.0</v>
      </c>
      <c r="E4815" s="27"/>
      <c r="F4815" s="25">
        <v>0.0</v>
      </c>
      <c r="G4815" s="27"/>
    </row>
    <row r="4816" hidden="1">
      <c r="A4816" s="21"/>
      <c r="B4816" s="21" t="s">
        <v>5479</v>
      </c>
      <c r="D4816" s="25">
        <v>0.0</v>
      </c>
      <c r="E4816" s="27"/>
      <c r="F4816" s="25">
        <v>0.0</v>
      </c>
      <c r="G4816" s="27"/>
    </row>
    <row r="4817" hidden="1">
      <c r="A4817" s="21"/>
      <c r="B4817" s="21" t="s">
        <v>5480</v>
      </c>
      <c r="D4817" s="25">
        <v>0.0</v>
      </c>
      <c r="E4817" s="27"/>
      <c r="F4817" s="25">
        <v>0.0</v>
      </c>
      <c r="G4817" s="27"/>
    </row>
    <row r="4818" hidden="1">
      <c r="A4818" s="21"/>
      <c r="B4818" s="21" t="s">
        <v>5481</v>
      </c>
      <c r="D4818" s="25">
        <v>0.0</v>
      </c>
      <c r="E4818" s="27"/>
      <c r="F4818" s="25">
        <v>0.0</v>
      </c>
      <c r="G4818" s="27"/>
    </row>
    <row r="4819" hidden="1">
      <c r="A4819" s="21"/>
      <c r="B4819" s="21" t="s">
        <v>5482</v>
      </c>
      <c r="D4819" s="25">
        <v>0.0</v>
      </c>
      <c r="E4819" s="27"/>
      <c r="F4819" s="25">
        <v>0.0</v>
      </c>
      <c r="G4819" s="27"/>
    </row>
    <row r="4820" hidden="1">
      <c r="A4820" s="21"/>
      <c r="B4820" s="21" t="s">
        <v>5483</v>
      </c>
      <c r="D4820" s="25">
        <v>0.0</v>
      </c>
      <c r="E4820" s="27"/>
      <c r="F4820" s="25">
        <v>0.0</v>
      </c>
      <c r="G4820" s="27"/>
    </row>
    <row r="4821" hidden="1">
      <c r="A4821" s="21"/>
      <c r="B4821" s="21" t="s">
        <v>5484</v>
      </c>
      <c r="D4821" s="25">
        <v>0.0</v>
      </c>
      <c r="E4821" s="27"/>
      <c r="F4821" s="25">
        <v>0.0</v>
      </c>
      <c r="G4821" s="27"/>
    </row>
    <row r="4822" hidden="1">
      <c r="A4822" s="21"/>
      <c r="B4822" s="21" t="s">
        <v>5485</v>
      </c>
      <c r="D4822" s="25">
        <v>0.0</v>
      </c>
      <c r="E4822" s="27"/>
      <c r="F4822" s="25">
        <v>0.0</v>
      </c>
      <c r="G4822" s="27"/>
    </row>
    <row r="4823" hidden="1">
      <c r="A4823" s="21"/>
      <c r="B4823" s="21" t="s">
        <v>5486</v>
      </c>
      <c r="D4823" s="25">
        <v>0.0</v>
      </c>
      <c r="E4823" s="27"/>
      <c r="F4823" s="25">
        <v>0.0</v>
      </c>
      <c r="G4823" s="27"/>
    </row>
    <row r="4824" hidden="1">
      <c r="A4824" s="21"/>
      <c r="B4824" s="21" t="s">
        <v>5487</v>
      </c>
      <c r="D4824" s="25">
        <v>0.0</v>
      </c>
      <c r="E4824" s="27"/>
      <c r="F4824" s="25">
        <v>0.0</v>
      </c>
      <c r="G4824" s="27"/>
    </row>
    <row r="4825" hidden="1">
      <c r="A4825" s="21"/>
      <c r="B4825" s="21" t="s">
        <v>5488</v>
      </c>
      <c r="D4825" s="25">
        <v>0.0</v>
      </c>
      <c r="E4825" s="27"/>
      <c r="F4825" s="25">
        <v>0.0</v>
      </c>
      <c r="G4825" s="27"/>
    </row>
    <row r="4826" hidden="1">
      <c r="A4826" s="21"/>
      <c r="B4826" s="21" t="s">
        <v>5489</v>
      </c>
      <c r="D4826" s="25">
        <v>0.0</v>
      </c>
      <c r="E4826" s="27"/>
      <c r="F4826" s="25">
        <v>0.0</v>
      </c>
      <c r="G4826" s="27"/>
    </row>
    <row r="4827" hidden="1">
      <c r="A4827" s="21"/>
      <c r="B4827" s="21" t="s">
        <v>5490</v>
      </c>
      <c r="D4827" s="25">
        <v>0.0</v>
      </c>
      <c r="E4827" s="27"/>
      <c r="F4827" s="25">
        <v>0.0</v>
      </c>
      <c r="G4827" s="27"/>
    </row>
    <row r="4828" hidden="1">
      <c r="A4828" s="21"/>
      <c r="B4828" s="21" t="s">
        <v>5491</v>
      </c>
      <c r="D4828" s="25">
        <v>0.0</v>
      </c>
      <c r="E4828" s="27"/>
      <c r="F4828" s="25">
        <v>0.0</v>
      </c>
      <c r="G4828" s="27"/>
    </row>
    <row r="4829" hidden="1">
      <c r="A4829" s="21"/>
      <c r="B4829" s="21" t="s">
        <v>5492</v>
      </c>
      <c r="D4829" s="25">
        <v>0.0</v>
      </c>
      <c r="E4829" s="27"/>
      <c r="F4829" s="25">
        <v>0.0</v>
      </c>
      <c r="G4829" s="27"/>
    </row>
    <row r="4830" hidden="1">
      <c r="A4830" s="21"/>
      <c r="B4830" s="21" t="s">
        <v>5493</v>
      </c>
      <c r="D4830" s="25">
        <v>0.0</v>
      </c>
      <c r="E4830" s="27"/>
      <c r="F4830" s="25">
        <v>0.0</v>
      </c>
      <c r="G4830" s="27"/>
    </row>
    <row r="4831" hidden="1">
      <c r="A4831" s="21"/>
      <c r="B4831" s="21" t="s">
        <v>5494</v>
      </c>
      <c r="D4831" s="25">
        <v>0.0</v>
      </c>
      <c r="E4831" s="27"/>
      <c r="F4831" s="25">
        <v>0.0</v>
      </c>
      <c r="G4831" s="27"/>
    </row>
    <row r="4832" hidden="1">
      <c r="A4832" s="21"/>
      <c r="B4832" s="21" t="s">
        <v>5495</v>
      </c>
      <c r="D4832" s="25">
        <v>0.0</v>
      </c>
      <c r="E4832" s="27"/>
      <c r="F4832" s="25">
        <v>0.0</v>
      </c>
      <c r="G4832" s="27"/>
    </row>
    <row r="4833" hidden="1">
      <c r="A4833" s="21"/>
      <c r="B4833" s="21" t="s">
        <v>5496</v>
      </c>
      <c r="D4833" s="25">
        <v>0.0</v>
      </c>
      <c r="E4833" s="27"/>
      <c r="F4833" s="25">
        <v>0.0</v>
      </c>
      <c r="G4833" s="27"/>
    </row>
    <row r="4834" hidden="1">
      <c r="A4834" s="21"/>
      <c r="B4834" s="21" t="s">
        <v>5497</v>
      </c>
      <c r="D4834" s="25">
        <v>0.0</v>
      </c>
      <c r="E4834" s="27"/>
      <c r="F4834" s="25">
        <v>0.0</v>
      </c>
      <c r="G4834" s="27"/>
    </row>
    <row r="4835" hidden="1">
      <c r="A4835" s="21"/>
      <c r="B4835" s="21" t="s">
        <v>5498</v>
      </c>
      <c r="D4835" s="25">
        <v>0.0</v>
      </c>
      <c r="E4835" s="27"/>
      <c r="F4835" s="25">
        <v>0.0</v>
      </c>
      <c r="G4835" s="27"/>
    </row>
    <row r="4836" hidden="1">
      <c r="A4836" s="21"/>
      <c r="B4836" s="21" t="s">
        <v>5499</v>
      </c>
      <c r="D4836" s="25">
        <v>0.0</v>
      </c>
      <c r="E4836" s="27"/>
      <c r="F4836" s="25">
        <v>0.0</v>
      </c>
      <c r="G4836" s="27"/>
    </row>
    <row r="4837" hidden="1">
      <c r="A4837" s="21"/>
      <c r="B4837" s="21" t="s">
        <v>5500</v>
      </c>
      <c r="D4837" s="25">
        <v>0.0</v>
      </c>
      <c r="E4837" s="27"/>
      <c r="F4837" s="25">
        <v>0.0</v>
      </c>
      <c r="G4837" s="27"/>
    </row>
    <row r="4838" hidden="1">
      <c r="A4838" s="21"/>
      <c r="B4838" s="21" t="s">
        <v>5501</v>
      </c>
      <c r="D4838" s="25">
        <v>0.0</v>
      </c>
      <c r="E4838" s="27"/>
      <c r="F4838" s="25">
        <v>0.0</v>
      </c>
      <c r="G4838" s="27"/>
    </row>
    <row r="4839" hidden="1">
      <c r="A4839" s="21"/>
      <c r="B4839" s="21" t="s">
        <v>5502</v>
      </c>
      <c r="D4839" s="25">
        <v>0.0</v>
      </c>
      <c r="E4839" s="27"/>
      <c r="F4839" s="25">
        <v>0.0</v>
      </c>
      <c r="G4839" s="27"/>
    </row>
    <row r="4840" hidden="1">
      <c r="A4840" s="21"/>
      <c r="B4840" s="21" t="s">
        <v>5503</v>
      </c>
      <c r="D4840" s="25">
        <v>0.0</v>
      </c>
      <c r="E4840" s="27"/>
      <c r="F4840" s="25">
        <v>0.0</v>
      </c>
      <c r="G4840" s="27"/>
    </row>
    <row r="4841" hidden="1">
      <c r="A4841" s="21"/>
      <c r="B4841" s="21" t="s">
        <v>5504</v>
      </c>
      <c r="D4841" s="25">
        <v>0.0</v>
      </c>
      <c r="E4841" s="27"/>
      <c r="F4841" s="25">
        <v>0.0</v>
      </c>
      <c r="G4841" s="27"/>
    </row>
    <row r="4842" hidden="1">
      <c r="A4842" s="21"/>
      <c r="B4842" s="21" t="s">
        <v>5505</v>
      </c>
      <c r="D4842" s="25">
        <v>0.0</v>
      </c>
      <c r="E4842" s="27"/>
      <c r="F4842" s="25">
        <v>0.0</v>
      </c>
      <c r="G4842" s="27"/>
    </row>
    <row r="4843" hidden="1">
      <c r="A4843" s="21"/>
      <c r="B4843" s="21" t="s">
        <v>5506</v>
      </c>
      <c r="D4843" s="25">
        <v>0.0</v>
      </c>
      <c r="E4843" s="27"/>
      <c r="F4843" s="25">
        <v>0.0</v>
      </c>
      <c r="G4843" s="27"/>
    </row>
    <row r="4844" hidden="1">
      <c r="A4844" s="21"/>
      <c r="B4844" s="21" t="s">
        <v>5507</v>
      </c>
      <c r="D4844" s="25">
        <v>0.0</v>
      </c>
      <c r="E4844" s="27"/>
      <c r="F4844" s="25">
        <v>0.0</v>
      </c>
      <c r="G4844" s="27"/>
    </row>
    <row r="4845" hidden="1">
      <c r="A4845" s="21"/>
      <c r="B4845" s="21" t="s">
        <v>5508</v>
      </c>
      <c r="D4845" s="25">
        <v>0.0</v>
      </c>
      <c r="E4845" s="27"/>
      <c r="F4845" s="25">
        <v>0.0</v>
      </c>
      <c r="G4845" s="27"/>
    </row>
    <row r="4846" hidden="1">
      <c r="A4846" s="21"/>
      <c r="B4846" s="21" t="s">
        <v>5509</v>
      </c>
      <c r="D4846" s="25">
        <v>0.0</v>
      </c>
      <c r="E4846" s="27"/>
      <c r="F4846" s="25">
        <v>0.0</v>
      </c>
      <c r="G4846" s="27"/>
    </row>
    <row r="4847" hidden="1">
      <c r="A4847" s="21"/>
      <c r="B4847" s="21" t="s">
        <v>5510</v>
      </c>
      <c r="D4847" s="25">
        <v>0.0</v>
      </c>
      <c r="E4847" s="27"/>
      <c r="F4847" s="25">
        <v>6.28</v>
      </c>
      <c r="G4847" s="27"/>
    </row>
    <row r="4848" hidden="1">
      <c r="A4848" s="21"/>
      <c r="B4848" s="21" t="s">
        <v>5511</v>
      </c>
      <c r="D4848" s="25">
        <v>0.0</v>
      </c>
      <c r="E4848" s="27"/>
      <c r="F4848" s="25">
        <v>0.0</v>
      </c>
      <c r="G4848" s="27"/>
    </row>
    <row r="4849" hidden="1">
      <c r="A4849" s="21"/>
      <c r="B4849" s="21" t="s">
        <v>5512</v>
      </c>
      <c r="D4849" s="25">
        <v>0.0</v>
      </c>
      <c r="E4849" s="27"/>
      <c r="F4849" s="25">
        <v>0.0</v>
      </c>
      <c r="G4849" s="27"/>
    </row>
    <row r="4850" hidden="1">
      <c r="A4850" s="21"/>
      <c r="B4850" s="21" t="s">
        <v>5513</v>
      </c>
      <c r="D4850" s="25">
        <v>0.0</v>
      </c>
      <c r="E4850" s="27"/>
      <c r="F4850" s="25">
        <v>0.0</v>
      </c>
      <c r="G4850" s="27"/>
    </row>
    <row r="4851" hidden="1">
      <c r="A4851" s="21"/>
      <c r="B4851" s="21" t="s">
        <v>5514</v>
      </c>
      <c r="D4851" s="25">
        <v>0.0</v>
      </c>
      <c r="E4851" s="27"/>
      <c r="F4851" s="25">
        <v>0.0</v>
      </c>
      <c r="G4851" s="27"/>
    </row>
    <row r="4852" hidden="1">
      <c r="A4852" s="21"/>
      <c r="B4852" s="21" t="s">
        <v>5515</v>
      </c>
      <c r="D4852" s="25">
        <v>0.0</v>
      </c>
      <c r="E4852" s="27"/>
      <c r="F4852" s="25">
        <v>0.0</v>
      </c>
      <c r="G4852" s="27"/>
    </row>
    <row r="4853" hidden="1">
      <c r="A4853" s="21"/>
      <c r="B4853" s="21" t="s">
        <v>5516</v>
      </c>
      <c r="D4853" s="25">
        <v>0.0</v>
      </c>
      <c r="E4853" s="27"/>
      <c r="F4853" s="25">
        <v>1.45</v>
      </c>
      <c r="G4853" s="27"/>
    </row>
    <row r="4854" hidden="1">
      <c r="A4854" s="21"/>
      <c r="B4854" s="21" t="s">
        <v>5517</v>
      </c>
      <c r="D4854" s="25">
        <v>0.0</v>
      </c>
      <c r="E4854" s="27"/>
      <c r="F4854" s="25">
        <v>0.0</v>
      </c>
      <c r="G4854" s="27"/>
    </row>
    <row r="4855" hidden="1">
      <c r="A4855" s="21"/>
      <c r="B4855" s="21" t="s">
        <v>5518</v>
      </c>
      <c r="D4855" s="25">
        <v>0.0</v>
      </c>
      <c r="E4855" s="27"/>
      <c r="F4855" s="25">
        <v>0.0</v>
      </c>
      <c r="G4855" s="27"/>
    </row>
    <row r="4856" hidden="1">
      <c r="A4856" s="21"/>
      <c r="B4856" s="21" t="s">
        <v>5519</v>
      </c>
      <c r="D4856" s="25">
        <v>0.0</v>
      </c>
      <c r="E4856" s="27"/>
      <c r="F4856" s="25">
        <v>0.0</v>
      </c>
      <c r="G4856" s="27"/>
    </row>
    <row r="4857" hidden="1">
      <c r="A4857" s="21"/>
      <c r="B4857" s="21" t="s">
        <v>5520</v>
      </c>
      <c r="D4857" s="25">
        <v>0.0</v>
      </c>
      <c r="E4857" s="27"/>
      <c r="F4857" s="25">
        <v>1.07</v>
      </c>
      <c r="G4857" s="27"/>
    </row>
    <row r="4858" hidden="1">
      <c r="A4858" s="21"/>
      <c r="B4858" s="21" t="s">
        <v>5521</v>
      </c>
      <c r="D4858" s="25">
        <v>0.0</v>
      </c>
      <c r="E4858" s="27"/>
      <c r="F4858" s="25">
        <v>0.0</v>
      </c>
      <c r="G4858" s="27"/>
    </row>
    <row r="4859" hidden="1">
      <c r="A4859" s="21"/>
      <c r="B4859" s="21" t="s">
        <v>5522</v>
      </c>
      <c r="D4859" s="25">
        <v>0.0</v>
      </c>
      <c r="E4859" s="27"/>
      <c r="F4859" s="25">
        <v>0.0</v>
      </c>
      <c r="G4859" s="27"/>
    </row>
    <row r="4860" hidden="1">
      <c r="A4860" s="21"/>
      <c r="B4860" s="21" t="s">
        <v>5523</v>
      </c>
      <c r="D4860" s="25">
        <v>0.0</v>
      </c>
      <c r="E4860" s="27"/>
      <c r="F4860" s="25">
        <v>0.0</v>
      </c>
      <c r="G4860" s="27"/>
    </row>
    <row r="4861" hidden="1">
      <c r="A4861" s="21"/>
      <c r="B4861" s="21" t="s">
        <v>5524</v>
      </c>
      <c r="D4861" s="25">
        <v>0.0</v>
      </c>
      <c r="E4861" s="27"/>
      <c r="F4861" s="25">
        <v>0.0</v>
      </c>
      <c r="G4861" s="27"/>
    </row>
    <row r="4862" hidden="1">
      <c r="A4862" s="21"/>
      <c r="B4862" s="21" t="s">
        <v>5525</v>
      </c>
      <c r="D4862" s="25">
        <v>0.0</v>
      </c>
      <c r="E4862" s="27"/>
      <c r="F4862" s="25">
        <v>0.0</v>
      </c>
      <c r="G4862" s="27"/>
    </row>
    <row r="4863" hidden="1">
      <c r="A4863" s="21"/>
      <c r="B4863" s="21" t="s">
        <v>5526</v>
      </c>
      <c r="D4863" s="25">
        <v>0.0</v>
      </c>
      <c r="E4863" s="27"/>
      <c r="F4863" s="25">
        <v>0.0</v>
      </c>
      <c r="G4863" s="27"/>
    </row>
    <row r="4864" hidden="1">
      <c r="A4864" s="21"/>
      <c r="B4864" s="21" t="s">
        <v>5527</v>
      </c>
      <c r="D4864" s="25">
        <v>0.0</v>
      </c>
      <c r="E4864" s="27"/>
      <c r="F4864" s="25">
        <v>0.0</v>
      </c>
      <c r="G4864" s="27"/>
    </row>
    <row r="4865" hidden="1">
      <c r="A4865" s="21"/>
      <c r="B4865" s="21" t="s">
        <v>5528</v>
      </c>
      <c r="D4865" s="25">
        <v>0.0</v>
      </c>
      <c r="E4865" s="27"/>
      <c r="F4865" s="25">
        <v>0.0</v>
      </c>
      <c r="G4865" s="27"/>
    </row>
    <row r="4866" hidden="1">
      <c r="A4866" s="21"/>
      <c r="B4866" s="21" t="s">
        <v>5529</v>
      </c>
      <c r="D4866" s="25">
        <v>0.0</v>
      </c>
      <c r="E4866" s="27"/>
      <c r="F4866" s="25">
        <v>3.97</v>
      </c>
      <c r="G4866" s="27"/>
    </row>
    <row r="4867" hidden="1">
      <c r="A4867" s="21"/>
      <c r="B4867" s="21" t="s">
        <v>5530</v>
      </c>
      <c r="D4867" s="25">
        <v>0.0</v>
      </c>
      <c r="E4867" s="27"/>
      <c r="F4867" s="25">
        <v>0.0</v>
      </c>
      <c r="G4867" s="27"/>
    </row>
    <row r="4868" hidden="1">
      <c r="A4868" s="21"/>
      <c r="B4868" s="21" t="s">
        <v>5531</v>
      </c>
      <c r="D4868" s="25">
        <v>0.0</v>
      </c>
      <c r="E4868" s="27"/>
      <c r="F4868" s="25">
        <v>0.0</v>
      </c>
      <c r="G4868" s="27"/>
    </row>
    <row r="4869" hidden="1">
      <c r="A4869" s="21"/>
      <c r="B4869" s="21" t="s">
        <v>5532</v>
      </c>
      <c r="D4869" s="25">
        <v>0.0</v>
      </c>
      <c r="E4869" s="27"/>
      <c r="F4869" s="25">
        <v>0.0</v>
      </c>
      <c r="G4869" s="27"/>
    </row>
    <row r="4870" hidden="1">
      <c r="A4870" s="21"/>
      <c r="B4870" s="21" t="s">
        <v>5533</v>
      </c>
      <c r="D4870" s="25">
        <v>0.0</v>
      </c>
      <c r="E4870" s="27"/>
      <c r="F4870" s="25">
        <v>0.0</v>
      </c>
      <c r="G4870" s="27"/>
    </row>
    <row r="4871" hidden="1">
      <c r="A4871" s="21"/>
      <c r="B4871" s="21" t="s">
        <v>5534</v>
      </c>
      <c r="D4871" s="25">
        <v>0.0</v>
      </c>
      <c r="E4871" s="27"/>
      <c r="F4871" s="25">
        <v>0.0</v>
      </c>
      <c r="G4871" s="27"/>
    </row>
    <row r="4872" hidden="1">
      <c r="A4872" s="21"/>
      <c r="B4872" s="21" t="s">
        <v>5535</v>
      </c>
      <c r="D4872" s="25">
        <v>0.0</v>
      </c>
      <c r="E4872" s="27"/>
      <c r="F4872" s="25">
        <v>0.0</v>
      </c>
      <c r="G4872" s="27"/>
    </row>
    <row r="4873" hidden="1">
      <c r="A4873" s="21"/>
      <c r="B4873" s="21" t="s">
        <v>5536</v>
      </c>
      <c r="D4873" s="25">
        <v>0.0</v>
      </c>
      <c r="E4873" s="27"/>
      <c r="F4873" s="25">
        <v>0.0</v>
      </c>
      <c r="G4873" s="27"/>
    </row>
    <row r="4874" hidden="1">
      <c r="A4874" s="21"/>
      <c r="B4874" s="21" t="s">
        <v>5537</v>
      </c>
      <c r="D4874" s="25">
        <v>0.0</v>
      </c>
      <c r="E4874" s="27"/>
      <c r="F4874" s="25">
        <v>0.0</v>
      </c>
      <c r="G4874" s="27"/>
    </row>
    <row r="4875" hidden="1">
      <c r="A4875" s="21"/>
      <c r="B4875" s="21" t="s">
        <v>5538</v>
      </c>
      <c r="D4875" s="25">
        <v>0.0</v>
      </c>
      <c r="E4875" s="27"/>
      <c r="F4875" s="25">
        <v>0.0</v>
      </c>
      <c r="G4875" s="27"/>
    </row>
    <row r="4876" hidden="1">
      <c r="A4876" s="21"/>
      <c r="B4876" s="21" t="s">
        <v>5539</v>
      </c>
      <c r="D4876" s="25">
        <v>0.0</v>
      </c>
      <c r="E4876" s="27"/>
      <c r="F4876" s="25">
        <v>0.0</v>
      </c>
      <c r="G4876" s="27"/>
    </row>
    <row r="4877" hidden="1">
      <c r="A4877" s="21"/>
      <c r="B4877" s="21" t="s">
        <v>5540</v>
      </c>
      <c r="D4877" s="25">
        <v>0.0</v>
      </c>
      <c r="E4877" s="27"/>
      <c r="F4877" s="25">
        <v>0.0</v>
      </c>
      <c r="G4877" s="27"/>
    </row>
    <row r="4878" hidden="1">
      <c r="A4878" s="21"/>
      <c r="B4878" s="21" t="s">
        <v>5541</v>
      </c>
      <c r="D4878" s="25">
        <v>0.0</v>
      </c>
      <c r="E4878" s="27"/>
      <c r="F4878" s="25">
        <v>0.0</v>
      </c>
      <c r="G4878" s="27"/>
    </row>
    <row r="4879" hidden="1">
      <c r="A4879" s="21"/>
      <c r="B4879" s="21" t="s">
        <v>5542</v>
      </c>
      <c r="D4879" s="25">
        <v>0.0</v>
      </c>
      <c r="E4879" s="27"/>
      <c r="F4879" s="25">
        <v>0.0</v>
      </c>
      <c r="G4879" s="27"/>
    </row>
    <row r="4880" hidden="1">
      <c r="A4880" s="21"/>
      <c r="B4880" s="21" t="s">
        <v>5543</v>
      </c>
      <c r="D4880" s="25">
        <v>0.0</v>
      </c>
      <c r="E4880" s="27"/>
      <c r="F4880" s="25">
        <v>0.0</v>
      </c>
      <c r="G4880" s="27"/>
    </row>
    <row r="4881" hidden="1">
      <c r="A4881" s="21"/>
      <c r="B4881" s="21" t="s">
        <v>5544</v>
      </c>
      <c r="D4881" s="25">
        <v>0.0</v>
      </c>
      <c r="E4881" s="27"/>
      <c r="F4881" s="25">
        <v>0.0</v>
      </c>
      <c r="G4881" s="27"/>
    </row>
    <row r="4882" hidden="1">
      <c r="A4882" s="21"/>
      <c r="B4882" s="21" t="s">
        <v>5545</v>
      </c>
      <c r="D4882" s="25">
        <v>0.0</v>
      </c>
      <c r="E4882" s="27"/>
      <c r="F4882" s="25">
        <v>0.0</v>
      </c>
      <c r="G4882" s="27"/>
    </row>
    <row r="4883" hidden="1">
      <c r="A4883" s="21"/>
      <c r="B4883" s="21" t="s">
        <v>5546</v>
      </c>
      <c r="D4883" s="25">
        <v>0.0</v>
      </c>
      <c r="E4883" s="27"/>
      <c r="F4883" s="25">
        <v>0.0</v>
      </c>
      <c r="G4883" s="27"/>
    </row>
    <row r="4884" hidden="1">
      <c r="A4884" s="21"/>
      <c r="B4884" s="21" t="s">
        <v>5547</v>
      </c>
      <c r="D4884" s="25">
        <v>0.0</v>
      </c>
      <c r="E4884" s="27"/>
      <c r="F4884" s="25">
        <v>0.0</v>
      </c>
      <c r="G4884" s="27"/>
    </row>
    <row r="4885" hidden="1">
      <c r="A4885" s="21"/>
      <c r="B4885" s="21" t="s">
        <v>5548</v>
      </c>
      <c r="D4885" s="25">
        <v>0.0</v>
      </c>
      <c r="E4885" s="27"/>
      <c r="F4885" s="25">
        <v>0.0</v>
      </c>
      <c r="G4885" s="27"/>
    </row>
    <row r="4886" hidden="1">
      <c r="A4886" s="21"/>
      <c r="B4886" s="21" t="s">
        <v>5549</v>
      </c>
      <c r="D4886" s="25">
        <v>0.0</v>
      </c>
      <c r="E4886" s="27"/>
      <c r="F4886" s="25">
        <v>0.0</v>
      </c>
      <c r="G4886" s="27"/>
    </row>
    <row r="4887" hidden="1">
      <c r="A4887" s="21"/>
      <c r="B4887" s="21" t="s">
        <v>5550</v>
      </c>
      <c r="D4887" s="25">
        <v>0.0</v>
      </c>
      <c r="E4887" s="27"/>
      <c r="F4887" s="25">
        <v>0.0</v>
      </c>
      <c r="G4887" s="27"/>
    </row>
    <row r="4888" hidden="1">
      <c r="A4888" s="21"/>
      <c r="B4888" s="21" t="s">
        <v>5551</v>
      </c>
      <c r="D4888" s="25">
        <v>0.0</v>
      </c>
      <c r="E4888" s="27"/>
      <c r="F4888" s="25">
        <v>0.0</v>
      </c>
      <c r="G4888" s="27"/>
    </row>
    <row r="4889" hidden="1">
      <c r="A4889" s="21"/>
      <c r="B4889" s="21" t="s">
        <v>5552</v>
      </c>
      <c r="D4889" s="25">
        <v>0.0</v>
      </c>
      <c r="E4889" s="27"/>
      <c r="F4889" s="25">
        <v>0.0</v>
      </c>
      <c r="G4889" s="27"/>
    </row>
    <row r="4890" hidden="1">
      <c r="A4890" s="21"/>
      <c r="B4890" s="21" t="s">
        <v>5553</v>
      </c>
      <c r="D4890" s="25">
        <v>0.0</v>
      </c>
      <c r="E4890" s="27"/>
      <c r="F4890" s="25">
        <v>0.0</v>
      </c>
      <c r="G4890" s="27"/>
    </row>
    <row r="4891" hidden="1">
      <c r="A4891" s="21"/>
      <c r="B4891" s="21" t="s">
        <v>5554</v>
      </c>
      <c r="D4891" s="25">
        <v>0.0</v>
      </c>
      <c r="E4891" s="27"/>
      <c r="F4891" s="25">
        <v>0.0</v>
      </c>
      <c r="G4891" s="27"/>
    </row>
    <row r="4892" hidden="1">
      <c r="A4892" s="21"/>
      <c r="B4892" s="21" t="s">
        <v>5555</v>
      </c>
      <c r="D4892" s="25">
        <v>0.0</v>
      </c>
      <c r="E4892" s="27"/>
      <c r="F4892" s="25">
        <v>0.0</v>
      </c>
      <c r="G4892" s="27"/>
    </row>
    <row r="4893" hidden="1">
      <c r="A4893" s="21"/>
      <c r="B4893" s="21" t="s">
        <v>5556</v>
      </c>
      <c r="D4893" s="25">
        <v>0.0</v>
      </c>
      <c r="E4893" s="27"/>
      <c r="F4893" s="25">
        <v>0.0</v>
      </c>
      <c r="G4893" s="27"/>
    </row>
    <row r="4894" hidden="1">
      <c r="A4894" s="21"/>
      <c r="B4894" s="21" t="s">
        <v>5557</v>
      </c>
      <c r="D4894" s="25">
        <v>0.0</v>
      </c>
      <c r="E4894" s="27"/>
      <c r="F4894" s="25">
        <v>0.0</v>
      </c>
      <c r="G4894" s="27"/>
    </row>
    <row r="4895" hidden="1">
      <c r="A4895" s="21"/>
      <c r="B4895" s="21" t="s">
        <v>5558</v>
      </c>
      <c r="D4895" s="25">
        <v>0.0</v>
      </c>
      <c r="E4895" s="27"/>
      <c r="F4895" s="25">
        <v>0.0</v>
      </c>
      <c r="G4895" s="27"/>
    </row>
    <row r="4896" hidden="1">
      <c r="A4896" s="21"/>
      <c r="B4896" s="21" t="s">
        <v>5559</v>
      </c>
      <c r="D4896" s="25">
        <v>0.0</v>
      </c>
      <c r="E4896" s="27"/>
      <c r="F4896" s="25">
        <v>0.0</v>
      </c>
      <c r="G4896" s="27"/>
    </row>
    <row r="4897" hidden="1">
      <c r="A4897" s="21"/>
      <c r="B4897" s="21" t="s">
        <v>5560</v>
      </c>
      <c r="D4897" s="25">
        <v>0.0</v>
      </c>
      <c r="E4897" s="27"/>
      <c r="F4897" s="25">
        <v>0.0</v>
      </c>
      <c r="G4897" s="27"/>
    </row>
    <row r="4898" hidden="1">
      <c r="A4898" s="21"/>
      <c r="B4898" s="21" t="s">
        <v>5561</v>
      </c>
      <c r="D4898" s="25">
        <v>0.0</v>
      </c>
      <c r="E4898" s="27"/>
      <c r="F4898" s="25">
        <v>0.0</v>
      </c>
      <c r="G4898" s="27"/>
    </row>
    <row r="4899" hidden="1">
      <c r="A4899" s="21"/>
      <c r="B4899" s="21" t="s">
        <v>5562</v>
      </c>
      <c r="D4899" s="25">
        <v>0.0</v>
      </c>
      <c r="E4899" s="27"/>
      <c r="F4899" s="25">
        <v>0.0</v>
      </c>
      <c r="G4899" s="27"/>
    </row>
    <row r="4900" hidden="1">
      <c r="A4900" s="21"/>
      <c r="B4900" s="21" t="s">
        <v>5563</v>
      </c>
      <c r="D4900" s="25">
        <v>0.0</v>
      </c>
      <c r="E4900" s="27"/>
      <c r="F4900" s="25">
        <v>0.0</v>
      </c>
      <c r="G4900" s="27"/>
    </row>
    <row r="4901" hidden="1">
      <c r="A4901" s="21"/>
      <c r="B4901" s="21" t="s">
        <v>5564</v>
      </c>
      <c r="D4901" s="25">
        <v>0.0</v>
      </c>
      <c r="E4901" s="27"/>
      <c r="F4901" s="25">
        <v>0.0</v>
      </c>
      <c r="G4901" s="27"/>
    </row>
    <row r="4902" hidden="1">
      <c r="A4902" s="21"/>
      <c r="B4902" s="21" t="s">
        <v>5565</v>
      </c>
      <c r="D4902" s="25">
        <v>0.0</v>
      </c>
      <c r="E4902" s="27"/>
      <c r="F4902" s="25">
        <v>0.0</v>
      </c>
      <c r="G4902" s="27"/>
    </row>
    <row r="4903" hidden="1">
      <c r="A4903" s="21"/>
      <c r="B4903" s="21" t="s">
        <v>5566</v>
      </c>
      <c r="D4903" s="25">
        <v>0.0</v>
      </c>
      <c r="E4903" s="27"/>
      <c r="F4903" s="25">
        <v>0.0</v>
      </c>
      <c r="G4903" s="27"/>
    </row>
    <row r="4904" hidden="1">
      <c r="A4904" s="21"/>
      <c r="B4904" s="21" t="s">
        <v>5567</v>
      </c>
      <c r="D4904" s="25">
        <v>0.0</v>
      </c>
      <c r="E4904" s="27"/>
      <c r="F4904" s="25">
        <v>0.0</v>
      </c>
      <c r="G4904" s="27"/>
    </row>
    <row r="4905" hidden="1">
      <c r="A4905" s="21"/>
      <c r="B4905" s="21" t="s">
        <v>5568</v>
      </c>
      <c r="D4905" s="25">
        <v>0.0</v>
      </c>
      <c r="E4905" s="27"/>
      <c r="F4905" s="25">
        <v>0.0</v>
      </c>
      <c r="G4905" s="27"/>
    </row>
    <row r="4906" hidden="1">
      <c r="A4906" s="21"/>
      <c r="B4906" s="21" t="s">
        <v>5569</v>
      </c>
      <c r="D4906" s="25">
        <v>0.0</v>
      </c>
      <c r="E4906" s="27"/>
      <c r="F4906" s="25">
        <v>0.0</v>
      </c>
      <c r="G4906" s="27"/>
    </row>
    <row r="4907" hidden="1">
      <c r="A4907" s="21"/>
      <c r="B4907" s="21" t="s">
        <v>5570</v>
      </c>
      <c r="D4907" s="25">
        <v>0.0</v>
      </c>
      <c r="E4907" s="27"/>
      <c r="F4907" s="25">
        <v>0.0</v>
      </c>
      <c r="G4907" s="27"/>
    </row>
    <row r="4908" hidden="1">
      <c r="A4908" s="21"/>
      <c r="B4908" s="21" t="s">
        <v>5571</v>
      </c>
      <c r="D4908" s="25">
        <v>0.0</v>
      </c>
      <c r="E4908" s="27"/>
      <c r="F4908" s="25">
        <v>0.0</v>
      </c>
      <c r="G4908" s="27"/>
    </row>
    <row r="4909" hidden="1">
      <c r="A4909" s="21"/>
      <c r="B4909" s="21" t="s">
        <v>5572</v>
      </c>
      <c r="D4909" s="25">
        <v>0.0</v>
      </c>
      <c r="E4909" s="27"/>
      <c r="F4909" s="25">
        <v>0.0</v>
      </c>
      <c r="G4909" s="27"/>
    </row>
    <row r="4910" hidden="1">
      <c r="A4910" s="21"/>
      <c r="B4910" s="21" t="s">
        <v>5573</v>
      </c>
      <c r="D4910" s="25">
        <v>0.0</v>
      </c>
      <c r="E4910" s="27"/>
      <c r="F4910" s="25">
        <v>0.0</v>
      </c>
      <c r="G4910" s="27"/>
    </row>
    <row r="4911" hidden="1">
      <c r="A4911" s="21"/>
      <c r="B4911" s="21" t="s">
        <v>5574</v>
      </c>
      <c r="D4911" s="25">
        <v>0.0</v>
      </c>
      <c r="E4911" s="27"/>
      <c r="F4911" s="25">
        <v>0.0</v>
      </c>
      <c r="G4911" s="27"/>
    </row>
    <row r="4912" hidden="1">
      <c r="A4912" s="21"/>
      <c r="B4912" s="21" t="s">
        <v>5575</v>
      </c>
      <c r="D4912" s="25">
        <v>0.0</v>
      </c>
      <c r="E4912" s="27"/>
      <c r="F4912" s="25">
        <v>0.0</v>
      </c>
      <c r="G4912" s="27"/>
    </row>
    <row r="4913" hidden="1">
      <c r="A4913" s="21"/>
      <c r="B4913" s="21" t="s">
        <v>5576</v>
      </c>
      <c r="D4913" s="25">
        <v>0.0</v>
      </c>
      <c r="E4913" s="27"/>
      <c r="F4913" s="25">
        <v>0.0</v>
      </c>
      <c r="G4913" s="27"/>
    </row>
    <row r="4914" hidden="1">
      <c r="A4914" s="21"/>
      <c r="B4914" s="21" t="s">
        <v>5577</v>
      </c>
      <c r="D4914" s="25">
        <v>0.0</v>
      </c>
      <c r="E4914" s="27"/>
      <c r="F4914" s="25">
        <v>0.0</v>
      </c>
      <c r="G4914" s="27"/>
    </row>
    <row r="4915" hidden="1">
      <c r="A4915" s="21"/>
      <c r="B4915" s="21" t="s">
        <v>5578</v>
      </c>
      <c r="D4915" s="25">
        <v>0.0</v>
      </c>
      <c r="E4915" s="27"/>
      <c r="F4915" s="25">
        <v>0.0</v>
      </c>
      <c r="G4915" s="27"/>
    </row>
    <row r="4916" hidden="1">
      <c r="A4916" s="21"/>
      <c r="B4916" s="21" t="s">
        <v>5579</v>
      </c>
      <c r="D4916" s="25">
        <v>0.0</v>
      </c>
      <c r="E4916" s="27"/>
      <c r="F4916" s="25">
        <v>0.0</v>
      </c>
      <c r="G4916" s="27"/>
    </row>
    <row r="4917" hidden="1">
      <c r="A4917" s="21"/>
      <c r="B4917" s="21" t="s">
        <v>5580</v>
      </c>
      <c r="D4917" s="25">
        <v>0.0</v>
      </c>
      <c r="E4917" s="27"/>
      <c r="F4917" s="25">
        <v>0.0</v>
      </c>
      <c r="G4917" s="27"/>
    </row>
    <row r="4918" hidden="1">
      <c r="A4918" s="21"/>
      <c r="B4918" s="21" t="s">
        <v>5581</v>
      </c>
      <c r="D4918" s="25">
        <v>0.0</v>
      </c>
      <c r="E4918" s="27"/>
      <c r="F4918" s="25">
        <v>0.0</v>
      </c>
      <c r="G4918" s="27"/>
    </row>
    <row r="4919" hidden="1">
      <c r="A4919" s="21"/>
      <c r="B4919" s="21" t="s">
        <v>5582</v>
      </c>
      <c r="D4919" s="25">
        <v>0.0</v>
      </c>
      <c r="E4919" s="27"/>
      <c r="F4919" s="25">
        <v>0.0</v>
      </c>
      <c r="G4919" s="27"/>
    </row>
    <row r="4920" hidden="1">
      <c r="A4920" s="21"/>
      <c r="B4920" s="21" t="s">
        <v>5583</v>
      </c>
      <c r="D4920" s="25">
        <v>0.0</v>
      </c>
      <c r="E4920" s="27"/>
      <c r="F4920" s="25">
        <v>0.0</v>
      </c>
      <c r="G4920" s="27"/>
    </row>
    <row r="4921" hidden="1">
      <c r="A4921" s="21"/>
      <c r="B4921" s="21" t="s">
        <v>5584</v>
      </c>
      <c r="D4921" s="25">
        <v>0.0</v>
      </c>
      <c r="E4921" s="27"/>
      <c r="F4921" s="25">
        <v>0.0</v>
      </c>
      <c r="G4921" s="27"/>
    </row>
    <row r="4922" hidden="1">
      <c r="A4922" s="21"/>
      <c r="B4922" s="21" t="s">
        <v>5585</v>
      </c>
      <c r="D4922" s="25">
        <v>0.0</v>
      </c>
      <c r="E4922" s="27"/>
      <c r="F4922" s="25">
        <v>0.0</v>
      </c>
      <c r="G4922" s="27"/>
    </row>
    <row r="4923" hidden="1">
      <c r="A4923" s="21"/>
      <c r="B4923" s="21" t="s">
        <v>5586</v>
      </c>
      <c r="D4923" s="25">
        <v>0.0</v>
      </c>
      <c r="E4923" s="27"/>
      <c r="F4923" s="25">
        <v>0.0</v>
      </c>
      <c r="G4923" s="27"/>
    </row>
    <row r="4924" hidden="1">
      <c r="A4924" s="21"/>
      <c r="B4924" s="21" t="s">
        <v>5587</v>
      </c>
      <c r="D4924" s="25">
        <v>0.0</v>
      </c>
      <c r="E4924" s="27"/>
      <c r="F4924" s="25">
        <v>0.0</v>
      </c>
      <c r="G4924" s="27"/>
    </row>
    <row r="4925" hidden="1">
      <c r="A4925" s="21"/>
      <c r="B4925" s="21" t="s">
        <v>5588</v>
      </c>
      <c r="D4925" s="25">
        <v>0.0</v>
      </c>
      <c r="E4925" s="27"/>
      <c r="F4925" s="25">
        <v>0.0</v>
      </c>
      <c r="G4925" s="27"/>
    </row>
    <row r="4926" hidden="1">
      <c r="A4926" s="21"/>
      <c r="B4926" s="21" t="s">
        <v>5589</v>
      </c>
      <c r="D4926" s="25">
        <v>0.0</v>
      </c>
      <c r="E4926" s="27"/>
      <c r="F4926" s="25">
        <v>0.0</v>
      </c>
      <c r="G4926" s="27"/>
    </row>
    <row r="4927" hidden="1">
      <c r="A4927" s="21"/>
      <c r="B4927" s="21" t="s">
        <v>5590</v>
      </c>
      <c r="D4927" s="25">
        <v>0.0</v>
      </c>
      <c r="E4927" s="27"/>
      <c r="F4927" s="25">
        <v>0.0</v>
      </c>
      <c r="G4927" s="27"/>
    </row>
    <row r="4928" hidden="1">
      <c r="A4928" s="21"/>
      <c r="B4928" s="21" t="s">
        <v>5591</v>
      </c>
      <c r="D4928" s="25">
        <v>0.0</v>
      </c>
      <c r="E4928" s="27"/>
      <c r="F4928" s="25">
        <v>0.0</v>
      </c>
      <c r="G4928" s="27"/>
    </row>
    <row r="4929" hidden="1">
      <c r="A4929" s="21"/>
      <c r="B4929" s="21" t="s">
        <v>5592</v>
      </c>
      <c r="D4929" s="25">
        <v>0.0</v>
      </c>
      <c r="E4929" s="27"/>
      <c r="F4929" s="25">
        <v>0.0</v>
      </c>
      <c r="G4929" s="27"/>
    </row>
    <row r="4930" hidden="1">
      <c r="A4930" s="21"/>
      <c r="B4930" s="21" t="s">
        <v>5593</v>
      </c>
      <c r="D4930" s="25">
        <v>0.0</v>
      </c>
      <c r="E4930" s="27"/>
      <c r="F4930" s="25">
        <v>0.0</v>
      </c>
      <c r="G4930" s="27"/>
    </row>
    <row r="4931" hidden="1">
      <c r="A4931" s="21"/>
      <c r="B4931" s="21" t="s">
        <v>5594</v>
      </c>
      <c r="D4931" s="25">
        <v>0.0</v>
      </c>
      <c r="E4931" s="27"/>
      <c r="F4931" s="25">
        <v>0.0</v>
      </c>
      <c r="G4931" s="27"/>
    </row>
    <row r="4932" hidden="1">
      <c r="A4932" s="21"/>
      <c r="B4932" s="21" t="s">
        <v>5595</v>
      </c>
      <c r="D4932" s="25">
        <v>0.0</v>
      </c>
      <c r="E4932" s="27"/>
      <c r="F4932" s="25">
        <v>0.0</v>
      </c>
      <c r="G4932" s="27"/>
    </row>
    <row r="4933" hidden="1">
      <c r="A4933" s="21"/>
      <c r="B4933" s="21" t="s">
        <v>5596</v>
      </c>
      <c r="D4933" s="25">
        <v>0.0</v>
      </c>
      <c r="E4933" s="27"/>
      <c r="F4933" s="25">
        <v>0.0</v>
      </c>
      <c r="G4933" s="27"/>
    </row>
    <row r="4934" hidden="1">
      <c r="A4934" s="21"/>
      <c r="B4934" s="21" t="s">
        <v>5597</v>
      </c>
      <c r="D4934" s="25">
        <v>0.0</v>
      </c>
      <c r="E4934" s="27"/>
      <c r="F4934" s="25">
        <v>0.0</v>
      </c>
      <c r="G4934" s="27"/>
    </row>
    <row r="4935" hidden="1">
      <c r="A4935" s="21"/>
      <c r="B4935" s="21" t="s">
        <v>5598</v>
      </c>
      <c r="D4935" s="25">
        <v>0.0</v>
      </c>
      <c r="E4935" s="27"/>
      <c r="F4935" s="25">
        <v>0.0</v>
      </c>
      <c r="G4935" s="27"/>
    </row>
    <row r="4936" hidden="1">
      <c r="A4936" s="21"/>
      <c r="B4936" s="21" t="s">
        <v>5599</v>
      </c>
      <c r="D4936" s="25">
        <v>0.0</v>
      </c>
      <c r="E4936" s="27"/>
      <c r="F4936" s="25">
        <v>0.0</v>
      </c>
      <c r="G4936" s="27"/>
    </row>
    <row r="4937" hidden="1">
      <c r="A4937" s="21"/>
      <c r="B4937" s="21" t="s">
        <v>5600</v>
      </c>
      <c r="D4937" s="25">
        <v>0.0</v>
      </c>
      <c r="E4937" s="27"/>
      <c r="F4937" s="25">
        <v>0.0</v>
      </c>
      <c r="G4937" s="27"/>
    </row>
    <row r="4938" hidden="1">
      <c r="A4938" s="21"/>
      <c r="B4938" s="21" t="s">
        <v>5601</v>
      </c>
      <c r="D4938" s="25">
        <v>0.0</v>
      </c>
      <c r="E4938" s="27"/>
      <c r="F4938" s="25">
        <v>0.0</v>
      </c>
      <c r="G4938" s="27"/>
    </row>
    <row r="4939" hidden="1">
      <c r="A4939" s="21"/>
      <c r="B4939" s="21" t="s">
        <v>5602</v>
      </c>
      <c r="D4939" s="25">
        <v>0.0</v>
      </c>
      <c r="E4939" s="27"/>
      <c r="F4939" s="25">
        <v>0.0</v>
      </c>
      <c r="G4939" s="27"/>
    </row>
    <row r="4940" hidden="1">
      <c r="A4940" s="21"/>
      <c r="B4940" s="21" t="s">
        <v>5603</v>
      </c>
      <c r="D4940" s="25">
        <v>0.0</v>
      </c>
      <c r="E4940" s="27"/>
      <c r="F4940" s="25">
        <v>0.0</v>
      </c>
      <c r="G4940" s="27"/>
    </row>
    <row r="4941" hidden="1">
      <c r="A4941" s="21"/>
      <c r="B4941" s="21" t="s">
        <v>5604</v>
      </c>
      <c r="D4941" s="25">
        <v>0.0</v>
      </c>
      <c r="E4941" s="27"/>
      <c r="F4941" s="25">
        <v>0.0</v>
      </c>
      <c r="G4941" s="27"/>
    </row>
    <row r="4942" hidden="1">
      <c r="A4942" s="21"/>
      <c r="B4942" s="21" t="s">
        <v>5605</v>
      </c>
      <c r="D4942" s="25">
        <v>0.0</v>
      </c>
      <c r="E4942" s="27"/>
      <c r="F4942" s="25">
        <v>0.0</v>
      </c>
      <c r="G4942" s="27"/>
    </row>
    <row r="4943" hidden="1">
      <c r="A4943" s="21"/>
      <c r="B4943" s="21" t="s">
        <v>5606</v>
      </c>
      <c r="D4943" s="25">
        <v>0.0</v>
      </c>
      <c r="E4943" s="27"/>
      <c r="F4943" s="25">
        <v>0.0</v>
      </c>
      <c r="G4943" s="27"/>
    </row>
    <row r="4944" hidden="1">
      <c r="A4944" s="21"/>
      <c r="B4944" s="21" t="s">
        <v>5607</v>
      </c>
      <c r="D4944" s="25">
        <v>0.0</v>
      </c>
      <c r="E4944" s="27"/>
      <c r="F4944" s="25">
        <v>0.0</v>
      </c>
      <c r="G4944" s="27"/>
    </row>
    <row r="4945" hidden="1">
      <c r="A4945" s="21"/>
      <c r="B4945" s="21" t="s">
        <v>5608</v>
      </c>
      <c r="D4945" s="25">
        <v>0.0</v>
      </c>
      <c r="E4945" s="27"/>
      <c r="F4945" s="25">
        <v>0.0</v>
      </c>
      <c r="G4945" s="27"/>
    </row>
    <row r="4946" hidden="1">
      <c r="A4946" s="21"/>
      <c r="B4946" s="21" t="s">
        <v>5609</v>
      </c>
      <c r="D4946" s="25">
        <v>0.0</v>
      </c>
      <c r="E4946" s="27"/>
      <c r="F4946" s="25">
        <v>0.0</v>
      </c>
      <c r="G4946" s="27"/>
    </row>
    <row r="4947" hidden="1">
      <c r="A4947" s="21"/>
      <c r="B4947" s="21" t="s">
        <v>5610</v>
      </c>
      <c r="D4947" s="25">
        <v>0.0</v>
      </c>
      <c r="E4947" s="27"/>
      <c r="F4947" s="25">
        <v>0.0</v>
      </c>
      <c r="G4947" s="27"/>
    </row>
    <row r="4948" hidden="1">
      <c r="A4948" s="21"/>
      <c r="B4948" s="21" t="s">
        <v>5611</v>
      </c>
      <c r="D4948" s="25">
        <v>0.0</v>
      </c>
      <c r="E4948" s="27"/>
      <c r="F4948" s="25">
        <v>0.0</v>
      </c>
      <c r="G4948" s="27"/>
    </row>
    <row r="4949" hidden="1">
      <c r="A4949" s="21"/>
      <c r="B4949" s="21" t="s">
        <v>5612</v>
      </c>
      <c r="D4949" s="25">
        <v>0.0</v>
      </c>
      <c r="E4949" s="27"/>
      <c r="F4949" s="25">
        <v>0.0</v>
      </c>
      <c r="G4949" s="27"/>
    </row>
    <row r="4950" hidden="1">
      <c r="A4950" s="21"/>
      <c r="B4950" s="21" t="s">
        <v>5613</v>
      </c>
      <c r="D4950" s="25">
        <v>0.0</v>
      </c>
      <c r="E4950" s="27"/>
      <c r="F4950" s="25">
        <v>0.0</v>
      </c>
      <c r="G4950" s="27"/>
    </row>
    <row r="4951" hidden="1">
      <c r="A4951" s="21"/>
      <c r="B4951" s="21" t="s">
        <v>5614</v>
      </c>
      <c r="D4951" s="25">
        <v>0.0</v>
      </c>
      <c r="E4951" s="27"/>
      <c r="F4951" s="25">
        <v>0.0</v>
      </c>
      <c r="G4951" s="27"/>
    </row>
    <row r="4952" hidden="1">
      <c r="A4952" s="21"/>
      <c r="B4952" s="21" t="s">
        <v>5615</v>
      </c>
      <c r="D4952" s="25">
        <v>0.0</v>
      </c>
      <c r="E4952" s="27"/>
      <c r="F4952" s="25">
        <v>0.0</v>
      </c>
      <c r="G4952" s="27"/>
    </row>
    <row r="4953" hidden="1">
      <c r="A4953" s="21"/>
      <c r="B4953" s="21" t="s">
        <v>5616</v>
      </c>
      <c r="D4953" s="25">
        <v>0.0</v>
      </c>
      <c r="E4953" s="27"/>
      <c r="F4953" s="25">
        <v>0.0</v>
      </c>
      <c r="G4953" s="27"/>
    </row>
    <row r="4954" hidden="1">
      <c r="A4954" s="21"/>
      <c r="B4954" s="21" t="s">
        <v>5617</v>
      </c>
      <c r="D4954" s="25">
        <v>0.0</v>
      </c>
      <c r="E4954" s="27"/>
      <c r="F4954" s="25">
        <v>0.0</v>
      </c>
      <c r="G4954" s="27"/>
    </row>
    <row r="4955" hidden="1">
      <c r="A4955" s="21"/>
      <c r="B4955" s="21" t="s">
        <v>5618</v>
      </c>
      <c r="D4955" s="25">
        <v>0.0</v>
      </c>
      <c r="E4955" s="27"/>
      <c r="F4955" s="25">
        <v>0.0</v>
      </c>
      <c r="G4955" s="27"/>
    </row>
    <row r="4956" hidden="1">
      <c r="A4956" s="21"/>
      <c r="B4956" s="21" t="s">
        <v>5619</v>
      </c>
      <c r="D4956" s="25">
        <v>0.0</v>
      </c>
      <c r="E4956" s="27"/>
      <c r="F4956" s="25">
        <v>0.0</v>
      </c>
      <c r="G4956" s="27"/>
    </row>
    <row r="4957" hidden="1">
      <c r="A4957" s="21"/>
      <c r="B4957" s="21" t="s">
        <v>5620</v>
      </c>
      <c r="D4957" s="25">
        <v>0.0</v>
      </c>
      <c r="E4957" s="27"/>
      <c r="F4957" s="25">
        <v>0.0</v>
      </c>
      <c r="G4957" s="27"/>
    </row>
    <row r="4958" hidden="1">
      <c r="A4958" s="21"/>
      <c r="B4958" s="21" t="s">
        <v>5621</v>
      </c>
      <c r="D4958" s="25">
        <v>0.0</v>
      </c>
      <c r="E4958" s="27"/>
      <c r="F4958" s="25">
        <v>0.0</v>
      </c>
      <c r="G4958" s="27"/>
    </row>
    <row r="4959" hidden="1">
      <c r="A4959" s="21"/>
      <c r="B4959" s="21" t="s">
        <v>5622</v>
      </c>
      <c r="D4959" s="25">
        <v>0.0</v>
      </c>
      <c r="E4959" s="27"/>
      <c r="F4959" s="25">
        <v>0.0</v>
      </c>
      <c r="G4959" s="27"/>
    </row>
    <row r="4960" hidden="1">
      <c r="A4960" s="21"/>
      <c r="B4960" s="21" t="s">
        <v>5623</v>
      </c>
      <c r="D4960" s="25">
        <v>0.0</v>
      </c>
      <c r="E4960" s="27"/>
      <c r="F4960" s="25">
        <v>0.0</v>
      </c>
      <c r="G4960" s="27"/>
    </row>
    <row r="4961" hidden="1">
      <c r="A4961" s="21"/>
      <c r="B4961" s="21" t="s">
        <v>5624</v>
      </c>
      <c r="D4961" s="25">
        <v>0.0</v>
      </c>
      <c r="E4961" s="27"/>
      <c r="F4961" s="25">
        <v>0.0</v>
      </c>
      <c r="G4961" s="27"/>
    </row>
    <row r="4962" hidden="1">
      <c r="A4962" s="21"/>
      <c r="B4962" s="21" t="s">
        <v>5625</v>
      </c>
      <c r="D4962" s="25">
        <v>0.0</v>
      </c>
      <c r="E4962" s="27"/>
      <c r="F4962" s="25">
        <v>0.0</v>
      </c>
      <c r="G4962" s="27"/>
    </row>
    <row r="4963" hidden="1">
      <c r="A4963" s="21"/>
      <c r="B4963" s="21" t="s">
        <v>5626</v>
      </c>
      <c r="D4963" s="25">
        <v>0.0</v>
      </c>
      <c r="E4963" s="27"/>
      <c r="F4963" s="25">
        <v>0.0</v>
      </c>
      <c r="G4963" s="27"/>
    </row>
    <row r="4964" hidden="1">
      <c r="A4964" s="21"/>
      <c r="B4964" s="21" t="s">
        <v>5627</v>
      </c>
      <c r="D4964" s="25">
        <v>0.0</v>
      </c>
      <c r="E4964" s="27"/>
      <c r="F4964" s="25">
        <v>0.0</v>
      </c>
      <c r="G4964" s="27"/>
    </row>
    <row r="4965" hidden="1">
      <c r="A4965" s="21"/>
      <c r="B4965" s="21" t="s">
        <v>5628</v>
      </c>
      <c r="D4965" s="25">
        <v>0.0</v>
      </c>
      <c r="E4965" s="27"/>
      <c r="F4965" s="25">
        <v>0.0</v>
      </c>
      <c r="G4965" s="27"/>
    </row>
    <row r="4966" hidden="1">
      <c r="A4966" s="21"/>
      <c r="B4966" s="21" t="s">
        <v>5629</v>
      </c>
      <c r="D4966" s="25">
        <v>0.0</v>
      </c>
      <c r="E4966" s="27"/>
      <c r="F4966" s="25">
        <v>0.0</v>
      </c>
      <c r="G4966" s="27"/>
    </row>
    <row r="4967" hidden="1">
      <c r="A4967" s="21"/>
      <c r="B4967" s="21" t="s">
        <v>5630</v>
      </c>
      <c r="D4967" s="25">
        <v>0.0</v>
      </c>
      <c r="E4967" s="27"/>
      <c r="F4967" s="25">
        <v>0.0</v>
      </c>
      <c r="G4967" s="27"/>
    </row>
    <row r="4968" hidden="1">
      <c r="A4968" s="21"/>
      <c r="B4968" s="21" t="s">
        <v>5631</v>
      </c>
      <c r="D4968" s="25">
        <v>0.0</v>
      </c>
      <c r="E4968" s="27"/>
      <c r="F4968" s="25">
        <v>0.0</v>
      </c>
      <c r="G4968" s="27"/>
    </row>
    <row r="4969" hidden="1">
      <c r="A4969" s="21"/>
      <c r="B4969" s="21" t="s">
        <v>5632</v>
      </c>
      <c r="D4969" s="25">
        <v>0.0</v>
      </c>
      <c r="E4969" s="27"/>
      <c r="F4969" s="25">
        <v>0.0</v>
      </c>
      <c r="G4969" s="27"/>
    </row>
    <row r="4970" hidden="1">
      <c r="A4970" s="21"/>
      <c r="B4970" s="21" t="s">
        <v>5633</v>
      </c>
      <c r="D4970" s="25">
        <v>0.0</v>
      </c>
      <c r="E4970" s="27"/>
      <c r="F4970" s="25">
        <v>0.0</v>
      </c>
      <c r="G4970" s="27"/>
    </row>
    <row r="4971" hidden="1">
      <c r="A4971" s="21"/>
      <c r="B4971" s="21" t="s">
        <v>5634</v>
      </c>
      <c r="D4971" s="25">
        <v>0.0</v>
      </c>
      <c r="E4971" s="27"/>
      <c r="F4971" s="25">
        <v>0.0</v>
      </c>
      <c r="G4971" s="27"/>
    </row>
    <row r="4972" hidden="1">
      <c r="A4972" s="21"/>
      <c r="B4972" s="21" t="s">
        <v>5635</v>
      </c>
      <c r="D4972" s="25">
        <v>0.0</v>
      </c>
      <c r="E4972" s="27"/>
      <c r="F4972" s="25">
        <v>0.0</v>
      </c>
      <c r="G4972" s="27"/>
    </row>
    <row r="4973" hidden="1">
      <c r="A4973" s="21"/>
      <c r="B4973" s="21" t="s">
        <v>5636</v>
      </c>
      <c r="D4973" s="25">
        <v>0.0</v>
      </c>
      <c r="E4973" s="27"/>
      <c r="F4973" s="25">
        <v>0.0</v>
      </c>
      <c r="G4973" s="27"/>
    </row>
    <row r="4974" hidden="1">
      <c r="A4974" s="21"/>
      <c r="B4974" s="21" t="s">
        <v>5637</v>
      </c>
      <c r="D4974" s="25">
        <v>0.0</v>
      </c>
      <c r="E4974" s="27"/>
      <c r="F4974" s="25">
        <v>0.0</v>
      </c>
      <c r="G4974" s="27"/>
    </row>
    <row r="4975" hidden="1">
      <c r="A4975" s="21"/>
      <c r="B4975" s="21" t="s">
        <v>5638</v>
      </c>
      <c r="D4975" s="25">
        <v>0.0</v>
      </c>
      <c r="E4975" s="27"/>
      <c r="F4975" s="25">
        <v>0.0</v>
      </c>
      <c r="G4975" s="27"/>
    </row>
    <row r="4976" hidden="1">
      <c r="A4976" s="21"/>
      <c r="B4976" s="21" t="s">
        <v>5639</v>
      </c>
      <c r="D4976" s="25">
        <v>0.0</v>
      </c>
      <c r="E4976" s="27"/>
      <c r="F4976" s="25">
        <v>0.0</v>
      </c>
      <c r="G4976" s="27"/>
    </row>
    <row r="4977" hidden="1">
      <c r="A4977" s="21"/>
      <c r="B4977" s="21" t="s">
        <v>5640</v>
      </c>
      <c r="D4977" s="25">
        <v>0.0</v>
      </c>
      <c r="E4977" s="27"/>
      <c r="F4977" s="25">
        <v>0.0</v>
      </c>
      <c r="G4977" s="27"/>
    </row>
    <row r="4978" hidden="1">
      <c r="A4978" s="21"/>
      <c r="B4978" s="21" t="s">
        <v>5641</v>
      </c>
      <c r="D4978" s="25">
        <v>0.0</v>
      </c>
      <c r="E4978" s="27"/>
      <c r="F4978" s="25">
        <v>0.0</v>
      </c>
      <c r="G4978" s="27"/>
    </row>
    <row r="4979" hidden="1">
      <c r="A4979" s="21"/>
      <c r="B4979" s="21" t="s">
        <v>5642</v>
      </c>
      <c r="D4979" s="25">
        <v>0.0</v>
      </c>
      <c r="E4979" s="27"/>
      <c r="F4979" s="25">
        <v>0.0</v>
      </c>
      <c r="G4979" s="27"/>
    </row>
    <row r="4980" hidden="1">
      <c r="A4980" s="21"/>
      <c r="B4980" s="21" t="s">
        <v>5643</v>
      </c>
      <c r="D4980" s="25">
        <v>0.0</v>
      </c>
      <c r="E4980" s="27"/>
      <c r="F4980" s="25">
        <v>3.37</v>
      </c>
      <c r="G4980" s="27"/>
    </row>
    <row r="4981" hidden="1">
      <c r="A4981" s="21"/>
      <c r="B4981" s="21" t="s">
        <v>5644</v>
      </c>
      <c r="D4981" s="25">
        <v>0.0</v>
      </c>
      <c r="E4981" s="27"/>
      <c r="F4981" s="25">
        <v>0.0</v>
      </c>
      <c r="G4981" s="27"/>
    </row>
    <row r="4982" hidden="1">
      <c r="A4982" s="21"/>
      <c r="B4982" s="21" t="s">
        <v>5645</v>
      </c>
      <c r="D4982" s="25">
        <v>0.0</v>
      </c>
      <c r="E4982" s="27"/>
      <c r="F4982" s="25">
        <v>3.95</v>
      </c>
      <c r="G4982" s="27"/>
    </row>
    <row r="4983" hidden="1">
      <c r="A4983" s="21"/>
      <c r="B4983" s="21" t="s">
        <v>5646</v>
      </c>
      <c r="D4983" s="25">
        <v>0.0</v>
      </c>
      <c r="E4983" s="27"/>
      <c r="F4983" s="25">
        <v>0.0</v>
      </c>
      <c r="G4983" s="27"/>
    </row>
    <row r="4984" hidden="1">
      <c r="A4984" s="21"/>
      <c r="B4984" s="21" t="s">
        <v>5647</v>
      </c>
      <c r="D4984" s="25">
        <v>0.0</v>
      </c>
      <c r="E4984" s="27"/>
      <c r="F4984" s="25">
        <v>0.0</v>
      </c>
      <c r="G4984" s="27"/>
    </row>
    <row r="4985" hidden="1">
      <c r="A4985" s="21"/>
      <c r="B4985" s="21" t="s">
        <v>407</v>
      </c>
      <c r="D4985" s="25">
        <v>0.0</v>
      </c>
      <c r="E4985" s="27"/>
      <c r="F4985" s="25">
        <v>0.0</v>
      </c>
      <c r="G4985" s="27"/>
    </row>
    <row r="4986" hidden="1">
      <c r="A4986" s="21"/>
      <c r="B4986" s="21" t="s">
        <v>5648</v>
      </c>
      <c r="D4986" s="25">
        <v>0.0</v>
      </c>
      <c r="E4986" s="27"/>
      <c r="F4986" s="25">
        <v>0.0</v>
      </c>
      <c r="G4986" s="27"/>
    </row>
    <row r="4987" hidden="1">
      <c r="A4987" s="21"/>
      <c r="B4987" s="21" t="s">
        <v>5649</v>
      </c>
      <c r="D4987" s="25">
        <v>0.0</v>
      </c>
      <c r="E4987" s="27"/>
      <c r="F4987" s="25">
        <v>0.0</v>
      </c>
      <c r="G4987" s="27"/>
    </row>
    <row r="4988" hidden="1">
      <c r="A4988" s="21"/>
      <c r="B4988" s="21" t="s">
        <v>5650</v>
      </c>
      <c r="D4988" s="25">
        <v>0.0</v>
      </c>
      <c r="E4988" s="27"/>
      <c r="F4988" s="25">
        <v>0.0</v>
      </c>
      <c r="G4988" s="27"/>
    </row>
    <row r="4989" hidden="1">
      <c r="A4989" s="21"/>
      <c r="B4989" s="21" t="s">
        <v>5651</v>
      </c>
      <c r="D4989" s="25">
        <v>0.0</v>
      </c>
      <c r="E4989" s="27"/>
      <c r="F4989" s="25">
        <v>0.0</v>
      </c>
      <c r="G4989" s="27"/>
    </row>
    <row r="4990" hidden="1">
      <c r="A4990" s="21"/>
      <c r="B4990" s="21" t="s">
        <v>5652</v>
      </c>
      <c r="D4990" s="25">
        <v>0.0</v>
      </c>
      <c r="E4990" s="27"/>
      <c r="F4990" s="25">
        <v>0.0</v>
      </c>
      <c r="G4990" s="27"/>
    </row>
    <row r="4991" hidden="1">
      <c r="A4991" s="21"/>
      <c r="B4991" s="21" t="s">
        <v>5653</v>
      </c>
      <c r="D4991" s="25">
        <v>0.0</v>
      </c>
      <c r="E4991" s="27"/>
      <c r="F4991" s="25">
        <v>0.0</v>
      </c>
      <c r="G4991" s="27"/>
    </row>
    <row r="4992" hidden="1">
      <c r="A4992" s="21"/>
      <c r="B4992" s="21" t="s">
        <v>5654</v>
      </c>
      <c r="D4992" s="25">
        <v>0.0</v>
      </c>
      <c r="E4992" s="27"/>
      <c r="F4992" s="25">
        <v>0.93</v>
      </c>
      <c r="G4992" s="27"/>
    </row>
    <row r="4993" hidden="1">
      <c r="A4993" s="21"/>
      <c r="B4993" s="21" t="s">
        <v>5655</v>
      </c>
      <c r="D4993" s="25">
        <v>0.0</v>
      </c>
      <c r="E4993" s="27"/>
      <c r="F4993" s="25">
        <v>0.0</v>
      </c>
      <c r="G4993" s="27"/>
    </row>
    <row r="4994" hidden="1">
      <c r="A4994" s="21"/>
      <c r="B4994" s="21" t="s">
        <v>5656</v>
      </c>
      <c r="D4994" s="25">
        <v>0.0</v>
      </c>
      <c r="E4994" s="27"/>
      <c r="F4994" s="25">
        <v>0.0</v>
      </c>
      <c r="G4994" s="27"/>
    </row>
    <row r="4995" hidden="1">
      <c r="A4995" s="21"/>
      <c r="B4995" s="21" t="s">
        <v>5657</v>
      </c>
      <c r="D4995" s="25">
        <v>0.0</v>
      </c>
      <c r="E4995" s="27"/>
      <c r="F4995" s="25">
        <v>0.0</v>
      </c>
      <c r="G4995" s="27"/>
    </row>
    <row r="4996" hidden="1">
      <c r="A4996" s="21"/>
      <c r="B4996" s="21" t="s">
        <v>5658</v>
      </c>
      <c r="D4996" s="25">
        <v>0.0</v>
      </c>
      <c r="E4996" s="27"/>
      <c r="F4996" s="25">
        <v>0.0</v>
      </c>
      <c r="G4996" s="27"/>
    </row>
    <row r="4997" hidden="1">
      <c r="A4997" s="21"/>
      <c r="B4997" s="21" t="s">
        <v>5659</v>
      </c>
      <c r="D4997" s="25">
        <v>0.0</v>
      </c>
      <c r="E4997" s="27"/>
      <c r="F4997" s="25">
        <v>0.0</v>
      </c>
      <c r="G4997" s="27"/>
    </row>
    <row r="4998" hidden="1">
      <c r="A4998" s="21"/>
      <c r="B4998" s="21" t="s">
        <v>5660</v>
      </c>
      <c r="D4998" s="25">
        <v>0.0</v>
      </c>
      <c r="E4998" s="27"/>
      <c r="F4998" s="25">
        <v>0.0</v>
      </c>
      <c r="G4998" s="27"/>
    </row>
    <row r="4999" hidden="1">
      <c r="A4999" s="21"/>
      <c r="B4999" s="21" t="s">
        <v>5661</v>
      </c>
      <c r="D4999" s="25">
        <v>0.0</v>
      </c>
      <c r="E4999" s="27"/>
      <c r="F4999" s="25">
        <v>0.0</v>
      </c>
      <c r="G4999" s="27"/>
    </row>
    <row r="5000" hidden="1">
      <c r="A5000" s="21"/>
      <c r="B5000" s="21" t="s">
        <v>5662</v>
      </c>
      <c r="D5000" s="25">
        <v>0.0</v>
      </c>
      <c r="E5000" s="27"/>
      <c r="F5000" s="25">
        <v>0.0</v>
      </c>
      <c r="G5000" s="27"/>
    </row>
    <row r="5001" hidden="1">
      <c r="A5001" s="21"/>
      <c r="B5001" s="21" t="s">
        <v>5663</v>
      </c>
      <c r="D5001" s="25">
        <v>0.0</v>
      </c>
      <c r="E5001" s="27"/>
      <c r="F5001" s="25">
        <v>0.0</v>
      </c>
      <c r="G5001" s="27"/>
    </row>
    <row r="5002" hidden="1">
      <c r="A5002" s="21"/>
      <c r="B5002" s="21" t="s">
        <v>5664</v>
      </c>
      <c r="D5002" s="25">
        <v>0.0</v>
      </c>
      <c r="E5002" s="27"/>
      <c r="F5002" s="25">
        <v>0.0</v>
      </c>
      <c r="G5002" s="27"/>
    </row>
    <row r="5003" hidden="1">
      <c r="A5003" s="21"/>
      <c r="B5003" s="21" t="s">
        <v>5665</v>
      </c>
      <c r="D5003" s="25">
        <v>0.0</v>
      </c>
      <c r="E5003" s="27"/>
      <c r="F5003" s="25">
        <v>0.0</v>
      </c>
      <c r="G5003" s="27"/>
    </row>
    <row r="5004" hidden="1">
      <c r="A5004" s="21"/>
      <c r="B5004" s="21" t="s">
        <v>5666</v>
      </c>
      <c r="D5004" s="25">
        <v>0.0</v>
      </c>
      <c r="E5004" s="27"/>
      <c r="F5004" s="25">
        <v>0.0</v>
      </c>
      <c r="G5004" s="27"/>
    </row>
    <row r="5005" hidden="1">
      <c r="A5005" s="21"/>
      <c r="B5005" s="21" t="s">
        <v>5667</v>
      </c>
      <c r="D5005" s="25">
        <v>0.0</v>
      </c>
      <c r="E5005" s="27"/>
      <c r="F5005" s="25">
        <v>0.0</v>
      </c>
      <c r="G5005" s="27"/>
    </row>
    <row r="5006" hidden="1">
      <c r="A5006" s="21"/>
      <c r="B5006" s="21" t="s">
        <v>5668</v>
      </c>
      <c r="D5006" s="25">
        <v>0.0</v>
      </c>
      <c r="E5006" s="27"/>
      <c r="F5006" s="25">
        <v>0.0</v>
      </c>
      <c r="G5006" s="27"/>
    </row>
    <row r="5007" hidden="1">
      <c r="A5007" s="21"/>
      <c r="B5007" s="21" t="s">
        <v>5669</v>
      </c>
      <c r="D5007" s="25">
        <v>0.0</v>
      </c>
      <c r="E5007" s="27"/>
      <c r="F5007" s="25">
        <v>1.32</v>
      </c>
      <c r="G5007" s="27"/>
    </row>
    <row r="5008" hidden="1">
      <c r="A5008" s="21"/>
      <c r="B5008" s="21" t="s">
        <v>5670</v>
      </c>
      <c r="D5008" s="25">
        <v>0.0</v>
      </c>
      <c r="E5008" s="27"/>
      <c r="F5008" s="25">
        <v>0.0</v>
      </c>
      <c r="G5008" s="27"/>
    </row>
    <row r="5009" hidden="1">
      <c r="A5009" s="21"/>
      <c r="B5009" s="21" t="s">
        <v>5671</v>
      </c>
      <c r="D5009" s="25">
        <v>0.0</v>
      </c>
      <c r="E5009" s="27"/>
      <c r="F5009" s="25">
        <v>0.0</v>
      </c>
      <c r="G5009" s="27"/>
    </row>
    <row r="5010" hidden="1">
      <c r="A5010" s="21"/>
      <c r="B5010" s="21" t="s">
        <v>5672</v>
      </c>
      <c r="D5010" s="25">
        <v>0.0</v>
      </c>
      <c r="E5010" s="27"/>
      <c r="F5010" s="25">
        <v>0.0</v>
      </c>
      <c r="G5010" s="27"/>
    </row>
    <row r="5011" hidden="1">
      <c r="A5011" s="21"/>
      <c r="B5011" s="21" t="s">
        <v>5673</v>
      </c>
      <c r="D5011" s="25">
        <v>0.0</v>
      </c>
      <c r="E5011" s="27"/>
      <c r="F5011" s="25">
        <v>0.0</v>
      </c>
      <c r="G5011" s="27"/>
    </row>
    <row r="5012" hidden="1">
      <c r="A5012" s="21"/>
      <c r="B5012" s="21" t="s">
        <v>5674</v>
      </c>
      <c r="D5012" s="25">
        <v>0.0</v>
      </c>
      <c r="E5012" s="27"/>
      <c r="F5012" s="25">
        <v>0.0</v>
      </c>
      <c r="G5012" s="27"/>
    </row>
    <row r="5013" hidden="1">
      <c r="A5013" s="21"/>
      <c r="B5013" s="21" t="s">
        <v>5675</v>
      </c>
      <c r="D5013" s="25">
        <v>0.0</v>
      </c>
      <c r="E5013" s="27"/>
      <c r="F5013" s="25">
        <v>2.95</v>
      </c>
      <c r="G5013" s="27"/>
    </row>
    <row r="5014" hidden="1">
      <c r="A5014" s="21"/>
      <c r="B5014" s="21" t="s">
        <v>5676</v>
      </c>
      <c r="D5014" s="25">
        <v>0.0</v>
      </c>
      <c r="E5014" s="27"/>
      <c r="F5014" s="25">
        <v>0.0</v>
      </c>
      <c r="G5014" s="27"/>
    </row>
    <row r="5015" hidden="1">
      <c r="A5015" s="21"/>
      <c r="B5015" s="21" t="s">
        <v>5677</v>
      </c>
      <c r="D5015" s="25">
        <v>0.0</v>
      </c>
      <c r="E5015" s="27"/>
      <c r="F5015" s="25">
        <v>0.0</v>
      </c>
      <c r="G5015" s="27"/>
    </row>
    <row r="5016" hidden="1">
      <c r="A5016" s="21"/>
      <c r="B5016" s="21" t="s">
        <v>5678</v>
      </c>
      <c r="D5016" s="25">
        <v>0.0</v>
      </c>
      <c r="E5016" s="27"/>
      <c r="F5016" s="25">
        <v>0.0</v>
      </c>
      <c r="G5016" s="27"/>
    </row>
    <row r="5017" hidden="1">
      <c r="A5017" s="21"/>
      <c r="B5017" s="21" t="s">
        <v>5679</v>
      </c>
      <c r="D5017" s="25">
        <v>0.0</v>
      </c>
      <c r="E5017" s="27"/>
      <c r="F5017" s="25">
        <v>0.0</v>
      </c>
      <c r="G5017" s="27"/>
    </row>
    <row r="5018" hidden="1">
      <c r="A5018" s="21"/>
      <c r="B5018" s="21" t="s">
        <v>5680</v>
      </c>
      <c r="D5018" s="25">
        <v>0.0</v>
      </c>
      <c r="E5018" s="27"/>
      <c r="F5018" s="25">
        <v>0.0</v>
      </c>
      <c r="G5018" s="27"/>
    </row>
    <row r="5019" hidden="1">
      <c r="A5019" s="21"/>
      <c r="B5019" s="21" t="s">
        <v>5681</v>
      </c>
      <c r="D5019" s="25">
        <v>0.0</v>
      </c>
      <c r="E5019" s="27"/>
      <c r="F5019" s="25">
        <v>0.0</v>
      </c>
      <c r="G5019" s="27"/>
    </row>
    <row r="5020" hidden="1">
      <c r="A5020" s="21"/>
      <c r="B5020" s="21" t="s">
        <v>5682</v>
      </c>
      <c r="D5020" s="25">
        <v>0.0</v>
      </c>
      <c r="E5020" s="27"/>
      <c r="F5020" s="25">
        <v>0.0</v>
      </c>
      <c r="G5020" s="27"/>
    </row>
    <row r="5021" hidden="1">
      <c r="A5021" s="21"/>
      <c r="B5021" s="21" t="s">
        <v>5683</v>
      </c>
      <c r="D5021" s="25">
        <v>0.0</v>
      </c>
      <c r="E5021" s="27"/>
      <c r="F5021" s="25">
        <v>0.0</v>
      </c>
      <c r="G5021" s="27"/>
    </row>
    <row r="5022" hidden="1">
      <c r="A5022" s="21"/>
      <c r="B5022" s="21" t="s">
        <v>5684</v>
      </c>
      <c r="D5022" s="25">
        <v>0.0</v>
      </c>
      <c r="E5022" s="27"/>
      <c r="F5022" s="25">
        <v>0.0</v>
      </c>
      <c r="G5022" s="27"/>
    </row>
    <row r="5023" hidden="1">
      <c r="A5023" s="21"/>
      <c r="B5023" s="21" t="s">
        <v>5685</v>
      </c>
      <c r="D5023" s="25">
        <v>0.0</v>
      </c>
      <c r="E5023" s="27"/>
      <c r="F5023" s="25">
        <v>0.0</v>
      </c>
      <c r="G5023" s="27"/>
    </row>
    <row r="5024" hidden="1">
      <c r="A5024" s="21"/>
      <c r="B5024" s="21" t="s">
        <v>5686</v>
      </c>
      <c r="D5024" s="25">
        <v>0.0</v>
      </c>
      <c r="E5024" s="27"/>
      <c r="F5024" s="25">
        <v>3.95</v>
      </c>
      <c r="G5024" s="27"/>
    </row>
    <row r="5025" hidden="1">
      <c r="A5025" s="21"/>
      <c r="B5025" s="21" t="s">
        <v>5687</v>
      </c>
      <c r="D5025" s="25">
        <v>0.0</v>
      </c>
      <c r="E5025" s="27"/>
      <c r="F5025" s="25">
        <v>0.0</v>
      </c>
      <c r="G5025" s="27"/>
    </row>
    <row r="5026" hidden="1">
      <c r="A5026" s="21"/>
      <c r="B5026" s="21" t="s">
        <v>5688</v>
      </c>
      <c r="D5026" s="25">
        <v>0.0</v>
      </c>
      <c r="E5026" s="27"/>
      <c r="F5026" s="25">
        <v>0.0</v>
      </c>
      <c r="G5026" s="27"/>
    </row>
    <row r="5027" hidden="1">
      <c r="A5027" s="21"/>
      <c r="B5027" s="21" t="s">
        <v>5689</v>
      </c>
      <c r="D5027" s="25">
        <v>0.0</v>
      </c>
      <c r="E5027" s="27"/>
      <c r="F5027" s="25">
        <v>0.0</v>
      </c>
      <c r="G5027" s="27"/>
    </row>
    <row r="5028" hidden="1">
      <c r="A5028" s="21"/>
      <c r="B5028" s="21" t="s">
        <v>5690</v>
      </c>
      <c r="D5028" s="25">
        <v>0.0</v>
      </c>
      <c r="E5028" s="27"/>
      <c r="F5028" s="25">
        <v>0.0</v>
      </c>
      <c r="G5028" s="27"/>
    </row>
    <row r="5029" hidden="1">
      <c r="A5029" s="21"/>
      <c r="B5029" s="21" t="s">
        <v>5691</v>
      </c>
      <c r="D5029" s="25">
        <v>0.0</v>
      </c>
      <c r="E5029" s="27"/>
      <c r="F5029" s="25">
        <v>0.0</v>
      </c>
      <c r="G5029" s="27"/>
    </row>
    <row r="5030" hidden="1">
      <c r="A5030" s="21"/>
      <c r="B5030" s="21" t="s">
        <v>5692</v>
      </c>
      <c r="D5030" s="25">
        <v>0.0</v>
      </c>
      <c r="E5030" s="27"/>
      <c r="F5030" s="25">
        <v>0.0</v>
      </c>
      <c r="G5030" s="27"/>
    </row>
    <row r="5031" hidden="1">
      <c r="A5031" s="21"/>
      <c r="B5031" s="21" t="s">
        <v>5693</v>
      </c>
      <c r="D5031" s="25">
        <v>0.0</v>
      </c>
      <c r="E5031" s="27"/>
      <c r="F5031" s="25">
        <v>0.0</v>
      </c>
      <c r="G5031" s="27"/>
    </row>
    <row r="5032" hidden="1">
      <c r="A5032" s="21"/>
      <c r="B5032" s="21" t="s">
        <v>5694</v>
      </c>
      <c r="D5032" s="25">
        <v>0.0</v>
      </c>
      <c r="E5032" s="27"/>
      <c r="F5032" s="25">
        <v>0.0</v>
      </c>
      <c r="G5032" s="27"/>
    </row>
    <row r="5033" hidden="1">
      <c r="A5033" s="21"/>
      <c r="B5033" s="21" t="s">
        <v>5695</v>
      </c>
      <c r="D5033" s="25">
        <v>0.0</v>
      </c>
      <c r="E5033" s="27"/>
      <c r="F5033" s="25">
        <v>0.0</v>
      </c>
      <c r="G5033" s="27"/>
    </row>
    <row r="5034" hidden="1">
      <c r="A5034" s="21"/>
      <c r="B5034" s="21" t="s">
        <v>5696</v>
      </c>
      <c r="D5034" s="25">
        <v>0.0</v>
      </c>
      <c r="E5034" s="27"/>
      <c r="F5034" s="25">
        <v>0.0</v>
      </c>
      <c r="G5034" s="27"/>
    </row>
    <row r="5035" hidden="1">
      <c r="A5035" s="21"/>
      <c r="B5035" s="21" t="s">
        <v>5697</v>
      </c>
      <c r="D5035" s="25">
        <v>0.0</v>
      </c>
      <c r="E5035" s="27"/>
      <c r="F5035" s="25">
        <v>2.9</v>
      </c>
      <c r="G5035" s="27"/>
    </row>
    <row r="5036" hidden="1">
      <c r="A5036" s="21"/>
      <c r="B5036" s="21" t="s">
        <v>5698</v>
      </c>
      <c r="D5036" s="25">
        <v>0.0</v>
      </c>
      <c r="E5036" s="27"/>
      <c r="F5036" s="25">
        <v>0.0</v>
      </c>
      <c r="G5036" s="27"/>
    </row>
    <row r="5037" hidden="1">
      <c r="A5037" s="21"/>
      <c r="B5037" s="21" t="s">
        <v>5699</v>
      </c>
      <c r="D5037" s="25">
        <v>0.0</v>
      </c>
      <c r="E5037" s="27"/>
      <c r="F5037" s="25">
        <v>0.0</v>
      </c>
      <c r="G5037" s="27"/>
    </row>
    <row r="5038" hidden="1">
      <c r="A5038" s="21"/>
      <c r="B5038" s="21" t="s">
        <v>5700</v>
      </c>
      <c r="D5038" s="25">
        <v>0.0</v>
      </c>
      <c r="E5038" s="27"/>
      <c r="F5038" s="25">
        <v>0.0</v>
      </c>
      <c r="G5038" s="27"/>
    </row>
    <row r="5039" hidden="1">
      <c r="A5039" s="21"/>
      <c r="B5039" s="21" t="s">
        <v>5701</v>
      </c>
      <c r="D5039" s="25">
        <v>0.0</v>
      </c>
      <c r="E5039" s="27"/>
      <c r="F5039" s="25">
        <v>0.0</v>
      </c>
      <c r="G5039" s="27"/>
    </row>
    <row r="5040" hidden="1">
      <c r="A5040" s="21"/>
      <c r="B5040" s="21" t="s">
        <v>5702</v>
      </c>
      <c r="D5040" s="25">
        <v>0.0</v>
      </c>
      <c r="E5040" s="27"/>
      <c r="F5040" s="25">
        <v>0.0</v>
      </c>
      <c r="G5040" s="27"/>
    </row>
    <row r="5041" hidden="1">
      <c r="A5041" s="21"/>
      <c r="B5041" s="21" t="s">
        <v>5703</v>
      </c>
      <c r="D5041" s="25">
        <v>0.0</v>
      </c>
      <c r="E5041" s="27"/>
      <c r="F5041" s="25">
        <v>0.0</v>
      </c>
      <c r="G5041" s="27"/>
    </row>
    <row r="5042" hidden="1">
      <c r="A5042" s="21"/>
      <c r="B5042" s="21" t="s">
        <v>5704</v>
      </c>
      <c r="D5042" s="25">
        <v>0.0</v>
      </c>
      <c r="E5042" s="27"/>
      <c r="F5042" s="25">
        <v>0.0</v>
      </c>
      <c r="G5042" s="27"/>
    </row>
    <row r="5043" hidden="1">
      <c r="A5043" s="21"/>
      <c r="B5043" s="21" t="s">
        <v>5705</v>
      </c>
      <c r="D5043" s="25">
        <v>0.0</v>
      </c>
      <c r="E5043" s="27"/>
      <c r="F5043" s="25">
        <v>0.0</v>
      </c>
      <c r="G5043" s="27"/>
    </row>
    <row r="5044" hidden="1">
      <c r="A5044" s="21"/>
      <c r="B5044" s="21" t="s">
        <v>5706</v>
      </c>
      <c r="D5044" s="25">
        <v>0.0</v>
      </c>
      <c r="E5044" s="27"/>
      <c r="F5044" s="25">
        <v>0.0</v>
      </c>
      <c r="G5044" s="27"/>
    </row>
    <row r="5045" hidden="1">
      <c r="A5045" s="21"/>
      <c r="B5045" s="21" t="s">
        <v>5707</v>
      </c>
      <c r="D5045" s="25">
        <v>0.0</v>
      </c>
      <c r="E5045" s="27"/>
      <c r="F5045" s="25">
        <v>0.0</v>
      </c>
      <c r="G5045" s="27"/>
    </row>
    <row r="5046" hidden="1">
      <c r="A5046" s="21"/>
      <c r="B5046" s="21" t="s">
        <v>5708</v>
      </c>
      <c r="D5046" s="25">
        <v>0.0</v>
      </c>
      <c r="E5046" s="27"/>
      <c r="F5046" s="25">
        <v>2.08</v>
      </c>
      <c r="G5046" s="27"/>
    </row>
    <row r="5047" hidden="1">
      <c r="A5047" s="21"/>
      <c r="B5047" s="21" t="s">
        <v>5709</v>
      </c>
      <c r="D5047" s="25">
        <v>0.0</v>
      </c>
      <c r="E5047" s="27"/>
      <c r="F5047" s="25">
        <v>0.0</v>
      </c>
      <c r="G5047" s="27"/>
    </row>
    <row r="5048" hidden="1">
      <c r="A5048" s="21"/>
      <c r="B5048" s="21" t="s">
        <v>5710</v>
      </c>
      <c r="D5048" s="25">
        <v>0.0</v>
      </c>
      <c r="E5048" s="27"/>
      <c r="F5048" s="25">
        <v>0.0</v>
      </c>
      <c r="G5048" s="27"/>
    </row>
    <row r="5049" hidden="1">
      <c r="A5049" s="21"/>
      <c r="B5049" s="21" t="s">
        <v>5711</v>
      </c>
      <c r="D5049" s="25">
        <v>0.0</v>
      </c>
      <c r="E5049" s="27"/>
      <c r="F5049" s="25">
        <v>0.0</v>
      </c>
      <c r="G5049" s="27"/>
    </row>
    <row r="5050" hidden="1">
      <c r="A5050" s="21"/>
      <c r="B5050" s="21" t="s">
        <v>5712</v>
      </c>
      <c r="D5050" s="25">
        <v>0.0</v>
      </c>
      <c r="E5050" s="27"/>
      <c r="F5050" s="25">
        <v>0.0</v>
      </c>
      <c r="G5050" s="27"/>
    </row>
    <row r="5051" hidden="1">
      <c r="A5051" s="21"/>
      <c r="B5051" s="21" t="s">
        <v>5713</v>
      </c>
      <c r="D5051" s="25">
        <v>0.0</v>
      </c>
      <c r="E5051" s="27"/>
      <c r="F5051" s="25">
        <v>0.0</v>
      </c>
      <c r="G5051" s="27"/>
    </row>
    <row r="5052" hidden="1">
      <c r="A5052" s="21"/>
      <c r="B5052" s="21" t="s">
        <v>5714</v>
      </c>
      <c r="D5052" s="25">
        <v>0.0</v>
      </c>
      <c r="E5052" s="27"/>
      <c r="F5052" s="25">
        <v>0.0</v>
      </c>
      <c r="G5052" s="27"/>
    </row>
    <row r="5053" hidden="1">
      <c r="A5053" s="21"/>
      <c r="B5053" s="21" t="s">
        <v>5715</v>
      </c>
      <c r="D5053" s="25">
        <v>0.0</v>
      </c>
      <c r="E5053" s="27"/>
      <c r="F5053" s="25">
        <v>0.0</v>
      </c>
      <c r="G5053" s="27"/>
    </row>
    <row r="5054" hidden="1">
      <c r="A5054" s="21"/>
      <c r="B5054" s="21" t="s">
        <v>5716</v>
      </c>
      <c r="D5054" s="25">
        <v>0.0</v>
      </c>
      <c r="E5054" s="27"/>
      <c r="F5054" s="25">
        <v>0.0</v>
      </c>
      <c r="G5054" s="27"/>
    </row>
    <row r="5055" hidden="1">
      <c r="A5055" s="21"/>
      <c r="B5055" s="21" t="s">
        <v>5717</v>
      </c>
      <c r="D5055" s="25">
        <v>0.0</v>
      </c>
      <c r="E5055" s="27"/>
      <c r="F5055" s="25">
        <v>0.0</v>
      </c>
      <c r="G5055" s="27"/>
    </row>
    <row r="5056" hidden="1">
      <c r="A5056" s="21"/>
      <c r="B5056" s="21" t="s">
        <v>5718</v>
      </c>
      <c r="D5056" s="25">
        <v>0.0</v>
      </c>
      <c r="E5056" s="27"/>
      <c r="F5056" s="25">
        <v>0.0</v>
      </c>
      <c r="G5056" s="27"/>
    </row>
    <row r="5057" hidden="1">
      <c r="A5057" s="21"/>
      <c r="B5057" s="21" t="s">
        <v>5719</v>
      </c>
      <c r="D5057" s="25">
        <v>0.0</v>
      </c>
      <c r="E5057" s="27"/>
      <c r="F5057" s="25">
        <v>0.0</v>
      </c>
      <c r="G5057" s="27"/>
    </row>
    <row r="5058" hidden="1">
      <c r="A5058" s="21"/>
      <c r="B5058" s="21" t="s">
        <v>5720</v>
      </c>
      <c r="D5058" s="25">
        <v>0.0</v>
      </c>
      <c r="E5058" s="27"/>
      <c r="F5058" s="25">
        <v>0.0</v>
      </c>
      <c r="G5058" s="27"/>
    </row>
    <row r="5059" hidden="1">
      <c r="A5059" s="21"/>
      <c r="B5059" s="21" t="s">
        <v>5721</v>
      </c>
      <c r="D5059" s="25">
        <v>0.0</v>
      </c>
      <c r="E5059" s="27"/>
      <c r="F5059" s="25">
        <v>0.0</v>
      </c>
      <c r="G5059" s="27"/>
    </row>
    <row r="5060" hidden="1">
      <c r="A5060" s="21"/>
      <c r="B5060" s="21" t="s">
        <v>5722</v>
      </c>
      <c r="D5060" s="25">
        <v>0.0</v>
      </c>
      <c r="E5060" s="27"/>
      <c r="F5060" s="25">
        <v>0.0</v>
      </c>
      <c r="G5060" s="27"/>
    </row>
    <row r="5061" hidden="1">
      <c r="A5061" s="21"/>
      <c r="B5061" s="21" t="s">
        <v>5723</v>
      </c>
      <c r="D5061" s="25">
        <v>0.0</v>
      </c>
      <c r="E5061" s="27"/>
      <c r="F5061" s="25">
        <v>0.0</v>
      </c>
      <c r="G5061" s="27"/>
    </row>
    <row r="5062" hidden="1">
      <c r="A5062" s="21"/>
      <c r="B5062" s="21" t="s">
        <v>5724</v>
      </c>
      <c r="D5062" s="25">
        <v>0.0</v>
      </c>
      <c r="E5062" s="27"/>
      <c r="F5062" s="25">
        <v>0.0</v>
      </c>
      <c r="G5062" s="27"/>
    </row>
    <row r="5063" hidden="1">
      <c r="A5063" s="21"/>
      <c r="B5063" s="21" t="s">
        <v>5725</v>
      </c>
      <c r="D5063" s="25">
        <v>0.0</v>
      </c>
      <c r="E5063" s="27"/>
      <c r="F5063" s="25">
        <v>0.0</v>
      </c>
      <c r="G5063" s="27"/>
    </row>
    <row r="5064" hidden="1">
      <c r="A5064" s="21"/>
      <c r="B5064" s="21" t="s">
        <v>5726</v>
      </c>
      <c r="D5064" s="25">
        <v>0.0</v>
      </c>
      <c r="E5064" s="27"/>
      <c r="F5064" s="25">
        <v>0.0</v>
      </c>
      <c r="G5064" s="27"/>
    </row>
    <row r="5065" hidden="1">
      <c r="A5065" s="21"/>
      <c r="B5065" s="21" t="s">
        <v>5727</v>
      </c>
      <c r="D5065" s="25">
        <v>0.0</v>
      </c>
      <c r="E5065" s="27"/>
      <c r="F5065" s="25">
        <v>0.0</v>
      </c>
      <c r="G5065" s="27"/>
    </row>
    <row r="5066" hidden="1">
      <c r="A5066" s="21"/>
      <c r="B5066" s="21" t="s">
        <v>5728</v>
      </c>
      <c r="D5066" s="25">
        <v>0.0</v>
      </c>
      <c r="E5066" s="27"/>
      <c r="F5066" s="25">
        <v>0.0</v>
      </c>
      <c r="G5066" s="27"/>
    </row>
    <row r="5067" hidden="1">
      <c r="A5067" s="21"/>
      <c r="B5067" s="21" t="s">
        <v>5729</v>
      </c>
      <c r="D5067" s="25">
        <v>0.0</v>
      </c>
      <c r="E5067" s="27"/>
      <c r="F5067" s="25">
        <v>0.0</v>
      </c>
      <c r="G5067" s="27"/>
    </row>
    <row r="5068" hidden="1">
      <c r="A5068" s="21"/>
      <c r="B5068" s="21" t="s">
        <v>5730</v>
      </c>
      <c r="D5068" s="25">
        <v>0.0</v>
      </c>
      <c r="E5068" s="27"/>
      <c r="F5068" s="25">
        <v>0.0</v>
      </c>
      <c r="G5068" s="27"/>
    </row>
    <row r="5069" hidden="1">
      <c r="A5069" s="21"/>
      <c r="B5069" s="21" t="s">
        <v>5731</v>
      </c>
      <c r="D5069" s="25">
        <v>0.0</v>
      </c>
      <c r="E5069" s="27"/>
      <c r="F5069" s="25">
        <v>0.0</v>
      </c>
      <c r="G5069" s="27"/>
    </row>
    <row r="5070" hidden="1">
      <c r="A5070" s="21"/>
      <c r="B5070" s="21" t="s">
        <v>5732</v>
      </c>
      <c r="D5070" s="25">
        <v>0.0</v>
      </c>
      <c r="E5070" s="27"/>
      <c r="F5070" s="25">
        <v>0.0</v>
      </c>
      <c r="G5070" s="27"/>
    </row>
    <row r="5071" hidden="1">
      <c r="A5071" s="21"/>
      <c r="B5071" s="21" t="s">
        <v>5733</v>
      </c>
      <c r="D5071" s="25">
        <v>0.0</v>
      </c>
      <c r="E5071" s="27"/>
      <c r="F5071" s="25">
        <v>0.0</v>
      </c>
      <c r="G5071" s="27"/>
    </row>
    <row r="5072" hidden="1">
      <c r="A5072" s="21"/>
      <c r="B5072" s="21" t="s">
        <v>5734</v>
      </c>
      <c r="D5072" s="25">
        <v>0.0</v>
      </c>
      <c r="E5072" s="27"/>
      <c r="F5072" s="25">
        <v>0.0</v>
      </c>
      <c r="G5072" s="27"/>
    </row>
    <row r="5073" hidden="1">
      <c r="A5073" s="21"/>
      <c r="B5073" s="21" t="s">
        <v>5735</v>
      </c>
      <c r="D5073" s="25">
        <v>0.0</v>
      </c>
      <c r="E5073" s="27"/>
      <c r="F5073" s="25">
        <v>0.0</v>
      </c>
      <c r="G5073" s="27"/>
    </row>
    <row r="5074" hidden="1">
      <c r="A5074" s="21"/>
      <c r="B5074" s="21" t="s">
        <v>5736</v>
      </c>
      <c r="D5074" s="25">
        <v>0.0</v>
      </c>
      <c r="E5074" s="27"/>
      <c r="F5074" s="25">
        <v>0.0</v>
      </c>
      <c r="G5074" s="27"/>
    </row>
    <row r="5075" hidden="1">
      <c r="A5075" s="21"/>
      <c r="B5075" s="21" t="s">
        <v>5737</v>
      </c>
      <c r="D5075" s="25">
        <v>0.0</v>
      </c>
      <c r="E5075" s="27"/>
      <c r="F5075" s="25">
        <v>0.0</v>
      </c>
      <c r="G5075" s="27"/>
    </row>
    <row r="5076" hidden="1">
      <c r="A5076" s="21"/>
      <c r="B5076" s="21" t="s">
        <v>5738</v>
      </c>
      <c r="D5076" s="25">
        <v>0.0</v>
      </c>
      <c r="E5076" s="27"/>
      <c r="F5076" s="25">
        <v>0.0</v>
      </c>
      <c r="G5076" s="27"/>
    </row>
    <row r="5077" hidden="1">
      <c r="A5077" s="21"/>
      <c r="B5077" s="21" t="s">
        <v>5739</v>
      </c>
      <c r="D5077" s="25">
        <v>0.0</v>
      </c>
      <c r="E5077" s="27"/>
      <c r="F5077" s="25">
        <v>0.0</v>
      </c>
      <c r="G5077" s="27"/>
    </row>
    <row r="5078" hidden="1">
      <c r="A5078" s="21"/>
      <c r="B5078" s="21" t="s">
        <v>5740</v>
      </c>
      <c r="D5078" s="25">
        <v>0.0</v>
      </c>
      <c r="E5078" s="27"/>
      <c r="F5078" s="25">
        <v>0.0</v>
      </c>
      <c r="G5078" s="27"/>
    </row>
    <row r="5079" hidden="1">
      <c r="A5079" s="21"/>
      <c r="B5079" s="21" t="s">
        <v>5741</v>
      </c>
      <c r="D5079" s="25">
        <v>0.0</v>
      </c>
      <c r="E5079" s="27"/>
      <c r="F5079" s="25">
        <v>0.0</v>
      </c>
      <c r="G5079" s="27"/>
    </row>
    <row r="5080" hidden="1">
      <c r="A5080" s="21"/>
      <c r="B5080" s="21" t="s">
        <v>5742</v>
      </c>
      <c r="D5080" s="25">
        <v>0.0</v>
      </c>
      <c r="E5080" s="27"/>
      <c r="F5080" s="25">
        <v>0.0</v>
      </c>
      <c r="G5080" s="27"/>
    </row>
    <row r="5081" hidden="1">
      <c r="A5081" s="21"/>
      <c r="B5081" s="21" t="s">
        <v>5743</v>
      </c>
      <c r="D5081" s="25">
        <v>0.0</v>
      </c>
      <c r="E5081" s="27"/>
      <c r="F5081" s="25">
        <v>0.0</v>
      </c>
      <c r="G5081" s="27"/>
    </row>
    <row r="5082" hidden="1">
      <c r="A5082" s="21"/>
      <c r="B5082" s="21" t="s">
        <v>5744</v>
      </c>
      <c r="D5082" s="25">
        <v>0.0</v>
      </c>
      <c r="E5082" s="27"/>
      <c r="F5082" s="25">
        <v>0.0</v>
      </c>
      <c r="G5082" s="27"/>
    </row>
    <row r="5083" hidden="1">
      <c r="A5083" s="21"/>
      <c r="B5083" s="21" t="s">
        <v>5745</v>
      </c>
      <c r="D5083" s="25">
        <v>0.0</v>
      </c>
      <c r="E5083" s="27"/>
      <c r="F5083" s="25">
        <v>0.0</v>
      </c>
      <c r="G5083" s="27"/>
    </row>
    <row r="5084" hidden="1">
      <c r="A5084" s="21"/>
      <c r="B5084" s="21" t="s">
        <v>5746</v>
      </c>
      <c r="D5084" s="25">
        <v>0.0</v>
      </c>
      <c r="E5084" s="27"/>
      <c r="F5084" s="25">
        <v>0.0</v>
      </c>
      <c r="G5084" s="27"/>
    </row>
    <row r="5085" hidden="1">
      <c r="A5085" s="21"/>
      <c r="B5085" s="21" t="s">
        <v>5747</v>
      </c>
      <c r="D5085" s="25">
        <v>0.0</v>
      </c>
      <c r="E5085" s="27"/>
      <c r="F5085" s="25">
        <v>0.0</v>
      </c>
      <c r="G5085" s="27"/>
    </row>
    <row r="5086" hidden="1">
      <c r="A5086" s="21"/>
      <c r="B5086" s="21" t="s">
        <v>5748</v>
      </c>
      <c r="D5086" s="25">
        <v>0.0</v>
      </c>
      <c r="E5086" s="27"/>
      <c r="F5086" s="25">
        <v>0.0</v>
      </c>
      <c r="G5086" s="27"/>
    </row>
    <row r="5087" hidden="1">
      <c r="A5087" s="21"/>
      <c r="B5087" s="21" t="s">
        <v>5749</v>
      </c>
      <c r="D5087" s="25">
        <v>0.0</v>
      </c>
      <c r="E5087" s="27"/>
      <c r="F5087" s="25">
        <v>0.0</v>
      </c>
      <c r="G5087" s="27"/>
    </row>
    <row r="5088" hidden="1">
      <c r="A5088" s="21"/>
      <c r="B5088" s="21" t="s">
        <v>5750</v>
      </c>
      <c r="D5088" s="25">
        <v>0.0</v>
      </c>
      <c r="E5088" s="27"/>
      <c r="F5088" s="25">
        <v>0.0</v>
      </c>
      <c r="G5088" s="27"/>
    </row>
    <row r="5089" hidden="1">
      <c r="A5089" s="21"/>
      <c r="B5089" s="21" t="s">
        <v>5751</v>
      </c>
      <c r="D5089" s="25">
        <v>0.0</v>
      </c>
      <c r="E5089" s="27"/>
      <c r="F5089" s="25">
        <v>0.0</v>
      </c>
      <c r="G5089" s="27"/>
    </row>
    <row r="5090" hidden="1">
      <c r="A5090" s="21"/>
      <c r="B5090" s="21" t="s">
        <v>5752</v>
      </c>
      <c r="D5090" s="25">
        <v>0.0</v>
      </c>
      <c r="E5090" s="27"/>
      <c r="F5090" s="25">
        <v>0.0</v>
      </c>
      <c r="G5090" s="27"/>
    </row>
    <row r="5091" hidden="1">
      <c r="A5091" s="21"/>
      <c r="B5091" s="21" t="s">
        <v>5753</v>
      </c>
      <c r="D5091" s="25">
        <v>0.0</v>
      </c>
      <c r="E5091" s="27"/>
      <c r="F5091" s="25">
        <v>0.0</v>
      </c>
      <c r="G5091" s="27"/>
    </row>
    <row r="5092" hidden="1">
      <c r="A5092" s="21"/>
      <c r="B5092" s="21" t="s">
        <v>5754</v>
      </c>
      <c r="D5092" s="25">
        <v>0.0</v>
      </c>
      <c r="E5092" s="27"/>
      <c r="F5092" s="25">
        <v>0.0</v>
      </c>
      <c r="G5092" s="27"/>
    </row>
    <row r="5093" hidden="1">
      <c r="A5093" s="21"/>
      <c r="B5093" s="21" t="s">
        <v>5755</v>
      </c>
      <c r="D5093" s="25">
        <v>0.0</v>
      </c>
      <c r="E5093" s="27"/>
      <c r="F5093" s="25">
        <v>0.0</v>
      </c>
      <c r="G5093" s="27"/>
    </row>
    <row r="5094" hidden="1">
      <c r="A5094" s="21"/>
      <c r="B5094" s="21" t="s">
        <v>5756</v>
      </c>
      <c r="D5094" s="25">
        <v>0.0</v>
      </c>
      <c r="E5094" s="27"/>
      <c r="F5094" s="25">
        <v>0.0</v>
      </c>
      <c r="G5094" s="27"/>
    </row>
    <row r="5095" hidden="1">
      <c r="A5095" s="21"/>
      <c r="B5095" s="21" t="s">
        <v>5757</v>
      </c>
      <c r="D5095" s="25">
        <v>0.0</v>
      </c>
      <c r="E5095" s="27"/>
      <c r="F5095" s="25">
        <v>0.0</v>
      </c>
      <c r="G5095" s="27"/>
    </row>
    <row r="5096" hidden="1">
      <c r="A5096" s="21"/>
      <c r="B5096" s="21" t="s">
        <v>5758</v>
      </c>
      <c r="D5096" s="25">
        <v>0.0</v>
      </c>
      <c r="E5096" s="27"/>
      <c r="F5096" s="25">
        <v>0.0</v>
      </c>
      <c r="G5096" s="27"/>
    </row>
    <row r="5097" hidden="1">
      <c r="A5097" s="21"/>
      <c r="B5097" s="21" t="s">
        <v>5759</v>
      </c>
      <c r="D5097" s="25">
        <v>0.0</v>
      </c>
      <c r="E5097" s="27"/>
      <c r="F5097" s="25">
        <v>0.0</v>
      </c>
      <c r="G5097" s="27"/>
    </row>
    <row r="5098" hidden="1">
      <c r="A5098" s="21"/>
      <c r="B5098" s="21" t="s">
        <v>5760</v>
      </c>
      <c r="D5098" s="25">
        <v>0.0</v>
      </c>
      <c r="E5098" s="27"/>
      <c r="F5098" s="25">
        <v>0.0</v>
      </c>
      <c r="G5098" s="27"/>
    </row>
    <row r="5099" hidden="1">
      <c r="A5099" s="21"/>
      <c r="B5099" s="21" t="s">
        <v>5761</v>
      </c>
      <c r="D5099" s="25">
        <v>0.0</v>
      </c>
      <c r="E5099" s="27"/>
      <c r="F5099" s="25">
        <v>0.0</v>
      </c>
      <c r="G5099" s="27"/>
    </row>
    <row r="5100" hidden="1">
      <c r="A5100" s="21"/>
      <c r="B5100" s="21" t="s">
        <v>5762</v>
      </c>
      <c r="D5100" s="25">
        <v>0.0</v>
      </c>
      <c r="E5100" s="27"/>
      <c r="F5100" s="25">
        <v>0.0</v>
      </c>
      <c r="G5100" s="27"/>
    </row>
    <row r="5101" hidden="1">
      <c r="A5101" s="21"/>
      <c r="B5101" s="21" t="s">
        <v>5763</v>
      </c>
      <c r="D5101" s="25">
        <v>0.0</v>
      </c>
      <c r="E5101" s="27"/>
      <c r="F5101" s="25">
        <v>0.0</v>
      </c>
      <c r="G5101" s="27"/>
    </row>
    <row r="5102" hidden="1">
      <c r="A5102" s="21"/>
      <c r="B5102" s="21" t="s">
        <v>5764</v>
      </c>
      <c r="D5102" s="25">
        <v>0.0</v>
      </c>
      <c r="E5102" s="27"/>
      <c r="F5102" s="25">
        <v>0.0</v>
      </c>
      <c r="G5102" s="27"/>
    </row>
    <row r="5103" hidden="1">
      <c r="A5103" s="21"/>
      <c r="B5103" s="21" t="s">
        <v>5765</v>
      </c>
      <c r="D5103" s="25">
        <v>0.0</v>
      </c>
      <c r="E5103" s="27"/>
      <c r="F5103" s="25">
        <v>0.0</v>
      </c>
      <c r="G5103" s="27"/>
    </row>
    <row r="5104" hidden="1">
      <c r="A5104" s="21"/>
      <c r="B5104" s="21" t="s">
        <v>5766</v>
      </c>
      <c r="D5104" s="25">
        <v>0.0</v>
      </c>
      <c r="E5104" s="27"/>
      <c r="F5104" s="25">
        <v>0.0</v>
      </c>
      <c r="G5104" s="27"/>
    </row>
    <row r="5105" hidden="1">
      <c r="A5105" s="21"/>
      <c r="B5105" s="21" t="s">
        <v>5767</v>
      </c>
      <c r="D5105" s="25">
        <v>0.0</v>
      </c>
      <c r="E5105" s="27"/>
      <c r="F5105" s="25">
        <v>0.27</v>
      </c>
      <c r="G5105" s="27"/>
    </row>
    <row r="5106" hidden="1">
      <c r="A5106" s="21"/>
      <c r="B5106" s="21" t="s">
        <v>5768</v>
      </c>
      <c r="D5106" s="25">
        <v>0.0</v>
      </c>
      <c r="E5106" s="27"/>
      <c r="F5106" s="25">
        <v>0.0</v>
      </c>
      <c r="G5106" s="27"/>
    </row>
    <row r="5107" hidden="1">
      <c r="A5107" s="21"/>
      <c r="B5107" s="21" t="s">
        <v>5769</v>
      </c>
      <c r="D5107" s="25">
        <v>0.0</v>
      </c>
      <c r="E5107" s="27"/>
      <c r="F5107" s="25">
        <v>0.0</v>
      </c>
      <c r="G5107" s="27"/>
    </row>
    <row r="5108" hidden="1">
      <c r="A5108" s="21"/>
      <c r="B5108" s="21" t="s">
        <v>5770</v>
      </c>
      <c r="D5108" s="25">
        <v>0.0</v>
      </c>
      <c r="E5108" s="27"/>
      <c r="F5108" s="25">
        <v>0.0</v>
      </c>
      <c r="G5108" s="27"/>
    </row>
    <row r="5109" hidden="1">
      <c r="A5109" s="21"/>
      <c r="B5109" s="21" t="s">
        <v>5771</v>
      </c>
      <c r="D5109" s="25">
        <v>0.0</v>
      </c>
      <c r="E5109" s="27"/>
      <c r="F5109" s="25">
        <v>0.0</v>
      </c>
      <c r="G5109" s="27"/>
    </row>
    <row r="5110" hidden="1">
      <c r="A5110" s="21"/>
      <c r="B5110" s="21" t="s">
        <v>5772</v>
      </c>
      <c r="D5110" s="25">
        <v>0.0</v>
      </c>
      <c r="E5110" s="27"/>
      <c r="F5110" s="25">
        <v>0.0</v>
      </c>
      <c r="G5110" s="27"/>
    </row>
    <row r="5111" hidden="1">
      <c r="A5111" s="21"/>
      <c r="B5111" s="21" t="s">
        <v>5773</v>
      </c>
      <c r="D5111" s="25">
        <v>0.0</v>
      </c>
      <c r="E5111" s="27"/>
      <c r="F5111" s="25">
        <v>0.0</v>
      </c>
      <c r="G5111" s="27"/>
    </row>
    <row r="5112" hidden="1">
      <c r="A5112" s="21"/>
      <c r="B5112" s="21" t="s">
        <v>5774</v>
      </c>
      <c r="D5112" s="25">
        <v>0.0</v>
      </c>
      <c r="E5112" s="27"/>
      <c r="F5112" s="25">
        <v>0.0</v>
      </c>
      <c r="G5112" s="27"/>
    </row>
    <row r="5113" hidden="1">
      <c r="A5113" s="21"/>
      <c r="B5113" s="21" t="s">
        <v>5775</v>
      </c>
      <c r="D5113" s="25">
        <v>0.0</v>
      </c>
      <c r="E5113" s="27"/>
      <c r="F5113" s="25">
        <v>0.0</v>
      </c>
      <c r="G5113" s="27"/>
    </row>
    <row r="5114" hidden="1">
      <c r="A5114" s="21"/>
      <c r="B5114" s="21" t="s">
        <v>5776</v>
      </c>
      <c r="D5114" s="25">
        <v>0.0</v>
      </c>
      <c r="E5114" s="27"/>
      <c r="F5114" s="25">
        <v>0.0</v>
      </c>
      <c r="G5114" s="27"/>
    </row>
    <row r="5115" hidden="1">
      <c r="A5115" s="21"/>
      <c r="B5115" s="21" t="s">
        <v>5777</v>
      </c>
      <c r="D5115" s="25">
        <v>0.0</v>
      </c>
      <c r="E5115" s="27"/>
      <c r="F5115" s="25">
        <v>0.0</v>
      </c>
      <c r="G5115" s="27"/>
    </row>
    <row r="5116" hidden="1">
      <c r="A5116" s="21"/>
      <c r="B5116" s="21" t="s">
        <v>5778</v>
      </c>
      <c r="D5116" s="25">
        <v>0.0</v>
      </c>
      <c r="E5116" s="27"/>
      <c r="F5116" s="25">
        <v>0.0</v>
      </c>
      <c r="G5116" s="27"/>
    </row>
    <row r="5117" hidden="1">
      <c r="A5117" s="21"/>
      <c r="B5117" s="21" t="s">
        <v>5779</v>
      </c>
      <c r="D5117" s="25">
        <v>0.0</v>
      </c>
      <c r="E5117" s="27"/>
      <c r="F5117" s="25">
        <v>0.0</v>
      </c>
      <c r="G5117" s="27"/>
    </row>
    <row r="5118" hidden="1">
      <c r="A5118" s="21"/>
      <c r="B5118" s="21" t="s">
        <v>5780</v>
      </c>
      <c r="D5118" s="25">
        <v>0.0</v>
      </c>
      <c r="E5118" s="27"/>
      <c r="F5118" s="25">
        <v>0.0</v>
      </c>
      <c r="G5118" s="27"/>
    </row>
    <row r="5119" hidden="1">
      <c r="A5119" s="21"/>
      <c r="B5119" s="21" t="s">
        <v>5781</v>
      </c>
      <c r="D5119" s="25">
        <v>0.0</v>
      </c>
      <c r="E5119" s="27"/>
      <c r="F5119" s="25">
        <v>0.0</v>
      </c>
      <c r="G5119" s="27"/>
    </row>
    <row r="5120" hidden="1">
      <c r="A5120" s="21"/>
      <c r="B5120" s="21" t="s">
        <v>5782</v>
      </c>
      <c r="D5120" s="25">
        <v>0.0</v>
      </c>
      <c r="E5120" s="27"/>
      <c r="F5120" s="25">
        <v>0.0</v>
      </c>
      <c r="G5120" s="27"/>
    </row>
    <row r="5121" hidden="1">
      <c r="A5121" s="21"/>
      <c r="B5121" s="21" t="s">
        <v>5783</v>
      </c>
      <c r="D5121" s="25">
        <v>0.0</v>
      </c>
      <c r="E5121" s="27"/>
      <c r="F5121" s="25">
        <v>0.0</v>
      </c>
      <c r="G5121" s="27"/>
    </row>
    <row r="5122" hidden="1">
      <c r="A5122" s="21"/>
      <c r="B5122" s="21" t="s">
        <v>5784</v>
      </c>
      <c r="D5122" s="25">
        <v>0.0</v>
      </c>
      <c r="E5122" s="27"/>
      <c r="F5122" s="25">
        <v>0.0</v>
      </c>
      <c r="G5122" s="27"/>
    </row>
    <row r="5123" hidden="1">
      <c r="A5123" s="21"/>
      <c r="B5123" s="21" t="s">
        <v>5785</v>
      </c>
      <c r="D5123" s="25">
        <v>0.0</v>
      </c>
      <c r="E5123" s="27"/>
      <c r="F5123" s="25">
        <v>0.0</v>
      </c>
      <c r="G5123" s="27"/>
    </row>
    <row r="5124" hidden="1">
      <c r="A5124" s="21"/>
      <c r="B5124" s="21" t="s">
        <v>5786</v>
      </c>
      <c r="D5124" s="25">
        <v>0.0</v>
      </c>
      <c r="E5124" s="27"/>
      <c r="F5124" s="25">
        <v>0.0</v>
      </c>
      <c r="G5124" s="27"/>
    </row>
    <row r="5125" hidden="1">
      <c r="A5125" s="21"/>
      <c r="B5125" s="21" t="s">
        <v>5787</v>
      </c>
      <c r="D5125" s="25">
        <v>0.0</v>
      </c>
      <c r="E5125" s="27"/>
      <c r="F5125" s="25">
        <v>0.0</v>
      </c>
      <c r="G5125" s="27"/>
    </row>
    <row r="5126" hidden="1">
      <c r="A5126" s="21"/>
      <c r="B5126" s="21" t="s">
        <v>5788</v>
      </c>
      <c r="D5126" s="25">
        <v>0.0</v>
      </c>
      <c r="E5126" s="27"/>
      <c r="F5126" s="25">
        <v>0.0</v>
      </c>
      <c r="G5126" s="27"/>
    </row>
    <row r="5127" hidden="1">
      <c r="A5127" s="21"/>
      <c r="B5127" s="21" t="s">
        <v>5789</v>
      </c>
      <c r="D5127" s="25">
        <v>0.0</v>
      </c>
      <c r="E5127" s="27"/>
      <c r="F5127" s="25">
        <v>0.0</v>
      </c>
      <c r="G5127" s="27"/>
    </row>
    <row r="5128" hidden="1">
      <c r="A5128" s="21"/>
      <c r="B5128" s="21" t="s">
        <v>5790</v>
      </c>
      <c r="D5128" s="25">
        <v>0.0</v>
      </c>
      <c r="E5128" s="27"/>
      <c r="F5128" s="25">
        <v>0.0</v>
      </c>
      <c r="G5128" s="27"/>
    </row>
    <row r="5129" hidden="1">
      <c r="A5129" s="21"/>
      <c r="B5129" s="21" t="s">
        <v>5791</v>
      </c>
      <c r="D5129" s="25">
        <v>0.0</v>
      </c>
      <c r="E5129" s="27"/>
      <c r="F5129" s="25">
        <v>0.0</v>
      </c>
      <c r="G5129" s="27"/>
    </row>
    <row r="5130" hidden="1">
      <c r="A5130" s="21"/>
      <c r="B5130" s="21" t="s">
        <v>5792</v>
      </c>
      <c r="D5130" s="25">
        <v>0.0</v>
      </c>
      <c r="E5130" s="27"/>
      <c r="F5130" s="25">
        <v>0.0</v>
      </c>
      <c r="G5130" s="27"/>
    </row>
    <row r="5131" hidden="1">
      <c r="A5131" s="21"/>
      <c r="B5131" s="21" t="s">
        <v>5793</v>
      </c>
      <c r="D5131" s="25">
        <v>0.0</v>
      </c>
      <c r="E5131" s="27"/>
      <c r="F5131" s="25">
        <v>0.0</v>
      </c>
      <c r="G5131" s="27"/>
    </row>
    <row r="5132" hidden="1">
      <c r="A5132" s="21"/>
      <c r="B5132" s="21" t="s">
        <v>5794</v>
      </c>
      <c r="D5132" s="25">
        <v>0.0</v>
      </c>
      <c r="E5132" s="27"/>
      <c r="F5132" s="25">
        <v>0.0</v>
      </c>
      <c r="G5132" s="27"/>
    </row>
    <row r="5133" hidden="1">
      <c r="A5133" s="21"/>
      <c r="B5133" s="21" t="s">
        <v>5795</v>
      </c>
      <c r="D5133" s="25">
        <v>0.0</v>
      </c>
      <c r="E5133" s="27"/>
      <c r="F5133" s="25">
        <v>0.0</v>
      </c>
      <c r="G5133" s="27"/>
    </row>
    <row r="5134" hidden="1">
      <c r="A5134" s="21"/>
      <c r="B5134" s="21" t="s">
        <v>5796</v>
      </c>
      <c r="D5134" s="25">
        <v>0.0</v>
      </c>
      <c r="E5134" s="27"/>
      <c r="F5134" s="25">
        <v>0.0</v>
      </c>
      <c r="G5134" s="27"/>
    </row>
    <row r="5135" hidden="1">
      <c r="A5135" s="21"/>
      <c r="B5135" s="21" t="s">
        <v>5797</v>
      </c>
      <c r="D5135" s="25">
        <v>0.0</v>
      </c>
      <c r="E5135" s="27"/>
      <c r="F5135" s="25">
        <v>0.0</v>
      </c>
      <c r="G5135" s="27"/>
    </row>
    <row r="5136" hidden="1">
      <c r="A5136" s="21"/>
      <c r="B5136" s="21" t="s">
        <v>5798</v>
      </c>
      <c r="D5136" s="25">
        <v>0.0</v>
      </c>
      <c r="E5136" s="27"/>
      <c r="F5136" s="25">
        <v>0.0</v>
      </c>
      <c r="G5136" s="27"/>
    </row>
    <row r="5137" hidden="1">
      <c r="A5137" s="21"/>
      <c r="B5137" s="21" t="s">
        <v>5799</v>
      </c>
      <c r="D5137" s="25">
        <v>0.0</v>
      </c>
      <c r="E5137" s="27"/>
      <c r="F5137" s="25">
        <v>0.0</v>
      </c>
      <c r="G5137" s="27"/>
    </row>
    <row r="5138" hidden="1">
      <c r="A5138" s="21"/>
      <c r="B5138" s="21" t="s">
        <v>5800</v>
      </c>
      <c r="D5138" s="25">
        <v>0.0</v>
      </c>
      <c r="E5138" s="27"/>
      <c r="F5138" s="25">
        <v>0.0</v>
      </c>
      <c r="G5138" s="27"/>
    </row>
    <row r="5139" hidden="1">
      <c r="A5139" s="21"/>
      <c r="B5139" s="21" t="s">
        <v>5801</v>
      </c>
      <c r="D5139" s="25">
        <v>0.0</v>
      </c>
      <c r="E5139" s="27"/>
      <c r="F5139" s="25">
        <v>0.0</v>
      </c>
      <c r="G5139" s="27"/>
    </row>
    <row r="5140" hidden="1">
      <c r="A5140" s="21"/>
      <c r="B5140" s="21" t="s">
        <v>5802</v>
      </c>
      <c r="D5140" s="25">
        <v>0.0</v>
      </c>
      <c r="E5140" s="27"/>
      <c r="F5140" s="25">
        <v>0.0</v>
      </c>
      <c r="G5140" s="27"/>
    </row>
    <row r="5141" hidden="1">
      <c r="A5141" s="21"/>
      <c r="B5141" s="21" t="s">
        <v>5803</v>
      </c>
      <c r="D5141" s="25">
        <v>0.0</v>
      </c>
      <c r="E5141" s="27"/>
      <c r="F5141" s="25">
        <v>0.0</v>
      </c>
      <c r="G5141" s="27"/>
    </row>
    <row r="5142" hidden="1">
      <c r="A5142" s="21"/>
      <c r="B5142" s="21" t="s">
        <v>5804</v>
      </c>
      <c r="D5142" s="25">
        <v>0.0</v>
      </c>
      <c r="E5142" s="27"/>
      <c r="F5142" s="25">
        <v>0.0</v>
      </c>
      <c r="G5142" s="27"/>
    </row>
    <row r="5143" hidden="1">
      <c r="A5143" s="21"/>
      <c r="B5143" s="21" t="s">
        <v>5805</v>
      </c>
      <c r="D5143" s="25">
        <v>0.0</v>
      </c>
      <c r="E5143" s="27"/>
      <c r="F5143" s="25">
        <v>0.0</v>
      </c>
      <c r="G5143" s="27"/>
    </row>
    <row r="5144" hidden="1">
      <c r="A5144" s="21"/>
      <c r="B5144" s="21" t="s">
        <v>5806</v>
      </c>
      <c r="D5144" s="25">
        <v>0.0</v>
      </c>
      <c r="E5144" s="27"/>
      <c r="F5144" s="25">
        <v>8.54</v>
      </c>
      <c r="G5144" s="27"/>
    </row>
    <row r="5145" hidden="1">
      <c r="A5145" s="21"/>
      <c r="B5145" s="21" t="s">
        <v>5807</v>
      </c>
      <c r="D5145" s="25">
        <v>0.0</v>
      </c>
      <c r="E5145" s="27"/>
      <c r="F5145" s="25">
        <v>0.0</v>
      </c>
      <c r="G5145" s="27"/>
    </row>
    <row r="5146" hidden="1">
      <c r="A5146" s="21"/>
      <c r="B5146" s="21" t="s">
        <v>5808</v>
      </c>
      <c r="D5146" s="25">
        <v>0.0</v>
      </c>
      <c r="E5146" s="27"/>
      <c r="F5146" s="25">
        <v>0.0</v>
      </c>
      <c r="G5146" s="27"/>
    </row>
    <row r="5147" hidden="1">
      <c r="A5147" s="21"/>
      <c r="B5147" s="21" t="s">
        <v>5809</v>
      </c>
      <c r="D5147" s="25">
        <v>0.0</v>
      </c>
      <c r="E5147" s="27"/>
      <c r="F5147" s="25">
        <v>0.0</v>
      </c>
      <c r="G5147" s="27"/>
    </row>
    <row r="5148" hidden="1">
      <c r="A5148" s="21"/>
      <c r="B5148" s="21" t="s">
        <v>5810</v>
      </c>
      <c r="D5148" s="25">
        <v>0.0</v>
      </c>
      <c r="E5148" s="27"/>
      <c r="F5148" s="25">
        <v>0.0</v>
      </c>
      <c r="G5148" s="27"/>
    </row>
    <row r="5149" hidden="1">
      <c r="A5149" s="21"/>
      <c r="B5149" s="21" t="s">
        <v>5811</v>
      </c>
      <c r="D5149" s="25">
        <v>0.0</v>
      </c>
      <c r="E5149" s="27"/>
      <c r="F5149" s="25">
        <v>0.0</v>
      </c>
      <c r="G5149" s="27"/>
    </row>
    <row r="5150" hidden="1">
      <c r="A5150" s="21"/>
      <c r="B5150" s="21" t="s">
        <v>5812</v>
      </c>
      <c r="D5150" s="25">
        <v>0.0</v>
      </c>
      <c r="E5150" s="27"/>
      <c r="F5150" s="25">
        <v>0.0</v>
      </c>
      <c r="G5150" s="27"/>
    </row>
    <row r="5151" hidden="1">
      <c r="A5151" s="21"/>
      <c r="B5151" s="21" t="s">
        <v>5813</v>
      </c>
      <c r="D5151" s="25">
        <v>0.0</v>
      </c>
      <c r="E5151" s="27"/>
      <c r="F5151" s="25">
        <v>0.0</v>
      </c>
      <c r="G5151" s="27"/>
    </row>
    <row r="5152" hidden="1">
      <c r="A5152" s="21"/>
      <c r="B5152" s="21" t="s">
        <v>5814</v>
      </c>
      <c r="D5152" s="25">
        <v>0.0</v>
      </c>
      <c r="E5152" s="27"/>
      <c r="F5152" s="25">
        <v>0.0</v>
      </c>
      <c r="G5152" s="27"/>
    </row>
    <row r="5153" hidden="1">
      <c r="A5153" s="21"/>
      <c r="B5153" s="21" t="s">
        <v>5815</v>
      </c>
      <c r="D5153" s="25">
        <v>0.0</v>
      </c>
      <c r="E5153" s="27"/>
      <c r="F5153" s="25">
        <v>0.0</v>
      </c>
      <c r="G5153" s="27"/>
    </row>
    <row r="5154" hidden="1">
      <c r="A5154" s="21"/>
      <c r="B5154" s="21" t="s">
        <v>5816</v>
      </c>
      <c r="D5154" s="25">
        <v>0.0</v>
      </c>
      <c r="E5154" s="27"/>
      <c r="F5154" s="25">
        <v>0.0</v>
      </c>
      <c r="G5154" s="27"/>
    </row>
    <row r="5155" hidden="1">
      <c r="A5155" s="21"/>
      <c r="B5155" s="21" t="s">
        <v>5817</v>
      </c>
      <c r="D5155" s="25">
        <v>0.0</v>
      </c>
      <c r="E5155" s="27"/>
      <c r="F5155" s="25">
        <v>0.0</v>
      </c>
      <c r="G5155" s="27"/>
    </row>
    <row r="5156" hidden="1">
      <c r="A5156" s="21"/>
      <c r="B5156" s="21" t="s">
        <v>5818</v>
      </c>
      <c r="D5156" s="25">
        <v>0.0</v>
      </c>
      <c r="E5156" s="27"/>
      <c r="F5156" s="25">
        <v>0.0</v>
      </c>
      <c r="G5156" s="27"/>
    </row>
    <row r="5157" hidden="1">
      <c r="A5157" s="21"/>
      <c r="B5157" s="21" t="s">
        <v>5819</v>
      </c>
      <c r="D5157" s="25">
        <v>0.0</v>
      </c>
      <c r="E5157" s="27"/>
      <c r="F5157" s="25">
        <v>0.0</v>
      </c>
      <c r="G5157" s="27"/>
    </row>
    <row r="5158" hidden="1">
      <c r="A5158" s="21"/>
      <c r="B5158" s="21" t="s">
        <v>5820</v>
      </c>
      <c r="D5158" s="25">
        <v>0.0</v>
      </c>
      <c r="E5158" s="27"/>
      <c r="F5158" s="25">
        <v>0.0</v>
      </c>
      <c r="G5158" s="27"/>
    </row>
    <row r="5159" hidden="1">
      <c r="A5159" s="21"/>
      <c r="B5159" s="21" t="s">
        <v>5821</v>
      </c>
      <c r="D5159" s="25">
        <v>0.0</v>
      </c>
      <c r="E5159" s="27"/>
      <c r="F5159" s="25">
        <v>0.0</v>
      </c>
      <c r="G5159" s="27"/>
    </row>
    <row r="5160" hidden="1">
      <c r="A5160" s="21"/>
      <c r="B5160" s="21" t="s">
        <v>5822</v>
      </c>
      <c r="D5160" s="25">
        <v>0.0</v>
      </c>
      <c r="E5160" s="27"/>
      <c r="F5160" s="25">
        <v>0.0</v>
      </c>
      <c r="G5160" s="27"/>
    </row>
    <row r="5161" hidden="1">
      <c r="A5161" s="21"/>
      <c r="B5161" s="21" t="s">
        <v>5823</v>
      </c>
      <c r="D5161" s="25">
        <v>0.0</v>
      </c>
      <c r="E5161" s="27"/>
      <c r="F5161" s="25">
        <v>0.0</v>
      </c>
      <c r="G5161" s="27"/>
    </row>
    <row r="5162" hidden="1">
      <c r="A5162" s="21"/>
      <c r="B5162" s="21" t="s">
        <v>5824</v>
      </c>
      <c r="D5162" s="25">
        <v>0.0</v>
      </c>
      <c r="E5162" s="27"/>
      <c r="F5162" s="25">
        <v>0.0</v>
      </c>
      <c r="G5162" s="27"/>
    </row>
    <row r="5163" hidden="1">
      <c r="A5163" s="21"/>
      <c r="B5163" s="21" t="s">
        <v>5825</v>
      </c>
      <c r="D5163" s="25">
        <v>0.0</v>
      </c>
      <c r="E5163" s="27"/>
      <c r="F5163" s="25">
        <v>0.0</v>
      </c>
      <c r="G5163" s="27"/>
    </row>
    <row r="5164" hidden="1">
      <c r="A5164" s="21"/>
      <c r="B5164" s="21" t="s">
        <v>5826</v>
      </c>
      <c r="D5164" s="25">
        <v>0.0</v>
      </c>
      <c r="E5164" s="27"/>
      <c r="F5164" s="25">
        <v>0.0</v>
      </c>
      <c r="G5164" s="27"/>
    </row>
    <row r="5165" hidden="1">
      <c r="A5165" s="21"/>
      <c r="B5165" s="21" t="s">
        <v>5827</v>
      </c>
      <c r="D5165" s="25">
        <v>0.0</v>
      </c>
      <c r="E5165" s="27"/>
      <c r="F5165" s="25">
        <v>0.0</v>
      </c>
      <c r="G5165" s="27"/>
    </row>
    <row r="5166" hidden="1">
      <c r="A5166" s="21"/>
      <c r="B5166" s="21" t="s">
        <v>5828</v>
      </c>
      <c r="D5166" s="25">
        <v>0.0</v>
      </c>
      <c r="E5166" s="27"/>
      <c r="F5166" s="25">
        <v>0.0</v>
      </c>
      <c r="G5166" s="27"/>
    </row>
    <row r="5167" hidden="1">
      <c r="A5167" s="21"/>
      <c r="B5167" s="21" t="s">
        <v>5829</v>
      </c>
      <c r="D5167" s="25">
        <v>0.0</v>
      </c>
      <c r="E5167" s="27"/>
      <c r="F5167" s="25">
        <v>0.0</v>
      </c>
      <c r="G5167" s="27"/>
    </row>
    <row r="5168" hidden="1">
      <c r="A5168" s="21"/>
      <c r="B5168" s="21" t="s">
        <v>5830</v>
      </c>
      <c r="D5168" s="25">
        <v>0.0</v>
      </c>
      <c r="E5168" s="27"/>
      <c r="F5168" s="25">
        <v>0.0</v>
      </c>
      <c r="G5168" s="27"/>
    </row>
    <row r="5169" hidden="1">
      <c r="A5169" s="21"/>
      <c r="B5169" s="21" t="s">
        <v>5831</v>
      </c>
      <c r="D5169" s="25">
        <v>0.0</v>
      </c>
      <c r="E5169" s="27"/>
      <c r="F5169" s="25">
        <v>0.0</v>
      </c>
      <c r="G5169" s="27"/>
    </row>
    <row r="5170" hidden="1">
      <c r="A5170" s="21"/>
      <c r="B5170" s="21" t="s">
        <v>5832</v>
      </c>
      <c r="D5170" s="25">
        <v>0.0</v>
      </c>
      <c r="E5170" s="27"/>
      <c r="F5170" s="25">
        <v>0.0</v>
      </c>
      <c r="G5170" s="27"/>
    </row>
    <row r="5171" hidden="1">
      <c r="A5171" s="21"/>
      <c r="B5171" s="21" t="s">
        <v>805</v>
      </c>
      <c r="D5171" s="25">
        <v>0.0</v>
      </c>
      <c r="E5171" s="27"/>
      <c r="F5171" s="25">
        <v>0.0</v>
      </c>
      <c r="G5171" s="27"/>
    </row>
    <row r="5172" hidden="1">
      <c r="A5172" s="21"/>
      <c r="B5172" s="21" t="s">
        <v>806</v>
      </c>
      <c r="D5172" s="25">
        <v>0.0</v>
      </c>
      <c r="E5172" s="27"/>
      <c r="F5172" s="25">
        <v>0.0</v>
      </c>
      <c r="G5172" s="27"/>
    </row>
    <row r="5173" hidden="1">
      <c r="A5173" s="21"/>
      <c r="B5173" s="21" t="s">
        <v>807</v>
      </c>
      <c r="D5173" s="25">
        <v>0.0</v>
      </c>
      <c r="E5173" s="27"/>
      <c r="F5173" s="25">
        <v>0.0</v>
      </c>
      <c r="G5173" s="27"/>
    </row>
    <row r="5174" hidden="1">
      <c r="A5174" s="21"/>
      <c r="B5174" s="21" t="s">
        <v>5833</v>
      </c>
      <c r="D5174" s="25">
        <v>0.0</v>
      </c>
      <c r="E5174" s="27"/>
      <c r="F5174" s="25">
        <v>0.0</v>
      </c>
      <c r="G5174" s="27"/>
    </row>
    <row r="5175" hidden="1">
      <c r="A5175" s="21"/>
      <c r="B5175" s="21" t="s">
        <v>5834</v>
      </c>
      <c r="D5175" s="25">
        <v>0.0</v>
      </c>
      <c r="E5175" s="27"/>
      <c r="F5175" s="25">
        <v>0.0</v>
      </c>
      <c r="G5175" s="27"/>
    </row>
    <row r="5176" hidden="1">
      <c r="A5176" s="21"/>
      <c r="B5176" s="21" t="s">
        <v>5835</v>
      </c>
      <c r="D5176" s="25">
        <v>0.0</v>
      </c>
      <c r="E5176" s="27"/>
      <c r="F5176" s="25">
        <v>0.0</v>
      </c>
      <c r="G5176" s="27"/>
    </row>
    <row r="5177" hidden="1">
      <c r="A5177" s="21"/>
      <c r="B5177" s="21" t="s">
        <v>5836</v>
      </c>
      <c r="D5177" s="25">
        <v>0.0</v>
      </c>
      <c r="E5177" s="27"/>
      <c r="F5177" s="25">
        <v>0.0</v>
      </c>
      <c r="G5177" s="27"/>
    </row>
    <row r="5178" hidden="1">
      <c r="A5178" s="21"/>
      <c r="B5178" s="21" t="s">
        <v>5837</v>
      </c>
      <c r="D5178" s="25">
        <v>0.0</v>
      </c>
      <c r="E5178" s="27"/>
      <c r="F5178" s="25">
        <v>0.0</v>
      </c>
      <c r="G5178" s="27"/>
    </row>
    <row r="5179" hidden="1">
      <c r="A5179" s="21"/>
      <c r="B5179" s="21" t="s">
        <v>5838</v>
      </c>
      <c r="D5179" s="25">
        <v>0.0</v>
      </c>
      <c r="E5179" s="27"/>
      <c r="F5179" s="25">
        <v>0.0</v>
      </c>
      <c r="G5179" s="27"/>
    </row>
    <row r="5180" hidden="1">
      <c r="A5180" s="21"/>
      <c r="B5180" s="21" t="s">
        <v>5839</v>
      </c>
      <c r="D5180" s="25">
        <v>0.0</v>
      </c>
      <c r="E5180" s="27"/>
      <c r="F5180" s="25">
        <v>0.0</v>
      </c>
      <c r="G5180" s="27"/>
    </row>
    <row r="5181" hidden="1">
      <c r="A5181" s="21"/>
      <c r="B5181" s="21" t="s">
        <v>5840</v>
      </c>
      <c r="D5181" s="25">
        <v>0.0</v>
      </c>
      <c r="E5181" s="27"/>
      <c r="F5181" s="25">
        <v>0.0</v>
      </c>
      <c r="G5181" s="27"/>
    </row>
    <row r="5182" hidden="1">
      <c r="A5182" s="21"/>
      <c r="B5182" s="21" t="s">
        <v>5841</v>
      </c>
      <c r="D5182" s="25">
        <v>0.0</v>
      </c>
      <c r="E5182" s="27"/>
      <c r="F5182" s="25">
        <v>0.0</v>
      </c>
      <c r="G5182" s="27"/>
    </row>
    <row r="5183" hidden="1">
      <c r="A5183" s="21"/>
      <c r="B5183" s="21" t="s">
        <v>5842</v>
      </c>
      <c r="D5183" s="25">
        <v>0.0</v>
      </c>
      <c r="E5183" s="27"/>
      <c r="F5183" s="25">
        <v>0.0</v>
      </c>
      <c r="G5183" s="27"/>
    </row>
    <row r="5184" hidden="1">
      <c r="A5184" s="21"/>
      <c r="B5184" s="21" t="s">
        <v>5843</v>
      </c>
      <c r="D5184" s="25">
        <v>0.0</v>
      </c>
      <c r="E5184" s="27"/>
      <c r="F5184" s="25">
        <v>0.0</v>
      </c>
      <c r="G5184" s="27"/>
    </row>
    <row r="5185" hidden="1">
      <c r="A5185" s="21"/>
      <c r="B5185" s="21" t="s">
        <v>5844</v>
      </c>
      <c r="D5185" s="25">
        <v>0.0</v>
      </c>
      <c r="E5185" s="27"/>
      <c r="F5185" s="25">
        <v>0.0</v>
      </c>
      <c r="G5185" s="27"/>
    </row>
    <row r="5186" hidden="1">
      <c r="A5186" s="21"/>
      <c r="B5186" s="21" t="s">
        <v>5845</v>
      </c>
      <c r="D5186" s="25">
        <v>0.0</v>
      </c>
      <c r="E5186" s="27"/>
      <c r="F5186" s="25">
        <v>0.0</v>
      </c>
      <c r="G5186" s="27"/>
    </row>
    <row r="5187" hidden="1">
      <c r="A5187" s="21"/>
      <c r="B5187" s="21" t="s">
        <v>5846</v>
      </c>
      <c r="D5187" s="25">
        <v>0.0</v>
      </c>
      <c r="E5187" s="27"/>
      <c r="F5187" s="25">
        <v>0.0</v>
      </c>
      <c r="G5187" s="27"/>
    </row>
    <row r="5188" hidden="1">
      <c r="A5188" s="21"/>
      <c r="B5188" s="21" t="s">
        <v>5847</v>
      </c>
      <c r="D5188" s="25">
        <v>0.0</v>
      </c>
      <c r="E5188" s="27"/>
      <c r="F5188" s="25">
        <v>0.0</v>
      </c>
      <c r="G5188" s="27"/>
    </row>
    <row r="5189" hidden="1">
      <c r="A5189" s="21"/>
      <c r="B5189" s="21" t="s">
        <v>5848</v>
      </c>
      <c r="D5189" s="25">
        <v>0.0</v>
      </c>
      <c r="E5189" s="27"/>
      <c r="F5189" s="25">
        <v>0.0</v>
      </c>
      <c r="G5189" s="27"/>
    </row>
    <row r="5190" hidden="1">
      <c r="A5190" s="21"/>
      <c r="B5190" s="21" t="s">
        <v>5849</v>
      </c>
      <c r="D5190" s="25">
        <v>0.0</v>
      </c>
      <c r="E5190" s="27"/>
      <c r="F5190" s="25">
        <v>0.0</v>
      </c>
      <c r="G5190" s="27"/>
    </row>
    <row r="5191" hidden="1">
      <c r="A5191" s="21"/>
      <c r="B5191" s="21" t="s">
        <v>5850</v>
      </c>
      <c r="D5191" s="25">
        <v>0.0</v>
      </c>
      <c r="E5191" s="27"/>
      <c r="F5191" s="25">
        <v>0.0</v>
      </c>
      <c r="G5191" s="27"/>
    </row>
    <row r="5192" hidden="1">
      <c r="A5192" s="21"/>
      <c r="B5192" s="21" t="s">
        <v>5851</v>
      </c>
      <c r="D5192" s="25">
        <v>0.0</v>
      </c>
      <c r="E5192" s="27"/>
      <c r="F5192" s="25">
        <v>0.0</v>
      </c>
      <c r="G5192" s="27"/>
    </row>
    <row r="5193" hidden="1">
      <c r="A5193" s="21"/>
      <c r="B5193" s="21" t="s">
        <v>5852</v>
      </c>
      <c r="D5193" s="25">
        <v>0.0</v>
      </c>
      <c r="E5193" s="27"/>
      <c r="F5193" s="25">
        <v>0.57</v>
      </c>
      <c r="G5193" s="27"/>
    </row>
    <row r="5194" hidden="1">
      <c r="A5194" s="21"/>
      <c r="B5194" s="21" t="s">
        <v>5853</v>
      </c>
      <c r="D5194" s="25">
        <v>0.0</v>
      </c>
      <c r="E5194" s="27"/>
      <c r="F5194" s="25">
        <v>0.0</v>
      </c>
      <c r="G5194" s="27"/>
    </row>
    <row r="5195" hidden="1">
      <c r="A5195" s="21"/>
      <c r="B5195" s="21" t="s">
        <v>5854</v>
      </c>
      <c r="D5195" s="25">
        <v>0.0</v>
      </c>
      <c r="E5195" s="27"/>
      <c r="F5195" s="25">
        <v>0.0</v>
      </c>
      <c r="G5195" s="27"/>
    </row>
    <row r="5196" hidden="1">
      <c r="A5196" s="21"/>
      <c r="B5196" s="21" t="s">
        <v>5855</v>
      </c>
      <c r="D5196" s="25">
        <v>0.0</v>
      </c>
      <c r="E5196" s="27"/>
      <c r="F5196" s="25">
        <v>0.0</v>
      </c>
      <c r="G5196" s="27"/>
    </row>
    <row r="5197" hidden="1">
      <c r="A5197" s="21"/>
      <c r="B5197" s="21" t="s">
        <v>5856</v>
      </c>
      <c r="D5197" s="25">
        <v>0.0</v>
      </c>
      <c r="E5197" s="27"/>
      <c r="F5197" s="25">
        <v>0.0</v>
      </c>
      <c r="G5197" s="27"/>
    </row>
    <row r="5198" hidden="1">
      <c r="A5198" s="21"/>
      <c r="B5198" s="21" t="s">
        <v>5857</v>
      </c>
      <c r="D5198" s="25">
        <v>0.0</v>
      </c>
      <c r="E5198" s="27"/>
      <c r="F5198" s="25">
        <v>0.0</v>
      </c>
      <c r="G5198" s="27"/>
    </row>
    <row r="5199" hidden="1">
      <c r="A5199" s="21"/>
      <c r="B5199" s="21" t="s">
        <v>5858</v>
      </c>
      <c r="D5199" s="25">
        <v>0.0</v>
      </c>
      <c r="E5199" s="27"/>
      <c r="F5199" s="25">
        <v>0.0</v>
      </c>
      <c r="G5199" s="27"/>
    </row>
    <row r="5200" hidden="1">
      <c r="A5200" s="21"/>
      <c r="B5200" s="21" t="s">
        <v>5859</v>
      </c>
      <c r="D5200" s="25">
        <v>0.0</v>
      </c>
      <c r="E5200" s="27"/>
      <c r="F5200" s="25">
        <v>0.0</v>
      </c>
      <c r="G5200" s="27"/>
    </row>
    <row r="5201" hidden="1">
      <c r="A5201" s="21"/>
      <c r="B5201" s="21" t="s">
        <v>5860</v>
      </c>
      <c r="D5201" s="25">
        <v>0.0</v>
      </c>
      <c r="E5201" s="27"/>
      <c r="F5201" s="25">
        <v>0.0</v>
      </c>
      <c r="G5201" s="27"/>
    </row>
    <row r="5202" hidden="1">
      <c r="A5202" s="21"/>
      <c r="B5202" s="21" t="s">
        <v>5861</v>
      </c>
      <c r="D5202" s="25">
        <v>0.0</v>
      </c>
      <c r="E5202" s="27"/>
      <c r="F5202" s="25">
        <v>0.0</v>
      </c>
      <c r="G5202" s="27"/>
    </row>
    <row r="5203" hidden="1">
      <c r="A5203" s="21"/>
      <c r="B5203" s="21" t="s">
        <v>5862</v>
      </c>
      <c r="D5203" s="25">
        <v>0.0</v>
      </c>
      <c r="E5203" s="27"/>
      <c r="F5203" s="25">
        <v>0.0</v>
      </c>
      <c r="G5203" s="27"/>
    </row>
    <row r="5204" hidden="1">
      <c r="A5204" s="21"/>
      <c r="B5204" s="21" t="s">
        <v>5863</v>
      </c>
      <c r="D5204" s="25">
        <v>0.0</v>
      </c>
      <c r="E5204" s="27"/>
      <c r="F5204" s="25">
        <v>0.0</v>
      </c>
      <c r="G5204" s="27"/>
    </row>
    <row r="5205" hidden="1">
      <c r="A5205" s="21"/>
      <c r="B5205" s="21" t="s">
        <v>5864</v>
      </c>
      <c r="D5205" s="25">
        <v>0.0</v>
      </c>
      <c r="E5205" s="27"/>
      <c r="F5205" s="25">
        <v>0.0</v>
      </c>
      <c r="G5205" s="27"/>
    </row>
    <row r="5206" hidden="1">
      <c r="A5206" s="21"/>
      <c r="B5206" s="21" t="s">
        <v>5865</v>
      </c>
      <c r="D5206" s="25">
        <v>0.0</v>
      </c>
      <c r="E5206" s="27"/>
      <c r="F5206" s="25">
        <v>0.0</v>
      </c>
      <c r="G5206" s="27"/>
    </row>
    <row r="5207" hidden="1">
      <c r="A5207" s="21"/>
      <c r="B5207" s="21" t="s">
        <v>5866</v>
      </c>
      <c r="D5207" s="25">
        <v>0.0</v>
      </c>
      <c r="E5207" s="27"/>
      <c r="F5207" s="25">
        <v>0.0</v>
      </c>
      <c r="G5207" s="27"/>
    </row>
    <row r="5208" hidden="1">
      <c r="A5208" s="21"/>
      <c r="B5208" s="21" t="s">
        <v>5867</v>
      </c>
      <c r="D5208" s="25">
        <v>0.0</v>
      </c>
      <c r="E5208" s="27"/>
      <c r="F5208" s="25">
        <v>0.0</v>
      </c>
      <c r="G5208" s="27"/>
    </row>
    <row r="5209" hidden="1">
      <c r="A5209" s="21"/>
      <c r="B5209" s="21" t="s">
        <v>5868</v>
      </c>
      <c r="D5209" s="25">
        <v>0.0</v>
      </c>
      <c r="E5209" s="27"/>
      <c r="F5209" s="25">
        <v>0.0</v>
      </c>
      <c r="G5209" s="27"/>
    </row>
    <row r="5210" hidden="1">
      <c r="A5210" s="21"/>
      <c r="B5210" s="21" t="s">
        <v>5869</v>
      </c>
      <c r="D5210" s="25">
        <v>0.0</v>
      </c>
      <c r="E5210" s="27"/>
      <c r="F5210" s="25">
        <v>0.0</v>
      </c>
      <c r="G5210" s="27"/>
    </row>
    <row r="5211" hidden="1">
      <c r="A5211" s="21"/>
      <c r="B5211" s="21" t="s">
        <v>5870</v>
      </c>
      <c r="D5211" s="25">
        <v>0.0</v>
      </c>
      <c r="E5211" s="27"/>
      <c r="F5211" s="25">
        <v>0.0</v>
      </c>
      <c r="G5211" s="27"/>
    </row>
    <row r="5212" hidden="1">
      <c r="A5212" s="21"/>
      <c r="B5212" s="21" t="s">
        <v>5871</v>
      </c>
      <c r="D5212" s="25">
        <v>0.0</v>
      </c>
      <c r="E5212" s="27"/>
      <c r="F5212" s="25">
        <v>0.0</v>
      </c>
      <c r="G5212" s="27"/>
    </row>
    <row r="5213" hidden="1">
      <c r="A5213" s="21"/>
      <c r="B5213" s="21" t="s">
        <v>5872</v>
      </c>
      <c r="D5213" s="25">
        <v>0.0</v>
      </c>
      <c r="E5213" s="27"/>
      <c r="F5213" s="25">
        <v>0.0</v>
      </c>
      <c r="G5213" s="27"/>
    </row>
    <row r="5214" hidden="1">
      <c r="A5214" s="21"/>
      <c r="B5214" s="21" t="s">
        <v>5873</v>
      </c>
      <c r="D5214" s="25">
        <v>0.0</v>
      </c>
      <c r="E5214" s="27"/>
      <c r="F5214" s="25">
        <v>0.0</v>
      </c>
      <c r="G5214" s="27"/>
    </row>
    <row r="5215" hidden="1">
      <c r="A5215" s="21"/>
      <c r="B5215" s="21" t="s">
        <v>5874</v>
      </c>
      <c r="D5215" s="25">
        <v>0.0</v>
      </c>
      <c r="E5215" s="27"/>
      <c r="F5215" s="25">
        <v>0.0</v>
      </c>
      <c r="G5215" s="27"/>
    </row>
    <row r="5216" hidden="1">
      <c r="A5216" s="21"/>
      <c r="B5216" s="21" t="s">
        <v>5875</v>
      </c>
      <c r="D5216" s="25">
        <v>0.0</v>
      </c>
      <c r="E5216" s="27"/>
      <c r="F5216" s="25">
        <v>0.0</v>
      </c>
      <c r="G5216" s="27"/>
    </row>
    <row r="5217" hidden="1">
      <c r="A5217" s="21"/>
      <c r="B5217" s="21" t="s">
        <v>5876</v>
      </c>
      <c r="D5217" s="25">
        <v>0.0</v>
      </c>
      <c r="E5217" s="27"/>
      <c r="F5217" s="25">
        <v>0.0</v>
      </c>
      <c r="G5217" s="27"/>
    </row>
    <row r="5218" hidden="1">
      <c r="A5218" s="21"/>
      <c r="B5218" s="21" t="s">
        <v>5877</v>
      </c>
      <c r="D5218" s="25">
        <v>0.0</v>
      </c>
      <c r="E5218" s="27"/>
      <c r="F5218" s="25">
        <v>0.0</v>
      </c>
      <c r="G5218" s="27"/>
    </row>
    <row r="5219" hidden="1">
      <c r="A5219" s="21"/>
      <c r="B5219" s="21" t="s">
        <v>5878</v>
      </c>
      <c r="D5219" s="25">
        <v>0.0</v>
      </c>
      <c r="E5219" s="27"/>
      <c r="F5219" s="25">
        <v>0.0</v>
      </c>
      <c r="G5219" s="27"/>
    </row>
    <row r="5220" hidden="1">
      <c r="A5220" s="21"/>
      <c r="B5220" s="21" t="s">
        <v>5879</v>
      </c>
      <c r="D5220" s="25">
        <v>0.0</v>
      </c>
      <c r="E5220" s="27"/>
      <c r="F5220" s="25">
        <v>0.0</v>
      </c>
      <c r="G5220" s="27"/>
    </row>
    <row r="5221" hidden="1">
      <c r="A5221" s="21"/>
      <c r="B5221" s="21" t="s">
        <v>5880</v>
      </c>
      <c r="D5221" s="25">
        <v>0.0</v>
      </c>
      <c r="E5221" s="27"/>
      <c r="F5221" s="25">
        <v>0.0</v>
      </c>
      <c r="G5221" s="27"/>
    </row>
    <row r="5222" hidden="1">
      <c r="A5222" s="21"/>
      <c r="B5222" s="21" t="s">
        <v>5881</v>
      </c>
      <c r="D5222" s="25">
        <v>0.0</v>
      </c>
      <c r="E5222" s="27"/>
      <c r="F5222" s="25">
        <v>0.0</v>
      </c>
      <c r="G5222" s="27"/>
    </row>
    <row r="5223" hidden="1">
      <c r="A5223" s="21"/>
      <c r="B5223" s="21" t="s">
        <v>5882</v>
      </c>
      <c r="D5223" s="25">
        <v>0.0</v>
      </c>
      <c r="E5223" s="27"/>
      <c r="F5223" s="25">
        <v>0.0</v>
      </c>
      <c r="G5223" s="27"/>
    </row>
    <row r="5224" hidden="1">
      <c r="A5224" s="21"/>
      <c r="B5224" s="21" t="s">
        <v>5883</v>
      </c>
      <c r="D5224" s="25">
        <v>0.0</v>
      </c>
      <c r="E5224" s="27"/>
      <c r="F5224" s="25">
        <v>0.0</v>
      </c>
      <c r="G5224" s="27"/>
    </row>
    <row r="5225" hidden="1">
      <c r="A5225" s="21"/>
      <c r="B5225" s="21" t="s">
        <v>5884</v>
      </c>
      <c r="D5225" s="25">
        <v>0.0</v>
      </c>
      <c r="E5225" s="27"/>
      <c r="F5225" s="25">
        <v>0.0</v>
      </c>
      <c r="G5225" s="27"/>
    </row>
    <row r="5226" hidden="1">
      <c r="A5226" s="21"/>
      <c r="B5226" s="21" t="s">
        <v>5885</v>
      </c>
      <c r="D5226" s="25">
        <v>0.0</v>
      </c>
      <c r="E5226" s="27"/>
      <c r="F5226" s="25">
        <v>0.0</v>
      </c>
      <c r="G5226" s="27"/>
    </row>
    <row r="5227" hidden="1">
      <c r="A5227" s="21"/>
      <c r="B5227" s="21" t="s">
        <v>5886</v>
      </c>
      <c r="D5227" s="25">
        <v>0.0</v>
      </c>
      <c r="E5227" s="27"/>
      <c r="F5227" s="25">
        <v>0.0</v>
      </c>
      <c r="G5227" s="27"/>
    </row>
    <row r="5228" hidden="1">
      <c r="A5228" s="21"/>
      <c r="B5228" s="21" t="s">
        <v>5887</v>
      </c>
      <c r="D5228" s="25">
        <v>0.0</v>
      </c>
      <c r="E5228" s="27"/>
      <c r="F5228" s="25">
        <v>0.0</v>
      </c>
      <c r="G5228" s="27"/>
    </row>
    <row r="5229" hidden="1">
      <c r="A5229" s="21"/>
      <c r="B5229" s="21" t="s">
        <v>5888</v>
      </c>
      <c r="D5229" s="25">
        <v>0.0</v>
      </c>
      <c r="E5229" s="27"/>
      <c r="F5229" s="25">
        <v>0.0</v>
      </c>
      <c r="G5229" s="27"/>
    </row>
    <row r="5230" hidden="1">
      <c r="A5230" s="21"/>
      <c r="B5230" s="21" t="s">
        <v>5889</v>
      </c>
      <c r="D5230" s="25">
        <v>0.0</v>
      </c>
      <c r="E5230" s="27"/>
      <c r="F5230" s="25">
        <v>0.0</v>
      </c>
      <c r="G5230" s="27"/>
    </row>
    <row r="5231" hidden="1">
      <c r="A5231" s="21"/>
      <c r="B5231" s="21" t="s">
        <v>5890</v>
      </c>
      <c r="D5231" s="25">
        <v>0.0</v>
      </c>
      <c r="E5231" s="27"/>
      <c r="F5231" s="25">
        <v>0.0</v>
      </c>
      <c r="G5231" s="27"/>
    </row>
    <row r="5232" hidden="1">
      <c r="A5232" s="21"/>
      <c r="B5232" s="21" t="s">
        <v>5891</v>
      </c>
      <c r="D5232" s="25">
        <v>0.0</v>
      </c>
      <c r="E5232" s="27"/>
      <c r="F5232" s="25">
        <v>0.0</v>
      </c>
      <c r="G5232" s="27"/>
    </row>
    <row r="5233" hidden="1">
      <c r="A5233" s="21"/>
      <c r="B5233" s="21" t="s">
        <v>5892</v>
      </c>
      <c r="D5233" s="25">
        <v>0.0</v>
      </c>
      <c r="E5233" s="27"/>
      <c r="F5233" s="25">
        <v>0.0</v>
      </c>
      <c r="G5233" s="27"/>
    </row>
    <row r="5234" hidden="1">
      <c r="A5234" s="21"/>
      <c r="B5234" s="21" t="s">
        <v>5893</v>
      </c>
      <c r="D5234" s="25">
        <v>0.0</v>
      </c>
      <c r="E5234" s="27"/>
      <c r="F5234" s="25">
        <v>0.0</v>
      </c>
      <c r="G5234" s="27"/>
    </row>
    <row r="5235" hidden="1">
      <c r="A5235" s="21"/>
      <c r="B5235" s="21" t="s">
        <v>5894</v>
      </c>
      <c r="D5235" s="25">
        <v>0.0</v>
      </c>
      <c r="E5235" s="27"/>
      <c r="F5235" s="25">
        <v>0.0</v>
      </c>
      <c r="G5235" s="27"/>
    </row>
    <row r="5236" hidden="1">
      <c r="A5236" s="21"/>
      <c r="B5236" s="21" t="s">
        <v>5895</v>
      </c>
      <c r="D5236" s="25">
        <v>0.0</v>
      </c>
      <c r="E5236" s="27"/>
      <c r="F5236" s="25">
        <v>0.0</v>
      </c>
      <c r="G5236" s="27"/>
    </row>
    <row r="5237" hidden="1">
      <c r="A5237" s="21"/>
      <c r="B5237" s="21" t="s">
        <v>5896</v>
      </c>
      <c r="D5237" s="25">
        <v>0.0</v>
      </c>
      <c r="E5237" s="27"/>
      <c r="F5237" s="25">
        <v>0.0</v>
      </c>
      <c r="G5237" s="27"/>
    </row>
    <row r="5238" hidden="1">
      <c r="A5238" s="21"/>
      <c r="B5238" s="21" t="s">
        <v>5897</v>
      </c>
      <c r="D5238" s="25">
        <v>0.0</v>
      </c>
      <c r="E5238" s="27"/>
      <c r="F5238" s="25">
        <v>0.0</v>
      </c>
      <c r="G5238" s="27"/>
    </row>
    <row r="5239" hidden="1">
      <c r="A5239" s="21"/>
      <c r="B5239" s="21" t="s">
        <v>5898</v>
      </c>
      <c r="D5239" s="25">
        <v>0.0</v>
      </c>
      <c r="E5239" s="27"/>
      <c r="F5239" s="25">
        <v>0.0</v>
      </c>
      <c r="G5239" s="27"/>
    </row>
    <row r="5240" hidden="1">
      <c r="A5240" s="21"/>
      <c r="B5240" s="21" t="s">
        <v>5899</v>
      </c>
      <c r="D5240" s="25">
        <v>0.0</v>
      </c>
      <c r="E5240" s="27"/>
      <c r="F5240" s="25">
        <v>0.0</v>
      </c>
      <c r="G5240" s="27"/>
    </row>
    <row r="5241" hidden="1">
      <c r="A5241" s="21"/>
      <c r="B5241" s="21" t="s">
        <v>5900</v>
      </c>
      <c r="D5241" s="25">
        <v>0.0</v>
      </c>
      <c r="E5241" s="27"/>
      <c r="F5241" s="25">
        <v>0.0</v>
      </c>
      <c r="G5241" s="27"/>
    </row>
    <row r="5242" hidden="1">
      <c r="A5242" s="21"/>
      <c r="B5242" s="21" t="s">
        <v>5901</v>
      </c>
      <c r="D5242" s="25">
        <v>0.0</v>
      </c>
      <c r="E5242" s="27"/>
      <c r="F5242" s="25">
        <v>0.0</v>
      </c>
      <c r="G5242" s="27"/>
    </row>
    <row r="5243" hidden="1">
      <c r="A5243" s="21"/>
      <c r="B5243" s="21" t="s">
        <v>5902</v>
      </c>
      <c r="D5243" s="25">
        <v>0.0</v>
      </c>
      <c r="E5243" s="27"/>
      <c r="F5243" s="25">
        <v>0.0</v>
      </c>
      <c r="G5243" s="27"/>
    </row>
    <row r="5244" hidden="1">
      <c r="A5244" s="21"/>
      <c r="B5244" s="21" t="s">
        <v>5903</v>
      </c>
      <c r="D5244" s="25">
        <v>0.0</v>
      </c>
      <c r="E5244" s="27"/>
      <c r="F5244" s="25">
        <v>0.0</v>
      </c>
      <c r="G5244" s="27"/>
    </row>
    <row r="5245" hidden="1">
      <c r="A5245" s="21"/>
      <c r="B5245" s="21" t="s">
        <v>5904</v>
      </c>
      <c r="D5245" s="25">
        <v>0.0</v>
      </c>
      <c r="E5245" s="27"/>
      <c r="F5245" s="25">
        <v>0.0</v>
      </c>
      <c r="G5245" s="27"/>
    </row>
    <row r="5246" hidden="1">
      <c r="A5246" s="21"/>
      <c r="B5246" s="21" t="s">
        <v>5905</v>
      </c>
      <c r="D5246" s="25">
        <v>0.0</v>
      </c>
      <c r="E5246" s="27"/>
      <c r="F5246" s="25">
        <v>0.89</v>
      </c>
      <c r="G5246" s="27"/>
    </row>
    <row r="5247" hidden="1">
      <c r="A5247" s="21"/>
      <c r="B5247" s="21" t="s">
        <v>5906</v>
      </c>
      <c r="D5247" s="25">
        <v>0.0</v>
      </c>
      <c r="E5247" s="27"/>
      <c r="F5247" s="25">
        <v>0.0</v>
      </c>
      <c r="G5247" s="27"/>
    </row>
    <row r="5248" hidden="1">
      <c r="A5248" s="21"/>
      <c r="B5248" s="21" t="s">
        <v>5907</v>
      </c>
      <c r="D5248" s="25">
        <v>0.0</v>
      </c>
      <c r="E5248" s="27"/>
      <c r="F5248" s="25">
        <v>0.0</v>
      </c>
      <c r="G5248" s="27"/>
    </row>
    <row r="5249" hidden="1">
      <c r="A5249" s="21"/>
      <c r="B5249" s="21" t="s">
        <v>5908</v>
      </c>
      <c r="D5249" s="25">
        <v>0.0</v>
      </c>
      <c r="E5249" s="27"/>
      <c r="F5249" s="25">
        <v>0.0</v>
      </c>
      <c r="G5249" s="27"/>
    </row>
    <row r="5250" hidden="1">
      <c r="A5250" s="21"/>
      <c r="B5250" s="21" t="s">
        <v>5909</v>
      </c>
      <c r="D5250" s="25">
        <v>0.0</v>
      </c>
      <c r="E5250" s="27"/>
      <c r="F5250" s="25">
        <v>0.0</v>
      </c>
      <c r="G5250" s="27"/>
    </row>
    <row r="5251" hidden="1">
      <c r="A5251" s="21"/>
      <c r="B5251" s="21" t="s">
        <v>5910</v>
      </c>
      <c r="D5251" s="25">
        <v>0.0</v>
      </c>
      <c r="E5251" s="27"/>
      <c r="F5251" s="25">
        <v>0.0</v>
      </c>
      <c r="G5251" s="27"/>
    </row>
    <row r="5252" hidden="1">
      <c r="A5252" s="21"/>
      <c r="B5252" s="21" t="s">
        <v>5911</v>
      </c>
      <c r="D5252" s="25">
        <v>0.0</v>
      </c>
      <c r="E5252" s="27"/>
      <c r="F5252" s="25">
        <v>0.0</v>
      </c>
      <c r="G5252" s="27"/>
    </row>
    <row r="5253" hidden="1">
      <c r="A5253" s="21"/>
      <c r="B5253" s="21" t="s">
        <v>5912</v>
      </c>
      <c r="D5253" s="25">
        <v>0.0</v>
      </c>
      <c r="E5253" s="27"/>
      <c r="F5253" s="25">
        <v>0.0</v>
      </c>
      <c r="G5253" s="27"/>
    </row>
    <row r="5254" hidden="1">
      <c r="A5254" s="21"/>
      <c r="B5254" s="21" t="s">
        <v>5913</v>
      </c>
      <c r="D5254" s="25">
        <v>0.0</v>
      </c>
      <c r="E5254" s="27"/>
      <c r="F5254" s="25">
        <v>0.0</v>
      </c>
      <c r="G5254" s="27"/>
    </row>
    <row r="5255" hidden="1">
      <c r="A5255" s="21"/>
      <c r="B5255" s="21" t="s">
        <v>5914</v>
      </c>
      <c r="D5255" s="25">
        <v>0.0</v>
      </c>
      <c r="E5255" s="27"/>
      <c r="F5255" s="25">
        <v>0.0</v>
      </c>
      <c r="G5255" s="27"/>
    </row>
    <row r="5256" hidden="1">
      <c r="A5256" s="21"/>
      <c r="B5256" s="21" t="s">
        <v>5915</v>
      </c>
      <c r="D5256" s="25">
        <v>0.0</v>
      </c>
      <c r="E5256" s="27"/>
      <c r="F5256" s="25">
        <v>0.0</v>
      </c>
      <c r="G5256" s="27"/>
    </row>
    <row r="5257" hidden="1">
      <c r="A5257" s="21"/>
      <c r="B5257" s="21" t="s">
        <v>5916</v>
      </c>
      <c r="D5257" s="25">
        <v>0.0</v>
      </c>
      <c r="E5257" s="27"/>
      <c r="F5257" s="25">
        <v>0.0</v>
      </c>
      <c r="G5257" s="27"/>
    </row>
    <row r="5258" hidden="1">
      <c r="A5258" s="21"/>
      <c r="B5258" s="21" t="s">
        <v>5917</v>
      </c>
      <c r="D5258" s="25">
        <v>0.0</v>
      </c>
      <c r="E5258" s="27"/>
      <c r="F5258" s="25">
        <v>0.0</v>
      </c>
      <c r="G5258" s="27"/>
    </row>
    <row r="5259" hidden="1">
      <c r="A5259" s="21"/>
      <c r="B5259" s="21" t="s">
        <v>5918</v>
      </c>
      <c r="D5259" s="25">
        <v>0.0</v>
      </c>
      <c r="E5259" s="27"/>
      <c r="F5259" s="25">
        <v>0.0</v>
      </c>
      <c r="G5259" s="27"/>
    </row>
    <row r="5260" hidden="1">
      <c r="A5260" s="21"/>
      <c r="B5260" s="21" t="s">
        <v>5919</v>
      </c>
      <c r="D5260" s="25">
        <v>0.0</v>
      </c>
      <c r="E5260" s="27"/>
      <c r="F5260" s="25">
        <v>0.0</v>
      </c>
      <c r="G5260" s="27"/>
    </row>
    <row r="5261" hidden="1">
      <c r="A5261" s="21"/>
      <c r="B5261" s="21" t="s">
        <v>5920</v>
      </c>
      <c r="D5261" s="25">
        <v>0.0</v>
      </c>
      <c r="E5261" s="27"/>
      <c r="F5261" s="25">
        <v>0.0</v>
      </c>
      <c r="G5261" s="27"/>
    </row>
    <row r="5262" hidden="1">
      <c r="A5262" s="21"/>
      <c r="B5262" s="21" t="s">
        <v>5921</v>
      </c>
      <c r="D5262" s="25">
        <v>0.0</v>
      </c>
      <c r="E5262" s="27"/>
      <c r="F5262" s="25">
        <v>0.0</v>
      </c>
      <c r="G5262" s="27"/>
    </row>
    <row r="5263" hidden="1">
      <c r="A5263" s="21"/>
      <c r="B5263" s="21" t="s">
        <v>5922</v>
      </c>
      <c r="D5263" s="25">
        <v>0.0</v>
      </c>
      <c r="E5263" s="27"/>
      <c r="F5263" s="25">
        <v>0.0</v>
      </c>
      <c r="G5263" s="27"/>
    </row>
    <row r="5264" hidden="1">
      <c r="A5264" s="21"/>
      <c r="B5264" s="21" t="s">
        <v>5923</v>
      </c>
      <c r="D5264" s="25">
        <v>0.0</v>
      </c>
      <c r="E5264" s="27"/>
      <c r="F5264" s="25">
        <v>0.0</v>
      </c>
      <c r="G5264" s="27"/>
    </row>
    <row r="5265" hidden="1">
      <c r="A5265" s="21"/>
      <c r="B5265" s="21" t="s">
        <v>5924</v>
      </c>
      <c r="D5265" s="25">
        <v>0.0</v>
      </c>
      <c r="E5265" s="27"/>
      <c r="F5265" s="25">
        <v>0.0</v>
      </c>
      <c r="G5265" s="27"/>
    </row>
    <row r="5266" hidden="1">
      <c r="A5266" s="21"/>
      <c r="B5266" s="21" t="s">
        <v>5925</v>
      </c>
      <c r="D5266" s="25">
        <v>0.0</v>
      </c>
      <c r="E5266" s="27"/>
      <c r="F5266" s="25">
        <v>0.0</v>
      </c>
      <c r="G5266" s="27"/>
    </row>
    <row r="5267" hidden="1">
      <c r="A5267" s="21"/>
      <c r="B5267" s="21" t="s">
        <v>5926</v>
      </c>
      <c r="D5267" s="25">
        <v>0.0</v>
      </c>
      <c r="E5267" s="27"/>
      <c r="F5267" s="25">
        <v>0.0</v>
      </c>
      <c r="G5267" s="27"/>
    </row>
    <row r="5268" hidden="1">
      <c r="A5268" s="21"/>
      <c r="B5268" s="21" t="s">
        <v>5927</v>
      </c>
      <c r="D5268" s="25">
        <v>0.0</v>
      </c>
      <c r="E5268" s="27"/>
      <c r="F5268" s="25">
        <v>0.0</v>
      </c>
      <c r="G5268" s="27"/>
    </row>
    <row r="5269" hidden="1">
      <c r="A5269" s="21"/>
      <c r="B5269" s="21" t="s">
        <v>5928</v>
      </c>
      <c r="D5269" s="25">
        <v>0.0</v>
      </c>
      <c r="E5269" s="27"/>
      <c r="F5269" s="25">
        <v>0.0</v>
      </c>
      <c r="G5269" s="27"/>
    </row>
    <row r="5270" hidden="1">
      <c r="A5270" s="21"/>
      <c r="B5270" s="21" t="s">
        <v>5929</v>
      </c>
      <c r="D5270" s="25">
        <v>0.0</v>
      </c>
      <c r="E5270" s="27"/>
      <c r="F5270" s="25">
        <v>0.0</v>
      </c>
      <c r="G5270" s="27"/>
    </row>
    <row r="5271" hidden="1">
      <c r="A5271" s="21"/>
      <c r="B5271" s="21" t="s">
        <v>5930</v>
      </c>
      <c r="D5271" s="25">
        <v>0.0</v>
      </c>
      <c r="E5271" s="27"/>
      <c r="F5271" s="25">
        <v>0.0</v>
      </c>
      <c r="G5271" s="27"/>
    </row>
    <row r="5272" hidden="1">
      <c r="A5272" s="21"/>
      <c r="B5272" s="21" t="s">
        <v>5931</v>
      </c>
      <c r="D5272" s="25">
        <v>0.0</v>
      </c>
      <c r="E5272" s="27"/>
      <c r="F5272" s="25">
        <v>0.0</v>
      </c>
      <c r="G5272" s="27"/>
    </row>
    <row r="5273" hidden="1">
      <c r="A5273" s="21"/>
      <c r="B5273" s="21" t="s">
        <v>5932</v>
      </c>
      <c r="D5273" s="25">
        <v>0.0</v>
      </c>
      <c r="E5273" s="27"/>
      <c r="F5273" s="25">
        <v>0.0</v>
      </c>
      <c r="G5273" s="27"/>
    </row>
    <row r="5274" hidden="1">
      <c r="A5274" s="21"/>
      <c r="B5274" s="21" t="s">
        <v>5933</v>
      </c>
      <c r="D5274" s="25">
        <v>0.0</v>
      </c>
      <c r="E5274" s="27"/>
      <c r="F5274" s="25">
        <v>0.0</v>
      </c>
      <c r="G5274" s="27"/>
    </row>
    <row r="5275" hidden="1">
      <c r="A5275" s="21"/>
      <c r="B5275" s="21" t="s">
        <v>5934</v>
      </c>
      <c r="D5275" s="25">
        <v>0.0</v>
      </c>
      <c r="E5275" s="27"/>
      <c r="F5275" s="25">
        <v>0.0</v>
      </c>
      <c r="G5275" s="27"/>
    </row>
    <row r="5276" hidden="1">
      <c r="A5276" s="21"/>
      <c r="B5276" s="21" t="s">
        <v>5935</v>
      </c>
      <c r="D5276" s="25">
        <v>0.0</v>
      </c>
      <c r="E5276" s="27"/>
      <c r="F5276" s="25">
        <v>0.0</v>
      </c>
      <c r="G5276" s="27"/>
    </row>
    <row r="5277" hidden="1">
      <c r="A5277" s="21"/>
      <c r="B5277" s="21" t="s">
        <v>5936</v>
      </c>
      <c r="D5277" s="25">
        <v>0.0</v>
      </c>
      <c r="E5277" s="27"/>
      <c r="F5277" s="25">
        <v>0.0</v>
      </c>
      <c r="G5277" s="27"/>
    </row>
    <row r="5278" hidden="1">
      <c r="A5278" s="21"/>
      <c r="B5278" s="21" t="s">
        <v>5937</v>
      </c>
      <c r="D5278" s="25">
        <v>0.0</v>
      </c>
      <c r="E5278" s="27"/>
      <c r="F5278" s="25">
        <v>0.0</v>
      </c>
      <c r="G5278" s="27"/>
    </row>
    <row r="5279" hidden="1">
      <c r="A5279" s="21"/>
      <c r="B5279" s="21" t="s">
        <v>5938</v>
      </c>
      <c r="D5279" s="25">
        <v>0.0</v>
      </c>
      <c r="E5279" s="27"/>
      <c r="F5279" s="25">
        <v>0.0</v>
      </c>
      <c r="G5279" s="27"/>
    </row>
    <row r="5280" hidden="1">
      <c r="A5280" s="21"/>
      <c r="B5280" s="21" t="s">
        <v>5939</v>
      </c>
      <c r="D5280" s="25">
        <v>0.0</v>
      </c>
      <c r="E5280" s="27"/>
      <c r="F5280" s="25">
        <v>0.0</v>
      </c>
      <c r="G5280" s="27"/>
    </row>
    <row r="5281" hidden="1">
      <c r="A5281" s="21"/>
      <c r="B5281" s="21" t="s">
        <v>5940</v>
      </c>
      <c r="D5281" s="25">
        <v>0.0</v>
      </c>
      <c r="E5281" s="27"/>
      <c r="F5281" s="25">
        <v>0.0</v>
      </c>
      <c r="G5281" s="27"/>
    </row>
    <row r="5282" hidden="1">
      <c r="A5282" s="21"/>
      <c r="B5282" s="21" t="s">
        <v>5941</v>
      </c>
      <c r="D5282" s="25">
        <v>0.0</v>
      </c>
      <c r="E5282" s="27"/>
      <c r="F5282" s="25">
        <v>0.0</v>
      </c>
      <c r="G5282" s="27"/>
    </row>
    <row r="5283" hidden="1">
      <c r="A5283" s="21"/>
      <c r="B5283" s="21" t="s">
        <v>5942</v>
      </c>
      <c r="D5283" s="25">
        <v>0.0</v>
      </c>
      <c r="E5283" s="27"/>
      <c r="F5283" s="25">
        <v>0.0</v>
      </c>
      <c r="G5283" s="27"/>
    </row>
    <row r="5284" hidden="1">
      <c r="A5284" s="21"/>
      <c r="B5284" s="21" t="s">
        <v>5943</v>
      </c>
      <c r="D5284" s="25">
        <v>0.0</v>
      </c>
      <c r="E5284" s="27"/>
      <c r="F5284" s="25">
        <v>0.0</v>
      </c>
      <c r="G5284" s="27"/>
    </row>
    <row r="5285" hidden="1">
      <c r="A5285" s="21"/>
      <c r="B5285" s="21" t="s">
        <v>5944</v>
      </c>
      <c r="D5285" s="25">
        <v>0.0</v>
      </c>
      <c r="E5285" s="27"/>
      <c r="F5285" s="25">
        <v>0.0</v>
      </c>
      <c r="G5285" s="27"/>
    </row>
    <row r="5286" hidden="1">
      <c r="A5286" s="21"/>
      <c r="B5286" s="21" t="s">
        <v>5945</v>
      </c>
      <c r="D5286" s="25">
        <v>0.0</v>
      </c>
      <c r="E5286" s="27"/>
      <c r="F5286" s="25">
        <v>0.0</v>
      </c>
      <c r="G5286" s="27"/>
    </row>
    <row r="5287" hidden="1">
      <c r="A5287" s="21"/>
      <c r="B5287" s="21" t="s">
        <v>5946</v>
      </c>
      <c r="D5287" s="25">
        <v>0.0</v>
      </c>
      <c r="E5287" s="27"/>
      <c r="F5287" s="25">
        <v>0.0</v>
      </c>
      <c r="G5287" s="27"/>
    </row>
    <row r="5288" hidden="1">
      <c r="A5288" s="21"/>
      <c r="B5288" s="21" t="s">
        <v>5947</v>
      </c>
      <c r="D5288" s="25">
        <v>0.0</v>
      </c>
      <c r="E5288" s="27"/>
      <c r="F5288" s="25">
        <v>0.0</v>
      </c>
      <c r="G5288" s="27"/>
    </row>
    <row r="5289" hidden="1">
      <c r="A5289" s="21"/>
      <c r="B5289" s="21" t="s">
        <v>5948</v>
      </c>
      <c r="D5289" s="25">
        <v>0.0</v>
      </c>
      <c r="E5289" s="27"/>
      <c r="F5289" s="25">
        <v>0.0</v>
      </c>
      <c r="G5289" s="27"/>
    </row>
    <row r="5290" hidden="1">
      <c r="A5290" s="21"/>
      <c r="B5290" s="21" t="s">
        <v>5949</v>
      </c>
      <c r="D5290" s="25">
        <v>0.0</v>
      </c>
      <c r="E5290" s="27"/>
      <c r="F5290" s="25">
        <v>0.0</v>
      </c>
      <c r="G5290" s="27"/>
    </row>
    <row r="5291" hidden="1">
      <c r="A5291" s="21"/>
      <c r="B5291" s="21" t="s">
        <v>5950</v>
      </c>
      <c r="D5291" s="25">
        <v>0.0</v>
      </c>
      <c r="E5291" s="27"/>
      <c r="F5291" s="25">
        <v>0.0</v>
      </c>
      <c r="G5291" s="27"/>
    </row>
    <row r="5292" hidden="1">
      <c r="A5292" s="21"/>
      <c r="B5292" s="21" t="s">
        <v>5951</v>
      </c>
      <c r="D5292" s="25">
        <v>0.0</v>
      </c>
      <c r="E5292" s="27"/>
      <c r="F5292" s="25">
        <v>0.0</v>
      </c>
      <c r="G5292" s="27"/>
    </row>
    <row r="5293" hidden="1">
      <c r="A5293" s="21"/>
      <c r="B5293" s="21" t="s">
        <v>5952</v>
      </c>
      <c r="D5293" s="25">
        <v>0.0</v>
      </c>
      <c r="E5293" s="27"/>
      <c r="F5293" s="25">
        <v>0.0</v>
      </c>
      <c r="G5293" s="27"/>
    </row>
    <row r="5294" hidden="1">
      <c r="A5294" s="21"/>
      <c r="B5294" s="21" t="s">
        <v>5953</v>
      </c>
      <c r="D5294" s="25">
        <v>0.0</v>
      </c>
      <c r="E5294" s="27"/>
      <c r="F5294" s="25">
        <v>0.0</v>
      </c>
      <c r="G5294" s="27"/>
    </row>
    <row r="5295" hidden="1">
      <c r="A5295" s="21"/>
      <c r="B5295" s="21" t="s">
        <v>5954</v>
      </c>
      <c r="D5295" s="25">
        <v>0.0</v>
      </c>
      <c r="E5295" s="27"/>
      <c r="F5295" s="25">
        <v>0.0</v>
      </c>
      <c r="G5295" s="27"/>
    </row>
    <row r="5296" hidden="1">
      <c r="A5296" s="21"/>
      <c r="B5296" s="21" t="s">
        <v>5955</v>
      </c>
      <c r="D5296" s="25">
        <v>0.0</v>
      </c>
      <c r="E5296" s="27"/>
      <c r="F5296" s="25">
        <v>0.0</v>
      </c>
      <c r="G5296" s="27"/>
    </row>
    <row r="5297" hidden="1">
      <c r="A5297" s="21"/>
      <c r="B5297" s="21" t="s">
        <v>5956</v>
      </c>
      <c r="D5297" s="25">
        <v>0.0</v>
      </c>
      <c r="E5297" s="27"/>
      <c r="F5297" s="25">
        <v>0.0</v>
      </c>
      <c r="G5297" s="27"/>
    </row>
    <row r="5298" hidden="1">
      <c r="A5298" s="21"/>
      <c r="B5298" s="21" t="s">
        <v>5957</v>
      </c>
      <c r="D5298" s="25">
        <v>0.0</v>
      </c>
      <c r="E5298" s="27"/>
      <c r="F5298" s="25">
        <v>0.0</v>
      </c>
      <c r="G5298" s="27"/>
    </row>
    <row r="5299" hidden="1">
      <c r="A5299" s="21"/>
      <c r="B5299" s="21" t="s">
        <v>5958</v>
      </c>
      <c r="D5299" s="25">
        <v>0.0</v>
      </c>
      <c r="E5299" s="27"/>
      <c r="F5299" s="25">
        <v>0.0</v>
      </c>
      <c r="G5299" s="27"/>
    </row>
    <row r="5300" hidden="1">
      <c r="A5300" s="21"/>
      <c r="B5300" s="21" t="s">
        <v>5959</v>
      </c>
      <c r="D5300" s="25">
        <v>0.0</v>
      </c>
      <c r="E5300" s="27"/>
      <c r="F5300" s="25">
        <v>0.0</v>
      </c>
      <c r="G5300" s="27"/>
    </row>
    <row r="5301" hidden="1">
      <c r="A5301" s="21"/>
      <c r="B5301" s="21" t="s">
        <v>808</v>
      </c>
      <c r="D5301" s="25">
        <v>0.0</v>
      </c>
      <c r="E5301" s="27"/>
      <c r="F5301" s="25">
        <v>0.0</v>
      </c>
      <c r="G5301" s="27"/>
    </row>
    <row r="5302" hidden="1">
      <c r="A5302" s="21"/>
      <c r="B5302" s="21" t="s">
        <v>809</v>
      </c>
      <c r="D5302" s="25">
        <v>0.0</v>
      </c>
      <c r="E5302" s="27"/>
      <c r="F5302" s="25">
        <v>0.0</v>
      </c>
      <c r="G5302" s="27"/>
    </row>
    <row r="5303" hidden="1">
      <c r="A5303" s="21"/>
      <c r="B5303" s="21" t="s">
        <v>810</v>
      </c>
      <c r="D5303" s="25">
        <v>0.0</v>
      </c>
      <c r="E5303" s="27"/>
      <c r="F5303" s="25">
        <v>0.0</v>
      </c>
      <c r="G5303" s="27"/>
    </row>
    <row r="5304" hidden="1">
      <c r="A5304" s="21"/>
      <c r="B5304" s="21" t="s">
        <v>811</v>
      </c>
      <c r="D5304" s="25">
        <v>0.0</v>
      </c>
      <c r="E5304" s="27"/>
      <c r="F5304" s="25">
        <v>0.0</v>
      </c>
      <c r="G5304" s="27"/>
    </row>
    <row r="5305" hidden="1">
      <c r="A5305" s="21"/>
      <c r="B5305" s="21" t="s">
        <v>812</v>
      </c>
      <c r="D5305" s="25">
        <v>0.0</v>
      </c>
      <c r="E5305" s="27"/>
      <c r="F5305" s="25">
        <v>0.0</v>
      </c>
      <c r="G5305" s="27"/>
    </row>
    <row r="5306" hidden="1">
      <c r="A5306" s="21"/>
      <c r="B5306" s="21" t="s">
        <v>813</v>
      </c>
      <c r="D5306" s="25">
        <v>0.0</v>
      </c>
      <c r="E5306" s="27"/>
      <c r="F5306" s="25">
        <v>0.0</v>
      </c>
      <c r="G5306" s="27"/>
    </row>
    <row r="5307" hidden="1">
      <c r="A5307" s="21"/>
      <c r="B5307" s="21" t="s">
        <v>814</v>
      </c>
      <c r="D5307" s="25">
        <v>0.0</v>
      </c>
      <c r="E5307" s="27"/>
      <c r="F5307" s="25">
        <v>0.0</v>
      </c>
      <c r="G5307" s="27"/>
    </row>
    <row r="5308" hidden="1">
      <c r="A5308" s="21"/>
      <c r="B5308" s="21" t="s">
        <v>815</v>
      </c>
      <c r="D5308" s="25">
        <v>0.0</v>
      </c>
      <c r="E5308" s="27"/>
      <c r="F5308" s="25">
        <v>0.0</v>
      </c>
      <c r="G5308" s="27"/>
    </row>
    <row r="5309" hidden="1">
      <c r="A5309" s="21"/>
      <c r="B5309" s="21" t="s">
        <v>816</v>
      </c>
      <c r="D5309" s="25">
        <v>0.0</v>
      </c>
      <c r="E5309" s="27"/>
      <c r="F5309" s="25">
        <v>0.0</v>
      </c>
      <c r="G5309" s="27"/>
    </row>
    <row r="5310" hidden="1">
      <c r="A5310" s="21"/>
      <c r="B5310" s="21" t="s">
        <v>817</v>
      </c>
      <c r="D5310" s="25">
        <v>0.0</v>
      </c>
      <c r="E5310" s="27"/>
      <c r="F5310" s="25">
        <v>0.0</v>
      </c>
      <c r="G5310" s="27"/>
    </row>
    <row r="5311" hidden="1">
      <c r="A5311" s="21"/>
      <c r="B5311" s="21" t="s">
        <v>818</v>
      </c>
      <c r="D5311" s="25">
        <v>0.0</v>
      </c>
      <c r="E5311" s="27"/>
      <c r="F5311" s="25">
        <v>0.0</v>
      </c>
      <c r="G5311" s="27"/>
    </row>
    <row r="5312" hidden="1">
      <c r="A5312" s="21"/>
      <c r="B5312" s="21" t="s">
        <v>819</v>
      </c>
      <c r="D5312" s="25">
        <v>0.0</v>
      </c>
      <c r="E5312" s="27"/>
      <c r="F5312" s="25">
        <v>0.0</v>
      </c>
      <c r="G5312" s="27"/>
    </row>
    <row r="5313" hidden="1">
      <c r="A5313" s="21"/>
      <c r="B5313" s="21" t="s">
        <v>820</v>
      </c>
      <c r="D5313" s="25">
        <v>0.0</v>
      </c>
      <c r="E5313" s="27"/>
      <c r="F5313" s="25">
        <v>0.0</v>
      </c>
      <c r="G5313" s="27"/>
    </row>
    <row r="5314" hidden="1">
      <c r="A5314" s="21"/>
      <c r="B5314" s="21" t="s">
        <v>821</v>
      </c>
      <c r="D5314" s="25">
        <v>0.0</v>
      </c>
      <c r="E5314" s="27"/>
      <c r="F5314" s="25">
        <v>0.0</v>
      </c>
      <c r="G5314" s="27"/>
    </row>
    <row r="5315" hidden="1">
      <c r="A5315" s="21"/>
      <c r="B5315" s="21" t="s">
        <v>822</v>
      </c>
      <c r="D5315" s="25">
        <v>0.0</v>
      </c>
      <c r="E5315" s="27"/>
      <c r="F5315" s="25">
        <v>0.0</v>
      </c>
      <c r="G5315" s="27"/>
    </row>
    <row r="5316" hidden="1">
      <c r="A5316" s="21"/>
      <c r="B5316" s="21" t="s">
        <v>823</v>
      </c>
      <c r="D5316" s="25">
        <v>0.0</v>
      </c>
      <c r="E5316" s="27"/>
      <c r="F5316" s="25">
        <v>0.0</v>
      </c>
      <c r="G5316" s="27"/>
    </row>
    <row r="5317" hidden="1">
      <c r="A5317" s="21"/>
      <c r="B5317" s="21" t="s">
        <v>824</v>
      </c>
      <c r="D5317" s="25">
        <v>0.0</v>
      </c>
      <c r="E5317" s="27"/>
      <c r="F5317" s="25">
        <v>0.0</v>
      </c>
      <c r="G5317" s="27"/>
    </row>
    <row r="5318" hidden="1">
      <c r="A5318" s="21"/>
      <c r="B5318" s="21" t="s">
        <v>825</v>
      </c>
      <c r="D5318" s="25">
        <v>0.0</v>
      </c>
      <c r="E5318" s="27"/>
      <c r="F5318" s="25">
        <v>0.0</v>
      </c>
      <c r="G5318" s="27"/>
    </row>
    <row r="5319" hidden="1">
      <c r="A5319" s="21"/>
      <c r="B5319" s="21" t="s">
        <v>826</v>
      </c>
      <c r="D5319" s="25">
        <v>0.0</v>
      </c>
      <c r="E5319" s="27"/>
      <c r="F5319" s="25">
        <v>0.0</v>
      </c>
      <c r="G5319" s="27"/>
    </row>
    <row r="5320" hidden="1">
      <c r="A5320" s="21"/>
      <c r="B5320" s="21" t="s">
        <v>827</v>
      </c>
      <c r="D5320" s="25">
        <v>0.0</v>
      </c>
      <c r="E5320" s="27"/>
      <c r="F5320" s="25">
        <v>0.0</v>
      </c>
      <c r="G5320" s="27"/>
    </row>
    <row r="5321" hidden="1">
      <c r="A5321" s="21"/>
      <c r="B5321" s="21" t="s">
        <v>828</v>
      </c>
      <c r="D5321" s="25">
        <v>0.0</v>
      </c>
      <c r="E5321" s="27"/>
      <c r="F5321" s="25">
        <v>0.0</v>
      </c>
      <c r="G5321" s="27"/>
    </row>
    <row r="5322" hidden="1">
      <c r="A5322" s="21"/>
      <c r="B5322" s="21" t="s">
        <v>829</v>
      </c>
      <c r="D5322" s="25">
        <v>0.0</v>
      </c>
      <c r="E5322" s="27"/>
      <c r="F5322" s="25">
        <v>0.0</v>
      </c>
      <c r="G5322" s="27"/>
    </row>
    <row r="5323" hidden="1">
      <c r="A5323" s="21"/>
      <c r="B5323" s="21" t="s">
        <v>830</v>
      </c>
      <c r="D5323" s="25">
        <v>0.0</v>
      </c>
      <c r="E5323" s="27"/>
      <c r="F5323" s="25">
        <v>0.0</v>
      </c>
      <c r="G5323" s="27"/>
    </row>
    <row r="5324" hidden="1">
      <c r="A5324" s="21"/>
      <c r="B5324" s="21" t="s">
        <v>831</v>
      </c>
      <c r="D5324" s="25">
        <v>0.0</v>
      </c>
      <c r="E5324" s="27"/>
      <c r="F5324" s="25">
        <v>0.0</v>
      </c>
      <c r="G5324" s="27"/>
    </row>
    <row r="5325" hidden="1">
      <c r="A5325" s="21"/>
      <c r="B5325" s="21" t="s">
        <v>832</v>
      </c>
      <c r="D5325" s="25">
        <v>0.0</v>
      </c>
      <c r="E5325" s="27"/>
      <c r="F5325" s="25">
        <v>0.0</v>
      </c>
      <c r="G5325" s="27"/>
    </row>
    <row r="5326" hidden="1">
      <c r="A5326" s="21"/>
      <c r="B5326" s="21" t="s">
        <v>833</v>
      </c>
      <c r="D5326" s="25">
        <v>0.0</v>
      </c>
      <c r="E5326" s="27"/>
      <c r="F5326" s="25">
        <v>0.0</v>
      </c>
      <c r="G5326" s="27"/>
    </row>
    <row r="5327" hidden="1">
      <c r="A5327" s="21"/>
      <c r="B5327" s="21" t="s">
        <v>834</v>
      </c>
      <c r="D5327" s="25">
        <v>0.0</v>
      </c>
      <c r="E5327" s="27"/>
      <c r="F5327" s="25">
        <v>0.0</v>
      </c>
      <c r="G5327" s="27"/>
    </row>
    <row r="5328" hidden="1">
      <c r="A5328" s="21"/>
      <c r="B5328" s="21" t="s">
        <v>835</v>
      </c>
      <c r="D5328" s="25">
        <v>0.0</v>
      </c>
      <c r="E5328" s="27"/>
      <c r="F5328" s="25">
        <v>0.0</v>
      </c>
      <c r="G5328" s="27"/>
    </row>
    <row r="5329" hidden="1">
      <c r="A5329" s="21"/>
      <c r="B5329" s="21" t="s">
        <v>836</v>
      </c>
      <c r="D5329" s="25">
        <v>0.0</v>
      </c>
      <c r="E5329" s="27"/>
      <c r="F5329" s="25">
        <v>0.0</v>
      </c>
      <c r="G5329" s="27"/>
    </row>
    <row r="5330" hidden="1">
      <c r="A5330" s="21"/>
      <c r="B5330" s="21" t="s">
        <v>837</v>
      </c>
      <c r="D5330" s="25">
        <v>0.0</v>
      </c>
      <c r="E5330" s="27"/>
      <c r="F5330" s="25">
        <v>0.0</v>
      </c>
      <c r="G5330" s="27"/>
    </row>
    <row r="5331" hidden="1">
      <c r="A5331" s="21"/>
      <c r="B5331" s="21" t="s">
        <v>838</v>
      </c>
      <c r="D5331" s="25">
        <v>0.0</v>
      </c>
      <c r="E5331" s="27"/>
      <c r="F5331" s="25">
        <v>0.0</v>
      </c>
      <c r="G5331" s="27"/>
    </row>
    <row r="5332" hidden="1">
      <c r="A5332" s="21"/>
      <c r="B5332" s="21" t="s">
        <v>839</v>
      </c>
      <c r="D5332" s="25">
        <v>0.0</v>
      </c>
      <c r="E5332" s="27"/>
      <c r="F5332" s="25">
        <v>0.0</v>
      </c>
      <c r="G5332" s="27"/>
    </row>
    <row r="5333" hidden="1">
      <c r="A5333" s="21"/>
      <c r="B5333" s="21" t="s">
        <v>840</v>
      </c>
      <c r="D5333" s="25">
        <v>0.0</v>
      </c>
      <c r="E5333" s="27"/>
      <c r="F5333" s="25">
        <v>0.0</v>
      </c>
      <c r="G5333" s="27"/>
    </row>
    <row r="5334">
      <c r="A5334" s="21"/>
      <c r="B5334" s="21" t="s">
        <v>841</v>
      </c>
      <c r="D5334" s="25">
        <v>0.0</v>
      </c>
      <c r="E5334" s="27"/>
      <c r="F5334" s="25">
        <v>0.0</v>
      </c>
      <c r="G5334" s="27"/>
    </row>
    <row r="5335">
      <c r="A5335" s="21"/>
      <c r="B5335" s="21" t="s">
        <v>842</v>
      </c>
      <c r="D5335" s="25">
        <v>0.0</v>
      </c>
      <c r="E5335" s="27"/>
      <c r="F5335" s="25">
        <v>0.0</v>
      </c>
      <c r="G5335" s="27"/>
    </row>
    <row r="5336">
      <c r="A5336" s="21"/>
      <c r="B5336" s="21" t="s">
        <v>843</v>
      </c>
      <c r="D5336" s="25">
        <v>0.0</v>
      </c>
      <c r="E5336" s="27"/>
      <c r="F5336" s="25">
        <v>0.0</v>
      </c>
      <c r="G5336" s="27"/>
    </row>
    <row r="5337">
      <c r="A5337" s="21"/>
      <c r="B5337" s="21" t="s">
        <v>5960</v>
      </c>
      <c r="D5337" s="25">
        <v>0.0</v>
      </c>
      <c r="E5337" s="27"/>
      <c r="F5337" s="25">
        <v>0.0</v>
      </c>
      <c r="G5337" s="27"/>
    </row>
    <row r="5338">
      <c r="A5338" s="21"/>
      <c r="B5338" s="21" t="s">
        <v>844</v>
      </c>
      <c r="D5338" s="25">
        <v>0.0</v>
      </c>
      <c r="E5338" s="27"/>
      <c r="F5338" s="25">
        <v>0.0</v>
      </c>
      <c r="G5338" s="27"/>
    </row>
    <row r="5339">
      <c r="A5339" s="21"/>
      <c r="B5339" s="21" t="s">
        <v>845</v>
      </c>
      <c r="D5339" s="25">
        <v>0.0</v>
      </c>
      <c r="E5339" s="27"/>
      <c r="F5339" s="25">
        <v>0.0</v>
      </c>
      <c r="G5339" s="27"/>
    </row>
    <row r="5340">
      <c r="A5340" s="21"/>
      <c r="B5340" s="21" t="s">
        <v>846</v>
      </c>
      <c r="D5340" s="25">
        <v>0.0</v>
      </c>
      <c r="E5340" s="27"/>
      <c r="F5340" s="25">
        <v>0.0</v>
      </c>
      <c r="G5340" s="27"/>
    </row>
    <row r="5341">
      <c r="A5341" s="21"/>
      <c r="B5341" s="21" t="s">
        <v>847</v>
      </c>
      <c r="D5341" s="25">
        <v>0.0</v>
      </c>
      <c r="E5341" s="27"/>
      <c r="F5341" s="25">
        <v>0.0</v>
      </c>
      <c r="G5341" s="27"/>
    </row>
    <row r="5342">
      <c r="A5342" s="21"/>
      <c r="B5342" s="21" t="s">
        <v>848</v>
      </c>
      <c r="D5342" s="25">
        <v>0.0</v>
      </c>
      <c r="E5342" s="27"/>
      <c r="F5342" s="25">
        <v>0.0</v>
      </c>
      <c r="G5342" s="27"/>
    </row>
    <row r="5343">
      <c r="A5343" s="21"/>
      <c r="B5343" s="21" t="s">
        <v>849</v>
      </c>
      <c r="D5343" s="25">
        <v>0.0</v>
      </c>
      <c r="E5343" s="27"/>
      <c r="F5343" s="25">
        <v>0.0</v>
      </c>
      <c r="G5343" s="27"/>
    </row>
    <row r="5344">
      <c r="A5344" s="21"/>
      <c r="B5344" s="21" t="s">
        <v>850</v>
      </c>
      <c r="D5344" s="25">
        <v>0.0</v>
      </c>
      <c r="E5344" s="27"/>
      <c r="F5344" s="25">
        <v>0.0</v>
      </c>
      <c r="G5344" s="27"/>
    </row>
    <row r="5345">
      <c r="A5345" s="21"/>
      <c r="B5345" s="21" t="s">
        <v>851</v>
      </c>
      <c r="D5345" s="25">
        <v>0.0</v>
      </c>
      <c r="E5345" s="27"/>
      <c r="F5345" s="25">
        <v>0.0</v>
      </c>
      <c r="G5345" s="27"/>
    </row>
    <row r="5346">
      <c r="A5346" s="21"/>
      <c r="B5346" s="21" t="s">
        <v>5961</v>
      </c>
      <c r="D5346" s="25">
        <v>0.0</v>
      </c>
      <c r="E5346" s="27"/>
      <c r="F5346" s="25">
        <v>0.0</v>
      </c>
      <c r="G5346" s="27"/>
    </row>
    <row r="5347">
      <c r="A5347" s="21"/>
      <c r="B5347" s="21" t="s">
        <v>5962</v>
      </c>
      <c r="D5347" s="25">
        <v>0.0</v>
      </c>
      <c r="E5347" s="27"/>
      <c r="F5347" s="25">
        <v>0.0</v>
      </c>
      <c r="G5347" s="27"/>
    </row>
    <row r="5348">
      <c r="A5348" s="21"/>
      <c r="B5348" s="21" t="s">
        <v>5963</v>
      </c>
      <c r="D5348" s="25">
        <v>0.0</v>
      </c>
      <c r="E5348" s="27"/>
      <c r="F5348" s="25">
        <v>0.0</v>
      </c>
      <c r="G5348" s="27"/>
    </row>
    <row r="5349">
      <c r="A5349" s="21"/>
      <c r="B5349" s="21" t="s">
        <v>5964</v>
      </c>
      <c r="D5349" s="25">
        <v>0.0</v>
      </c>
      <c r="E5349" s="27"/>
      <c r="F5349" s="25">
        <v>0.0</v>
      </c>
      <c r="G5349" s="27"/>
    </row>
    <row r="5350">
      <c r="A5350" s="21"/>
      <c r="B5350" s="21" t="s">
        <v>5965</v>
      </c>
      <c r="D5350" s="25">
        <v>0.0</v>
      </c>
      <c r="E5350" s="27"/>
      <c r="F5350" s="25">
        <v>0.0</v>
      </c>
      <c r="G5350" s="27"/>
    </row>
    <row r="5351">
      <c r="A5351" s="21"/>
      <c r="B5351" s="21" t="s">
        <v>5966</v>
      </c>
      <c r="D5351" s="25">
        <v>0.0</v>
      </c>
      <c r="E5351" s="27"/>
      <c r="F5351" s="25">
        <v>0.0</v>
      </c>
      <c r="G5351" s="27"/>
    </row>
    <row r="5352">
      <c r="A5352" s="21"/>
      <c r="B5352" s="21" t="s">
        <v>5967</v>
      </c>
      <c r="D5352" s="25">
        <v>0.0</v>
      </c>
      <c r="E5352" s="27"/>
      <c r="F5352" s="25">
        <v>0.0</v>
      </c>
      <c r="G5352" s="27"/>
    </row>
    <row r="5353">
      <c r="A5353" s="21"/>
      <c r="B5353" s="21" t="s">
        <v>5968</v>
      </c>
      <c r="D5353" s="25">
        <v>0.0</v>
      </c>
      <c r="E5353" s="27"/>
      <c r="F5353" s="25">
        <v>0.0</v>
      </c>
      <c r="G5353" s="27"/>
    </row>
    <row r="5354">
      <c r="A5354" s="21"/>
      <c r="B5354" s="21" t="s">
        <v>5969</v>
      </c>
      <c r="D5354" s="25">
        <v>0.0</v>
      </c>
      <c r="E5354" s="27"/>
      <c r="F5354" s="25">
        <v>0.0</v>
      </c>
      <c r="G5354" s="27"/>
    </row>
    <row r="5355">
      <c r="A5355" s="21"/>
      <c r="B5355" s="21" t="s">
        <v>5970</v>
      </c>
      <c r="D5355" s="25">
        <v>0.0</v>
      </c>
      <c r="E5355" s="27"/>
      <c r="F5355" s="25">
        <v>0.0</v>
      </c>
      <c r="G5355" s="27"/>
    </row>
    <row r="5356">
      <c r="A5356" s="21"/>
      <c r="B5356" s="21" t="s">
        <v>5971</v>
      </c>
      <c r="D5356" s="25">
        <v>0.0</v>
      </c>
      <c r="E5356" s="27"/>
      <c r="F5356" s="25">
        <v>0.0</v>
      </c>
      <c r="G5356" s="27"/>
    </row>
    <row r="5357">
      <c r="A5357" s="21"/>
      <c r="B5357" s="21" t="s">
        <v>5972</v>
      </c>
      <c r="D5357" s="25">
        <v>0.0</v>
      </c>
      <c r="E5357" s="27"/>
      <c r="F5357" s="25">
        <v>0.0</v>
      </c>
      <c r="G5357" s="27"/>
    </row>
    <row r="5358">
      <c r="A5358" s="21"/>
      <c r="B5358" s="21" t="s">
        <v>5973</v>
      </c>
      <c r="D5358" s="25">
        <v>0.0</v>
      </c>
      <c r="E5358" s="27"/>
      <c r="F5358" s="25">
        <v>0.0</v>
      </c>
      <c r="G5358" s="27"/>
    </row>
    <row r="5359">
      <c r="A5359" s="21"/>
      <c r="B5359" s="21" t="s">
        <v>5974</v>
      </c>
      <c r="D5359" s="25">
        <v>0.0</v>
      </c>
      <c r="E5359" s="27"/>
      <c r="F5359" s="25">
        <v>0.0</v>
      </c>
      <c r="G5359" s="27"/>
    </row>
    <row r="5360">
      <c r="A5360" s="21"/>
      <c r="B5360" s="21" t="s">
        <v>5975</v>
      </c>
      <c r="D5360" s="25">
        <v>0.0</v>
      </c>
      <c r="E5360" s="27"/>
      <c r="F5360" s="25">
        <v>0.0</v>
      </c>
      <c r="G5360" s="27"/>
    </row>
    <row r="5361">
      <c r="A5361" s="21"/>
      <c r="B5361" s="21" t="s">
        <v>5976</v>
      </c>
      <c r="D5361" s="25">
        <v>0.0</v>
      </c>
      <c r="E5361" s="27"/>
      <c r="F5361" s="25">
        <v>0.0</v>
      </c>
      <c r="G5361" s="27"/>
    </row>
    <row r="5362">
      <c r="A5362" s="21"/>
      <c r="B5362" s="21" t="s">
        <v>5977</v>
      </c>
      <c r="D5362" s="25">
        <v>0.0</v>
      </c>
      <c r="E5362" s="27"/>
      <c r="F5362" s="25">
        <v>0.0</v>
      </c>
      <c r="G5362" s="27"/>
    </row>
    <row r="5363">
      <c r="A5363" s="21"/>
      <c r="B5363" s="21" t="s">
        <v>5978</v>
      </c>
      <c r="D5363" s="25">
        <v>0.0</v>
      </c>
      <c r="E5363" s="27"/>
      <c r="F5363" s="25">
        <v>0.0</v>
      </c>
      <c r="G5363" s="27"/>
    </row>
    <row r="5364">
      <c r="A5364" s="21"/>
      <c r="B5364" s="21" t="s">
        <v>5979</v>
      </c>
      <c r="D5364" s="25">
        <v>0.0</v>
      </c>
      <c r="E5364" s="27"/>
      <c r="F5364" s="25">
        <v>0.0</v>
      </c>
      <c r="G5364" s="27"/>
    </row>
    <row r="5365">
      <c r="A5365" s="21"/>
      <c r="B5365" s="21" t="s">
        <v>5980</v>
      </c>
      <c r="D5365" s="25">
        <v>0.0</v>
      </c>
      <c r="E5365" s="27"/>
      <c r="F5365" s="25">
        <v>0.0</v>
      </c>
      <c r="G5365" s="27"/>
    </row>
    <row r="5366">
      <c r="A5366" s="21"/>
      <c r="B5366" s="21" t="s">
        <v>5981</v>
      </c>
      <c r="D5366" s="25">
        <v>0.0</v>
      </c>
      <c r="E5366" s="27"/>
      <c r="F5366" s="25">
        <v>0.0</v>
      </c>
      <c r="G5366" s="27"/>
    </row>
    <row r="5367">
      <c r="A5367" s="21"/>
      <c r="B5367" s="21" t="s">
        <v>5982</v>
      </c>
      <c r="D5367" s="25">
        <v>0.0</v>
      </c>
      <c r="E5367" s="27"/>
      <c r="F5367" s="25">
        <v>0.0</v>
      </c>
      <c r="G5367" s="27"/>
    </row>
  </sheetData>
  <autoFilter ref="$A$2:$H$5333">
    <filterColumn colId="0">
      <filters>
        <filter val="yes"/>
        <filter val="Yes"/>
      </filters>
    </filterColumn>
  </autoFilter>
  <mergeCells count="4919">
    <mergeCell ref="B2850:C2850"/>
    <mergeCell ref="B2851:C2851"/>
    <mergeCell ref="B2852:C2852"/>
    <mergeCell ref="B2853:C2853"/>
    <mergeCell ref="B2854:C2854"/>
    <mergeCell ref="B2855:C2855"/>
    <mergeCell ref="B2856:C2856"/>
    <mergeCell ref="B2857:C2857"/>
    <mergeCell ref="B2858:C2858"/>
    <mergeCell ref="B2859:C2859"/>
    <mergeCell ref="B2860:C2860"/>
    <mergeCell ref="B2861:C2861"/>
    <mergeCell ref="B2862:C2862"/>
    <mergeCell ref="B2863:C2863"/>
    <mergeCell ref="B2864:C2864"/>
    <mergeCell ref="B2865:C2865"/>
    <mergeCell ref="B2866:C2866"/>
    <mergeCell ref="B2867:C2867"/>
    <mergeCell ref="B2868:C2868"/>
    <mergeCell ref="B2869:C2869"/>
    <mergeCell ref="B2870:C2870"/>
    <mergeCell ref="B2871:C2871"/>
    <mergeCell ref="B2872:C2872"/>
    <mergeCell ref="B2873:C2873"/>
    <mergeCell ref="B2874:C2874"/>
    <mergeCell ref="B2875:C2875"/>
    <mergeCell ref="B2876:C2876"/>
    <mergeCell ref="B2877:C2877"/>
    <mergeCell ref="B2878:C2878"/>
    <mergeCell ref="B2879:C2879"/>
    <mergeCell ref="B2880:C2880"/>
    <mergeCell ref="B2881:C2881"/>
    <mergeCell ref="B2882:C2882"/>
    <mergeCell ref="B2883:C2883"/>
    <mergeCell ref="B2884:C2884"/>
    <mergeCell ref="B2885:C2885"/>
    <mergeCell ref="B2886:C2886"/>
    <mergeCell ref="B2887:C2887"/>
    <mergeCell ref="B2888:C2888"/>
    <mergeCell ref="B2889:C2889"/>
    <mergeCell ref="B2890:C2890"/>
    <mergeCell ref="B2891:C2891"/>
    <mergeCell ref="B2892:C2892"/>
    <mergeCell ref="B2893:C2893"/>
    <mergeCell ref="B2894:C2894"/>
    <mergeCell ref="B2895:C2895"/>
    <mergeCell ref="B2896:C2896"/>
    <mergeCell ref="B2897:C2897"/>
    <mergeCell ref="B2898:C2898"/>
    <mergeCell ref="B2899:C2899"/>
    <mergeCell ref="B2900:C2900"/>
    <mergeCell ref="B2901:C2901"/>
    <mergeCell ref="B2902:C2902"/>
    <mergeCell ref="B2903:C2903"/>
    <mergeCell ref="B2904:C2904"/>
    <mergeCell ref="B2905:C2905"/>
    <mergeCell ref="B2906:C2906"/>
    <mergeCell ref="B2907:C2907"/>
    <mergeCell ref="B2908:C2908"/>
    <mergeCell ref="B2909:C2909"/>
    <mergeCell ref="B2910:C2910"/>
    <mergeCell ref="B2911:C2911"/>
    <mergeCell ref="B2912:C2912"/>
    <mergeCell ref="B2913:C2913"/>
    <mergeCell ref="B2914:C2914"/>
    <mergeCell ref="B2915:C2915"/>
    <mergeCell ref="B2916:C2916"/>
    <mergeCell ref="B2917:C2917"/>
    <mergeCell ref="B2918:C2918"/>
    <mergeCell ref="B2919:C2919"/>
    <mergeCell ref="B2920:C2920"/>
    <mergeCell ref="B2921:C2921"/>
    <mergeCell ref="B2922:C2922"/>
    <mergeCell ref="B2923:C2923"/>
    <mergeCell ref="B2924:C2924"/>
    <mergeCell ref="B2925:C2925"/>
    <mergeCell ref="B2926:C2926"/>
    <mergeCell ref="B2927:C2927"/>
    <mergeCell ref="B2928:C2928"/>
    <mergeCell ref="B2929:C2929"/>
    <mergeCell ref="B2930:C2930"/>
    <mergeCell ref="B2931:C2931"/>
    <mergeCell ref="B2932:C2932"/>
    <mergeCell ref="B2933:C2933"/>
    <mergeCell ref="B2934:C2934"/>
    <mergeCell ref="B2935:C2935"/>
    <mergeCell ref="B2936:C2936"/>
    <mergeCell ref="B2937:C2937"/>
    <mergeCell ref="B2938:C2938"/>
    <mergeCell ref="B2939:C2939"/>
    <mergeCell ref="B2940:C2940"/>
    <mergeCell ref="B2941:C2941"/>
    <mergeCell ref="B2942:C2942"/>
    <mergeCell ref="B2943:C2943"/>
    <mergeCell ref="B2944:C2944"/>
    <mergeCell ref="B2945:C2945"/>
    <mergeCell ref="B2946:C2946"/>
    <mergeCell ref="B2947:C2947"/>
    <mergeCell ref="B2948:C2948"/>
    <mergeCell ref="B2949:C2949"/>
    <mergeCell ref="B2950:C2950"/>
    <mergeCell ref="B2951:C2951"/>
    <mergeCell ref="B2952:C2952"/>
    <mergeCell ref="B2953:C2953"/>
    <mergeCell ref="B2954:C2954"/>
    <mergeCell ref="B2955:C2955"/>
    <mergeCell ref="B2956:C2956"/>
    <mergeCell ref="B2957:C2957"/>
    <mergeCell ref="B2958:C2958"/>
    <mergeCell ref="B2959:C2959"/>
    <mergeCell ref="B2960:C2960"/>
    <mergeCell ref="B2961:C2961"/>
    <mergeCell ref="B2962:C2962"/>
    <mergeCell ref="B2963:C2963"/>
    <mergeCell ref="B2964:C2964"/>
    <mergeCell ref="B2965:C2965"/>
    <mergeCell ref="B2966:C2966"/>
    <mergeCell ref="B2967:C2967"/>
    <mergeCell ref="B2968:C2968"/>
    <mergeCell ref="B2969:C2969"/>
    <mergeCell ref="B2970:C2970"/>
    <mergeCell ref="B2971:C2971"/>
    <mergeCell ref="B2972:C2972"/>
    <mergeCell ref="B2973:C2973"/>
    <mergeCell ref="B2974:C2974"/>
    <mergeCell ref="B2975:C2975"/>
    <mergeCell ref="B2976:C2976"/>
    <mergeCell ref="B2977:C2977"/>
    <mergeCell ref="B2978:C2978"/>
    <mergeCell ref="B2979:C2979"/>
    <mergeCell ref="B2980:C2980"/>
    <mergeCell ref="B2981:C2981"/>
    <mergeCell ref="B2982:C2982"/>
    <mergeCell ref="B2983:C2983"/>
    <mergeCell ref="B2984:C2984"/>
    <mergeCell ref="B2985:C2985"/>
    <mergeCell ref="B2986:C2986"/>
    <mergeCell ref="B2987:C2987"/>
    <mergeCell ref="B2988:C2988"/>
    <mergeCell ref="B2989:C2989"/>
    <mergeCell ref="B2990:C2990"/>
    <mergeCell ref="B2991:C2991"/>
    <mergeCell ref="B2992:C2992"/>
    <mergeCell ref="B2993:C2993"/>
    <mergeCell ref="B2994:C2994"/>
    <mergeCell ref="B2995:C2995"/>
    <mergeCell ref="B2996:C2996"/>
    <mergeCell ref="B2997:C2997"/>
    <mergeCell ref="B2998:C2998"/>
    <mergeCell ref="B2999:C2999"/>
    <mergeCell ref="B3000:C3000"/>
    <mergeCell ref="B3001:C3001"/>
    <mergeCell ref="B3002:C3002"/>
    <mergeCell ref="B3003:C3003"/>
    <mergeCell ref="B3004:C3004"/>
    <mergeCell ref="B3005:C3005"/>
    <mergeCell ref="B3006:C3006"/>
    <mergeCell ref="B3007:C3007"/>
    <mergeCell ref="B3008:C3008"/>
    <mergeCell ref="B3009:C3009"/>
    <mergeCell ref="B3010:C3010"/>
    <mergeCell ref="B3011:C3011"/>
    <mergeCell ref="B3012:C3012"/>
    <mergeCell ref="B3013:C3013"/>
    <mergeCell ref="B3014:C3014"/>
    <mergeCell ref="B3015:C3015"/>
    <mergeCell ref="B3016:C3016"/>
    <mergeCell ref="B3017:C3017"/>
    <mergeCell ref="B3018:C3018"/>
    <mergeCell ref="B3019:C3019"/>
    <mergeCell ref="B3020:C3020"/>
    <mergeCell ref="B3021:C3021"/>
    <mergeCell ref="B3022:C3022"/>
    <mergeCell ref="B3023:C3023"/>
    <mergeCell ref="B3024:C3024"/>
    <mergeCell ref="B3025:C3025"/>
    <mergeCell ref="B3026:C3026"/>
    <mergeCell ref="B3027:C3027"/>
    <mergeCell ref="B3028:C3028"/>
    <mergeCell ref="B3029:C3029"/>
    <mergeCell ref="B3030:C3030"/>
    <mergeCell ref="B3031:C3031"/>
    <mergeCell ref="B3032:C3032"/>
    <mergeCell ref="B3033:C3033"/>
    <mergeCell ref="B3034:C3034"/>
    <mergeCell ref="B3035:C3035"/>
    <mergeCell ref="B3036:C3036"/>
    <mergeCell ref="B3037:C3037"/>
    <mergeCell ref="B3038:C3038"/>
    <mergeCell ref="B3039:C3039"/>
    <mergeCell ref="B3040:C3040"/>
    <mergeCell ref="B3041:C3041"/>
    <mergeCell ref="B3042:C3042"/>
    <mergeCell ref="B3043:C3043"/>
    <mergeCell ref="B3044:C3044"/>
    <mergeCell ref="B3045:C3045"/>
    <mergeCell ref="B3046:C3046"/>
    <mergeCell ref="B3047:C3047"/>
    <mergeCell ref="B3048:C3048"/>
    <mergeCell ref="B3049:C3049"/>
    <mergeCell ref="B3050:C3050"/>
    <mergeCell ref="B3051:C3051"/>
    <mergeCell ref="B3052:C3052"/>
    <mergeCell ref="B3053:C3053"/>
    <mergeCell ref="B3054:C3054"/>
    <mergeCell ref="B3055:C3055"/>
    <mergeCell ref="B3056:C3056"/>
    <mergeCell ref="B3057:C3057"/>
    <mergeCell ref="B3058:C3058"/>
    <mergeCell ref="B3059:C3059"/>
    <mergeCell ref="B3060:C3060"/>
    <mergeCell ref="B3061:C3061"/>
    <mergeCell ref="B3062:C3062"/>
    <mergeCell ref="B3063:C3063"/>
    <mergeCell ref="B3064:C3064"/>
    <mergeCell ref="B3065:C3065"/>
    <mergeCell ref="B3066:C3066"/>
    <mergeCell ref="B3067:C3067"/>
    <mergeCell ref="B3068:C3068"/>
    <mergeCell ref="B3069:C3069"/>
    <mergeCell ref="B3070:C3070"/>
    <mergeCell ref="B3071:C3071"/>
    <mergeCell ref="B3072:C3072"/>
    <mergeCell ref="B3073:C3073"/>
    <mergeCell ref="B3074:C3074"/>
    <mergeCell ref="B3075:C3075"/>
    <mergeCell ref="B3076:C3076"/>
    <mergeCell ref="B3077:C3077"/>
    <mergeCell ref="B3078:C3078"/>
    <mergeCell ref="B3079:C3079"/>
    <mergeCell ref="B3080:C3080"/>
    <mergeCell ref="B3081:C3081"/>
    <mergeCell ref="B3082:C3082"/>
    <mergeCell ref="B3083:C3083"/>
    <mergeCell ref="B3084:C3084"/>
    <mergeCell ref="B3085:C3085"/>
    <mergeCell ref="B3086:C3086"/>
    <mergeCell ref="B3087:C3087"/>
    <mergeCell ref="B3088:C3088"/>
    <mergeCell ref="B3089:C3089"/>
    <mergeCell ref="B3090:C3090"/>
    <mergeCell ref="B3091:C3091"/>
    <mergeCell ref="B3092:C3092"/>
    <mergeCell ref="B3093:C3093"/>
    <mergeCell ref="B3094:C3094"/>
    <mergeCell ref="B3095:C3095"/>
    <mergeCell ref="B3096:C3096"/>
    <mergeCell ref="B3097:C3097"/>
    <mergeCell ref="B3098:C3098"/>
    <mergeCell ref="B3099:C3099"/>
    <mergeCell ref="B3100:C3100"/>
    <mergeCell ref="B3101:C3101"/>
    <mergeCell ref="B3102:C3102"/>
    <mergeCell ref="B3103:C3103"/>
    <mergeCell ref="B3104:C3104"/>
    <mergeCell ref="B3105:C3105"/>
    <mergeCell ref="B3106:C3106"/>
    <mergeCell ref="B3107:C3107"/>
    <mergeCell ref="B3108:C3108"/>
    <mergeCell ref="B3109:C3109"/>
    <mergeCell ref="B3110:C3110"/>
    <mergeCell ref="B3111:C3111"/>
    <mergeCell ref="B3112:C3112"/>
    <mergeCell ref="B3113:C3113"/>
    <mergeCell ref="B3114:C3114"/>
    <mergeCell ref="B3115:C3115"/>
    <mergeCell ref="B3116:C3116"/>
    <mergeCell ref="B3117:C3117"/>
    <mergeCell ref="B3118:C3118"/>
    <mergeCell ref="B3119:C3119"/>
    <mergeCell ref="B3120:C3120"/>
    <mergeCell ref="B3121:C3121"/>
    <mergeCell ref="B3122:C3122"/>
    <mergeCell ref="B3123:C3123"/>
    <mergeCell ref="B3124:C3124"/>
    <mergeCell ref="B3125:C3125"/>
    <mergeCell ref="B3126:C3126"/>
    <mergeCell ref="B3127:C3127"/>
    <mergeCell ref="B3128:C3128"/>
    <mergeCell ref="B3129:C3129"/>
    <mergeCell ref="B3130:C3130"/>
    <mergeCell ref="B3131:C3131"/>
    <mergeCell ref="B3132:C3132"/>
    <mergeCell ref="B3133:C3133"/>
    <mergeCell ref="B3134:C3134"/>
    <mergeCell ref="B3135:C3135"/>
    <mergeCell ref="B3136:C3136"/>
    <mergeCell ref="B3137:C3137"/>
    <mergeCell ref="B3138:C3138"/>
    <mergeCell ref="B3139:C3139"/>
    <mergeCell ref="B3140:C3140"/>
    <mergeCell ref="B3141:C3141"/>
    <mergeCell ref="B3142:C3142"/>
    <mergeCell ref="B3143:C3143"/>
    <mergeCell ref="B3144:C3144"/>
    <mergeCell ref="B3145:C3145"/>
    <mergeCell ref="B3146:C3146"/>
    <mergeCell ref="B3147:C3147"/>
    <mergeCell ref="B3148:C3148"/>
    <mergeCell ref="B3149:C3149"/>
    <mergeCell ref="B3150:C3150"/>
    <mergeCell ref="B3151:C3151"/>
    <mergeCell ref="B3152:C3152"/>
    <mergeCell ref="B3153:C3153"/>
    <mergeCell ref="B3154:C3154"/>
    <mergeCell ref="B3155:C3155"/>
    <mergeCell ref="B3156:C3156"/>
    <mergeCell ref="B3157:C3157"/>
    <mergeCell ref="B3158:C3158"/>
    <mergeCell ref="B3159:C3159"/>
    <mergeCell ref="B3160:C3160"/>
    <mergeCell ref="B3161:C3161"/>
    <mergeCell ref="B3162:C3162"/>
    <mergeCell ref="B3163:C3163"/>
    <mergeCell ref="B3164:C3164"/>
    <mergeCell ref="B3165:C3165"/>
    <mergeCell ref="B3166:C3166"/>
    <mergeCell ref="B3167:C3167"/>
    <mergeCell ref="B3168:C3168"/>
    <mergeCell ref="B3169:C3169"/>
    <mergeCell ref="B3170:C3170"/>
    <mergeCell ref="B3171:C3171"/>
    <mergeCell ref="B3172:C3172"/>
    <mergeCell ref="B3173:C3173"/>
    <mergeCell ref="B3174:C3174"/>
    <mergeCell ref="B3175:C3175"/>
    <mergeCell ref="B3176:C3176"/>
    <mergeCell ref="B3177:C3177"/>
    <mergeCell ref="B3178:C3178"/>
    <mergeCell ref="B3179:C3179"/>
    <mergeCell ref="B3180:C3180"/>
    <mergeCell ref="B3181:C3181"/>
    <mergeCell ref="B3182:C3182"/>
    <mergeCell ref="B3183:C3183"/>
    <mergeCell ref="B3184:C3184"/>
    <mergeCell ref="B3185:C3185"/>
    <mergeCell ref="B3186:C3186"/>
    <mergeCell ref="B3187:C3187"/>
    <mergeCell ref="B3188:C3188"/>
    <mergeCell ref="B3189:C3189"/>
    <mergeCell ref="B3190:C3190"/>
    <mergeCell ref="B3191:C3191"/>
    <mergeCell ref="B3192:C3192"/>
    <mergeCell ref="B3193:C3193"/>
    <mergeCell ref="B3194:C3194"/>
    <mergeCell ref="B3195:C3195"/>
    <mergeCell ref="B3196:C3196"/>
    <mergeCell ref="B3197:C3197"/>
    <mergeCell ref="B3198:C3198"/>
    <mergeCell ref="B3199:C3199"/>
    <mergeCell ref="B3200:C3200"/>
    <mergeCell ref="B3201:C3201"/>
    <mergeCell ref="B3202:C3202"/>
    <mergeCell ref="B3203:C3203"/>
    <mergeCell ref="B3204:C3204"/>
    <mergeCell ref="B3205:C3205"/>
    <mergeCell ref="B3206:C3206"/>
    <mergeCell ref="B3207:C3207"/>
    <mergeCell ref="B3208:C3208"/>
    <mergeCell ref="B3209:C3209"/>
    <mergeCell ref="B3210:C3210"/>
    <mergeCell ref="B3211:C3211"/>
    <mergeCell ref="B3212:C3212"/>
    <mergeCell ref="B3213:C3213"/>
    <mergeCell ref="B3214:C3214"/>
    <mergeCell ref="B3215:C3215"/>
    <mergeCell ref="B3216:C3216"/>
    <mergeCell ref="B3217:C3217"/>
    <mergeCell ref="B3218:C3218"/>
    <mergeCell ref="B3219:C3219"/>
    <mergeCell ref="B3220:C3220"/>
    <mergeCell ref="B3221:C3221"/>
    <mergeCell ref="B3222:C3222"/>
    <mergeCell ref="B3223:C3223"/>
    <mergeCell ref="B3224:C3224"/>
    <mergeCell ref="B3225:C3225"/>
    <mergeCell ref="B3226:C3226"/>
    <mergeCell ref="B3227:C3227"/>
    <mergeCell ref="B3228:C3228"/>
    <mergeCell ref="B3229:C3229"/>
    <mergeCell ref="B3230:C3230"/>
    <mergeCell ref="B3231:C3231"/>
    <mergeCell ref="B3232:C3232"/>
    <mergeCell ref="B3233:C3233"/>
    <mergeCell ref="B3234:C3234"/>
    <mergeCell ref="B3235:C3235"/>
    <mergeCell ref="B3236:C3236"/>
    <mergeCell ref="B3237:C3237"/>
    <mergeCell ref="B3238:C3238"/>
    <mergeCell ref="B3239:C3239"/>
    <mergeCell ref="B3240:C3240"/>
    <mergeCell ref="B3241:C3241"/>
    <mergeCell ref="B3242:C3242"/>
    <mergeCell ref="B3243:C3243"/>
    <mergeCell ref="B3244:C3244"/>
    <mergeCell ref="B3245:C3245"/>
    <mergeCell ref="B3246:C3246"/>
    <mergeCell ref="B3247:C3247"/>
    <mergeCell ref="B3248:C3248"/>
    <mergeCell ref="B3249:C3249"/>
    <mergeCell ref="B3250:C3250"/>
    <mergeCell ref="B3251:C3251"/>
    <mergeCell ref="B3252:C3252"/>
    <mergeCell ref="B3253:C3253"/>
    <mergeCell ref="B3254:C3254"/>
    <mergeCell ref="B3255:C3255"/>
    <mergeCell ref="B3256:C3256"/>
    <mergeCell ref="B3257:C3257"/>
    <mergeCell ref="B3258:C3258"/>
    <mergeCell ref="B3259:C3259"/>
    <mergeCell ref="B3260:C3260"/>
    <mergeCell ref="B3261:C3261"/>
    <mergeCell ref="B3262:C3262"/>
    <mergeCell ref="B3263:C3263"/>
    <mergeCell ref="B3264:C3264"/>
    <mergeCell ref="B3265:C3265"/>
    <mergeCell ref="B3266:C3266"/>
    <mergeCell ref="B3267:C3267"/>
    <mergeCell ref="B3268:C3268"/>
    <mergeCell ref="B3269:C3269"/>
    <mergeCell ref="B3270:C3270"/>
    <mergeCell ref="B3271:C3271"/>
    <mergeCell ref="B3272:C3272"/>
    <mergeCell ref="B3273:C3273"/>
    <mergeCell ref="B3274:C3274"/>
    <mergeCell ref="B3275:C3275"/>
    <mergeCell ref="B3276:C3276"/>
    <mergeCell ref="B3277:C3277"/>
    <mergeCell ref="B3278:C3278"/>
    <mergeCell ref="B3279:C3279"/>
    <mergeCell ref="B3280:C3280"/>
    <mergeCell ref="B3281:C3281"/>
    <mergeCell ref="B3282:C3282"/>
    <mergeCell ref="B3283:C3283"/>
    <mergeCell ref="B3284:C3284"/>
    <mergeCell ref="B3285:C3285"/>
    <mergeCell ref="B3286:C3286"/>
    <mergeCell ref="B3287:C3287"/>
    <mergeCell ref="B3288:C3288"/>
    <mergeCell ref="B3289:C3289"/>
    <mergeCell ref="B3290:C3290"/>
    <mergeCell ref="B3291:C3291"/>
    <mergeCell ref="B3292:C3292"/>
    <mergeCell ref="B3293:C3293"/>
    <mergeCell ref="B3294:C3294"/>
    <mergeCell ref="B3295:C3295"/>
    <mergeCell ref="B3296:C3296"/>
    <mergeCell ref="B3297:C3297"/>
    <mergeCell ref="B3298:C3298"/>
    <mergeCell ref="B3299:C3299"/>
    <mergeCell ref="B3300:C3300"/>
    <mergeCell ref="B3301:C3301"/>
    <mergeCell ref="B3302:C3302"/>
    <mergeCell ref="B3303:C3303"/>
    <mergeCell ref="B3304:C3304"/>
    <mergeCell ref="B3305:C3305"/>
    <mergeCell ref="B3306:C3306"/>
    <mergeCell ref="B3307:C3307"/>
    <mergeCell ref="B3308:C3308"/>
    <mergeCell ref="B3309:C3309"/>
    <mergeCell ref="B3310:C3310"/>
    <mergeCell ref="B3311:C3311"/>
    <mergeCell ref="B3312:C3312"/>
    <mergeCell ref="B3313:C3313"/>
    <mergeCell ref="B3314:C3314"/>
    <mergeCell ref="B3315:C3315"/>
    <mergeCell ref="B3316:C3316"/>
    <mergeCell ref="B3317:C3317"/>
    <mergeCell ref="B3318:C3318"/>
    <mergeCell ref="B3319:C3319"/>
    <mergeCell ref="B3320:C3320"/>
    <mergeCell ref="B3321:C3321"/>
    <mergeCell ref="B3322:C3322"/>
    <mergeCell ref="B3323:C3323"/>
    <mergeCell ref="B3324:C3324"/>
    <mergeCell ref="B3325:C3325"/>
    <mergeCell ref="B3326:C3326"/>
    <mergeCell ref="B3327:C3327"/>
    <mergeCell ref="B3328:C3328"/>
    <mergeCell ref="B3329:C3329"/>
    <mergeCell ref="B3330:C3330"/>
    <mergeCell ref="B3331:C3331"/>
    <mergeCell ref="B3332:C3332"/>
    <mergeCell ref="B3333:C3333"/>
    <mergeCell ref="B3334:C3334"/>
    <mergeCell ref="B3335:C3335"/>
    <mergeCell ref="B3336:C3336"/>
    <mergeCell ref="B3337:C3337"/>
    <mergeCell ref="B3338:C3338"/>
    <mergeCell ref="B3339:C3339"/>
    <mergeCell ref="B3340:C3340"/>
    <mergeCell ref="B3341:C3341"/>
    <mergeCell ref="B3342:C3342"/>
    <mergeCell ref="B3343:C3343"/>
    <mergeCell ref="B3344:C3344"/>
    <mergeCell ref="B3345:C3345"/>
    <mergeCell ref="B3346:C3346"/>
    <mergeCell ref="B3347:C3347"/>
    <mergeCell ref="B3348:C3348"/>
    <mergeCell ref="B3349:C3349"/>
    <mergeCell ref="B3350:C3350"/>
    <mergeCell ref="B3351:C3351"/>
    <mergeCell ref="B3352:C3352"/>
    <mergeCell ref="B3353:C3353"/>
    <mergeCell ref="B3354:C3354"/>
    <mergeCell ref="B3355:C3355"/>
    <mergeCell ref="B3356:C3356"/>
    <mergeCell ref="B3357:C3357"/>
    <mergeCell ref="B3358:C3358"/>
    <mergeCell ref="B3359:C3359"/>
    <mergeCell ref="B3360:C3360"/>
    <mergeCell ref="B3361:C3361"/>
    <mergeCell ref="B3362:C3362"/>
    <mergeCell ref="B3363:C3363"/>
    <mergeCell ref="B3364:C3364"/>
    <mergeCell ref="B3365:C3365"/>
    <mergeCell ref="B3366:C3366"/>
    <mergeCell ref="B3367:C3367"/>
    <mergeCell ref="B3368:C3368"/>
    <mergeCell ref="B3369:C3369"/>
    <mergeCell ref="B3370:C3370"/>
    <mergeCell ref="B3371:C3371"/>
    <mergeCell ref="B3372:C3372"/>
    <mergeCell ref="B3373:C3373"/>
    <mergeCell ref="B3374:C3374"/>
    <mergeCell ref="B3375:C3375"/>
    <mergeCell ref="B3376:C3376"/>
    <mergeCell ref="B3377:C3377"/>
    <mergeCell ref="B3378:C3378"/>
    <mergeCell ref="B3379:C3379"/>
    <mergeCell ref="B3380:C3380"/>
    <mergeCell ref="B3381:C3381"/>
    <mergeCell ref="B3382:C3382"/>
    <mergeCell ref="B3383:C3383"/>
    <mergeCell ref="B3384:C3384"/>
    <mergeCell ref="B3385:C3385"/>
    <mergeCell ref="B3386:C3386"/>
    <mergeCell ref="B3387:C3387"/>
    <mergeCell ref="B3388:C3388"/>
    <mergeCell ref="B3389:C3389"/>
    <mergeCell ref="B3390:C3390"/>
    <mergeCell ref="B3391:C3391"/>
    <mergeCell ref="B3392:C3392"/>
    <mergeCell ref="B3393:C3393"/>
    <mergeCell ref="B3394:C3394"/>
    <mergeCell ref="B3395:C3395"/>
    <mergeCell ref="B3396:C3396"/>
    <mergeCell ref="B3397:C3397"/>
    <mergeCell ref="B3398:C3398"/>
    <mergeCell ref="B3399:C3399"/>
    <mergeCell ref="B3400:C3400"/>
    <mergeCell ref="B3401:C3401"/>
    <mergeCell ref="B3402:C3402"/>
    <mergeCell ref="B3403:C3403"/>
    <mergeCell ref="B3404:C3404"/>
    <mergeCell ref="B3405:C3405"/>
    <mergeCell ref="B3406:C3406"/>
    <mergeCell ref="B3407:C3407"/>
    <mergeCell ref="B3408:C3408"/>
    <mergeCell ref="B3409:C3409"/>
    <mergeCell ref="B3410:C3410"/>
    <mergeCell ref="B3411:C3411"/>
    <mergeCell ref="B3412:C3412"/>
    <mergeCell ref="B3413:C3413"/>
    <mergeCell ref="B3414:C3414"/>
    <mergeCell ref="B3415:C3415"/>
    <mergeCell ref="B3416:C3416"/>
    <mergeCell ref="B3417:C3417"/>
    <mergeCell ref="B3418:C3418"/>
    <mergeCell ref="B3419:C3419"/>
    <mergeCell ref="B3420:C3420"/>
    <mergeCell ref="B3421:C3421"/>
    <mergeCell ref="B3422:C3422"/>
    <mergeCell ref="B3423:C3423"/>
    <mergeCell ref="B3424:C3424"/>
    <mergeCell ref="B3425:C3425"/>
    <mergeCell ref="B3426:C3426"/>
    <mergeCell ref="B3427:C3427"/>
    <mergeCell ref="B3428:C3428"/>
    <mergeCell ref="B3429:C3429"/>
    <mergeCell ref="B3430:C3430"/>
    <mergeCell ref="B3431:C3431"/>
    <mergeCell ref="B3432:C3432"/>
    <mergeCell ref="B3433:C3433"/>
    <mergeCell ref="B3434:C3434"/>
    <mergeCell ref="B3435:C3435"/>
    <mergeCell ref="B3436:C3436"/>
    <mergeCell ref="B3437:C3437"/>
    <mergeCell ref="B3438:C3438"/>
    <mergeCell ref="B3439:C3439"/>
    <mergeCell ref="B3440:C3440"/>
    <mergeCell ref="B3441:C3441"/>
    <mergeCell ref="B3442:C3442"/>
    <mergeCell ref="B3443:C3443"/>
    <mergeCell ref="B3444:C3444"/>
    <mergeCell ref="B3445:C3445"/>
    <mergeCell ref="B3446:C3446"/>
    <mergeCell ref="B3447:C3447"/>
    <mergeCell ref="B3448:C3448"/>
    <mergeCell ref="B3449:C3449"/>
    <mergeCell ref="B3450:C3450"/>
    <mergeCell ref="B3451:C3451"/>
    <mergeCell ref="B3452:C3452"/>
    <mergeCell ref="B3453:C3453"/>
    <mergeCell ref="B3454:C3454"/>
    <mergeCell ref="B3455:C3455"/>
    <mergeCell ref="B3456:C3456"/>
    <mergeCell ref="B3457:C3457"/>
    <mergeCell ref="B3458:C3458"/>
    <mergeCell ref="B3459:C3459"/>
    <mergeCell ref="B3460:C3460"/>
    <mergeCell ref="B3461:C3461"/>
    <mergeCell ref="B3462:C3462"/>
    <mergeCell ref="B3463:C3463"/>
    <mergeCell ref="B3464:C3464"/>
    <mergeCell ref="B3465:C3465"/>
    <mergeCell ref="B3466:C3466"/>
    <mergeCell ref="B3467:C3467"/>
    <mergeCell ref="B3468:C3468"/>
    <mergeCell ref="B3469:C3469"/>
    <mergeCell ref="B3470:C3470"/>
    <mergeCell ref="B3471:C3471"/>
    <mergeCell ref="B3472:C3472"/>
    <mergeCell ref="B3473:C3473"/>
    <mergeCell ref="B3474:C3474"/>
    <mergeCell ref="B3475:C3475"/>
    <mergeCell ref="B3476:C3476"/>
    <mergeCell ref="B3477:C3477"/>
    <mergeCell ref="B3478:C3478"/>
    <mergeCell ref="B3479:C3479"/>
    <mergeCell ref="B3480:C3480"/>
    <mergeCell ref="B3481:C3481"/>
    <mergeCell ref="B3482:C3482"/>
    <mergeCell ref="B3483:C3483"/>
    <mergeCell ref="B3484:C3484"/>
    <mergeCell ref="B3485:C3485"/>
    <mergeCell ref="B3486:C3486"/>
    <mergeCell ref="B3487:C3487"/>
    <mergeCell ref="B3488:C3488"/>
    <mergeCell ref="B3489:C3489"/>
    <mergeCell ref="B3490:C3490"/>
    <mergeCell ref="B3491:C3491"/>
    <mergeCell ref="B3492:C3492"/>
    <mergeCell ref="B3493:C3493"/>
    <mergeCell ref="B3494:C3494"/>
    <mergeCell ref="B3495:C3495"/>
    <mergeCell ref="B3496:C3496"/>
    <mergeCell ref="B3497:C3497"/>
    <mergeCell ref="B3498:C3498"/>
    <mergeCell ref="B3499:C3499"/>
    <mergeCell ref="B3500:C3500"/>
    <mergeCell ref="B3501:C3501"/>
    <mergeCell ref="B3502:C3502"/>
    <mergeCell ref="B3503:C3503"/>
    <mergeCell ref="B3504:C3504"/>
    <mergeCell ref="B3505:C3505"/>
    <mergeCell ref="B3506:C3506"/>
    <mergeCell ref="B3507:C3507"/>
    <mergeCell ref="B3508:C3508"/>
    <mergeCell ref="B3509:C3509"/>
    <mergeCell ref="B3510:C3510"/>
    <mergeCell ref="B3511:C3511"/>
    <mergeCell ref="B3512:C3512"/>
    <mergeCell ref="B3513:C3513"/>
    <mergeCell ref="B3514:C3514"/>
    <mergeCell ref="B3515:C3515"/>
    <mergeCell ref="B3516:C3516"/>
    <mergeCell ref="B3517:C3517"/>
    <mergeCell ref="B3518:C3518"/>
    <mergeCell ref="B3519:C3519"/>
    <mergeCell ref="B3520:C3520"/>
    <mergeCell ref="B3521:C3521"/>
    <mergeCell ref="B3522:C3522"/>
    <mergeCell ref="B3523:C3523"/>
    <mergeCell ref="B3524:C3524"/>
    <mergeCell ref="B3525:C3525"/>
    <mergeCell ref="B3526:C3526"/>
    <mergeCell ref="B3527:C3527"/>
    <mergeCell ref="B3528:C3528"/>
    <mergeCell ref="B3529:C3529"/>
    <mergeCell ref="B3530:C3530"/>
    <mergeCell ref="B3531:C3531"/>
    <mergeCell ref="B3532:C3532"/>
    <mergeCell ref="B3533:C3533"/>
    <mergeCell ref="B3534:C3534"/>
    <mergeCell ref="B3535:C3535"/>
    <mergeCell ref="B3536:C3536"/>
    <mergeCell ref="B3537:C3537"/>
    <mergeCell ref="B3538:C3538"/>
    <mergeCell ref="B3539:C3539"/>
    <mergeCell ref="B3540:C3540"/>
    <mergeCell ref="B3541:C3541"/>
    <mergeCell ref="B3542:C3542"/>
    <mergeCell ref="B3543:C3543"/>
    <mergeCell ref="B3544:C3544"/>
    <mergeCell ref="B3545:C3545"/>
    <mergeCell ref="B3546:C3546"/>
    <mergeCell ref="B3547:C3547"/>
    <mergeCell ref="B3548:C3548"/>
    <mergeCell ref="B3549:C3549"/>
    <mergeCell ref="B3550:C3550"/>
    <mergeCell ref="B3551:C3551"/>
    <mergeCell ref="B3552:C3552"/>
    <mergeCell ref="B3553:C3553"/>
    <mergeCell ref="B3554:C3554"/>
    <mergeCell ref="B3555:C3555"/>
    <mergeCell ref="B3556:C3556"/>
    <mergeCell ref="B3557:C3557"/>
    <mergeCell ref="B3558:C3558"/>
    <mergeCell ref="B3559:C3559"/>
    <mergeCell ref="B3560:C3560"/>
    <mergeCell ref="B3561:C3561"/>
    <mergeCell ref="B3562:C3562"/>
    <mergeCell ref="B3563:C3563"/>
    <mergeCell ref="B3564:C3564"/>
    <mergeCell ref="B3565:C3565"/>
    <mergeCell ref="B3566:C3566"/>
    <mergeCell ref="B3567:C3567"/>
    <mergeCell ref="B3568:C3568"/>
    <mergeCell ref="B3569:C3569"/>
    <mergeCell ref="B3570:C3570"/>
    <mergeCell ref="B3571:C3571"/>
    <mergeCell ref="B3572:C3572"/>
    <mergeCell ref="B3573:C3573"/>
    <mergeCell ref="B3574:C3574"/>
    <mergeCell ref="B3575:C3575"/>
    <mergeCell ref="B3576:C3576"/>
    <mergeCell ref="B3577:C3577"/>
    <mergeCell ref="B3578:C3578"/>
    <mergeCell ref="B3579:C3579"/>
    <mergeCell ref="B3580:C3580"/>
    <mergeCell ref="B3581:C3581"/>
    <mergeCell ref="B3582:C3582"/>
    <mergeCell ref="B3583:C3583"/>
    <mergeCell ref="B3584:C3584"/>
    <mergeCell ref="B3585:C3585"/>
    <mergeCell ref="B3586:C3586"/>
    <mergeCell ref="B3587:C3587"/>
    <mergeCell ref="B3588:C3588"/>
    <mergeCell ref="B3589:C3589"/>
    <mergeCell ref="B3590:C3590"/>
    <mergeCell ref="B3591:C3591"/>
    <mergeCell ref="B3592:C3592"/>
    <mergeCell ref="B3593:C3593"/>
    <mergeCell ref="B3594:C3594"/>
    <mergeCell ref="B3595:C3595"/>
    <mergeCell ref="B3596:C3596"/>
    <mergeCell ref="B3597:C3597"/>
    <mergeCell ref="B3598:C3598"/>
    <mergeCell ref="B3599:C3599"/>
    <mergeCell ref="B3600:C3600"/>
    <mergeCell ref="B3601:C3601"/>
    <mergeCell ref="B3602:C3602"/>
    <mergeCell ref="B3603:C3603"/>
    <mergeCell ref="B3604:C3604"/>
    <mergeCell ref="B3605:C3605"/>
    <mergeCell ref="B3606:C3606"/>
    <mergeCell ref="B3607:C3607"/>
    <mergeCell ref="B3608:C3608"/>
    <mergeCell ref="B3609:C3609"/>
    <mergeCell ref="B3610:C3610"/>
    <mergeCell ref="B3611:C3611"/>
    <mergeCell ref="B3612:C3612"/>
    <mergeCell ref="B3613:C3613"/>
    <mergeCell ref="B3614:C3614"/>
    <mergeCell ref="B3615:C3615"/>
    <mergeCell ref="B3616:C3616"/>
    <mergeCell ref="B3617:C3617"/>
    <mergeCell ref="B3618:C3618"/>
    <mergeCell ref="B3619:C3619"/>
    <mergeCell ref="B3620:C3620"/>
    <mergeCell ref="B3621:C3621"/>
    <mergeCell ref="B3622:C3622"/>
    <mergeCell ref="B3623:C3623"/>
    <mergeCell ref="B3624:C3624"/>
    <mergeCell ref="B3625:C3625"/>
    <mergeCell ref="B3626:C3626"/>
    <mergeCell ref="B3627:C3627"/>
    <mergeCell ref="B3628:C3628"/>
    <mergeCell ref="B3629:C3629"/>
    <mergeCell ref="B3630:C3630"/>
    <mergeCell ref="B3631:C3631"/>
    <mergeCell ref="B3632:C3632"/>
    <mergeCell ref="B3633:C3633"/>
    <mergeCell ref="B3634:C3634"/>
    <mergeCell ref="B3635:C3635"/>
    <mergeCell ref="B3636:C3636"/>
    <mergeCell ref="B3637:C3637"/>
    <mergeCell ref="B3638:C3638"/>
    <mergeCell ref="B3639:C3639"/>
    <mergeCell ref="B3640:C3640"/>
    <mergeCell ref="B3641:C3641"/>
    <mergeCell ref="B3642:C3642"/>
    <mergeCell ref="B3643:C3643"/>
    <mergeCell ref="B3644:C3644"/>
    <mergeCell ref="B3645:C3645"/>
    <mergeCell ref="B3646:C3646"/>
    <mergeCell ref="B3647:C3647"/>
    <mergeCell ref="B3648:C3648"/>
    <mergeCell ref="B3649:C3649"/>
    <mergeCell ref="B3650:C3650"/>
    <mergeCell ref="B3651:C3651"/>
    <mergeCell ref="B3652:C3652"/>
    <mergeCell ref="B3653:C3653"/>
    <mergeCell ref="B3654:C3654"/>
    <mergeCell ref="B3655:C3655"/>
    <mergeCell ref="B3656:C3656"/>
    <mergeCell ref="B3657:C3657"/>
    <mergeCell ref="B3658:C3658"/>
    <mergeCell ref="B3659:C3659"/>
    <mergeCell ref="B3660:C3660"/>
    <mergeCell ref="B3661:C3661"/>
    <mergeCell ref="B3662:C3662"/>
    <mergeCell ref="B3663:C3663"/>
    <mergeCell ref="B3664:C3664"/>
    <mergeCell ref="B3665:C3665"/>
    <mergeCell ref="B3666:C3666"/>
    <mergeCell ref="B3667:C3667"/>
    <mergeCell ref="B3668:C3668"/>
    <mergeCell ref="B3669:C3669"/>
    <mergeCell ref="B3670:C3670"/>
    <mergeCell ref="B3671:C3671"/>
    <mergeCell ref="B3672:C3672"/>
    <mergeCell ref="B3673:C3673"/>
    <mergeCell ref="B3674:C3674"/>
    <mergeCell ref="B3675:C3675"/>
    <mergeCell ref="B3676:C3676"/>
    <mergeCell ref="B3677:C3677"/>
    <mergeCell ref="B3678:C3678"/>
    <mergeCell ref="B3679:C3679"/>
    <mergeCell ref="B3680:C3680"/>
    <mergeCell ref="B3681:C3681"/>
    <mergeCell ref="B3682:C3682"/>
    <mergeCell ref="B3683:C3683"/>
    <mergeCell ref="B3684:C3684"/>
    <mergeCell ref="B3685:C3685"/>
    <mergeCell ref="B3686:C3686"/>
    <mergeCell ref="B3687:C3687"/>
    <mergeCell ref="B3688:C3688"/>
    <mergeCell ref="B3689:C3689"/>
    <mergeCell ref="B3690:C3690"/>
    <mergeCell ref="B3691:C3691"/>
    <mergeCell ref="B3692:C3692"/>
    <mergeCell ref="B3693:C3693"/>
    <mergeCell ref="B3694:C3694"/>
    <mergeCell ref="B3695:C3695"/>
    <mergeCell ref="B3696:C3696"/>
    <mergeCell ref="B3697:C3697"/>
    <mergeCell ref="B3698:C3698"/>
    <mergeCell ref="B3699:C3699"/>
    <mergeCell ref="B3700:C3700"/>
    <mergeCell ref="B3701:C3701"/>
    <mergeCell ref="B3702:C3702"/>
    <mergeCell ref="B3703:C3703"/>
    <mergeCell ref="B3704:C3704"/>
    <mergeCell ref="B3705:C3705"/>
    <mergeCell ref="B3706:C3706"/>
    <mergeCell ref="B3707:C3707"/>
    <mergeCell ref="B3708:C3708"/>
    <mergeCell ref="B3709:C3709"/>
    <mergeCell ref="B3710:C3710"/>
    <mergeCell ref="B3711:C3711"/>
    <mergeCell ref="B3712:C3712"/>
    <mergeCell ref="B3713:C3713"/>
    <mergeCell ref="B3714:C3714"/>
    <mergeCell ref="B3715:C3715"/>
    <mergeCell ref="B3716:C3716"/>
    <mergeCell ref="B3717:C3717"/>
    <mergeCell ref="B3718:C3718"/>
    <mergeCell ref="B3719:C3719"/>
    <mergeCell ref="B3720:C3720"/>
    <mergeCell ref="B3721:C3721"/>
    <mergeCell ref="B3722:C3722"/>
    <mergeCell ref="B3723:C3723"/>
    <mergeCell ref="B3724:C3724"/>
    <mergeCell ref="B3725:C3725"/>
    <mergeCell ref="B3726:C3726"/>
    <mergeCell ref="B3727:C3727"/>
    <mergeCell ref="B3728:C3728"/>
    <mergeCell ref="B3729:C3729"/>
    <mergeCell ref="B3730:C3730"/>
    <mergeCell ref="B3731:C3731"/>
    <mergeCell ref="B3732:C3732"/>
    <mergeCell ref="B3733:C3733"/>
    <mergeCell ref="B3734:C3734"/>
    <mergeCell ref="B3735:C3735"/>
    <mergeCell ref="B3736:C3736"/>
    <mergeCell ref="B3737:C3737"/>
    <mergeCell ref="B3738:C3738"/>
    <mergeCell ref="B3739:C3739"/>
    <mergeCell ref="B3740:C3740"/>
    <mergeCell ref="B3741:C3741"/>
    <mergeCell ref="B3742:C3742"/>
    <mergeCell ref="B3743:C3743"/>
    <mergeCell ref="B3744:C3744"/>
    <mergeCell ref="B3745:C3745"/>
    <mergeCell ref="B3746:C3746"/>
    <mergeCell ref="B3747:C3747"/>
    <mergeCell ref="B3748:C3748"/>
    <mergeCell ref="B3749:C3749"/>
    <mergeCell ref="B3750:C3750"/>
    <mergeCell ref="B3751:C3751"/>
    <mergeCell ref="B3752:C3752"/>
    <mergeCell ref="B3753:C3753"/>
    <mergeCell ref="B3754:C3754"/>
    <mergeCell ref="B3755:C3755"/>
    <mergeCell ref="B3756:C3756"/>
    <mergeCell ref="B3757:C3757"/>
    <mergeCell ref="B3758:C3758"/>
    <mergeCell ref="B3759:C3759"/>
    <mergeCell ref="B3760:C3760"/>
    <mergeCell ref="B3761:C3761"/>
    <mergeCell ref="B3762:C3762"/>
    <mergeCell ref="B3763:C3763"/>
    <mergeCell ref="B3764:C3764"/>
    <mergeCell ref="B3765:C3765"/>
    <mergeCell ref="B3766:C3766"/>
    <mergeCell ref="B3767:C3767"/>
    <mergeCell ref="B3768:C3768"/>
    <mergeCell ref="B3769:C3769"/>
    <mergeCell ref="B3770:C3770"/>
    <mergeCell ref="B3771:C3771"/>
    <mergeCell ref="B3772:C3772"/>
    <mergeCell ref="B3773:C3773"/>
    <mergeCell ref="B3774:C3774"/>
    <mergeCell ref="B3775:C3775"/>
    <mergeCell ref="B3776:C3776"/>
    <mergeCell ref="B3777:C3777"/>
    <mergeCell ref="B3778:C3778"/>
    <mergeCell ref="B3779:C3779"/>
    <mergeCell ref="B3780:C3780"/>
    <mergeCell ref="B3781:C3781"/>
    <mergeCell ref="B3782:C3782"/>
    <mergeCell ref="B3783:C3783"/>
    <mergeCell ref="B3784:C3784"/>
    <mergeCell ref="B3785:C3785"/>
    <mergeCell ref="B3786:C3786"/>
    <mergeCell ref="B3787:C3787"/>
    <mergeCell ref="B3788:C3788"/>
    <mergeCell ref="B3789:C3789"/>
    <mergeCell ref="B3790:C3790"/>
    <mergeCell ref="B3791:C3791"/>
    <mergeCell ref="B3792:C3792"/>
    <mergeCell ref="B3793:C3793"/>
    <mergeCell ref="B3794:C3794"/>
    <mergeCell ref="B3795:C3795"/>
    <mergeCell ref="B3796:C3796"/>
    <mergeCell ref="B3797:C3797"/>
    <mergeCell ref="B3798:C3798"/>
    <mergeCell ref="B3799:C3799"/>
    <mergeCell ref="B3800:C3800"/>
    <mergeCell ref="B3801:C3801"/>
    <mergeCell ref="B3802:C3802"/>
    <mergeCell ref="B3803:C3803"/>
    <mergeCell ref="B3804:C3804"/>
    <mergeCell ref="B3805:C3805"/>
    <mergeCell ref="B3806:C3806"/>
    <mergeCell ref="B3807:C3807"/>
    <mergeCell ref="B3808:C3808"/>
    <mergeCell ref="B3809:C3809"/>
    <mergeCell ref="B3810:C3810"/>
    <mergeCell ref="B3811:C3811"/>
    <mergeCell ref="B3812:C3812"/>
    <mergeCell ref="B3813:C3813"/>
    <mergeCell ref="B3814:C3814"/>
    <mergeCell ref="B3815:C3815"/>
    <mergeCell ref="B3816:C3816"/>
    <mergeCell ref="B3817:C3817"/>
    <mergeCell ref="B3818:C3818"/>
    <mergeCell ref="B3819:C3819"/>
    <mergeCell ref="B3820:C3820"/>
    <mergeCell ref="B3821:C3821"/>
    <mergeCell ref="B3822:C3822"/>
    <mergeCell ref="B3823:C3823"/>
    <mergeCell ref="B3824:C3824"/>
    <mergeCell ref="B3825:C3825"/>
    <mergeCell ref="B3826:C3826"/>
    <mergeCell ref="B3827:C3827"/>
    <mergeCell ref="B3828:C3828"/>
    <mergeCell ref="B3829:C3829"/>
    <mergeCell ref="B3830:C3830"/>
    <mergeCell ref="B3831:C3831"/>
    <mergeCell ref="B3832:C3832"/>
    <mergeCell ref="B3833:C3833"/>
    <mergeCell ref="B3834:C3834"/>
    <mergeCell ref="B3835:C3835"/>
    <mergeCell ref="B3836:C3836"/>
    <mergeCell ref="B3837:C3837"/>
    <mergeCell ref="B3838:C3838"/>
    <mergeCell ref="B3839:C3839"/>
    <mergeCell ref="B3840:C3840"/>
    <mergeCell ref="B3841:C3841"/>
    <mergeCell ref="B3842:C3842"/>
    <mergeCell ref="B3843:C3843"/>
    <mergeCell ref="B3844:C3844"/>
    <mergeCell ref="B3845:C3845"/>
    <mergeCell ref="B3846:C3846"/>
    <mergeCell ref="B3847:C3847"/>
    <mergeCell ref="B3848:C3848"/>
    <mergeCell ref="B3849:C3849"/>
    <mergeCell ref="B3850:C3850"/>
    <mergeCell ref="B3851:C3851"/>
    <mergeCell ref="B3852:C3852"/>
    <mergeCell ref="B3853:C3853"/>
    <mergeCell ref="B3854:C3854"/>
    <mergeCell ref="B3855:C3855"/>
    <mergeCell ref="B3856:C3856"/>
    <mergeCell ref="B3857:C3857"/>
    <mergeCell ref="B3858:C3858"/>
    <mergeCell ref="B3859:C3859"/>
    <mergeCell ref="B3860:C3860"/>
    <mergeCell ref="B3861:C3861"/>
    <mergeCell ref="B3862:C3862"/>
    <mergeCell ref="B3863:C3863"/>
    <mergeCell ref="B3864:C3864"/>
    <mergeCell ref="B3865:C3865"/>
    <mergeCell ref="B3866:C3866"/>
    <mergeCell ref="B3867:C3867"/>
    <mergeCell ref="B3868:C3868"/>
    <mergeCell ref="B3869:C3869"/>
    <mergeCell ref="B3870:C3870"/>
    <mergeCell ref="B3871:C3871"/>
    <mergeCell ref="B3872:C3872"/>
    <mergeCell ref="B3873:C3873"/>
    <mergeCell ref="B3874:C3874"/>
    <mergeCell ref="B3875:C3875"/>
    <mergeCell ref="B3876:C3876"/>
    <mergeCell ref="B3877:C3877"/>
    <mergeCell ref="B3878:C3878"/>
    <mergeCell ref="B3879:C3879"/>
    <mergeCell ref="B3880:C3880"/>
    <mergeCell ref="B3881:C3881"/>
    <mergeCell ref="B3882:C3882"/>
    <mergeCell ref="B3883:C3883"/>
    <mergeCell ref="B3884:C3884"/>
    <mergeCell ref="B3885:C3885"/>
    <mergeCell ref="B3886:C3886"/>
    <mergeCell ref="B3887:C3887"/>
    <mergeCell ref="B3888:C3888"/>
    <mergeCell ref="B3889:C3889"/>
    <mergeCell ref="B3890:C3890"/>
    <mergeCell ref="B3891:C3891"/>
    <mergeCell ref="B3892:C3892"/>
    <mergeCell ref="B3893:C3893"/>
    <mergeCell ref="B3894:C3894"/>
    <mergeCell ref="B3895:C3895"/>
    <mergeCell ref="B3896:C3896"/>
    <mergeCell ref="B3897:C3897"/>
    <mergeCell ref="B3898:C3898"/>
    <mergeCell ref="B3899:C3899"/>
    <mergeCell ref="B3900:C3900"/>
    <mergeCell ref="B3901:C3901"/>
    <mergeCell ref="B3902:C3902"/>
    <mergeCell ref="B3903:C3903"/>
    <mergeCell ref="B3904:C3904"/>
    <mergeCell ref="B3905:C3905"/>
    <mergeCell ref="B3906:C3906"/>
    <mergeCell ref="B3907:C3907"/>
    <mergeCell ref="B3908:C3908"/>
    <mergeCell ref="B3909:C3909"/>
    <mergeCell ref="B3910:C3910"/>
    <mergeCell ref="B3911:C3911"/>
    <mergeCell ref="B3912:C3912"/>
    <mergeCell ref="B3913:C3913"/>
    <mergeCell ref="B3914:C3914"/>
    <mergeCell ref="B3915:C3915"/>
    <mergeCell ref="B3916:C3916"/>
    <mergeCell ref="B3917:C3917"/>
    <mergeCell ref="B3918:C3918"/>
    <mergeCell ref="B3919:C3919"/>
    <mergeCell ref="B3920:C3920"/>
    <mergeCell ref="B3921:C3921"/>
    <mergeCell ref="B3922:C3922"/>
    <mergeCell ref="B3923:C3923"/>
    <mergeCell ref="B3924:C3924"/>
    <mergeCell ref="B3925:C3925"/>
    <mergeCell ref="B3926:C3926"/>
    <mergeCell ref="B3927:C3927"/>
    <mergeCell ref="B3928:C3928"/>
    <mergeCell ref="B3929:C3929"/>
    <mergeCell ref="B3930:C3930"/>
    <mergeCell ref="B3931:C3931"/>
    <mergeCell ref="B3932:C3932"/>
    <mergeCell ref="B3933:C3933"/>
    <mergeCell ref="B3934:C3934"/>
    <mergeCell ref="B3935:C3935"/>
    <mergeCell ref="B3936:C3936"/>
    <mergeCell ref="B3937:C3937"/>
    <mergeCell ref="B3938:C3938"/>
    <mergeCell ref="B3939:C3939"/>
    <mergeCell ref="B3940:C3940"/>
    <mergeCell ref="B3941:C3941"/>
    <mergeCell ref="B3942:C3942"/>
    <mergeCell ref="B3943:C3943"/>
    <mergeCell ref="B3944:C3944"/>
    <mergeCell ref="B3945:C3945"/>
    <mergeCell ref="B3946:C3946"/>
    <mergeCell ref="B3947:C3947"/>
    <mergeCell ref="B3948:C3948"/>
    <mergeCell ref="B3949:C3949"/>
    <mergeCell ref="B3950:C3950"/>
    <mergeCell ref="B3951:C3951"/>
    <mergeCell ref="B3952:C3952"/>
    <mergeCell ref="B3953:C3953"/>
    <mergeCell ref="B3954:C3954"/>
    <mergeCell ref="B3955:C3955"/>
    <mergeCell ref="B3956:C3956"/>
    <mergeCell ref="B3957:C3957"/>
    <mergeCell ref="B3958:C3958"/>
    <mergeCell ref="B3959:C3959"/>
    <mergeCell ref="B3960:C3960"/>
    <mergeCell ref="B3961:C3961"/>
    <mergeCell ref="B3962:C3962"/>
    <mergeCell ref="B3963:C3963"/>
    <mergeCell ref="B3964:C3964"/>
    <mergeCell ref="B3965:C3965"/>
    <mergeCell ref="B3966:C3966"/>
    <mergeCell ref="B3967:C3967"/>
    <mergeCell ref="B3968:C3968"/>
    <mergeCell ref="B3969:C3969"/>
    <mergeCell ref="B3970:C3970"/>
    <mergeCell ref="B3971:C3971"/>
    <mergeCell ref="B3972:C3972"/>
    <mergeCell ref="B3973:C3973"/>
    <mergeCell ref="B3974:C3974"/>
    <mergeCell ref="B3975:C3975"/>
    <mergeCell ref="B3976:C3976"/>
    <mergeCell ref="B3977:C3977"/>
    <mergeCell ref="B3978:C3978"/>
    <mergeCell ref="B3979:C3979"/>
    <mergeCell ref="B3980:C3980"/>
    <mergeCell ref="B3981:C3981"/>
    <mergeCell ref="B3982:C3982"/>
    <mergeCell ref="B3983:C3983"/>
    <mergeCell ref="B3984:C3984"/>
    <mergeCell ref="B3985:C3985"/>
    <mergeCell ref="B3986:C3986"/>
    <mergeCell ref="B3987:C3987"/>
    <mergeCell ref="B3988:C3988"/>
    <mergeCell ref="B3989:C3989"/>
    <mergeCell ref="B3990:C3990"/>
    <mergeCell ref="B3991:C3991"/>
    <mergeCell ref="B3992:C3992"/>
    <mergeCell ref="B3993:C3993"/>
    <mergeCell ref="B3994:C3994"/>
    <mergeCell ref="B3995:C3995"/>
    <mergeCell ref="B3996:C3996"/>
    <mergeCell ref="B3997:C3997"/>
    <mergeCell ref="B3998:C3998"/>
    <mergeCell ref="B3999:C3999"/>
    <mergeCell ref="B4000:C4000"/>
    <mergeCell ref="B4001:C4001"/>
    <mergeCell ref="B4002:C4002"/>
    <mergeCell ref="B4003:C4003"/>
    <mergeCell ref="B4004:C4004"/>
    <mergeCell ref="B4005:C4005"/>
    <mergeCell ref="B4006:C4006"/>
    <mergeCell ref="B4007:C4007"/>
    <mergeCell ref="B4008:C4008"/>
    <mergeCell ref="B4009:C4009"/>
    <mergeCell ref="B4010:C4010"/>
    <mergeCell ref="B4011:C4011"/>
    <mergeCell ref="B4012:C4012"/>
    <mergeCell ref="B4013:C4013"/>
    <mergeCell ref="B4014:C4014"/>
    <mergeCell ref="B4015:C4015"/>
    <mergeCell ref="B4016:C4016"/>
    <mergeCell ref="B4017:C4017"/>
    <mergeCell ref="B4018:C4018"/>
    <mergeCell ref="B4019:C4019"/>
    <mergeCell ref="B4020:C4020"/>
    <mergeCell ref="B4021:C4021"/>
    <mergeCell ref="B4022:C4022"/>
    <mergeCell ref="B4023:C4023"/>
    <mergeCell ref="B4024:C4024"/>
    <mergeCell ref="B4025:C4025"/>
    <mergeCell ref="B4026:C4026"/>
    <mergeCell ref="B4027:C4027"/>
    <mergeCell ref="B4028:C4028"/>
    <mergeCell ref="B4029:C4029"/>
    <mergeCell ref="B4030:C4030"/>
    <mergeCell ref="B4031:C4031"/>
    <mergeCell ref="B4032:C4032"/>
    <mergeCell ref="B4033:C4033"/>
    <mergeCell ref="B4034:C4034"/>
    <mergeCell ref="B4035:C4035"/>
    <mergeCell ref="B4036:C4036"/>
    <mergeCell ref="B4037:C4037"/>
    <mergeCell ref="B4038:C4038"/>
    <mergeCell ref="B4039:C4039"/>
    <mergeCell ref="B4040:C4040"/>
    <mergeCell ref="B4041:C4041"/>
    <mergeCell ref="B4042:C4042"/>
    <mergeCell ref="B4043:C4043"/>
    <mergeCell ref="B4044:C4044"/>
    <mergeCell ref="B4045:C4045"/>
    <mergeCell ref="B4046:C4046"/>
    <mergeCell ref="B4047:C4047"/>
    <mergeCell ref="B4048:C4048"/>
    <mergeCell ref="B4049:C4049"/>
    <mergeCell ref="B4050:C4050"/>
    <mergeCell ref="B4051:C4051"/>
    <mergeCell ref="B4052:C4052"/>
    <mergeCell ref="B4053:C4053"/>
    <mergeCell ref="B4054:C4054"/>
    <mergeCell ref="B4055:C4055"/>
    <mergeCell ref="B4056:C4056"/>
    <mergeCell ref="B4057:C4057"/>
    <mergeCell ref="B4058:C4058"/>
    <mergeCell ref="B4059:C4059"/>
    <mergeCell ref="B4060:C4060"/>
    <mergeCell ref="B4061:C4061"/>
    <mergeCell ref="B4062:C4062"/>
    <mergeCell ref="B4063:C4063"/>
    <mergeCell ref="B4064:C4064"/>
    <mergeCell ref="B4065:C4065"/>
    <mergeCell ref="B4066:C4066"/>
    <mergeCell ref="B4067:C4067"/>
    <mergeCell ref="B4068:C4068"/>
    <mergeCell ref="B4069:C4069"/>
    <mergeCell ref="B4070:C4070"/>
    <mergeCell ref="B4071:C4071"/>
    <mergeCell ref="B4072:C4072"/>
    <mergeCell ref="B4073:C4073"/>
    <mergeCell ref="B4074:C4074"/>
    <mergeCell ref="B4075:C4075"/>
    <mergeCell ref="B4076:C4076"/>
    <mergeCell ref="B4077:C4077"/>
    <mergeCell ref="B4078:C4078"/>
    <mergeCell ref="B4079:C4079"/>
    <mergeCell ref="B4080:C4080"/>
    <mergeCell ref="B4081:C4081"/>
    <mergeCell ref="B4082:C4082"/>
    <mergeCell ref="B4083:C4083"/>
    <mergeCell ref="B4084:C4084"/>
    <mergeCell ref="B4085:C4085"/>
    <mergeCell ref="B4086:C4086"/>
    <mergeCell ref="B4087:C4087"/>
    <mergeCell ref="B4088:C4088"/>
    <mergeCell ref="B4089:C4089"/>
    <mergeCell ref="B4090:C4090"/>
    <mergeCell ref="B4091:C4091"/>
    <mergeCell ref="B4092:C4092"/>
    <mergeCell ref="B4093:C4093"/>
    <mergeCell ref="B4094:C4094"/>
    <mergeCell ref="B4095:C4095"/>
    <mergeCell ref="B4096:C4096"/>
    <mergeCell ref="B4097:C4097"/>
    <mergeCell ref="B4098:C4098"/>
    <mergeCell ref="B4099:C4099"/>
    <mergeCell ref="B4100:C4100"/>
    <mergeCell ref="B4101:C4101"/>
    <mergeCell ref="B4102:C4102"/>
    <mergeCell ref="B4103:C4103"/>
    <mergeCell ref="B4104:C4104"/>
    <mergeCell ref="B4105:C4105"/>
    <mergeCell ref="B4106:C4106"/>
    <mergeCell ref="B4107:C4107"/>
    <mergeCell ref="B4108:C4108"/>
    <mergeCell ref="B4109:C4109"/>
    <mergeCell ref="B4110:C4110"/>
    <mergeCell ref="B4111:C4111"/>
    <mergeCell ref="B4112:C4112"/>
    <mergeCell ref="B4113:C4113"/>
    <mergeCell ref="B4114:C4114"/>
    <mergeCell ref="B4115:C4115"/>
    <mergeCell ref="B4116:C4116"/>
    <mergeCell ref="B4117:C4117"/>
    <mergeCell ref="B4118:C4118"/>
    <mergeCell ref="B4119:C4119"/>
    <mergeCell ref="B4120:C4120"/>
    <mergeCell ref="B4121:C4121"/>
    <mergeCell ref="B4122:C4122"/>
    <mergeCell ref="B4123:C4123"/>
    <mergeCell ref="B4124:C4124"/>
    <mergeCell ref="B4125:C4125"/>
    <mergeCell ref="B4126:C4126"/>
    <mergeCell ref="B4127:C4127"/>
    <mergeCell ref="B4128:C4128"/>
    <mergeCell ref="B4129:C4129"/>
    <mergeCell ref="B4130:C4130"/>
    <mergeCell ref="B4131:C4131"/>
    <mergeCell ref="B4132:C4132"/>
    <mergeCell ref="B4133:C4133"/>
    <mergeCell ref="B4134:C4134"/>
    <mergeCell ref="B4135:C4135"/>
    <mergeCell ref="B4136:C4136"/>
    <mergeCell ref="B4137:C4137"/>
    <mergeCell ref="B4138:C4138"/>
    <mergeCell ref="B4139:C4139"/>
    <mergeCell ref="B4140:C4140"/>
    <mergeCell ref="B4141:C4141"/>
    <mergeCell ref="B4142:C4142"/>
    <mergeCell ref="B4143:C4143"/>
    <mergeCell ref="B4144:C4144"/>
    <mergeCell ref="B4145:C4145"/>
    <mergeCell ref="B4146:C4146"/>
    <mergeCell ref="B4147:C4147"/>
    <mergeCell ref="B4148:C4148"/>
    <mergeCell ref="B4149:C4149"/>
    <mergeCell ref="B4150:C4150"/>
    <mergeCell ref="B4151:C4151"/>
    <mergeCell ref="B4152:C4152"/>
    <mergeCell ref="B4153:C4153"/>
    <mergeCell ref="B4154:C4154"/>
    <mergeCell ref="B4155:C4155"/>
    <mergeCell ref="B4156:C4156"/>
    <mergeCell ref="B4157:C4157"/>
    <mergeCell ref="B4158:C4158"/>
    <mergeCell ref="B4159:C4159"/>
    <mergeCell ref="B4160:C4160"/>
    <mergeCell ref="B4161:C4161"/>
    <mergeCell ref="B4162:C4162"/>
    <mergeCell ref="B4163:C4163"/>
    <mergeCell ref="B4164:C4164"/>
    <mergeCell ref="B4165:C4165"/>
    <mergeCell ref="B4166:C4166"/>
    <mergeCell ref="B4167:C4167"/>
    <mergeCell ref="B4168:C4168"/>
    <mergeCell ref="B4169:C4169"/>
    <mergeCell ref="B4170:C4170"/>
    <mergeCell ref="B4171:C4171"/>
    <mergeCell ref="B4172:C4172"/>
    <mergeCell ref="B4173:C4173"/>
    <mergeCell ref="B4174:C4174"/>
    <mergeCell ref="B4175:C4175"/>
    <mergeCell ref="B4176:C4176"/>
    <mergeCell ref="B4177:C4177"/>
    <mergeCell ref="B4178:C4178"/>
    <mergeCell ref="B4179:C4179"/>
    <mergeCell ref="B4180:C4180"/>
    <mergeCell ref="B4181:C4181"/>
    <mergeCell ref="B4182:C4182"/>
    <mergeCell ref="B4183:C4183"/>
    <mergeCell ref="B4184:C4184"/>
    <mergeCell ref="B4185:C4185"/>
    <mergeCell ref="B4186:C4186"/>
    <mergeCell ref="B4187:C4187"/>
    <mergeCell ref="B4188:C4188"/>
    <mergeCell ref="B4189:C4189"/>
    <mergeCell ref="B4190:C4190"/>
    <mergeCell ref="B4191:C4191"/>
    <mergeCell ref="B4192:C4192"/>
    <mergeCell ref="B4193:C4193"/>
    <mergeCell ref="B4194:C4194"/>
    <mergeCell ref="B4195:C4195"/>
    <mergeCell ref="B4196:C4196"/>
    <mergeCell ref="B4197:C4197"/>
    <mergeCell ref="B4198:C4198"/>
    <mergeCell ref="B4199:C4199"/>
    <mergeCell ref="B4200:C4200"/>
    <mergeCell ref="B4201:C4201"/>
    <mergeCell ref="B4202:C4202"/>
    <mergeCell ref="B4203:C4203"/>
    <mergeCell ref="B4204:C4204"/>
    <mergeCell ref="B4205:C4205"/>
    <mergeCell ref="B4206:C4206"/>
    <mergeCell ref="B4207:C4207"/>
    <mergeCell ref="B4208:C4208"/>
    <mergeCell ref="B4209:C4209"/>
    <mergeCell ref="B4210:C4210"/>
    <mergeCell ref="B4211:C4211"/>
    <mergeCell ref="B4212:C4212"/>
    <mergeCell ref="B4213:C4213"/>
    <mergeCell ref="B4214:C4214"/>
    <mergeCell ref="B4215:C4215"/>
    <mergeCell ref="B4216:C4216"/>
    <mergeCell ref="B4217:C4217"/>
    <mergeCell ref="B4218:C4218"/>
    <mergeCell ref="B4219:C4219"/>
    <mergeCell ref="B4220:C4220"/>
    <mergeCell ref="B4221:C4221"/>
    <mergeCell ref="B4222:C4222"/>
    <mergeCell ref="B4223:C4223"/>
    <mergeCell ref="B4224:C4224"/>
    <mergeCell ref="B4225:C4225"/>
    <mergeCell ref="B4226:C4226"/>
    <mergeCell ref="B4227:C4227"/>
    <mergeCell ref="B4228:C4228"/>
    <mergeCell ref="B4229:C4229"/>
    <mergeCell ref="B4230:C4230"/>
    <mergeCell ref="B4231:C4231"/>
    <mergeCell ref="B4232:C4232"/>
    <mergeCell ref="B4233:C4233"/>
    <mergeCell ref="B4234:C4234"/>
    <mergeCell ref="B4235:C4235"/>
    <mergeCell ref="B4236:C4236"/>
    <mergeCell ref="B4237:C4237"/>
    <mergeCell ref="B4238:C4238"/>
    <mergeCell ref="B4239:C4239"/>
    <mergeCell ref="B4240:C4240"/>
    <mergeCell ref="B4241:C4241"/>
    <mergeCell ref="B4242:C4242"/>
    <mergeCell ref="B4243:C4243"/>
    <mergeCell ref="B4244:C4244"/>
    <mergeCell ref="B4245:C4245"/>
    <mergeCell ref="B4246:C4246"/>
    <mergeCell ref="B4247:C4247"/>
    <mergeCell ref="B4248:C4248"/>
    <mergeCell ref="B4249:C4249"/>
    <mergeCell ref="B4250:C4250"/>
    <mergeCell ref="B4251:C4251"/>
    <mergeCell ref="B4252:C4252"/>
    <mergeCell ref="B4253:C4253"/>
    <mergeCell ref="B4254:C4254"/>
    <mergeCell ref="B4255:C4255"/>
    <mergeCell ref="B4256:C4256"/>
    <mergeCell ref="B4257:C4257"/>
    <mergeCell ref="B4258:C4258"/>
    <mergeCell ref="B4259:C4259"/>
    <mergeCell ref="B4260:C4260"/>
    <mergeCell ref="B4261:C4261"/>
    <mergeCell ref="B4262:C4262"/>
    <mergeCell ref="B4263:C4263"/>
    <mergeCell ref="B4264:C4264"/>
    <mergeCell ref="B4265:C4265"/>
    <mergeCell ref="B4266:C4266"/>
    <mergeCell ref="B4267:C4267"/>
    <mergeCell ref="B4268:C4268"/>
    <mergeCell ref="B4269:C4269"/>
    <mergeCell ref="B4270:C4270"/>
    <mergeCell ref="B4271:C4271"/>
    <mergeCell ref="B4272:C4272"/>
    <mergeCell ref="B4273:C4273"/>
    <mergeCell ref="B4274:C4274"/>
    <mergeCell ref="B4275:C4275"/>
    <mergeCell ref="B4276:C4276"/>
    <mergeCell ref="B4277:C4277"/>
    <mergeCell ref="B4278:C4278"/>
    <mergeCell ref="B4279:C4279"/>
    <mergeCell ref="B4280:C4280"/>
    <mergeCell ref="B4281:C4281"/>
    <mergeCell ref="B4282:C4282"/>
    <mergeCell ref="B4283:C4283"/>
    <mergeCell ref="B4284:C4284"/>
    <mergeCell ref="B4285:C4285"/>
    <mergeCell ref="B4286:C4286"/>
    <mergeCell ref="B4287:C4287"/>
    <mergeCell ref="B4288:C4288"/>
    <mergeCell ref="B4289:C4289"/>
    <mergeCell ref="B4290:C4290"/>
    <mergeCell ref="B4291:C4291"/>
    <mergeCell ref="B4292:C4292"/>
    <mergeCell ref="B4293:C4293"/>
    <mergeCell ref="B4294:C4294"/>
    <mergeCell ref="B4295:C4295"/>
    <mergeCell ref="B4296:C4296"/>
    <mergeCell ref="B4297:C4297"/>
    <mergeCell ref="B4298:C4298"/>
    <mergeCell ref="B4299:C4299"/>
    <mergeCell ref="B4300:C4300"/>
    <mergeCell ref="B4301:C4301"/>
    <mergeCell ref="B4302:C4302"/>
    <mergeCell ref="B4303:C4303"/>
    <mergeCell ref="B4304:C4304"/>
    <mergeCell ref="B4305:C4305"/>
    <mergeCell ref="B4306:C4306"/>
    <mergeCell ref="B4307:C4307"/>
    <mergeCell ref="B4308:C4308"/>
    <mergeCell ref="B4309:C4309"/>
    <mergeCell ref="B4310:C4310"/>
    <mergeCell ref="B4311:C4311"/>
    <mergeCell ref="B4312:C4312"/>
    <mergeCell ref="B4313:C4313"/>
    <mergeCell ref="B4314:C4314"/>
    <mergeCell ref="B4315:C4315"/>
    <mergeCell ref="B4316:C4316"/>
    <mergeCell ref="B4317:C4317"/>
    <mergeCell ref="B4318:C4318"/>
    <mergeCell ref="B4319:C4319"/>
    <mergeCell ref="B4320:C4320"/>
    <mergeCell ref="B4321:C4321"/>
    <mergeCell ref="B4322:C4322"/>
    <mergeCell ref="B4323:C4323"/>
    <mergeCell ref="B4324:C4324"/>
    <mergeCell ref="B4325:C4325"/>
    <mergeCell ref="B4326:C4326"/>
    <mergeCell ref="B4327:C4327"/>
    <mergeCell ref="B4328:C4328"/>
    <mergeCell ref="B4329:C4329"/>
    <mergeCell ref="B4330:C4330"/>
    <mergeCell ref="B4331:C4331"/>
    <mergeCell ref="B4332:C4332"/>
    <mergeCell ref="B4333:C4333"/>
    <mergeCell ref="B4334:C4334"/>
    <mergeCell ref="B4335:C4335"/>
    <mergeCell ref="B4336:C4336"/>
    <mergeCell ref="B4337:C4337"/>
    <mergeCell ref="B4338:C4338"/>
    <mergeCell ref="B4339:C4339"/>
    <mergeCell ref="B4340:C4340"/>
    <mergeCell ref="B4341:C4341"/>
    <mergeCell ref="B4342:C4342"/>
    <mergeCell ref="B4343:C4343"/>
    <mergeCell ref="B4344:C4344"/>
    <mergeCell ref="B4345:C4345"/>
    <mergeCell ref="B4346:C4346"/>
    <mergeCell ref="B4347:C4347"/>
    <mergeCell ref="B4348:C4348"/>
    <mergeCell ref="B4349:C4349"/>
    <mergeCell ref="B4350:C4350"/>
    <mergeCell ref="B4351:C4351"/>
    <mergeCell ref="B4352:C4352"/>
    <mergeCell ref="B4353:C4353"/>
    <mergeCell ref="B4354:C4354"/>
    <mergeCell ref="B4355:C4355"/>
    <mergeCell ref="B4356:C4356"/>
    <mergeCell ref="B4357:C4357"/>
    <mergeCell ref="B4358:C4358"/>
    <mergeCell ref="B4359:C4359"/>
    <mergeCell ref="B4360:C4360"/>
    <mergeCell ref="B4361:C4361"/>
    <mergeCell ref="B4362:C4362"/>
    <mergeCell ref="B4363:C4363"/>
    <mergeCell ref="B4364:C4364"/>
    <mergeCell ref="B4365:C4365"/>
    <mergeCell ref="B4366:C4366"/>
    <mergeCell ref="B4367:C4367"/>
    <mergeCell ref="B4368:C4368"/>
    <mergeCell ref="B4369:C4369"/>
    <mergeCell ref="B4370:C4370"/>
    <mergeCell ref="B4371:C4371"/>
    <mergeCell ref="B4372:C4372"/>
    <mergeCell ref="B4373:C4373"/>
    <mergeCell ref="B4374:C4374"/>
    <mergeCell ref="B4375:C4375"/>
    <mergeCell ref="B4376:C4376"/>
    <mergeCell ref="B4377:C4377"/>
    <mergeCell ref="B4378:C4378"/>
    <mergeCell ref="B4379:C4379"/>
    <mergeCell ref="B4380:C4380"/>
    <mergeCell ref="B4381:C4381"/>
    <mergeCell ref="B4382:C4382"/>
    <mergeCell ref="B4383:C4383"/>
    <mergeCell ref="B4384:C4384"/>
    <mergeCell ref="B4385:C4385"/>
    <mergeCell ref="B4386:C4386"/>
    <mergeCell ref="B4387:C4387"/>
    <mergeCell ref="B4388:C4388"/>
    <mergeCell ref="B4389:C4389"/>
    <mergeCell ref="B4390:C4390"/>
    <mergeCell ref="B4391:C4391"/>
    <mergeCell ref="B4392:C4392"/>
    <mergeCell ref="B4393:C4393"/>
    <mergeCell ref="B4394:C4394"/>
    <mergeCell ref="B4395:C4395"/>
    <mergeCell ref="B4396:C4396"/>
    <mergeCell ref="B4397:C4397"/>
    <mergeCell ref="B4398:C4398"/>
    <mergeCell ref="B4399:C4399"/>
    <mergeCell ref="B4400:C4400"/>
    <mergeCell ref="B4401:C4401"/>
    <mergeCell ref="B4402:C4402"/>
    <mergeCell ref="B4403:C4403"/>
    <mergeCell ref="B4404:C4404"/>
    <mergeCell ref="B4405:C4405"/>
    <mergeCell ref="B4406:C4406"/>
    <mergeCell ref="B4407:C4407"/>
    <mergeCell ref="B4408:C4408"/>
    <mergeCell ref="B4409:C4409"/>
    <mergeCell ref="B4410:C4410"/>
    <mergeCell ref="B4411:C4411"/>
    <mergeCell ref="B4412:C4412"/>
    <mergeCell ref="B4413:C4413"/>
    <mergeCell ref="B4414:C4414"/>
    <mergeCell ref="B4415:C4415"/>
    <mergeCell ref="B4416:C4416"/>
    <mergeCell ref="B4417:C4417"/>
    <mergeCell ref="B4418:C4418"/>
    <mergeCell ref="B4419:C4419"/>
    <mergeCell ref="B4420:C4420"/>
    <mergeCell ref="B4421:C4421"/>
    <mergeCell ref="B4422:C4422"/>
    <mergeCell ref="B4423:C4423"/>
    <mergeCell ref="B4424:C4424"/>
    <mergeCell ref="B4425:C4425"/>
    <mergeCell ref="B4426:C4426"/>
    <mergeCell ref="B4427:C4427"/>
    <mergeCell ref="B4428:C4428"/>
    <mergeCell ref="B4429:C4429"/>
    <mergeCell ref="B4430:C4430"/>
    <mergeCell ref="B4431:C4431"/>
    <mergeCell ref="B4432:C4432"/>
    <mergeCell ref="B4433:C4433"/>
    <mergeCell ref="B4434:C4434"/>
    <mergeCell ref="B4435:C4435"/>
    <mergeCell ref="B4436:C4436"/>
    <mergeCell ref="B4437:C4437"/>
    <mergeCell ref="B4438:C4438"/>
    <mergeCell ref="B4439:C4439"/>
    <mergeCell ref="B4440:C4440"/>
    <mergeCell ref="B4441:C4441"/>
    <mergeCell ref="B4442:C4442"/>
    <mergeCell ref="B4443:C4443"/>
    <mergeCell ref="B4444:C4444"/>
    <mergeCell ref="B4445:C4445"/>
    <mergeCell ref="B4446:C4446"/>
    <mergeCell ref="B4447:C4447"/>
    <mergeCell ref="B4448:C4448"/>
    <mergeCell ref="B4449:C4449"/>
    <mergeCell ref="B4450:C4450"/>
    <mergeCell ref="B4451:C4451"/>
    <mergeCell ref="B4452:C4452"/>
    <mergeCell ref="B4453:C4453"/>
    <mergeCell ref="B4454:C4454"/>
    <mergeCell ref="B4455:C4455"/>
    <mergeCell ref="B4456:C4456"/>
    <mergeCell ref="B4457:C4457"/>
    <mergeCell ref="B4458:C4458"/>
    <mergeCell ref="B4459:C4459"/>
    <mergeCell ref="B4460:C4460"/>
    <mergeCell ref="B4461:C4461"/>
    <mergeCell ref="B4462:C4462"/>
    <mergeCell ref="B4463:C4463"/>
    <mergeCell ref="B4464:C4464"/>
    <mergeCell ref="B4465:C4465"/>
    <mergeCell ref="B4466:C4466"/>
    <mergeCell ref="B4467:C4467"/>
    <mergeCell ref="B4468:C4468"/>
    <mergeCell ref="B4469:C4469"/>
    <mergeCell ref="B4470:C4470"/>
    <mergeCell ref="B4471:C4471"/>
    <mergeCell ref="B4472:C4472"/>
    <mergeCell ref="B4473:C4473"/>
    <mergeCell ref="B4474:C4474"/>
    <mergeCell ref="B4475:C4475"/>
    <mergeCell ref="B4476:C4476"/>
    <mergeCell ref="B4477:C4477"/>
    <mergeCell ref="B4478:C4478"/>
    <mergeCell ref="B4479:C4479"/>
    <mergeCell ref="B4480:C4480"/>
    <mergeCell ref="B4481:C4481"/>
    <mergeCell ref="B4482:C4482"/>
    <mergeCell ref="B4483:C4483"/>
    <mergeCell ref="B4484:C4484"/>
    <mergeCell ref="B4485:C4485"/>
    <mergeCell ref="B4486:C4486"/>
    <mergeCell ref="B4487:C4487"/>
    <mergeCell ref="B4488:C4488"/>
    <mergeCell ref="B4489:C4489"/>
    <mergeCell ref="B4490:C4490"/>
    <mergeCell ref="B4491:C4491"/>
    <mergeCell ref="B4492:C4492"/>
    <mergeCell ref="B4493:C4493"/>
    <mergeCell ref="B4494:C4494"/>
    <mergeCell ref="B4495:C4495"/>
    <mergeCell ref="B4496:C4496"/>
    <mergeCell ref="B4497:C4497"/>
    <mergeCell ref="B4498:C4498"/>
    <mergeCell ref="B4499:C4499"/>
    <mergeCell ref="B4500:C4500"/>
    <mergeCell ref="B4501:C4501"/>
    <mergeCell ref="B4502:C4502"/>
    <mergeCell ref="B4503:C4503"/>
    <mergeCell ref="B4504:C4504"/>
    <mergeCell ref="B4505:C4505"/>
    <mergeCell ref="B4506:C4506"/>
    <mergeCell ref="B4507:C4507"/>
    <mergeCell ref="B4508:C4508"/>
    <mergeCell ref="B4509:C4509"/>
    <mergeCell ref="B4510:C4510"/>
    <mergeCell ref="B4511:C4511"/>
    <mergeCell ref="B4512:C4512"/>
    <mergeCell ref="B4513:C4513"/>
    <mergeCell ref="B4514:C4514"/>
    <mergeCell ref="B4515:C4515"/>
    <mergeCell ref="B4516:C4516"/>
    <mergeCell ref="B4517:C4517"/>
    <mergeCell ref="B4518:C4518"/>
    <mergeCell ref="B4519:C4519"/>
    <mergeCell ref="B4520:C4520"/>
    <mergeCell ref="B4521:C4521"/>
    <mergeCell ref="B4522:C4522"/>
    <mergeCell ref="B4523:C4523"/>
    <mergeCell ref="B4524:C4524"/>
    <mergeCell ref="B4525:C4525"/>
    <mergeCell ref="B4526:C4526"/>
    <mergeCell ref="B4527:C4527"/>
    <mergeCell ref="B4528:C4528"/>
    <mergeCell ref="B4529:C4529"/>
    <mergeCell ref="B4530:C4530"/>
    <mergeCell ref="B4531:C4531"/>
    <mergeCell ref="B4532:C4532"/>
    <mergeCell ref="B4533:C4533"/>
    <mergeCell ref="B4534:C4534"/>
    <mergeCell ref="B4535:C4535"/>
    <mergeCell ref="B4536:C4536"/>
    <mergeCell ref="B4537:C4537"/>
    <mergeCell ref="B4538:C4538"/>
    <mergeCell ref="B4539:C4539"/>
    <mergeCell ref="B4540:C4540"/>
    <mergeCell ref="B4541:C4541"/>
    <mergeCell ref="B4542:C4542"/>
    <mergeCell ref="B4543:C4543"/>
    <mergeCell ref="B4544:C4544"/>
    <mergeCell ref="B4545:C4545"/>
    <mergeCell ref="B4546:C4546"/>
    <mergeCell ref="B4547:C4547"/>
    <mergeCell ref="B4548:C4548"/>
    <mergeCell ref="B4549:C4549"/>
    <mergeCell ref="B4550:C4550"/>
    <mergeCell ref="B4551:C4551"/>
    <mergeCell ref="B4552:C4552"/>
    <mergeCell ref="B4553:C4553"/>
    <mergeCell ref="B4554:C4554"/>
    <mergeCell ref="B4555:C4555"/>
    <mergeCell ref="B4556:C4556"/>
    <mergeCell ref="B4557:C4557"/>
    <mergeCell ref="B4558:C4558"/>
    <mergeCell ref="B4559:C4559"/>
    <mergeCell ref="B4560:C4560"/>
    <mergeCell ref="B4561:C4561"/>
    <mergeCell ref="B4562:C4562"/>
    <mergeCell ref="B4563:C4563"/>
    <mergeCell ref="B4564:C4564"/>
    <mergeCell ref="B4565:C4565"/>
    <mergeCell ref="B4566:C4566"/>
    <mergeCell ref="B4567:C4567"/>
    <mergeCell ref="B4568:C4568"/>
    <mergeCell ref="B4569:C4569"/>
    <mergeCell ref="B4570:C4570"/>
    <mergeCell ref="B4571:C4571"/>
    <mergeCell ref="B4572:C4572"/>
    <mergeCell ref="B4573:C4573"/>
    <mergeCell ref="B4574:C4574"/>
    <mergeCell ref="B4575:C4575"/>
    <mergeCell ref="B4576:C4576"/>
    <mergeCell ref="B4577:C4577"/>
    <mergeCell ref="B4578:C4578"/>
    <mergeCell ref="B4579:C4579"/>
    <mergeCell ref="B4580:C4580"/>
    <mergeCell ref="B4581:C4581"/>
    <mergeCell ref="B4582:C4582"/>
    <mergeCell ref="B4583:C4583"/>
    <mergeCell ref="B4584:C4584"/>
    <mergeCell ref="B4585:C4585"/>
    <mergeCell ref="B4586:C4586"/>
    <mergeCell ref="B4587:C4587"/>
    <mergeCell ref="B4588:C4588"/>
    <mergeCell ref="B4589:C4589"/>
    <mergeCell ref="B4590:C4590"/>
    <mergeCell ref="B4591:C4591"/>
    <mergeCell ref="B4592:C4592"/>
    <mergeCell ref="B4593:C4593"/>
    <mergeCell ref="B4594:C4594"/>
    <mergeCell ref="B4595:C4595"/>
    <mergeCell ref="B4596:C4596"/>
    <mergeCell ref="B4597:C4597"/>
    <mergeCell ref="B4598:C4598"/>
    <mergeCell ref="B4599:C4599"/>
    <mergeCell ref="B4600:C4600"/>
    <mergeCell ref="B4601:C4601"/>
    <mergeCell ref="B4602:C4602"/>
    <mergeCell ref="B4603:C4603"/>
    <mergeCell ref="B4604:C4604"/>
    <mergeCell ref="B4605:C4605"/>
    <mergeCell ref="B4606:C4606"/>
    <mergeCell ref="B4607:C4607"/>
    <mergeCell ref="B4608:C4608"/>
    <mergeCell ref="B4609:C4609"/>
    <mergeCell ref="B4610:C4610"/>
    <mergeCell ref="B4611:C4611"/>
    <mergeCell ref="B4612:C4612"/>
    <mergeCell ref="B4613:C4613"/>
    <mergeCell ref="B4614:C4614"/>
    <mergeCell ref="B4615:C4615"/>
    <mergeCell ref="B4616:C4616"/>
    <mergeCell ref="B4617:C4617"/>
    <mergeCell ref="B4618:C4618"/>
    <mergeCell ref="B4619:C4619"/>
    <mergeCell ref="B4620:C4620"/>
    <mergeCell ref="B4621:C4621"/>
    <mergeCell ref="B4622:C4622"/>
    <mergeCell ref="B4623:C4623"/>
    <mergeCell ref="B4624:C4624"/>
    <mergeCell ref="B4625:C4625"/>
    <mergeCell ref="B4626:C4626"/>
    <mergeCell ref="B4627:C4627"/>
    <mergeCell ref="B4628:C4628"/>
    <mergeCell ref="B4629:C4629"/>
    <mergeCell ref="B4630:C4630"/>
    <mergeCell ref="B4631:C4631"/>
    <mergeCell ref="B4632:C4632"/>
    <mergeCell ref="B4633:C4633"/>
    <mergeCell ref="B4634:C4634"/>
    <mergeCell ref="B4635:C4635"/>
    <mergeCell ref="B4636:C4636"/>
    <mergeCell ref="B4637:C4637"/>
    <mergeCell ref="B4638:C4638"/>
    <mergeCell ref="B4639:C4639"/>
    <mergeCell ref="B4640:C4640"/>
    <mergeCell ref="B4641:C4641"/>
    <mergeCell ref="B4642:C4642"/>
    <mergeCell ref="B4643:C4643"/>
    <mergeCell ref="B4644:C4644"/>
    <mergeCell ref="B4645:C4645"/>
    <mergeCell ref="B4646:C4646"/>
    <mergeCell ref="B4647:C4647"/>
    <mergeCell ref="B4648:C4648"/>
    <mergeCell ref="B4649:C4649"/>
    <mergeCell ref="B4650:C4650"/>
    <mergeCell ref="B4651:C4651"/>
    <mergeCell ref="B4652:C4652"/>
    <mergeCell ref="B4653:C4653"/>
    <mergeCell ref="B4654:C4654"/>
    <mergeCell ref="B4655:C4655"/>
    <mergeCell ref="B4656:C4656"/>
    <mergeCell ref="B4657:C4657"/>
    <mergeCell ref="B4658:C4658"/>
    <mergeCell ref="B4659:C4659"/>
    <mergeCell ref="B4660:C4660"/>
    <mergeCell ref="B4661:C4661"/>
    <mergeCell ref="B4662:C4662"/>
    <mergeCell ref="B4663:C4663"/>
    <mergeCell ref="B4664:C4664"/>
    <mergeCell ref="B4665:C4665"/>
    <mergeCell ref="B4666:C4666"/>
    <mergeCell ref="B4667:C4667"/>
    <mergeCell ref="B4668:C4668"/>
    <mergeCell ref="B4669:C4669"/>
    <mergeCell ref="B4670:C4670"/>
    <mergeCell ref="B4671:C4671"/>
    <mergeCell ref="B4672:C4672"/>
    <mergeCell ref="B4673:C4673"/>
    <mergeCell ref="B4674:C4674"/>
    <mergeCell ref="B4675:C4675"/>
    <mergeCell ref="B4676:C4676"/>
    <mergeCell ref="B4677:C4677"/>
    <mergeCell ref="B4678:C4678"/>
    <mergeCell ref="B4679:C4679"/>
    <mergeCell ref="B4680:C4680"/>
    <mergeCell ref="B4681:C4681"/>
    <mergeCell ref="B4682:C4682"/>
    <mergeCell ref="B4683:C4683"/>
    <mergeCell ref="B4684:C4684"/>
    <mergeCell ref="B4685:C4685"/>
    <mergeCell ref="B4686:C4686"/>
    <mergeCell ref="B4687:C4687"/>
    <mergeCell ref="B4688:C4688"/>
    <mergeCell ref="B4689:C4689"/>
    <mergeCell ref="B4690:C4690"/>
    <mergeCell ref="B4691:C4691"/>
    <mergeCell ref="B4692:C4692"/>
    <mergeCell ref="B4693:C4693"/>
    <mergeCell ref="B4694:C4694"/>
    <mergeCell ref="B4695:C4695"/>
    <mergeCell ref="B4696:C4696"/>
    <mergeCell ref="B4697:C4697"/>
    <mergeCell ref="B4698:C4698"/>
    <mergeCell ref="B4699:C4699"/>
    <mergeCell ref="B4700:C4700"/>
    <mergeCell ref="B4701:C4701"/>
    <mergeCell ref="B4702:C4702"/>
    <mergeCell ref="B4703:C4703"/>
    <mergeCell ref="B4704:C4704"/>
    <mergeCell ref="B4705:C4705"/>
    <mergeCell ref="B4706:C4706"/>
    <mergeCell ref="B4707:C4707"/>
    <mergeCell ref="B4708:C4708"/>
    <mergeCell ref="B4709:C4709"/>
    <mergeCell ref="B4710:C4710"/>
    <mergeCell ref="B4711:C4711"/>
    <mergeCell ref="B4712:C4712"/>
    <mergeCell ref="B4713:C4713"/>
    <mergeCell ref="B4714:C4714"/>
    <mergeCell ref="B4715:C4715"/>
    <mergeCell ref="B4716:C4716"/>
    <mergeCell ref="B4717:C4717"/>
    <mergeCell ref="B4718:C4718"/>
    <mergeCell ref="B4719:C4719"/>
    <mergeCell ref="B4720:C4720"/>
    <mergeCell ref="B4721:C4721"/>
    <mergeCell ref="B4722:C4722"/>
    <mergeCell ref="B4723:C4723"/>
    <mergeCell ref="B4724:C4724"/>
    <mergeCell ref="B4725:C4725"/>
    <mergeCell ref="B4726:C4726"/>
    <mergeCell ref="B4727:C4727"/>
    <mergeCell ref="B4728:C4728"/>
    <mergeCell ref="B4729:C4729"/>
    <mergeCell ref="B4730:C4730"/>
    <mergeCell ref="B4731:C4731"/>
    <mergeCell ref="B4732:C4732"/>
    <mergeCell ref="B4733:C4733"/>
    <mergeCell ref="B4734:C4734"/>
    <mergeCell ref="B4735:C4735"/>
    <mergeCell ref="B4736:C4736"/>
    <mergeCell ref="B4737:C4737"/>
    <mergeCell ref="B4738:C4738"/>
    <mergeCell ref="B4739:C4739"/>
    <mergeCell ref="B4740:C4740"/>
    <mergeCell ref="B4741:C4741"/>
    <mergeCell ref="B4742:C4742"/>
    <mergeCell ref="B4743:C4743"/>
    <mergeCell ref="B4744:C4744"/>
    <mergeCell ref="B4745:C4745"/>
    <mergeCell ref="B4746:C4746"/>
    <mergeCell ref="B4747:C4747"/>
    <mergeCell ref="B4748:C4748"/>
    <mergeCell ref="B4749:C4749"/>
    <mergeCell ref="B4750:C4750"/>
    <mergeCell ref="B4751:C4751"/>
    <mergeCell ref="B4752:C4752"/>
    <mergeCell ref="B4753:C4753"/>
    <mergeCell ref="B4754:C4754"/>
    <mergeCell ref="B4755:C4755"/>
    <mergeCell ref="B4756:C4756"/>
    <mergeCell ref="B4757:C4757"/>
    <mergeCell ref="B4758:C4758"/>
    <mergeCell ref="B4759:C4759"/>
    <mergeCell ref="B4760:C4760"/>
    <mergeCell ref="B4761:C4761"/>
    <mergeCell ref="B4762:C4762"/>
    <mergeCell ref="B4763:C4763"/>
    <mergeCell ref="B4764:C4764"/>
    <mergeCell ref="B4765:C4765"/>
    <mergeCell ref="B4766:C4766"/>
    <mergeCell ref="B4767:C4767"/>
    <mergeCell ref="B4768:C4768"/>
    <mergeCell ref="B4769:C4769"/>
    <mergeCell ref="B4770:C4770"/>
    <mergeCell ref="B4771:C4771"/>
    <mergeCell ref="B4772:C4772"/>
    <mergeCell ref="B4773:C4773"/>
    <mergeCell ref="B4774:C4774"/>
    <mergeCell ref="B4775:C4775"/>
    <mergeCell ref="B4776:C4776"/>
    <mergeCell ref="B4777:C4777"/>
    <mergeCell ref="B4778:C4778"/>
    <mergeCell ref="B4779:C4779"/>
    <mergeCell ref="B4780:C4780"/>
    <mergeCell ref="B4781:C4781"/>
    <mergeCell ref="B4782:C4782"/>
    <mergeCell ref="B4783:C4783"/>
    <mergeCell ref="B4784:C4784"/>
    <mergeCell ref="B4785:C4785"/>
    <mergeCell ref="B4786:C4786"/>
    <mergeCell ref="B4787:C4787"/>
    <mergeCell ref="B4788:C4788"/>
    <mergeCell ref="B4789:C4789"/>
    <mergeCell ref="B4790:C4790"/>
    <mergeCell ref="B4791:C4791"/>
    <mergeCell ref="B4792:C4792"/>
    <mergeCell ref="B4793:C4793"/>
    <mergeCell ref="B4794:C4794"/>
    <mergeCell ref="B4795:C4795"/>
    <mergeCell ref="B4796:C4796"/>
    <mergeCell ref="B4797:C4797"/>
    <mergeCell ref="B4798:C4798"/>
    <mergeCell ref="B4799:C4799"/>
    <mergeCell ref="B4800:C4800"/>
    <mergeCell ref="B4801:C4801"/>
    <mergeCell ref="B4802:C4802"/>
    <mergeCell ref="B4803:C4803"/>
    <mergeCell ref="B4804:C4804"/>
    <mergeCell ref="B4805:C4805"/>
    <mergeCell ref="B4806:C4806"/>
    <mergeCell ref="B4807:C4807"/>
    <mergeCell ref="B4808:C4808"/>
    <mergeCell ref="B4809:C4809"/>
    <mergeCell ref="B4810:C4810"/>
    <mergeCell ref="B4811:C4811"/>
    <mergeCell ref="B4812:C4812"/>
    <mergeCell ref="B4813:C4813"/>
    <mergeCell ref="B4814:C4814"/>
    <mergeCell ref="B4815:C4815"/>
    <mergeCell ref="B4816:C4816"/>
    <mergeCell ref="B4817:C4817"/>
    <mergeCell ref="B4818:C4818"/>
    <mergeCell ref="B4819:C4819"/>
    <mergeCell ref="B4820:C4820"/>
    <mergeCell ref="B4821:C4821"/>
    <mergeCell ref="B4822:C4822"/>
    <mergeCell ref="B4823:C4823"/>
    <mergeCell ref="B4824:C4824"/>
    <mergeCell ref="B4825:C4825"/>
    <mergeCell ref="B4826:C4826"/>
    <mergeCell ref="B4827:C4827"/>
    <mergeCell ref="B4828:C4828"/>
    <mergeCell ref="B4829:C4829"/>
    <mergeCell ref="B4830:C4830"/>
    <mergeCell ref="B4831:C4831"/>
    <mergeCell ref="B4832:C4832"/>
    <mergeCell ref="B4833:C4833"/>
    <mergeCell ref="B4834:C4834"/>
    <mergeCell ref="B4835:C4835"/>
    <mergeCell ref="B4836:C4836"/>
    <mergeCell ref="B4837:C4837"/>
    <mergeCell ref="B4838:C4838"/>
    <mergeCell ref="B4839:C4839"/>
    <mergeCell ref="B4840:C4840"/>
    <mergeCell ref="B4841:C4841"/>
    <mergeCell ref="B4842:C4842"/>
    <mergeCell ref="B4843:C4843"/>
    <mergeCell ref="B4844:C4844"/>
    <mergeCell ref="B4845:C4845"/>
    <mergeCell ref="B4846:C4846"/>
    <mergeCell ref="B4847:C4847"/>
    <mergeCell ref="B4848:C4848"/>
    <mergeCell ref="B4849:C4849"/>
    <mergeCell ref="B4850:C4850"/>
    <mergeCell ref="B4851:C4851"/>
    <mergeCell ref="B4852:C4852"/>
    <mergeCell ref="B4853:C4853"/>
    <mergeCell ref="B4854:C4854"/>
    <mergeCell ref="B4855:C4855"/>
    <mergeCell ref="B4856:C4856"/>
    <mergeCell ref="B4857:C4857"/>
    <mergeCell ref="B4858:C4858"/>
    <mergeCell ref="B4859:C4859"/>
    <mergeCell ref="B4860:C4860"/>
    <mergeCell ref="B4861:C4861"/>
    <mergeCell ref="B4862:C4862"/>
    <mergeCell ref="B4863:C4863"/>
    <mergeCell ref="B4864:C4864"/>
    <mergeCell ref="B4865:C4865"/>
    <mergeCell ref="B4866:C4866"/>
    <mergeCell ref="B4867:C4867"/>
    <mergeCell ref="B4868:C4868"/>
    <mergeCell ref="B4869:C4869"/>
    <mergeCell ref="B4870:C4870"/>
    <mergeCell ref="B4871:C4871"/>
    <mergeCell ref="B4872:C4872"/>
    <mergeCell ref="B4873:C4873"/>
    <mergeCell ref="B4874:C4874"/>
    <mergeCell ref="B4875:C4875"/>
    <mergeCell ref="B4876:C4876"/>
    <mergeCell ref="B4877:C4877"/>
    <mergeCell ref="B4878:C4878"/>
    <mergeCell ref="B4879:C4879"/>
    <mergeCell ref="B4880:C4880"/>
    <mergeCell ref="B4881:C4881"/>
    <mergeCell ref="B4882:C4882"/>
    <mergeCell ref="B4883:C4883"/>
    <mergeCell ref="B4884:C4884"/>
    <mergeCell ref="B4885:C4885"/>
    <mergeCell ref="B4886:C4886"/>
    <mergeCell ref="B4887:C4887"/>
    <mergeCell ref="B4888:C4888"/>
    <mergeCell ref="B4889:C4889"/>
    <mergeCell ref="B4890:C4890"/>
    <mergeCell ref="B4891:C4891"/>
    <mergeCell ref="B4892:C4892"/>
    <mergeCell ref="B4893:C4893"/>
    <mergeCell ref="B4894:C4894"/>
    <mergeCell ref="B4895:C4895"/>
    <mergeCell ref="B4896:C4896"/>
    <mergeCell ref="B4897:C4897"/>
    <mergeCell ref="B4898:C4898"/>
    <mergeCell ref="B4899:C4899"/>
    <mergeCell ref="B4900:C4900"/>
    <mergeCell ref="B4901:C4901"/>
    <mergeCell ref="B4902:C4902"/>
    <mergeCell ref="B4903:C4903"/>
    <mergeCell ref="B4904:C4904"/>
    <mergeCell ref="B4905:C4905"/>
    <mergeCell ref="B4906:C4906"/>
    <mergeCell ref="B4907:C4907"/>
    <mergeCell ref="B5251:C5251"/>
    <mergeCell ref="B5252:C5252"/>
    <mergeCell ref="B5253:C5253"/>
    <mergeCell ref="B5254:C5254"/>
    <mergeCell ref="B5255:C5255"/>
    <mergeCell ref="B5256:C5256"/>
    <mergeCell ref="B5257:C5257"/>
    <mergeCell ref="B5258:C5258"/>
    <mergeCell ref="B5259:C5259"/>
    <mergeCell ref="B5260:C5260"/>
    <mergeCell ref="B5261:C5261"/>
    <mergeCell ref="B5262:C5262"/>
    <mergeCell ref="B5263:C5263"/>
    <mergeCell ref="B5264:C5264"/>
    <mergeCell ref="B5265:C5265"/>
    <mergeCell ref="B5266:C5266"/>
    <mergeCell ref="B5267:C5267"/>
    <mergeCell ref="B5268:C5268"/>
    <mergeCell ref="B5269:C5269"/>
    <mergeCell ref="B5270:C5270"/>
    <mergeCell ref="B5271:C5271"/>
    <mergeCell ref="B5272:C5272"/>
    <mergeCell ref="B5273:C5273"/>
    <mergeCell ref="B5274:C5274"/>
    <mergeCell ref="B5275:C5275"/>
    <mergeCell ref="B5276:C5276"/>
    <mergeCell ref="B5277:C5277"/>
    <mergeCell ref="B5278:C5278"/>
    <mergeCell ref="B5279:C5279"/>
    <mergeCell ref="B5280:C5280"/>
    <mergeCell ref="B5281:C5281"/>
    <mergeCell ref="B5282:C5282"/>
    <mergeCell ref="B5283:C5283"/>
    <mergeCell ref="B5284:C5284"/>
    <mergeCell ref="B5285:C5285"/>
    <mergeCell ref="B5286:C5286"/>
    <mergeCell ref="B5287:C5287"/>
    <mergeCell ref="B5288:C5288"/>
    <mergeCell ref="B5289:C5289"/>
    <mergeCell ref="B5290:C5290"/>
    <mergeCell ref="B5291:C5291"/>
    <mergeCell ref="B5292:C5292"/>
    <mergeCell ref="B5293:C5293"/>
    <mergeCell ref="B5294:C5294"/>
    <mergeCell ref="B5295:C5295"/>
    <mergeCell ref="B5296:C5296"/>
    <mergeCell ref="B5297:C5297"/>
    <mergeCell ref="B5298:C5298"/>
    <mergeCell ref="B5299:C5299"/>
    <mergeCell ref="B5349:C5349"/>
    <mergeCell ref="B5350:C5350"/>
    <mergeCell ref="B5351:C5351"/>
    <mergeCell ref="B5352:C5352"/>
    <mergeCell ref="B5353:C5353"/>
    <mergeCell ref="B5354:C5354"/>
    <mergeCell ref="B5355:C5355"/>
    <mergeCell ref="B5363:C5363"/>
    <mergeCell ref="B5364:C5364"/>
    <mergeCell ref="B5365:C5365"/>
    <mergeCell ref="B5366:C5366"/>
    <mergeCell ref="B5367:C5367"/>
    <mergeCell ref="B5356:C5356"/>
    <mergeCell ref="B5357:C5357"/>
    <mergeCell ref="B5358:C5358"/>
    <mergeCell ref="B5359:C5359"/>
    <mergeCell ref="B5360:C5360"/>
    <mergeCell ref="B5361:C5361"/>
    <mergeCell ref="B5362:C5362"/>
    <mergeCell ref="B5300:C5300"/>
    <mergeCell ref="B5301:C5301"/>
    <mergeCell ref="B5302:C5302"/>
    <mergeCell ref="B5303:C5303"/>
    <mergeCell ref="B5304:C5304"/>
    <mergeCell ref="B5305:C5305"/>
    <mergeCell ref="B5306:C5306"/>
    <mergeCell ref="B5307:C5307"/>
    <mergeCell ref="B5308:C5308"/>
    <mergeCell ref="B5309:C5309"/>
    <mergeCell ref="B5310:C5310"/>
    <mergeCell ref="B5311:C5311"/>
    <mergeCell ref="B5312:C5312"/>
    <mergeCell ref="B5313:C5313"/>
    <mergeCell ref="B5314:C5314"/>
    <mergeCell ref="B5315:C5315"/>
    <mergeCell ref="B5316:C5316"/>
    <mergeCell ref="B5317:C5317"/>
    <mergeCell ref="B5318:C5318"/>
    <mergeCell ref="B5319:C5319"/>
    <mergeCell ref="B5320:C5320"/>
    <mergeCell ref="B5321:C5321"/>
    <mergeCell ref="B5322:C5322"/>
    <mergeCell ref="B5323:C5323"/>
    <mergeCell ref="B5324:C5324"/>
    <mergeCell ref="B5325:C5325"/>
    <mergeCell ref="B5326:C5326"/>
    <mergeCell ref="B5327:C5327"/>
    <mergeCell ref="B5328:C5328"/>
    <mergeCell ref="B5329:C5329"/>
    <mergeCell ref="B5330:C5330"/>
    <mergeCell ref="B5331:C5331"/>
    <mergeCell ref="B5332:C5332"/>
    <mergeCell ref="B5333:C5333"/>
    <mergeCell ref="B5334:C5334"/>
    <mergeCell ref="B5335:C5335"/>
    <mergeCell ref="B5336:C5336"/>
    <mergeCell ref="B5337:C5337"/>
    <mergeCell ref="B5338:C5338"/>
    <mergeCell ref="B5339:C5339"/>
    <mergeCell ref="B5340:C5340"/>
    <mergeCell ref="B5341:C5341"/>
    <mergeCell ref="B5342:C5342"/>
    <mergeCell ref="B5343:C5343"/>
    <mergeCell ref="B5344:C5344"/>
    <mergeCell ref="B5345:C5345"/>
    <mergeCell ref="B5346:C5346"/>
    <mergeCell ref="B5347:C5347"/>
    <mergeCell ref="B5348:C5348"/>
    <mergeCell ref="B4908:C4908"/>
    <mergeCell ref="B4909:C4909"/>
    <mergeCell ref="B4910:C4910"/>
    <mergeCell ref="B4911:C4911"/>
    <mergeCell ref="B4912:C4912"/>
    <mergeCell ref="B4913:C4913"/>
    <mergeCell ref="B4914:C4914"/>
    <mergeCell ref="B4915:C4915"/>
    <mergeCell ref="B4916:C4916"/>
    <mergeCell ref="B4917:C4917"/>
    <mergeCell ref="B4918:C4918"/>
    <mergeCell ref="B4919:C4919"/>
    <mergeCell ref="B4920:C4920"/>
    <mergeCell ref="B4921:C4921"/>
    <mergeCell ref="B4922:C4922"/>
    <mergeCell ref="B4923:C4923"/>
    <mergeCell ref="B4924:C4924"/>
    <mergeCell ref="B4925:C4925"/>
    <mergeCell ref="B4926:C4926"/>
    <mergeCell ref="B4927:C4927"/>
    <mergeCell ref="B4928:C4928"/>
    <mergeCell ref="B4929:C4929"/>
    <mergeCell ref="B4930:C4930"/>
    <mergeCell ref="B4931:C4931"/>
    <mergeCell ref="B4932:C4932"/>
    <mergeCell ref="B4933:C4933"/>
    <mergeCell ref="B4934:C4934"/>
    <mergeCell ref="B4935:C4935"/>
    <mergeCell ref="B4936:C4936"/>
    <mergeCell ref="B4937:C4937"/>
    <mergeCell ref="B4938:C4938"/>
    <mergeCell ref="B4939:C4939"/>
    <mergeCell ref="B4940:C4940"/>
    <mergeCell ref="B4941:C4941"/>
    <mergeCell ref="B4942:C4942"/>
    <mergeCell ref="B4943:C4943"/>
    <mergeCell ref="B4944:C4944"/>
    <mergeCell ref="B4945:C4945"/>
    <mergeCell ref="B4946:C4946"/>
    <mergeCell ref="B4947:C4947"/>
    <mergeCell ref="B4948:C4948"/>
    <mergeCell ref="B4949:C4949"/>
    <mergeCell ref="B4950:C4950"/>
    <mergeCell ref="B4951:C4951"/>
    <mergeCell ref="B4952:C4952"/>
    <mergeCell ref="B4953:C4953"/>
    <mergeCell ref="B4954:C4954"/>
    <mergeCell ref="B4955:C4955"/>
    <mergeCell ref="B4956:C4956"/>
    <mergeCell ref="B4957:C4957"/>
    <mergeCell ref="B4958:C4958"/>
    <mergeCell ref="B4959:C4959"/>
    <mergeCell ref="B4960:C4960"/>
    <mergeCell ref="B4961:C4961"/>
    <mergeCell ref="B4962:C4962"/>
    <mergeCell ref="B4963:C4963"/>
    <mergeCell ref="B4964:C4964"/>
    <mergeCell ref="B4965:C4965"/>
    <mergeCell ref="B4966:C4966"/>
    <mergeCell ref="B4967:C4967"/>
    <mergeCell ref="B4968:C4968"/>
    <mergeCell ref="B4969:C4969"/>
    <mergeCell ref="B4970:C4970"/>
    <mergeCell ref="B4971:C4971"/>
    <mergeCell ref="B4972:C4972"/>
    <mergeCell ref="B4973:C4973"/>
    <mergeCell ref="B4974:C4974"/>
    <mergeCell ref="B4975:C4975"/>
    <mergeCell ref="B4976:C4976"/>
    <mergeCell ref="B4977:C4977"/>
    <mergeCell ref="B4978:C4978"/>
    <mergeCell ref="B4979:C4979"/>
    <mergeCell ref="B4980:C4980"/>
    <mergeCell ref="B4981:C4981"/>
    <mergeCell ref="B4982:C4982"/>
    <mergeCell ref="B4983:C4983"/>
    <mergeCell ref="B4984:C4984"/>
    <mergeCell ref="B4985:C4985"/>
    <mergeCell ref="B4986:C4986"/>
    <mergeCell ref="B4987:C4987"/>
    <mergeCell ref="B4988:C4988"/>
    <mergeCell ref="B4989:C4989"/>
    <mergeCell ref="B4990:C4990"/>
    <mergeCell ref="B4991:C4991"/>
    <mergeCell ref="B4992:C4992"/>
    <mergeCell ref="B4993:C4993"/>
    <mergeCell ref="B4994:C4994"/>
    <mergeCell ref="B4995:C4995"/>
    <mergeCell ref="B4996:C4996"/>
    <mergeCell ref="B4997:C4997"/>
    <mergeCell ref="B4998:C4998"/>
    <mergeCell ref="B4999:C4999"/>
    <mergeCell ref="B5000:C5000"/>
    <mergeCell ref="B5001:C5001"/>
    <mergeCell ref="B5002:C5002"/>
    <mergeCell ref="B5003:C5003"/>
    <mergeCell ref="B5004:C5004"/>
    <mergeCell ref="B5005:C5005"/>
    <mergeCell ref="B5006:C5006"/>
    <mergeCell ref="B5007:C5007"/>
    <mergeCell ref="B5008:C5008"/>
    <mergeCell ref="B5009:C5009"/>
    <mergeCell ref="B5010:C5010"/>
    <mergeCell ref="B5011:C5011"/>
    <mergeCell ref="B5012:C5012"/>
    <mergeCell ref="B5013:C5013"/>
    <mergeCell ref="B5014:C5014"/>
    <mergeCell ref="B5015:C5015"/>
    <mergeCell ref="B5016:C5016"/>
    <mergeCell ref="B5017:C5017"/>
    <mergeCell ref="B5018:C5018"/>
    <mergeCell ref="B5019:C5019"/>
    <mergeCell ref="B5020:C5020"/>
    <mergeCell ref="B5021:C5021"/>
    <mergeCell ref="B5022:C5022"/>
    <mergeCell ref="B5023:C5023"/>
    <mergeCell ref="B5024:C5024"/>
    <mergeCell ref="B5025:C5025"/>
    <mergeCell ref="B5026:C5026"/>
    <mergeCell ref="B5027:C5027"/>
    <mergeCell ref="B5028:C5028"/>
    <mergeCell ref="B5029:C5029"/>
    <mergeCell ref="B5030:C5030"/>
    <mergeCell ref="B5031:C5031"/>
    <mergeCell ref="B5032:C5032"/>
    <mergeCell ref="B5033:C5033"/>
    <mergeCell ref="B5034:C5034"/>
    <mergeCell ref="B5035:C5035"/>
    <mergeCell ref="B5036:C5036"/>
    <mergeCell ref="B5037:C5037"/>
    <mergeCell ref="B5038:C5038"/>
    <mergeCell ref="B5039:C5039"/>
    <mergeCell ref="B5040:C5040"/>
    <mergeCell ref="B5041:C5041"/>
    <mergeCell ref="B5042:C5042"/>
    <mergeCell ref="B5043:C5043"/>
    <mergeCell ref="B5044:C5044"/>
    <mergeCell ref="B5045:C5045"/>
    <mergeCell ref="B5046:C5046"/>
    <mergeCell ref="B5047:C5047"/>
    <mergeCell ref="B5048:C5048"/>
    <mergeCell ref="B5049:C5049"/>
    <mergeCell ref="B5050:C5050"/>
    <mergeCell ref="B5051:C5051"/>
    <mergeCell ref="B5052:C5052"/>
    <mergeCell ref="B5053:C5053"/>
    <mergeCell ref="B5054:C5054"/>
    <mergeCell ref="B5055:C5055"/>
    <mergeCell ref="B5056:C5056"/>
    <mergeCell ref="B5057:C5057"/>
    <mergeCell ref="B5058:C5058"/>
    <mergeCell ref="B5059:C5059"/>
    <mergeCell ref="B5060:C5060"/>
    <mergeCell ref="B5061:C5061"/>
    <mergeCell ref="B5062:C5062"/>
    <mergeCell ref="B5063:C5063"/>
    <mergeCell ref="B5064:C5064"/>
    <mergeCell ref="B5065:C5065"/>
    <mergeCell ref="B5066:C5066"/>
    <mergeCell ref="B5067:C5067"/>
    <mergeCell ref="B5068:C5068"/>
    <mergeCell ref="B5069:C5069"/>
    <mergeCell ref="B5070:C5070"/>
    <mergeCell ref="B5071:C5071"/>
    <mergeCell ref="B5072:C5072"/>
    <mergeCell ref="B5073:C5073"/>
    <mergeCell ref="B5074:C5074"/>
    <mergeCell ref="B5075:C5075"/>
    <mergeCell ref="B5076:C5076"/>
    <mergeCell ref="B5077:C5077"/>
    <mergeCell ref="B5078:C5078"/>
    <mergeCell ref="B5079:C5079"/>
    <mergeCell ref="B5080:C5080"/>
    <mergeCell ref="B5081:C5081"/>
    <mergeCell ref="B5082:C5082"/>
    <mergeCell ref="B5083:C5083"/>
    <mergeCell ref="B5084:C5084"/>
    <mergeCell ref="B5085:C5085"/>
    <mergeCell ref="B5086:C5086"/>
    <mergeCell ref="B5087:C5087"/>
    <mergeCell ref="B5088:C5088"/>
    <mergeCell ref="B5089:C5089"/>
    <mergeCell ref="B5090:C5090"/>
    <mergeCell ref="B5091:C5091"/>
    <mergeCell ref="B5092:C5092"/>
    <mergeCell ref="B5093:C5093"/>
    <mergeCell ref="B5094:C5094"/>
    <mergeCell ref="B5095:C5095"/>
    <mergeCell ref="B5096:C5096"/>
    <mergeCell ref="B5097:C5097"/>
    <mergeCell ref="B5098:C5098"/>
    <mergeCell ref="B5099:C5099"/>
    <mergeCell ref="B5100:C5100"/>
    <mergeCell ref="B5101:C5101"/>
    <mergeCell ref="B5102:C5102"/>
    <mergeCell ref="B5103:C5103"/>
    <mergeCell ref="B5104:C5104"/>
    <mergeCell ref="B5105:C5105"/>
    <mergeCell ref="B5106:C5106"/>
    <mergeCell ref="B5107:C5107"/>
    <mergeCell ref="B5108:C5108"/>
    <mergeCell ref="B5109:C5109"/>
    <mergeCell ref="B5110:C5110"/>
    <mergeCell ref="B5111:C5111"/>
    <mergeCell ref="B5112:C5112"/>
    <mergeCell ref="B5113:C5113"/>
    <mergeCell ref="B5114:C5114"/>
    <mergeCell ref="B5115:C5115"/>
    <mergeCell ref="B5116:C5116"/>
    <mergeCell ref="B5117:C5117"/>
    <mergeCell ref="B5118:C5118"/>
    <mergeCell ref="B5119:C5119"/>
    <mergeCell ref="B5120:C5120"/>
    <mergeCell ref="B5121:C5121"/>
    <mergeCell ref="B5122:C5122"/>
    <mergeCell ref="B5123:C5123"/>
    <mergeCell ref="B5124:C5124"/>
    <mergeCell ref="B5125:C5125"/>
    <mergeCell ref="B5126:C5126"/>
    <mergeCell ref="B5127:C5127"/>
    <mergeCell ref="B5128:C5128"/>
    <mergeCell ref="B5129:C5129"/>
    <mergeCell ref="B5130:C5130"/>
    <mergeCell ref="B5131:C5131"/>
    <mergeCell ref="B5132:C5132"/>
    <mergeCell ref="B5133:C5133"/>
    <mergeCell ref="B5134:C5134"/>
    <mergeCell ref="B5135:C5135"/>
    <mergeCell ref="B5136:C5136"/>
    <mergeCell ref="B5137:C5137"/>
    <mergeCell ref="B5138:C5138"/>
    <mergeCell ref="B5139:C5139"/>
    <mergeCell ref="B5140:C5140"/>
    <mergeCell ref="B5141:C5141"/>
    <mergeCell ref="B5142:C5142"/>
    <mergeCell ref="B5143:C5143"/>
    <mergeCell ref="B5144:C5144"/>
    <mergeCell ref="B5145:C5145"/>
    <mergeCell ref="B5146:C5146"/>
    <mergeCell ref="B5147:C5147"/>
    <mergeCell ref="B5148:C5148"/>
    <mergeCell ref="B5149:C5149"/>
    <mergeCell ref="B5150:C5150"/>
    <mergeCell ref="B5151:C5151"/>
    <mergeCell ref="B5152:C5152"/>
    <mergeCell ref="B5153:C5153"/>
    <mergeCell ref="B5154:C5154"/>
    <mergeCell ref="B5155:C5155"/>
    <mergeCell ref="B5156:C5156"/>
    <mergeCell ref="B5157:C5157"/>
    <mergeCell ref="B5158:C5158"/>
    <mergeCell ref="B5159:C5159"/>
    <mergeCell ref="B5160:C5160"/>
    <mergeCell ref="B5161:C5161"/>
    <mergeCell ref="B5162:C5162"/>
    <mergeCell ref="B5163:C5163"/>
    <mergeCell ref="B5164:C5164"/>
    <mergeCell ref="B5165:C5165"/>
    <mergeCell ref="B5166:C5166"/>
    <mergeCell ref="B5167:C5167"/>
    <mergeCell ref="B5168:C5168"/>
    <mergeCell ref="B5169:C5169"/>
    <mergeCell ref="B5170:C5170"/>
    <mergeCell ref="B5171:C5171"/>
    <mergeCell ref="B5172:C5172"/>
    <mergeCell ref="B5173:C5173"/>
    <mergeCell ref="B5174:C5174"/>
    <mergeCell ref="B5175:C5175"/>
    <mergeCell ref="B5176:C5176"/>
    <mergeCell ref="B5177:C5177"/>
    <mergeCell ref="B5178:C5178"/>
    <mergeCell ref="B5179:C5179"/>
    <mergeCell ref="B5180:C5180"/>
    <mergeCell ref="B5181:C5181"/>
    <mergeCell ref="B5182:C5182"/>
    <mergeCell ref="B5183:C5183"/>
    <mergeCell ref="B5184:C5184"/>
    <mergeCell ref="B5185:C5185"/>
    <mergeCell ref="B5186:C5186"/>
    <mergeCell ref="B5187:C5187"/>
    <mergeCell ref="B5188:C5188"/>
    <mergeCell ref="B5189:C5189"/>
    <mergeCell ref="B5190:C5190"/>
    <mergeCell ref="B5191:C5191"/>
    <mergeCell ref="B5192:C5192"/>
    <mergeCell ref="B5193:C5193"/>
    <mergeCell ref="B5194:C5194"/>
    <mergeCell ref="B5195:C5195"/>
    <mergeCell ref="B5196:C5196"/>
    <mergeCell ref="B5197:C5197"/>
    <mergeCell ref="B5198:C5198"/>
    <mergeCell ref="B5199:C5199"/>
    <mergeCell ref="B5200:C5200"/>
    <mergeCell ref="B5201:C5201"/>
    <mergeCell ref="B5202:C5202"/>
    <mergeCell ref="B5203:C5203"/>
    <mergeCell ref="B5204:C5204"/>
    <mergeCell ref="B5205:C5205"/>
    <mergeCell ref="B5206:C5206"/>
    <mergeCell ref="B5207:C5207"/>
    <mergeCell ref="B5208:C5208"/>
    <mergeCell ref="B5209:C5209"/>
    <mergeCell ref="B5210:C5210"/>
    <mergeCell ref="B5211:C5211"/>
    <mergeCell ref="B5212:C5212"/>
    <mergeCell ref="B5213:C5213"/>
    <mergeCell ref="B5214:C5214"/>
    <mergeCell ref="B5215:C5215"/>
    <mergeCell ref="B5216:C5216"/>
    <mergeCell ref="B5217:C5217"/>
    <mergeCell ref="B5218:C5218"/>
    <mergeCell ref="B5219:C5219"/>
    <mergeCell ref="B5220:C5220"/>
    <mergeCell ref="B5221:C5221"/>
    <mergeCell ref="B5222:C5222"/>
    <mergeCell ref="B5223:C5223"/>
    <mergeCell ref="B5224:C5224"/>
    <mergeCell ref="B5225:C5225"/>
    <mergeCell ref="B5226:C5226"/>
    <mergeCell ref="B5227:C5227"/>
    <mergeCell ref="B5228:C5228"/>
    <mergeCell ref="B5229:C5229"/>
    <mergeCell ref="B5230:C5230"/>
    <mergeCell ref="B5231:C5231"/>
    <mergeCell ref="B5232:C5232"/>
    <mergeCell ref="B5233:C5233"/>
    <mergeCell ref="B5234:C5234"/>
    <mergeCell ref="B5235:C5235"/>
    <mergeCell ref="B5236:C5236"/>
    <mergeCell ref="B5237:C5237"/>
    <mergeCell ref="B5238:C5238"/>
    <mergeCell ref="B5239:C5239"/>
    <mergeCell ref="B5240:C5240"/>
    <mergeCell ref="B5241:C5241"/>
    <mergeCell ref="B5242:C5242"/>
    <mergeCell ref="B5243:C5243"/>
    <mergeCell ref="B5244:C5244"/>
    <mergeCell ref="B5245:C5245"/>
    <mergeCell ref="B5246:C5246"/>
    <mergeCell ref="B5247:C5247"/>
    <mergeCell ref="B5248:C5248"/>
    <mergeCell ref="B5249:C5249"/>
    <mergeCell ref="B5250:C5250"/>
    <mergeCell ref="B51:C51"/>
    <mergeCell ref="B61:C61"/>
    <mergeCell ref="B65:C65"/>
    <mergeCell ref="B304:C304"/>
    <mergeCell ref="B316:C316"/>
    <mergeCell ref="B325:C325"/>
    <mergeCell ref="B344:C344"/>
    <mergeCell ref="B350:C350"/>
    <mergeCell ref="B353:C353"/>
    <mergeCell ref="B361:C361"/>
    <mergeCell ref="B365:C365"/>
    <mergeCell ref="B367:C367"/>
    <mergeCell ref="B369:C369"/>
    <mergeCell ref="B373:C373"/>
    <mergeCell ref="B388:C388"/>
    <mergeCell ref="B396:C396"/>
    <mergeCell ref="B398:C398"/>
    <mergeCell ref="B400:C400"/>
    <mergeCell ref="B402:C402"/>
    <mergeCell ref="B405:C405"/>
    <mergeCell ref="B406:C406"/>
    <mergeCell ref="B407:C407"/>
    <mergeCell ref="B408:C408"/>
    <mergeCell ref="B409:C409"/>
    <mergeCell ref="B417:C417"/>
    <mergeCell ref="B425:C425"/>
    <mergeCell ref="B426:C426"/>
    <mergeCell ref="B430:C430"/>
    <mergeCell ref="B434:C434"/>
    <mergeCell ref="B435:C435"/>
    <mergeCell ref="B438:C438"/>
    <mergeCell ref="B441:C441"/>
    <mergeCell ref="B443:C443"/>
    <mergeCell ref="B444:C444"/>
    <mergeCell ref="B445:C445"/>
    <mergeCell ref="B447:C447"/>
    <mergeCell ref="B449:C449"/>
    <mergeCell ref="B450:C450"/>
    <mergeCell ref="B451:C451"/>
    <mergeCell ref="B452:C452"/>
    <mergeCell ref="B454:C454"/>
    <mergeCell ref="B455:C455"/>
    <mergeCell ref="B456:C456"/>
    <mergeCell ref="B459:C459"/>
    <mergeCell ref="B461:C461"/>
    <mergeCell ref="B465:C465"/>
    <mergeCell ref="B466:C466"/>
    <mergeCell ref="B467:C467"/>
    <mergeCell ref="B474:C474"/>
    <mergeCell ref="B475:C475"/>
    <mergeCell ref="B477:C477"/>
    <mergeCell ref="B479:C479"/>
    <mergeCell ref="B480:C480"/>
    <mergeCell ref="B481:C481"/>
    <mergeCell ref="B482:C482"/>
    <mergeCell ref="B485:C485"/>
    <mergeCell ref="B486:C486"/>
    <mergeCell ref="B487:C487"/>
    <mergeCell ref="B489:C489"/>
    <mergeCell ref="B490:C490"/>
    <mergeCell ref="B493:C493"/>
    <mergeCell ref="B496:C496"/>
    <mergeCell ref="B497:C497"/>
    <mergeCell ref="B498:C498"/>
    <mergeCell ref="B499:C499"/>
    <mergeCell ref="B500:C500"/>
    <mergeCell ref="B503:C503"/>
    <mergeCell ref="B504:C504"/>
    <mergeCell ref="B505:C505"/>
    <mergeCell ref="B506:C506"/>
    <mergeCell ref="B507:C507"/>
    <mergeCell ref="B510:C510"/>
    <mergeCell ref="B512:C512"/>
    <mergeCell ref="B513:C513"/>
    <mergeCell ref="B514:C514"/>
    <mergeCell ref="B516:C516"/>
    <mergeCell ref="B517:C517"/>
    <mergeCell ref="B518:C518"/>
    <mergeCell ref="B519:C519"/>
    <mergeCell ref="B522:C522"/>
    <mergeCell ref="B523:C523"/>
    <mergeCell ref="B524:C524"/>
    <mergeCell ref="B525:C525"/>
    <mergeCell ref="B526:C526"/>
    <mergeCell ref="B527:C527"/>
    <mergeCell ref="B528:C528"/>
    <mergeCell ref="B529:C529"/>
    <mergeCell ref="B530:C530"/>
    <mergeCell ref="B531:C531"/>
    <mergeCell ref="B532:C532"/>
    <mergeCell ref="B533:C533"/>
    <mergeCell ref="B534:C534"/>
    <mergeCell ref="B535:C535"/>
    <mergeCell ref="B536:C536"/>
    <mergeCell ref="B537:C537"/>
    <mergeCell ref="B538:C538"/>
    <mergeCell ref="B539:C539"/>
    <mergeCell ref="B540:C540"/>
    <mergeCell ref="B541:C541"/>
    <mergeCell ref="B542:C542"/>
    <mergeCell ref="B543:C543"/>
    <mergeCell ref="B544:C544"/>
    <mergeCell ref="B545:C545"/>
    <mergeCell ref="B546:C546"/>
    <mergeCell ref="B547:C547"/>
    <mergeCell ref="B548:C548"/>
    <mergeCell ref="B549:C549"/>
    <mergeCell ref="B550:C550"/>
    <mergeCell ref="B551:C551"/>
    <mergeCell ref="B552:C552"/>
    <mergeCell ref="B553:C553"/>
    <mergeCell ref="B554:C554"/>
    <mergeCell ref="B555:C555"/>
    <mergeCell ref="B556:C556"/>
    <mergeCell ref="B557:C557"/>
    <mergeCell ref="B558:C558"/>
    <mergeCell ref="B559:C559"/>
    <mergeCell ref="B560:C560"/>
    <mergeCell ref="B561:C561"/>
    <mergeCell ref="B562:C562"/>
    <mergeCell ref="B563:C563"/>
    <mergeCell ref="B564:C564"/>
    <mergeCell ref="B565:C565"/>
    <mergeCell ref="B566:C566"/>
    <mergeCell ref="B567:C567"/>
    <mergeCell ref="B568:C568"/>
    <mergeCell ref="B569:C569"/>
    <mergeCell ref="B570:C570"/>
    <mergeCell ref="B571:C571"/>
    <mergeCell ref="B572:C572"/>
    <mergeCell ref="B573:C573"/>
    <mergeCell ref="B574:C574"/>
    <mergeCell ref="B575:C575"/>
    <mergeCell ref="B576:C576"/>
    <mergeCell ref="B577:C577"/>
    <mergeCell ref="B578:C578"/>
    <mergeCell ref="B579:C579"/>
    <mergeCell ref="B580:C580"/>
    <mergeCell ref="B581:C581"/>
    <mergeCell ref="B582:C582"/>
    <mergeCell ref="B583:C583"/>
    <mergeCell ref="B584:C584"/>
    <mergeCell ref="B585:C585"/>
    <mergeCell ref="B586:C586"/>
    <mergeCell ref="B587:C587"/>
    <mergeCell ref="B588:C588"/>
    <mergeCell ref="B589:C589"/>
    <mergeCell ref="B590:C590"/>
    <mergeCell ref="B591:C591"/>
    <mergeCell ref="B592:C592"/>
    <mergeCell ref="B593:C593"/>
    <mergeCell ref="B594:C594"/>
    <mergeCell ref="B595:C595"/>
    <mergeCell ref="B596:C596"/>
    <mergeCell ref="B597:C597"/>
    <mergeCell ref="B598:C598"/>
    <mergeCell ref="B599:C599"/>
    <mergeCell ref="B600:C600"/>
    <mergeCell ref="B601:C601"/>
    <mergeCell ref="B602:C602"/>
    <mergeCell ref="B603:C603"/>
    <mergeCell ref="B604:C604"/>
    <mergeCell ref="B605:C605"/>
    <mergeCell ref="B606:C606"/>
    <mergeCell ref="B607:C607"/>
    <mergeCell ref="B608:C608"/>
    <mergeCell ref="B609:C609"/>
    <mergeCell ref="B610:C610"/>
    <mergeCell ref="B611:C611"/>
    <mergeCell ref="B612:C612"/>
    <mergeCell ref="B613:C613"/>
    <mergeCell ref="B614:C614"/>
    <mergeCell ref="B615:C615"/>
    <mergeCell ref="B616:C616"/>
    <mergeCell ref="B617:C617"/>
    <mergeCell ref="B618:C618"/>
    <mergeCell ref="B619:C619"/>
    <mergeCell ref="B620:C620"/>
    <mergeCell ref="B621:C621"/>
    <mergeCell ref="B622:C622"/>
    <mergeCell ref="B623:C623"/>
    <mergeCell ref="B624:C624"/>
    <mergeCell ref="B625:C625"/>
    <mergeCell ref="B626:C626"/>
    <mergeCell ref="B627:C627"/>
    <mergeCell ref="B628:C628"/>
    <mergeCell ref="B629:C629"/>
    <mergeCell ref="B630:C630"/>
    <mergeCell ref="B631:C631"/>
    <mergeCell ref="B632:C632"/>
    <mergeCell ref="B633:C633"/>
    <mergeCell ref="B634:C634"/>
    <mergeCell ref="B635:C635"/>
    <mergeCell ref="B636:C636"/>
    <mergeCell ref="B637:C637"/>
    <mergeCell ref="B638:C638"/>
    <mergeCell ref="B639:C639"/>
    <mergeCell ref="B640:C640"/>
    <mergeCell ref="B641:C641"/>
    <mergeCell ref="B642:C642"/>
    <mergeCell ref="B643:C643"/>
    <mergeCell ref="B644:C644"/>
    <mergeCell ref="B645:C645"/>
    <mergeCell ref="B646:C646"/>
    <mergeCell ref="B647:C647"/>
    <mergeCell ref="B648:C648"/>
    <mergeCell ref="B649:C649"/>
    <mergeCell ref="B650:C650"/>
    <mergeCell ref="B651:C651"/>
    <mergeCell ref="B652:C652"/>
    <mergeCell ref="B653:C653"/>
    <mergeCell ref="B654:C654"/>
    <mergeCell ref="B655:C655"/>
    <mergeCell ref="B656:C656"/>
    <mergeCell ref="B657:C657"/>
    <mergeCell ref="B658:C658"/>
    <mergeCell ref="B659:C659"/>
    <mergeCell ref="B660:C660"/>
    <mergeCell ref="B661:C661"/>
    <mergeCell ref="B662:C662"/>
    <mergeCell ref="B663:C663"/>
    <mergeCell ref="B664:C664"/>
    <mergeCell ref="B665:C665"/>
    <mergeCell ref="B666:C666"/>
    <mergeCell ref="B667:C667"/>
    <mergeCell ref="B668:C668"/>
    <mergeCell ref="B669:C669"/>
    <mergeCell ref="B670:C670"/>
    <mergeCell ref="B671:C671"/>
    <mergeCell ref="B672:C672"/>
    <mergeCell ref="B673:C673"/>
    <mergeCell ref="B674:C674"/>
    <mergeCell ref="B675:C675"/>
    <mergeCell ref="B676:C676"/>
    <mergeCell ref="B677:C677"/>
    <mergeCell ref="B678:C678"/>
    <mergeCell ref="B679:C679"/>
    <mergeCell ref="B680:C680"/>
    <mergeCell ref="B681:C681"/>
    <mergeCell ref="B682:C682"/>
    <mergeCell ref="B683:C683"/>
    <mergeCell ref="B684:C684"/>
    <mergeCell ref="B685:C685"/>
    <mergeCell ref="B686:C686"/>
    <mergeCell ref="B687:C687"/>
    <mergeCell ref="B688:C688"/>
    <mergeCell ref="B689:C689"/>
    <mergeCell ref="B690:C690"/>
    <mergeCell ref="B691:C691"/>
    <mergeCell ref="B692:C692"/>
    <mergeCell ref="B693:C693"/>
    <mergeCell ref="B694:C694"/>
    <mergeCell ref="B695:C695"/>
    <mergeCell ref="B696:C696"/>
    <mergeCell ref="B697:C697"/>
    <mergeCell ref="B698:C698"/>
    <mergeCell ref="B699:C699"/>
    <mergeCell ref="B700:C700"/>
    <mergeCell ref="B701:C701"/>
    <mergeCell ref="B702:C702"/>
    <mergeCell ref="B703:C703"/>
    <mergeCell ref="B704:C704"/>
    <mergeCell ref="B705:C705"/>
    <mergeCell ref="B706:C706"/>
    <mergeCell ref="B707:C707"/>
    <mergeCell ref="B708:C708"/>
    <mergeCell ref="B709:C709"/>
    <mergeCell ref="B710:C710"/>
    <mergeCell ref="B711:C711"/>
    <mergeCell ref="B712:C712"/>
    <mergeCell ref="B713:C713"/>
    <mergeCell ref="B714:C714"/>
    <mergeCell ref="B715:C715"/>
    <mergeCell ref="B716:C716"/>
    <mergeCell ref="B717:C717"/>
    <mergeCell ref="B718:C718"/>
    <mergeCell ref="B719:C719"/>
    <mergeCell ref="B720:C720"/>
    <mergeCell ref="B721:C721"/>
    <mergeCell ref="B722:C722"/>
    <mergeCell ref="B723:C723"/>
    <mergeCell ref="B724:C724"/>
    <mergeCell ref="B725:C725"/>
    <mergeCell ref="B726:C726"/>
    <mergeCell ref="B727:C727"/>
    <mergeCell ref="B728:C728"/>
    <mergeCell ref="B729:C729"/>
    <mergeCell ref="B730:C730"/>
    <mergeCell ref="B731:C731"/>
    <mergeCell ref="B732:C732"/>
    <mergeCell ref="B733:C733"/>
    <mergeCell ref="B734:C734"/>
    <mergeCell ref="B735:C735"/>
    <mergeCell ref="B736:C736"/>
    <mergeCell ref="B737:C737"/>
    <mergeCell ref="B738:C738"/>
    <mergeCell ref="B739:C739"/>
    <mergeCell ref="B740:C740"/>
    <mergeCell ref="B741:C741"/>
    <mergeCell ref="B742:C742"/>
    <mergeCell ref="B743:C743"/>
    <mergeCell ref="B744:C744"/>
    <mergeCell ref="B745:C745"/>
    <mergeCell ref="B746:C746"/>
    <mergeCell ref="B747:C747"/>
    <mergeCell ref="B748:C748"/>
    <mergeCell ref="B749:C749"/>
    <mergeCell ref="B750:C750"/>
    <mergeCell ref="B751:C751"/>
    <mergeCell ref="B752:C752"/>
    <mergeCell ref="B753:C753"/>
    <mergeCell ref="B754:C754"/>
    <mergeCell ref="B755:C755"/>
    <mergeCell ref="B756:C756"/>
    <mergeCell ref="B757:C757"/>
    <mergeCell ref="B758:C758"/>
    <mergeCell ref="B759:C759"/>
    <mergeCell ref="B760:C760"/>
    <mergeCell ref="B761:C761"/>
    <mergeCell ref="B762:C762"/>
    <mergeCell ref="B763:C763"/>
    <mergeCell ref="B764:C764"/>
    <mergeCell ref="B765:C765"/>
    <mergeCell ref="B766:C766"/>
    <mergeCell ref="B767:C767"/>
    <mergeCell ref="B768:C768"/>
    <mergeCell ref="B769:C769"/>
    <mergeCell ref="B770:C770"/>
    <mergeCell ref="B771:C771"/>
    <mergeCell ref="B772:C772"/>
    <mergeCell ref="B773:C773"/>
    <mergeCell ref="B774:C774"/>
    <mergeCell ref="B775:C775"/>
    <mergeCell ref="B776:C776"/>
    <mergeCell ref="B777:C777"/>
    <mergeCell ref="B778:C778"/>
    <mergeCell ref="B779:C779"/>
    <mergeCell ref="B780:C780"/>
    <mergeCell ref="B781:C781"/>
    <mergeCell ref="B782:C782"/>
    <mergeCell ref="B783:C783"/>
    <mergeCell ref="B784:C784"/>
    <mergeCell ref="B785:C785"/>
    <mergeCell ref="B786:C786"/>
    <mergeCell ref="B787:C787"/>
    <mergeCell ref="B788:C788"/>
    <mergeCell ref="B789:C789"/>
    <mergeCell ref="B790:C790"/>
    <mergeCell ref="B791:C791"/>
    <mergeCell ref="B792:C792"/>
    <mergeCell ref="B793:C793"/>
    <mergeCell ref="B794:C794"/>
    <mergeCell ref="B795:C795"/>
    <mergeCell ref="B796:C796"/>
    <mergeCell ref="B797:C797"/>
    <mergeCell ref="B798:C798"/>
    <mergeCell ref="B799:C799"/>
    <mergeCell ref="B800:C800"/>
    <mergeCell ref="B801:C801"/>
    <mergeCell ref="B802:C802"/>
    <mergeCell ref="B803:C803"/>
    <mergeCell ref="B804:C804"/>
    <mergeCell ref="B805:C805"/>
    <mergeCell ref="B806:C806"/>
    <mergeCell ref="B807:C807"/>
    <mergeCell ref="B808:C808"/>
    <mergeCell ref="B809:C809"/>
    <mergeCell ref="B810:C810"/>
    <mergeCell ref="B811:C811"/>
    <mergeCell ref="B812:C812"/>
    <mergeCell ref="B813:C813"/>
    <mergeCell ref="B814:C814"/>
    <mergeCell ref="B815:C815"/>
    <mergeCell ref="B816:C816"/>
    <mergeCell ref="B817:C817"/>
    <mergeCell ref="B818:C818"/>
    <mergeCell ref="B819:C819"/>
    <mergeCell ref="B820:C820"/>
    <mergeCell ref="B821:C821"/>
    <mergeCell ref="B822:C822"/>
    <mergeCell ref="B823:C823"/>
    <mergeCell ref="B824:C824"/>
    <mergeCell ref="B825:C825"/>
    <mergeCell ref="B826:C826"/>
    <mergeCell ref="B827:C827"/>
    <mergeCell ref="B828:C828"/>
    <mergeCell ref="B829:C829"/>
    <mergeCell ref="B830:C830"/>
    <mergeCell ref="B831:C831"/>
    <mergeCell ref="B832:C832"/>
    <mergeCell ref="B833:C833"/>
    <mergeCell ref="B834:C834"/>
    <mergeCell ref="B835:C835"/>
    <mergeCell ref="B836:C836"/>
    <mergeCell ref="B837:C837"/>
    <mergeCell ref="B838:C838"/>
    <mergeCell ref="B839:C839"/>
    <mergeCell ref="B840:C840"/>
    <mergeCell ref="B841:C841"/>
    <mergeCell ref="B842:C842"/>
    <mergeCell ref="B843:C843"/>
    <mergeCell ref="B844:C844"/>
    <mergeCell ref="B845:C845"/>
    <mergeCell ref="B846:C846"/>
    <mergeCell ref="B847:C847"/>
    <mergeCell ref="B848:C848"/>
    <mergeCell ref="B849:C849"/>
    <mergeCell ref="B850:C850"/>
    <mergeCell ref="B851:C851"/>
    <mergeCell ref="B852:C852"/>
    <mergeCell ref="B853:C853"/>
    <mergeCell ref="B854:C854"/>
    <mergeCell ref="B855:C855"/>
    <mergeCell ref="B856:C856"/>
    <mergeCell ref="B857:C857"/>
    <mergeCell ref="B858:C858"/>
    <mergeCell ref="B859:C859"/>
    <mergeCell ref="B860:C860"/>
    <mergeCell ref="B861:C861"/>
    <mergeCell ref="B862:C862"/>
    <mergeCell ref="B863:C863"/>
    <mergeCell ref="B864:C864"/>
    <mergeCell ref="B865:C865"/>
    <mergeCell ref="B866:C866"/>
    <mergeCell ref="B867:C867"/>
    <mergeCell ref="B868:C868"/>
    <mergeCell ref="B869:C869"/>
    <mergeCell ref="B870:C870"/>
    <mergeCell ref="B871:C871"/>
    <mergeCell ref="B872:C872"/>
    <mergeCell ref="B873:C873"/>
    <mergeCell ref="B874:C874"/>
    <mergeCell ref="B875:C875"/>
    <mergeCell ref="B876:C876"/>
    <mergeCell ref="B877:C877"/>
    <mergeCell ref="B878:C878"/>
    <mergeCell ref="B879:C879"/>
    <mergeCell ref="B880:C880"/>
    <mergeCell ref="B881:C881"/>
    <mergeCell ref="B882:C882"/>
    <mergeCell ref="B883:C883"/>
    <mergeCell ref="B884:C884"/>
    <mergeCell ref="B885:C885"/>
    <mergeCell ref="B886:C886"/>
    <mergeCell ref="B887:C887"/>
    <mergeCell ref="B888:C888"/>
    <mergeCell ref="B889:C889"/>
    <mergeCell ref="B890:C890"/>
    <mergeCell ref="B891:C891"/>
    <mergeCell ref="B892:C892"/>
    <mergeCell ref="B893:C893"/>
    <mergeCell ref="B894:C894"/>
    <mergeCell ref="B895:C895"/>
    <mergeCell ref="B896:C896"/>
    <mergeCell ref="B897:C897"/>
    <mergeCell ref="B898:C898"/>
    <mergeCell ref="B899:C899"/>
    <mergeCell ref="B900:C900"/>
    <mergeCell ref="B901:C901"/>
    <mergeCell ref="B902:C902"/>
    <mergeCell ref="B903:C903"/>
    <mergeCell ref="B904:C904"/>
    <mergeCell ref="B905:C905"/>
    <mergeCell ref="B906:C906"/>
    <mergeCell ref="B907:C907"/>
    <mergeCell ref="B908:C908"/>
    <mergeCell ref="B909:C909"/>
    <mergeCell ref="B910:C910"/>
    <mergeCell ref="B911:C911"/>
    <mergeCell ref="B912:C912"/>
    <mergeCell ref="B913:C913"/>
    <mergeCell ref="B914:C914"/>
    <mergeCell ref="B915:C915"/>
    <mergeCell ref="B916:C916"/>
    <mergeCell ref="B917:C917"/>
    <mergeCell ref="B918:C918"/>
    <mergeCell ref="B919:C919"/>
    <mergeCell ref="B920:C920"/>
    <mergeCell ref="B921:C921"/>
    <mergeCell ref="B922:C922"/>
    <mergeCell ref="B923:C923"/>
    <mergeCell ref="B924:C924"/>
    <mergeCell ref="B925:C925"/>
    <mergeCell ref="B926:C926"/>
    <mergeCell ref="B927:C927"/>
    <mergeCell ref="B928:C928"/>
    <mergeCell ref="B929:C929"/>
    <mergeCell ref="B930:C930"/>
    <mergeCell ref="B931:C931"/>
    <mergeCell ref="B932:C932"/>
    <mergeCell ref="B933:C933"/>
    <mergeCell ref="B934:C934"/>
    <mergeCell ref="B935:C935"/>
    <mergeCell ref="B936:C936"/>
    <mergeCell ref="B937:C937"/>
    <mergeCell ref="B938:C938"/>
    <mergeCell ref="B939:C939"/>
    <mergeCell ref="B940:C940"/>
    <mergeCell ref="B941:C941"/>
    <mergeCell ref="B942:C942"/>
    <mergeCell ref="B943:C943"/>
    <mergeCell ref="B944:C944"/>
    <mergeCell ref="B945:C945"/>
    <mergeCell ref="B946:C946"/>
    <mergeCell ref="B947:C947"/>
    <mergeCell ref="B948:C948"/>
    <mergeCell ref="B949:C949"/>
    <mergeCell ref="B950:C950"/>
    <mergeCell ref="B951:C951"/>
    <mergeCell ref="B952:C952"/>
    <mergeCell ref="B953:C953"/>
    <mergeCell ref="B954:C954"/>
    <mergeCell ref="B955:C955"/>
    <mergeCell ref="B956:C956"/>
    <mergeCell ref="B957:C957"/>
    <mergeCell ref="B958:C958"/>
    <mergeCell ref="B959:C959"/>
    <mergeCell ref="B960:C960"/>
    <mergeCell ref="B961:C961"/>
    <mergeCell ref="B962:C962"/>
    <mergeCell ref="B963:C963"/>
    <mergeCell ref="B964:C964"/>
    <mergeCell ref="B965:C965"/>
    <mergeCell ref="B966:C966"/>
    <mergeCell ref="B967:C967"/>
    <mergeCell ref="B968:C968"/>
    <mergeCell ref="B969:C969"/>
    <mergeCell ref="B970:C970"/>
    <mergeCell ref="B971:C971"/>
    <mergeCell ref="B972:C972"/>
    <mergeCell ref="B973:C973"/>
    <mergeCell ref="B974:C974"/>
    <mergeCell ref="B975:C975"/>
    <mergeCell ref="B976:C976"/>
    <mergeCell ref="B977:C977"/>
    <mergeCell ref="B978:C978"/>
    <mergeCell ref="B979:C979"/>
    <mergeCell ref="B980:C980"/>
    <mergeCell ref="B981:C981"/>
    <mergeCell ref="B982:C982"/>
    <mergeCell ref="B983:C983"/>
    <mergeCell ref="B984:C984"/>
    <mergeCell ref="B985:C985"/>
    <mergeCell ref="B986:C986"/>
    <mergeCell ref="B987:C987"/>
    <mergeCell ref="B988:C988"/>
    <mergeCell ref="B989:C989"/>
    <mergeCell ref="B990:C990"/>
    <mergeCell ref="B991:C991"/>
    <mergeCell ref="B992:C992"/>
    <mergeCell ref="B993:C993"/>
    <mergeCell ref="B994:C994"/>
    <mergeCell ref="B995:C995"/>
    <mergeCell ref="B996:C996"/>
    <mergeCell ref="B997:C997"/>
    <mergeCell ref="B998:C998"/>
    <mergeCell ref="B999:C999"/>
    <mergeCell ref="B1000:C1000"/>
    <mergeCell ref="B1001:C1001"/>
    <mergeCell ref="B1002:C1002"/>
    <mergeCell ref="B1003:C1003"/>
    <mergeCell ref="B1004:C1004"/>
    <mergeCell ref="B1005:C1005"/>
    <mergeCell ref="B1006:C1006"/>
    <mergeCell ref="B1007:C1007"/>
    <mergeCell ref="B1008:C1008"/>
    <mergeCell ref="B1009:C1009"/>
    <mergeCell ref="B1010:C1010"/>
    <mergeCell ref="B1011:C1011"/>
    <mergeCell ref="B1012:C1012"/>
    <mergeCell ref="B1013:C1013"/>
    <mergeCell ref="B1014:C1014"/>
    <mergeCell ref="B1015:C1015"/>
    <mergeCell ref="B1016:C1016"/>
    <mergeCell ref="B1017:C1017"/>
    <mergeCell ref="B1018:C1018"/>
    <mergeCell ref="B1019:C1019"/>
    <mergeCell ref="B1020:C1020"/>
    <mergeCell ref="B1021:C1021"/>
    <mergeCell ref="B1022:C1022"/>
    <mergeCell ref="B1023:C1023"/>
    <mergeCell ref="B1024:C1024"/>
    <mergeCell ref="B1025:C1025"/>
    <mergeCell ref="B1026:C1026"/>
    <mergeCell ref="B1027:C1027"/>
    <mergeCell ref="B1028:C1028"/>
    <mergeCell ref="B1029:C1029"/>
    <mergeCell ref="B1030:C1030"/>
    <mergeCell ref="B1031:C1031"/>
    <mergeCell ref="B1032:C1032"/>
    <mergeCell ref="B1033:C1033"/>
    <mergeCell ref="B1034:C1034"/>
    <mergeCell ref="B1035:C1035"/>
    <mergeCell ref="B1036:C1036"/>
    <mergeCell ref="B1037:C1037"/>
    <mergeCell ref="B1038:C1038"/>
    <mergeCell ref="B1039:C1039"/>
    <mergeCell ref="B1040:C1040"/>
    <mergeCell ref="B1041:C1041"/>
    <mergeCell ref="B1042:C1042"/>
    <mergeCell ref="B1043:C1043"/>
    <mergeCell ref="B1044:C1044"/>
    <mergeCell ref="B1045:C1045"/>
    <mergeCell ref="B1046:C1046"/>
    <mergeCell ref="B1047:C1047"/>
    <mergeCell ref="B1048:C1048"/>
    <mergeCell ref="B1049:C1049"/>
    <mergeCell ref="B1050:C1050"/>
    <mergeCell ref="B1051:C1051"/>
    <mergeCell ref="B1052:C1052"/>
    <mergeCell ref="B1053:C1053"/>
    <mergeCell ref="B1054:C1054"/>
    <mergeCell ref="B1055:C1055"/>
    <mergeCell ref="B1056:C1056"/>
    <mergeCell ref="B1057:C1057"/>
    <mergeCell ref="B1058:C1058"/>
    <mergeCell ref="B1059:C1059"/>
    <mergeCell ref="B1060:C1060"/>
    <mergeCell ref="B1061:C1061"/>
    <mergeCell ref="B1062:C1062"/>
    <mergeCell ref="B1063:C1063"/>
    <mergeCell ref="B1064:C1064"/>
    <mergeCell ref="B1065:C1065"/>
    <mergeCell ref="B1066:C1066"/>
    <mergeCell ref="B1067:C1067"/>
    <mergeCell ref="B1068:C1068"/>
    <mergeCell ref="B1069:C1069"/>
    <mergeCell ref="B1070:C1070"/>
    <mergeCell ref="B1071:C1071"/>
    <mergeCell ref="B1072:C1072"/>
    <mergeCell ref="B1073:C1073"/>
    <mergeCell ref="B1074:C1074"/>
    <mergeCell ref="B1075:C1075"/>
    <mergeCell ref="B1076:C1076"/>
    <mergeCell ref="B1077:C1077"/>
    <mergeCell ref="B1078:C1078"/>
    <mergeCell ref="B1079:C1079"/>
    <mergeCell ref="B1080:C1080"/>
    <mergeCell ref="B1081:C1081"/>
    <mergeCell ref="B1082:C1082"/>
    <mergeCell ref="B1083:C1083"/>
    <mergeCell ref="B1084:C1084"/>
    <mergeCell ref="B1085:C1085"/>
    <mergeCell ref="B1086:C1086"/>
    <mergeCell ref="B1087:C1087"/>
    <mergeCell ref="B1088:C1088"/>
    <mergeCell ref="B1089:C1089"/>
    <mergeCell ref="B1090:C1090"/>
    <mergeCell ref="B1091:C1091"/>
    <mergeCell ref="B1092:C1092"/>
    <mergeCell ref="B1093:C1093"/>
    <mergeCell ref="B1094:C1094"/>
    <mergeCell ref="B1095:C1095"/>
    <mergeCell ref="B1096:C1096"/>
    <mergeCell ref="B1097:C1097"/>
    <mergeCell ref="B1098:C1098"/>
    <mergeCell ref="B1099:C1099"/>
    <mergeCell ref="B1100:C1100"/>
    <mergeCell ref="B1101:C1101"/>
    <mergeCell ref="B1102:C1102"/>
    <mergeCell ref="B1103:C1103"/>
    <mergeCell ref="B1104:C1104"/>
    <mergeCell ref="B1105:C1105"/>
    <mergeCell ref="B1106:C1106"/>
    <mergeCell ref="B1107:C1107"/>
    <mergeCell ref="B1108:C1108"/>
    <mergeCell ref="B1109:C1109"/>
    <mergeCell ref="B1110:C1110"/>
    <mergeCell ref="B1111:C1111"/>
    <mergeCell ref="B1112:C1112"/>
    <mergeCell ref="B1113:C1113"/>
    <mergeCell ref="B1114:C1114"/>
    <mergeCell ref="B1115:C1115"/>
    <mergeCell ref="B1116:C1116"/>
    <mergeCell ref="B1117:C1117"/>
    <mergeCell ref="B1118:C1118"/>
    <mergeCell ref="B1119:C1119"/>
    <mergeCell ref="B1120:C1120"/>
    <mergeCell ref="B1121:C1121"/>
    <mergeCell ref="B1122:C1122"/>
    <mergeCell ref="B1123:C1123"/>
    <mergeCell ref="B1124:C1124"/>
    <mergeCell ref="B1125:C1125"/>
    <mergeCell ref="B1126:C1126"/>
    <mergeCell ref="B1127:C1127"/>
    <mergeCell ref="B1128:C1128"/>
    <mergeCell ref="B1129:C1129"/>
    <mergeCell ref="B1130:C1130"/>
    <mergeCell ref="B1131:C1131"/>
    <mergeCell ref="B1132:C1132"/>
    <mergeCell ref="B1133:C1133"/>
    <mergeCell ref="B1134:C1134"/>
    <mergeCell ref="B1135:C1135"/>
    <mergeCell ref="B1136:C1136"/>
    <mergeCell ref="B1137:C1137"/>
    <mergeCell ref="B1138:C1138"/>
    <mergeCell ref="B1139:C1139"/>
    <mergeCell ref="B1140:C1140"/>
    <mergeCell ref="B1141:C1141"/>
    <mergeCell ref="B1142:C1142"/>
    <mergeCell ref="B1143:C1143"/>
    <mergeCell ref="B1144:C1144"/>
    <mergeCell ref="B1145:C1145"/>
    <mergeCell ref="B1146:C1146"/>
    <mergeCell ref="B1147:C1147"/>
    <mergeCell ref="B1148:C1148"/>
    <mergeCell ref="B1149:C1149"/>
    <mergeCell ref="B1150:C1150"/>
    <mergeCell ref="B1151:C1151"/>
    <mergeCell ref="B1152:C1152"/>
    <mergeCell ref="B1153:C1153"/>
    <mergeCell ref="B1154:C1154"/>
    <mergeCell ref="B1155:C1155"/>
    <mergeCell ref="B1156:C1156"/>
    <mergeCell ref="B1157:C1157"/>
    <mergeCell ref="B1158:C1158"/>
    <mergeCell ref="B1159:C1159"/>
    <mergeCell ref="B1160:C1160"/>
    <mergeCell ref="B1161:C1161"/>
    <mergeCell ref="B1162:C1162"/>
    <mergeCell ref="B1163:C1163"/>
    <mergeCell ref="B1164:C1164"/>
    <mergeCell ref="B1165:C1165"/>
    <mergeCell ref="B1166:C1166"/>
    <mergeCell ref="B1167:C1167"/>
    <mergeCell ref="B1168:C1168"/>
    <mergeCell ref="B1169:C1169"/>
    <mergeCell ref="B1170:C1170"/>
    <mergeCell ref="B1171:C1171"/>
    <mergeCell ref="B1172:C1172"/>
    <mergeCell ref="B1173:C1173"/>
    <mergeCell ref="B1174:C1174"/>
    <mergeCell ref="B1175:C1175"/>
    <mergeCell ref="B1176:C1176"/>
    <mergeCell ref="B1177:C1177"/>
    <mergeCell ref="B1178:C1178"/>
    <mergeCell ref="B1179:C1179"/>
    <mergeCell ref="B1180:C1180"/>
    <mergeCell ref="B1181:C1181"/>
    <mergeCell ref="B1182:C1182"/>
    <mergeCell ref="B1183:C1183"/>
    <mergeCell ref="B1184:C1184"/>
    <mergeCell ref="B1185:C1185"/>
    <mergeCell ref="B1186:C1186"/>
    <mergeCell ref="B1187:C1187"/>
    <mergeCell ref="B1188:C1188"/>
    <mergeCell ref="B1189:C1189"/>
    <mergeCell ref="B1190:C1190"/>
    <mergeCell ref="B1191:C1191"/>
    <mergeCell ref="B1192:C1192"/>
    <mergeCell ref="B1193:C1193"/>
    <mergeCell ref="B1194:C1194"/>
    <mergeCell ref="B1195:C1195"/>
    <mergeCell ref="B1196:C1196"/>
    <mergeCell ref="B1197:C1197"/>
    <mergeCell ref="B1198:C1198"/>
    <mergeCell ref="B1199:C1199"/>
    <mergeCell ref="B1200:C1200"/>
    <mergeCell ref="B1201:C1201"/>
    <mergeCell ref="B1202:C1202"/>
    <mergeCell ref="B1203:C1203"/>
    <mergeCell ref="B1204:C1204"/>
    <mergeCell ref="B1205:C1205"/>
    <mergeCell ref="B1206:C1206"/>
    <mergeCell ref="B1207:C1207"/>
    <mergeCell ref="B1208:C1208"/>
    <mergeCell ref="B1209:C1209"/>
    <mergeCell ref="B1210:C1210"/>
    <mergeCell ref="B1211:C1211"/>
    <mergeCell ref="B1212:C1212"/>
    <mergeCell ref="B1213:C1213"/>
    <mergeCell ref="B1214:C1214"/>
    <mergeCell ref="B1215:C1215"/>
    <mergeCell ref="B1216:C1216"/>
    <mergeCell ref="B1217:C1217"/>
    <mergeCell ref="B1218:C1218"/>
    <mergeCell ref="B1219:C1219"/>
    <mergeCell ref="B1220:C1220"/>
    <mergeCell ref="B1221:C1221"/>
    <mergeCell ref="B1222:C1222"/>
    <mergeCell ref="B1223:C1223"/>
    <mergeCell ref="B1224:C1224"/>
    <mergeCell ref="B1225:C1225"/>
    <mergeCell ref="B1226:C1226"/>
    <mergeCell ref="B1227:C1227"/>
    <mergeCell ref="B1228:C1228"/>
    <mergeCell ref="B1229:C1229"/>
    <mergeCell ref="B1230:C1230"/>
    <mergeCell ref="B1231:C1231"/>
    <mergeCell ref="B1232:C1232"/>
    <mergeCell ref="B1233:C1233"/>
    <mergeCell ref="B1234:C1234"/>
    <mergeCell ref="B1235:C1235"/>
    <mergeCell ref="B1236:C1236"/>
    <mergeCell ref="B1237:C1237"/>
    <mergeCell ref="B1238:C1238"/>
    <mergeCell ref="B1239:C1239"/>
    <mergeCell ref="B1240:C1240"/>
    <mergeCell ref="B1241:C1241"/>
    <mergeCell ref="B1242:C1242"/>
    <mergeCell ref="B1243:C1243"/>
    <mergeCell ref="B1244:C1244"/>
    <mergeCell ref="B1245:C1245"/>
    <mergeCell ref="B1246:C1246"/>
    <mergeCell ref="B1247:C1247"/>
    <mergeCell ref="B1248:C1248"/>
    <mergeCell ref="B1249:C1249"/>
    <mergeCell ref="B1250:C1250"/>
    <mergeCell ref="B1251:C1251"/>
    <mergeCell ref="B1252:C1252"/>
    <mergeCell ref="B1253:C1253"/>
    <mergeCell ref="B1254:C1254"/>
    <mergeCell ref="B1255:C1255"/>
    <mergeCell ref="B1256:C1256"/>
    <mergeCell ref="B1257:C1257"/>
    <mergeCell ref="B1258:C1258"/>
    <mergeCell ref="B1259:C1259"/>
    <mergeCell ref="B1260:C1260"/>
    <mergeCell ref="B1261:C1261"/>
    <mergeCell ref="B1262:C1262"/>
    <mergeCell ref="B1263:C1263"/>
    <mergeCell ref="B1264:C1264"/>
    <mergeCell ref="B1265:C1265"/>
    <mergeCell ref="B1266:C1266"/>
    <mergeCell ref="B1267:C1267"/>
    <mergeCell ref="B1268:C1268"/>
    <mergeCell ref="B1269:C1269"/>
    <mergeCell ref="B1270:C1270"/>
    <mergeCell ref="B1271:C1271"/>
    <mergeCell ref="B1272:C1272"/>
    <mergeCell ref="B1273:C1273"/>
    <mergeCell ref="B1274:C1274"/>
    <mergeCell ref="B1275:C1275"/>
    <mergeCell ref="B1276:C1276"/>
    <mergeCell ref="B1277:C1277"/>
    <mergeCell ref="B1278:C1278"/>
    <mergeCell ref="B1279:C1279"/>
    <mergeCell ref="B1280:C1280"/>
    <mergeCell ref="B1281:C1281"/>
    <mergeCell ref="B1282:C1282"/>
    <mergeCell ref="B1283:C1283"/>
    <mergeCell ref="B1284:C1284"/>
    <mergeCell ref="B1285:C1285"/>
    <mergeCell ref="B1286:C1286"/>
    <mergeCell ref="B1287:C1287"/>
    <mergeCell ref="B1288:C1288"/>
    <mergeCell ref="B1289:C1289"/>
    <mergeCell ref="B1290:C1290"/>
    <mergeCell ref="B1291:C1291"/>
    <mergeCell ref="B1292:C1292"/>
    <mergeCell ref="B1293:C1293"/>
    <mergeCell ref="B1294:C1294"/>
    <mergeCell ref="B1295:C1295"/>
    <mergeCell ref="B1296:C1296"/>
    <mergeCell ref="B1297:C1297"/>
    <mergeCell ref="B1298:C1298"/>
    <mergeCell ref="B1299:C1299"/>
    <mergeCell ref="B1300:C1300"/>
    <mergeCell ref="B1301:C1301"/>
    <mergeCell ref="B1302:C1302"/>
    <mergeCell ref="B1303:C1303"/>
    <mergeCell ref="B1304:C1304"/>
    <mergeCell ref="B1305:C1305"/>
    <mergeCell ref="B1306:C1306"/>
    <mergeCell ref="B1307:C1307"/>
    <mergeCell ref="B1308:C1308"/>
    <mergeCell ref="B1309:C1309"/>
    <mergeCell ref="B1310:C1310"/>
    <mergeCell ref="B1311:C1311"/>
    <mergeCell ref="B1312:C1312"/>
    <mergeCell ref="B1313:C1313"/>
    <mergeCell ref="B1314:C1314"/>
    <mergeCell ref="B1315:C1315"/>
    <mergeCell ref="B1316:C1316"/>
    <mergeCell ref="B1317:C1317"/>
    <mergeCell ref="B1318:C1318"/>
    <mergeCell ref="B1319:C1319"/>
    <mergeCell ref="B1320:C1320"/>
    <mergeCell ref="B1321:C1321"/>
    <mergeCell ref="B1322:C1322"/>
    <mergeCell ref="B1323:C1323"/>
    <mergeCell ref="B1324:C1324"/>
    <mergeCell ref="B1325:C1325"/>
    <mergeCell ref="B1326:C1326"/>
    <mergeCell ref="B1327:C1327"/>
    <mergeCell ref="B1328:C1328"/>
    <mergeCell ref="B1329:C1329"/>
    <mergeCell ref="B1330:C1330"/>
    <mergeCell ref="B1331:C1331"/>
    <mergeCell ref="B1332:C1332"/>
    <mergeCell ref="B1333:C1333"/>
    <mergeCell ref="B1334:C1334"/>
    <mergeCell ref="B1335:C1335"/>
    <mergeCell ref="B1336:C1336"/>
    <mergeCell ref="B1337:C1337"/>
    <mergeCell ref="B1338:C1338"/>
    <mergeCell ref="B1339:C1339"/>
    <mergeCell ref="B1340:C1340"/>
    <mergeCell ref="B1341:C1341"/>
    <mergeCell ref="B1342:C1342"/>
    <mergeCell ref="B1343:C1343"/>
    <mergeCell ref="B1344:C1344"/>
    <mergeCell ref="B1345:C1345"/>
    <mergeCell ref="B1346:C1346"/>
    <mergeCell ref="B1347:C1347"/>
    <mergeCell ref="B1348:C1348"/>
    <mergeCell ref="B1349:C1349"/>
    <mergeCell ref="B1350:C1350"/>
    <mergeCell ref="B1351:C1351"/>
    <mergeCell ref="B1352:C1352"/>
    <mergeCell ref="B1353:C1353"/>
    <mergeCell ref="B1354:C1354"/>
    <mergeCell ref="B1355:C1355"/>
    <mergeCell ref="B1356:C1356"/>
    <mergeCell ref="B1357:C1357"/>
    <mergeCell ref="B1358:C1358"/>
    <mergeCell ref="B1359:C1359"/>
    <mergeCell ref="B1360:C1360"/>
    <mergeCell ref="B1361:C1361"/>
    <mergeCell ref="B1362:C1362"/>
    <mergeCell ref="B1363:C1363"/>
    <mergeCell ref="B1364:C1364"/>
    <mergeCell ref="B1365:C1365"/>
    <mergeCell ref="B1366:C1366"/>
    <mergeCell ref="B1367:C1367"/>
    <mergeCell ref="B1368:C1368"/>
    <mergeCell ref="B1369:C1369"/>
    <mergeCell ref="B1370:C1370"/>
    <mergeCell ref="B1371:C1371"/>
    <mergeCell ref="B1372:C1372"/>
    <mergeCell ref="B1373:C1373"/>
    <mergeCell ref="B1374:C1374"/>
    <mergeCell ref="B1375:C1375"/>
    <mergeCell ref="B1376:C1376"/>
    <mergeCell ref="B1377:C1377"/>
    <mergeCell ref="B1378:C1378"/>
    <mergeCell ref="B1379:C1379"/>
    <mergeCell ref="B1380:C1380"/>
    <mergeCell ref="B1381:C1381"/>
    <mergeCell ref="B1382:C1382"/>
    <mergeCell ref="B1383:C1383"/>
    <mergeCell ref="B1384:C1384"/>
    <mergeCell ref="B1385:C1385"/>
    <mergeCell ref="B1386:C1386"/>
    <mergeCell ref="B1387:C1387"/>
    <mergeCell ref="B1388:C1388"/>
    <mergeCell ref="B1389:C1389"/>
    <mergeCell ref="B1390:C1390"/>
    <mergeCell ref="B1391:C1391"/>
    <mergeCell ref="B1392:C1392"/>
    <mergeCell ref="B1393:C1393"/>
    <mergeCell ref="B1394:C1394"/>
    <mergeCell ref="B1395:C1395"/>
    <mergeCell ref="B1396:C1396"/>
    <mergeCell ref="B1397:C1397"/>
    <mergeCell ref="B1398:C1398"/>
    <mergeCell ref="B1399:C1399"/>
    <mergeCell ref="B1400:C1400"/>
    <mergeCell ref="B1401:C1401"/>
    <mergeCell ref="B1402:C1402"/>
    <mergeCell ref="B1403:C1403"/>
    <mergeCell ref="B1404:C1404"/>
    <mergeCell ref="B1405:C1405"/>
    <mergeCell ref="B1406:C1406"/>
    <mergeCell ref="B1407:C1407"/>
    <mergeCell ref="B1408:C1408"/>
    <mergeCell ref="B1409:C1409"/>
    <mergeCell ref="B1410:C1410"/>
    <mergeCell ref="B1411:C1411"/>
    <mergeCell ref="B1412:C1412"/>
    <mergeCell ref="B1413:C1413"/>
    <mergeCell ref="B1414:C1414"/>
    <mergeCell ref="B1415:C1415"/>
    <mergeCell ref="B1416:C1416"/>
    <mergeCell ref="B1417:C1417"/>
    <mergeCell ref="B1418:C1418"/>
    <mergeCell ref="B1419:C1419"/>
    <mergeCell ref="B1420:C1420"/>
    <mergeCell ref="B1421:C1421"/>
    <mergeCell ref="B1422:C1422"/>
    <mergeCell ref="B1423:C1423"/>
    <mergeCell ref="B1424:C1424"/>
    <mergeCell ref="B1425:C1425"/>
    <mergeCell ref="B1426:C1426"/>
    <mergeCell ref="B1427:C1427"/>
    <mergeCell ref="B1428:C1428"/>
    <mergeCell ref="B1429:C1429"/>
    <mergeCell ref="B1430:C1430"/>
    <mergeCell ref="B1431:C1431"/>
    <mergeCell ref="B1432:C1432"/>
    <mergeCell ref="B1433:C1433"/>
    <mergeCell ref="B1434:C1434"/>
    <mergeCell ref="B1435:C1435"/>
    <mergeCell ref="B1436:C1436"/>
    <mergeCell ref="B1437:C1437"/>
    <mergeCell ref="B1438:C1438"/>
    <mergeCell ref="B1439:C1439"/>
    <mergeCell ref="B1440:C1440"/>
    <mergeCell ref="B1441:C1441"/>
    <mergeCell ref="B1442:C1442"/>
    <mergeCell ref="B1443:C1443"/>
    <mergeCell ref="B1444:C1444"/>
    <mergeCell ref="B1445:C1445"/>
    <mergeCell ref="B1446:C1446"/>
    <mergeCell ref="B1447:C1447"/>
    <mergeCell ref="B1448:C1448"/>
    <mergeCell ref="B1449:C1449"/>
    <mergeCell ref="B1450:C1450"/>
    <mergeCell ref="B1451:C1451"/>
    <mergeCell ref="B1452:C1452"/>
    <mergeCell ref="B1453:C1453"/>
    <mergeCell ref="B1454:C1454"/>
    <mergeCell ref="B1455:C1455"/>
    <mergeCell ref="B1456:C1456"/>
    <mergeCell ref="B1457:C1457"/>
    <mergeCell ref="B1458:C1458"/>
    <mergeCell ref="B1459:C1459"/>
    <mergeCell ref="B1460:C1460"/>
    <mergeCell ref="B1461:C1461"/>
    <mergeCell ref="B1462:C1462"/>
    <mergeCell ref="B1463:C1463"/>
    <mergeCell ref="B1464:C1464"/>
    <mergeCell ref="B1465:C1465"/>
    <mergeCell ref="B1466:C1466"/>
    <mergeCell ref="B1467:C1467"/>
    <mergeCell ref="B1468:C1468"/>
    <mergeCell ref="B1469:C1469"/>
    <mergeCell ref="B1470:C1470"/>
    <mergeCell ref="B1471:C1471"/>
    <mergeCell ref="B1472:C1472"/>
    <mergeCell ref="B1473:C1473"/>
    <mergeCell ref="B1474:C1474"/>
    <mergeCell ref="B1475:C1475"/>
    <mergeCell ref="B1476:C1476"/>
    <mergeCell ref="B1477:C1477"/>
    <mergeCell ref="B1478:C1478"/>
    <mergeCell ref="B1479:C1479"/>
    <mergeCell ref="B1480:C1480"/>
    <mergeCell ref="B1481:C1481"/>
    <mergeCell ref="B1482:C1482"/>
    <mergeCell ref="B1483:C1483"/>
    <mergeCell ref="B1484:C1484"/>
    <mergeCell ref="B1485:C1485"/>
    <mergeCell ref="B1486:C1486"/>
    <mergeCell ref="B1487:C1487"/>
    <mergeCell ref="B1488:C1488"/>
    <mergeCell ref="B1489:C1489"/>
    <mergeCell ref="B1490:C1490"/>
    <mergeCell ref="B1491:C1491"/>
    <mergeCell ref="B1492:C1492"/>
    <mergeCell ref="B1493:C1493"/>
    <mergeCell ref="B1494:C1494"/>
    <mergeCell ref="B1495:C1495"/>
    <mergeCell ref="B1496:C1496"/>
    <mergeCell ref="B1497:C1497"/>
    <mergeCell ref="B1498:C1498"/>
    <mergeCell ref="B1499:C1499"/>
    <mergeCell ref="B1500:C1500"/>
    <mergeCell ref="B1501:C1501"/>
    <mergeCell ref="B1502:C1502"/>
    <mergeCell ref="B1503:C1503"/>
    <mergeCell ref="B1504:C1504"/>
    <mergeCell ref="B1505:C1505"/>
    <mergeCell ref="B1506:C1506"/>
    <mergeCell ref="B1507:C1507"/>
    <mergeCell ref="B1508:C1508"/>
    <mergeCell ref="B1509:C1509"/>
    <mergeCell ref="B1510:C1510"/>
    <mergeCell ref="B1511:C1511"/>
    <mergeCell ref="B1512:C1512"/>
    <mergeCell ref="B1513:C1513"/>
    <mergeCell ref="B1514:C1514"/>
    <mergeCell ref="B1515:C1515"/>
    <mergeCell ref="B1516:C1516"/>
    <mergeCell ref="B1517:C1517"/>
    <mergeCell ref="B1518:C1518"/>
    <mergeCell ref="B1519:C1519"/>
    <mergeCell ref="B1520:C1520"/>
    <mergeCell ref="B1521:C1521"/>
    <mergeCell ref="B1522:C1522"/>
    <mergeCell ref="B1523:C1523"/>
    <mergeCell ref="B1524:C1524"/>
    <mergeCell ref="B1525:C1525"/>
    <mergeCell ref="B1526:C1526"/>
    <mergeCell ref="B1527:C1527"/>
    <mergeCell ref="B1528:C1528"/>
    <mergeCell ref="B1529:C1529"/>
    <mergeCell ref="B1530:C1530"/>
    <mergeCell ref="B1531:C1531"/>
    <mergeCell ref="B1532:C1532"/>
    <mergeCell ref="B1533:C1533"/>
    <mergeCell ref="B1534:C1534"/>
    <mergeCell ref="B1535:C1535"/>
    <mergeCell ref="B1536:C1536"/>
    <mergeCell ref="B1537:C1537"/>
    <mergeCell ref="B1538:C1538"/>
    <mergeCell ref="B1539:C1539"/>
    <mergeCell ref="B1540:C1540"/>
    <mergeCell ref="B1541:C1541"/>
    <mergeCell ref="B1542:C1542"/>
    <mergeCell ref="B1543:C1543"/>
    <mergeCell ref="B1544:C1544"/>
    <mergeCell ref="B1545:C1545"/>
    <mergeCell ref="B1546:C1546"/>
    <mergeCell ref="B1547:C1547"/>
    <mergeCell ref="B1548:C1548"/>
    <mergeCell ref="B1549:C1549"/>
    <mergeCell ref="B1550:C1550"/>
    <mergeCell ref="B1551:C1551"/>
    <mergeCell ref="B1552:C1552"/>
    <mergeCell ref="B1553:C1553"/>
    <mergeCell ref="B1554:C1554"/>
    <mergeCell ref="B1555:C1555"/>
    <mergeCell ref="B1556:C1556"/>
    <mergeCell ref="B1557:C1557"/>
    <mergeCell ref="B1558:C1558"/>
    <mergeCell ref="B1559:C1559"/>
    <mergeCell ref="B1560:C1560"/>
    <mergeCell ref="B1561:C1561"/>
    <mergeCell ref="B1562:C1562"/>
    <mergeCell ref="B1563:C1563"/>
    <mergeCell ref="B1564:C1564"/>
    <mergeCell ref="B1565:C1565"/>
    <mergeCell ref="B1566:C1566"/>
    <mergeCell ref="B1567:C1567"/>
    <mergeCell ref="B1568:C1568"/>
    <mergeCell ref="B1569:C1569"/>
    <mergeCell ref="B1570:C1570"/>
    <mergeCell ref="B1571:C1571"/>
    <mergeCell ref="B1572:C1572"/>
    <mergeCell ref="B1573:C1573"/>
    <mergeCell ref="B1574:C1574"/>
    <mergeCell ref="B1575:C1575"/>
    <mergeCell ref="B1576:C1576"/>
    <mergeCell ref="B1577:C1577"/>
    <mergeCell ref="B1578:C1578"/>
    <mergeCell ref="B1579:C1579"/>
    <mergeCell ref="B1580:C1580"/>
    <mergeCell ref="B1581:C1581"/>
    <mergeCell ref="B1582:C1582"/>
    <mergeCell ref="B1583:C1583"/>
    <mergeCell ref="B1584:C1584"/>
    <mergeCell ref="B1585:C1585"/>
    <mergeCell ref="B1586:C1586"/>
    <mergeCell ref="B1587:C1587"/>
    <mergeCell ref="B1588:C1588"/>
    <mergeCell ref="B1589:C1589"/>
    <mergeCell ref="B1590:C1590"/>
    <mergeCell ref="B1591:C1591"/>
    <mergeCell ref="B1592:C1592"/>
    <mergeCell ref="B1593:C1593"/>
    <mergeCell ref="B1594:C1594"/>
    <mergeCell ref="B1595:C1595"/>
    <mergeCell ref="B1596:C1596"/>
    <mergeCell ref="B1597:C1597"/>
    <mergeCell ref="B1598:C1598"/>
    <mergeCell ref="B1599:C1599"/>
    <mergeCell ref="B1600:C1600"/>
    <mergeCell ref="B1601:C1601"/>
    <mergeCell ref="B1602:C1602"/>
    <mergeCell ref="B1603:C1603"/>
    <mergeCell ref="B1604:C1604"/>
    <mergeCell ref="B1605:C1605"/>
    <mergeCell ref="B1606:C1606"/>
    <mergeCell ref="B1607:C1607"/>
    <mergeCell ref="B1608:C1608"/>
    <mergeCell ref="B1609:C1609"/>
    <mergeCell ref="B1610:C1610"/>
    <mergeCell ref="B1611:C1611"/>
    <mergeCell ref="B1612:C1612"/>
    <mergeCell ref="B1613:C1613"/>
    <mergeCell ref="B1614:C1614"/>
    <mergeCell ref="B1615:C1615"/>
    <mergeCell ref="B1616:C1616"/>
    <mergeCell ref="B1617:C1617"/>
    <mergeCell ref="B1618:C1618"/>
    <mergeCell ref="B1619:C1619"/>
    <mergeCell ref="B1620:C1620"/>
    <mergeCell ref="B1621:C1621"/>
    <mergeCell ref="B1622:C1622"/>
    <mergeCell ref="B1623:C1623"/>
    <mergeCell ref="B1624:C1624"/>
    <mergeCell ref="B1625:C1625"/>
    <mergeCell ref="B1626:C1626"/>
    <mergeCell ref="B1627:C1627"/>
    <mergeCell ref="B1628:C1628"/>
    <mergeCell ref="B1629:C1629"/>
    <mergeCell ref="B1630:C1630"/>
    <mergeCell ref="B1631:C1631"/>
    <mergeCell ref="B1632:C1632"/>
    <mergeCell ref="B1633:C1633"/>
    <mergeCell ref="B1634:C1634"/>
    <mergeCell ref="B1635:C1635"/>
    <mergeCell ref="B1636:C1636"/>
    <mergeCell ref="B1637:C1637"/>
    <mergeCell ref="B1638:C1638"/>
    <mergeCell ref="B1639:C1639"/>
    <mergeCell ref="B1640:C1640"/>
    <mergeCell ref="B1641:C1641"/>
    <mergeCell ref="B1642:C1642"/>
    <mergeCell ref="B1643:C1643"/>
    <mergeCell ref="B1644:C1644"/>
    <mergeCell ref="B1645:C1645"/>
    <mergeCell ref="B1646:C1646"/>
    <mergeCell ref="B1647:C1647"/>
    <mergeCell ref="B1648:C1648"/>
    <mergeCell ref="B1649:C1649"/>
    <mergeCell ref="B1650:C1650"/>
    <mergeCell ref="B1651:C1651"/>
    <mergeCell ref="B1652:C1652"/>
    <mergeCell ref="B1653:C1653"/>
    <mergeCell ref="B1654:C1654"/>
    <mergeCell ref="B1655:C1655"/>
    <mergeCell ref="B1656:C1656"/>
    <mergeCell ref="B1657:C1657"/>
    <mergeCell ref="B1658:C1658"/>
    <mergeCell ref="B1659:C1659"/>
    <mergeCell ref="B1660:C1660"/>
    <mergeCell ref="B1661:C1661"/>
    <mergeCell ref="B1662:C1662"/>
    <mergeCell ref="B1663:C1663"/>
    <mergeCell ref="B1664:C1664"/>
    <mergeCell ref="B1665:C1665"/>
    <mergeCell ref="B1666:C1666"/>
    <mergeCell ref="B1667:C1667"/>
    <mergeCell ref="B1668:C1668"/>
    <mergeCell ref="B1669:C1669"/>
    <mergeCell ref="B1670:C1670"/>
    <mergeCell ref="B1671:C1671"/>
    <mergeCell ref="B1672:C1672"/>
    <mergeCell ref="B1673:C1673"/>
    <mergeCell ref="B1674:C1674"/>
    <mergeCell ref="B1675:C1675"/>
    <mergeCell ref="B1676:C1676"/>
    <mergeCell ref="B1677:C1677"/>
    <mergeCell ref="B1678:C1678"/>
    <mergeCell ref="B1679:C1679"/>
    <mergeCell ref="B1680:C1680"/>
    <mergeCell ref="B1681:C1681"/>
    <mergeCell ref="B1682:C1682"/>
    <mergeCell ref="B1683:C1683"/>
    <mergeCell ref="B1684:C1684"/>
    <mergeCell ref="B1685:C1685"/>
    <mergeCell ref="B1686:C1686"/>
    <mergeCell ref="B1687:C1687"/>
    <mergeCell ref="B1688:C1688"/>
    <mergeCell ref="B1689:C1689"/>
    <mergeCell ref="B1690:C1690"/>
    <mergeCell ref="B1691:C1691"/>
    <mergeCell ref="B1692:C1692"/>
    <mergeCell ref="B1693:C1693"/>
    <mergeCell ref="B1694:C1694"/>
    <mergeCell ref="B1695:C1695"/>
    <mergeCell ref="B1696:C1696"/>
    <mergeCell ref="B1697:C1697"/>
    <mergeCell ref="B1698:C1698"/>
    <mergeCell ref="B1699:C1699"/>
    <mergeCell ref="B1700:C1700"/>
    <mergeCell ref="B1701:C1701"/>
    <mergeCell ref="B1702:C1702"/>
    <mergeCell ref="B1703:C1703"/>
    <mergeCell ref="B1704:C1704"/>
    <mergeCell ref="B1705:C1705"/>
    <mergeCell ref="B1706:C1706"/>
    <mergeCell ref="B1707:C1707"/>
    <mergeCell ref="B1708:C1708"/>
    <mergeCell ref="B1709:C1709"/>
    <mergeCell ref="B1710:C1710"/>
    <mergeCell ref="B1711:C1711"/>
    <mergeCell ref="B1712:C1712"/>
    <mergeCell ref="B1713:C1713"/>
    <mergeCell ref="B1714:C1714"/>
    <mergeCell ref="B1715:C1715"/>
    <mergeCell ref="B1716:C1716"/>
    <mergeCell ref="B1717:C1717"/>
    <mergeCell ref="B1718:C1718"/>
    <mergeCell ref="B1719:C1719"/>
    <mergeCell ref="B1720:C1720"/>
    <mergeCell ref="B1721:C1721"/>
    <mergeCell ref="B1722:C1722"/>
    <mergeCell ref="B1723:C1723"/>
    <mergeCell ref="B1724:C1724"/>
    <mergeCell ref="B1725:C1725"/>
    <mergeCell ref="B1726:C1726"/>
    <mergeCell ref="B1727:C1727"/>
    <mergeCell ref="B1728:C1728"/>
    <mergeCell ref="B1729:C1729"/>
    <mergeCell ref="B1730:C1730"/>
    <mergeCell ref="B1731:C1731"/>
    <mergeCell ref="B1732:C1732"/>
    <mergeCell ref="B1733:C1733"/>
    <mergeCell ref="B1734:C1734"/>
    <mergeCell ref="B1735:C1735"/>
    <mergeCell ref="B1736:C1736"/>
    <mergeCell ref="B1737:C1737"/>
    <mergeCell ref="B1738:C1738"/>
    <mergeCell ref="B1739:C1739"/>
    <mergeCell ref="B1740:C1740"/>
    <mergeCell ref="B1741:C1741"/>
    <mergeCell ref="B1742:C1742"/>
    <mergeCell ref="B1743:C1743"/>
    <mergeCell ref="B1744:C1744"/>
    <mergeCell ref="B1745:C1745"/>
    <mergeCell ref="B1746:C1746"/>
    <mergeCell ref="B1747:C1747"/>
    <mergeCell ref="B1748:C1748"/>
    <mergeCell ref="B1749:C1749"/>
    <mergeCell ref="B1750:C1750"/>
    <mergeCell ref="B1751:C1751"/>
    <mergeCell ref="B1752:C1752"/>
    <mergeCell ref="B1753:C1753"/>
    <mergeCell ref="B1754:C1754"/>
    <mergeCell ref="B1755:C1755"/>
    <mergeCell ref="B1756:C1756"/>
    <mergeCell ref="B1757:C1757"/>
    <mergeCell ref="B1758:C1758"/>
    <mergeCell ref="B1759:C1759"/>
    <mergeCell ref="B1760:C1760"/>
    <mergeCell ref="B1761:C1761"/>
    <mergeCell ref="B1762:C1762"/>
    <mergeCell ref="B1763:C1763"/>
    <mergeCell ref="B1764:C1764"/>
    <mergeCell ref="B1765:C1765"/>
    <mergeCell ref="B1766:C1766"/>
    <mergeCell ref="B1767:C1767"/>
    <mergeCell ref="B1768:C1768"/>
    <mergeCell ref="B1769:C1769"/>
    <mergeCell ref="B1770:C1770"/>
    <mergeCell ref="B1771:C1771"/>
    <mergeCell ref="B1772:C1772"/>
    <mergeCell ref="B1773:C1773"/>
    <mergeCell ref="B1774:C1774"/>
    <mergeCell ref="B1775:C1775"/>
    <mergeCell ref="B1776:C1776"/>
    <mergeCell ref="B1777:C1777"/>
    <mergeCell ref="B1778:C1778"/>
    <mergeCell ref="B1779:C1779"/>
    <mergeCell ref="B1780:C1780"/>
    <mergeCell ref="B1781:C1781"/>
    <mergeCell ref="B1782:C1782"/>
    <mergeCell ref="B1783:C1783"/>
    <mergeCell ref="B1784:C1784"/>
    <mergeCell ref="B1785:C1785"/>
    <mergeCell ref="B1786:C1786"/>
    <mergeCell ref="B1787:C1787"/>
    <mergeCell ref="B1788:C1788"/>
    <mergeCell ref="B1789:C1789"/>
    <mergeCell ref="B1790:C1790"/>
    <mergeCell ref="B1791:C1791"/>
    <mergeCell ref="B1792:C1792"/>
    <mergeCell ref="B1793:C1793"/>
    <mergeCell ref="B1794:C1794"/>
    <mergeCell ref="B1795:C1795"/>
    <mergeCell ref="B1796:C1796"/>
    <mergeCell ref="B1797:C1797"/>
    <mergeCell ref="B1798:C1798"/>
    <mergeCell ref="B1799:C1799"/>
    <mergeCell ref="B1800:C1800"/>
    <mergeCell ref="B1801:C1801"/>
    <mergeCell ref="B1802:C1802"/>
    <mergeCell ref="B1803:C1803"/>
    <mergeCell ref="B1804:C1804"/>
    <mergeCell ref="B1805:C1805"/>
    <mergeCell ref="B1812:C1812"/>
    <mergeCell ref="B1813:C1813"/>
    <mergeCell ref="B1814:C1814"/>
    <mergeCell ref="B1815:C1815"/>
    <mergeCell ref="B1816:C1816"/>
    <mergeCell ref="B1817:C1817"/>
    <mergeCell ref="B1818:C1818"/>
    <mergeCell ref="B1819:C1819"/>
    <mergeCell ref="B1820:C1820"/>
    <mergeCell ref="B1821:C1821"/>
    <mergeCell ref="B1822:C1822"/>
    <mergeCell ref="B1823:C1823"/>
    <mergeCell ref="B1824:C1824"/>
    <mergeCell ref="B1825:C1825"/>
    <mergeCell ref="B1826:C1826"/>
    <mergeCell ref="B1827:C1827"/>
    <mergeCell ref="B1828:C1828"/>
    <mergeCell ref="B1829:C1829"/>
    <mergeCell ref="B1830:C1830"/>
    <mergeCell ref="B1831:C1831"/>
    <mergeCell ref="B1832:C1832"/>
    <mergeCell ref="B1833:C1833"/>
    <mergeCell ref="B1834:C1834"/>
    <mergeCell ref="B1835:C1835"/>
    <mergeCell ref="B1836:C1836"/>
    <mergeCell ref="B1837:C1837"/>
    <mergeCell ref="B1838:C1838"/>
    <mergeCell ref="B1839:C1839"/>
    <mergeCell ref="B1840:C1840"/>
    <mergeCell ref="B1841:C1841"/>
    <mergeCell ref="B1842:C1842"/>
    <mergeCell ref="B1843:C1843"/>
    <mergeCell ref="B1844:C1844"/>
    <mergeCell ref="B1845:C1845"/>
    <mergeCell ref="B1846:C1846"/>
    <mergeCell ref="B1847:C1847"/>
    <mergeCell ref="B1848:C1848"/>
    <mergeCell ref="B1849:C1849"/>
    <mergeCell ref="B1850:C1850"/>
    <mergeCell ref="B1851:C1851"/>
    <mergeCell ref="B1852:C1852"/>
    <mergeCell ref="B1853:C1853"/>
    <mergeCell ref="B1854:C1854"/>
    <mergeCell ref="B1855:C1855"/>
    <mergeCell ref="B1856:C1856"/>
    <mergeCell ref="B1857:C1857"/>
    <mergeCell ref="B1858:C1858"/>
    <mergeCell ref="B1859:C1859"/>
    <mergeCell ref="B1860:C1860"/>
    <mergeCell ref="B1861:C1861"/>
    <mergeCell ref="B1862:C1862"/>
    <mergeCell ref="B1863:C1863"/>
    <mergeCell ref="B1864:C1864"/>
    <mergeCell ref="B1865:C1865"/>
    <mergeCell ref="B1866:C1866"/>
    <mergeCell ref="B1867:C1867"/>
    <mergeCell ref="B1868:C1868"/>
    <mergeCell ref="B1869:C1869"/>
    <mergeCell ref="B1870:C1870"/>
    <mergeCell ref="B1871:C1871"/>
    <mergeCell ref="B1872:C1872"/>
    <mergeCell ref="B1873:C1873"/>
    <mergeCell ref="B1874:C1874"/>
    <mergeCell ref="B1875:C1875"/>
    <mergeCell ref="B1876:C1876"/>
    <mergeCell ref="B1877:C1877"/>
    <mergeCell ref="B1878:C1878"/>
    <mergeCell ref="B1879:C1879"/>
    <mergeCell ref="B1880:C1880"/>
    <mergeCell ref="B1881:C1881"/>
    <mergeCell ref="B1882:C1882"/>
    <mergeCell ref="B1883:C1883"/>
    <mergeCell ref="B1884:C1884"/>
    <mergeCell ref="B1885:C1885"/>
    <mergeCell ref="B1886:C1886"/>
    <mergeCell ref="B1887:C1887"/>
    <mergeCell ref="B1888:C1888"/>
    <mergeCell ref="B1889:C1889"/>
    <mergeCell ref="B1890:C1890"/>
    <mergeCell ref="B1891:C1891"/>
    <mergeCell ref="B1892:C1892"/>
    <mergeCell ref="B1893:C1893"/>
    <mergeCell ref="B1894:C1894"/>
    <mergeCell ref="B1895:C1895"/>
    <mergeCell ref="B1896:C1896"/>
    <mergeCell ref="B1897:C1897"/>
    <mergeCell ref="B1898:C1898"/>
    <mergeCell ref="B1899:C1899"/>
    <mergeCell ref="B1900:C1900"/>
    <mergeCell ref="B1901:C1901"/>
    <mergeCell ref="B1902:C1902"/>
    <mergeCell ref="B1903:C1903"/>
    <mergeCell ref="B1904:C1904"/>
    <mergeCell ref="B1905:C1905"/>
    <mergeCell ref="B1906:C1906"/>
    <mergeCell ref="B1907:C1907"/>
    <mergeCell ref="B1908:C1908"/>
    <mergeCell ref="B1909:C1909"/>
    <mergeCell ref="B1910:C1910"/>
    <mergeCell ref="B1911:C1911"/>
    <mergeCell ref="B1912:C1912"/>
    <mergeCell ref="B1913:C1913"/>
    <mergeCell ref="B1914:C1914"/>
    <mergeCell ref="B1915:C1915"/>
    <mergeCell ref="B1916:C1916"/>
    <mergeCell ref="B1917:C1917"/>
    <mergeCell ref="B1918:C1918"/>
    <mergeCell ref="B1919:C1919"/>
    <mergeCell ref="B1920:C1920"/>
    <mergeCell ref="B1921:C1921"/>
    <mergeCell ref="B1922:C1922"/>
    <mergeCell ref="B1923:C1923"/>
    <mergeCell ref="B1924:C1924"/>
    <mergeCell ref="B1925:C1925"/>
    <mergeCell ref="B1926:C1926"/>
    <mergeCell ref="B1927:C1927"/>
    <mergeCell ref="B1928:C1928"/>
    <mergeCell ref="B1929:C1929"/>
    <mergeCell ref="B1930:C1930"/>
    <mergeCell ref="B1931:C1931"/>
    <mergeCell ref="B1932:C1932"/>
    <mergeCell ref="B1933:C1933"/>
    <mergeCell ref="B1934:C1934"/>
    <mergeCell ref="B1935:C1935"/>
    <mergeCell ref="B1936:C1936"/>
    <mergeCell ref="B1937:C1937"/>
    <mergeCell ref="B1938:C1938"/>
    <mergeCell ref="B1939:C1939"/>
    <mergeCell ref="B1940:C1940"/>
    <mergeCell ref="B1941:C1941"/>
    <mergeCell ref="B1942:C1942"/>
    <mergeCell ref="B1943:C1943"/>
    <mergeCell ref="B1944:C1944"/>
    <mergeCell ref="B1945:C1945"/>
    <mergeCell ref="B1946:C1946"/>
    <mergeCell ref="B1947:C1947"/>
    <mergeCell ref="B1948:C1948"/>
    <mergeCell ref="B1949:C1949"/>
    <mergeCell ref="B1950:C1950"/>
    <mergeCell ref="B1951:C1951"/>
    <mergeCell ref="B1952:C1952"/>
    <mergeCell ref="B1953:C1953"/>
    <mergeCell ref="B1954:C1954"/>
    <mergeCell ref="B1955:C1955"/>
    <mergeCell ref="B1956:C1956"/>
    <mergeCell ref="B1957:C1957"/>
    <mergeCell ref="B1958:C1958"/>
    <mergeCell ref="B1959:C1959"/>
    <mergeCell ref="B1960:C1960"/>
    <mergeCell ref="B1961:C1961"/>
    <mergeCell ref="B1962:C1962"/>
    <mergeCell ref="B1963:C1963"/>
    <mergeCell ref="B1964:C1964"/>
    <mergeCell ref="B1965:C1965"/>
    <mergeCell ref="B1966:C1966"/>
    <mergeCell ref="B1967:C1967"/>
    <mergeCell ref="B1968:C1968"/>
    <mergeCell ref="B1969:C1969"/>
    <mergeCell ref="B1970:C1970"/>
    <mergeCell ref="B1971:C1971"/>
    <mergeCell ref="B1972:C1972"/>
    <mergeCell ref="B1973:C1973"/>
    <mergeCell ref="B1974:C1974"/>
    <mergeCell ref="B1975:C1975"/>
    <mergeCell ref="B1976:C1976"/>
    <mergeCell ref="B1977:C1977"/>
    <mergeCell ref="B1978:C1978"/>
    <mergeCell ref="B1979:C1979"/>
    <mergeCell ref="B1980:C1980"/>
    <mergeCell ref="B1981:C1981"/>
    <mergeCell ref="B1982:C1982"/>
    <mergeCell ref="B1983:C1983"/>
    <mergeCell ref="B1984:C1984"/>
    <mergeCell ref="B1985:C1985"/>
    <mergeCell ref="B1986:C1986"/>
    <mergeCell ref="B1987:C1987"/>
    <mergeCell ref="B1988:C1988"/>
    <mergeCell ref="B1989:C1989"/>
    <mergeCell ref="B1990:C1990"/>
    <mergeCell ref="B1991:C1991"/>
    <mergeCell ref="B1992:C1992"/>
    <mergeCell ref="B1993:C1993"/>
    <mergeCell ref="B1994:C1994"/>
    <mergeCell ref="B1995:C1995"/>
    <mergeCell ref="B1996:C1996"/>
    <mergeCell ref="B1997:C1997"/>
    <mergeCell ref="B1998:C1998"/>
    <mergeCell ref="B1999:C1999"/>
    <mergeCell ref="B2000:C2000"/>
    <mergeCell ref="B2001:C2001"/>
    <mergeCell ref="B2002:C2002"/>
    <mergeCell ref="B2003:C2003"/>
    <mergeCell ref="B2004:C2004"/>
    <mergeCell ref="B2005:C2005"/>
    <mergeCell ref="B2006:C2006"/>
    <mergeCell ref="B2007:C2007"/>
    <mergeCell ref="B2008:C2008"/>
    <mergeCell ref="B2009:C2009"/>
    <mergeCell ref="B2010:C2010"/>
    <mergeCell ref="B2011:C2011"/>
    <mergeCell ref="B2012:C2012"/>
    <mergeCell ref="B2013:C2013"/>
    <mergeCell ref="B2014:C2014"/>
    <mergeCell ref="B2015:C2015"/>
    <mergeCell ref="B2016:C2016"/>
    <mergeCell ref="B2017:C2017"/>
    <mergeCell ref="B2018:C2018"/>
    <mergeCell ref="B2019:C2019"/>
    <mergeCell ref="B2020:C2020"/>
    <mergeCell ref="B2021:C2021"/>
    <mergeCell ref="B2022:C2022"/>
    <mergeCell ref="B2023:C2023"/>
    <mergeCell ref="B2024:C2024"/>
    <mergeCell ref="B2025:C2025"/>
    <mergeCell ref="B2026:C2026"/>
    <mergeCell ref="B2027:C2027"/>
    <mergeCell ref="B2028:C2028"/>
    <mergeCell ref="B2029:C2029"/>
    <mergeCell ref="B2030:C2030"/>
    <mergeCell ref="B2031:C2031"/>
    <mergeCell ref="B2032:C2032"/>
    <mergeCell ref="B2033:C2033"/>
    <mergeCell ref="B2034:C2034"/>
    <mergeCell ref="B2035:C2035"/>
    <mergeCell ref="B2036:C2036"/>
    <mergeCell ref="B2037:C2037"/>
    <mergeCell ref="B2038:C2038"/>
    <mergeCell ref="B2039:C2039"/>
    <mergeCell ref="B2040:C2040"/>
    <mergeCell ref="B2041:C2041"/>
    <mergeCell ref="B2042:C2042"/>
    <mergeCell ref="B2043:C2043"/>
    <mergeCell ref="B2044:C2044"/>
    <mergeCell ref="B2045:C2045"/>
    <mergeCell ref="B2046:C2046"/>
    <mergeCell ref="B2047:C2047"/>
    <mergeCell ref="B2048:C2048"/>
    <mergeCell ref="B2049:C2049"/>
    <mergeCell ref="B2050:C2050"/>
    <mergeCell ref="B2051:C2051"/>
    <mergeCell ref="B2052:C2052"/>
    <mergeCell ref="B2053:C2053"/>
    <mergeCell ref="B2054:C2054"/>
    <mergeCell ref="B2055:C2055"/>
    <mergeCell ref="B2056:C2056"/>
    <mergeCell ref="B2057:C2057"/>
    <mergeCell ref="B2058:C2058"/>
    <mergeCell ref="B2059:C2059"/>
    <mergeCell ref="B2060:C2060"/>
    <mergeCell ref="B2061:C2061"/>
    <mergeCell ref="B2062:C2062"/>
    <mergeCell ref="B2063:C2063"/>
    <mergeCell ref="B2064:C2064"/>
    <mergeCell ref="B2065:C2065"/>
    <mergeCell ref="B2066:C2066"/>
    <mergeCell ref="B2067:C2067"/>
    <mergeCell ref="B2068:C2068"/>
    <mergeCell ref="B2069:C2069"/>
    <mergeCell ref="B2070:C2070"/>
    <mergeCell ref="B2071:C2071"/>
    <mergeCell ref="B2072:C2072"/>
    <mergeCell ref="B2073:C2073"/>
    <mergeCell ref="B2074:C2074"/>
    <mergeCell ref="B2075:C2075"/>
    <mergeCell ref="B2076:C2076"/>
    <mergeCell ref="B2077:C2077"/>
    <mergeCell ref="B2078:C2078"/>
    <mergeCell ref="B2079:C2079"/>
    <mergeCell ref="B2080:C2080"/>
    <mergeCell ref="B2081:C2081"/>
    <mergeCell ref="B2082:C2082"/>
    <mergeCell ref="B2083:C2083"/>
    <mergeCell ref="B2084:C2084"/>
    <mergeCell ref="B2085:C2085"/>
    <mergeCell ref="B2086:C2086"/>
    <mergeCell ref="B2087:C2087"/>
    <mergeCell ref="B2088:C2088"/>
    <mergeCell ref="B2089:C2089"/>
    <mergeCell ref="B2090:C2090"/>
    <mergeCell ref="B2091:C2091"/>
    <mergeCell ref="B2092:C2092"/>
    <mergeCell ref="B2093:C2093"/>
    <mergeCell ref="B2094:C2094"/>
    <mergeCell ref="B2095:C2095"/>
    <mergeCell ref="B2096:C2096"/>
    <mergeCell ref="B2097:C2097"/>
    <mergeCell ref="B2098:C2098"/>
    <mergeCell ref="B2099:C2099"/>
    <mergeCell ref="B2100:C2100"/>
    <mergeCell ref="B2101:C2101"/>
    <mergeCell ref="B2102:C2102"/>
    <mergeCell ref="B2103:C2103"/>
    <mergeCell ref="B2104:C2104"/>
    <mergeCell ref="B2105:C2105"/>
    <mergeCell ref="B2106:C2106"/>
    <mergeCell ref="B2107:C2107"/>
    <mergeCell ref="B2108:C2108"/>
    <mergeCell ref="B2109:C2109"/>
    <mergeCell ref="B2110:C2110"/>
    <mergeCell ref="B2111:C2111"/>
    <mergeCell ref="B2112:C2112"/>
    <mergeCell ref="B2113:C2113"/>
    <mergeCell ref="B2114:C2114"/>
    <mergeCell ref="B2115:C2115"/>
    <mergeCell ref="B2116:C2116"/>
    <mergeCell ref="B2117:C2117"/>
    <mergeCell ref="B2118:C2118"/>
    <mergeCell ref="B2119:C2119"/>
    <mergeCell ref="B2120:C2120"/>
    <mergeCell ref="B2121:C2121"/>
    <mergeCell ref="B2122:C2122"/>
    <mergeCell ref="B2123:C2123"/>
    <mergeCell ref="B2124:C2124"/>
    <mergeCell ref="B2125:C2125"/>
    <mergeCell ref="B2126:C2126"/>
    <mergeCell ref="B2127:C2127"/>
    <mergeCell ref="B2128:C2128"/>
    <mergeCell ref="B2129:C2129"/>
    <mergeCell ref="B2130:C2130"/>
    <mergeCell ref="B2131:C2131"/>
    <mergeCell ref="B2132:C2132"/>
    <mergeCell ref="B2133:C2133"/>
    <mergeCell ref="B2134:C2134"/>
    <mergeCell ref="B2135:C2135"/>
    <mergeCell ref="B2136:C2136"/>
    <mergeCell ref="B2137:C2137"/>
    <mergeCell ref="B2138:C2138"/>
    <mergeCell ref="B2139:C2139"/>
    <mergeCell ref="B2140:C2140"/>
    <mergeCell ref="B2141:C2141"/>
    <mergeCell ref="B2142:C2142"/>
    <mergeCell ref="B2143:C2143"/>
    <mergeCell ref="B2144:C2144"/>
    <mergeCell ref="B2145:C2145"/>
    <mergeCell ref="B2146:C2146"/>
    <mergeCell ref="B2147:C2147"/>
    <mergeCell ref="B2148:C2148"/>
    <mergeCell ref="B2149:C2149"/>
    <mergeCell ref="B2150:C2150"/>
    <mergeCell ref="B2151:C2151"/>
    <mergeCell ref="B2152:C2152"/>
    <mergeCell ref="B2153:C2153"/>
    <mergeCell ref="B2154:C2154"/>
    <mergeCell ref="B2155:C2155"/>
    <mergeCell ref="B2156:C2156"/>
    <mergeCell ref="B2157:C2157"/>
    <mergeCell ref="B2158:C2158"/>
    <mergeCell ref="B2159:C2159"/>
    <mergeCell ref="B2160:C2160"/>
    <mergeCell ref="B2161:C2161"/>
    <mergeCell ref="B2162:C2162"/>
    <mergeCell ref="B2163:C2163"/>
    <mergeCell ref="B2164:C2164"/>
    <mergeCell ref="B2165:C2165"/>
    <mergeCell ref="B2166:C2166"/>
    <mergeCell ref="B2167:C2167"/>
    <mergeCell ref="B2168:C2168"/>
    <mergeCell ref="B2169:C2169"/>
    <mergeCell ref="B2170:C2170"/>
    <mergeCell ref="B2171:C2171"/>
    <mergeCell ref="B2172:C2172"/>
    <mergeCell ref="B2173:C2173"/>
    <mergeCell ref="B2174:C2174"/>
    <mergeCell ref="B2175:C2175"/>
    <mergeCell ref="B2176:C2176"/>
    <mergeCell ref="B2177:C2177"/>
    <mergeCell ref="B2178:C2178"/>
    <mergeCell ref="B2179:C2179"/>
    <mergeCell ref="B2180:C2180"/>
    <mergeCell ref="B2181:C2181"/>
    <mergeCell ref="B2182:C2182"/>
    <mergeCell ref="B2183:C2183"/>
    <mergeCell ref="B2184:C2184"/>
    <mergeCell ref="B2185:C2185"/>
    <mergeCell ref="B2186:C2186"/>
    <mergeCell ref="B2187:C2187"/>
    <mergeCell ref="B2188:C2188"/>
    <mergeCell ref="B2189:C2189"/>
    <mergeCell ref="B2190:C2190"/>
    <mergeCell ref="B2191:C2191"/>
    <mergeCell ref="B2192:C2192"/>
    <mergeCell ref="B2193:C2193"/>
    <mergeCell ref="B2194:C2194"/>
    <mergeCell ref="B2195:C2195"/>
    <mergeCell ref="B2196:C2196"/>
    <mergeCell ref="B2197:C2197"/>
    <mergeCell ref="B2198:C2198"/>
    <mergeCell ref="B2199:C2199"/>
    <mergeCell ref="B2200:C2200"/>
    <mergeCell ref="B2201:C2201"/>
    <mergeCell ref="B2202:C2202"/>
    <mergeCell ref="B2203:C2203"/>
    <mergeCell ref="B2204:C2204"/>
    <mergeCell ref="B2205:C2205"/>
    <mergeCell ref="B2206:C2206"/>
    <mergeCell ref="B2207:C2207"/>
    <mergeCell ref="B2208:C2208"/>
    <mergeCell ref="B2209:C2209"/>
    <mergeCell ref="B2210:C2210"/>
    <mergeCell ref="B2211:C2211"/>
    <mergeCell ref="B2212:C2212"/>
    <mergeCell ref="B2213:C2213"/>
    <mergeCell ref="B2214:C2214"/>
    <mergeCell ref="B2215:C2215"/>
    <mergeCell ref="B2216:C2216"/>
    <mergeCell ref="B2217:C2217"/>
    <mergeCell ref="B2218:C2218"/>
    <mergeCell ref="B2219:C2219"/>
    <mergeCell ref="B2220:C2220"/>
    <mergeCell ref="B2221:C2221"/>
    <mergeCell ref="B2222:C2222"/>
    <mergeCell ref="B2223:C2223"/>
    <mergeCell ref="B2224:C2224"/>
    <mergeCell ref="B2225:C2225"/>
    <mergeCell ref="B2226:C2226"/>
    <mergeCell ref="B2227:C2227"/>
    <mergeCell ref="B2228:C2228"/>
    <mergeCell ref="B2229:C2229"/>
    <mergeCell ref="B2230:C2230"/>
    <mergeCell ref="B2231:C2231"/>
    <mergeCell ref="B2232:C2232"/>
    <mergeCell ref="B2233:C2233"/>
    <mergeCell ref="B2234:C2234"/>
    <mergeCell ref="B2235:C2235"/>
    <mergeCell ref="B2236:C2236"/>
    <mergeCell ref="B2237:C2237"/>
    <mergeCell ref="B2238:C2238"/>
    <mergeCell ref="B2239:C2239"/>
    <mergeCell ref="B2240:C2240"/>
    <mergeCell ref="B2241:C2241"/>
    <mergeCell ref="B2242:C2242"/>
    <mergeCell ref="B2243:C2243"/>
    <mergeCell ref="B2244:C2244"/>
    <mergeCell ref="B2245:C2245"/>
    <mergeCell ref="B2246:C2246"/>
    <mergeCell ref="B2247:C2247"/>
    <mergeCell ref="B2248:C2248"/>
    <mergeCell ref="B2249:C2249"/>
    <mergeCell ref="B2250:C2250"/>
    <mergeCell ref="B2251:C2251"/>
    <mergeCell ref="B2252:C2252"/>
    <mergeCell ref="B2253:C2253"/>
    <mergeCell ref="B2254:C2254"/>
    <mergeCell ref="B2255:C2255"/>
    <mergeCell ref="B2256:C2256"/>
    <mergeCell ref="B2257:C2257"/>
    <mergeCell ref="B2258:C2258"/>
    <mergeCell ref="B2259:C2259"/>
    <mergeCell ref="B2260:C2260"/>
    <mergeCell ref="B2261:C2261"/>
    <mergeCell ref="B2262:C2262"/>
    <mergeCell ref="B2263:C2263"/>
    <mergeCell ref="B2264:C2264"/>
    <mergeCell ref="B2265:C2265"/>
    <mergeCell ref="B2266:C2266"/>
    <mergeCell ref="B2267:C2267"/>
    <mergeCell ref="B2268:C2268"/>
    <mergeCell ref="B2269:C2269"/>
    <mergeCell ref="B2270:C2270"/>
    <mergeCell ref="B2271:C2271"/>
    <mergeCell ref="B2272:C2272"/>
    <mergeCell ref="B2273:C2273"/>
    <mergeCell ref="B2274:C2274"/>
    <mergeCell ref="B2275:C2275"/>
    <mergeCell ref="B2276:C2276"/>
    <mergeCell ref="B2277:C2277"/>
    <mergeCell ref="B2278:C2278"/>
    <mergeCell ref="B2279:C2279"/>
    <mergeCell ref="B2280:C2280"/>
    <mergeCell ref="B2281:C2281"/>
    <mergeCell ref="B2282:C2282"/>
    <mergeCell ref="B2283:C2283"/>
    <mergeCell ref="B2284:C2284"/>
    <mergeCell ref="B2285:C2285"/>
    <mergeCell ref="B2286:C2286"/>
    <mergeCell ref="B2287:C2287"/>
    <mergeCell ref="B2288:C2288"/>
    <mergeCell ref="B2289:C2289"/>
    <mergeCell ref="B2290:C2290"/>
    <mergeCell ref="B2291:C2291"/>
    <mergeCell ref="B2292:C2292"/>
    <mergeCell ref="B2293:C2293"/>
    <mergeCell ref="B2294:C2294"/>
    <mergeCell ref="B2295:C2295"/>
    <mergeCell ref="B2296:C2296"/>
    <mergeCell ref="B2297:C2297"/>
    <mergeCell ref="B2298:C2298"/>
    <mergeCell ref="B2299:C2299"/>
    <mergeCell ref="B2300:C2300"/>
    <mergeCell ref="B2301:C2301"/>
    <mergeCell ref="B2302:C2302"/>
    <mergeCell ref="B2303:C2303"/>
    <mergeCell ref="B2304:C2304"/>
    <mergeCell ref="B2305:C2305"/>
    <mergeCell ref="B2306:C2306"/>
    <mergeCell ref="B2307:C2307"/>
    <mergeCell ref="B2308:C2308"/>
    <mergeCell ref="B2309:C2309"/>
    <mergeCell ref="B2310:C2310"/>
    <mergeCell ref="B2311:C2311"/>
    <mergeCell ref="B2312:C2312"/>
    <mergeCell ref="B2313:C2313"/>
    <mergeCell ref="B2314:C2314"/>
    <mergeCell ref="B2315:C2315"/>
    <mergeCell ref="B2316:C2316"/>
    <mergeCell ref="B2317:C2317"/>
    <mergeCell ref="B2318:C2318"/>
    <mergeCell ref="B2319:C2319"/>
    <mergeCell ref="B2320:C2320"/>
    <mergeCell ref="B2321:C2321"/>
    <mergeCell ref="B2322:C2322"/>
    <mergeCell ref="B2323:C2323"/>
    <mergeCell ref="B2324:C2324"/>
    <mergeCell ref="B2325:C2325"/>
    <mergeCell ref="B2326:C2326"/>
    <mergeCell ref="B2327:C2327"/>
    <mergeCell ref="B2328:C2328"/>
    <mergeCell ref="B2329:C2329"/>
    <mergeCell ref="B2330:C2330"/>
    <mergeCell ref="B2331:C2331"/>
    <mergeCell ref="B2332:C2332"/>
    <mergeCell ref="B2333:C2333"/>
    <mergeCell ref="B2334:C2334"/>
    <mergeCell ref="B2335:C2335"/>
    <mergeCell ref="B2336:C2336"/>
    <mergeCell ref="B2337:C2337"/>
    <mergeCell ref="B2338:C2338"/>
    <mergeCell ref="B2339:C2339"/>
    <mergeCell ref="B2340:C2340"/>
    <mergeCell ref="B2341:C2341"/>
    <mergeCell ref="B2342:C2342"/>
    <mergeCell ref="B2343:C2343"/>
    <mergeCell ref="B2344:C2344"/>
    <mergeCell ref="B2345:C2345"/>
    <mergeCell ref="B2346:C2346"/>
    <mergeCell ref="B2347:C2347"/>
    <mergeCell ref="B2348:C2348"/>
    <mergeCell ref="B2349:C2349"/>
    <mergeCell ref="B2350:C2350"/>
    <mergeCell ref="B2351:C2351"/>
    <mergeCell ref="B2352:C2352"/>
    <mergeCell ref="B2353:C2353"/>
    <mergeCell ref="B2354:C2354"/>
    <mergeCell ref="B2355:C2355"/>
    <mergeCell ref="B2356:C2356"/>
    <mergeCell ref="B2357:C2357"/>
    <mergeCell ref="B2358:C2358"/>
    <mergeCell ref="B2359:C2359"/>
    <mergeCell ref="B2360:C2360"/>
    <mergeCell ref="B2361:C2361"/>
    <mergeCell ref="B2362:C2362"/>
    <mergeCell ref="B2363:C2363"/>
    <mergeCell ref="B2364:C2364"/>
    <mergeCell ref="B2365:C2365"/>
    <mergeCell ref="B2366:C2366"/>
    <mergeCell ref="B2367:C2367"/>
    <mergeCell ref="B2368:C2368"/>
    <mergeCell ref="B2369:C2369"/>
    <mergeCell ref="B2370:C2370"/>
    <mergeCell ref="B2371:C2371"/>
    <mergeCell ref="B2372:C2372"/>
    <mergeCell ref="B2373:C2373"/>
    <mergeCell ref="B2374:C2374"/>
    <mergeCell ref="B2375:C2375"/>
    <mergeCell ref="B2376:C2376"/>
    <mergeCell ref="B2377:C2377"/>
    <mergeCell ref="B2378:C2378"/>
    <mergeCell ref="B2379:C2379"/>
    <mergeCell ref="B2380:C2380"/>
    <mergeCell ref="B2381:C2381"/>
    <mergeCell ref="B2382:C2382"/>
    <mergeCell ref="B2383:C2383"/>
    <mergeCell ref="B2384:C2384"/>
    <mergeCell ref="B2385:C2385"/>
    <mergeCell ref="B2386:C2386"/>
    <mergeCell ref="B2387:C2387"/>
    <mergeCell ref="B2388:C2388"/>
    <mergeCell ref="B2389:C2389"/>
    <mergeCell ref="B2390:C2390"/>
    <mergeCell ref="B2391:C2391"/>
    <mergeCell ref="B2392:C2392"/>
    <mergeCell ref="B2393:C2393"/>
    <mergeCell ref="B2394:C2394"/>
    <mergeCell ref="B2395:C2395"/>
    <mergeCell ref="B2396:C2396"/>
    <mergeCell ref="B2397:C2397"/>
    <mergeCell ref="B2398:C2398"/>
    <mergeCell ref="B2399:C2399"/>
    <mergeCell ref="B2400:C2400"/>
    <mergeCell ref="B2401:C2401"/>
    <mergeCell ref="B2402:C2402"/>
    <mergeCell ref="B2403:C2403"/>
    <mergeCell ref="B2404:C2404"/>
    <mergeCell ref="B2405:C2405"/>
    <mergeCell ref="B2406:C2406"/>
    <mergeCell ref="B2407:C2407"/>
    <mergeCell ref="B2408:C2408"/>
    <mergeCell ref="B2409:C2409"/>
    <mergeCell ref="B2410:C2410"/>
    <mergeCell ref="B2411:C2411"/>
    <mergeCell ref="B2412:C2412"/>
    <mergeCell ref="B2413:C2413"/>
    <mergeCell ref="B2414:C2414"/>
    <mergeCell ref="B2415:C2415"/>
    <mergeCell ref="B2416:C2416"/>
    <mergeCell ref="B2417:C2417"/>
    <mergeCell ref="B2418:C2418"/>
    <mergeCell ref="B2419:C2419"/>
    <mergeCell ref="B2420:C2420"/>
    <mergeCell ref="B2421:C2421"/>
    <mergeCell ref="B2422:C2422"/>
    <mergeCell ref="B2423:C2423"/>
    <mergeCell ref="B2424:C2424"/>
    <mergeCell ref="B2425:C2425"/>
    <mergeCell ref="B2426:C2426"/>
    <mergeCell ref="B2427:C2427"/>
    <mergeCell ref="B2428:C2428"/>
    <mergeCell ref="B2429:C2429"/>
    <mergeCell ref="B2430:C2430"/>
    <mergeCell ref="B2431:C2431"/>
    <mergeCell ref="B2432:C2432"/>
    <mergeCell ref="B2433:C2433"/>
    <mergeCell ref="B2434:C2434"/>
    <mergeCell ref="B2435:C2435"/>
    <mergeCell ref="B2436:C2436"/>
    <mergeCell ref="B2437:C2437"/>
    <mergeCell ref="B2438:C2438"/>
    <mergeCell ref="B2439:C2439"/>
    <mergeCell ref="B2440:C2440"/>
    <mergeCell ref="B2441:C2441"/>
    <mergeCell ref="B2442:C2442"/>
    <mergeCell ref="B2443:C2443"/>
    <mergeCell ref="B2444:C2444"/>
    <mergeCell ref="B2445:C2445"/>
    <mergeCell ref="B2446:C2446"/>
    <mergeCell ref="B2447:C2447"/>
    <mergeCell ref="B2448:C2448"/>
    <mergeCell ref="B2449:C2449"/>
    <mergeCell ref="B2450:C2450"/>
    <mergeCell ref="B2451:C2451"/>
    <mergeCell ref="B2452:C2452"/>
    <mergeCell ref="B2453:C2453"/>
    <mergeCell ref="B2454:C2454"/>
    <mergeCell ref="B2455:C2455"/>
    <mergeCell ref="B2456:C2456"/>
    <mergeCell ref="B2457:C2457"/>
    <mergeCell ref="B2458:C2458"/>
    <mergeCell ref="B2459:C2459"/>
    <mergeCell ref="B2460:C2460"/>
    <mergeCell ref="B2461:C2461"/>
    <mergeCell ref="B2462:C2462"/>
    <mergeCell ref="B2463:C2463"/>
    <mergeCell ref="B2464:C2464"/>
    <mergeCell ref="B2465:C2465"/>
    <mergeCell ref="B2466:C2466"/>
    <mergeCell ref="B2467:C2467"/>
    <mergeCell ref="B2468:C2468"/>
    <mergeCell ref="B2469:C2469"/>
    <mergeCell ref="B2470:C2470"/>
    <mergeCell ref="B2471:C2471"/>
    <mergeCell ref="B2472:C2472"/>
    <mergeCell ref="B2473:C2473"/>
    <mergeCell ref="B2474:C2474"/>
    <mergeCell ref="B2475:C2475"/>
    <mergeCell ref="B2476:C2476"/>
    <mergeCell ref="B2477:C2477"/>
    <mergeCell ref="B2478:C2478"/>
    <mergeCell ref="B2479:C2479"/>
    <mergeCell ref="B2480:C2480"/>
    <mergeCell ref="B2481:C2481"/>
    <mergeCell ref="B2482:C2482"/>
    <mergeCell ref="B2483:C2483"/>
    <mergeCell ref="B2484:C2484"/>
    <mergeCell ref="B2485:C2485"/>
    <mergeCell ref="B2486:C2486"/>
    <mergeCell ref="B2487:C2487"/>
    <mergeCell ref="B2488:C2488"/>
    <mergeCell ref="B2489:C2489"/>
    <mergeCell ref="B2490:C2490"/>
    <mergeCell ref="B2491:C2491"/>
    <mergeCell ref="B2492:C2492"/>
    <mergeCell ref="B2493:C2493"/>
    <mergeCell ref="B2494:C2494"/>
    <mergeCell ref="B2495:C2495"/>
    <mergeCell ref="B2496:C2496"/>
    <mergeCell ref="B2497:C2497"/>
    <mergeCell ref="B2498:C2498"/>
    <mergeCell ref="B2499:C2499"/>
    <mergeCell ref="B2500:C2500"/>
    <mergeCell ref="B2501:C2501"/>
    <mergeCell ref="B2502:C2502"/>
    <mergeCell ref="B2503:C2503"/>
    <mergeCell ref="B2504:C2504"/>
    <mergeCell ref="B2505:C2505"/>
    <mergeCell ref="B2506:C2506"/>
    <mergeCell ref="B2507:C2507"/>
    <mergeCell ref="B2508:C2508"/>
    <mergeCell ref="B2509:C2509"/>
    <mergeCell ref="B2510:C2510"/>
    <mergeCell ref="B2511:C2511"/>
    <mergeCell ref="B2512:C2512"/>
    <mergeCell ref="B2513:C2513"/>
    <mergeCell ref="B2514:C2514"/>
    <mergeCell ref="B2515:C2515"/>
    <mergeCell ref="B2516:C2516"/>
    <mergeCell ref="B2517:C2517"/>
    <mergeCell ref="B2518:C2518"/>
    <mergeCell ref="B2519:C2519"/>
    <mergeCell ref="B2520:C2520"/>
    <mergeCell ref="B2521:C2521"/>
    <mergeCell ref="B2522:C2522"/>
    <mergeCell ref="B2523:C2523"/>
    <mergeCell ref="B2524:C2524"/>
    <mergeCell ref="B2525:C2525"/>
    <mergeCell ref="B2526:C2526"/>
    <mergeCell ref="B2527:C2527"/>
    <mergeCell ref="B2528:C2528"/>
    <mergeCell ref="B2529:C2529"/>
    <mergeCell ref="B2530:C2530"/>
    <mergeCell ref="B2531:C2531"/>
    <mergeCell ref="B2532:C2532"/>
    <mergeCell ref="B2533:C2533"/>
    <mergeCell ref="B2534:C2534"/>
    <mergeCell ref="B2535:C2535"/>
    <mergeCell ref="B2536:C2536"/>
    <mergeCell ref="B2537:C2537"/>
    <mergeCell ref="B2538:C2538"/>
    <mergeCell ref="B2539:C2539"/>
    <mergeCell ref="B2540:C2540"/>
    <mergeCell ref="B2541:C2541"/>
    <mergeCell ref="B2542:C2542"/>
    <mergeCell ref="B2543:C2543"/>
    <mergeCell ref="B2544:C2544"/>
    <mergeCell ref="B2545:C2545"/>
    <mergeCell ref="B2546:C2546"/>
    <mergeCell ref="B2547:C2547"/>
    <mergeCell ref="B2548:C2548"/>
    <mergeCell ref="B2549:C2549"/>
    <mergeCell ref="B2550:C2550"/>
    <mergeCell ref="B2551:C2551"/>
    <mergeCell ref="B2552:C2552"/>
    <mergeCell ref="B2553:C2553"/>
    <mergeCell ref="B2554:C2554"/>
    <mergeCell ref="B2555:C2555"/>
    <mergeCell ref="B2556:C2556"/>
    <mergeCell ref="B2557:C2557"/>
    <mergeCell ref="B2558:C2558"/>
    <mergeCell ref="B2559:C2559"/>
    <mergeCell ref="B2560:C2560"/>
    <mergeCell ref="B2561:C2561"/>
    <mergeCell ref="B2562:C2562"/>
    <mergeCell ref="B2563:C2563"/>
    <mergeCell ref="B2564:C2564"/>
    <mergeCell ref="B2565:C2565"/>
    <mergeCell ref="B2566:C2566"/>
    <mergeCell ref="B2567:C2567"/>
    <mergeCell ref="B2568:C2568"/>
    <mergeCell ref="B2569:C2569"/>
    <mergeCell ref="B2570:C2570"/>
    <mergeCell ref="B2571:C2571"/>
    <mergeCell ref="B2572:C2572"/>
    <mergeCell ref="B2573:C2573"/>
    <mergeCell ref="B2574:C2574"/>
    <mergeCell ref="B2575:C2575"/>
    <mergeCell ref="B2576:C2576"/>
    <mergeCell ref="B2577:C2577"/>
    <mergeCell ref="B2578:C2578"/>
    <mergeCell ref="B2579:C2579"/>
    <mergeCell ref="B2580:C2580"/>
    <mergeCell ref="B2581:C2581"/>
    <mergeCell ref="B2582:C2582"/>
    <mergeCell ref="B2583:C2583"/>
    <mergeCell ref="B2584:C2584"/>
    <mergeCell ref="B2585:C2585"/>
    <mergeCell ref="B2586:C2586"/>
    <mergeCell ref="B2587:C2587"/>
    <mergeCell ref="B2588:C2588"/>
    <mergeCell ref="B2589:C2589"/>
    <mergeCell ref="B2590:C2590"/>
    <mergeCell ref="B2591:C2591"/>
    <mergeCell ref="B2592:C2592"/>
    <mergeCell ref="B2593:C2593"/>
    <mergeCell ref="B2594:C2594"/>
    <mergeCell ref="B2595:C2595"/>
    <mergeCell ref="B2596:C2596"/>
    <mergeCell ref="B2597:C2597"/>
    <mergeCell ref="B2598:C2598"/>
    <mergeCell ref="B2599:C2599"/>
    <mergeCell ref="B2600:C2600"/>
    <mergeCell ref="B2601:C2601"/>
    <mergeCell ref="B2602:C2602"/>
    <mergeCell ref="B2603:C2603"/>
    <mergeCell ref="B2604:C2604"/>
    <mergeCell ref="B2605:C2605"/>
    <mergeCell ref="B2606:C2606"/>
    <mergeCell ref="B2607:C2607"/>
    <mergeCell ref="B2608:C2608"/>
    <mergeCell ref="B2609:C2609"/>
    <mergeCell ref="B2610:C2610"/>
    <mergeCell ref="B2611:C2611"/>
    <mergeCell ref="B2612:C2612"/>
    <mergeCell ref="B2613:C2613"/>
    <mergeCell ref="B2614:C2614"/>
    <mergeCell ref="B2615:C2615"/>
    <mergeCell ref="B2616:C2616"/>
    <mergeCell ref="B2617:C2617"/>
    <mergeCell ref="B2618:C2618"/>
    <mergeCell ref="B2619:C2619"/>
    <mergeCell ref="B2620:C2620"/>
    <mergeCell ref="B2621:C2621"/>
    <mergeCell ref="B2622:C2622"/>
    <mergeCell ref="B2623:C2623"/>
    <mergeCell ref="B2624:C2624"/>
    <mergeCell ref="B2625:C2625"/>
    <mergeCell ref="B2626:C2626"/>
    <mergeCell ref="B2627:C2627"/>
    <mergeCell ref="B2628:C2628"/>
    <mergeCell ref="B2629:C2629"/>
    <mergeCell ref="B2630:C2630"/>
    <mergeCell ref="B2631:C2631"/>
    <mergeCell ref="B2632:C2632"/>
    <mergeCell ref="B2633:C2633"/>
    <mergeCell ref="B2634:C2634"/>
    <mergeCell ref="B2635:C2635"/>
    <mergeCell ref="B2636:C2636"/>
    <mergeCell ref="B2637:C2637"/>
    <mergeCell ref="B2638:C2638"/>
    <mergeCell ref="B2639:C2639"/>
    <mergeCell ref="B2640:C2640"/>
    <mergeCell ref="B2641:C2641"/>
    <mergeCell ref="B2642:C2642"/>
    <mergeCell ref="B2643:C2643"/>
    <mergeCell ref="B2644:C2644"/>
    <mergeCell ref="B2645:C2645"/>
    <mergeCell ref="B2646:C2646"/>
    <mergeCell ref="B2647:C2647"/>
    <mergeCell ref="B2648:C2648"/>
    <mergeCell ref="B2649:C2649"/>
    <mergeCell ref="B2650:C2650"/>
    <mergeCell ref="B2651:C2651"/>
    <mergeCell ref="B2652:C2652"/>
    <mergeCell ref="B2653:C2653"/>
    <mergeCell ref="B2654:C2654"/>
    <mergeCell ref="B2655:C2655"/>
    <mergeCell ref="B2656:C2656"/>
    <mergeCell ref="B2657:C2657"/>
    <mergeCell ref="B2658:C2658"/>
    <mergeCell ref="B2659:C2659"/>
    <mergeCell ref="B2660:C2660"/>
    <mergeCell ref="B2661:C2661"/>
    <mergeCell ref="B2662:C2662"/>
    <mergeCell ref="B2663:C2663"/>
    <mergeCell ref="B2664:C2664"/>
    <mergeCell ref="B2665:C2665"/>
    <mergeCell ref="B2666:C2666"/>
    <mergeCell ref="B2667:C2667"/>
    <mergeCell ref="B2668:C2668"/>
    <mergeCell ref="B2669:C2669"/>
    <mergeCell ref="B2670:C2670"/>
    <mergeCell ref="B2671:C2671"/>
    <mergeCell ref="B2672:C2672"/>
    <mergeCell ref="B2673:C2673"/>
    <mergeCell ref="B2674:C2674"/>
    <mergeCell ref="B2675:C2675"/>
    <mergeCell ref="B2676:C2676"/>
    <mergeCell ref="B2677:C2677"/>
    <mergeCell ref="B2678:C2678"/>
    <mergeCell ref="B2679:C2679"/>
    <mergeCell ref="B2680:C2680"/>
    <mergeCell ref="B2681:C2681"/>
    <mergeCell ref="B2682:C2682"/>
    <mergeCell ref="B2683:C2683"/>
    <mergeCell ref="B2684:C2684"/>
    <mergeCell ref="B2685:C2685"/>
    <mergeCell ref="B2686:C2686"/>
    <mergeCell ref="B2687:C2687"/>
    <mergeCell ref="B2688:C2688"/>
    <mergeCell ref="B2689:C2689"/>
    <mergeCell ref="B2690:C2690"/>
    <mergeCell ref="B2691:C2691"/>
    <mergeCell ref="B2692:C2692"/>
    <mergeCell ref="B2693:C2693"/>
    <mergeCell ref="B2694:C2694"/>
    <mergeCell ref="B2695:C2695"/>
    <mergeCell ref="B2696:C2696"/>
    <mergeCell ref="B2697:C2697"/>
    <mergeCell ref="B2698:C2698"/>
    <mergeCell ref="B2699:C2699"/>
    <mergeCell ref="B2700:C2700"/>
    <mergeCell ref="B2701:C2701"/>
    <mergeCell ref="B2702:C2702"/>
    <mergeCell ref="B2703:C2703"/>
    <mergeCell ref="B2704:C2704"/>
    <mergeCell ref="B2705:C2705"/>
    <mergeCell ref="B2706:C2706"/>
    <mergeCell ref="B2707:C2707"/>
    <mergeCell ref="B2708:C2708"/>
    <mergeCell ref="B2709:C2709"/>
    <mergeCell ref="B2710:C2710"/>
    <mergeCell ref="B2711:C2711"/>
    <mergeCell ref="B2712:C2712"/>
    <mergeCell ref="B2713:C2713"/>
    <mergeCell ref="B2714:C2714"/>
    <mergeCell ref="B2715:C2715"/>
    <mergeCell ref="B2716:C2716"/>
    <mergeCell ref="B2717:C2717"/>
    <mergeCell ref="B2718:C2718"/>
    <mergeCell ref="B2719:C2719"/>
    <mergeCell ref="B2720:C2720"/>
    <mergeCell ref="B2721:C2721"/>
    <mergeCell ref="B2722:C2722"/>
    <mergeCell ref="B2723:C2723"/>
    <mergeCell ref="B2724:C2724"/>
    <mergeCell ref="B2725:C2725"/>
    <mergeCell ref="B2726:C2726"/>
    <mergeCell ref="B2727:C2727"/>
    <mergeCell ref="B2728:C2728"/>
    <mergeCell ref="B2729:C2729"/>
    <mergeCell ref="B2730:C2730"/>
    <mergeCell ref="B2731:C2731"/>
    <mergeCell ref="B2732:C2732"/>
    <mergeCell ref="B2733:C2733"/>
    <mergeCell ref="B2734:C2734"/>
    <mergeCell ref="B2735:C2735"/>
    <mergeCell ref="B2736:C2736"/>
    <mergeCell ref="B2737:C2737"/>
    <mergeCell ref="B2738:C2738"/>
    <mergeCell ref="B2739:C2739"/>
    <mergeCell ref="B2740:C2740"/>
    <mergeCell ref="B2741:C2741"/>
    <mergeCell ref="B2742:C2742"/>
    <mergeCell ref="B2743:C2743"/>
    <mergeCell ref="B2744:C2744"/>
    <mergeCell ref="B2745:C2745"/>
    <mergeCell ref="B2746:C2746"/>
    <mergeCell ref="B2747:C2747"/>
    <mergeCell ref="B2748:C2748"/>
    <mergeCell ref="B2749:C2749"/>
    <mergeCell ref="B2750:C2750"/>
    <mergeCell ref="B2751:C2751"/>
    <mergeCell ref="B2752:C2752"/>
    <mergeCell ref="B2753:C2753"/>
    <mergeCell ref="B2754:C2754"/>
    <mergeCell ref="B2755:C2755"/>
    <mergeCell ref="B2756:C2756"/>
    <mergeCell ref="B2757:C2757"/>
    <mergeCell ref="B2758:C2758"/>
    <mergeCell ref="B2759:C2759"/>
    <mergeCell ref="B2760:C2760"/>
    <mergeCell ref="B2761:C2761"/>
    <mergeCell ref="B2762:C2762"/>
    <mergeCell ref="B2763:C2763"/>
    <mergeCell ref="B2764:C2764"/>
    <mergeCell ref="B2765:C2765"/>
    <mergeCell ref="B2766:C2766"/>
    <mergeCell ref="B2767:C2767"/>
    <mergeCell ref="B2768:C2768"/>
    <mergeCell ref="B2769:C2769"/>
    <mergeCell ref="B2770:C2770"/>
    <mergeCell ref="B2771:C2771"/>
    <mergeCell ref="B2772:C2772"/>
    <mergeCell ref="B2773:C2773"/>
    <mergeCell ref="B2774:C2774"/>
    <mergeCell ref="B2775:C2775"/>
    <mergeCell ref="B2776:C2776"/>
    <mergeCell ref="B2777:C2777"/>
    <mergeCell ref="B2778:C2778"/>
    <mergeCell ref="B2779:C2779"/>
    <mergeCell ref="B2780:C2780"/>
    <mergeCell ref="B2781:C2781"/>
    <mergeCell ref="B2782:C2782"/>
    <mergeCell ref="B2783:C2783"/>
    <mergeCell ref="B2784:C2784"/>
    <mergeCell ref="B2785:C2785"/>
    <mergeCell ref="B2786:C2786"/>
    <mergeCell ref="B2787:C2787"/>
    <mergeCell ref="B2788:C2788"/>
    <mergeCell ref="B2789:C2789"/>
    <mergeCell ref="B2790:C2790"/>
    <mergeCell ref="B2791:C2791"/>
    <mergeCell ref="B2792:C2792"/>
    <mergeCell ref="B2793:C2793"/>
    <mergeCell ref="B2794:C2794"/>
    <mergeCell ref="B2795:C2795"/>
    <mergeCell ref="B2796:C2796"/>
    <mergeCell ref="B2797:C2797"/>
    <mergeCell ref="B2798:C2798"/>
    <mergeCell ref="B2799:C2799"/>
    <mergeCell ref="B2800:C2800"/>
    <mergeCell ref="B2801:C2801"/>
    <mergeCell ref="B2802:C2802"/>
    <mergeCell ref="B2803:C2803"/>
    <mergeCell ref="B2804:C2804"/>
    <mergeCell ref="B2805:C2805"/>
    <mergeCell ref="B2806:C2806"/>
    <mergeCell ref="B2807:C2807"/>
    <mergeCell ref="B2808:C2808"/>
    <mergeCell ref="B2809:C2809"/>
    <mergeCell ref="B2810:C2810"/>
    <mergeCell ref="B2811:C2811"/>
    <mergeCell ref="B2812:C2812"/>
    <mergeCell ref="B2813:C2813"/>
    <mergeCell ref="B2814:C2814"/>
    <mergeCell ref="B2815:C2815"/>
    <mergeCell ref="B2816:C2816"/>
    <mergeCell ref="B2817:C2817"/>
    <mergeCell ref="B2818:C2818"/>
    <mergeCell ref="B2819:C2819"/>
    <mergeCell ref="B2820:C2820"/>
    <mergeCell ref="B2821:C2821"/>
    <mergeCell ref="B2822:C2822"/>
    <mergeCell ref="B2823:C2823"/>
    <mergeCell ref="B2824:C2824"/>
    <mergeCell ref="B2825:C2825"/>
    <mergeCell ref="B2826:C2826"/>
    <mergeCell ref="B2827:C2827"/>
    <mergeCell ref="B2828:C2828"/>
    <mergeCell ref="B2829:C2829"/>
    <mergeCell ref="B2830:C2830"/>
    <mergeCell ref="B2831:C2831"/>
    <mergeCell ref="B2832:C2832"/>
    <mergeCell ref="B2833:C2833"/>
    <mergeCell ref="B2834:C2834"/>
    <mergeCell ref="B2835:C2835"/>
    <mergeCell ref="B2836:C2836"/>
    <mergeCell ref="B2837:C2837"/>
    <mergeCell ref="B2838:C2838"/>
    <mergeCell ref="B2839:C2839"/>
    <mergeCell ref="B2840:C2840"/>
    <mergeCell ref="B2841:C2841"/>
    <mergeCell ref="B2842:C2842"/>
    <mergeCell ref="B2843:C2843"/>
    <mergeCell ref="B2844:C2844"/>
    <mergeCell ref="B2845:C2845"/>
    <mergeCell ref="B2846:C2846"/>
    <mergeCell ref="B2847:C2847"/>
    <mergeCell ref="B2848:C2848"/>
    <mergeCell ref="B2849:C2849"/>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41.38"/>
    <col customWidth="1" min="3" max="3" width="30.25"/>
    <col customWidth="1" min="7" max="7" width="130.25"/>
  </cols>
  <sheetData>
    <row r="1">
      <c r="A1" s="28"/>
      <c r="B1" s="28" t="s">
        <v>5985</v>
      </c>
      <c r="C1" s="21"/>
      <c r="D1" s="21"/>
      <c r="E1" s="21"/>
      <c r="F1" s="21"/>
      <c r="G1" s="21"/>
    </row>
    <row r="2">
      <c r="A2" s="28" t="s">
        <v>266</v>
      </c>
      <c r="B2" s="21" t="s">
        <v>1</v>
      </c>
      <c r="C2" s="21" t="s">
        <v>79</v>
      </c>
      <c r="D2" s="21" t="s">
        <v>80</v>
      </c>
      <c r="E2" s="21" t="s">
        <v>82</v>
      </c>
      <c r="F2" s="21" t="s">
        <v>83</v>
      </c>
      <c r="G2" s="21" t="s">
        <v>84</v>
      </c>
    </row>
    <row r="3">
      <c r="A3" s="28" t="s">
        <v>277</v>
      </c>
      <c r="B3" s="21" t="s">
        <v>29</v>
      </c>
      <c r="C3" s="21" t="s">
        <v>87</v>
      </c>
      <c r="D3" s="25">
        <v>480.0</v>
      </c>
      <c r="E3" s="25">
        <v>42.0</v>
      </c>
      <c r="F3" s="25">
        <v>3.89</v>
      </c>
      <c r="G3" s="21" t="s">
        <v>106</v>
      </c>
    </row>
    <row r="4">
      <c r="A4" s="28" t="s">
        <v>277</v>
      </c>
      <c r="B4" s="21" t="s">
        <v>108</v>
      </c>
      <c r="C4" s="21" t="s">
        <v>87</v>
      </c>
      <c r="D4" s="25">
        <v>390.0</v>
      </c>
      <c r="E4" s="25">
        <v>38.0</v>
      </c>
      <c r="F4" s="25">
        <v>3.89</v>
      </c>
      <c r="G4" s="21" t="s">
        <v>109</v>
      </c>
    </row>
    <row r="5">
      <c r="A5" s="21"/>
      <c r="B5" s="21" t="s">
        <v>5986</v>
      </c>
      <c r="C5" s="21" t="s">
        <v>90</v>
      </c>
      <c r="D5" s="25">
        <v>260.0</v>
      </c>
      <c r="E5" s="25">
        <v>23.0</v>
      </c>
      <c r="F5" s="25">
        <v>5.56</v>
      </c>
      <c r="G5" s="21" t="s">
        <v>5987</v>
      </c>
    </row>
    <row r="6">
      <c r="A6" s="28" t="s">
        <v>277</v>
      </c>
      <c r="B6" s="21" t="s">
        <v>157</v>
      </c>
      <c r="C6" s="21" t="s">
        <v>87</v>
      </c>
      <c r="D6" s="25">
        <v>170.0</v>
      </c>
      <c r="E6" s="25">
        <v>24.0</v>
      </c>
      <c r="F6" s="25">
        <v>3.89</v>
      </c>
      <c r="G6" s="21" t="s">
        <v>158</v>
      </c>
    </row>
    <row r="7">
      <c r="A7" s="28" t="s">
        <v>277</v>
      </c>
      <c r="B7" s="21" t="s">
        <v>110</v>
      </c>
      <c r="C7" s="21" t="s">
        <v>87</v>
      </c>
      <c r="D7" s="25">
        <v>50.0</v>
      </c>
      <c r="E7" s="25">
        <v>19.0</v>
      </c>
      <c r="F7" s="25">
        <v>0.36</v>
      </c>
      <c r="G7" s="21" t="s">
        <v>111</v>
      </c>
    </row>
    <row r="8">
      <c r="A8" s="21"/>
      <c r="B8" s="21" t="s">
        <v>5988</v>
      </c>
      <c r="C8" s="21" t="s">
        <v>87</v>
      </c>
      <c r="D8" s="25">
        <v>40.0</v>
      </c>
      <c r="E8" s="25">
        <v>21.0</v>
      </c>
      <c r="F8" s="25">
        <v>4.22</v>
      </c>
      <c r="G8" s="21" t="s">
        <v>5989</v>
      </c>
    </row>
    <row r="9">
      <c r="A9" s="21"/>
      <c r="B9" s="21" t="s">
        <v>5990</v>
      </c>
      <c r="C9" s="21" t="s">
        <v>160</v>
      </c>
      <c r="D9" s="25">
        <v>40.0</v>
      </c>
      <c r="E9" s="25">
        <v>10.0</v>
      </c>
      <c r="F9" s="25">
        <v>3.7</v>
      </c>
      <c r="G9" s="21" t="s">
        <v>893</v>
      </c>
    </row>
    <row r="10">
      <c r="A10" s="21"/>
      <c r="B10" s="21" t="s">
        <v>5991</v>
      </c>
      <c r="C10" s="21" t="s">
        <v>87</v>
      </c>
      <c r="D10" s="25">
        <v>40.0</v>
      </c>
      <c r="E10" s="25">
        <v>21.0</v>
      </c>
      <c r="F10" s="25">
        <v>0.26</v>
      </c>
      <c r="G10" s="21" t="s">
        <v>5992</v>
      </c>
    </row>
    <row r="11">
      <c r="A11" s="21"/>
      <c r="B11" s="21" t="s">
        <v>5993</v>
      </c>
      <c r="C11" s="21" t="s">
        <v>117</v>
      </c>
      <c r="D11" s="25">
        <v>30.0</v>
      </c>
      <c r="E11" s="25">
        <v>19.0</v>
      </c>
      <c r="F11" s="25">
        <v>4.19</v>
      </c>
      <c r="G11" s="21" t="s">
        <v>1380</v>
      </c>
    </row>
    <row r="12">
      <c r="A12" s="21"/>
      <c r="B12" s="21" t="s">
        <v>5994</v>
      </c>
      <c r="C12" s="34"/>
      <c r="D12" s="25">
        <v>20.0</v>
      </c>
      <c r="E12" s="34"/>
      <c r="F12" s="25">
        <v>5.73</v>
      </c>
      <c r="G12" s="34"/>
    </row>
    <row r="13">
      <c r="A13" s="21"/>
      <c r="B13" s="21" t="s">
        <v>5995</v>
      </c>
      <c r="C13" s="34"/>
      <c r="D13" s="25">
        <v>20.0</v>
      </c>
      <c r="E13" s="34"/>
      <c r="F13" s="25">
        <v>0.99</v>
      </c>
      <c r="G13" s="34"/>
    </row>
    <row r="14">
      <c r="A14" s="21"/>
      <c r="B14" s="21" t="s">
        <v>5996</v>
      </c>
      <c r="C14" s="34"/>
      <c r="D14" s="25">
        <v>20.0</v>
      </c>
      <c r="E14" s="34"/>
      <c r="F14" s="25">
        <v>3.46</v>
      </c>
      <c r="G14" s="34"/>
    </row>
    <row r="15">
      <c r="A15" s="21"/>
      <c r="B15" s="21" t="s">
        <v>5997</v>
      </c>
      <c r="C15" s="34"/>
      <c r="D15" s="25">
        <v>20.0</v>
      </c>
      <c r="E15" s="34"/>
      <c r="F15" s="25">
        <v>3.46</v>
      </c>
      <c r="G15" s="34"/>
    </row>
    <row r="16">
      <c r="A16" s="21"/>
      <c r="B16" s="21" t="s">
        <v>5998</v>
      </c>
      <c r="C16" s="34"/>
      <c r="D16" s="25">
        <v>20.0</v>
      </c>
      <c r="E16" s="34"/>
      <c r="F16" s="25">
        <v>4.19</v>
      </c>
      <c r="G16" s="34"/>
    </row>
    <row r="17">
      <c r="A17" s="21"/>
      <c r="B17" s="21" t="s">
        <v>5999</v>
      </c>
      <c r="C17" s="34"/>
      <c r="D17" s="25">
        <v>20.0</v>
      </c>
      <c r="E17" s="34"/>
      <c r="F17" s="25">
        <v>0.0</v>
      </c>
      <c r="G17" s="34"/>
    </row>
    <row r="18">
      <c r="A18" s="21"/>
      <c r="B18" s="21" t="s">
        <v>6000</v>
      </c>
      <c r="C18" s="34"/>
      <c r="D18" s="25">
        <v>20.0</v>
      </c>
      <c r="E18" s="34"/>
      <c r="F18" s="25">
        <v>0.0</v>
      </c>
      <c r="G18" s="34"/>
    </row>
    <row r="19">
      <c r="A19" s="21"/>
      <c r="B19" s="21" t="s">
        <v>6001</v>
      </c>
      <c r="C19" s="34"/>
      <c r="D19" s="25">
        <v>10.0</v>
      </c>
      <c r="E19" s="34"/>
      <c r="F19" s="25">
        <v>1.07</v>
      </c>
      <c r="G19" s="34"/>
    </row>
    <row r="20">
      <c r="A20" s="21"/>
      <c r="B20" s="21" t="s">
        <v>6002</v>
      </c>
      <c r="C20" s="34"/>
      <c r="D20" s="25">
        <v>10.0</v>
      </c>
      <c r="E20" s="34"/>
      <c r="F20" s="25">
        <v>7.94</v>
      </c>
      <c r="G20" s="34"/>
    </row>
    <row r="21">
      <c r="A21" s="21"/>
      <c r="B21" s="21" t="s">
        <v>6003</v>
      </c>
      <c r="C21" s="34"/>
      <c r="D21" s="25">
        <v>10.0</v>
      </c>
      <c r="E21" s="34"/>
      <c r="F21" s="25">
        <v>1.07</v>
      </c>
      <c r="G21" s="34"/>
    </row>
    <row r="22">
      <c r="A22" s="21"/>
      <c r="B22" s="21" t="s">
        <v>6004</v>
      </c>
      <c r="D22" s="25">
        <v>0.0</v>
      </c>
      <c r="E22" s="34"/>
      <c r="F22" s="25">
        <v>0.0</v>
      </c>
      <c r="G22" s="34"/>
    </row>
    <row r="23">
      <c r="A23" s="21"/>
      <c r="B23" s="21" t="s">
        <v>6005</v>
      </c>
      <c r="D23" s="25">
        <v>0.0</v>
      </c>
      <c r="E23" s="34"/>
      <c r="F23" s="25">
        <v>0.0</v>
      </c>
      <c r="G23" s="34"/>
    </row>
    <row r="24">
      <c r="A24" s="21"/>
      <c r="B24" s="21" t="s">
        <v>6006</v>
      </c>
      <c r="C24" s="34"/>
      <c r="D24" s="25">
        <v>0.0</v>
      </c>
      <c r="E24" s="34"/>
      <c r="F24" s="25">
        <v>0.0</v>
      </c>
      <c r="G24" s="34"/>
    </row>
    <row r="25">
      <c r="A25" s="21"/>
      <c r="B25" s="21" t="s">
        <v>6007</v>
      </c>
      <c r="C25" s="34"/>
      <c r="D25" s="25">
        <v>0.0</v>
      </c>
      <c r="E25" s="34"/>
      <c r="F25" s="25">
        <v>0.0</v>
      </c>
      <c r="G25" s="34"/>
    </row>
    <row r="26">
      <c r="A26" s="21"/>
      <c r="B26" s="21" t="s">
        <v>6008</v>
      </c>
      <c r="C26" s="34"/>
      <c r="D26" s="25">
        <v>0.0</v>
      </c>
      <c r="E26" s="34"/>
      <c r="F26" s="25">
        <v>0.31</v>
      </c>
      <c r="G26" s="34"/>
    </row>
    <row r="27">
      <c r="A27" s="21"/>
      <c r="B27" s="21" t="s">
        <v>6009</v>
      </c>
      <c r="C27" s="34"/>
      <c r="D27" s="25">
        <v>0.0</v>
      </c>
      <c r="E27" s="34"/>
      <c r="F27" s="25">
        <v>0.0</v>
      </c>
      <c r="G27" s="34"/>
    </row>
    <row r="28">
      <c r="A28" s="21"/>
      <c r="B28" s="21" t="s">
        <v>6010</v>
      </c>
      <c r="C28" s="34"/>
      <c r="D28" s="25">
        <v>0.0</v>
      </c>
      <c r="E28" s="34"/>
      <c r="F28" s="25">
        <v>0.31</v>
      </c>
      <c r="G28" s="34"/>
    </row>
    <row r="29">
      <c r="A29" s="21"/>
      <c r="B29" s="21" t="s">
        <v>6011</v>
      </c>
      <c r="C29" s="34"/>
      <c r="D29" s="25">
        <v>0.0</v>
      </c>
      <c r="E29" s="34"/>
      <c r="F29" s="25">
        <v>0.0</v>
      </c>
      <c r="G29" s="34"/>
    </row>
    <row r="30">
      <c r="A30" s="21"/>
      <c r="B30" s="21" t="s">
        <v>6012</v>
      </c>
      <c r="C30" s="34"/>
      <c r="D30" s="25">
        <v>0.0</v>
      </c>
      <c r="E30" s="34"/>
      <c r="F30" s="25">
        <v>0.0</v>
      </c>
      <c r="G30" s="34"/>
    </row>
    <row r="31">
      <c r="A31" s="21"/>
      <c r="B31" s="21" t="s">
        <v>6013</v>
      </c>
      <c r="C31" s="34"/>
      <c r="D31" s="25">
        <v>0.0</v>
      </c>
      <c r="E31" s="34"/>
      <c r="F31" s="25">
        <v>5.85</v>
      </c>
      <c r="G31" s="34"/>
    </row>
    <row r="32">
      <c r="A32" s="21"/>
      <c r="B32" s="21" t="s">
        <v>6014</v>
      </c>
      <c r="C32" s="34"/>
      <c r="D32" s="25">
        <v>0.0</v>
      </c>
      <c r="E32" s="34"/>
      <c r="F32" s="25">
        <v>0.0</v>
      </c>
      <c r="G32" s="34"/>
    </row>
    <row r="33">
      <c r="A33" s="21"/>
      <c r="B33" s="21" t="s">
        <v>6015</v>
      </c>
      <c r="C33" s="34"/>
      <c r="D33" s="25">
        <v>0.0</v>
      </c>
      <c r="E33" s="34"/>
      <c r="F33" s="25">
        <v>0.0</v>
      </c>
      <c r="G33" s="34"/>
    </row>
    <row r="34">
      <c r="A34" s="21"/>
      <c r="B34" s="21" t="s">
        <v>6016</v>
      </c>
      <c r="C34" s="34"/>
      <c r="D34" s="25">
        <v>0.0</v>
      </c>
      <c r="E34" s="34"/>
      <c r="F34" s="25">
        <v>0.0</v>
      </c>
      <c r="G34" s="34"/>
    </row>
    <row r="35">
      <c r="A35" s="21"/>
      <c r="B35" s="21" t="s">
        <v>6017</v>
      </c>
      <c r="C35" s="34"/>
      <c r="D35" s="25">
        <v>0.0</v>
      </c>
      <c r="E35" s="34"/>
      <c r="F35" s="25">
        <v>0.0</v>
      </c>
      <c r="G35" s="34"/>
    </row>
    <row r="36">
      <c r="A36" s="21"/>
      <c r="B36" s="21" t="s">
        <v>6018</v>
      </c>
      <c r="C36" s="34"/>
      <c r="D36" s="25">
        <v>0.0</v>
      </c>
      <c r="E36" s="34"/>
      <c r="F36" s="25">
        <v>0.0</v>
      </c>
      <c r="G36" s="34"/>
    </row>
    <row r="37">
      <c r="A37" s="21"/>
      <c r="B37" s="21" t="s">
        <v>6019</v>
      </c>
      <c r="C37" s="34"/>
      <c r="D37" s="25">
        <v>0.0</v>
      </c>
      <c r="E37" s="34"/>
      <c r="F37" s="25">
        <v>0.0</v>
      </c>
      <c r="G37" s="34"/>
    </row>
    <row r="38">
      <c r="A38" s="21"/>
      <c r="B38" s="21" t="s">
        <v>6020</v>
      </c>
      <c r="C38" s="34"/>
      <c r="D38" s="25">
        <v>0.0</v>
      </c>
      <c r="E38" s="34"/>
      <c r="F38" s="25">
        <v>0.0</v>
      </c>
      <c r="G38" s="34"/>
    </row>
    <row r="39">
      <c r="A39" s="21"/>
      <c r="B39" s="21" t="s">
        <v>6021</v>
      </c>
      <c r="C39" s="34"/>
      <c r="D39" s="25">
        <v>0.0</v>
      </c>
      <c r="E39" s="34"/>
      <c r="F39" s="25">
        <v>0.0</v>
      </c>
      <c r="G39" s="34"/>
    </row>
    <row r="40">
      <c r="A40" s="21"/>
      <c r="B40" s="21" t="s">
        <v>6022</v>
      </c>
      <c r="C40" s="34"/>
      <c r="D40" s="25">
        <v>0.0</v>
      </c>
      <c r="E40" s="34"/>
      <c r="F40" s="25">
        <v>0.0</v>
      </c>
      <c r="G40" s="34"/>
    </row>
    <row r="41">
      <c r="A41" s="21"/>
      <c r="B41" s="21" t="s">
        <v>6023</v>
      </c>
      <c r="C41" s="34"/>
      <c r="D41" s="25">
        <v>0.0</v>
      </c>
      <c r="E41" s="34"/>
      <c r="F41" s="25">
        <v>0.0</v>
      </c>
      <c r="G41" s="34"/>
    </row>
    <row r="42">
      <c r="A42" s="21"/>
      <c r="B42" s="21" t="s">
        <v>6024</v>
      </c>
      <c r="C42" s="34"/>
      <c r="D42" s="25">
        <v>0.0</v>
      </c>
      <c r="E42" s="34"/>
      <c r="F42" s="25">
        <v>0.0</v>
      </c>
      <c r="G42" s="34"/>
    </row>
    <row r="43">
      <c r="A43" s="21"/>
      <c r="B43" s="21" t="s">
        <v>6025</v>
      </c>
      <c r="C43" s="34"/>
      <c r="D43" s="25">
        <v>0.0</v>
      </c>
      <c r="E43" s="34"/>
      <c r="F43" s="25">
        <v>0.0</v>
      </c>
      <c r="G43" s="34"/>
    </row>
    <row r="44">
      <c r="A44" s="21"/>
      <c r="B44" s="21" t="s">
        <v>6026</v>
      </c>
      <c r="C44" s="34"/>
      <c r="D44" s="25">
        <v>0.0</v>
      </c>
      <c r="E44" s="34"/>
      <c r="F44" s="25">
        <v>0.0</v>
      </c>
      <c r="G44" s="34"/>
    </row>
    <row r="45">
      <c r="A45" s="21"/>
      <c r="B45" s="21" t="s">
        <v>6027</v>
      </c>
      <c r="C45" s="34"/>
      <c r="D45" s="25">
        <v>0.0</v>
      </c>
      <c r="E45" s="34"/>
      <c r="F45" s="25">
        <v>0.0</v>
      </c>
      <c r="G45" s="34"/>
    </row>
    <row r="46">
      <c r="A46" s="21"/>
      <c r="B46" s="21" t="s">
        <v>6028</v>
      </c>
      <c r="C46" s="34"/>
      <c r="D46" s="25">
        <v>0.0</v>
      </c>
      <c r="E46" s="34"/>
      <c r="F46" s="25">
        <v>0.0</v>
      </c>
      <c r="G46" s="34"/>
    </row>
    <row r="47">
      <c r="A47" s="21"/>
      <c r="B47" s="21" t="s">
        <v>6029</v>
      </c>
      <c r="C47" s="34"/>
      <c r="D47" s="25">
        <v>0.0</v>
      </c>
      <c r="E47" s="34"/>
      <c r="F47" s="25">
        <v>0.0</v>
      </c>
      <c r="G47" s="34"/>
    </row>
    <row r="48">
      <c r="A48" s="21"/>
      <c r="B48" s="21" t="s">
        <v>6030</v>
      </c>
      <c r="C48" s="34"/>
      <c r="D48" s="25">
        <v>0.0</v>
      </c>
      <c r="E48" s="34"/>
      <c r="F48" s="25">
        <v>0.0</v>
      </c>
      <c r="G48" s="34"/>
    </row>
    <row r="49">
      <c r="A49" s="21"/>
      <c r="B49" s="21" t="s">
        <v>6031</v>
      </c>
      <c r="C49" s="34"/>
      <c r="D49" s="25">
        <v>0.0</v>
      </c>
      <c r="E49" s="34"/>
      <c r="F49" s="25">
        <v>0.0</v>
      </c>
      <c r="G49" s="34"/>
    </row>
    <row r="50">
      <c r="A50" s="21"/>
      <c r="B50" s="21" t="s">
        <v>6032</v>
      </c>
      <c r="C50" s="34"/>
      <c r="D50" s="25">
        <v>0.0</v>
      </c>
      <c r="E50" s="34"/>
      <c r="F50" s="25">
        <v>0.0</v>
      </c>
      <c r="G50" s="34"/>
    </row>
    <row r="51">
      <c r="A51" s="21"/>
      <c r="B51" s="21" t="s">
        <v>6033</v>
      </c>
      <c r="C51" s="34"/>
      <c r="D51" s="25">
        <v>0.0</v>
      </c>
      <c r="E51" s="27"/>
      <c r="F51" s="25">
        <v>0.0</v>
      </c>
      <c r="G51" s="27"/>
    </row>
    <row r="52">
      <c r="A52" s="21"/>
      <c r="B52" s="21" t="s">
        <v>6034</v>
      </c>
      <c r="C52" s="34"/>
      <c r="D52" s="25">
        <v>0.0</v>
      </c>
      <c r="E52" s="34"/>
      <c r="F52" s="25">
        <v>0.0</v>
      </c>
      <c r="G52" s="34"/>
    </row>
    <row r="53">
      <c r="A53" s="21"/>
      <c r="B53" s="21" t="s">
        <v>6035</v>
      </c>
      <c r="C53" s="34"/>
      <c r="D53" s="25">
        <v>0.0</v>
      </c>
      <c r="E53" s="34"/>
      <c r="F53" s="25">
        <v>0.0</v>
      </c>
      <c r="G53" s="34"/>
    </row>
    <row r="54">
      <c r="A54" s="21"/>
      <c r="B54" s="21" t="s">
        <v>6036</v>
      </c>
      <c r="C54" s="34"/>
      <c r="D54" s="25">
        <v>0.0</v>
      </c>
      <c r="E54" s="34"/>
      <c r="F54" s="25">
        <v>0.0</v>
      </c>
      <c r="G54" s="34"/>
    </row>
    <row r="55">
      <c r="A55" s="21"/>
      <c r="B55" s="21" t="s">
        <v>6037</v>
      </c>
      <c r="C55" s="34"/>
      <c r="D55" s="25">
        <v>0.0</v>
      </c>
      <c r="E55" s="34"/>
      <c r="F55" s="25">
        <v>0.0</v>
      </c>
      <c r="G55" s="34"/>
    </row>
    <row r="56">
      <c r="A56" s="21"/>
      <c r="B56" s="21" t="s">
        <v>6038</v>
      </c>
      <c r="C56" s="34"/>
      <c r="D56" s="25">
        <v>0.0</v>
      </c>
      <c r="E56" s="34"/>
      <c r="F56" s="25">
        <v>0.0</v>
      </c>
      <c r="G56" s="34"/>
    </row>
    <row r="57">
      <c r="A57" s="21"/>
      <c r="B57" s="21" t="s">
        <v>6039</v>
      </c>
      <c r="D57" s="25">
        <v>0.0</v>
      </c>
      <c r="E57" s="34"/>
      <c r="F57" s="25">
        <v>0.0</v>
      </c>
      <c r="G57" s="34"/>
    </row>
    <row r="58">
      <c r="A58" s="21"/>
      <c r="B58" s="21" t="s">
        <v>6040</v>
      </c>
      <c r="C58" s="34"/>
      <c r="D58" s="25">
        <v>0.0</v>
      </c>
      <c r="E58" s="34"/>
      <c r="F58" s="25">
        <v>0.0</v>
      </c>
      <c r="G58" s="34"/>
    </row>
    <row r="59">
      <c r="A59" s="21"/>
      <c r="B59" s="21" t="s">
        <v>6041</v>
      </c>
      <c r="C59" s="34"/>
      <c r="D59" s="25">
        <v>0.0</v>
      </c>
      <c r="E59" s="34"/>
      <c r="F59" s="25">
        <v>0.0</v>
      </c>
      <c r="G59" s="34"/>
    </row>
    <row r="60">
      <c r="A60" s="21"/>
      <c r="B60" s="21" t="s">
        <v>6042</v>
      </c>
      <c r="C60" s="34"/>
      <c r="D60" s="25">
        <v>0.0</v>
      </c>
      <c r="E60" s="34"/>
      <c r="F60" s="25">
        <v>0.0</v>
      </c>
      <c r="G60" s="34"/>
    </row>
    <row r="61">
      <c r="A61" s="21"/>
      <c r="B61" s="21" t="s">
        <v>6043</v>
      </c>
      <c r="D61" s="25">
        <v>0.0</v>
      </c>
      <c r="E61" s="34"/>
      <c r="F61" s="25">
        <v>0.0</v>
      </c>
      <c r="G61" s="34"/>
    </row>
    <row r="62">
      <c r="A62" s="21"/>
      <c r="B62" s="21" t="s">
        <v>6044</v>
      </c>
      <c r="C62" s="34"/>
      <c r="D62" s="25">
        <v>0.0</v>
      </c>
      <c r="E62" s="34"/>
      <c r="F62" s="25">
        <v>0.0</v>
      </c>
      <c r="G62" s="34"/>
    </row>
    <row r="63">
      <c r="A63" s="21"/>
      <c r="B63" s="21" t="s">
        <v>6045</v>
      </c>
      <c r="C63" s="34"/>
      <c r="D63" s="25">
        <v>0.0</v>
      </c>
      <c r="E63" s="34"/>
      <c r="F63" s="25">
        <v>0.0</v>
      </c>
      <c r="G63" s="34"/>
    </row>
    <row r="64">
      <c r="A64" s="21"/>
      <c r="B64" s="21" t="s">
        <v>6046</v>
      </c>
      <c r="C64" s="34"/>
      <c r="D64" s="25">
        <v>0.0</v>
      </c>
      <c r="E64" s="34"/>
      <c r="F64" s="25">
        <v>0.0</v>
      </c>
      <c r="G64" s="34"/>
    </row>
    <row r="65">
      <c r="A65" s="21"/>
      <c r="B65" s="21" t="s">
        <v>5031</v>
      </c>
      <c r="D65" s="25">
        <v>0.0</v>
      </c>
      <c r="E65" s="34"/>
      <c r="F65" s="25">
        <v>0.0</v>
      </c>
      <c r="G65" s="34"/>
    </row>
    <row r="66">
      <c r="A66" s="21"/>
      <c r="B66" s="21" t="s">
        <v>5032</v>
      </c>
      <c r="D66" s="25">
        <v>0.0</v>
      </c>
      <c r="E66" s="34"/>
      <c r="F66" s="25">
        <v>0.0</v>
      </c>
      <c r="G66" s="34"/>
    </row>
    <row r="67">
      <c r="A67" s="21"/>
      <c r="B67" s="21" t="s">
        <v>6047</v>
      </c>
      <c r="C67" s="34"/>
      <c r="D67" s="25">
        <v>0.0</v>
      </c>
      <c r="E67" s="34"/>
      <c r="F67" s="25">
        <v>0.0</v>
      </c>
      <c r="G67" s="34"/>
    </row>
    <row r="68">
      <c r="A68" s="21"/>
      <c r="B68" s="21" t="s">
        <v>6048</v>
      </c>
      <c r="C68" s="34"/>
      <c r="D68" s="25">
        <v>0.0</v>
      </c>
      <c r="E68" s="34"/>
      <c r="F68" s="25">
        <v>0.0</v>
      </c>
      <c r="G68" s="34"/>
    </row>
    <row r="69">
      <c r="A69" s="21"/>
      <c r="B69" s="21" t="s">
        <v>6049</v>
      </c>
      <c r="C69" s="34"/>
      <c r="D69" s="25">
        <v>0.0</v>
      </c>
      <c r="E69" s="34"/>
      <c r="F69" s="25">
        <v>2.96</v>
      </c>
      <c r="G69" s="34"/>
    </row>
    <row r="70">
      <c r="A70" s="21"/>
      <c r="B70" s="21" t="s">
        <v>6050</v>
      </c>
      <c r="C70" s="34"/>
      <c r="D70" s="25">
        <v>0.0</v>
      </c>
      <c r="E70" s="34"/>
      <c r="F70" s="25">
        <v>0.0</v>
      </c>
      <c r="G70" s="34"/>
    </row>
    <row r="71">
      <c r="A71" s="21"/>
      <c r="B71" s="21" t="s">
        <v>6051</v>
      </c>
      <c r="C71" s="34"/>
      <c r="D71" s="25">
        <v>0.0</v>
      </c>
      <c r="E71" s="34"/>
      <c r="F71" s="25">
        <v>0.99</v>
      </c>
      <c r="G71" s="34"/>
    </row>
    <row r="72">
      <c r="A72" s="21"/>
      <c r="B72" s="21" t="s">
        <v>6052</v>
      </c>
      <c r="C72" s="34"/>
      <c r="D72" s="25">
        <v>0.0</v>
      </c>
      <c r="E72" s="34"/>
      <c r="F72" s="25">
        <v>0.0</v>
      </c>
      <c r="G72" s="34"/>
    </row>
    <row r="73">
      <c r="A73" s="21"/>
      <c r="B73" s="21" t="s">
        <v>6053</v>
      </c>
      <c r="C73" s="34"/>
      <c r="D73" s="25">
        <v>0.0</v>
      </c>
      <c r="E73" s="34"/>
      <c r="F73" s="25">
        <v>0.0</v>
      </c>
      <c r="G73" s="34"/>
    </row>
    <row r="74">
      <c r="A74" s="21"/>
      <c r="B74" s="21" t="s">
        <v>6054</v>
      </c>
      <c r="C74" s="34"/>
      <c r="D74" s="25">
        <v>0.0</v>
      </c>
      <c r="E74" s="34"/>
      <c r="F74" s="25">
        <v>0.0</v>
      </c>
      <c r="G74" s="34"/>
    </row>
    <row r="75">
      <c r="A75" s="21"/>
      <c r="B75" s="21" t="s">
        <v>6055</v>
      </c>
      <c r="C75" s="34"/>
      <c r="D75" s="25">
        <v>0.0</v>
      </c>
      <c r="E75" s="34"/>
      <c r="F75" s="25">
        <v>0.0</v>
      </c>
      <c r="G75" s="34"/>
    </row>
    <row r="76">
      <c r="A76" s="21"/>
      <c r="B76" s="21" t="s">
        <v>6056</v>
      </c>
      <c r="C76" s="34"/>
      <c r="D76" s="25">
        <v>0.0</v>
      </c>
      <c r="E76" s="34"/>
      <c r="F76" s="25">
        <v>0.0</v>
      </c>
      <c r="G76" s="34"/>
    </row>
    <row r="77">
      <c r="A77" s="21"/>
      <c r="B77" s="21" t="s">
        <v>6057</v>
      </c>
      <c r="C77" s="34"/>
      <c r="D77" s="25">
        <v>0.0</v>
      </c>
      <c r="E77" s="34"/>
      <c r="F77" s="25">
        <v>0.0</v>
      </c>
      <c r="G77" s="34"/>
    </row>
    <row r="78">
      <c r="A78" s="21"/>
      <c r="B78" s="21" t="s">
        <v>6058</v>
      </c>
      <c r="C78" s="34"/>
      <c r="D78" s="25">
        <v>0.0</v>
      </c>
      <c r="E78" s="34"/>
      <c r="F78" s="25">
        <v>0.0</v>
      </c>
      <c r="G78" s="34"/>
    </row>
    <row r="79">
      <c r="A79" s="21"/>
      <c r="B79" s="21" t="s">
        <v>6059</v>
      </c>
      <c r="C79" s="34"/>
      <c r="D79" s="25">
        <v>0.0</v>
      </c>
      <c r="E79" s="34"/>
      <c r="F79" s="25">
        <v>0.0</v>
      </c>
      <c r="G79" s="34"/>
    </row>
    <row r="80">
      <c r="A80" s="21"/>
      <c r="B80" s="21" t="s">
        <v>6060</v>
      </c>
      <c r="C80" s="34"/>
      <c r="D80" s="25">
        <v>0.0</v>
      </c>
      <c r="E80" s="34"/>
      <c r="F80" s="25">
        <v>0.42</v>
      </c>
      <c r="G80" s="34"/>
    </row>
    <row r="81">
      <c r="A81" s="21"/>
      <c r="B81" s="21" t="s">
        <v>6061</v>
      </c>
      <c r="C81" s="34"/>
      <c r="D81" s="25">
        <v>0.0</v>
      </c>
      <c r="E81" s="34"/>
      <c r="F81" s="25">
        <v>0.0</v>
      </c>
      <c r="G81" s="34"/>
    </row>
    <row r="82">
      <c r="A82" s="21"/>
      <c r="B82" s="21" t="s">
        <v>6062</v>
      </c>
      <c r="C82" s="34"/>
      <c r="D82" s="25">
        <v>0.0</v>
      </c>
      <c r="E82" s="34"/>
      <c r="F82" s="25">
        <v>0.0</v>
      </c>
      <c r="G82" s="34"/>
    </row>
    <row r="83">
      <c r="A83" s="21"/>
      <c r="B83" s="21" t="s">
        <v>6063</v>
      </c>
      <c r="C83" s="34"/>
      <c r="D83" s="25">
        <v>0.0</v>
      </c>
      <c r="E83" s="34"/>
      <c r="F83" s="25">
        <v>0.0</v>
      </c>
      <c r="G83" s="34"/>
    </row>
    <row r="84">
      <c r="A84" s="21"/>
      <c r="B84" s="21" t="s">
        <v>6064</v>
      </c>
      <c r="C84" s="34"/>
      <c r="D84" s="25">
        <v>0.0</v>
      </c>
      <c r="E84" s="34"/>
      <c r="F84" s="25">
        <v>0.0</v>
      </c>
      <c r="G84" s="34"/>
    </row>
    <row r="85">
      <c r="A85" s="21"/>
      <c r="B85" s="21" t="s">
        <v>6065</v>
      </c>
      <c r="C85" s="34"/>
      <c r="D85" s="25">
        <v>0.0</v>
      </c>
      <c r="E85" s="34"/>
      <c r="F85" s="25">
        <v>0.0</v>
      </c>
      <c r="G85" s="34"/>
    </row>
    <row r="86">
      <c r="A86" s="21"/>
      <c r="B86" s="21" t="s">
        <v>6066</v>
      </c>
      <c r="C86" s="34"/>
      <c r="D86" s="25">
        <v>0.0</v>
      </c>
      <c r="E86" s="34"/>
      <c r="F86" s="25">
        <v>0.0</v>
      </c>
      <c r="G86" s="34"/>
    </row>
    <row r="87">
      <c r="A87" s="21"/>
      <c r="B87" s="21" t="s">
        <v>6067</v>
      </c>
      <c r="D87" s="25">
        <v>0.0</v>
      </c>
      <c r="E87" s="34"/>
      <c r="F87" s="25">
        <v>0.0</v>
      </c>
      <c r="G87" s="34"/>
    </row>
    <row r="88">
      <c r="A88" s="21"/>
      <c r="B88" s="21" t="s">
        <v>6068</v>
      </c>
      <c r="C88" s="34"/>
      <c r="D88" s="25">
        <v>0.0</v>
      </c>
      <c r="E88" s="34"/>
      <c r="F88" s="25">
        <v>0.0</v>
      </c>
      <c r="G88" s="34"/>
    </row>
    <row r="89">
      <c r="A89" s="21"/>
      <c r="B89" s="21" t="s">
        <v>6069</v>
      </c>
      <c r="C89" s="34"/>
      <c r="D89" s="25">
        <v>0.0</v>
      </c>
      <c r="E89" s="34"/>
      <c r="F89" s="25">
        <v>0.0</v>
      </c>
      <c r="G89" s="34"/>
    </row>
    <row r="90">
      <c r="A90" s="21"/>
      <c r="B90" s="21" t="s">
        <v>6070</v>
      </c>
      <c r="C90" s="34"/>
      <c r="D90" s="25">
        <v>0.0</v>
      </c>
      <c r="E90" s="34"/>
      <c r="F90" s="25">
        <v>0.0</v>
      </c>
      <c r="G90" s="34"/>
    </row>
    <row r="91">
      <c r="A91" s="21"/>
      <c r="B91" s="21" t="s">
        <v>6071</v>
      </c>
      <c r="C91" s="34"/>
      <c r="D91" s="25">
        <v>0.0</v>
      </c>
      <c r="E91" s="34"/>
      <c r="F91" s="25">
        <v>0.0</v>
      </c>
      <c r="G91" s="34"/>
    </row>
    <row r="92">
      <c r="A92" s="21"/>
      <c r="B92" s="21" t="s">
        <v>6072</v>
      </c>
      <c r="C92" s="34"/>
      <c r="D92" s="25">
        <v>0.0</v>
      </c>
      <c r="E92" s="34"/>
      <c r="F92" s="25">
        <v>0.0</v>
      </c>
      <c r="G92" s="34"/>
    </row>
    <row r="93">
      <c r="A93" s="21"/>
      <c r="B93" s="21"/>
      <c r="C93" s="21"/>
      <c r="D93" s="25"/>
      <c r="E93" s="25"/>
      <c r="F93" s="25"/>
      <c r="G93" s="21"/>
    </row>
    <row r="94">
      <c r="A94" s="21"/>
      <c r="B94" s="21"/>
      <c r="C94" s="21"/>
      <c r="D94" s="25"/>
      <c r="E94" s="25"/>
      <c r="F94" s="25"/>
      <c r="G94" s="21"/>
    </row>
    <row r="95">
      <c r="A95" s="21"/>
      <c r="B95" s="21"/>
      <c r="C95" s="21"/>
      <c r="D95" s="25"/>
      <c r="E95" s="25"/>
      <c r="F95" s="25"/>
      <c r="G95" s="21"/>
    </row>
    <row r="96">
      <c r="A96" s="21"/>
      <c r="B96" s="21"/>
      <c r="C96" s="21"/>
      <c r="D96" s="25"/>
      <c r="E96" s="25"/>
      <c r="F96" s="25"/>
      <c r="G96" s="21"/>
    </row>
    <row r="97">
      <c r="A97" s="21"/>
      <c r="B97" s="21"/>
      <c r="C97" s="21"/>
      <c r="D97" s="25"/>
      <c r="E97" s="25"/>
      <c r="F97" s="25"/>
      <c r="G97" s="21"/>
    </row>
    <row r="98">
      <c r="A98" s="21"/>
      <c r="B98" s="21"/>
      <c r="C98" s="21"/>
      <c r="D98" s="25"/>
      <c r="E98" s="25"/>
      <c r="F98" s="25"/>
      <c r="G98" s="21"/>
    </row>
    <row r="99">
      <c r="A99" s="21"/>
      <c r="B99" s="21"/>
      <c r="C99" s="21"/>
      <c r="D99" s="25"/>
      <c r="E99" s="25"/>
      <c r="F99" s="25"/>
      <c r="G99" s="21"/>
    </row>
    <row r="100">
      <c r="A100" s="21"/>
      <c r="B100" s="21"/>
      <c r="C100" s="21"/>
      <c r="D100" s="25"/>
      <c r="E100" s="25"/>
      <c r="F100" s="25"/>
      <c r="G100" s="21"/>
    </row>
    <row r="101">
      <c r="A101" s="21"/>
      <c r="B101" s="21"/>
      <c r="C101" s="21"/>
      <c r="D101" s="25"/>
      <c r="E101" s="25"/>
      <c r="F101" s="25"/>
      <c r="G101" s="21"/>
    </row>
    <row r="102">
      <c r="A102" s="21"/>
      <c r="B102" s="21"/>
      <c r="C102" s="21"/>
      <c r="D102" s="25"/>
      <c r="E102" s="25"/>
      <c r="F102" s="25"/>
      <c r="G102" s="21"/>
    </row>
    <row r="103">
      <c r="A103" s="21"/>
      <c r="B103" s="21"/>
      <c r="C103" s="21"/>
      <c r="D103" s="25"/>
      <c r="E103" s="25"/>
      <c r="F103" s="25"/>
      <c r="G103" s="21"/>
    </row>
    <row r="104">
      <c r="A104" s="21"/>
      <c r="B104" s="21"/>
      <c r="C104" s="21"/>
      <c r="D104" s="25"/>
      <c r="E104" s="25"/>
      <c r="F104" s="25"/>
      <c r="G104" s="21"/>
    </row>
    <row r="105">
      <c r="A105" s="21"/>
      <c r="B105" s="21"/>
      <c r="C105" s="21"/>
      <c r="D105" s="25"/>
      <c r="E105" s="25"/>
      <c r="F105" s="25"/>
      <c r="G105" s="21"/>
    </row>
    <row r="106">
      <c r="A106" s="21"/>
      <c r="B106" s="21"/>
      <c r="C106" s="21"/>
      <c r="D106" s="25"/>
      <c r="E106" s="25"/>
      <c r="F106" s="25"/>
      <c r="G106" s="21"/>
    </row>
    <row r="107">
      <c r="A107" s="21"/>
      <c r="B107" s="21"/>
      <c r="C107" s="21"/>
      <c r="D107" s="25"/>
      <c r="E107" s="25"/>
      <c r="F107" s="25"/>
      <c r="G107" s="21"/>
    </row>
    <row r="108">
      <c r="A108" s="21"/>
      <c r="B108" s="21"/>
      <c r="C108" s="21"/>
      <c r="D108" s="25"/>
      <c r="E108" s="25"/>
      <c r="F108" s="25"/>
      <c r="G108" s="21"/>
    </row>
    <row r="109">
      <c r="A109" s="21"/>
      <c r="B109" s="21"/>
      <c r="C109" s="21"/>
      <c r="D109" s="25"/>
      <c r="E109" s="25"/>
      <c r="F109" s="25"/>
      <c r="G109" s="21"/>
    </row>
    <row r="110">
      <c r="A110" s="21"/>
      <c r="B110" s="21"/>
      <c r="C110" s="21"/>
      <c r="D110" s="25"/>
      <c r="E110" s="25"/>
      <c r="F110" s="25"/>
      <c r="G110" s="21"/>
    </row>
    <row r="111">
      <c r="A111" s="21"/>
      <c r="B111" s="21"/>
      <c r="C111" s="21"/>
      <c r="D111" s="25"/>
      <c r="E111" s="25"/>
      <c r="F111" s="25"/>
      <c r="G111" s="21"/>
    </row>
    <row r="112">
      <c r="A112" s="21"/>
      <c r="B112" s="21"/>
      <c r="C112" s="21"/>
      <c r="D112" s="25"/>
      <c r="E112" s="25"/>
      <c r="F112" s="25"/>
      <c r="G112" s="21"/>
    </row>
    <row r="113">
      <c r="A113" s="21"/>
      <c r="B113" s="21"/>
      <c r="C113" s="21"/>
      <c r="D113" s="25"/>
      <c r="E113" s="25"/>
      <c r="F113" s="25"/>
      <c r="G113" s="21"/>
    </row>
    <row r="114">
      <c r="A114" s="21"/>
      <c r="B114" s="21"/>
      <c r="C114" s="21"/>
      <c r="D114" s="25"/>
      <c r="E114" s="25"/>
      <c r="F114" s="25"/>
      <c r="G114" s="21"/>
    </row>
    <row r="115">
      <c r="A115" s="21"/>
      <c r="B115" s="21"/>
      <c r="C115" s="21"/>
      <c r="D115" s="25"/>
      <c r="E115" s="25"/>
      <c r="F115" s="25"/>
      <c r="G115" s="21"/>
    </row>
    <row r="116">
      <c r="A116" s="21"/>
      <c r="B116" s="21"/>
      <c r="C116" s="21"/>
      <c r="D116" s="25"/>
      <c r="E116" s="25"/>
      <c r="F116" s="25"/>
      <c r="G116" s="21"/>
    </row>
    <row r="117">
      <c r="A117" s="21"/>
      <c r="B117" s="21"/>
      <c r="C117" s="21"/>
      <c r="D117" s="25"/>
      <c r="E117" s="25"/>
      <c r="F117" s="25"/>
      <c r="G117" s="21"/>
    </row>
    <row r="118">
      <c r="A118" s="21"/>
      <c r="B118" s="21"/>
      <c r="C118" s="21"/>
      <c r="D118" s="25"/>
      <c r="E118" s="25"/>
      <c r="F118" s="25"/>
      <c r="G118" s="21"/>
    </row>
    <row r="119">
      <c r="A119" s="21"/>
      <c r="B119" s="21"/>
      <c r="C119" s="21"/>
      <c r="D119" s="25"/>
      <c r="E119" s="25"/>
      <c r="F119" s="25"/>
      <c r="G119" s="21"/>
    </row>
    <row r="120">
      <c r="A120" s="21"/>
      <c r="B120" s="21"/>
      <c r="C120" s="21"/>
      <c r="D120" s="25"/>
      <c r="E120" s="25"/>
      <c r="F120" s="25"/>
      <c r="G120" s="21"/>
    </row>
    <row r="121">
      <c r="A121" s="21"/>
      <c r="B121" s="21"/>
      <c r="C121" s="21"/>
      <c r="D121" s="25"/>
      <c r="E121" s="25"/>
      <c r="F121" s="25"/>
      <c r="G121" s="21"/>
    </row>
    <row r="122">
      <c r="A122" s="21"/>
      <c r="B122" s="21"/>
      <c r="C122" s="21"/>
      <c r="D122" s="25"/>
      <c r="E122" s="25"/>
      <c r="F122" s="25"/>
      <c r="G122" s="21"/>
    </row>
    <row r="123">
      <c r="A123" s="21"/>
      <c r="B123" s="21"/>
      <c r="C123" s="21"/>
      <c r="D123" s="25"/>
      <c r="E123" s="25"/>
      <c r="F123" s="25"/>
      <c r="G123" s="21"/>
    </row>
    <row r="124">
      <c r="A124" s="21"/>
      <c r="B124" s="21"/>
      <c r="C124" s="21"/>
      <c r="D124" s="25"/>
      <c r="E124" s="25"/>
      <c r="F124" s="25"/>
      <c r="G124" s="21"/>
    </row>
    <row r="125">
      <c r="A125" s="21"/>
      <c r="B125" s="21"/>
      <c r="C125" s="21"/>
      <c r="D125" s="25"/>
      <c r="E125" s="25"/>
      <c r="F125" s="25"/>
      <c r="G125" s="21"/>
    </row>
    <row r="126">
      <c r="A126" s="21"/>
      <c r="B126" s="21"/>
      <c r="C126" s="21"/>
      <c r="D126" s="25"/>
      <c r="E126" s="25"/>
      <c r="F126" s="25"/>
      <c r="G126" s="21"/>
    </row>
    <row r="127">
      <c r="A127" s="21"/>
      <c r="B127" s="21"/>
      <c r="C127" s="21"/>
      <c r="D127" s="25"/>
      <c r="E127" s="25"/>
      <c r="F127" s="25"/>
      <c r="G127" s="21"/>
    </row>
    <row r="128">
      <c r="A128" s="21"/>
      <c r="B128" s="21"/>
      <c r="C128" s="21"/>
      <c r="D128" s="25"/>
      <c r="E128" s="25"/>
      <c r="F128" s="25"/>
      <c r="G128" s="21"/>
    </row>
    <row r="129">
      <c r="A129" s="21"/>
      <c r="B129" s="21"/>
      <c r="C129" s="21"/>
      <c r="D129" s="25"/>
      <c r="E129" s="25"/>
      <c r="F129" s="25"/>
      <c r="G129" s="21"/>
    </row>
    <row r="130">
      <c r="A130" s="21"/>
      <c r="B130" s="21"/>
      <c r="C130" s="21"/>
      <c r="D130" s="25"/>
      <c r="E130" s="25"/>
      <c r="F130" s="25"/>
      <c r="G130" s="21"/>
    </row>
    <row r="131">
      <c r="A131" s="21"/>
      <c r="B131" s="21"/>
      <c r="C131" s="21"/>
      <c r="D131" s="25"/>
      <c r="E131" s="25"/>
      <c r="F131" s="25"/>
      <c r="G131" s="21"/>
    </row>
    <row r="132">
      <c r="A132" s="21"/>
      <c r="B132" s="21"/>
      <c r="C132" s="21"/>
      <c r="D132" s="25"/>
      <c r="E132" s="25"/>
      <c r="F132" s="25"/>
      <c r="G132" s="21"/>
    </row>
    <row r="133">
      <c r="A133" s="21"/>
      <c r="B133" s="21"/>
      <c r="C133" s="21"/>
      <c r="D133" s="25"/>
      <c r="E133" s="25"/>
      <c r="F133" s="25"/>
      <c r="G133" s="21"/>
    </row>
    <row r="134">
      <c r="A134" s="21"/>
      <c r="B134" s="21"/>
      <c r="C134" s="21"/>
      <c r="D134" s="25"/>
      <c r="E134" s="25"/>
      <c r="F134" s="25"/>
      <c r="G134" s="21"/>
    </row>
    <row r="135">
      <c r="A135" s="21"/>
      <c r="B135" s="21"/>
      <c r="C135" s="21"/>
      <c r="D135" s="25"/>
      <c r="E135" s="25"/>
      <c r="F135" s="25"/>
      <c r="G135" s="21"/>
    </row>
    <row r="136">
      <c r="A136" s="21"/>
      <c r="B136" s="21"/>
      <c r="C136" s="21"/>
      <c r="D136" s="25"/>
      <c r="E136" s="25"/>
      <c r="F136" s="25"/>
      <c r="G136" s="21"/>
    </row>
    <row r="137">
      <c r="A137" s="21"/>
      <c r="B137" s="21"/>
      <c r="C137" s="21"/>
      <c r="D137" s="25"/>
      <c r="E137" s="25"/>
      <c r="F137" s="25"/>
      <c r="G137" s="21"/>
    </row>
    <row r="138">
      <c r="A138" s="21"/>
      <c r="B138" s="21"/>
      <c r="C138" s="21"/>
      <c r="D138" s="25"/>
      <c r="E138" s="25"/>
      <c r="F138" s="25"/>
      <c r="G138" s="21"/>
    </row>
    <row r="139">
      <c r="A139" s="21"/>
      <c r="B139" s="21"/>
      <c r="C139" s="21"/>
      <c r="D139" s="25"/>
      <c r="E139" s="25"/>
      <c r="F139" s="25"/>
      <c r="G139" s="21"/>
    </row>
    <row r="140">
      <c r="A140" s="21"/>
      <c r="B140" s="21"/>
      <c r="C140" s="21"/>
      <c r="D140" s="25"/>
      <c r="E140" s="25"/>
      <c r="F140" s="25"/>
      <c r="G140" s="21"/>
    </row>
    <row r="141">
      <c r="A141" s="21"/>
      <c r="B141" s="21"/>
      <c r="C141" s="21"/>
      <c r="D141" s="25"/>
      <c r="E141" s="25"/>
      <c r="F141" s="25"/>
      <c r="G141" s="21"/>
    </row>
    <row r="142">
      <c r="A142" s="21"/>
      <c r="B142" s="21"/>
      <c r="C142" s="21"/>
      <c r="D142" s="25"/>
      <c r="E142" s="25"/>
      <c r="F142" s="25"/>
      <c r="G142" s="21"/>
    </row>
    <row r="143">
      <c r="A143" s="21"/>
      <c r="B143" s="21"/>
      <c r="C143" s="21"/>
      <c r="D143" s="25"/>
      <c r="E143" s="25"/>
      <c r="F143" s="25"/>
      <c r="G143" s="21"/>
    </row>
    <row r="144">
      <c r="A144" s="21"/>
      <c r="B144" s="21"/>
      <c r="C144" s="21"/>
      <c r="D144" s="25"/>
      <c r="E144" s="25"/>
      <c r="F144" s="25"/>
      <c r="G144" s="21"/>
    </row>
    <row r="145">
      <c r="A145" s="21"/>
      <c r="B145" s="21"/>
      <c r="C145" s="21"/>
      <c r="D145" s="25"/>
      <c r="E145" s="25"/>
      <c r="F145" s="25"/>
      <c r="G145" s="21"/>
    </row>
    <row r="146">
      <c r="A146" s="21"/>
      <c r="B146" s="21"/>
      <c r="C146" s="21"/>
      <c r="D146" s="25"/>
      <c r="E146" s="25"/>
      <c r="F146" s="25"/>
      <c r="G146" s="21"/>
    </row>
    <row r="147">
      <c r="A147" s="21"/>
      <c r="B147" s="21"/>
      <c r="C147" s="21"/>
      <c r="D147" s="25"/>
      <c r="E147" s="25"/>
      <c r="F147" s="25"/>
      <c r="G147" s="21"/>
    </row>
    <row r="148">
      <c r="A148" s="21"/>
      <c r="B148" s="21"/>
      <c r="C148" s="21"/>
      <c r="D148" s="25"/>
      <c r="E148" s="25"/>
      <c r="F148" s="25"/>
      <c r="G148" s="21"/>
    </row>
    <row r="149">
      <c r="A149" s="21"/>
      <c r="B149" s="21"/>
      <c r="C149" s="21"/>
      <c r="D149" s="25"/>
      <c r="E149" s="25"/>
      <c r="F149" s="25"/>
      <c r="G149" s="21"/>
    </row>
    <row r="150">
      <c r="A150" s="21"/>
      <c r="B150" s="21"/>
      <c r="C150" s="21"/>
      <c r="D150" s="25"/>
      <c r="E150" s="25"/>
      <c r="F150" s="25"/>
      <c r="G150" s="21"/>
    </row>
    <row r="151">
      <c r="A151" s="21"/>
      <c r="B151" s="21"/>
      <c r="C151" s="21"/>
      <c r="D151" s="25"/>
      <c r="E151" s="25"/>
      <c r="F151" s="25"/>
      <c r="G151" s="21"/>
    </row>
    <row r="152">
      <c r="A152" s="21"/>
      <c r="B152" s="21"/>
      <c r="C152" s="21"/>
      <c r="D152" s="25"/>
      <c r="E152" s="25"/>
      <c r="F152" s="25"/>
      <c r="G152" s="21"/>
    </row>
    <row r="153">
      <c r="A153" s="21"/>
      <c r="B153" s="21"/>
      <c r="C153" s="21"/>
      <c r="D153" s="25"/>
      <c r="E153" s="25"/>
      <c r="F153" s="25"/>
      <c r="G153" s="21"/>
    </row>
    <row r="154">
      <c r="A154" s="21"/>
      <c r="B154" s="21"/>
      <c r="C154" s="21"/>
      <c r="D154" s="25"/>
      <c r="E154" s="25"/>
      <c r="F154" s="25"/>
      <c r="G154" s="21"/>
    </row>
    <row r="155">
      <c r="A155" s="21"/>
      <c r="B155" s="21"/>
      <c r="C155" s="21"/>
      <c r="D155" s="25"/>
      <c r="E155" s="25"/>
      <c r="F155" s="25"/>
      <c r="G155" s="21"/>
    </row>
    <row r="156">
      <c r="A156" s="21"/>
      <c r="B156" s="21"/>
      <c r="C156" s="21"/>
      <c r="D156" s="25"/>
      <c r="E156" s="25"/>
      <c r="F156" s="25"/>
      <c r="G156" s="21"/>
    </row>
    <row r="157">
      <c r="A157" s="21"/>
      <c r="B157" s="21"/>
      <c r="C157" s="21"/>
      <c r="D157" s="25"/>
      <c r="E157" s="25"/>
      <c r="F157" s="25"/>
      <c r="G157" s="21"/>
    </row>
    <row r="158">
      <c r="A158" s="21"/>
      <c r="B158" s="21"/>
      <c r="C158" s="21"/>
      <c r="D158" s="25"/>
      <c r="E158" s="25"/>
      <c r="F158" s="25"/>
      <c r="G158" s="21"/>
    </row>
    <row r="159">
      <c r="A159" s="21"/>
      <c r="B159" s="21"/>
      <c r="C159" s="21"/>
      <c r="D159" s="25"/>
      <c r="E159" s="25"/>
      <c r="F159" s="25"/>
      <c r="G159" s="21"/>
    </row>
    <row r="160">
      <c r="A160" s="21"/>
      <c r="B160" s="21"/>
      <c r="C160" s="21"/>
      <c r="D160" s="25"/>
      <c r="E160" s="25"/>
      <c r="F160" s="25"/>
      <c r="G160" s="21"/>
    </row>
    <row r="161">
      <c r="A161" s="21"/>
      <c r="B161" s="21"/>
      <c r="C161" s="21"/>
      <c r="D161" s="25"/>
      <c r="E161" s="25"/>
      <c r="F161" s="25"/>
      <c r="G161" s="21"/>
    </row>
    <row r="162">
      <c r="A162" s="21"/>
      <c r="B162" s="21"/>
      <c r="C162" s="21"/>
      <c r="D162" s="25"/>
      <c r="E162" s="25"/>
      <c r="F162" s="25"/>
      <c r="G162" s="21"/>
    </row>
    <row r="163">
      <c r="A163" s="21"/>
      <c r="B163" s="21"/>
      <c r="C163" s="21"/>
      <c r="D163" s="25"/>
      <c r="E163" s="25"/>
      <c r="F163" s="25"/>
      <c r="G163" s="21"/>
    </row>
    <row r="164">
      <c r="A164" s="21"/>
      <c r="B164" s="21"/>
      <c r="C164" s="21"/>
      <c r="D164" s="25"/>
      <c r="E164" s="25"/>
      <c r="F164" s="25"/>
      <c r="G164" s="21"/>
    </row>
    <row r="165">
      <c r="A165" s="21"/>
      <c r="B165" s="21"/>
      <c r="C165" s="21"/>
      <c r="D165" s="25"/>
      <c r="E165" s="25"/>
      <c r="F165" s="25"/>
      <c r="G165" s="21"/>
    </row>
    <row r="166">
      <c r="A166" s="21"/>
      <c r="B166" s="21"/>
      <c r="C166" s="21"/>
      <c r="D166" s="25"/>
      <c r="E166" s="25"/>
      <c r="F166" s="25"/>
      <c r="G166" s="21"/>
    </row>
    <row r="167">
      <c r="A167" s="21"/>
      <c r="B167" s="21"/>
      <c r="C167" s="21"/>
      <c r="D167" s="25"/>
      <c r="E167" s="25"/>
      <c r="F167" s="25"/>
      <c r="G167" s="21"/>
    </row>
    <row r="168">
      <c r="A168" s="21"/>
      <c r="B168" s="21"/>
      <c r="C168" s="21"/>
      <c r="D168" s="25"/>
      <c r="E168" s="25"/>
      <c r="F168" s="25"/>
      <c r="G168" s="21"/>
    </row>
    <row r="169">
      <c r="A169" s="21"/>
      <c r="B169" s="21"/>
      <c r="C169" s="21"/>
      <c r="D169" s="25"/>
      <c r="E169" s="25"/>
      <c r="F169" s="25"/>
      <c r="G169" s="21"/>
    </row>
    <row r="170">
      <c r="A170" s="21"/>
      <c r="B170" s="21"/>
      <c r="C170" s="21"/>
      <c r="D170" s="25"/>
      <c r="E170" s="25"/>
      <c r="F170" s="25"/>
      <c r="G170" s="21"/>
    </row>
    <row r="171">
      <c r="A171" s="21"/>
      <c r="B171" s="21"/>
      <c r="C171" s="21"/>
      <c r="D171" s="25"/>
      <c r="E171" s="25"/>
      <c r="F171" s="25"/>
      <c r="G171" s="21"/>
    </row>
    <row r="172">
      <c r="A172" s="21"/>
      <c r="B172" s="21"/>
      <c r="C172" s="21"/>
      <c r="D172" s="25"/>
      <c r="E172" s="25"/>
      <c r="F172" s="25"/>
      <c r="G172" s="21"/>
    </row>
    <row r="173">
      <c r="A173" s="21"/>
      <c r="B173" s="21"/>
      <c r="C173" s="21"/>
      <c r="D173" s="25"/>
      <c r="E173" s="25"/>
      <c r="F173" s="25"/>
      <c r="G173" s="21"/>
    </row>
    <row r="174">
      <c r="A174" s="21"/>
      <c r="B174" s="21"/>
      <c r="C174" s="21"/>
      <c r="D174" s="25"/>
      <c r="E174" s="25"/>
      <c r="F174" s="25"/>
      <c r="G174" s="21"/>
    </row>
    <row r="175">
      <c r="A175" s="21"/>
      <c r="B175" s="21"/>
      <c r="C175" s="21"/>
      <c r="D175" s="25"/>
      <c r="E175" s="25"/>
      <c r="F175" s="25"/>
      <c r="G175" s="21"/>
    </row>
    <row r="176">
      <c r="A176" s="21"/>
      <c r="B176" s="21"/>
      <c r="C176" s="21"/>
      <c r="D176" s="25"/>
      <c r="E176" s="25"/>
      <c r="F176" s="25"/>
      <c r="G176" s="21"/>
    </row>
    <row r="177">
      <c r="A177" s="21"/>
      <c r="B177" s="21"/>
      <c r="C177" s="21"/>
      <c r="D177" s="25"/>
      <c r="E177" s="25"/>
      <c r="F177" s="25"/>
      <c r="G177" s="21"/>
    </row>
    <row r="178">
      <c r="A178" s="21"/>
      <c r="B178" s="21"/>
      <c r="C178" s="21"/>
      <c r="D178" s="25"/>
      <c r="E178" s="25"/>
      <c r="F178" s="25"/>
      <c r="G178" s="21"/>
    </row>
    <row r="179">
      <c r="A179" s="21"/>
      <c r="B179" s="21"/>
      <c r="C179" s="21"/>
      <c r="D179" s="25"/>
      <c r="E179" s="25"/>
      <c r="F179" s="25"/>
      <c r="G179" s="21"/>
    </row>
    <row r="180">
      <c r="A180" s="21"/>
      <c r="B180" s="21"/>
      <c r="C180" s="21"/>
      <c r="D180" s="25"/>
      <c r="E180" s="25"/>
      <c r="F180" s="25"/>
      <c r="G180" s="21"/>
    </row>
    <row r="181">
      <c r="A181" s="21"/>
      <c r="B181" s="21"/>
      <c r="C181" s="21"/>
      <c r="D181" s="25"/>
      <c r="E181" s="25"/>
      <c r="F181" s="25"/>
      <c r="G181" s="21"/>
    </row>
    <row r="182">
      <c r="A182" s="21"/>
      <c r="B182" s="21"/>
      <c r="C182" s="21"/>
      <c r="D182" s="25"/>
      <c r="E182" s="25"/>
      <c r="F182" s="25"/>
      <c r="G182" s="21"/>
    </row>
    <row r="183">
      <c r="A183" s="21"/>
      <c r="B183" s="21"/>
      <c r="C183" s="21"/>
      <c r="D183" s="25"/>
      <c r="E183" s="25"/>
      <c r="F183" s="25"/>
      <c r="G183" s="21"/>
    </row>
    <row r="184">
      <c r="A184" s="21"/>
      <c r="B184" s="21"/>
      <c r="C184" s="21"/>
      <c r="D184" s="25"/>
      <c r="E184" s="25"/>
      <c r="F184" s="25"/>
      <c r="G184" s="21"/>
    </row>
    <row r="185">
      <c r="A185" s="21"/>
      <c r="B185" s="21"/>
      <c r="C185" s="21"/>
      <c r="D185" s="25"/>
      <c r="E185" s="25"/>
      <c r="F185" s="25"/>
      <c r="G185" s="21"/>
    </row>
    <row r="186">
      <c r="A186" s="21"/>
      <c r="B186" s="21"/>
      <c r="C186" s="21"/>
      <c r="D186" s="25"/>
      <c r="E186" s="25"/>
      <c r="F186" s="25"/>
      <c r="G186" s="21"/>
    </row>
    <row r="187">
      <c r="A187" s="21"/>
      <c r="B187" s="21"/>
      <c r="C187" s="21"/>
      <c r="D187" s="25"/>
      <c r="E187" s="25"/>
      <c r="F187" s="25"/>
      <c r="G187" s="21"/>
    </row>
    <row r="188">
      <c r="A188" s="21"/>
      <c r="B188" s="21"/>
      <c r="C188" s="21"/>
      <c r="D188" s="25"/>
      <c r="E188" s="25"/>
      <c r="F188" s="25"/>
      <c r="G188" s="21"/>
    </row>
    <row r="189">
      <c r="A189" s="21"/>
      <c r="B189" s="21"/>
      <c r="C189" s="21"/>
      <c r="D189" s="25"/>
      <c r="E189" s="25"/>
      <c r="F189" s="25"/>
      <c r="G189" s="21"/>
    </row>
    <row r="190">
      <c r="A190" s="21"/>
      <c r="B190" s="21"/>
      <c r="C190" s="21"/>
      <c r="D190" s="25"/>
      <c r="E190" s="25"/>
      <c r="F190" s="25"/>
      <c r="G190" s="21"/>
    </row>
    <row r="191">
      <c r="A191" s="21"/>
      <c r="B191" s="21"/>
      <c r="C191" s="21"/>
      <c r="D191" s="25"/>
      <c r="E191" s="25"/>
      <c r="F191" s="25"/>
      <c r="G191" s="21"/>
    </row>
    <row r="192">
      <c r="A192" s="21"/>
      <c r="B192" s="21"/>
      <c r="C192" s="21"/>
      <c r="D192" s="25"/>
      <c r="E192" s="25"/>
      <c r="F192" s="25"/>
      <c r="G192" s="21"/>
    </row>
    <row r="193">
      <c r="A193" s="21"/>
      <c r="B193" s="21"/>
      <c r="C193" s="21"/>
      <c r="D193" s="25"/>
      <c r="E193" s="25"/>
      <c r="F193" s="25"/>
      <c r="G193" s="21"/>
    </row>
    <row r="194">
      <c r="A194" s="21"/>
      <c r="B194" s="21"/>
      <c r="C194" s="21"/>
      <c r="D194" s="25"/>
      <c r="E194" s="25"/>
      <c r="F194" s="25"/>
      <c r="G194" s="21"/>
    </row>
    <row r="195">
      <c r="A195" s="21"/>
      <c r="B195" s="21"/>
      <c r="C195" s="21"/>
      <c r="D195" s="25"/>
      <c r="E195" s="25"/>
      <c r="F195" s="25"/>
      <c r="G195" s="21"/>
    </row>
    <row r="196">
      <c r="A196" s="21"/>
      <c r="B196" s="21"/>
      <c r="C196" s="21"/>
      <c r="D196" s="25"/>
      <c r="E196" s="25"/>
      <c r="F196" s="25"/>
      <c r="G196" s="21"/>
    </row>
    <row r="197">
      <c r="A197" s="21"/>
      <c r="B197" s="21"/>
      <c r="C197" s="21"/>
      <c r="D197" s="25"/>
      <c r="E197" s="25"/>
      <c r="F197" s="25"/>
      <c r="G197" s="21"/>
    </row>
    <row r="198">
      <c r="A198" s="21"/>
      <c r="B198" s="21"/>
      <c r="C198" s="21"/>
      <c r="D198" s="25"/>
      <c r="E198" s="25"/>
      <c r="F198" s="25"/>
      <c r="G198" s="21"/>
    </row>
    <row r="199">
      <c r="A199" s="21"/>
      <c r="B199" s="21"/>
      <c r="C199" s="21"/>
      <c r="D199" s="25"/>
      <c r="E199" s="25"/>
      <c r="F199" s="25"/>
      <c r="G199" s="21"/>
    </row>
    <row r="200">
      <c r="A200" s="21"/>
      <c r="B200" s="21"/>
      <c r="C200" s="21"/>
      <c r="D200" s="25"/>
      <c r="E200" s="25"/>
      <c r="F200" s="25"/>
      <c r="G200" s="21"/>
    </row>
    <row r="201">
      <c r="A201" s="21"/>
      <c r="B201" s="21"/>
      <c r="C201" s="21"/>
      <c r="D201" s="25"/>
      <c r="E201" s="25"/>
      <c r="F201" s="25"/>
      <c r="G201" s="21"/>
    </row>
    <row r="202">
      <c r="A202" s="21"/>
      <c r="B202" s="21"/>
      <c r="C202" s="21"/>
      <c r="D202" s="25"/>
      <c r="E202" s="25"/>
      <c r="F202" s="25"/>
      <c r="G202" s="21"/>
    </row>
    <row r="203">
      <c r="A203" s="21"/>
      <c r="B203" s="21"/>
      <c r="C203" s="21"/>
      <c r="D203" s="25"/>
      <c r="E203" s="25"/>
      <c r="F203" s="25"/>
      <c r="G203" s="21"/>
    </row>
    <row r="204">
      <c r="A204" s="21"/>
      <c r="B204" s="21"/>
      <c r="C204" s="21"/>
      <c r="D204" s="25"/>
      <c r="E204" s="25"/>
      <c r="F204" s="25"/>
      <c r="G204" s="21"/>
    </row>
    <row r="205">
      <c r="A205" s="21"/>
      <c r="B205" s="21"/>
      <c r="C205" s="21"/>
      <c r="D205" s="25"/>
      <c r="E205" s="25"/>
      <c r="F205" s="25"/>
      <c r="G205" s="21"/>
    </row>
    <row r="206">
      <c r="A206" s="21"/>
      <c r="B206" s="21"/>
      <c r="C206" s="21"/>
      <c r="D206" s="25"/>
      <c r="E206" s="25"/>
      <c r="F206" s="25"/>
      <c r="G206" s="21"/>
    </row>
    <row r="207">
      <c r="A207" s="21"/>
      <c r="B207" s="21"/>
      <c r="C207" s="21"/>
      <c r="D207" s="25"/>
      <c r="E207" s="25"/>
      <c r="F207" s="25"/>
      <c r="G207" s="21"/>
    </row>
    <row r="208">
      <c r="A208" s="21"/>
      <c r="B208" s="21"/>
      <c r="C208" s="21"/>
      <c r="D208" s="25"/>
      <c r="E208" s="25"/>
      <c r="F208" s="25"/>
      <c r="G208" s="21"/>
    </row>
    <row r="209">
      <c r="A209" s="21"/>
      <c r="B209" s="21"/>
      <c r="C209" s="21"/>
      <c r="D209" s="25"/>
      <c r="E209" s="25"/>
      <c r="F209" s="25"/>
      <c r="G209" s="21"/>
    </row>
    <row r="210">
      <c r="A210" s="21"/>
      <c r="B210" s="21"/>
      <c r="C210" s="21"/>
      <c r="D210" s="25"/>
      <c r="E210" s="25"/>
      <c r="F210" s="25"/>
      <c r="G210" s="21"/>
    </row>
    <row r="211">
      <c r="A211" s="21"/>
      <c r="B211" s="21"/>
      <c r="C211" s="21"/>
      <c r="D211" s="25"/>
      <c r="E211" s="25"/>
      <c r="F211" s="25"/>
      <c r="G211" s="21"/>
    </row>
    <row r="212">
      <c r="A212" s="21"/>
      <c r="B212" s="21"/>
      <c r="C212" s="21"/>
      <c r="D212" s="25"/>
      <c r="E212" s="25"/>
      <c r="F212" s="25"/>
      <c r="G212" s="21"/>
    </row>
    <row r="213">
      <c r="A213" s="21"/>
      <c r="B213" s="21"/>
      <c r="C213" s="21"/>
      <c r="D213" s="25"/>
      <c r="E213" s="25"/>
      <c r="F213" s="25"/>
      <c r="G213" s="21"/>
    </row>
    <row r="214">
      <c r="A214" s="21"/>
      <c r="B214" s="21"/>
      <c r="C214" s="21"/>
      <c r="D214" s="25"/>
      <c r="E214" s="25"/>
      <c r="F214" s="25"/>
      <c r="G214" s="21"/>
    </row>
    <row r="215">
      <c r="A215" s="21"/>
      <c r="B215" s="21"/>
      <c r="C215" s="21"/>
      <c r="D215" s="25"/>
      <c r="E215" s="25"/>
      <c r="F215" s="25"/>
      <c r="G215" s="21"/>
    </row>
    <row r="216">
      <c r="A216" s="21"/>
      <c r="B216" s="21"/>
      <c r="C216" s="21"/>
      <c r="D216" s="25"/>
      <c r="E216" s="25"/>
      <c r="F216" s="25"/>
      <c r="G216" s="21"/>
    </row>
    <row r="217">
      <c r="A217" s="21"/>
      <c r="B217" s="21"/>
      <c r="C217" s="21"/>
      <c r="D217" s="25"/>
      <c r="E217" s="25"/>
      <c r="F217" s="25"/>
      <c r="G217" s="21"/>
    </row>
    <row r="218">
      <c r="A218" s="21"/>
      <c r="B218" s="21"/>
      <c r="C218" s="21"/>
      <c r="D218" s="25"/>
      <c r="E218" s="25"/>
      <c r="F218" s="25"/>
      <c r="G218" s="21"/>
    </row>
    <row r="219">
      <c r="A219" s="21"/>
      <c r="B219" s="21"/>
      <c r="C219" s="21"/>
      <c r="D219" s="25"/>
      <c r="E219" s="25"/>
      <c r="F219" s="25"/>
      <c r="G219" s="21"/>
    </row>
    <row r="220">
      <c r="A220" s="21"/>
      <c r="B220" s="21"/>
      <c r="C220" s="21"/>
      <c r="D220" s="25"/>
      <c r="E220" s="25"/>
      <c r="F220" s="25"/>
      <c r="G220" s="21"/>
    </row>
    <row r="221">
      <c r="A221" s="21"/>
      <c r="B221" s="21"/>
      <c r="C221" s="21"/>
      <c r="D221" s="25"/>
      <c r="E221" s="25"/>
      <c r="F221" s="25"/>
      <c r="G221" s="21"/>
    </row>
    <row r="222">
      <c r="A222" s="21"/>
      <c r="B222" s="21"/>
      <c r="C222" s="21"/>
      <c r="D222" s="25"/>
      <c r="E222" s="25"/>
      <c r="F222" s="25"/>
      <c r="G222" s="21"/>
    </row>
    <row r="223">
      <c r="A223" s="21"/>
      <c r="B223" s="21"/>
      <c r="C223" s="21"/>
      <c r="D223" s="25"/>
      <c r="E223" s="25"/>
      <c r="F223" s="25"/>
      <c r="G223" s="21"/>
    </row>
    <row r="224">
      <c r="A224" s="21"/>
      <c r="B224" s="21"/>
      <c r="C224" s="21"/>
      <c r="D224" s="25"/>
      <c r="E224" s="25"/>
      <c r="F224" s="25"/>
      <c r="G224" s="21"/>
    </row>
    <row r="225">
      <c r="A225" s="21"/>
      <c r="B225" s="21"/>
      <c r="C225" s="21"/>
      <c r="D225" s="25"/>
      <c r="E225" s="25"/>
      <c r="F225" s="25"/>
      <c r="G225" s="21"/>
    </row>
    <row r="226">
      <c r="A226" s="21"/>
      <c r="B226" s="21"/>
      <c r="C226" s="21"/>
      <c r="D226" s="25"/>
      <c r="E226" s="25"/>
      <c r="F226" s="25"/>
      <c r="G226" s="21"/>
    </row>
    <row r="227">
      <c r="A227" s="21"/>
      <c r="B227" s="21"/>
      <c r="C227" s="21"/>
      <c r="D227" s="25"/>
      <c r="E227" s="25"/>
      <c r="F227" s="25"/>
      <c r="G227" s="21"/>
    </row>
    <row r="228">
      <c r="A228" s="21"/>
      <c r="B228" s="21"/>
      <c r="C228" s="21"/>
      <c r="D228" s="25"/>
      <c r="E228" s="25"/>
      <c r="F228" s="25"/>
      <c r="G228" s="21"/>
    </row>
    <row r="229">
      <c r="A229" s="21"/>
      <c r="B229" s="21"/>
      <c r="C229" s="21"/>
      <c r="D229" s="25"/>
      <c r="E229" s="25"/>
      <c r="F229" s="25"/>
      <c r="G229" s="21"/>
    </row>
    <row r="230">
      <c r="A230" s="21"/>
      <c r="B230" s="21"/>
      <c r="C230" s="21"/>
      <c r="D230" s="25"/>
      <c r="E230" s="25"/>
      <c r="F230" s="25"/>
      <c r="G230" s="21"/>
    </row>
    <row r="231">
      <c r="A231" s="21"/>
      <c r="B231" s="21"/>
      <c r="C231" s="21"/>
      <c r="D231" s="25"/>
      <c r="E231" s="25"/>
      <c r="F231" s="25"/>
      <c r="G231" s="21"/>
    </row>
    <row r="232">
      <c r="A232" s="21"/>
      <c r="B232" s="21"/>
      <c r="C232" s="21"/>
      <c r="D232" s="25"/>
      <c r="E232" s="25"/>
      <c r="F232" s="25"/>
      <c r="G232" s="21"/>
    </row>
    <row r="233">
      <c r="A233" s="21"/>
      <c r="B233" s="21"/>
      <c r="C233" s="21"/>
      <c r="D233" s="25"/>
      <c r="E233" s="25"/>
      <c r="F233" s="25"/>
      <c r="G233" s="21"/>
    </row>
    <row r="234">
      <c r="A234" s="21"/>
      <c r="B234" s="21"/>
      <c r="C234" s="21"/>
      <c r="D234" s="25"/>
      <c r="E234" s="25"/>
      <c r="F234" s="25"/>
      <c r="G234" s="21"/>
    </row>
    <row r="235">
      <c r="A235" s="21"/>
      <c r="B235" s="21"/>
      <c r="C235" s="21"/>
      <c r="D235" s="25"/>
      <c r="E235" s="25"/>
      <c r="F235" s="25"/>
      <c r="G235" s="21"/>
    </row>
    <row r="236">
      <c r="A236" s="21"/>
      <c r="B236" s="21"/>
      <c r="C236" s="21"/>
      <c r="D236" s="25"/>
      <c r="E236" s="25"/>
      <c r="F236" s="25"/>
      <c r="G236" s="21"/>
    </row>
    <row r="237">
      <c r="A237" s="21"/>
      <c r="B237" s="21"/>
      <c r="C237" s="21"/>
      <c r="D237" s="25"/>
      <c r="E237" s="25"/>
      <c r="F237" s="25"/>
      <c r="G237" s="21"/>
    </row>
    <row r="238">
      <c r="A238" s="21"/>
      <c r="B238" s="21"/>
      <c r="C238" s="21"/>
      <c r="D238" s="25"/>
      <c r="E238" s="25"/>
      <c r="F238" s="25"/>
      <c r="G238" s="21"/>
    </row>
    <row r="239">
      <c r="A239" s="21"/>
      <c r="B239" s="21"/>
      <c r="C239" s="21"/>
      <c r="D239" s="25"/>
      <c r="E239" s="25"/>
      <c r="F239" s="25"/>
      <c r="G239" s="21"/>
    </row>
    <row r="240">
      <c r="A240" s="21"/>
      <c r="B240" s="21"/>
      <c r="C240" s="21"/>
      <c r="D240" s="25"/>
      <c r="E240" s="25"/>
      <c r="F240" s="25"/>
      <c r="G240" s="21"/>
    </row>
    <row r="241">
      <c r="A241" s="21"/>
      <c r="B241" s="21"/>
      <c r="C241" s="21"/>
      <c r="D241" s="25"/>
      <c r="E241" s="25"/>
      <c r="F241" s="25"/>
      <c r="G241" s="21"/>
    </row>
    <row r="242">
      <c r="A242" s="21"/>
      <c r="B242" s="21"/>
      <c r="C242" s="21"/>
      <c r="D242" s="25"/>
      <c r="E242" s="25"/>
      <c r="F242" s="25"/>
      <c r="G242" s="21"/>
    </row>
    <row r="243">
      <c r="A243" s="21"/>
      <c r="B243" s="21"/>
      <c r="C243" s="21"/>
      <c r="D243" s="25"/>
      <c r="E243" s="25"/>
      <c r="F243" s="25"/>
      <c r="G243" s="21"/>
    </row>
    <row r="244">
      <c r="A244" s="21"/>
      <c r="B244" s="21"/>
      <c r="C244" s="21"/>
      <c r="D244" s="25"/>
      <c r="E244" s="25"/>
      <c r="F244" s="25"/>
      <c r="G244" s="21"/>
    </row>
    <row r="245">
      <c r="A245" s="21"/>
      <c r="B245" s="21"/>
      <c r="C245" s="21"/>
      <c r="D245" s="25"/>
      <c r="E245" s="25"/>
      <c r="F245" s="25"/>
      <c r="G245" s="21"/>
    </row>
    <row r="246">
      <c r="A246" s="21"/>
      <c r="B246" s="21"/>
      <c r="C246" s="21"/>
      <c r="D246" s="25"/>
      <c r="E246" s="25"/>
      <c r="F246" s="25"/>
      <c r="G246" s="21"/>
    </row>
    <row r="247">
      <c r="A247" s="21"/>
      <c r="B247" s="21"/>
      <c r="C247" s="21"/>
      <c r="D247" s="25"/>
      <c r="E247" s="25"/>
      <c r="F247" s="25"/>
      <c r="G247" s="21"/>
    </row>
    <row r="248">
      <c r="A248" s="21"/>
      <c r="B248" s="21"/>
      <c r="C248" s="21"/>
      <c r="D248" s="25"/>
      <c r="E248" s="25"/>
      <c r="F248" s="25"/>
      <c r="G248" s="21"/>
    </row>
    <row r="249">
      <c r="A249" s="21"/>
      <c r="B249" s="21"/>
      <c r="C249" s="21"/>
      <c r="D249" s="25"/>
      <c r="E249" s="25"/>
      <c r="F249" s="25"/>
      <c r="G249" s="21"/>
    </row>
    <row r="250">
      <c r="A250" s="21"/>
      <c r="B250" s="21"/>
      <c r="C250" s="21"/>
      <c r="D250" s="25"/>
      <c r="E250" s="25"/>
      <c r="F250" s="25"/>
      <c r="G250" s="21"/>
    </row>
    <row r="251">
      <c r="A251" s="21"/>
      <c r="B251" s="21"/>
      <c r="C251" s="21"/>
      <c r="D251" s="25"/>
      <c r="E251" s="25"/>
      <c r="F251" s="25"/>
      <c r="G251" s="21"/>
    </row>
    <row r="252">
      <c r="A252" s="21"/>
      <c r="B252" s="21"/>
      <c r="C252" s="21"/>
      <c r="D252" s="25"/>
      <c r="E252" s="25"/>
      <c r="F252" s="25"/>
      <c r="G252" s="21"/>
    </row>
    <row r="253">
      <c r="A253" s="21"/>
      <c r="B253" s="21"/>
      <c r="C253" s="21"/>
      <c r="D253" s="25"/>
      <c r="E253" s="25"/>
      <c r="F253" s="25"/>
      <c r="G253" s="21"/>
    </row>
    <row r="254">
      <c r="A254" s="21"/>
      <c r="B254" s="21"/>
      <c r="C254" s="21"/>
      <c r="D254" s="25"/>
      <c r="E254" s="25"/>
      <c r="F254" s="25"/>
      <c r="G254" s="21"/>
    </row>
    <row r="255">
      <c r="A255" s="21"/>
      <c r="B255" s="21"/>
      <c r="C255" s="21"/>
      <c r="D255" s="25"/>
      <c r="E255" s="25"/>
      <c r="F255" s="25"/>
      <c r="G255" s="21"/>
    </row>
    <row r="256">
      <c r="A256" s="21"/>
      <c r="B256" s="21"/>
      <c r="C256" s="21"/>
      <c r="D256" s="25"/>
      <c r="E256" s="25"/>
      <c r="F256" s="25"/>
      <c r="G256" s="21"/>
    </row>
    <row r="257">
      <c r="A257" s="21"/>
      <c r="B257" s="21"/>
      <c r="C257" s="21"/>
      <c r="D257" s="25"/>
      <c r="E257" s="25"/>
      <c r="F257" s="25"/>
      <c r="G257" s="21"/>
    </row>
    <row r="258">
      <c r="A258" s="21"/>
      <c r="B258" s="21"/>
      <c r="C258" s="21"/>
      <c r="D258" s="25"/>
      <c r="E258" s="25"/>
      <c r="F258" s="25"/>
      <c r="G258" s="21"/>
    </row>
    <row r="259">
      <c r="A259" s="21"/>
      <c r="B259" s="21"/>
      <c r="C259" s="21"/>
      <c r="D259" s="25"/>
      <c r="E259" s="25"/>
      <c r="F259" s="25"/>
      <c r="G259" s="21"/>
    </row>
    <row r="260">
      <c r="A260" s="21"/>
      <c r="B260" s="21"/>
      <c r="C260" s="21"/>
      <c r="D260" s="25"/>
      <c r="E260" s="25"/>
      <c r="F260" s="25"/>
      <c r="G260" s="21"/>
    </row>
    <row r="261">
      <c r="A261" s="21"/>
      <c r="B261" s="21"/>
      <c r="C261" s="21"/>
      <c r="D261" s="25"/>
      <c r="E261" s="25"/>
      <c r="F261" s="25"/>
      <c r="G261" s="21"/>
    </row>
    <row r="262">
      <c r="A262" s="21"/>
      <c r="B262" s="21"/>
      <c r="C262" s="21"/>
      <c r="D262" s="25"/>
      <c r="E262" s="25"/>
      <c r="F262" s="25"/>
      <c r="G262" s="21"/>
    </row>
    <row r="263">
      <c r="A263" s="21"/>
      <c r="B263" s="21"/>
      <c r="C263" s="21"/>
      <c r="D263" s="25"/>
      <c r="E263" s="25"/>
      <c r="F263" s="25"/>
      <c r="G263" s="21"/>
    </row>
    <row r="264">
      <c r="A264" s="21"/>
      <c r="B264" s="21"/>
      <c r="C264" s="21"/>
      <c r="D264" s="25"/>
      <c r="E264" s="25"/>
      <c r="F264" s="25"/>
      <c r="G264" s="21"/>
    </row>
    <row r="265">
      <c r="A265" s="21"/>
      <c r="B265" s="21"/>
      <c r="C265" s="21"/>
      <c r="D265" s="25"/>
      <c r="E265" s="25"/>
      <c r="F265" s="25"/>
      <c r="G265" s="21"/>
    </row>
    <row r="266">
      <c r="A266" s="21"/>
      <c r="B266" s="21"/>
      <c r="C266" s="21"/>
      <c r="D266" s="25"/>
      <c r="E266" s="25"/>
      <c r="F266" s="25"/>
      <c r="G266" s="21"/>
    </row>
    <row r="267">
      <c r="A267" s="21"/>
      <c r="B267" s="21"/>
      <c r="C267" s="21"/>
      <c r="D267" s="25"/>
      <c r="E267" s="25"/>
      <c r="F267" s="25"/>
      <c r="G267" s="21"/>
    </row>
    <row r="268">
      <c r="A268" s="21"/>
      <c r="B268" s="21"/>
      <c r="C268" s="21"/>
      <c r="D268" s="25"/>
      <c r="E268" s="25"/>
      <c r="F268" s="25"/>
      <c r="G268" s="21"/>
    </row>
    <row r="269">
      <c r="A269" s="21"/>
      <c r="B269" s="21"/>
      <c r="C269" s="21"/>
      <c r="D269" s="25"/>
      <c r="E269" s="25"/>
      <c r="F269" s="25"/>
      <c r="G269" s="21"/>
    </row>
    <row r="270">
      <c r="A270" s="21"/>
      <c r="B270" s="21"/>
      <c r="C270" s="21"/>
      <c r="D270" s="25"/>
      <c r="E270" s="25"/>
      <c r="F270" s="25"/>
      <c r="G270" s="21"/>
    </row>
    <row r="271">
      <c r="A271" s="21"/>
      <c r="B271" s="21"/>
      <c r="C271" s="21"/>
      <c r="D271" s="25"/>
      <c r="E271" s="25"/>
      <c r="F271" s="25"/>
      <c r="G271" s="21"/>
    </row>
    <row r="272">
      <c r="A272" s="21"/>
      <c r="B272" s="21"/>
      <c r="C272" s="21"/>
      <c r="D272" s="25"/>
      <c r="E272" s="25"/>
      <c r="F272" s="25"/>
      <c r="G272" s="21"/>
    </row>
    <row r="273">
      <c r="A273" s="21"/>
      <c r="B273" s="21"/>
      <c r="C273" s="21"/>
      <c r="D273" s="25"/>
      <c r="E273" s="25"/>
      <c r="F273" s="25"/>
      <c r="G273" s="21"/>
    </row>
    <row r="274">
      <c r="A274" s="21"/>
      <c r="B274" s="21"/>
      <c r="C274" s="21"/>
      <c r="D274" s="25"/>
      <c r="E274" s="25"/>
      <c r="F274" s="25"/>
      <c r="G274" s="21"/>
    </row>
    <row r="275">
      <c r="A275" s="21"/>
      <c r="B275" s="21"/>
      <c r="C275" s="21"/>
      <c r="D275" s="25"/>
      <c r="E275" s="25"/>
      <c r="F275" s="25"/>
      <c r="G275" s="21"/>
    </row>
    <row r="276">
      <c r="A276" s="21"/>
      <c r="B276" s="21"/>
      <c r="C276" s="21"/>
      <c r="D276" s="25"/>
      <c r="E276" s="25"/>
      <c r="F276" s="25"/>
      <c r="G276" s="21"/>
    </row>
    <row r="277">
      <c r="A277" s="21"/>
      <c r="B277" s="21"/>
      <c r="C277" s="21"/>
      <c r="D277" s="25"/>
      <c r="E277" s="25"/>
      <c r="F277" s="25"/>
      <c r="G277" s="21"/>
    </row>
    <row r="278">
      <c r="A278" s="21"/>
      <c r="B278" s="21"/>
      <c r="C278" s="21"/>
      <c r="D278" s="25"/>
      <c r="E278" s="25"/>
      <c r="F278" s="25"/>
      <c r="G278" s="21"/>
    </row>
    <row r="279">
      <c r="A279" s="21"/>
      <c r="B279" s="21"/>
      <c r="C279" s="21"/>
      <c r="D279" s="25"/>
      <c r="E279" s="25"/>
      <c r="F279" s="25"/>
      <c r="G279" s="21"/>
    </row>
    <row r="280">
      <c r="A280" s="21"/>
      <c r="B280" s="21"/>
      <c r="C280" s="21"/>
      <c r="D280" s="25"/>
      <c r="E280" s="25"/>
      <c r="F280" s="25"/>
      <c r="G280" s="21"/>
    </row>
    <row r="281">
      <c r="A281" s="21"/>
      <c r="B281" s="21"/>
      <c r="C281" s="21"/>
      <c r="D281" s="25"/>
      <c r="E281" s="25"/>
      <c r="F281" s="25"/>
      <c r="G281" s="21"/>
    </row>
    <row r="282">
      <c r="A282" s="21"/>
      <c r="B282" s="21"/>
      <c r="C282" s="21"/>
      <c r="D282" s="25"/>
      <c r="E282" s="25"/>
      <c r="F282" s="25"/>
      <c r="G282" s="21"/>
    </row>
    <row r="283">
      <c r="A283" s="21"/>
      <c r="B283" s="21"/>
      <c r="C283" s="21"/>
      <c r="D283" s="25"/>
      <c r="E283" s="25"/>
      <c r="F283" s="25"/>
      <c r="G283" s="21"/>
    </row>
    <row r="284">
      <c r="A284" s="21"/>
      <c r="B284" s="21"/>
      <c r="C284" s="21"/>
      <c r="D284" s="25"/>
      <c r="E284" s="25"/>
      <c r="F284" s="25"/>
      <c r="G284" s="21"/>
    </row>
    <row r="285">
      <c r="A285" s="21"/>
      <c r="B285" s="21"/>
      <c r="C285" s="21"/>
      <c r="D285" s="25"/>
      <c r="E285" s="25"/>
      <c r="F285" s="25"/>
      <c r="G285" s="21"/>
    </row>
    <row r="286">
      <c r="A286" s="21"/>
      <c r="B286" s="21"/>
      <c r="C286" s="21"/>
      <c r="D286" s="25"/>
      <c r="E286" s="25"/>
      <c r="F286" s="25"/>
      <c r="G286" s="21"/>
    </row>
    <row r="287">
      <c r="A287" s="21"/>
      <c r="B287" s="21"/>
      <c r="C287" s="21"/>
      <c r="D287" s="25"/>
      <c r="E287" s="25"/>
      <c r="F287" s="25"/>
      <c r="G287" s="21"/>
    </row>
    <row r="288">
      <c r="A288" s="21"/>
      <c r="B288" s="21"/>
      <c r="C288" s="21"/>
      <c r="D288" s="25"/>
      <c r="E288" s="25"/>
      <c r="F288" s="25"/>
      <c r="G288" s="21"/>
    </row>
    <row r="289">
      <c r="A289" s="21"/>
      <c r="B289" s="21"/>
      <c r="C289" s="21"/>
      <c r="D289" s="25"/>
      <c r="E289" s="25"/>
      <c r="F289" s="25"/>
      <c r="G289" s="21"/>
    </row>
    <row r="290">
      <c r="A290" s="21"/>
      <c r="B290" s="21"/>
      <c r="C290" s="21"/>
      <c r="D290" s="25"/>
      <c r="E290" s="25"/>
      <c r="F290" s="25"/>
      <c r="G290" s="21"/>
    </row>
    <row r="291">
      <c r="A291" s="21"/>
      <c r="B291" s="21"/>
      <c r="C291" s="21"/>
      <c r="D291" s="25"/>
      <c r="E291" s="25"/>
      <c r="F291" s="25"/>
      <c r="G291" s="21"/>
    </row>
    <row r="292">
      <c r="A292" s="21"/>
      <c r="B292" s="21"/>
      <c r="C292" s="21"/>
      <c r="D292" s="25"/>
      <c r="E292" s="25"/>
      <c r="F292" s="25"/>
      <c r="G292" s="21"/>
    </row>
    <row r="293">
      <c r="A293" s="21"/>
      <c r="B293" s="21"/>
      <c r="C293" s="21"/>
      <c r="D293" s="25"/>
      <c r="E293" s="25"/>
      <c r="F293" s="25"/>
      <c r="G293" s="21"/>
    </row>
    <row r="294">
      <c r="A294" s="21"/>
      <c r="B294" s="21"/>
      <c r="C294" s="21"/>
      <c r="D294" s="25"/>
      <c r="E294" s="25"/>
      <c r="F294" s="25"/>
      <c r="G294" s="21"/>
    </row>
    <row r="295">
      <c r="A295" s="21"/>
      <c r="B295" s="21"/>
      <c r="C295" s="21"/>
      <c r="D295" s="25"/>
      <c r="E295" s="25"/>
      <c r="F295" s="25"/>
      <c r="G295" s="21"/>
    </row>
    <row r="296">
      <c r="A296" s="21"/>
      <c r="B296" s="21"/>
      <c r="C296" s="21"/>
      <c r="D296" s="25"/>
      <c r="E296" s="25"/>
      <c r="F296" s="25"/>
      <c r="G296" s="21"/>
    </row>
    <row r="297">
      <c r="A297" s="21"/>
      <c r="B297" s="21"/>
      <c r="C297" s="21"/>
      <c r="D297" s="25"/>
      <c r="E297" s="25"/>
      <c r="F297" s="25"/>
      <c r="G297" s="21"/>
    </row>
    <row r="298">
      <c r="A298" s="21"/>
      <c r="B298" s="21"/>
      <c r="C298" s="21"/>
      <c r="D298" s="25"/>
      <c r="E298" s="25"/>
      <c r="F298" s="25"/>
      <c r="G298" s="21"/>
    </row>
    <row r="299">
      <c r="A299" s="21"/>
      <c r="B299" s="21"/>
      <c r="C299" s="21"/>
      <c r="D299" s="25"/>
      <c r="E299" s="25"/>
      <c r="F299" s="25"/>
      <c r="G299" s="21"/>
    </row>
    <row r="300">
      <c r="A300" s="21"/>
      <c r="B300" s="21"/>
      <c r="C300" s="21"/>
      <c r="D300" s="25"/>
      <c r="E300" s="25"/>
      <c r="F300" s="25"/>
      <c r="G300" s="21"/>
    </row>
    <row r="301">
      <c r="A301" s="21"/>
      <c r="B301" s="21"/>
      <c r="C301" s="21"/>
      <c r="D301" s="25"/>
      <c r="E301" s="25"/>
      <c r="F301" s="25"/>
      <c r="G301" s="21"/>
    </row>
    <row r="302">
      <c r="A302" s="21"/>
      <c r="B302" s="21"/>
      <c r="C302" s="21"/>
      <c r="D302" s="25"/>
      <c r="E302" s="25"/>
      <c r="F302" s="25"/>
      <c r="G302" s="21"/>
    </row>
    <row r="303">
      <c r="A303" s="21"/>
      <c r="B303" s="21"/>
      <c r="C303" s="21"/>
      <c r="D303" s="25"/>
      <c r="E303" s="25"/>
      <c r="F303" s="25"/>
      <c r="G303" s="21"/>
    </row>
    <row r="304">
      <c r="A304" s="21"/>
      <c r="B304" s="21"/>
      <c r="D304" s="25"/>
      <c r="E304" s="27"/>
      <c r="F304" s="25"/>
      <c r="G304" s="27"/>
    </row>
    <row r="305">
      <c r="A305" s="21"/>
      <c r="B305" s="21"/>
      <c r="C305" s="21"/>
      <c r="D305" s="25"/>
      <c r="E305" s="25"/>
      <c r="F305" s="25"/>
      <c r="G305" s="21"/>
    </row>
    <row r="306">
      <c r="A306" s="21"/>
      <c r="B306" s="21"/>
      <c r="C306" s="21"/>
      <c r="D306" s="25"/>
      <c r="E306" s="25"/>
      <c r="F306" s="25"/>
      <c r="G306" s="21"/>
    </row>
    <row r="307">
      <c r="A307" s="21"/>
      <c r="B307" s="21"/>
      <c r="C307" s="21"/>
      <c r="D307" s="25"/>
      <c r="E307" s="25"/>
      <c r="F307" s="25"/>
      <c r="G307" s="21"/>
    </row>
    <row r="308">
      <c r="A308" s="21"/>
      <c r="B308" s="21"/>
      <c r="C308" s="21"/>
      <c r="D308" s="25"/>
      <c r="E308" s="25"/>
      <c r="F308" s="25"/>
      <c r="G308" s="21"/>
    </row>
    <row r="309">
      <c r="A309" s="21"/>
      <c r="B309" s="21"/>
      <c r="C309" s="21"/>
      <c r="D309" s="25"/>
      <c r="E309" s="25"/>
      <c r="F309" s="25"/>
      <c r="G309" s="21"/>
    </row>
    <row r="310">
      <c r="A310" s="21"/>
      <c r="B310" s="21"/>
      <c r="C310" s="21"/>
      <c r="D310" s="25"/>
      <c r="E310" s="25"/>
      <c r="F310" s="25"/>
      <c r="G310" s="21"/>
    </row>
    <row r="311">
      <c r="A311" s="21"/>
      <c r="B311" s="21"/>
      <c r="C311" s="21"/>
      <c r="D311" s="25"/>
      <c r="E311" s="25"/>
      <c r="F311" s="25"/>
      <c r="G311" s="21"/>
    </row>
    <row r="312">
      <c r="A312" s="21"/>
      <c r="B312" s="21"/>
      <c r="C312" s="21"/>
      <c r="D312" s="25"/>
      <c r="E312" s="25"/>
      <c r="F312" s="25"/>
      <c r="G312" s="21"/>
    </row>
    <row r="313">
      <c r="A313" s="21"/>
      <c r="B313" s="21"/>
      <c r="C313" s="21"/>
      <c r="D313" s="25"/>
      <c r="E313" s="25"/>
      <c r="F313" s="25"/>
      <c r="G313" s="21"/>
    </row>
    <row r="314">
      <c r="A314" s="21"/>
      <c r="B314" s="21"/>
      <c r="C314" s="21"/>
      <c r="D314" s="25"/>
      <c r="E314" s="25"/>
      <c r="F314" s="25"/>
      <c r="G314" s="21"/>
    </row>
    <row r="315">
      <c r="A315" s="21"/>
      <c r="B315" s="21"/>
      <c r="C315" s="21"/>
      <c r="D315" s="25"/>
      <c r="E315" s="25"/>
      <c r="F315" s="25"/>
      <c r="G315" s="21"/>
    </row>
    <row r="316">
      <c r="A316" s="21"/>
      <c r="B316" s="21"/>
      <c r="D316" s="25"/>
      <c r="E316" s="27"/>
      <c r="F316" s="25"/>
      <c r="G316" s="27"/>
    </row>
    <row r="317">
      <c r="A317" s="21"/>
      <c r="B317" s="21"/>
      <c r="C317" s="21"/>
      <c r="D317" s="25"/>
      <c r="E317" s="25"/>
      <c r="F317" s="25"/>
      <c r="G317" s="21"/>
    </row>
    <row r="318">
      <c r="A318" s="21"/>
      <c r="B318" s="21"/>
      <c r="C318" s="21"/>
      <c r="D318" s="25"/>
      <c r="E318" s="25"/>
      <c r="F318" s="25"/>
      <c r="G318" s="21"/>
    </row>
    <row r="319">
      <c r="A319" s="21"/>
      <c r="B319" s="21"/>
      <c r="C319" s="21"/>
      <c r="D319" s="25"/>
      <c r="E319" s="25"/>
      <c r="F319" s="25"/>
      <c r="G319" s="21"/>
    </row>
    <row r="320">
      <c r="A320" s="21"/>
      <c r="B320" s="21"/>
      <c r="C320" s="21"/>
      <c r="D320" s="25"/>
      <c r="E320" s="25"/>
      <c r="F320" s="25"/>
      <c r="G320" s="21"/>
    </row>
    <row r="321">
      <c r="A321" s="21"/>
      <c r="B321" s="21"/>
      <c r="C321" s="21"/>
      <c r="D321" s="25"/>
      <c r="E321" s="25"/>
      <c r="F321" s="25"/>
      <c r="G321" s="21"/>
    </row>
    <row r="322">
      <c r="A322" s="21"/>
      <c r="B322" s="21"/>
      <c r="C322" s="21"/>
      <c r="D322" s="25"/>
      <c r="E322" s="25"/>
      <c r="F322" s="25"/>
      <c r="G322" s="21"/>
    </row>
    <row r="323">
      <c r="A323" s="21"/>
      <c r="B323" s="21"/>
      <c r="C323" s="21"/>
      <c r="D323" s="25"/>
      <c r="E323" s="25"/>
      <c r="F323" s="25"/>
      <c r="G323" s="21"/>
    </row>
    <row r="324">
      <c r="A324" s="21"/>
      <c r="B324" s="21"/>
      <c r="C324" s="21"/>
      <c r="D324" s="25"/>
      <c r="E324" s="25"/>
      <c r="F324" s="25"/>
      <c r="G324" s="21"/>
    </row>
    <row r="325">
      <c r="A325" s="21"/>
      <c r="B325" s="21"/>
      <c r="D325" s="25"/>
      <c r="E325" s="27"/>
      <c r="F325" s="25"/>
      <c r="G325" s="27"/>
    </row>
    <row r="326">
      <c r="A326" s="21"/>
      <c r="B326" s="21"/>
      <c r="C326" s="21"/>
      <c r="D326" s="25"/>
      <c r="E326" s="25"/>
      <c r="F326" s="25"/>
      <c r="G326" s="21"/>
    </row>
    <row r="327">
      <c r="A327" s="21"/>
      <c r="B327" s="21"/>
      <c r="C327" s="21"/>
      <c r="D327" s="25"/>
      <c r="E327" s="25"/>
      <c r="F327" s="25"/>
      <c r="G327" s="21"/>
    </row>
    <row r="328">
      <c r="A328" s="21"/>
      <c r="B328" s="21"/>
      <c r="C328" s="21"/>
      <c r="D328" s="25"/>
      <c r="E328" s="25"/>
      <c r="F328" s="25"/>
      <c r="G328" s="21"/>
    </row>
    <row r="329">
      <c r="A329" s="21"/>
      <c r="B329" s="21"/>
      <c r="C329" s="21"/>
      <c r="D329" s="25"/>
      <c r="E329" s="25"/>
      <c r="F329" s="25"/>
      <c r="G329" s="21"/>
    </row>
    <row r="330">
      <c r="A330" s="21"/>
      <c r="B330" s="21"/>
      <c r="C330" s="21"/>
      <c r="D330" s="25"/>
      <c r="E330" s="25"/>
      <c r="F330" s="25"/>
      <c r="G330" s="21"/>
    </row>
    <row r="331">
      <c r="A331" s="21"/>
      <c r="B331" s="21"/>
      <c r="C331" s="21"/>
      <c r="D331" s="25"/>
      <c r="E331" s="25"/>
      <c r="F331" s="25"/>
      <c r="G331" s="21"/>
    </row>
    <row r="332">
      <c r="A332" s="21"/>
      <c r="B332" s="21"/>
      <c r="C332" s="21"/>
      <c r="D332" s="25"/>
      <c r="E332" s="25"/>
      <c r="F332" s="25"/>
      <c r="G332" s="21"/>
    </row>
    <row r="333">
      <c r="A333" s="21"/>
      <c r="B333" s="21"/>
      <c r="C333" s="21"/>
      <c r="D333" s="25"/>
      <c r="E333" s="25"/>
      <c r="F333" s="25"/>
      <c r="G333" s="21"/>
    </row>
    <row r="334">
      <c r="A334" s="21"/>
      <c r="B334" s="21"/>
      <c r="C334" s="21"/>
      <c r="D334" s="25"/>
      <c r="E334" s="25"/>
      <c r="F334" s="25"/>
      <c r="G334" s="21"/>
    </row>
    <row r="335">
      <c r="A335" s="21"/>
      <c r="B335" s="21"/>
      <c r="C335" s="21"/>
      <c r="D335" s="25"/>
      <c r="E335" s="25"/>
      <c r="F335" s="25"/>
      <c r="G335" s="21"/>
    </row>
    <row r="336">
      <c r="A336" s="21"/>
      <c r="B336" s="21"/>
      <c r="C336" s="21"/>
      <c r="D336" s="25"/>
      <c r="E336" s="25"/>
      <c r="F336" s="25"/>
      <c r="G336" s="21"/>
    </row>
    <row r="337">
      <c r="A337" s="21"/>
      <c r="B337" s="21"/>
      <c r="C337" s="21"/>
      <c r="D337" s="25"/>
      <c r="E337" s="25"/>
      <c r="F337" s="25"/>
      <c r="G337" s="21"/>
    </row>
    <row r="338">
      <c r="A338" s="21"/>
      <c r="B338" s="21"/>
      <c r="C338" s="21"/>
      <c r="D338" s="25"/>
      <c r="E338" s="25"/>
      <c r="F338" s="25"/>
      <c r="G338" s="21"/>
    </row>
    <row r="339">
      <c r="A339" s="21"/>
      <c r="B339" s="21"/>
      <c r="C339" s="21"/>
      <c r="D339" s="25"/>
      <c r="E339" s="25"/>
      <c r="F339" s="25"/>
      <c r="G339" s="21"/>
    </row>
    <row r="340">
      <c r="A340" s="21"/>
      <c r="B340" s="21"/>
      <c r="C340" s="21"/>
      <c r="D340" s="25"/>
      <c r="E340" s="25"/>
      <c r="F340" s="25"/>
      <c r="G340" s="21"/>
    </row>
    <row r="341">
      <c r="A341" s="21"/>
      <c r="B341" s="21"/>
      <c r="C341" s="21"/>
      <c r="D341" s="25"/>
      <c r="E341" s="25"/>
      <c r="F341" s="25"/>
      <c r="G341" s="21"/>
    </row>
    <row r="342">
      <c r="A342" s="21"/>
      <c r="B342" s="21"/>
      <c r="C342" s="21"/>
      <c r="D342" s="25"/>
      <c r="E342" s="25"/>
      <c r="F342" s="25"/>
      <c r="G342" s="21"/>
    </row>
    <row r="343">
      <c r="A343" s="21"/>
      <c r="B343" s="21"/>
      <c r="C343" s="21"/>
      <c r="D343" s="25"/>
      <c r="E343" s="25"/>
      <c r="F343" s="25"/>
      <c r="G343" s="21"/>
    </row>
    <row r="344">
      <c r="A344" s="21"/>
      <c r="B344" s="21"/>
      <c r="D344" s="25"/>
      <c r="E344" s="27"/>
      <c r="F344" s="25"/>
      <c r="G344" s="27"/>
    </row>
    <row r="345">
      <c r="A345" s="21"/>
      <c r="B345" s="21"/>
      <c r="C345" s="21"/>
      <c r="D345" s="25"/>
      <c r="E345" s="25"/>
      <c r="F345" s="25"/>
      <c r="G345" s="21"/>
    </row>
    <row r="346">
      <c r="A346" s="21"/>
      <c r="B346" s="21"/>
      <c r="C346" s="21"/>
      <c r="D346" s="25"/>
      <c r="E346" s="25"/>
      <c r="F346" s="25"/>
      <c r="G346" s="21"/>
    </row>
    <row r="347">
      <c r="A347" s="21"/>
      <c r="B347" s="21"/>
      <c r="C347" s="21"/>
      <c r="D347" s="25"/>
      <c r="E347" s="25"/>
      <c r="F347" s="25"/>
      <c r="G347" s="21"/>
    </row>
    <row r="348">
      <c r="A348" s="21"/>
      <c r="B348" s="21"/>
      <c r="C348" s="21"/>
      <c r="D348" s="25"/>
      <c r="E348" s="25"/>
      <c r="F348" s="25"/>
      <c r="G348" s="21"/>
    </row>
    <row r="349">
      <c r="A349" s="21"/>
      <c r="B349" s="21"/>
      <c r="C349" s="21"/>
      <c r="D349" s="25"/>
      <c r="E349" s="25"/>
      <c r="F349" s="25"/>
      <c r="G349" s="21"/>
    </row>
    <row r="350">
      <c r="A350" s="21"/>
      <c r="B350" s="21"/>
      <c r="D350" s="25"/>
      <c r="E350" s="27"/>
      <c r="F350" s="25"/>
      <c r="G350" s="27"/>
    </row>
    <row r="351">
      <c r="A351" s="21"/>
      <c r="B351" s="21"/>
      <c r="C351" s="21"/>
      <c r="D351" s="25"/>
      <c r="E351" s="25"/>
      <c r="F351" s="25"/>
      <c r="G351" s="21"/>
    </row>
    <row r="352">
      <c r="A352" s="21"/>
      <c r="B352" s="21"/>
      <c r="C352" s="21"/>
      <c r="D352" s="25"/>
      <c r="E352" s="25"/>
      <c r="F352" s="25"/>
      <c r="G352" s="21"/>
    </row>
    <row r="353">
      <c r="A353" s="21"/>
      <c r="B353" s="21"/>
      <c r="D353" s="25"/>
      <c r="E353" s="27"/>
      <c r="F353" s="25"/>
      <c r="G353" s="27"/>
    </row>
    <row r="354">
      <c r="A354" s="21"/>
      <c r="B354" s="21"/>
      <c r="C354" s="21"/>
      <c r="D354" s="25"/>
      <c r="E354" s="25"/>
      <c r="F354" s="25"/>
      <c r="G354" s="21"/>
    </row>
    <row r="355">
      <c r="A355" s="21"/>
      <c r="B355" s="21"/>
      <c r="C355" s="21"/>
      <c r="D355" s="25"/>
      <c r="E355" s="25"/>
      <c r="F355" s="25"/>
      <c r="G355" s="21"/>
    </row>
    <row r="356">
      <c r="A356" s="21"/>
      <c r="B356" s="21"/>
      <c r="C356" s="21"/>
      <c r="D356" s="25"/>
      <c r="E356" s="25"/>
      <c r="F356" s="25"/>
      <c r="G356" s="21"/>
    </row>
    <row r="357">
      <c r="A357" s="21"/>
      <c r="B357" s="21"/>
      <c r="C357" s="21"/>
      <c r="D357" s="25"/>
      <c r="E357" s="25"/>
      <c r="F357" s="25"/>
      <c r="G357" s="21"/>
    </row>
    <row r="358">
      <c r="A358" s="21"/>
      <c r="B358" s="21"/>
      <c r="C358" s="21"/>
      <c r="D358" s="25"/>
      <c r="E358" s="25"/>
      <c r="F358" s="25"/>
      <c r="G358" s="21"/>
    </row>
    <row r="359">
      <c r="A359" s="21"/>
      <c r="B359" s="21"/>
      <c r="C359" s="21"/>
      <c r="D359" s="25"/>
      <c r="E359" s="25"/>
      <c r="F359" s="25"/>
      <c r="G359" s="21"/>
    </row>
    <row r="360">
      <c r="A360" s="21"/>
      <c r="B360" s="21"/>
      <c r="C360" s="21"/>
      <c r="D360" s="25"/>
      <c r="E360" s="25"/>
      <c r="F360" s="25"/>
      <c r="G360" s="21"/>
    </row>
    <row r="361">
      <c r="A361" s="21"/>
      <c r="B361" s="21"/>
      <c r="D361" s="25"/>
      <c r="E361" s="27"/>
      <c r="F361" s="25"/>
      <c r="G361" s="27"/>
    </row>
    <row r="362">
      <c r="A362" s="21"/>
      <c r="B362" s="21"/>
      <c r="C362" s="21"/>
      <c r="D362" s="25"/>
      <c r="E362" s="25"/>
      <c r="F362" s="25"/>
      <c r="G362" s="21"/>
    </row>
    <row r="363">
      <c r="A363" s="21"/>
      <c r="B363" s="21"/>
      <c r="C363" s="21"/>
      <c r="D363" s="25"/>
      <c r="E363" s="25"/>
      <c r="F363" s="25"/>
      <c r="G363" s="21"/>
    </row>
    <row r="364">
      <c r="A364" s="21"/>
      <c r="B364" s="21"/>
      <c r="C364" s="21"/>
      <c r="D364" s="25"/>
      <c r="E364" s="25"/>
      <c r="F364" s="25"/>
      <c r="G364" s="21"/>
    </row>
    <row r="365">
      <c r="A365" s="21"/>
      <c r="B365" s="21"/>
      <c r="D365" s="25"/>
      <c r="E365" s="27"/>
      <c r="F365" s="25"/>
      <c r="G365" s="27"/>
    </row>
    <row r="366">
      <c r="A366" s="21"/>
      <c r="B366" s="21"/>
      <c r="C366" s="21"/>
      <c r="D366" s="25"/>
      <c r="E366" s="25"/>
      <c r="F366" s="25"/>
      <c r="G366" s="21"/>
    </row>
    <row r="367">
      <c r="A367" s="21"/>
      <c r="B367" s="21"/>
      <c r="D367" s="25"/>
      <c r="E367" s="27"/>
      <c r="F367" s="25"/>
      <c r="G367" s="27"/>
    </row>
    <row r="368">
      <c r="A368" s="21"/>
      <c r="B368" s="21"/>
      <c r="C368" s="21"/>
      <c r="D368" s="25"/>
      <c r="E368" s="25"/>
      <c r="F368" s="25"/>
      <c r="G368" s="21"/>
    </row>
    <row r="369">
      <c r="A369" s="21"/>
      <c r="B369" s="21"/>
      <c r="D369" s="25"/>
      <c r="E369" s="27"/>
      <c r="F369" s="25"/>
      <c r="G369" s="27"/>
    </row>
    <row r="370">
      <c r="A370" s="21"/>
      <c r="B370" s="21"/>
      <c r="C370" s="21"/>
      <c r="D370" s="25"/>
      <c r="E370" s="25"/>
      <c r="F370" s="25"/>
      <c r="G370" s="21"/>
    </row>
    <row r="371">
      <c r="A371" s="21"/>
      <c r="B371" s="21"/>
      <c r="C371" s="21"/>
      <c r="D371" s="25"/>
      <c r="E371" s="25"/>
      <c r="F371" s="25"/>
      <c r="G371" s="21"/>
    </row>
    <row r="372">
      <c r="A372" s="21"/>
      <c r="B372" s="21"/>
      <c r="C372" s="21"/>
      <c r="D372" s="25"/>
      <c r="E372" s="25"/>
      <c r="F372" s="25"/>
      <c r="G372" s="21"/>
    </row>
    <row r="373">
      <c r="A373" s="21"/>
      <c r="B373" s="21"/>
      <c r="D373" s="25"/>
      <c r="E373" s="27"/>
      <c r="F373" s="25"/>
      <c r="G373" s="27"/>
    </row>
    <row r="374">
      <c r="A374" s="21"/>
      <c r="B374" s="21"/>
      <c r="C374" s="21"/>
      <c r="D374" s="25"/>
      <c r="E374" s="25"/>
      <c r="F374" s="25"/>
      <c r="G374" s="21"/>
    </row>
    <row r="375">
      <c r="A375" s="21"/>
      <c r="B375" s="21"/>
      <c r="C375" s="21"/>
      <c r="D375" s="25"/>
      <c r="E375" s="25"/>
      <c r="F375" s="25"/>
      <c r="G375" s="21"/>
    </row>
    <row r="376">
      <c r="A376" s="21"/>
      <c r="B376" s="21"/>
      <c r="C376" s="21"/>
      <c r="D376" s="25"/>
      <c r="E376" s="25"/>
      <c r="F376" s="25"/>
      <c r="G376" s="21"/>
    </row>
    <row r="377">
      <c r="A377" s="21"/>
      <c r="B377" s="21"/>
      <c r="C377" s="21"/>
      <c r="D377" s="25"/>
      <c r="E377" s="25"/>
      <c r="F377" s="25"/>
      <c r="G377" s="21"/>
    </row>
    <row r="378">
      <c r="A378" s="21"/>
      <c r="B378" s="21"/>
      <c r="C378" s="21"/>
      <c r="D378" s="25"/>
      <c r="E378" s="25"/>
      <c r="F378" s="25"/>
      <c r="G378" s="21"/>
    </row>
    <row r="379">
      <c r="A379" s="21"/>
      <c r="B379" s="21"/>
      <c r="C379" s="21"/>
      <c r="D379" s="25"/>
      <c r="E379" s="25"/>
      <c r="F379" s="25"/>
      <c r="G379" s="21"/>
    </row>
    <row r="380">
      <c r="A380" s="21"/>
      <c r="B380" s="21"/>
      <c r="C380" s="21"/>
      <c r="D380" s="25"/>
      <c r="E380" s="25"/>
      <c r="F380" s="25"/>
      <c r="G380" s="21"/>
    </row>
    <row r="381">
      <c r="A381" s="21"/>
      <c r="B381" s="21"/>
      <c r="C381" s="21"/>
      <c r="D381" s="25"/>
      <c r="E381" s="25"/>
      <c r="F381" s="25"/>
      <c r="G381" s="21"/>
    </row>
    <row r="382">
      <c r="A382" s="21"/>
      <c r="B382" s="21"/>
      <c r="C382" s="21"/>
      <c r="D382" s="25"/>
      <c r="E382" s="25"/>
      <c r="F382" s="25"/>
      <c r="G382" s="21"/>
    </row>
    <row r="383">
      <c r="A383" s="21"/>
      <c r="B383" s="21"/>
      <c r="C383" s="21"/>
      <c r="D383" s="25"/>
      <c r="E383" s="25"/>
      <c r="F383" s="25"/>
      <c r="G383" s="21"/>
    </row>
    <row r="384">
      <c r="A384" s="21"/>
      <c r="B384" s="21"/>
      <c r="C384" s="21"/>
      <c r="D384" s="25"/>
      <c r="E384" s="25"/>
      <c r="F384" s="25"/>
      <c r="G384" s="21"/>
    </row>
    <row r="385">
      <c r="A385" s="21"/>
      <c r="B385" s="21"/>
      <c r="C385" s="21"/>
      <c r="D385" s="25"/>
      <c r="E385" s="25"/>
      <c r="F385" s="25"/>
      <c r="G385" s="21"/>
    </row>
    <row r="386">
      <c r="A386" s="21"/>
      <c r="B386" s="21"/>
      <c r="C386" s="21"/>
      <c r="D386" s="25"/>
      <c r="E386" s="25"/>
      <c r="F386" s="25"/>
      <c r="G386" s="21"/>
    </row>
    <row r="387">
      <c r="A387" s="21"/>
      <c r="B387" s="21"/>
      <c r="C387" s="21"/>
      <c r="D387" s="25"/>
      <c r="E387" s="25"/>
      <c r="F387" s="25"/>
      <c r="G387" s="21"/>
    </row>
    <row r="388">
      <c r="A388" s="21"/>
      <c r="B388" s="21"/>
      <c r="D388" s="25"/>
      <c r="E388" s="27"/>
      <c r="F388" s="25"/>
      <c r="G388" s="27"/>
    </row>
    <row r="389">
      <c r="A389" s="21"/>
      <c r="B389" s="21"/>
      <c r="C389" s="21"/>
      <c r="D389" s="25"/>
      <c r="E389" s="25"/>
      <c r="F389" s="25"/>
      <c r="G389" s="21"/>
    </row>
    <row r="390">
      <c r="A390" s="21"/>
      <c r="B390" s="21"/>
      <c r="C390" s="21"/>
      <c r="D390" s="25"/>
      <c r="E390" s="25"/>
      <c r="F390" s="25"/>
      <c r="G390" s="21"/>
    </row>
    <row r="391">
      <c r="A391" s="21"/>
      <c r="B391" s="21"/>
      <c r="C391" s="21"/>
      <c r="D391" s="25"/>
      <c r="E391" s="25"/>
      <c r="F391" s="25"/>
      <c r="G391" s="21"/>
    </row>
    <row r="392">
      <c r="A392" s="21"/>
      <c r="B392" s="21"/>
      <c r="C392" s="21"/>
      <c r="D392" s="25"/>
      <c r="E392" s="25"/>
      <c r="F392" s="25"/>
      <c r="G392" s="21"/>
    </row>
    <row r="393">
      <c r="A393" s="21"/>
      <c r="B393" s="21"/>
      <c r="C393" s="21"/>
      <c r="D393" s="25"/>
      <c r="E393" s="25"/>
      <c r="F393" s="25"/>
      <c r="G393" s="21"/>
    </row>
    <row r="394">
      <c r="A394" s="21"/>
      <c r="B394" s="21"/>
      <c r="C394" s="21"/>
      <c r="D394" s="25"/>
      <c r="E394" s="25"/>
      <c r="F394" s="25"/>
      <c r="G394" s="21"/>
    </row>
    <row r="395">
      <c r="A395" s="21"/>
      <c r="B395" s="21"/>
      <c r="C395" s="21"/>
      <c r="D395" s="25"/>
      <c r="E395" s="25"/>
      <c r="F395" s="25"/>
      <c r="G395" s="21"/>
    </row>
    <row r="396">
      <c r="A396" s="21"/>
      <c r="B396" s="21"/>
      <c r="D396" s="25"/>
      <c r="E396" s="27"/>
      <c r="F396" s="25"/>
      <c r="G396" s="27"/>
    </row>
    <row r="397">
      <c r="A397" s="21"/>
      <c r="B397" s="21"/>
      <c r="C397" s="21"/>
      <c r="D397" s="25"/>
      <c r="E397" s="25"/>
      <c r="F397" s="25"/>
      <c r="G397" s="21"/>
    </row>
    <row r="398">
      <c r="A398" s="21"/>
      <c r="B398" s="21"/>
      <c r="D398" s="25"/>
      <c r="E398" s="27"/>
      <c r="F398" s="25"/>
      <c r="G398" s="27"/>
    </row>
    <row r="399">
      <c r="A399" s="21"/>
      <c r="B399" s="21"/>
      <c r="C399" s="21"/>
      <c r="D399" s="25"/>
      <c r="E399" s="25"/>
      <c r="F399" s="25"/>
      <c r="G399" s="21"/>
    </row>
    <row r="400">
      <c r="A400" s="21"/>
      <c r="B400" s="21"/>
      <c r="D400" s="25"/>
      <c r="E400" s="27"/>
      <c r="F400" s="25"/>
      <c r="G400" s="27"/>
    </row>
    <row r="401">
      <c r="A401" s="21"/>
      <c r="B401" s="21"/>
      <c r="C401" s="21"/>
      <c r="D401" s="25"/>
      <c r="E401" s="25"/>
      <c r="F401" s="25"/>
      <c r="G401" s="21"/>
    </row>
    <row r="402">
      <c r="A402" s="21"/>
      <c r="B402" s="21"/>
      <c r="D402" s="25"/>
      <c r="E402" s="27"/>
      <c r="F402" s="25"/>
      <c r="G402" s="27"/>
    </row>
    <row r="403">
      <c r="A403" s="21"/>
      <c r="B403" s="21"/>
      <c r="C403" s="21"/>
      <c r="D403" s="25"/>
      <c r="E403" s="25"/>
      <c r="F403" s="25"/>
      <c r="G403" s="21"/>
    </row>
    <row r="404">
      <c r="A404" s="21"/>
      <c r="B404" s="21"/>
      <c r="C404" s="21"/>
      <c r="D404" s="25"/>
      <c r="E404" s="25"/>
      <c r="F404" s="25"/>
      <c r="G404" s="21"/>
    </row>
    <row r="405">
      <c r="A405" s="21"/>
      <c r="B405" s="21"/>
      <c r="D405" s="25"/>
      <c r="E405" s="27"/>
      <c r="F405" s="25"/>
      <c r="G405" s="27"/>
    </row>
    <row r="406">
      <c r="A406" s="21"/>
      <c r="B406" s="21"/>
      <c r="D406" s="25"/>
      <c r="E406" s="27"/>
      <c r="F406" s="25"/>
      <c r="G406" s="27"/>
    </row>
    <row r="407">
      <c r="A407" s="21"/>
      <c r="B407" s="21"/>
      <c r="D407" s="25"/>
      <c r="E407" s="27"/>
      <c r="F407" s="25"/>
      <c r="G407" s="27"/>
    </row>
    <row r="408">
      <c r="A408" s="21"/>
      <c r="B408" s="21"/>
      <c r="D408" s="25"/>
      <c r="E408" s="27"/>
      <c r="F408" s="25"/>
      <c r="G408" s="27"/>
    </row>
    <row r="409">
      <c r="A409" s="21"/>
      <c r="B409" s="21"/>
      <c r="D409" s="25"/>
      <c r="E409" s="27"/>
      <c r="F409" s="25"/>
      <c r="G409" s="27"/>
    </row>
    <row r="410">
      <c r="A410" s="21"/>
      <c r="B410" s="21"/>
      <c r="C410" s="21"/>
      <c r="D410" s="25"/>
      <c r="E410" s="25"/>
      <c r="F410" s="25"/>
      <c r="G410" s="21"/>
    </row>
    <row r="411">
      <c r="A411" s="21"/>
      <c r="B411" s="21"/>
      <c r="C411" s="21"/>
      <c r="D411" s="25"/>
      <c r="E411" s="25"/>
      <c r="F411" s="25"/>
      <c r="G411" s="21"/>
    </row>
    <row r="412">
      <c r="A412" s="21"/>
      <c r="B412" s="21"/>
      <c r="C412" s="21"/>
      <c r="D412" s="25"/>
      <c r="E412" s="25"/>
      <c r="F412" s="25"/>
      <c r="G412" s="21"/>
    </row>
    <row r="413">
      <c r="A413" s="21"/>
      <c r="B413" s="21"/>
      <c r="C413" s="21"/>
      <c r="D413" s="25"/>
      <c r="E413" s="25"/>
      <c r="F413" s="25"/>
      <c r="G413" s="21"/>
    </row>
    <row r="414">
      <c r="A414" s="21"/>
      <c r="B414" s="21"/>
      <c r="C414" s="21"/>
      <c r="D414" s="25"/>
      <c r="E414" s="25"/>
      <c r="F414" s="25"/>
      <c r="G414" s="21"/>
    </row>
    <row r="415">
      <c r="A415" s="21"/>
      <c r="B415" s="21"/>
      <c r="C415" s="21"/>
      <c r="D415" s="25"/>
      <c r="E415" s="25"/>
      <c r="F415" s="25"/>
      <c r="G415" s="21"/>
    </row>
    <row r="416">
      <c r="A416" s="21"/>
      <c r="B416" s="21"/>
      <c r="C416" s="21"/>
      <c r="D416" s="25"/>
      <c r="E416" s="25"/>
      <c r="F416" s="25"/>
      <c r="G416" s="21"/>
    </row>
    <row r="417">
      <c r="A417" s="21"/>
      <c r="B417" s="21"/>
      <c r="D417" s="25"/>
      <c r="E417" s="27"/>
      <c r="F417" s="25"/>
      <c r="G417" s="27"/>
    </row>
    <row r="418">
      <c r="A418" s="21"/>
      <c r="B418" s="21"/>
      <c r="C418" s="21"/>
      <c r="D418" s="25"/>
      <c r="E418" s="25"/>
      <c r="F418" s="25"/>
      <c r="G418" s="21"/>
    </row>
    <row r="419">
      <c r="A419" s="21"/>
      <c r="B419" s="21"/>
      <c r="C419" s="21"/>
      <c r="D419" s="25"/>
      <c r="E419" s="25"/>
      <c r="F419" s="25"/>
      <c r="G419" s="21"/>
    </row>
    <row r="420">
      <c r="A420" s="21"/>
      <c r="B420" s="21"/>
      <c r="C420" s="21"/>
      <c r="D420" s="25"/>
      <c r="E420" s="25"/>
      <c r="F420" s="25"/>
      <c r="G420" s="21"/>
    </row>
    <row r="421">
      <c r="A421" s="21"/>
      <c r="B421" s="21"/>
      <c r="C421" s="21"/>
      <c r="D421" s="25"/>
      <c r="E421" s="25"/>
      <c r="F421" s="25"/>
      <c r="G421" s="21"/>
    </row>
    <row r="422">
      <c r="A422" s="21"/>
      <c r="B422" s="21"/>
      <c r="C422" s="21"/>
      <c r="D422" s="25"/>
      <c r="E422" s="25"/>
      <c r="F422" s="25"/>
      <c r="G422" s="21"/>
    </row>
    <row r="423">
      <c r="A423" s="21"/>
      <c r="B423" s="21"/>
      <c r="C423" s="21"/>
      <c r="D423" s="25"/>
      <c r="E423" s="25"/>
      <c r="F423" s="25"/>
      <c r="G423" s="21"/>
    </row>
    <row r="424">
      <c r="A424" s="21"/>
      <c r="B424" s="21"/>
      <c r="C424" s="21"/>
      <c r="D424" s="25"/>
      <c r="E424" s="25"/>
      <c r="F424" s="25"/>
      <c r="G424" s="21"/>
    </row>
    <row r="425">
      <c r="A425" s="21"/>
      <c r="B425" s="21"/>
      <c r="D425" s="25"/>
      <c r="E425" s="27"/>
      <c r="F425" s="25"/>
      <c r="G425" s="27"/>
    </row>
    <row r="426">
      <c r="A426" s="21"/>
      <c r="B426" s="21"/>
      <c r="D426" s="25"/>
      <c r="E426" s="27"/>
      <c r="F426" s="25"/>
      <c r="G426" s="27"/>
    </row>
    <row r="427">
      <c r="A427" s="21"/>
      <c r="B427" s="21"/>
      <c r="C427" s="21"/>
      <c r="D427" s="25"/>
      <c r="E427" s="25"/>
      <c r="F427" s="25"/>
      <c r="G427" s="21"/>
    </row>
    <row r="428">
      <c r="A428" s="21"/>
      <c r="B428" s="21"/>
      <c r="C428" s="21"/>
      <c r="D428" s="25"/>
      <c r="E428" s="25"/>
      <c r="F428" s="25"/>
      <c r="G428" s="21"/>
    </row>
    <row r="429">
      <c r="A429" s="21"/>
      <c r="B429" s="21"/>
      <c r="C429" s="21"/>
      <c r="D429" s="25"/>
      <c r="E429" s="25"/>
      <c r="F429" s="25"/>
      <c r="G429" s="21"/>
    </row>
    <row r="430">
      <c r="A430" s="21"/>
      <c r="B430" s="21"/>
      <c r="D430" s="25"/>
      <c r="E430" s="27"/>
      <c r="F430" s="25"/>
      <c r="G430" s="27"/>
    </row>
    <row r="431">
      <c r="A431" s="21"/>
      <c r="B431" s="21"/>
      <c r="C431" s="21"/>
      <c r="D431" s="25"/>
      <c r="E431" s="25"/>
      <c r="F431" s="25"/>
      <c r="G431" s="21"/>
    </row>
    <row r="432">
      <c r="A432" s="21"/>
      <c r="B432" s="21"/>
      <c r="C432" s="21"/>
      <c r="D432" s="25"/>
      <c r="E432" s="25"/>
      <c r="F432" s="25"/>
      <c r="G432" s="21"/>
    </row>
    <row r="433">
      <c r="A433" s="21"/>
      <c r="B433" s="21"/>
      <c r="C433" s="21"/>
      <c r="D433" s="25"/>
      <c r="E433" s="25"/>
      <c r="F433" s="25"/>
      <c r="G433" s="21"/>
    </row>
    <row r="434">
      <c r="A434" s="21"/>
      <c r="B434" s="21"/>
      <c r="D434" s="25"/>
      <c r="E434" s="27"/>
      <c r="F434" s="25"/>
      <c r="G434" s="27"/>
    </row>
    <row r="435">
      <c r="A435" s="21"/>
      <c r="B435" s="21"/>
      <c r="D435" s="25"/>
      <c r="E435" s="27"/>
      <c r="F435" s="25"/>
      <c r="G435" s="27"/>
    </row>
    <row r="436">
      <c r="A436" s="21"/>
      <c r="B436" s="21"/>
      <c r="C436" s="21"/>
      <c r="D436" s="25"/>
      <c r="E436" s="25"/>
      <c r="F436" s="25"/>
      <c r="G436" s="21"/>
    </row>
    <row r="437">
      <c r="A437" s="21"/>
      <c r="B437" s="21"/>
      <c r="C437" s="21"/>
      <c r="D437" s="25"/>
      <c r="E437" s="25"/>
      <c r="F437" s="25"/>
      <c r="G437" s="21"/>
    </row>
    <row r="438">
      <c r="A438" s="21"/>
      <c r="B438" s="21"/>
      <c r="D438" s="25"/>
      <c r="E438" s="27"/>
      <c r="F438" s="25"/>
      <c r="G438" s="27"/>
    </row>
    <row r="439">
      <c r="A439" s="21"/>
      <c r="B439" s="21"/>
      <c r="C439" s="21"/>
      <c r="D439" s="25"/>
      <c r="E439" s="25"/>
      <c r="F439" s="25"/>
      <c r="G439" s="21"/>
    </row>
    <row r="440">
      <c r="A440" s="21"/>
      <c r="B440" s="21"/>
      <c r="C440" s="21"/>
      <c r="D440" s="25"/>
      <c r="E440" s="25"/>
      <c r="F440" s="25"/>
      <c r="G440" s="21"/>
    </row>
    <row r="441">
      <c r="A441" s="21"/>
      <c r="B441" s="21"/>
      <c r="D441" s="25"/>
      <c r="E441" s="27"/>
      <c r="F441" s="25"/>
      <c r="G441" s="27"/>
    </row>
    <row r="442">
      <c r="A442" s="21"/>
      <c r="B442" s="21"/>
      <c r="C442" s="21"/>
      <c r="D442" s="25"/>
      <c r="E442" s="25"/>
      <c r="F442" s="25"/>
      <c r="G442" s="21"/>
    </row>
    <row r="443">
      <c r="A443" s="21"/>
      <c r="B443" s="21"/>
      <c r="D443" s="25"/>
      <c r="E443" s="27"/>
      <c r="F443" s="25"/>
      <c r="G443" s="27"/>
    </row>
    <row r="444">
      <c r="A444" s="21"/>
      <c r="B444" s="21"/>
      <c r="D444" s="25"/>
      <c r="E444" s="27"/>
      <c r="F444" s="25"/>
      <c r="G444" s="27"/>
    </row>
    <row r="445">
      <c r="A445" s="21"/>
      <c r="B445" s="21"/>
      <c r="D445" s="25"/>
      <c r="E445" s="27"/>
      <c r="F445" s="25"/>
      <c r="G445" s="27"/>
    </row>
    <row r="446">
      <c r="A446" s="21"/>
      <c r="B446" s="21"/>
      <c r="C446" s="21"/>
      <c r="D446" s="25"/>
      <c r="E446" s="25"/>
      <c r="F446" s="25"/>
      <c r="G446" s="21"/>
    </row>
    <row r="447">
      <c r="A447" s="21"/>
      <c r="B447" s="21"/>
      <c r="D447" s="25"/>
      <c r="E447" s="27"/>
      <c r="F447" s="25"/>
      <c r="G447" s="27"/>
    </row>
    <row r="448">
      <c r="A448" s="21"/>
      <c r="B448" s="21"/>
      <c r="C448" s="21"/>
      <c r="D448" s="25"/>
      <c r="E448" s="25"/>
      <c r="F448" s="25"/>
      <c r="G448" s="21"/>
    </row>
    <row r="449">
      <c r="A449" s="21"/>
      <c r="B449" s="21"/>
      <c r="D449" s="25"/>
      <c r="E449" s="27"/>
      <c r="F449" s="25"/>
      <c r="G449" s="27"/>
    </row>
    <row r="450">
      <c r="A450" s="21"/>
      <c r="B450" s="21"/>
      <c r="D450" s="25"/>
      <c r="E450" s="27"/>
      <c r="F450" s="25"/>
      <c r="G450" s="27"/>
    </row>
    <row r="451">
      <c r="A451" s="21"/>
      <c r="B451" s="21"/>
      <c r="D451" s="25"/>
      <c r="E451" s="27"/>
      <c r="F451" s="25"/>
      <c r="G451" s="27"/>
    </row>
    <row r="452">
      <c r="A452" s="21"/>
      <c r="B452" s="21"/>
      <c r="D452" s="25"/>
      <c r="E452" s="27"/>
      <c r="F452" s="25"/>
      <c r="G452" s="27"/>
    </row>
    <row r="453">
      <c r="A453" s="21"/>
      <c r="B453" s="21"/>
      <c r="C453" s="21"/>
      <c r="D453" s="25"/>
      <c r="E453" s="25"/>
      <c r="F453" s="25"/>
      <c r="G453" s="21"/>
    </row>
    <row r="454">
      <c r="A454" s="21"/>
      <c r="B454" s="21"/>
      <c r="D454" s="25"/>
      <c r="E454" s="27"/>
      <c r="F454" s="25"/>
      <c r="G454" s="27"/>
    </row>
    <row r="455">
      <c r="A455" s="21"/>
      <c r="B455" s="21"/>
      <c r="D455" s="25"/>
      <c r="E455" s="27"/>
      <c r="F455" s="25"/>
      <c r="G455" s="27"/>
    </row>
    <row r="456">
      <c r="A456" s="21"/>
      <c r="B456" s="21"/>
      <c r="D456" s="25"/>
      <c r="E456" s="27"/>
      <c r="F456" s="25"/>
      <c r="G456" s="27"/>
    </row>
    <row r="457">
      <c r="A457" s="21"/>
      <c r="B457" s="21"/>
      <c r="C457" s="21"/>
      <c r="D457" s="25"/>
      <c r="E457" s="25"/>
      <c r="F457" s="25"/>
      <c r="G457" s="21"/>
    </row>
    <row r="458">
      <c r="A458" s="21"/>
      <c r="B458" s="21"/>
      <c r="C458" s="21"/>
      <c r="D458" s="25"/>
      <c r="E458" s="25"/>
      <c r="F458" s="25"/>
      <c r="G458" s="21"/>
    </row>
    <row r="459">
      <c r="A459" s="21"/>
      <c r="B459" s="21"/>
      <c r="D459" s="25"/>
      <c r="E459" s="27"/>
      <c r="F459" s="25"/>
      <c r="G459" s="27"/>
    </row>
    <row r="460">
      <c r="A460" s="21"/>
      <c r="B460" s="21"/>
      <c r="C460" s="21"/>
      <c r="D460" s="25"/>
      <c r="E460" s="25"/>
      <c r="F460" s="25"/>
      <c r="G460" s="21"/>
    </row>
    <row r="461">
      <c r="A461" s="21"/>
      <c r="B461" s="21"/>
      <c r="D461" s="25"/>
      <c r="E461" s="27"/>
      <c r="F461" s="25"/>
      <c r="G461" s="27"/>
    </row>
    <row r="462">
      <c r="A462" s="21"/>
      <c r="B462" s="21"/>
      <c r="C462" s="21"/>
      <c r="D462" s="25"/>
      <c r="E462" s="25"/>
      <c r="F462" s="25"/>
      <c r="G462" s="21"/>
    </row>
    <row r="463">
      <c r="A463" s="21"/>
      <c r="B463" s="21"/>
      <c r="C463" s="21"/>
      <c r="D463" s="25"/>
      <c r="E463" s="25"/>
      <c r="F463" s="25"/>
      <c r="G463" s="21"/>
    </row>
    <row r="464">
      <c r="A464" s="21"/>
      <c r="B464" s="21"/>
      <c r="C464" s="21"/>
      <c r="D464" s="25"/>
      <c r="E464" s="25"/>
      <c r="F464" s="25"/>
      <c r="G464" s="21"/>
    </row>
    <row r="465">
      <c r="A465" s="21"/>
      <c r="B465" s="21"/>
      <c r="D465" s="25"/>
      <c r="E465" s="27"/>
      <c r="F465" s="25"/>
      <c r="G465" s="27"/>
    </row>
    <row r="466">
      <c r="A466" s="21"/>
      <c r="B466" s="21"/>
      <c r="D466" s="25"/>
      <c r="E466" s="27"/>
      <c r="F466" s="25"/>
      <c r="G466" s="27"/>
    </row>
    <row r="467">
      <c r="A467" s="21"/>
      <c r="B467" s="21"/>
      <c r="D467" s="25"/>
      <c r="E467" s="27"/>
      <c r="F467" s="25"/>
      <c r="G467" s="27"/>
    </row>
    <row r="468">
      <c r="A468" s="21"/>
      <c r="B468" s="21"/>
      <c r="C468" s="21"/>
      <c r="D468" s="25"/>
      <c r="E468" s="25"/>
      <c r="F468" s="25"/>
      <c r="G468" s="21"/>
    </row>
    <row r="469">
      <c r="A469" s="21"/>
      <c r="B469" s="21"/>
      <c r="C469" s="21"/>
      <c r="D469" s="25"/>
      <c r="E469" s="25"/>
      <c r="F469" s="25"/>
      <c r="G469" s="21"/>
    </row>
    <row r="470">
      <c r="A470" s="21"/>
      <c r="B470" s="21"/>
      <c r="C470" s="21"/>
      <c r="D470" s="25"/>
      <c r="E470" s="25"/>
      <c r="F470" s="25"/>
      <c r="G470" s="21"/>
    </row>
    <row r="471">
      <c r="A471" s="21"/>
      <c r="B471" s="21"/>
      <c r="C471" s="21"/>
      <c r="D471" s="25"/>
      <c r="E471" s="25"/>
      <c r="F471" s="25"/>
      <c r="G471" s="21"/>
    </row>
    <row r="472">
      <c r="A472" s="21"/>
      <c r="B472" s="21"/>
      <c r="C472" s="21"/>
      <c r="D472" s="25"/>
      <c r="E472" s="25"/>
      <c r="F472" s="25"/>
      <c r="G472" s="21"/>
    </row>
    <row r="473">
      <c r="A473" s="21"/>
      <c r="B473" s="21"/>
      <c r="C473" s="21"/>
      <c r="D473" s="25"/>
      <c r="E473" s="25"/>
      <c r="F473" s="25"/>
      <c r="G473" s="21"/>
    </row>
    <row r="474">
      <c r="A474" s="21"/>
      <c r="B474" s="21"/>
      <c r="D474" s="25"/>
      <c r="E474" s="27"/>
      <c r="F474" s="25"/>
      <c r="G474" s="27"/>
    </row>
    <row r="475">
      <c r="A475" s="21"/>
      <c r="B475" s="21"/>
      <c r="D475" s="25"/>
      <c r="E475" s="27"/>
      <c r="F475" s="25"/>
      <c r="G475" s="27"/>
    </row>
    <row r="476">
      <c r="A476" s="21"/>
      <c r="B476" s="21"/>
      <c r="C476" s="21"/>
      <c r="D476" s="25"/>
      <c r="E476" s="25"/>
      <c r="F476" s="25"/>
      <c r="G476" s="21"/>
    </row>
    <row r="477">
      <c r="A477" s="21"/>
      <c r="B477" s="21"/>
      <c r="D477" s="25"/>
      <c r="E477" s="27"/>
      <c r="F477" s="25"/>
      <c r="G477" s="27"/>
    </row>
    <row r="478">
      <c r="A478" s="21"/>
      <c r="B478" s="21"/>
      <c r="C478" s="21"/>
      <c r="D478" s="25"/>
      <c r="E478" s="25"/>
      <c r="F478" s="25"/>
      <c r="G478" s="21"/>
    </row>
    <row r="479">
      <c r="A479" s="21"/>
      <c r="B479" s="21"/>
      <c r="D479" s="25"/>
      <c r="E479" s="27"/>
      <c r="F479" s="25"/>
      <c r="G479" s="27"/>
    </row>
    <row r="480">
      <c r="A480" s="21"/>
      <c r="B480" s="21"/>
      <c r="D480" s="25"/>
      <c r="E480" s="27"/>
      <c r="F480" s="25"/>
      <c r="G480" s="27"/>
    </row>
    <row r="481">
      <c r="A481" s="21"/>
      <c r="B481" s="21"/>
      <c r="D481" s="25"/>
      <c r="E481" s="27"/>
      <c r="F481" s="25"/>
      <c r="G481" s="27"/>
    </row>
    <row r="482">
      <c r="A482" s="21"/>
      <c r="B482" s="21"/>
      <c r="D482" s="25"/>
      <c r="E482" s="27"/>
      <c r="F482" s="25"/>
      <c r="G482" s="27"/>
    </row>
    <row r="483">
      <c r="A483" s="21"/>
      <c r="B483" s="21"/>
      <c r="C483" s="21"/>
      <c r="D483" s="25"/>
      <c r="E483" s="25"/>
      <c r="F483" s="25"/>
      <c r="G483" s="21"/>
    </row>
    <row r="484">
      <c r="A484" s="21"/>
      <c r="B484" s="21"/>
      <c r="C484" s="21"/>
      <c r="D484" s="25"/>
      <c r="E484" s="25"/>
      <c r="F484" s="25"/>
      <c r="G484" s="21"/>
    </row>
    <row r="485">
      <c r="A485" s="21"/>
      <c r="B485" s="21"/>
      <c r="D485" s="25"/>
      <c r="E485" s="27"/>
      <c r="F485" s="25"/>
      <c r="G485" s="27"/>
    </row>
    <row r="486">
      <c r="A486" s="21"/>
      <c r="B486" s="21"/>
      <c r="D486" s="25"/>
      <c r="E486" s="27"/>
      <c r="F486" s="25"/>
      <c r="G486" s="27"/>
    </row>
    <row r="487">
      <c r="A487" s="21"/>
      <c r="B487" s="21"/>
      <c r="D487" s="25"/>
      <c r="E487" s="27"/>
      <c r="F487" s="25"/>
      <c r="G487" s="27"/>
    </row>
    <row r="488">
      <c r="A488" s="21"/>
      <c r="B488" s="21"/>
      <c r="C488" s="21"/>
      <c r="D488" s="25"/>
      <c r="E488" s="25"/>
      <c r="F488" s="25"/>
      <c r="G488" s="21"/>
    </row>
    <row r="489">
      <c r="A489" s="21"/>
      <c r="B489" s="21"/>
      <c r="D489" s="25"/>
      <c r="E489" s="27"/>
      <c r="F489" s="25"/>
      <c r="G489" s="27"/>
    </row>
    <row r="490">
      <c r="A490" s="21"/>
      <c r="B490" s="21"/>
      <c r="D490" s="25"/>
      <c r="E490" s="27"/>
      <c r="F490" s="25"/>
      <c r="G490" s="27"/>
    </row>
    <row r="491">
      <c r="A491" s="21"/>
      <c r="B491" s="21"/>
      <c r="C491" s="21"/>
      <c r="D491" s="25"/>
      <c r="E491" s="25"/>
      <c r="F491" s="25"/>
      <c r="G491" s="21"/>
    </row>
    <row r="492">
      <c r="A492" s="21"/>
      <c r="B492" s="21"/>
      <c r="C492" s="21"/>
      <c r="D492" s="25"/>
      <c r="E492" s="25"/>
      <c r="F492" s="25"/>
      <c r="G492" s="21"/>
    </row>
    <row r="493">
      <c r="A493" s="21"/>
      <c r="B493" s="21"/>
      <c r="D493" s="25"/>
      <c r="E493" s="27"/>
      <c r="F493" s="25"/>
      <c r="G493" s="27"/>
    </row>
    <row r="494">
      <c r="A494" s="21"/>
      <c r="B494" s="21"/>
      <c r="C494" s="21"/>
      <c r="D494" s="25"/>
      <c r="E494" s="25"/>
      <c r="F494" s="25"/>
      <c r="G494" s="21"/>
    </row>
    <row r="495">
      <c r="A495" s="21"/>
      <c r="B495" s="21"/>
      <c r="C495" s="21"/>
      <c r="D495" s="25"/>
      <c r="E495" s="25"/>
      <c r="F495" s="25"/>
      <c r="G495" s="21"/>
    </row>
    <row r="496">
      <c r="A496" s="21"/>
      <c r="B496" s="21"/>
      <c r="D496" s="25"/>
      <c r="E496" s="27"/>
      <c r="F496" s="25"/>
      <c r="G496" s="27"/>
    </row>
    <row r="497">
      <c r="A497" s="21"/>
      <c r="B497" s="21"/>
      <c r="D497" s="25"/>
      <c r="E497" s="27"/>
      <c r="F497" s="25"/>
      <c r="G497" s="27"/>
    </row>
    <row r="498">
      <c r="A498" s="21"/>
      <c r="B498" s="21"/>
      <c r="D498" s="25"/>
      <c r="E498" s="27"/>
      <c r="F498" s="25"/>
      <c r="G498" s="27"/>
    </row>
    <row r="499">
      <c r="A499" s="21"/>
      <c r="B499" s="21"/>
      <c r="D499" s="25"/>
      <c r="E499" s="27"/>
      <c r="F499" s="25"/>
      <c r="G499" s="27"/>
    </row>
    <row r="500">
      <c r="A500" s="21"/>
      <c r="B500" s="21"/>
      <c r="D500" s="25"/>
      <c r="E500" s="27"/>
      <c r="F500" s="25"/>
      <c r="G500" s="27"/>
    </row>
    <row r="501">
      <c r="A501" s="21"/>
      <c r="B501" s="21"/>
      <c r="C501" s="21"/>
      <c r="D501" s="25"/>
      <c r="E501" s="25"/>
      <c r="F501" s="25"/>
      <c r="G501" s="21"/>
    </row>
    <row r="502">
      <c r="A502" s="21"/>
      <c r="B502" s="21"/>
      <c r="C502" s="21"/>
      <c r="D502" s="25"/>
      <c r="E502" s="25"/>
      <c r="F502" s="25"/>
      <c r="G502" s="21"/>
    </row>
    <row r="503">
      <c r="A503" s="21"/>
      <c r="B503" s="21"/>
      <c r="D503" s="25"/>
      <c r="E503" s="27"/>
      <c r="F503" s="25"/>
      <c r="G503" s="27"/>
    </row>
    <row r="504">
      <c r="A504" s="21"/>
      <c r="B504" s="21"/>
      <c r="D504" s="25"/>
      <c r="E504" s="27"/>
      <c r="F504" s="25"/>
      <c r="G504" s="27"/>
    </row>
    <row r="505">
      <c r="A505" s="21"/>
      <c r="B505" s="21"/>
      <c r="D505" s="25"/>
      <c r="E505" s="27"/>
      <c r="F505" s="25"/>
      <c r="G505" s="27"/>
    </row>
    <row r="506">
      <c r="A506" s="21"/>
      <c r="B506" s="21"/>
      <c r="D506" s="25"/>
      <c r="E506" s="27"/>
      <c r="F506" s="25"/>
      <c r="G506" s="27"/>
    </row>
    <row r="507">
      <c r="A507" s="21"/>
      <c r="B507" s="21"/>
      <c r="D507" s="25"/>
      <c r="E507" s="27"/>
      <c r="F507" s="25"/>
      <c r="G507" s="27"/>
    </row>
    <row r="508">
      <c r="A508" s="21"/>
      <c r="B508" s="21"/>
      <c r="C508" s="21"/>
      <c r="D508" s="25"/>
      <c r="E508" s="25"/>
      <c r="F508" s="25"/>
      <c r="G508" s="21"/>
    </row>
    <row r="509">
      <c r="A509" s="21"/>
      <c r="B509" s="21"/>
      <c r="C509" s="21"/>
      <c r="D509" s="25"/>
      <c r="E509" s="25"/>
      <c r="F509" s="25"/>
      <c r="G509" s="21"/>
    </row>
    <row r="510">
      <c r="A510" s="21"/>
      <c r="B510" s="21"/>
      <c r="D510" s="25"/>
      <c r="E510" s="27"/>
      <c r="F510" s="25"/>
      <c r="G510" s="27"/>
    </row>
    <row r="511">
      <c r="A511" s="21"/>
      <c r="B511" s="21"/>
      <c r="C511" s="21"/>
      <c r="D511" s="25"/>
      <c r="E511" s="25"/>
      <c r="F511" s="25"/>
      <c r="G511" s="21"/>
    </row>
    <row r="512">
      <c r="A512" s="21"/>
      <c r="B512" s="21"/>
      <c r="D512" s="25"/>
      <c r="E512" s="27"/>
      <c r="F512" s="25"/>
      <c r="G512" s="27"/>
    </row>
    <row r="513">
      <c r="A513" s="21"/>
      <c r="B513" s="21"/>
      <c r="D513" s="25"/>
      <c r="E513" s="27"/>
      <c r="F513" s="25"/>
      <c r="G513" s="27"/>
    </row>
    <row r="514">
      <c r="A514" s="21"/>
      <c r="B514" s="21"/>
      <c r="D514" s="25"/>
      <c r="E514" s="27"/>
      <c r="F514" s="25"/>
      <c r="G514" s="27"/>
    </row>
    <row r="515">
      <c r="A515" s="21"/>
      <c r="B515" s="21"/>
      <c r="C515" s="21"/>
      <c r="D515" s="25"/>
      <c r="E515" s="25"/>
      <c r="F515" s="25"/>
      <c r="G515" s="21"/>
    </row>
    <row r="516">
      <c r="A516" s="21"/>
      <c r="B516" s="21"/>
      <c r="D516" s="25"/>
      <c r="E516" s="27"/>
      <c r="F516" s="25"/>
      <c r="G516" s="27"/>
    </row>
    <row r="517">
      <c r="A517" s="21"/>
      <c r="B517" s="21"/>
      <c r="D517" s="25"/>
      <c r="E517" s="27"/>
      <c r="F517" s="25"/>
      <c r="G517" s="27"/>
    </row>
    <row r="518">
      <c r="A518" s="21"/>
      <c r="B518" s="21"/>
      <c r="D518" s="25"/>
      <c r="E518" s="27"/>
      <c r="F518" s="25"/>
      <c r="G518" s="27"/>
    </row>
    <row r="519">
      <c r="A519" s="21"/>
      <c r="B519" s="21"/>
      <c r="D519" s="25"/>
      <c r="E519" s="27"/>
      <c r="F519" s="25"/>
      <c r="G519" s="27"/>
    </row>
    <row r="520">
      <c r="A520" s="21"/>
      <c r="B520" s="21"/>
      <c r="C520" s="21"/>
      <c r="D520" s="25"/>
      <c r="E520" s="25"/>
      <c r="F520" s="25"/>
      <c r="G520" s="21"/>
    </row>
    <row r="521">
      <c r="A521" s="21"/>
      <c r="B521" s="21"/>
      <c r="C521" s="21"/>
      <c r="D521" s="25"/>
      <c r="E521" s="25"/>
      <c r="F521" s="25"/>
      <c r="G521" s="21"/>
    </row>
    <row r="522">
      <c r="A522" s="21"/>
      <c r="B522" s="21"/>
      <c r="D522" s="25"/>
      <c r="E522" s="27"/>
      <c r="F522" s="25"/>
      <c r="G522" s="27"/>
    </row>
    <row r="523">
      <c r="A523" s="21"/>
      <c r="B523" s="21"/>
      <c r="D523" s="25"/>
      <c r="E523" s="27"/>
      <c r="F523" s="25"/>
      <c r="G523" s="27"/>
    </row>
    <row r="524">
      <c r="A524" s="21"/>
      <c r="B524" s="21"/>
      <c r="D524" s="25"/>
      <c r="E524" s="27"/>
      <c r="F524" s="25"/>
      <c r="G524" s="27"/>
    </row>
    <row r="525">
      <c r="A525" s="21"/>
      <c r="B525" s="21"/>
      <c r="D525" s="25"/>
      <c r="E525" s="27"/>
      <c r="F525" s="25"/>
      <c r="G525" s="27"/>
    </row>
    <row r="526">
      <c r="A526" s="21"/>
      <c r="B526" s="21"/>
      <c r="D526" s="25"/>
      <c r="E526" s="27"/>
      <c r="F526" s="25"/>
      <c r="G526" s="27"/>
    </row>
    <row r="527">
      <c r="A527" s="21"/>
      <c r="B527" s="21"/>
      <c r="D527" s="25"/>
      <c r="E527" s="27"/>
      <c r="F527" s="25"/>
      <c r="G527" s="27"/>
    </row>
    <row r="528">
      <c r="A528" s="21"/>
      <c r="B528" s="21"/>
      <c r="D528" s="25"/>
      <c r="E528" s="25"/>
      <c r="F528" s="25"/>
      <c r="G528" s="21"/>
    </row>
    <row r="529">
      <c r="A529" s="21"/>
      <c r="B529" s="21"/>
      <c r="D529" s="25"/>
      <c r="E529" s="27"/>
      <c r="F529" s="25"/>
      <c r="G529" s="27"/>
    </row>
    <row r="530">
      <c r="A530" s="21"/>
      <c r="B530" s="21"/>
      <c r="D530" s="25"/>
      <c r="E530" s="27"/>
      <c r="F530" s="25"/>
      <c r="G530" s="27"/>
    </row>
    <row r="531">
      <c r="A531" s="21"/>
      <c r="B531" s="21"/>
      <c r="D531" s="25"/>
      <c r="E531" s="27"/>
      <c r="F531" s="25"/>
      <c r="G531" s="27"/>
    </row>
    <row r="532">
      <c r="A532" s="21"/>
      <c r="B532" s="21"/>
      <c r="D532" s="25"/>
      <c r="E532" s="27"/>
      <c r="F532" s="25"/>
      <c r="G532" s="27"/>
    </row>
    <row r="533">
      <c r="A533" s="21"/>
      <c r="B533" s="21"/>
      <c r="D533" s="25"/>
      <c r="E533" s="27"/>
      <c r="F533" s="25"/>
      <c r="G533" s="27"/>
    </row>
    <row r="534">
      <c r="A534" s="21"/>
      <c r="B534" s="21"/>
      <c r="D534" s="25"/>
      <c r="E534" s="27"/>
      <c r="F534" s="25"/>
      <c r="G534" s="27"/>
    </row>
    <row r="535">
      <c r="A535" s="21"/>
      <c r="B535" s="21"/>
      <c r="D535" s="25"/>
      <c r="E535" s="27"/>
      <c r="F535" s="25"/>
      <c r="G535" s="27"/>
    </row>
    <row r="536">
      <c r="A536" s="21"/>
      <c r="B536" s="21"/>
      <c r="D536" s="25"/>
      <c r="E536" s="27"/>
      <c r="F536" s="25"/>
      <c r="G536" s="27"/>
    </row>
    <row r="537">
      <c r="A537" s="21"/>
      <c r="B537" s="21"/>
      <c r="D537" s="25"/>
      <c r="E537" s="27"/>
      <c r="F537" s="25"/>
      <c r="G537" s="27"/>
    </row>
    <row r="538">
      <c r="A538" s="21"/>
      <c r="B538" s="21"/>
      <c r="D538" s="25"/>
      <c r="E538" s="27"/>
      <c r="F538" s="25"/>
      <c r="G538" s="27"/>
    </row>
    <row r="539">
      <c r="A539" s="21"/>
      <c r="B539" s="21"/>
      <c r="D539" s="25"/>
      <c r="E539" s="27"/>
      <c r="F539" s="25"/>
      <c r="G539" s="27"/>
    </row>
    <row r="540">
      <c r="A540" s="21"/>
      <c r="B540" s="21"/>
      <c r="D540" s="25"/>
      <c r="E540" s="27"/>
      <c r="F540" s="25"/>
      <c r="G540" s="27"/>
    </row>
    <row r="541">
      <c r="A541" s="21"/>
      <c r="B541" s="21"/>
      <c r="D541" s="25"/>
      <c r="E541" s="27"/>
      <c r="F541" s="25"/>
      <c r="G541" s="27"/>
    </row>
    <row r="542">
      <c r="A542" s="21"/>
      <c r="B542" s="21"/>
      <c r="D542" s="25"/>
      <c r="E542" s="27"/>
      <c r="F542" s="25"/>
      <c r="G542" s="27"/>
    </row>
    <row r="543">
      <c r="A543" s="21"/>
      <c r="B543" s="21"/>
      <c r="D543" s="25"/>
      <c r="E543" s="27"/>
      <c r="F543" s="25"/>
      <c r="G543" s="27"/>
    </row>
    <row r="544">
      <c r="A544" s="21"/>
      <c r="B544" s="21"/>
      <c r="D544" s="25"/>
      <c r="E544" s="27"/>
      <c r="F544" s="25"/>
      <c r="G544" s="27"/>
    </row>
    <row r="545">
      <c r="A545" s="21"/>
      <c r="B545" s="21"/>
      <c r="D545" s="25"/>
      <c r="E545" s="27"/>
      <c r="F545" s="25"/>
      <c r="G545" s="27"/>
    </row>
    <row r="546">
      <c r="A546" s="21"/>
      <c r="B546" s="21"/>
      <c r="D546" s="25"/>
      <c r="E546" s="27"/>
      <c r="F546" s="25"/>
      <c r="G546" s="27"/>
    </row>
    <row r="547">
      <c r="A547" s="21"/>
      <c r="B547" s="21"/>
      <c r="D547" s="25"/>
      <c r="E547" s="27"/>
      <c r="F547" s="25"/>
      <c r="G547" s="27"/>
    </row>
    <row r="548">
      <c r="A548" s="21"/>
      <c r="B548" s="21"/>
      <c r="D548" s="25"/>
      <c r="E548" s="27"/>
      <c r="F548" s="25"/>
      <c r="G548" s="27"/>
    </row>
    <row r="549">
      <c r="A549" s="21"/>
      <c r="B549" s="21"/>
      <c r="D549" s="25"/>
      <c r="E549" s="27"/>
      <c r="F549" s="25"/>
      <c r="G549" s="27"/>
    </row>
    <row r="550">
      <c r="A550" s="21"/>
      <c r="B550" s="21"/>
      <c r="D550" s="25"/>
      <c r="E550" s="27"/>
      <c r="F550" s="25"/>
      <c r="G550" s="27"/>
    </row>
    <row r="551">
      <c r="A551" s="21"/>
      <c r="B551" s="21"/>
      <c r="D551" s="25"/>
      <c r="E551" s="27"/>
      <c r="F551" s="25"/>
      <c r="G551" s="27"/>
    </row>
    <row r="552">
      <c r="A552" s="21"/>
      <c r="B552" s="21"/>
      <c r="D552" s="25"/>
      <c r="E552" s="27"/>
      <c r="F552" s="25"/>
      <c r="G552" s="27"/>
    </row>
    <row r="553">
      <c r="A553" s="21"/>
      <c r="B553" s="21"/>
      <c r="D553" s="25"/>
      <c r="E553" s="27"/>
      <c r="F553" s="25"/>
      <c r="G553" s="27"/>
    </row>
    <row r="554">
      <c r="A554" s="21"/>
      <c r="B554" s="21"/>
      <c r="D554" s="25"/>
      <c r="E554" s="27"/>
      <c r="F554" s="25"/>
      <c r="G554" s="27"/>
    </row>
    <row r="555">
      <c r="A555" s="21"/>
      <c r="B555" s="21"/>
      <c r="D555" s="25"/>
      <c r="E555" s="27"/>
      <c r="F555" s="25"/>
      <c r="G555" s="27"/>
    </row>
    <row r="556">
      <c r="A556" s="21"/>
      <c r="B556" s="21"/>
      <c r="D556" s="25"/>
      <c r="E556" s="27"/>
      <c r="F556" s="25"/>
      <c r="G556" s="27"/>
    </row>
    <row r="557">
      <c r="A557" s="21"/>
      <c r="B557" s="21"/>
      <c r="D557" s="25"/>
      <c r="E557" s="27"/>
      <c r="F557" s="25"/>
      <c r="G557" s="27"/>
    </row>
    <row r="558">
      <c r="A558" s="21"/>
      <c r="B558" s="21"/>
      <c r="D558" s="25"/>
      <c r="E558" s="27"/>
      <c r="F558" s="25"/>
      <c r="G558" s="27"/>
    </row>
    <row r="559">
      <c r="A559" s="21"/>
      <c r="B559" s="21"/>
      <c r="D559" s="25"/>
      <c r="E559" s="27"/>
      <c r="F559" s="25"/>
      <c r="G559" s="27"/>
    </row>
    <row r="560">
      <c r="A560" s="21"/>
      <c r="B560" s="21"/>
      <c r="D560" s="25"/>
      <c r="E560" s="27"/>
      <c r="F560" s="25"/>
      <c r="G560" s="27"/>
    </row>
    <row r="561">
      <c r="A561" s="21"/>
      <c r="B561" s="21"/>
      <c r="D561" s="25"/>
      <c r="E561" s="27"/>
      <c r="F561" s="25"/>
      <c r="G561" s="27"/>
    </row>
    <row r="562">
      <c r="A562" s="21"/>
      <c r="B562" s="21"/>
      <c r="D562" s="25"/>
      <c r="E562" s="27"/>
      <c r="F562" s="25"/>
      <c r="G562" s="27"/>
    </row>
    <row r="563">
      <c r="A563" s="21"/>
      <c r="B563" s="21"/>
      <c r="D563" s="25"/>
      <c r="E563" s="27"/>
      <c r="F563" s="25"/>
      <c r="G563" s="27"/>
    </row>
    <row r="564">
      <c r="A564" s="21"/>
      <c r="B564" s="21"/>
      <c r="D564" s="25"/>
      <c r="E564" s="27"/>
      <c r="F564" s="25"/>
      <c r="G564" s="27"/>
    </row>
    <row r="565">
      <c r="A565" s="21"/>
      <c r="B565" s="21"/>
      <c r="D565" s="25"/>
      <c r="E565" s="27"/>
      <c r="F565" s="25"/>
      <c r="G565" s="27"/>
    </row>
    <row r="566">
      <c r="A566" s="21"/>
      <c r="B566" s="21"/>
      <c r="D566" s="25"/>
      <c r="E566" s="27"/>
      <c r="F566" s="25"/>
      <c r="G566" s="27"/>
    </row>
    <row r="567">
      <c r="A567" s="21"/>
      <c r="B567" s="21"/>
      <c r="D567" s="25"/>
      <c r="E567" s="27"/>
      <c r="F567" s="25"/>
      <c r="G567" s="27"/>
    </row>
    <row r="568">
      <c r="A568" s="21"/>
      <c r="B568" s="21"/>
      <c r="D568" s="25"/>
      <c r="E568" s="27"/>
      <c r="F568" s="25"/>
      <c r="G568" s="27"/>
    </row>
    <row r="569">
      <c r="A569" s="21"/>
      <c r="B569" s="21"/>
      <c r="D569" s="25"/>
      <c r="E569" s="27"/>
      <c r="F569" s="25"/>
      <c r="G569" s="27"/>
    </row>
    <row r="570">
      <c r="A570" s="21"/>
      <c r="B570" s="21"/>
      <c r="D570" s="25"/>
      <c r="E570" s="27"/>
      <c r="F570" s="25"/>
      <c r="G570" s="27"/>
    </row>
    <row r="571">
      <c r="A571" s="21"/>
      <c r="B571" s="21"/>
      <c r="D571" s="25"/>
      <c r="E571" s="27"/>
      <c r="F571" s="25"/>
      <c r="G571" s="27"/>
    </row>
    <row r="572">
      <c r="A572" s="21"/>
      <c r="B572" s="21"/>
      <c r="D572" s="25"/>
      <c r="E572" s="27"/>
      <c r="F572" s="25"/>
      <c r="G572" s="27"/>
    </row>
    <row r="573">
      <c r="A573" s="21"/>
      <c r="B573" s="21"/>
      <c r="D573" s="25"/>
      <c r="E573" s="27"/>
      <c r="F573" s="25"/>
      <c r="G573" s="27"/>
    </row>
    <row r="574">
      <c r="A574" s="21"/>
      <c r="B574" s="21"/>
      <c r="D574" s="25"/>
      <c r="E574" s="27"/>
      <c r="F574" s="25"/>
      <c r="G574" s="27"/>
    </row>
    <row r="575">
      <c r="A575" s="21"/>
      <c r="B575" s="21"/>
      <c r="D575" s="25"/>
      <c r="E575" s="27"/>
      <c r="F575" s="25"/>
      <c r="G575" s="27"/>
    </row>
    <row r="576">
      <c r="A576" s="21"/>
      <c r="B576" s="21"/>
      <c r="D576" s="25"/>
      <c r="E576" s="27"/>
      <c r="F576" s="25"/>
      <c r="G576" s="27"/>
    </row>
    <row r="577">
      <c r="A577" s="21"/>
      <c r="B577" s="21"/>
      <c r="D577" s="25"/>
      <c r="E577" s="27"/>
      <c r="F577" s="25"/>
      <c r="G577" s="27"/>
    </row>
    <row r="578">
      <c r="A578" s="21"/>
      <c r="B578" s="21"/>
      <c r="D578" s="25"/>
      <c r="E578" s="27"/>
      <c r="F578" s="25"/>
      <c r="G578" s="27"/>
    </row>
    <row r="579">
      <c r="A579" s="21"/>
      <c r="B579" s="21"/>
      <c r="D579" s="25"/>
      <c r="E579" s="27"/>
      <c r="F579" s="25"/>
      <c r="G579" s="27"/>
    </row>
    <row r="580">
      <c r="A580" s="21"/>
      <c r="B580" s="21"/>
      <c r="D580" s="25"/>
      <c r="E580" s="27"/>
      <c r="F580" s="25"/>
      <c r="G580" s="27"/>
    </row>
    <row r="581">
      <c r="A581" s="21"/>
      <c r="B581" s="21"/>
      <c r="D581" s="25"/>
      <c r="E581" s="27"/>
      <c r="F581" s="25"/>
      <c r="G581" s="27"/>
    </row>
    <row r="582">
      <c r="A582" s="21"/>
      <c r="B582" s="21"/>
      <c r="D582" s="25"/>
      <c r="E582" s="27"/>
      <c r="F582" s="25"/>
      <c r="G582" s="27"/>
    </row>
    <row r="583">
      <c r="A583" s="21"/>
      <c r="B583" s="21"/>
      <c r="D583" s="25"/>
      <c r="E583" s="27"/>
      <c r="F583" s="25"/>
      <c r="G583" s="27"/>
    </row>
    <row r="584">
      <c r="A584" s="21"/>
      <c r="B584" s="21"/>
      <c r="D584" s="25"/>
      <c r="E584" s="27"/>
      <c r="F584" s="25"/>
      <c r="G584" s="27"/>
    </row>
    <row r="585">
      <c r="A585" s="21"/>
      <c r="B585" s="21"/>
      <c r="D585" s="25"/>
      <c r="E585" s="27"/>
      <c r="F585" s="25"/>
      <c r="G585" s="27"/>
    </row>
    <row r="586">
      <c r="A586" s="21"/>
      <c r="B586" s="21"/>
      <c r="D586" s="25"/>
      <c r="E586" s="27"/>
      <c r="F586" s="25"/>
      <c r="G586" s="27"/>
    </row>
    <row r="587">
      <c r="A587" s="21"/>
      <c r="B587" s="21"/>
      <c r="D587" s="25"/>
      <c r="E587" s="27"/>
      <c r="F587" s="25"/>
      <c r="G587" s="27"/>
    </row>
    <row r="588">
      <c r="A588" s="21"/>
      <c r="B588" s="21"/>
      <c r="D588" s="25"/>
      <c r="E588" s="27"/>
      <c r="F588" s="25"/>
      <c r="G588" s="27"/>
    </row>
    <row r="589">
      <c r="A589" s="21"/>
      <c r="B589" s="21"/>
      <c r="D589" s="25"/>
      <c r="E589" s="27"/>
      <c r="F589" s="25"/>
      <c r="G589" s="27"/>
    </row>
    <row r="590">
      <c r="A590" s="21"/>
      <c r="B590" s="21"/>
      <c r="D590" s="25"/>
      <c r="E590" s="27"/>
      <c r="F590" s="25"/>
      <c r="G590" s="27"/>
    </row>
    <row r="591">
      <c r="A591" s="21"/>
      <c r="B591" s="21"/>
      <c r="D591" s="25"/>
      <c r="E591" s="27"/>
      <c r="F591" s="25"/>
      <c r="G591" s="27"/>
    </row>
    <row r="592">
      <c r="A592" s="21"/>
      <c r="B592" s="21"/>
      <c r="D592" s="25"/>
      <c r="E592" s="27"/>
      <c r="F592" s="25"/>
      <c r="G592" s="27"/>
    </row>
    <row r="593">
      <c r="A593" s="21"/>
      <c r="B593" s="21"/>
      <c r="D593" s="25"/>
      <c r="E593" s="27"/>
      <c r="F593" s="25"/>
      <c r="G593" s="27"/>
    </row>
    <row r="594">
      <c r="A594" s="21"/>
      <c r="B594" s="21"/>
      <c r="D594" s="25"/>
      <c r="E594" s="27"/>
      <c r="F594" s="25"/>
      <c r="G594" s="27"/>
    </row>
    <row r="595">
      <c r="A595" s="21"/>
      <c r="B595" s="21"/>
      <c r="D595" s="25"/>
      <c r="E595" s="27"/>
      <c r="F595" s="25"/>
      <c r="G595" s="27"/>
    </row>
    <row r="596">
      <c r="A596" s="21"/>
      <c r="B596" s="21"/>
      <c r="D596" s="25"/>
      <c r="E596" s="27"/>
      <c r="F596" s="25"/>
      <c r="G596" s="27"/>
    </row>
    <row r="597">
      <c r="A597" s="21"/>
      <c r="B597" s="21"/>
      <c r="D597" s="25"/>
      <c r="E597" s="27"/>
      <c r="F597" s="25"/>
      <c r="G597" s="27"/>
    </row>
    <row r="598">
      <c r="A598" s="21"/>
      <c r="B598" s="21"/>
      <c r="D598" s="25"/>
      <c r="E598" s="27"/>
      <c r="F598" s="25"/>
      <c r="G598" s="27"/>
    </row>
    <row r="599">
      <c r="A599" s="21"/>
      <c r="B599" s="21"/>
      <c r="D599" s="25"/>
      <c r="E599" s="27"/>
      <c r="F599" s="25"/>
      <c r="G599" s="27"/>
    </row>
    <row r="600">
      <c r="A600" s="21"/>
      <c r="B600" s="21"/>
      <c r="D600" s="25"/>
      <c r="E600" s="27"/>
      <c r="F600" s="25"/>
      <c r="G600" s="27"/>
    </row>
    <row r="601">
      <c r="A601" s="21"/>
      <c r="B601" s="21"/>
      <c r="D601" s="25"/>
      <c r="E601" s="27"/>
      <c r="F601" s="25"/>
      <c r="G601" s="27"/>
    </row>
    <row r="602">
      <c r="A602" s="21"/>
      <c r="B602" s="21"/>
      <c r="D602" s="25"/>
      <c r="E602" s="27"/>
      <c r="F602" s="25"/>
      <c r="G602" s="27"/>
    </row>
    <row r="603">
      <c r="A603" s="21"/>
      <c r="B603" s="21"/>
      <c r="D603" s="25"/>
      <c r="E603" s="27"/>
      <c r="F603" s="25"/>
      <c r="G603" s="27"/>
    </row>
    <row r="604">
      <c r="A604" s="21"/>
      <c r="B604" s="21"/>
      <c r="D604" s="25"/>
      <c r="E604" s="27"/>
      <c r="F604" s="25"/>
      <c r="G604" s="27"/>
    </row>
    <row r="605">
      <c r="A605" s="21"/>
      <c r="B605" s="21"/>
      <c r="D605" s="25"/>
      <c r="E605" s="27"/>
      <c r="F605" s="25"/>
      <c r="G605" s="27"/>
    </row>
    <row r="606">
      <c r="A606" s="21"/>
      <c r="B606" s="21"/>
      <c r="D606" s="25"/>
      <c r="E606" s="27"/>
      <c r="F606" s="25"/>
      <c r="G606" s="27"/>
    </row>
    <row r="607">
      <c r="A607" s="21"/>
      <c r="B607" s="21"/>
      <c r="D607" s="25"/>
      <c r="E607" s="27"/>
      <c r="F607" s="25"/>
      <c r="G607" s="27"/>
    </row>
    <row r="608">
      <c r="A608" s="21"/>
      <c r="B608" s="21"/>
      <c r="D608" s="25"/>
      <c r="E608" s="27"/>
      <c r="F608" s="25"/>
      <c r="G608" s="27"/>
    </row>
    <row r="609">
      <c r="A609" s="21"/>
      <c r="B609" s="21"/>
      <c r="D609" s="25"/>
      <c r="E609" s="27"/>
      <c r="F609" s="25"/>
      <c r="G609" s="27"/>
    </row>
    <row r="610">
      <c r="A610" s="21"/>
      <c r="B610" s="21"/>
      <c r="D610" s="25"/>
      <c r="E610" s="27"/>
      <c r="F610" s="25"/>
      <c r="G610" s="27"/>
    </row>
    <row r="611">
      <c r="A611" s="21"/>
      <c r="B611" s="21"/>
      <c r="D611" s="25"/>
      <c r="E611" s="27"/>
      <c r="F611" s="25"/>
      <c r="G611" s="27"/>
    </row>
    <row r="612">
      <c r="A612" s="21"/>
      <c r="B612" s="21"/>
      <c r="D612" s="25"/>
      <c r="E612" s="27"/>
      <c r="F612" s="25"/>
      <c r="G612" s="27"/>
    </row>
    <row r="613">
      <c r="A613" s="21"/>
      <c r="B613" s="21"/>
      <c r="D613" s="25"/>
      <c r="E613" s="27"/>
      <c r="F613" s="25"/>
      <c r="G613" s="27"/>
    </row>
    <row r="614">
      <c r="A614" s="21"/>
      <c r="B614" s="21"/>
      <c r="D614" s="25"/>
      <c r="E614" s="27"/>
      <c r="F614" s="25"/>
      <c r="G614" s="27"/>
    </row>
    <row r="615">
      <c r="A615" s="21"/>
      <c r="B615" s="21"/>
      <c r="D615" s="25"/>
      <c r="E615" s="27"/>
      <c r="F615" s="25"/>
      <c r="G615" s="27"/>
    </row>
    <row r="616">
      <c r="A616" s="21"/>
      <c r="B616" s="21"/>
      <c r="D616" s="25"/>
      <c r="E616" s="27"/>
      <c r="F616" s="25"/>
      <c r="G616" s="27"/>
    </row>
    <row r="617">
      <c r="A617" s="21"/>
      <c r="B617" s="21"/>
      <c r="D617" s="25"/>
      <c r="E617" s="27"/>
      <c r="F617" s="25"/>
      <c r="G617" s="27"/>
    </row>
    <row r="618">
      <c r="A618" s="21"/>
      <c r="B618" s="21"/>
      <c r="D618" s="25"/>
      <c r="E618" s="27"/>
      <c r="F618" s="25"/>
      <c r="G618" s="27"/>
    </row>
    <row r="619">
      <c r="A619" s="21"/>
      <c r="B619" s="21"/>
      <c r="D619" s="25"/>
      <c r="E619" s="27"/>
      <c r="F619" s="25"/>
      <c r="G619" s="27"/>
    </row>
    <row r="620">
      <c r="A620" s="21"/>
      <c r="B620" s="21"/>
      <c r="D620" s="25"/>
      <c r="E620" s="27"/>
      <c r="F620" s="25"/>
      <c r="G620" s="27"/>
    </row>
    <row r="621">
      <c r="A621" s="21"/>
      <c r="B621" s="21"/>
      <c r="D621" s="25"/>
      <c r="E621" s="27"/>
      <c r="F621" s="25"/>
      <c r="G621" s="27"/>
    </row>
    <row r="622">
      <c r="A622" s="21"/>
      <c r="B622" s="21"/>
      <c r="D622" s="25"/>
      <c r="E622" s="27"/>
      <c r="F622" s="25"/>
      <c r="G622" s="27"/>
    </row>
    <row r="623">
      <c r="A623" s="21"/>
      <c r="B623" s="21"/>
      <c r="D623" s="25"/>
      <c r="E623" s="27"/>
      <c r="F623" s="25"/>
      <c r="G623" s="27"/>
    </row>
    <row r="624">
      <c r="A624" s="21"/>
      <c r="B624" s="21"/>
      <c r="D624" s="25"/>
      <c r="E624" s="27"/>
      <c r="F624" s="25"/>
      <c r="G624" s="27"/>
    </row>
    <row r="625">
      <c r="A625" s="21"/>
      <c r="B625" s="21"/>
      <c r="D625" s="25"/>
      <c r="E625" s="27"/>
      <c r="F625" s="25"/>
      <c r="G625" s="27"/>
    </row>
    <row r="626">
      <c r="A626" s="21"/>
      <c r="B626" s="21"/>
      <c r="D626" s="25"/>
      <c r="E626" s="27"/>
      <c r="F626" s="25"/>
      <c r="G626" s="27"/>
    </row>
    <row r="627">
      <c r="A627" s="21"/>
      <c r="B627" s="21"/>
      <c r="D627" s="25"/>
      <c r="E627" s="27"/>
      <c r="F627" s="25"/>
      <c r="G627" s="27"/>
    </row>
    <row r="628">
      <c r="A628" s="21"/>
      <c r="B628" s="21"/>
      <c r="D628" s="25"/>
      <c r="E628" s="27"/>
      <c r="F628" s="25"/>
      <c r="G628" s="27"/>
    </row>
    <row r="629">
      <c r="A629" s="21"/>
      <c r="B629" s="21"/>
      <c r="D629" s="25"/>
      <c r="E629" s="27"/>
      <c r="F629" s="25"/>
      <c r="G629" s="27"/>
    </row>
    <row r="630">
      <c r="A630" s="21"/>
      <c r="B630" s="21"/>
      <c r="D630" s="25"/>
      <c r="E630" s="27"/>
      <c r="F630" s="25"/>
      <c r="G630" s="27"/>
    </row>
    <row r="631">
      <c r="A631" s="21"/>
      <c r="B631" s="21"/>
      <c r="D631" s="25"/>
      <c r="E631" s="27"/>
      <c r="F631" s="25"/>
      <c r="G631" s="27"/>
    </row>
    <row r="632">
      <c r="A632" s="21"/>
      <c r="B632" s="21"/>
      <c r="D632" s="25"/>
      <c r="E632" s="27"/>
      <c r="F632" s="25"/>
      <c r="G632" s="27"/>
    </row>
    <row r="633">
      <c r="A633" s="21"/>
      <c r="B633" s="21"/>
      <c r="D633" s="25"/>
      <c r="E633" s="27"/>
      <c r="F633" s="25"/>
      <c r="G633" s="27"/>
    </row>
    <row r="634">
      <c r="A634" s="21"/>
      <c r="B634" s="21"/>
      <c r="D634" s="25"/>
      <c r="E634" s="27"/>
      <c r="F634" s="25"/>
      <c r="G634" s="27"/>
    </row>
    <row r="635">
      <c r="A635" s="21"/>
      <c r="B635" s="21"/>
      <c r="D635" s="25"/>
      <c r="E635" s="27"/>
      <c r="F635" s="25"/>
      <c r="G635" s="27"/>
    </row>
    <row r="636">
      <c r="A636" s="21"/>
      <c r="B636" s="21"/>
      <c r="D636" s="25"/>
      <c r="E636" s="27"/>
      <c r="F636" s="25"/>
      <c r="G636" s="27"/>
    </row>
    <row r="637">
      <c r="A637" s="21"/>
      <c r="B637" s="21"/>
      <c r="D637" s="25"/>
      <c r="E637" s="27"/>
      <c r="F637" s="25"/>
      <c r="G637" s="27"/>
    </row>
    <row r="638">
      <c r="A638" s="21"/>
      <c r="B638" s="21"/>
      <c r="D638" s="25"/>
      <c r="E638" s="27"/>
      <c r="F638" s="25"/>
      <c r="G638" s="27"/>
    </row>
    <row r="639">
      <c r="A639" s="21"/>
      <c r="B639" s="21"/>
      <c r="D639" s="25"/>
      <c r="E639" s="27"/>
      <c r="F639" s="25"/>
      <c r="G639" s="27"/>
    </row>
    <row r="640">
      <c r="A640" s="21"/>
      <c r="B640" s="21"/>
      <c r="D640" s="25"/>
      <c r="E640" s="27"/>
      <c r="F640" s="25"/>
      <c r="G640" s="27"/>
    </row>
    <row r="641">
      <c r="A641" s="21"/>
      <c r="B641" s="21"/>
      <c r="D641" s="25"/>
      <c r="E641" s="27"/>
      <c r="F641" s="25"/>
      <c r="G641" s="27"/>
    </row>
    <row r="642">
      <c r="A642" s="21"/>
      <c r="B642" s="21"/>
      <c r="D642" s="25"/>
      <c r="E642" s="27"/>
      <c r="F642" s="25"/>
      <c r="G642" s="27"/>
    </row>
    <row r="643">
      <c r="A643" s="21"/>
      <c r="B643" s="21"/>
      <c r="D643" s="25"/>
      <c r="E643" s="27"/>
      <c r="F643" s="25"/>
      <c r="G643" s="27"/>
    </row>
    <row r="644">
      <c r="A644" s="21"/>
      <c r="B644" s="21"/>
      <c r="D644" s="25"/>
      <c r="E644" s="27"/>
      <c r="F644" s="25"/>
      <c r="G644" s="27"/>
    </row>
    <row r="645">
      <c r="A645" s="21"/>
      <c r="B645" s="21"/>
      <c r="D645" s="25"/>
      <c r="E645" s="27"/>
      <c r="F645" s="25"/>
      <c r="G645" s="27"/>
    </row>
    <row r="646">
      <c r="A646" s="21"/>
      <c r="B646" s="21"/>
      <c r="D646" s="25"/>
      <c r="E646" s="27"/>
      <c r="F646" s="25"/>
      <c r="G646" s="27"/>
    </row>
    <row r="647">
      <c r="A647" s="21"/>
      <c r="B647" s="21"/>
      <c r="D647" s="25"/>
      <c r="E647" s="27"/>
      <c r="F647" s="25"/>
      <c r="G647" s="27"/>
    </row>
    <row r="648">
      <c r="A648" s="21"/>
      <c r="B648" s="21"/>
      <c r="D648" s="25"/>
      <c r="E648" s="27"/>
      <c r="F648" s="25"/>
      <c r="G648" s="27"/>
    </row>
    <row r="649">
      <c r="A649" s="21"/>
      <c r="B649" s="21"/>
      <c r="D649" s="25"/>
      <c r="E649" s="27"/>
      <c r="F649" s="25"/>
      <c r="G649" s="27"/>
    </row>
    <row r="650">
      <c r="A650" s="21"/>
      <c r="B650" s="21"/>
      <c r="D650" s="25"/>
      <c r="E650" s="27"/>
      <c r="F650" s="25"/>
      <c r="G650" s="27"/>
    </row>
    <row r="651">
      <c r="A651" s="21"/>
      <c r="B651" s="21"/>
      <c r="D651" s="25"/>
      <c r="E651" s="27"/>
      <c r="F651" s="25"/>
      <c r="G651" s="27"/>
    </row>
    <row r="652">
      <c r="A652" s="21"/>
      <c r="B652" s="21"/>
      <c r="D652" s="25"/>
      <c r="E652" s="27"/>
      <c r="F652" s="25"/>
      <c r="G652" s="27"/>
    </row>
    <row r="653">
      <c r="A653" s="21"/>
      <c r="B653" s="21"/>
      <c r="D653" s="25"/>
      <c r="E653" s="27"/>
      <c r="F653" s="25"/>
      <c r="G653" s="27"/>
    </row>
    <row r="654">
      <c r="A654" s="21"/>
      <c r="B654" s="21"/>
      <c r="D654" s="25"/>
      <c r="E654" s="27"/>
      <c r="F654" s="25"/>
      <c r="G654" s="27"/>
    </row>
    <row r="655">
      <c r="A655" s="21"/>
      <c r="B655" s="21"/>
      <c r="D655" s="25"/>
      <c r="E655" s="27"/>
      <c r="F655" s="25"/>
      <c r="G655" s="27"/>
    </row>
    <row r="656">
      <c r="A656" s="21"/>
      <c r="B656" s="21"/>
      <c r="D656" s="25"/>
      <c r="E656" s="27"/>
      <c r="F656" s="25"/>
      <c r="G656" s="27"/>
    </row>
    <row r="657">
      <c r="A657" s="21"/>
      <c r="B657" s="21"/>
      <c r="D657" s="25"/>
      <c r="E657" s="27"/>
      <c r="F657" s="25"/>
      <c r="G657" s="27"/>
    </row>
    <row r="658">
      <c r="A658" s="21"/>
      <c r="B658" s="21"/>
      <c r="D658" s="25"/>
      <c r="E658" s="27"/>
      <c r="F658" s="25"/>
      <c r="G658" s="27"/>
    </row>
    <row r="659">
      <c r="A659" s="21"/>
      <c r="B659" s="21"/>
      <c r="D659" s="25"/>
      <c r="E659" s="27"/>
      <c r="F659" s="25"/>
      <c r="G659" s="27"/>
    </row>
    <row r="660">
      <c r="A660" s="21"/>
      <c r="B660" s="21"/>
      <c r="D660" s="25"/>
      <c r="E660" s="27"/>
      <c r="F660" s="25"/>
      <c r="G660" s="27"/>
    </row>
    <row r="661">
      <c r="A661" s="21"/>
      <c r="B661" s="21"/>
      <c r="D661" s="25"/>
      <c r="E661" s="27"/>
      <c r="F661" s="25"/>
      <c r="G661" s="27"/>
    </row>
    <row r="662">
      <c r="A662" s="21"/>
      <c r="B662" s="21"/>
      <c r="D662" s="25"/>
      <c r="E662" s="27"/>
      <c r="F662" s="25"/>
      <c r="G662" s="27"/>
    </row>
    <row r="663">
      <c r="A663" s="21"/>
      <c r="B663" s="21"/>
      <c r="D663" s="25"/>
      <c r="E663" s="27"/>
      <c r="F663" s="25"/>
      <c r="G663" s="27"/>
    </row>
    <row r="664">
      <c r="A664" s="21"/>
      <c r="B664" s="21"/>
      <c r="D664" s="25"/>
      <c r="E664" s="27"/>
      <c r="F664" s="25"/>
      <c r="G664" s="27"/>
    </row>
    <row r="665">
      <c r="A665" s="21"/>
      <c r="B665" s="21"/>
      <c r="D665" s="25"/>
      <c r="E665" s="27"/>
      <c r="F665" s="25"/>
      <c r="G665" s="27"/>
    </row>
    <row r="666">
      <c r="A666" s="21"/>
      <c r="B666" s="21"/>
      <c r="D666" s="25"/>
      <c r="E666" s="27"/>
      <c r="F666" s="25"/>
      <c r="G666" s="27"/>
    </row>
    <row r="667">
      <c r="A667" s="21"/>
      <c r="B667" s="21"/>
      <c r="D667" s="25"/>
      <c r="E667" s="27"/>
      <c r="F667" s="25"/>
      <c r="G667" s="27"/>
    </row>
    <row r="668">
      <c r="A668" s="21"/>
      <c r="B668" s="21"/>
      <c r="D668" s="25"/>
      <c r="E668" s="27"/>
      <c r="F668" s="25"/>
      <c r="G668" s="27"/>
    </row>
    <row r="669">
      <c r="A669" s="21"/>
      <c r="B669" s="21"/>
      <c r="D669" s="25"/>
      <c r="E669" s="27"/>
      <c r="F669" s="25"/>
      <c r="G669" s="27"/>
    </row>
    <row r="670">
      <c r="A670" s="21"/>
      <c r="B670" s="21"/>
      <c r="D670" s="25"/>
      <c r="E670" s="27"/>
      <c r="F670" s="25"/>
      <c r="G670" s="27"/>
    </row>
    <row r="671">
      <c r="A671" s="21"/>
      <c r="B671" s="21"/>
      <c r="D671" s="25"/>
      <c r="E671" s="27"/>
      <c r="F671" s="25"/>
      <c r="G671" s="27"/>
    </row>
    <row r="672">
      <c r="A672" s="21"/>
      <c r="B672" s="21"/>
      <c r="D672" s="25"/>
      <c r="E672" s="27"/>
      <c r="F672" s="25"/>
      <c r="G672" s="27"/>
    </row>
    <row r="673">
      <c r="A673" s="21"/>
      <c r="B673" s="21"/>
      <c r="D673" s="25"/>
      <c r="E673" s="27"/>
      <c r="F673" s="25"/>
      <c r="G673" s="27"/>
    </row>
    <row r="674">
      <c r="A674" s="21"/>
      <c r="B674" s="21"/>
      <c r="D674" s="25"/>
      <c r="E674" s="27"/>
      <c r="F674" s="25"/>
      <c r="G674" s="27"/>
    </row>
    <row r="675">
      <c r="A675" s="21"/>
      <c r="B675" s="21"/>
      <c r="D675" s="25"/>
      <c r="E675" s="27"/>
      <c r="F675" s="25"/>
      <c r="G675" s="27"/>
    </row>
    <row r="676">
      <c r="A676" s="21"/>
      <c r="B676" s="21"/>
      <c r="D676" s="25"/>
      <c r="E676" s="27"/>
      <c r="F676" s="25"/>
      <c r="G676" s="27"/>
    </row>
    <row r="677">
      <c r="A677" s="21"/>
      <c r="B677" s="21"/>
      <c r="D677" s="25"/>
      <c r="E677" s="27"/>
      <c r="F677" s="25"/>
      <c r="G677" s="27"/>
    </row>
    <row r="678">
      <c r="A678" s="21"/>
      <c r="B678" s="21"/>
      <c r="D678" s="25"/>
      <c r="E678" s="27"/>
      <c r="F678" s="25"/>
      <c r="G678" s="27"/>
    </row>
    <row r="679">
      <c r="A679" s="21"/>
      <c r="B679" s="21"/>
      <c r="D679" s="25"/>
      <c r="E679" s="27"/>
      <c r="F679" s="25"/>
      <c r="G679" s="27"/>
    </row>
    <row r="680">
      <c r="A680" s="21"/>
      <c r="B680" s="21"/>
      <c r="D680" s="25"/>
      <c r="E680" s="27"/>
      <c r="F680" s="25"/>
      <c r="G680" s="27"/>
    </row>
    <row r="681">
      <c r="A681" s="21"/>
      <c r="B681" s="21"/>
      <c r="D681" s="25"/>
      <c r="E681" s="27"/>
      <c r="F681" s="25"/>
      <c r="G681" s="27"/>
    </row>
    <row r="682">
      <c r="A682" s="21"/>
      <c r="B682" s="21"/>
      <c r="D682" s="25"/>
      <c r="E682" s="27"/>
      <c r="F682" s="25"/>
      <c r="G682" s="27"/>
    </row>
    <row r="683">
      <c r="A683" s="21"/>
      <c r="B683" s="21"/>
      <c r="D683" s="25"/>
      <c r="E683" s="27"/>
      <c r="F683" s="25"/>
      <c r="G683" s="27"/>
    </row>
    <row r="684">
      <c r="A684" s="21"/>
      <c r="B684" s="21"/>
      <c r="D684" s="25"/>
      <c r="E684" s="27"/>
      <c r="F684" s="25"/>
      <c r="G684" s="27"/>
    </row>
    <row r="685">
      <c r="A685" s="21"/>
      <c r="B685" s="21"/>
      <c r="D685" s="25"/>
      <c r="E685" s="27"/>
      <c r="F685" s="25"/>
      <c r="G685" s="27"/>
    </row>
    <row r="686">
      <c r="A686" s="21"/>
      <c r="B686" s="21"/>
      <c r="D686" s="25"/>
      <c r="E686" s="27"/>
      <c r="F686" s="25"/>
      <c r="G686" s="27"/>
    </row>
    <row r="687">
      <c r="A687" s="21"/>
      <c r="B687" s="21"/>
      <c r="D687" s="25"/>
      <c r="E687" s="27"/>
      <c r="F687" s="25"/>
      <c r="G687" s="27"/>
    </row>
    <row r="688">
      <c r="A688" s="21"/>
      <c r="B688" s="21"/>
      <c r="D688" s="25"/>
      <c r="E688" s="27"/>
      <c r="F688" s="25"/>
      <c r="G688" s="27"/>
    </row>
    <row r="689">
      <c r="A689" s="21"/>
      <c r="B689" s="21"/>
      <c r="D689" s="25"/>
      <c r="E689" s="27"/>
      <c r="F689" s="25"/>
      <c r="G689" s="27"/>
    </row>
    <row r="690">
      <c r="A690" s="21"/>
      <c r="B690" s="21"/>
      <c r="D690" s="25"/>
      <c r="E690" s="27"/>
      <c r="F690" s="25"/>
      <c r="G690" s="27"/>
    </row>
    <row r="691">
      <c r="A691" s="21"/>
      <c r="B691" s="21"/>
      <c r="D691" s="25"/>
      <c r="E691" s="27"/>
      <c r="F691" s="25"/>
      <c r="G691" s="27"/>
    </row>
    <row r="692">
      <c r="A692" s="21"/>
      <c r="B692" s="21"/>
      <c r="D692" s="25"/>
      <c r="E692" s="27"/>
      <c r="F692" s="25"/>
      <c r="G692" s="27"/>
    </row>
    <row r="693">
      <c r="A693" s="21"/>
      <c r="B693" s="21"/>
      <c r="D693" s="25"/>
      <c r="E693" s="27"/>
      <c r="F693" s="25"/>
      <c r="G693" s="27"/>
    </row>
    <row r="694">
      <c r="A694" s="21"/>
      <c r="B694" s="21"/>
      <c r="D694" s="25"/>
      <c r="E694" s="27"/>
      <c r="F694" s="25"/>
      <c r="G694" s="27"/>
    </row>
    <row r="695">
      <c r="A695" s="21"/>
      <c r="B695" s="21"/>
      <c r="D695" s="25"/>
      <c r="E695" s="27"/>
      <c r="F695" s="25"/>
      <c r="G695" s="27"/>
    </row>
    <row r="696">
      <c r="A696" s="21"/>
      <c r="B696" s="21"/>
      <c r="D696" s="25"/>
      <c r="E696" s="27"/>
      <c r="F696" s="25"/>
      <c r="G696" s="27"/>
    </row>
    <row r="697">
      <c r="A697" s="21"/>
      <c r="B697" s="21"/>
      <c r="D697" s="25"/>
      <c r="E697" s="27"/>
      <c r="F697" s="25"/>
      <c r="G697" s="27"/>
    </row>
    <row r="698">
      <c r="A698" s="21"/>
      <c r="B698" s="21"/>
      <c r="D698" s="25"/>
      <c r="E698" s="27"/>
      <c r="F698" s="25"/>
      <c r="G698" s="27"/>
    </row>
    <row r="699">
      <c r="A699" s="21"/>
      <c r="B699" s="21"/>
      <c r="D699" s="25"/>
      <c r="E699" s="27"/>
      <c r="F699" s="25"/>
      <c r="G699" s="27"/>
    </row>
    <row r="700">
      <c r="A700" s="21"/>
      <c r="B700" s="21"/>
      <c r="D700" s="25"/>
      <c r="E700" s="27"/>
      <c r="F700" s="25"/>
      <c r="G700" s="27"/>
    </row>
    <row r="701">
      <c r="A701" s="21"/>
      <c r="B701" s="21"/>
      <c r="D701" s="25"/>
      <c r="E701" s="27"/>
      <c r="F701" s="25"/>
      <c r="G701" s="27"/>
    </row>
    <row r="702">
      <c r="A702" s="21"/>
      <c r="B702" s="21"/>
      <c r="D702" s="25"/>
      <c r="E702" s="27"/>
      <c r="F702" s="25"/>
      <c r="G702" s="27"/>
    </row>
    <row r="703">
      <c r="A703" s="21"/>
      <c r="B703" s="21"/>
      <c r="D703" s="25"/>
      <c r="E703" s="27"/>
      <c r="F703" s="25"/>
      <c r="G703" s="27"/>
    </row>
    <row r="704">
      <c r="A704" s="21"/>
      <c r="B704" s="21"/>
      <c r="D704" s="25"/>
      <c r="E704" s="27"/>
      <c r="F704" s="25"/>
      <c r="G704" s="27"/>
    </row>
    <row r="705">
      <c r="A705" s="21"/>
      <c r="B705" s="21"/>
      <c r="D705" s="25"/>
      <c r="E705" s="27"/>
      <c r="F705" s="25"/>
      <c r="G705" s="27"/>
    </row>
    <row r="706">
      <c r="A706" s="21"/>
      <c r="B706" s="21"/>
      <c r="D706" s="25"/>
      <c r="E706" s="27"/>
      <c r="F706" s="25"/>
      <c r="G706" s="27"/>
    </row>
    <row r="707">
      <c r="A707" s="21"/>
      <c r="B707" s="21"/>
      <c r="D707" s="25"/>
      <c r="E707" s="27"/>
      <c r="F707" s="25"/>
      <c r="G707" s="27"/>
    </row>
    <row r="708">
      <c r="A708" s="21"/>
      <c r="B708" s="21"/>
      <c r="D708" s="25"/>
      <c r="E708" s="27"/>
      <c r="F708" s="25"/>
      <c r="G708" s="27"/>
    </row>
    <row r="709">
      <c r="A709" s="21"/>
      <c r="B709" s="21"/>
      <c r="D709" s="25"/>
      <c r="E709" s="27"/>
      <c r="F709" s="25"/>
      <c r="G709" s="27"/>
    </row>
    <row r="710">
      <c r="A710" s="21"/>
      <c r="B710" s="21"/>
      <c r="D710" s="25"/>
      <c r="E710" s="27"/>
      <c r="F710" s="25"/>
      <c r="G710" s="27"/>
    </row>
    <row r="711">
      <c r="A711" s="21"/>
      <c r="B711" s="21"/>
      <c r="D711" s="25"/>
      <c r="E711" s="27"/>
      <c r="F711" s="25"/>
      <c r="G711" s="27"/>
    </row>
    <row r="712">
      <c r="A712" s="21"/>
      <c r="B712" s="21"/>
      <c r="D712" s="25"/>
      <c r="E712" s="27"/>
      <c r="F712" s="25"/>
      <c r="G712" s="27"/>
    </row>
    <row r="713">
      <c r="A713" s="21"/>
      <c r="B713" s="21"/>
      <c r="D713" s="25"/>
      <c r="E713" s="27"/>
      <c r="F713" s="25"/>
      <c r="G713" s="27"/>
    </row>
    <row r="714">
      <c r="A714" s="21"/>
      <c r="B714" s="21"/>
      <c r="D714" s="25"/>
      <c r="E714" s="27"/>
      <c r="F714" s="25"/>
      <c r="G714" s="27"/>
    </row>
    <row r="715">
      <c r="A715" s="21"/>
      <c r="B715" s="21"/>
      <c r="D715" s="25"/>
      <c r="E715" s="27"/>
      <c r="F715" s="25"/>
      <c r="G715" s="27"/>
    </row>
    <row r="716">
      <c r="A716" s="21"/>
      <c r="B716" s="21"/>
      <c r="D716" s="25"/>
      <c r="E716" s="27"/>
      <c r="F716" s="25"/>
      <c r="G716" s="27"/>
    </row>
    <row r="717">
      <c r="A717" s="21"/>
      <c r="B717" s="21"/>
      <c r="D717" s="25"/>
      <c r="E717" s="27"/>
      <c r="F717" s="25"/>
      <c r="G717" s="27"/>
    </row>
    <row r="718">
      <c r="A718" s="21"/>
      <c r="B718" s="21"/>
      <c r="D718" s="25"/>
      <c r="E718" s="27"/>
      <c r="F718" s="25"/>
      <c r="G718" s="27"/>
    </row>
    <row r="719">
      <c r="A719" s="21"/>
      <c r="B719" s="21"/>
      <c r="D719" s="25"/>
      <c r="E719" s="27"/>
      <c r="F719" s="25"/>
      <c r="G719" s="27"/>
    </row>
    <row r="720">
      <c r="A720" s="21"/>
      <c r="B720" s="21"/>
      <c r="D720" s="25"/>
      <c r="E720" s="27"/>
      <c r="F720" s="25"/>
      <c r="G720" s="27"/>
    </row>
    <row r="721">
      <c r="A721" s="21"/>
      <c r="B721" s="21"/>
      <c r="D721" s="25"/>
      <c r="E721" s="27"/>
      <c r="F721" s="25"/>
      <c r="G721" s="27"/>
    </row>
    <row r="722">
      <c r="A722" s="21"/>
      <c r="B722" s="21"/>
      <c r="D722" s="25"/>
      <c r="E722" s="27"/>
      <c r="F722" s="25"/>
      <c r="G722" s="27"/>
    </row>
    <row r="723">
      <c r="A723" s="21"/>
      <c r="B723" s="21"/>
      <c r="D723" s="25"/>
      <c r="E723" s="27"/>
      <c r="F723" s="25"/>
      <c r="G723" s="27"/>
    </row>
    <row r="724">
      <c r="A724" s="21"/>
      <c r="B724" s="21"/>
      <c r="D724" s="25"/>
      <c r="E724" s="27"/>
      <c r="F724" s="25"/>
      <c r="G724" s="27"/>
    </row>
    <row r="725">
      <c r="A725" s="21"/>
      <c r="B725" s="21"/>
      <c r="D725" s="25"/>
      <c r="E725" s="27"/>
      <c r="F725" s="25"/>
      <c r="G725" s="27"/>
    </row>
    <row r="726">
      <c r="A726" s="21"/>
      <c r="B726" s="21"/>
      <c r="D726" s="25"/>
      <c r="E726" s="27"/>
      <c r="F726" s="25"/>
      <c r="G726" s="27"/>
    </row>
    <row r="727">
      <c r="A727" s="21"/>
      <c r="B727" s="21"/>
      <c r="D727" s="25"/>
      <c r="E727" s="27"/>
      <c r="F727" s="25"/>
      <c r="G727" s="27"/>
    </row>
    <row r="728">
      <c r="A728" s="21"/>
      <c r="B728" s="21"/>
      <c r="D728" s="25"/>
      <c r="E728" s="27"/>
      <c r="F728" s="25"/>
      <c r="G728" s="27"/>
    </row>
    <row r="729">
      <c r="A729" s="21"/>
      <c r="B729" s="21"/>
      <c r="D729" s="25"/>
      <c r="E729" s="27"/>
      <c r="F729" s="25"/>
      <c r="G729" s="27"/>
    </row>
    <row r="730">
      <c r="A730" s="21"/>
      <c r="B730" s="21"/>
      <c r="D730" s="25"/>
      <c r="E730" s="27"/>
      <c r="F730" s="25"/>
      <c r="G730" s="27"/>
    </row>
    <row r="731">
      <c r="A731" s="21"/>
      <c r="B731" s="21"/>
      <c r="D731" s="25"/>
      <c r="E731" s="27"/>
      <c r="F731" s="25"/>
      <c r="G731" s="27"/>
    </row>
    <row r="732">
      <c r="A732" s="21"/>
      <c r="B732" s="21"/>
      <c r="D732" s="25"/>
      <c r="E732" s="27"/>
      <c r="F732" s="25"/>
      <c r="G732" s="27"/>
    </row>
    <row r="733">
      <c r="A733" s="21"/>
      <c r="B733" s="21"/>
      <c r="D733" s="25"/>
      <c r="E733" s="27"/>
      <c r="F733" s="25"/>
      <c r="G733" s="27"/>
    </row>
    <row r="734">
      <c r="A734" s="21"/>
      <c r="B734" s="21"/>
      <c r="D734" s="25"/>
      <c r="E734" s="27"/>
      <c r="F734" s="25"/>
      <c r="G734" s="27"/>
    </row>
    <row r="735">
      <c r="A735" s="21"/>
      <c r="B735" s="21"/>
      <c r="D735" s="25"/>
      <c r="E735" s="27"/>
      <c r="F735" s="25"/>
      <c r="G735" s="27"/>
    </row>
    <row r="736">
      <c r="A736" s="21"/>
      <c r="B736" s="21"/>
      <c r="D736" s="25"/>
      <c r="E736" s="27"/>
      <c r="F736" s="25"/>
      <c r="G736" s="27"/>
    </row>
    <row r="737">
      <c r="A737" s="21"/>
      <c r="B737" s="21"/>
      <c r="D737" s="25"/>
      <c r="E737" s="27"/>
      <c r="F737" s="25"/>
      <c r="G737" s="27"/>
    </row>
    <row r="738">
      <c r="A738" s="21"/>
      <c r="B738" s="21"/>
      <c r="D738" s="25"/>
      <c r="E738" s="27"/>
      <c r="F738" s="25"/>
      <c r="G738" s="27"/>
    </row>
    <row r="739">
      <c r="A739" s="21"/>
      <c r="B739" s="21"/>
      <c r="D739" s="25"/>
      <c r="E739" s="27"/>
      <c r="F739" s="25"/>
      <c r="G739" s="27"/>
    </row>
    <row r="740">
      <c r="A740" s="21"/>
      <c r="B740" s="21"/>
      <c r="D740" s="25"/>
      <c r="E740" s="27"/>
      <c r="F740" s="25"/>
      <c r="G740" s="27"/>
    </row>
    <row r="741">
      <c r="A741" s="21"/>
      <c r="B741" s="21"/>
      <c r="D741" s="25"/>
      <c r="E741" s="27"/>
      <c r="F741" s="25"/>
      <c r="G741" s="27"/>
    </row>
    <row r="742">
      <c r="A742" s="21"/>
      <c r="B742" s="21"/>
      <c r="D742" s="25"/>
      <c r="E742" s="27"/>
      <c r="F742" s="25"/>
      <c r="G742" s="27"/>
    </row>
    <row r="743">
      <c r="A743" s="21"/>
      <c r="B743" s="21"/>
      <c r="D743" s="25"/>
      <c r="E743" s="27"/>
      <c r="F743" s="25"/>
      <c r="G743" s="27"/>
    </row>
    <row r="744">
      <c r="A744" s="21"/>
      <c r="B744" s="21"/>
      <c r="D744" s="25"/>
      <c r="E744" s="27"/>
      <c r="F744" s="25"/>
      <c r="G744" s="27"/>
    </row>
    <row r="745">
      <c r="A745" s="21"/>
      <c r="B745" s="21"/>
      <c r="D745" s="25"/>
      <c r="E745" s="27"/>
      <c r="F745" s="25"/>
      <c r="G745" s="27"/>
    </row>
    <row r="746">
      <c r="A746" s="21"/>
      <c r="B746" s="21"/>
      <c r="D746" s="25"/>
      <c r="E746" s="27"/>
      <c r="F746" s="25"/>
      <c r="G746" s="27"/>
    </row>
    <row r="747">
      <c r="A747" s="21"/>
      <c r="B747" s="21"/>
      <c r="D747" s="25"/>
      <c r="E747" s="27"/>
      <c r="F747" s="25"/>
      <c r="G747" s="27"/>
    </row>
    <row r="748">
      <c r="A748" s="21"/>
      <c r="B748" s="21"/>
      <c r="D748" s="25"/>
      <c r="E748" s="27"/>
      <c r="F748" s="25"/>
      <c r="G748" s="27"/>
    </row>
    <row r="749">
      <c r="A749" s="21"/>
      <c r="B749" s="21"/>
      <c r="D749" s="25"/>
      <c r="E749" s="27"/>
      <c r="F749" s="25"/>
      <c r="G749" s="27"/>
    </row>
    <row r="750">
      <c r="A750" s="21"/>
      <c r="B750" s="21"/>
      <c r="D750" s="25"/>
      <c r="E750" s="27"/>
      <c r="F750" s="25"/>
      <c r="G750" s="27"/>
    </row>
    <row r="751">
      <c r="A751" s="21"/>
      <c r="B751" s="21"/>
      <c r="D751" s="25"/>
      <c r="E751" s="27"/>
      <c r="F751" s="25"/>
      <c r="G751" s="27"/>
    </row>
    <row r="752">
      <c r="A752" s="21"/>
      <c r="B752" s="21"/>
      <c r="D752" s="25"/>
      <c r="E752" s="27"/>
      <c r="F752" s="25"/>
      <c r="G752" s="27"/>
    </row>
    <row r="753">
      <c r="A753" s="21"/>
      <c r="B753" s="21"/>
      <c r="D753" s="25"/>
      <c r="E753" s="27"/>
      <c r="F753" s="25"/>
      <c r="G753" s="27"/>
    </row>
    <row r="754">
      <c r="A754" s="21"/>
      <c r="B754" s="21"/>
      <c r="D754" s="25"/>
      <c r="E754" s="27"/>
      <c r="F754" s="25"/>
      <c r="G754" s="27"/>
    </row>
    <row r="755">
      <c r="A755" s="21"/>
      <c r="B755" s="21"/>
      <c r="D755" s="25"/>
      <c r="E755" s="27"/>
      <c r="F755" s="25"/>
      <c r="G755" s="27"/>
    </row>
    <row r="756">
      <c r="A756" s="21"/>
      <c r="B756" s="21"/>
      <c r="D756" s="25"/>
      <c r="E756" s="27"/>
      <c r="F756" s="25"/>
      <c r="G756" s="27"/>
    </row>
    <row r="757">
      <c r="A757" s="21"/>
      <c r="B757" s="21"/>
      <c r="D757" s="25"/>
      <c r="E757" s="27"/>
      <c r="F757" s="25"/>
      <c r="G757" s="27"/>
    </row>
    <row r="758">
      <c r="A758" s="21"/>
      <c r="B758" s="21"/>
      <c r="D758" s="25"/>
      <c r="E758" s="27"/>
      <c r="F758" s="25"/>
      <c r="G758" s="27"/>
    </row>
    <row r="759">
      <c r="A759" s="21"/>
      <c r="B759" s="21"/>
      <c r="D759" s="25"/>
      <c r="E759" s="27"/>
      <c r="F759" s="25"/>
      <c r="G759" s="27"/>
    </row>
    <row r="760">
      <c r="A760" s="21"/>
      <c r="B760" s="21"/>
      <c r="D760" s="25"/>
      <c r="E760" s="27"/>
      <c r="F760" s="25"/>
      <c r="G760" s="27"/>
    </row>
    <row r="761">
      <c r="A761" s="21"/>
      <c r="B761" s="21"/>
      <c r="D761" s="25"/>
      <c r="E761" s="27"/>
      <c r="F761" s="25"/>
      <c r="G761" s="27"/>
    </row>
    <row r="762">
      <c r="A762" s="21"/>
      <c r="B762" s="21"/>
      <c r="D762" s="25"/>
      <c r="E762" s="27"/>
      <c r="F762" s="25"/>
      <c r="G762" s="27"/>
    </row>
    <row r="763">
      <c r="A763" s="21"/>
      <c r="B763" s="21"/>
      <c r="D763" s="25"/>
      <c r="E763" s="27"/>
      <c r="F763" s="25"/>
      <c r="G763" s="27"/>
    </row>
    <row r="764">
      <c r="A764" s="21"/>
      <c r="B764" s="21"/>
      <c r="D764" s="25"/>
      <c r="E764" s="27"/>
      <c r="F764" s="25"/>
      <c r="G764" s="27"/>
    </row>
    <row r="765">
      <c r="A765" s="21"/>
      <c r="B765" s="21"/>
      <c r="D765" s="25"/>
      <c r="E765" s="27"/>
      <c r="F765" s="25"/>
      <c r="G765" s="27"/>
    </row>
    <row r="766">
      <c r="A766" s="21"/>
      <c r="B766" s="21"/>
      <c r="D766" s="25"/>
      <c r="E766" s="27"/>
      <c r="F766" s="25"/>
      <c r="G766" s="27"/>
    </row>
    <row r="767">
      <c r="A767" s="21"/>
      <c r="B767" s="21"/>
      <c r="D767" s="25"/>
      <c r="E767" s="27"/>
      <c r="F767" s="25"/>
      <c r="G767" s="27"/>
    </row>
    <row r="768">
      <c r="A768" s="21"/>
      <c r="B768" s="21"/>
      <c r="D768" s="25"/>
      <c r="E768" s="27"/>
      <c r="F768" s="25"/>
      <c r="G768" s="27"/>
    </row>
    <row r="769">
      <c r="A769" s="21"/>
      <c r="B769" s="21"/>
      <c r="D769" s="25"/>
      <c r="E769" s="27"/>
      <c r="F769" s="25"/>
      <c r="G769" s="27"/>
    </row>
    <row r="770">
      <c r="A770" s="21"/>
      <c r="B770" s="21"/>
      <c r="D770" s="25"/>
      <c r="E770" s="27"/>
      <c r="F770" s="25"/>
      <c r="G770" s="27"/>
    </row>
    <row r="771">
      <c r="A771" s="21"/>
      <c r="B771" s="21"/>
      <c r="D771" s="25"/>
      <c r="E771" s="27"/>
      <c r="F771" s="25"/>
      <c r="G771" s="27"/>
    </row>
    <row r="772">
      <c r="A772" s="21"/>
      <c r="B772" s="21"/>
      <c r="D772" s="25"/>
      <c r="E772" s="27"/>
      <c r="F772" s="25"/>
      <c r="G772" s="27"/>
    </row>
    <row r="773">
      <c r="A773" s="21"/>
      <c r="B773" s="21"/>
      <c r="D773" s="25"/>
      <c r="E773" s="27"/>
      <c r="F773" s="25"/>
      <c r="G773" s="27"/>
    </row>
    <row r="774">
      <c r="A774" s="21"/>
      <c r="B774" s="21"/>
      <c r="D774" s="25"/>
      <c r="E774" s="27"/>
      <c r="F774" s="25"/>
      <c r="G774" s="27"/>
    </row>
    <row r="775">
      <c r="A775" s="21"/>
      <c r="B775" s="21"/>
      <c r="D775" s="25"/>
      <c r="E775" s="27"/>
      <c r="F775" s="25"/>
      <c r="G775" s="27"/>
    </row>
    <row r="776">
      <c r="A776" s="21"/>
      <c r="B776" s="21"/>
      <c r="D776" s="25"/>
      <c r="E776" s="27"/>
      <c r="F776" s="25"/>
      <c r="G776" s="27"/>
    </row>
    <row r="777">
      <c r="A777" s="21"/>
      <c r="B777" s="21"/>
      <c r="D777" s="25"/>
      <c r="E777" s="27"/>
      <c r="F777" s="25"/>
      <c r="G777" s="27"/>
    </row>
    <row r="778">
      <c r="A778" s="21"/>
      <c r="B778" s="21"/>
      <c r="D778" s="25"/>
      <c r="E778" s="27"/>
      <c r="F778" s="25"/>
      <c r="G778" s="27"/>
    </row>
    <row r="779">
      <c r="A779" s="21"/>
      <c r="B779" s="21"/>
      <c r="D779" s="25"/>
      <c r="E779" s="27"/>
      <c r="F779" s="25"/>
      <c r="G779" s="27"/>
    </row>
    <row r="780">
      <c r="A780" s="21"/>
      <c r="B780" s="21"/>
      <c r="D780" s="25"/>
      <c r="E780" s="27"/>
      <c r="F780" s="25"/>
      <c r="G780" s="27"/>
    </row>
    <row r="781">
      <c r="A781" s="21"/>
      <c r="B781" s="21"/>
      <c r="D781" s="25"/>
      <c r="E781" s="27"/>
      <c r="F781" s="25"/>
      <c r="G781" s="27"/>
    </row>
    <row r="782">
      <c r="A782" s="21"/>
      <c r="B782" s="21"/>
      <c r="D782" s="25"/>
      <c r="E782" s="27"/>
      <c r="F782" s="25"/>
      <c r="G782" s="27"/>
    </row>
    <row r="783">
      <c r="A783" s="21"/>
      <c r="B783" s="21"/>
      <c r="D783" s="25"/>
      <c r="E783" s="27"/>
      <c r="F783" s="25"/>
      <c r="G783" s="27"/>
    </row>
    <row r="784">
      <c r="A784" s="21"/>
      <c r="B784" s="21"/>
      <c r="D784" s="25"/>
      <c r="E784" s="27"/>
      <c r="F784" s="25"/>
      <c r="G784" s="27"/>
    </row>
    <row r="785">
      <c r="A785" s="21"/>
      <c r="B785" s="21"/>
      <c r="D785" s="25"/>
      <c r="E785" s="27"/>
      <c r="F785" s="25"/>
      <c r="G785" s="27"/>
    </row>
    <row r="786">
      <c r="A786" s="21"/>
      <c r="B786" s="21"/>
      <c r="D786" s="25"/>
      <c r="E786" s="27"/>
      <c r="F786" s="25"/>
      <c r="G786" s="27"/>
    </row>
    <row r="787">
      <c r="A787" s="21"/>
      <c r="B787" s="21"/>
      <c r="D787" s="25"/>
      <c r="E787" s="27"/>
      <c r="F787" s="25"/>
      <c r="G787" s="27"/>
    </row>
    <row r="788">
      <c r="A788" s="21"/>
      <c r="B788" s="21"/>
      <c r="D788" s="25"/>
      <c r="E788" s="27"/>
      <c r="F788" s="25"/>
      <c r="G788" s="27"/>
    </row>
    <row r="789">
      <c r="A789" s="21"/>
      <c r="B789" s="21"/>
      <c r="D789" s="25"/>
      <c r="E789" s="27"/>
      <c r="F789" s="25"/>
      <c r="G789" s="27"/>
    </row>
    <row r="790">
      <c r="A790" s="21"/>
      <c r="B790" s="21"/>
      <c r="D790" s="25"/>
      <c r="E790" s="27"/>
      <c r="F790" s="25"/>
      <c r="G790" s="27"/>
    </row>
    <row r="791">
      <c r="A791" s="21"/>
      <c r="B791" s="21"/>
      <c r="D791" s="25"/>
      <c r="E791" s="27"/>
      <c r="F791" s="25"/>
      <c r="G791" s="27"/>
    </row>
    <row r="792">
      <c r="A792" s="21"/>
      <c r="B792" s="21"/>
      <c r="D792" s="25"/>
      <c r="E792" s="27"/>
      <c r="F792" s="25"/>
      <c r="G792" s="27"/>
    </row>
    <row r="793">
      <c r="A793" s="21"/>
      <c r="B793" s="21"/>
      <c r="D793" s="25"/>
      <c r="E793" s="27"/>
      <c r="F793" s="25"/>
      <c r="G793" s="27"/>
    </row>
    <row r="794">
      <c r="A794" s="21"/>
      <c r="B794" s="21"/>
      <c r="D794" s="25"/>
      <c r="E794" s="27"/>
      <c r="F794" s="25"/>
      <c r="G794" s="27"/>
    </row>
    <row r="795">
      <c r="A795" s="21"/>
      <c r="B795" s="21"/>
      <c r="D795" s="25"/>
      <c r="E795" s="27"/>
      <c r="F795" s="25"/>
      <c r="G795" s="27"/>
    </row>
    <row r="796">
      <c r="A796" s="21"/>
      <c r="B796" s="21"/>
      <c r="D796" s="25"/>
      <c r="E796" s="27"/>
      <c r="F796" s="25"/>
      <c r="G796" s="27"/>
    </row>
    <row r="797">
      <c r="A797" s="21"/>
      <c r="B797" s="21"/>
      <c r="D797" s="25"/>
      <c r="E797" s="27"/>
      <c r="F797" s="25"/>
      <c r="G797" s="27"/>
    </row>
    <row r="798">
      <c r="A798" s="21"/>
      <c r="B798" s="21"/>
      <c r="D798" s="25"/>
      <c r="E798" s="27"/>
      <c r="F798" s="25"/>
      <c r="G798" s="27"/>
    </row>
    <row r="799">
      <c r="A799" s="21"/>
      <c r="B799" s="21"/>
      <c r="D799" s="25"/>
      <c r="E799" s="27"/>
      <c r="F799" s="25"/>
      <c r="G799" s="27"/>
    </row>
    <row r="800">
      <c r="A800" s="21"/>
      <c r="B800" s="21"/>
      <c r="D800" s="25"/>
      <c r="E800" s="27"/>
      <c r="F800" s="25"/>
      <c r="G800" s="27"/>
    </row>
    <row r="801">
      <c r="A801" s="21"/>
      <c r="B801" s="21"/>
      <c r="D801" s="25"/>
      <c r="E801" s="27"/>
      <c r="F801" s="25"/>
      <c r="G801" s="27"/>
    </row>
    <row r="802">
      <c r="A802" s="21"/>
      <c r="B802" s="21"/>
      <c r="D802" s="25"/>
      <c r="E802" s="27"/>
      <c r="F802" s="25"/>
      <c r="G802" s="27"/>
    </row>
    <row r="803">
      <c r="A803" s="21"/>
      <c r="B803" s="21"/>
      <c r="D803" s="25"/>
      <c r="E803" s="27"/>
      <c r="F803" s="25"/>
      <c r="G803" s="27"/>
    </row>
    <row r="804">
      <c r="A804" s="21"/>
      <c r="B804" s="21"/>
      <c r="D804" s="25"/>
      <c r="E804" s="27"/>
      <c r="F804" s="25"/>
      <c r="G804" s="27"/>
    </row>
    <row r="805">
      <c r="A805" s="21"/>
      <c r="B805" s="21"/>
      <c r="D805" s="25"/>
      <c r="E805" s="27"/>
      <c r="F805" s="25"/>
      <c r="G805" s="27"/>
    </row>
    <row r="806">
      <c r="A806" s="21"/>
      <c r="B806" s="21"/>
      <c r="D806" s="25"/>
      <c r="E806" s="27"/>
      <c r="F806" s="25"/>
      <c r="G806" s="27"/>
    </row>
    <row r="807">
      <c r="A807" s="21"/>
      <c r="B807" s="21"/>
      <c r="D807" s="25"/>
      <c r="E807" s="27"/>
      <c r="F807" s="25"/>
      <c r="G807" s="27"/>
    </row>
    <row r="808">
      <c r="A808" s="21"/>
      <c r="B808" s="21"/>
      <c r="D808" s="25"/>
      <c r="E808" s="27"/>
      <c r="F808" s="25"/>
      <c r="G808" s="27"/>
    </row>
    <row r="809">
      <c r="A809" s="21"/>
      <c r="B809" s="21"/>
      <c r="D809" s="25"/>
      <c r="E809" s="27"/>
      <c r="F809" s="25"/>
      <c r="G809" s="27"/>
    </row>
    <row r="810">
      <c r="A810" s="21"/>
      <c r="B810" s="21"/>
      <c r="D810" s="25"/>
      <c r="E810" s="27"/>
      <c r="F810" s="25"/>
      <c r="G810" s="27"/>
    </row>
    <row r="811">
      <c r="A811" s="21"/>
      <c r="B811" s="21"/>
      <c r="D811" s="25"/>
      <c r="E811" s="27"/>
      <c r="F811" s="25"/>
      <c r="G811" s="27"/>
    </row>
    <row r="812">
      <c r="A812" s="21"/>
      <c r="B812" s="21"/>
      <c r="D812" s="25"/>
      <c r="E812" s="27"/>
      <c r="F812" s="25"/>
      <c r="G812" s="27"/>
    </row>
    <row r="813">
      <c r="A813" s="21"/>
      <c r="B813" s="21"/>
      <c r="D813" s="25"/>
      <c r="E813" s="27"/>
      <c r="F813" s="25"/>
      <c r="G813" s="27"/>
    </row>
    <row r="814">
      <c r="A814" s="21"/>
      <c r="B814" s="21"/>
      <c r="D814" s="25"/>
      <c r="E814" s="27"/>
      <c r="F814" s="25"/>
      <c r="G814" s="27"/>
    </row>
    <row r="815">
      <c r="A815" s="21"/>
      <c r="B815" s="21"/>
      <c r="D815" s="25"/>
      <c r="E815" s="27"/>
      <c r="F815" s="25"/>
      <c r="G815" s="27"/>
    </row>
    <row r="816">
      <c r="A816" s="21"/>
      <c r="B816" s="21"/>
      <c r="D816" s="25"/>
      <c r="E816" s="27"/>
      <c r="F816" s="25"/>
      <c r="G816" s="27"/>
    </row>
    <row r="817">
      <c r="A817" s="21"/>
      <c r="B817" s="21"/>
      <c r="D817" s="25"/>
      <c r="E817" s="27"/>
      <c r="F817" s="25"/>
      <c r="G817" s="27"/>
    </row>
    <row r="818">
      <c r="A818" s="21"/>
      <c r="B818" s="21"/>
      <c r="D818" s="25"/>
      <c r="E818" s="27"/>
      <c r="F818" s="25"/>
      <c r="G818" s="27"/>
    </row>
    <row r="819">
      <c r="A819" s="21"/>
      <c r="B819" s="21"/>
      <c r="D819" s="25"/>
      <c r="E819" s="27"/>
      <c r="F819" s="25"/>
      <c r="G819" s="27"/>
    </row>
    <row r="820">
      <c r="A820" s="21"/>
      <c r="B820" s="21"/>
      <c r="D820" s="25"/>
      <c r="E820" s="27"/>
      <c r="F820" s="25"/>
      <c r="G820" s="27"/>
    </row>
    <row r="821">
      <c r="A821" s="21"/>
      <c r="B821" s="21"/>
      <c r="D821" s="25"/>
      <c r="E821" s="27"/>
      <c r="F821" s="25"/>
      <c r="G821" s="27"/>
    </row>
    <row r="822">
      <c r="A822" s="21"/>
      <c r="B822" s="21"/>
      <c r="D822" s="25"/>
      <c r="E822" s="27"/>
      <c r="F822" s="25"/>
      <c r="G822" s="27"/>
    </row>
    <row r="823">
      <c r="A823" s="21"/>
      <c r="B823" s="21"/>
      <c r="D823" s="25"/>
      <c r="E823" s="27"/>
      <c r="F823" s="25"/>
      <c r="G823" s="27"/>
    </row>
    <row r="824">
      <c r="A824" s="21"/>
      <c r="B824" s="21"/>
      <c r="D824" s="25"/>
      <c r="E824" s="27"/>
      <c r="F824" s="25"/>
      <c r="G824" s="27"/>
    </row>
    <row r="825">
      <c r="A825" s="21"/>
      <c r="B825" s="21"/>
      <c r="D825" s="25"/>
      <c r="E825" s="27"/>
      <c r="F825" s="25"/>
      <c r="G825" s="27"/>
    </row>
    <row r="826">
      <c r="A826" s="21"/>
      <c r="B826" s="21"/>
      <c r="D826" s="25"/>
      <c r="E826" s="27"/>
      <c r="F826" s="25"/>
      <c r="G826" s="27"/>
    </row>
    <row r="827">
      <c r="A827" s="21"/>
      <c r="B827" s="21"/>
      <c r="D827" s="25"/>
      <c r="E827" s="27"/>
      <c r="F827" s="25"/>
      <c r="G827" s="27"/>
    </row>
    <row r="828">
      <c r="A828" s="21"/>
      <c r="B828" s="21"/>
      <c r="D828" s="25"/>
      <c r="E828" s="27"/>
      <c r="F828" s="25"/>
      <c r="G828" s="27"/>
    </row>
    <row r="829">
      <c r="A829" s="21"/>
      <c r="B829" s="21"/>
      <c r="D829" s="25"/>
      <c r="E829" s="27"/>
      <c r="F829" s="25"/>
      <c r="G829" s="27"/>
    </row>
    <row r="830">
      <c r="A830" s="21"/>
      <c r="B830" s="21"/>
      <c r="D830" s="25"/>
      <c r="E830" s="27"/>
      <c r="F830" s="25"/>
      <c r="G830" s="27"/>
    </row>
    <row r="831">
      <c r="A831" s="21"/>
      <c r="B831" s="21"/>
      <c r="D831" s="25"/>
      <c r="E831" s="27"/>
      <c r="F831" s="25"/>
      <c r="G831" s="27"/>
    </row>
    <row r="832">
      <c r="A832" s="21"/>
      <c r="B832" s="21"/>
      <c r="D832" s="25"/>
      <c r="E832" s="27"/>
      <c r="F832" s="25"/>
      <c r="G832" s="27"/>
    </row>
    <row r="833">
      <c r="A833" s="21"/>
      <c r="B833" s="21"/>
      <c r="D833" s="25"/>
      <c r="E833" s="27"/>
      <c r="F833" s="25"/>
      <c r="G833" s="27"/>
    </row>
    <row r="834">
      <c r="A834" s="21"/>
      <c r="B834" s="21"/>
      <c r="D834" s="25"/>
      <c r="E834" s="27"/>
      <c r="F834" s="25"/>
      <c r="G834" s="27"/>
    </row>
    <row r="835">
      <c r="A835" s="21"/>
      <c r="B835" s="21"/>
      <c r="D835" s="25"/>
      <c r="E835" s="27"/>
      <c r="F835" s="25"/>
      <c r="G835" s="27"/>
    </row>
    <row r="836">
      <c r="A836" s="21"/>
      <c r="B836" s="21"/>
      <c r="D836" s="25"/>
      <c r="E836" s="27"/>
      <c r="F836" s="25"/>
      <c r="G836" s="27"/>
    </row>
    <row r="837">
      <c r="A837" s="21"/>
      <c r="B837" s="21"/>
      <c r="D837" s="25"/>
      <c r="E837" s="27"/>
      <c r="F837" s="25"/>
      <c r="G837" s="27"/>
    </row>
    <row r="838">
      <c r="A838" s="21"/>
      <c r="B838" s="21"/>
      <c r="D838" s="25"/>
      <c r="E838" s="27"/>
      <c r="F838" s="25"/>
      <c r="G838" s="27"/>
    </row>
    <row r="839">
      <c r="A839" s="21"/>
      <c r="B839" s="21"/>
      <c r="D839" s="25"/>
      <c r="E839" s="27"/>
      <c r="F839" s="25"/>
      <c r="G839" s="27"/>
    </row>
    <row r="840">
      <c r="A840" s="21"/>
      <c r="B840" s="21"/>
      <c r="D840" s="25"/>
      <c r="E840" s="27"/>
      <c r="F840" s="25"/>
      <c r="G840" s="27"/>
    </row>
    <row r="841">
      <c r="A841" s="21"/>
      <c r="B841" s="21"/>
      <c r="D841" s="25"/>
      <c r="E841" s="27"/>
      <c r="F841" s="25"/>
      <c r="G841" s="27"/>
    </row>
    <row r="842">
      <c r="A842" s="21"/>
      <c r="B842" s="21"/>
      <c r="D842" s="25"/>
      <c r="E842" s="27"/>
      <c r="F842" s="25"/>
      <c r="G842" s="27"/>
    </row>
    <row r="843">
      <c r="A843" s="21"/>
      <c r="B843" s="21"/>
      <c r="D843" s="25"/>
      <c r="E843" s="27"/>
      <c r="F843" s="25"/>
      <c r="G843" s="27"/>
    </row>
    <row r="844">
      <c r="A844" s="21"/>
      <c r="B844" s="21"/>
      <c r="D844" s="25"/>
      <c r="E844" s="27"/>
      <c r="F844" s="25"/>
      <c r="G844" s="27"/>
    </row>
    <row r="845">
      <c r="A845" s="21"/>
      <c r="B845" s="21"/>
      <c r="D845" s="25"/>
      <c r="E845" s="27"/>
      <c r="F845" s="25"/>
      <c r="G845" s="27"/>
    </row>
    <row r="846">
      <c r="A846" s="21"/>
      <c r="B846" s="21"/>
      <c r="D846" s="25"/>
      <c r="E846" s="27"/>
      <c r="F846" s="25"/>
      <c r="G846" s="27"/>
    </row>
    <row r="847">
      <c r="A847" s="21"/>
      <c r="B847" s="21"/>
      <c r="D847" s="25"/>
      <c r="E847" s="27"/>
      <c r="F847" s="25"/>
      <c r="G847" s="27"/>
    </row>
    <row r="848">
      <c r="A848" s="21"/>
      <c r="B848" s="21"/>
      <c r="D848" s="25"/>
      <c r="E848" s="27"/>
      <c r="F848" s="25"/>
      <c r="G848" s="27"/>
    </row>
    <row r="849">
      <c r="A849" s="21"/>
      <c r="B849" s="21"/>
      <c r="D849" s="25"/>
      <c r="E849" s="27"/>
      <c r="F849" s="25"/>
      <c r="G849" s="27"/>
    </row>
    <row r="850">
      <c r="A850" s="21"/>
      <c r="B850" s="21"/>
      <c r="D850" s="25"/>
      <c r="E850" s="27"/>
      <c r="F850" s="25"/>
      <c r="G850" s="27"/>
    </row>
    <row r="851">
      <c r="A851" s="21"/>
      <c r="B851" s="21"/>
      <c r="D851" s="25"/>
      <c r="E851" s="27"/>
      <c r="F851" s="25"/>
      <c r="G851" s="27"/>
    </row>
    <row r="852">
      <c r="A852" s="21"/>
      <c r="B852" s="21"/>
      <c r="D852" s="25"/>
      <c r="E852" s="27"/>
      <c r="F852" s="25"/>
      <c r="G852" s="27"/>
    </row>
    <row r="853">
      <c r="A853" s="21"/>
      <c r="B853" s="21"/>
      <c r="D853" s="25"/>
      <c r="E853" s="27"/>
      <c r="F853" s="25"/>
      <c r="G853" s="27"/>
    </row>
    <row r="854">
      <c r="A854" s="21"/>
      <c r="B854" s="21"/>
      <c r="D854" s="25"/>
      <c r="E854" s="27"/>
      <c r="F854" s="25"/>
      <c r="G854" s="27"/>
    </row>
    <row r="855">
      <c r="A855" s="21"/>
      <c r="B855" s="21"/>
      <c r="D855" s="25"/>
      <c r="E855" s="27"/>
      <c r="F855" s="25"/>
      <c r="G855" s="27"/>
    </row>
    <row r="856">
      <c r="A856" s="21"/>
      <c r="B856" s="21"/>
      <c r="D856" s="25"/>
      <c r="E856" s="27"/>
      <c r="F856" s="25"/>
      <c r="G856" s="27"/>
    </row>
    <row r="857">
      <c r="A857" s="21"/>
      <c r="B857" s="21"/>
      <c r="D857" s="25"/>
      <c r="E857" s="27"/>
      <c r="F857" s="25"/>
      <c r="G857" s="27"/>
    </row>
    <row r="858">
      <c r="A858" s="21"/>
      <c r="B858" s="21"/>
      <c r="D858" s="25"/>
      <c r="E858" s="27"/>
      <c r="F858" s="25"/>
      <c r="G858" s="27"/>
    </row>
    <row r="859">
      <c r="A859" s="21"/>
      <c r="B859" s="21"/>
      <c r="D859" s="25"/>
      <c r="E859" s="27"/>
      <c r="F859" s="25"/>
      <c r="G859" s="27"/>
    </row>
    <row r="860">
      <c r="A860" s="21"/>
      <c r="B860" s="21"/>
      <c r="D860" s="25"/>
      <c r="E860" s="27"/>
      <c r="F860" s="25"/>
      <c r="G860" s="27"/>
    </row>
    <row r="861">
      <c r="A861" s="21"/>
      <c r="B861" s="21"/>
      <c r="D861" s="25"/>
      <c r="E861" s="27"/>
      <c r="F861" s="25"/>
      <c r="G861" s="27"/>
    </row>
    <row r="862">
      <c r="A862" s="21"/>
      <c r="B862" s="21"/>
      <c r="D862" s="25"/>
      <c r="E862" s="27"/>
      <c r="F862" s="25"/>
      <c r="G862" s="27"/>
    </row>
    <row r="863">
      <c r="A863" s="21"/>
      <c r="B863" s="21"/>
      <c r="D863" s="25"/>
      <c r="E863" s="27"/>
      <c r="F863" s="25"/>
      <c r="G863" s="27"/>
    </row>
    <row r="864">
      <c r="A864" s="21"/>
      <c r="B864" s="21"/>
      <c r="D864" s="25"/>
      <c r="E864" s="27"/>
      <c r="F864" s="25"/>
      <c r="G864" s="27"/>
    </row>
    <row r="865">
      <c r="A865" s="21"/>
      <c r="B865" s="21"/>
      <c r="D865" s="25"/>
      <c r="E865" s="27"/>
      <c r="F865" s="25"/>
      <c r="G865" s="27"/>
    </row>
    <row r="866">
      <c r="A866" s="21"/>
      <c r="B866" s="21"/>
      <c r="D866" s="25"/>
      <c r="E866" s="27"/>
      <c r="F866" s="25"/>
      <c r="G866" s="27"/>
    </row>
    <row r="867">
      <c r="A867" s="21"/>
      <c r="B867" s="21"/>
      <c r="D867" s="25"/>
      <c r="E867" s="27"/>
      <c r="F867" s="25"/>
      <c r="G867" s="27"/>
    </row>
    <row r="868">
      <c r="A868" s="21"/>
      <c r="B868" s="21"/>
      <c r="D868" s="25"/>
      <c r="E868" s="27"/>
      <c r="F868" s="25"/>
      <c r="G868" s="27"/>
    </row>
    <row r="869">
      <c r="A869" s="21"/>
      <c r="B869" s="21"/>
      <c r="D869" s="25"/>
      <c r="E869" s="27"/>
      <c r="F869" s="25"/>
      <c r="G869" s="27"/>
    </row>
    <row r="870">
      <c r="A870" s="21"/>
      <c r="B870" s="21"/>
      <c r="D870" s="25"/>
      <c r="E870" s="27"/>
      <c r="F870" s="25"/>
      <c r="G870" s="27"/>
    </row>
    <row r="871">
      <c r="A871" s="21"/>
      <c r="B871" s="21"/>
      <c r="D871" s="25"/>
      <c r="E871" s="27"/>
      <c r="F871" s="25"/>
      <c r="G871" s="27"/>
    </row>
    <row r="872">
      <c r="A872" s="21"/>
      <c r="B872" s="21"/>
      <c r="D872" s="25"/>
      <c r="E872" s="27"/>
      <c r="F872" s="25"/>
      <c r="G872" s="27"/>
    </row>
    <row r="873">
      <c r="A873" s="21"/>
      <c r="B873" s="21"/>
      <c r="D873" s="25"/>
      <c r="E873" s="27"/>
      <c r="F873" s="25"/>
      <c r="G873" s="27"/>
    </row>
    <row r="874">
      <c r="A874" s="21"/>
      <c r="B874" s="21"/>
      <c r="D874" s="25"/>
      <c r="E874" s="27"/>
      <c r="F874" s="25"/>
      <c r="G874" s="27"/>
    </row>
    <row r="875">
      <c r="A875" s="21"/>
      <c r="B875" s="21"/>
      <c r="D875" s="25"/>
      <c r="E875" s="27"/>
      <c r="F875" s="25"/>
      <c r="G875" s="27"/>
    </row>
    <row r="876">
      <c r="A876" s="21"/>
      <c r="B876" s="21"/>
      <c r="D876" s="25"/>
      <c r="E876" s="27"/>
      <c r="F876" s="25"/>
      <c r="G876" s="27"/>
    </row>
    <row r="877">
      <c r="A877" s="21"/>
      <c r="B877" s="21"/>
      <c r="D877" s="25"/>
      <c r="E877" s="27"/>
      <c r="F877" s="25"/>
      <c r="G877" s="27"/>
    </row>
    <row r="878">
      <c r="A878" s="21"/>
      <c r="B878" s="21"/>
      <c r="D878" s="25"/>
      <c r="E878" s="27"/>
      <c r="F878" s="25"/>
      <c r="G878" s="27"/>
    </row>
    <row r="879">
      <c r="A879" s="21"/>
      <c r="B879" s="21"/>
      <c r="D879" s="25"/>
      <c r="E879" s="27"/>
      <c r="F879" s="25"/>
      <c r="G879" s="27"/>
    </row>
    <row r="880">
      <c r="A880" s="21"/>
      <c r="B880" s="21"/>
      <c r="D880" s="25"/>
      <c r="E880" s="27"/>
      <c r="F880" s="25"/>
      <c r="G880" s="27"/>
    </row>
    <row r="881">
      <c r="A881" s="21"/>
      <c r="B881" s="21"/>
      <c r="D881" s="25"/>
      <c r="E881" s="27"/>
      <c r="F881" s="25"/>
      <c r="G881" s="27"/>
    </row>
    <row r="882">
      <c r="A882" s="21"/>
      <c r="B882" s="21"/>
      <c r="D882" s="25"/>
      <c r="E882" s="27"/>
      <c r="F882" s="25"/>
      <c r="G882" s="27"/>
    </row>
    <row r="883">
      <c r="A883" s="21"/>
      <c r="B883" s="21"/>
      <c r="D883" s="25"/>
      <c r="E883" s="27"/>
      <c r="F883" s="25"/>
      <c r="G883" s="27"/>
    </row>
    <row r="884">
      <c r="A884" s="21"/>
      <c r="B884" s="21"/>
      <c r="D884" s="25"/>
      <c r="E884" s="27"/>
      <c r="F884" s="25"/>
      <c r="G884" s="27"/>
    </row>
    <row r="885">
      <c r="A885" s="21"/>
      <c r="B885" s="21"/>
      <c r="D885" s="25"/>
      <c r="E885" s="27"/>
      <c r="F885" s="25"/>
      <c r="G885" s="27"/>
    </row>
    <row r="886">
      <c r="A886" s="21"/>
      <c r="B886" s="21"/>
      <c r="D886" s="25"/>
      <c r="E886" s="27"/>
      <c r="F886" s="25"/>
      <c r="G886" s="27"/>
    </row>
    <row r="887">
      <c r="A887" s="21"/>
      <c r="B887" s="21"/>
      <c r="D887" s="25"/>
      <c r="E887" s="27"/>
      <c r="F887" s="25"/>
      <c r="G887" s="27"/>
    </row>
    <row r="888">
      <c r="A888" s="21"/>
      <c r="B888" s="21"/>
      <c r="D888" s="25"/>
      <c r="E888" s="27"/>
      <c r="F888" s="25"/>
      <c r="G888" s="27"/>
    </row>
    <row r="889">
      <c r="A889" s="21"/>
      <c r="B889" s="21"/>
      <c r="D889" s="25"/>
      <c r="E889" s="27"/>
      <c r="F889" s="25"/>
      <c r="G889" s="27"/>
    </row>
    <row r="890">
      <c r="A890" s="21"/>
      <c r="B890" s="21"/>
      <c r="D890" s="25"/>
      <c r="E890" s="27"/>
      <c r="F890" s="25"/>
      <c r="G890" s="27"/>
    </row>
    <row r="891">
      <c r="A891" s="21"/>
      <c r="B891" s="21"/>
      <c r="D891" s="25"/>
      <c r="E891" s="27"/>
      <c r="F891" s="25"/>
      <c r="G891" s="27"/>
    </row>
    <row r="892">
      <c r="A892" s="21"/>
      <c r="B892" s="21"/>
      <c r="D892" s="25"/>
      <c r="E892" s="27"/>
      <c r="F892" s="25"/>
      <c r="G892" s="27"/>
    </row>
    <row r="893">
      <c r="A893" s="21"/>
      <c r="B893" s="21"/>
      <c r="D893" s="25"/>
      <c r="E893" s="27"/>
      <c r="F893" s="25"/>
      <c r="G893" s="27"/>
    </row>
    <row r="894">
      <c r="A894" s="21"/>
      <c r="B894" s="21"/>
      <c r="D894" s="25"/>
      <c r="E894" s="27"/>
      <c r="F894" s="25"/>
      <c r="G894" s="27"/>
    </row>
    <row r="895">
      <c r="A895" s="21"/>
      <c r="B895" s="21"/>
      <c r="D895" s="25"/>
      <c r="E895" s="27"/>
      <c r="F895" s="25"/>
      <c r="G895" s="27"/>
    </row>
    <row r="896">
      <c r="A896" s="21"/>
      <c r="B896" s="21"/>
      <c r="D896" s="25"/>
      <c r="E896" s="27"/>
      <c r="F896" s="25"/>
      <c r="G896" s="27"/>
    </row>
    <row r="897">
      <c r="A897" s="21"/>
      <c r="B897" s="21"/>
      <c r="D897" s="25"/>
      <c r="E897" s="27"/>
      <c r="F897" s="25"/>
      <c r="G897" s="27"/>
    </row>
    <row r="898">
      <c r="A898" s="21"/>
      <c r="B898" s="21"/>
      <c r="D898" s="25"/>
      <c r="E898" s="27"/>
      <c r="F898" s="25"/>
      <c r="G898" s="27"/>
    </row>
    <row r="899">
      <c r="A899" s="21"/>
      <c r="B899" s="21"/>
      <c r="D899" s="25"/>
      <c r="E899" s="27"/>
      <c r="F899" s="25"/>
      <c r="G899" s="27"/>
    </row>
    <row r="900">
      <c r="A900" s="21"/>
      <c r="B900" s="21"/>
      <c r="D900" s="25"/>
      <c r="E900" s="27"/>
      <c r="F900" s="25"/>
      <c r="G900" s="27"/>
    </row>
    <row r="901">
      <c r="A901" s="21"/>
      <c r="B901" s="21"/>
      <c r="D901" s="25"/>
      <c r="E901" s="27"/>
      <c r="F901" s="25"/>
      <c r="G901" s="27"/>
    </row>
    <row r="902">
      <c r="A902" s="21"/>
      <c r="B902" s="21"/>
      <c r="D902" s="25"/>
      <c r="E902" s="27"/>
      <c r="F902" s="25"/>
      <c r="G902" s="27"/>
    </row>
    <row r="903">
      <c r="A903" s="21"/>
      <c r="B903" s="21"/>
      <c r="D903" s="25"/>
      <c r="E903" s="27"/>
      <c r="F903" s="25"/>
      <c r="G903" s="27"/>
    </row>
    <row r="904">
      <c r="A904" s="21"/>
      <c r="B904" s="21"/>
      <c r="D904" s="25"/>
      <c r="E904" s="27"/>
      <c r="F904" s="25"/>
      <c r="G904" s="27"/>
    </row>
    <row r="905">
      <c r="A905" s="21"/>
      <c r="B905" s="21"/>
      <c r="D905" s="25"/>
      <c r="E905" s="27"/>
      <c r="F905" s="25"/>
      <c r="G905" s="27"/>
    </row>
    <row r="906">
      <c r="A906" s="21"/>
      <c r="B906" s="21"/>
      <c r="D906" s="25"/>
      <c r="E906" s="27"/>
      <c r="F906" s="25"/>
      <c r="G906" s="27"/>
    </row>
    <row r="907">
      <c r="A907" s="21"/>
      <c r="B907" s="21"/>
      <c r="D907" s="25"/>
      <c r="E907" s="27"/>
      <c r="F907" s="25"/>
      <c r="G907" s="27"/>
    </row>
    <row r="908">
      <c r="A908" s="21"/>
      <c r="B908" s="21"/>
      <c r="D908" s="25"/>
      <c r="E908" s="27"/>
      <c r="F908" s="25"/>
      <c r="G908" s="27"/>
    </row>
    <row r="909">
      <c r="A909" s="21"/>
      <c r="B909" s="21"/>
      <c r="D909" s="25"/>
      <c r="E909" s="27"/>
      <c r="F909" s="25"/>
      <c r="G909" s="27"/>
    </row>
    <row r="910">
      <c r="A910" s="21"/>
      <c r="B910" s="21"/>
      <c r="D910" s="25"/>
      <c r="E910" s="27"/>
      <c r="F910" s="25"/>
      <c r="G910" s="27"/>
    </row>
    <row r="911">
      <c r="A911" s="21"/>
      <c r="B911" s="21"/>
      <c r="D911" s="25"/>
      <c r="E911" s="27"/>
      <c r="F911" s="25"/>
      <c r="G911" s="27"/>
    </row>
    <row r="912">
      <c r="A912" s="21"/>
      <c r="B912" s="21"/>
      <c r="D912" s="25"/>
      <c r="E912" s="27"/>
      <c r="F912" s="25"/>
      <c r="G912" s="27"/>
    </row>
    <row r="913">
      <c r="A913" s="21"/>
      <c r="B913" s="21"/>
      <c r="D913" s="25"/>
      <c r="E913" s="27"/>
      <c r="F913" s="25"/>
      <c r="G913" s="27"/>
    </row>
    <row r="914">
      <c r="A914" s="21"/>
      <c r="B914" s="21"/>
      <c r="D914" s="25"/>
      <c r="E914" s="27"/>
      <c r="F914" s="25"/>
      <c r="G914" s="27"/>
    </row>
    <row r="915">
      <c r="A915" s="21"/>
      <c r="B915" s="21"/>
      <c r="D915" s="25"/>
      <c r="E915" s="27"/>
      <c r="F915" s="25"/>
      <c r="G915" s="27"/>
    </row>
    <row r="916">
      <c r="A916" s="21"/>
      <c r="B916" s="21"/>
      <c r="D916" s="25"/>
      <c r="E916" s="27"/>
      <c r="F916" s="25"/>
      <c r="G916" s="27"/>
    </row>
    <row r="917">
      <c r="A917" s="21"/>
      <c r="B917" s="21"/>
      <c r="D917" s="25"/>
      <c r="E917" s="27"/>
      <c r="F917" s="25"/>
      <c r="G917" s="27"/>
    </row>
    <row r="918">
      <c r="A918" s="21"/>
      <c r="B918" s="21"/>
      <c r="D918" s="25"/>
      <c r="E918" s="27"/>
      <c r="F918" s="25"/>
      <c r="G918" s="27"/>
    </row>
    <row r="919">
      <c r="A919" s="21"/>
      <c r="B919" s="21"/>
      <c r="D919" s="25"/>
      <c r="E919" s="27"/>
      <c r="F919" s="25"/>
      <c r="G919" s="27"/>
    </row>
    <row r="920">
      <c r="A920" s="21"/>
      <c r="B920" s="21"/>
      <c r="D920" s="25"/>
      <c r="E920" s="27"/>
      <c r="F920" s="25"/>
      <c r="G920" s="27"/>
    </row>
    <row r="921">
      <c r="A921" s="21"/>
      <c r="B921" s="21"/>
      <c r="D921" s="25"/>
      <c r="E921" s="27"/>
      <c r="F921" s="25"/>
      <c r="G921" s="27"/>
    </row>
    <row r="922">
      <c r="A922" s="21"/>
      <c r="B922" s="21"/>
      <c r="D922" s="25"/>
      <c r="E922" s="27"/>
      <c r="F922" s="25"/>
      <c r="G922" s="27"/>
    </row>
    <row r="923">
      <c r="A923" s="21"/>
      <c r="B923" s="21"/>
      <c r="D923" s="25"/>
      <c r="E923" s="27"/>
      <c r="F923" s="25"/>
      <c r="G923" s="27"/>
    </row>
    <row r="924">
      <c r="A924" s="21"/>
      <c r="B924" s="21"/>
      <c r="D924" s="25"/>
      <c r="E924" s="27"/>
      <c r="F924" s="25"/>
      <c r="G924" s="27"/>
    </row>
    <row r="925">
      <c r="A925" s="21"/>
      <c r="B925" s="21"/>
      <c r="D925" s="25"/>
      <c r="E925" s="27"/>
      <c r="F925" s="25"/>
      <c r="G925" s="27"/>
    </row>
    <row r="926">
      <c r="A926" s="21"/>
      <c r="B926" s="21"/>
      <c r="D926" s="25"/>
      <c r="E926" s="27"/>
      <c r="F926" s="25"/>
      <c r="G926" s="27"/>
    </row>
    <row r="927">
      <c r="A927" s="21"/>
      <c r="B927" s="21"/>
      <c r="D927" s="25"/>
      <c r="E927" s="27"/>
      <c r="F927" s="25"/>
      <c r="G927" s="27"/>
    </row>
    <row r="928">
      <c r="A928" s="21"/>
      <c r="B928" s="21"/>
      <c r="D928" s="25"/>
      <c r="E928" s="27"/>
      <c r="F928" s="25"/>
      <c r="G928" s="27"/>
    </row>
    <row r="929">
      <c r="A929" s="21"/>
      <c r="B929" s="21"/>
      <c r="D929" s="25"/>
      <c r="E929" s="27"/>
      <c r="F929" s="25"/>
      <c r="G929" s="27"/>
    </row>
    <row r="930">
      <c r="A930" s="21"/>
      <c r="B930" s="21"/>
      <c r="D930" s="25"/>
      <c r="E930" s="27"/>
      <c r="F930" s="25"/>
      <c r="G930" s="27"/>
    </row>
    <row r="931">
      <c r="A931" s="21"/>
      <c r="B931" s="21"/>
      <c r="D931" s="25"/>
      <c r="E931" s="27"/>
      <c r="F931" s="25"/>
      <c r="G931" s="27"/>
    </row>
    <row r="932">
      <c r="A932" s="21"/>
      <c r="B932" s="21"/>
      <c r="D932" s="25"/>
      <c r="E932" s="27"/>
      <c r="F932" s="25"/>
      <c r="G932" s="27"/>
    </row>
    <row r="933">
      <c r="A933" s="21"/>
      <c r="B933" s="21"/>
      <c r="D933" s="25"/>
      <c r="E933" s="27"/>
      <c r="F933" s="25"/>
      <c r="G933" s="27"/>
    </row>
    <row r="934">
      <c r="A934" s="21"/>
      <c r="B934" s="21"/>
      <c r="D934" s="25"/>
      <c r="E934" s="27"/>
      <c r="F934" s="25"/>
      <c r="G934" s="27"/>
    </row>
    <row r="935">
      <c r="A935" s="21"/>
      <c r="B935" s="21"/>
      <c r="D935" s="25"/>
      <c r="E935" s="27"/>
      <c r="F935" s="25"/>
      <c r="G935" s="27"/>
    </row>
    <row r="936">
      <c r="A936" s="21"/>
      <c r="B936" s="21"/>
      <c r="D936" s="25"/>
      <c r="E936" s="27"/>
      <c r="F936" s="25"/>
      <c r="G936" s="27"/>
    </row>
    <row r="937">
      <c r="A937" s="21"/>
      <c r="B937" s="21"/>
      <c r="D937" s="25"/>
      <c r="E937" s="27"/>
      <c r="F937" s="25"/>
      <c r="G937" s="27"/>
    </row>
    <row r="938">
      <c r="A938" s="21"/>
      <c r="B938" s="21"/>
      <c r="D938" s="25"/>
      <c r="E938" s="27"/>
      <c r="F938" s="25"/>
      <c r="G938" s="27"/>
    </row>
    <row r="939">
      <c r="A939" s="21"/>
      <c r="B939" s="21"/>
      <c r="D939" s="25"/>
      <c r="E939" s="27"/>
      <c r="F939" s="25"/>
      <c r="G939" s="27"/>
    </row>
    <row r="940">
      <c r="A940" s="21"/>
      <c r="B940" s="21"/>
      <c r="D940" s="25"/>
      <c r="E940" s="27"/>
      <c r="F940" s="25"/>
      <c r="G940" s="27"/>
    </row>
    <row r="941">
      <c r="A941" s="21"/>
      <c r="B941" s="21"/>
      <c r="D941" s="25"/>
      <c r="E941" s="27"/>
      <c r="F941" s="25"/>
      <c r="G941" s="27"/>
    </row>
    <row r="942">
      <c r="A942" s="21"/>
      <c r="B942" s="21"/>
      <c r="D942" s="25"/>
      <c r="E942" s="27"/>
      <c r="F942" s="25"/>
      <c r="G942" s="27"/>
    </row>
    <row r="943">
      <c r="A943" s="21"/>
      <c r="B943" s="21"/>
      <c r="D943" s="25"/>
      <c r="E943" s="27"/>
      <c r="F943" s="25"/>
      <c r="G943" s="27"/>
    </row>
    <row r="944">
      <c r="A944" s="21"/>
      <c r="B944" s="21"/>
      <c r="D944" s="25"/>
      <c r="E944" s="27"/>
      <c r="F944" s="25"/>
      <c r="G944" s="27"/>
    </row>
    <row r="945">
      <c r="A945" s="21"/>
      <c r="B945" s="21"/>
      <c r="D945" s="25"/>
      <c r="E945" s="27"/>
      <c r="F945" s="25"/>
      <c r="G945" s="27"/>
    </row>
    <row r="946">
      <c r="A946" s="21"/>
      <c r="B946" s="21"/>
      <c r="D946" s="25"/>
      <c r="E946" s="27"/>
      <c r="F946" s="25"/>
      <c r="G946" s="27"/>
    </row>
    <row r="947">
      <c r="A947" s="21"/>
      <c r="B947" s="21"/>
      <c r="D947" s="25"/>
      <c r="E947" s="27"/>
      <c r="F947" s="25"/>
      <c r="G947" s="27"/>
    </row>
    <row r="948">
      <c r="A948" s="21"/>
      <c r="B948" s="21"/>
      <c r="D948" s="25"/>
      <c r="E948" s="27"/>
      <c r="F948" s="25"/>
      <c r="G948" s="27"/>
    </row>
    <row r="949">
      <c r="A949" s="21"/>
      <c r="B949" s="21"/>
      <c r="D949" s="25"/>
      <c r="E949" s="27"/>
      <c r="F949" s="25"/>
      <c r="G949" s="27"/>
    </row>
    <row r="950">
      <c r="A950" s="21"/>
      <c r="B950" s="21"/>
      <c r="D950" s="25"/>
      <c r="E950" s="27"/>
      <c r="F950" s="25"/>
      <c r="G950" s="27"/>
    </row>
    <row r="951">
      <c r="A951" s="21"/>
      <c r="B951" s="21"/>
      <c r="D951" s="25"/>
      <c r="E951" s="27"/>
      <c r="F951" s="25"/>
      <c r="G951" s="27"/>
    </row>
    <row r="952">
      <c r="A952" s="21"/>
      <c r="B952" s="21"/>
      <c r="D952" s="25"/>
      <c r="E952" s="27"/>
      <c r="F952" s="25"/>
      <c r="G952" s="27"/>
    </row>
    <row r="953">
      <c r="A953" s="21"/>
      <c r="B953" s="21"/>
      <c r="D953" s="25"/>
      <c r="E953" s="27"/>
      <c r="F953" s="25"/>
      <c r="G953" s="27"/>
    </row>
    <row r="954">
      <c r="A954" s="21"/>
      <c r="B954" s="21"/>
      <c r="D954" s="25"/>
      <c r="E954" s="27"/>
      <c r="F954" s="25"/>
      <c r="G954" s="27"/>
    </row>
    <row r="955">
      <c r="A955" s="21"/>
      <c r="B955" s="21"/>
      <c r="D955" s="25"/>
      <c r="E955" s="27"/>
      <c r="F955" s="25"/>
      <c r="G955" s="27"/>
    </row>
    <row r="956">
      <c r="A956" s="21"/>
      <c r="B956" s="21"/>
      <c r="D956" s="25"/>
      <c r="E956" s="27"/>
      <c r="F956" s="25"/>
      <c r="G956" s="27"/>
    </row>
    <row r="957">
      <c r="A957" s="21"/>
      <c r="B957" s="21"/>
      <c r="D957" s="25"/>
      <c r="E957" s="27"/>
      <c r="F957" s="25"/>
      <c r="G957" s="27"/>
    </row>
    <row r="958">
      <c r="A958" s="21"/>
      <c r="B958" s="21"/>
      <c r="D958" s="25"/>
      <c r="E958" s="27"/>
      <c r="F958" s="25"/>
      <c r="G958" s="27"/>
    </row>
    <row r="959">
      <c r="A959" s="21"/>
      <c r="B959" s="21"/>
      <c r="D959" s="25"/>
      <c r="E959" s="27"/>
      <c r="F959" s="25"/>
      <c r="G959" s="27"/>
    </row>
    <row r="960">
      <c r="A960" s="21"/>
      <c r="B960" s="21"/>
      <c r="D960" s="25"/>
      <c r="E960" s="27"/>
      <c r="F960" s="25"/>
      <c r="G960" s="27"/>
    </row>
    <row r="961">
      <c r="A961" s="21"/>
      <c r="B961" s="21"/>
      <c r="D961" s="25"/>
      <c r="E961" s="27"/>
      <c r="F961" s="25"/>
      <c r="G961" s="27"/>
    </row>
    <row r="962">
      <c r="A962" s="21"/>
      <c r="B962" s="21"/>
      <c r="D962" s="25"/>
      <c r="E962" s="27"/>
      <c r="F962" s="25"/>
      <c r="G962" s="27"/>
    </row>
    <row r="963">
      <c r="A963" s="21"/>
      <c r="B963" s="21"/>
      <c r="D963" s="25"/>
      <c r="E963" s="27"/>
      <c r="F963" s="25"/>
      <c r="G963" s="27"/>
    </row>
    <row r="964">
      <c r="A964" s="21"/>
      <c r="B964" s="21"/>
      <c r="D964" s="25"/>
      <c r="E964" s="27"/>
      <c r="F964" s="25"/>
      <c r="G964" s="27"/>
    </row>
    <row r="965">
      <c r="A965" s="21"/>
      <c r="B965" s="21"/>
      <c r="D965" s="25"/>
      <c r="E965" s="27"/>
      <c r="F965" s="25"/>
      <c r="G965" s="27"/>
    </row>
    <row r="966">
      <c r="A966" s="21"/>
      <c r="B966" s="21"/>
      <c r="D966" s="25"/>
      <c r="E966" s="27"/>
      <c r="F966" s="25"/>
      <c r="G966" s="27"/>
    </row>
    <row r="967">
      <c r="A967" s="21"/>
      <c r="B967" s="21"/>
      <c r="D967" s="25"/>
      <c r="E967" s="27"/>
      <c r="F967" s="25"/>
      <c r="G967" s="27"/>
    </row>
    <row r="968">
      <c r="A968" s="21"/>
      <c r="B968" s="21"/>
      <c r="D968" s="25"/>
      <c r="E968" s="27"/>
      <c r="F968" s="25"/>
      <c r="G968" s="27"/>
    </row>
    <row r="969">
      <c r="A969" s="21"/>
      <c r="B969" s="21"/>
      <c r="D969" s="25"/>
      <c r="E969" s="27"/>
      <c r="F969" s="25"/>
      <c r="G969" s="27"/>
    </row>
    <row r="970">
      <c r="A970" s="21"/>
      <c r="B970" s="21"/>
      <c r="D970" s="25"/>
      <c r="E970" s="27"/>
      <c r="F970" s="25"/>
      <c r="G970" s="27"/>
    </row>
    <row r="971">
      <c r="A971" s="21"/>
      <c r="B971" s="21"/>
      <c r="D971" s="25"/>
      <c r="E971" s="27"/>
      <c r="F971" s="25"/>
      <c r="G971" s="27"/>
    </row>
    <row r="972">
      <c r="A972" s="21"/>
      <c r="B972" s="21"/>
      <c r="D972" s="25"/>
      <c r="E972" s="27"/>
      <c r="F972" s="25"/>
      <c r="G972" s="27"/>
    </row>
    <row r="973">
      <c r="A973" s="21"/>
      <c r="B973" s="21"/>
      <c r="D973" s="25"/>
      <c r="E973" s="27"/>
      <c r="F973" s="25"/>
      <c r="G973" s="27"/>
    </row>
    <row r="974">
      <c r="A974" s="21"/>
      <c r="B974" s="21"/>
      <c r="D974" s="25"/>
      <c r="E974" s="27"/>
      <c r="F974" s="25"/>
      <c r="G974" s="27"/>
    </row>
    <row r="975">
      <c r="A975" s="21"/>
      <c r="B975" s="21"/>
      <c r="D975" s="25"/>
      <c r="E975" s="27"/>
      <c r="F975" s="25"/>
      <c r="G975" s="27"/>
    </row>
    <row r="976">
      <c r="A976" s="21"/>
      <c r="B976" s="21"/>
      <c r="D976" s="25"/>
      <c r="E976" s="27"/>
      <c r="F976" s="25"/>
      <c r="G976" s="27"/>
    </row>
    <row r="977">
      <c r="A977" s="21"/>
      <c r="B977" s="21"/>
      <c r="D977" s="25"/>
      <c r="E977" s="27"/>
      <c r="F977" s="25"/>
      <c r="G977" s="27"/>
    </row>
    <row r="978">
      <c r="A978" s="21"/>
      <c r="B978" s="21"/>
      <c r="D978" s="25"/>
      <c r="E978" s="27"/>
      <c r="F978" s="25"/>
      <c r="G978" s="27"/>
    </row>
    <row r="979">
      <c r="A979" s="21"/>
      <c r="B979" s="21"/>
      <c r="D979" s="25"/>
      <c r="E979" s="27"/>
      <c r="F979" s="25"/>
      <c r="G979" s="27"/>
    </row>
    <row r="980">
      <c r="A980" s="21"/>
      <c r="B980" s="21"/>
      <c r="D980" s="25"/>
      <c r="E980" s="27"/>
      <c r="F980" s="25"/>
      <c r="G980" s="27"/>
    </row>
    <row r="981">
      <c r="A981" s="21"/>
      <c r="B981" s="21"/>
      <c r="D981" s="25"/>
      <c r="E981" s="27"/>
      <c r="F981" s="25"/>
      <c r="G981" s="27"/>
    </row>
    <row r="982">
      <c r="A982" s="21"/>
      <c r="B982" s="21"/>
      <c r="D982" s="25"/>
      <c r="E982" s="27"/>
      <c r="F982" s="25"/>
      <c r="G982" s="27"/>
    </row>
    <row r="983">
      <c r="A983" s="21"/>
      <c r="B983" s="21"/>
      <c r="D983" s="25"/>
      <c r="E983" s="27"/>
      <c r="F983" s="25"/>
      <c r="G983" s="27"/>
    </row>
    <row r="984">
      <c r="A984" s="21"/>
      <c r="B984" s="21"/>
      <c r="D984" s="25"/>
      <c r="E984" s="27"/>
      <c r="F984" s="25"/>
      <c r="G984" s="27"/>
    </row>
    <row r="985">
      <c r="A985" s="21"/>
      <c r="B985" s="21"/>
      <c r="D985" s="25"/>
      <c r="E985" s="27"/>
      <c r="F985" s="25"/>
      <c r="G985" s="27"/>
    </row>
    <row r="986">
      <c r="A986" s="21"/>
      <c r="B986" s="21"/>
      <c r="D986" s="25"/>
      <c r="E986" s="27"/>
      <c r="F986" s="25"/>
      <c r="G986" s="27"/>
    </row>
    <row r="987">
      <c r="A987" s="21"/>
      <c r="B987" s="21"/>
      <c r="D987" s="25"/>
      <c r="E987" s="27"/>
      <c r="F987" s="25"/>
      <c r="G987" s="27"/>
    </row>
    <row r="988">
      <c r="A988" s="21"/>
      <c r="B988" s="21"/>
      <c r="D988" s="25"/>
      <c r="E988" s="27"/>
      <c r="F988" s="25"/>
      <c r="G988" s="27"/>
    </row>
    <row r="989">
      <c r="A989" s="21"/>
      <c r="B989" s="21"/>
      <c r="D989" s="25"/>
      <c r="E989" s="27"/>
      <c r="F989" s="25"/>
      <c r="G989" s="27"/>
    </row>
    <row r="990">
      <c r="A990" s="21"/>
      <c r="B990" s="21"/>
      <c r="D990" s="25"/>
      <c r="E990" s="27"/>
      <c r="F990" s="25"/>
      <c r="G990" s="27"/>
    </row>
    <row r="991">
      <c r="A991" s="21"/>
      <c r="B991" s="21"/>
      <c r="D991" s="25"/>
      <c r="E991" s="27"/>
      <c r="F991" s="25"/>
      <c r="G991" s="27"/>
    </row>
    <row r="992">
      <c r="A992" s="21"/>
      <c r="B992" s="21"/>
      <c r="D992" s="25"/>
      <c r="E992" s="27"/>
      <c r="F992" s="25"/>
      <c r="G992" s="27"/>
    </row>
    <row r="993">
      <c r="A993" s="21"/>
      <c r="B993" s="21"/>
      <c r="D993" s="25"/>
      <c r="E993" s="27"/>
      <c r="F993" s="25"/>
      <c r="G993" s="27"/>
    </row>
    <row r="994">
      <c r="A994" s="21"/>
      <c r="B994" s="21"/>
      <c r="D994" s="25"/>
      <c r="E994" s="27"/>
      <c r="F994" s="25"/>
      <c r="G994" s="27"/>
    </row>
    <row r="995">
      <c r="A995" s="21"/>
      <c r="B995" s="21"/>
      <c r="D995" s="25"/>
      <c r="E995" s="27"/>
      <c r="F995" s="25"/>
      <c r="G995" s="27"/>
    </row>
    <row r="996">
      <c r="A996" s="21"/>
      <c r="B996" s="21"/>
      <c r="D996" s="25"/>
      <c r="E996" s="27"/>
      <c r="F996" s="25"/>
      <c r="G996" s="27"/>
    </row>
    <row r="997">
      <c r="A997" s="21"/>
      <c r="B997" s="21"/>
      <c r="D997" s="25"/>
      <c r="E997" s="27"/>
      <c r="F997" s="25"/>
      <c r="G997" s="27"/>
    </row>
    <row r="998">
      <c r="A998" s="21"/>
      <c r="B998" s="21"/>
      <c r="D998" s="25"/>
      <c r="E998" s="27"/>
      <c r="F998" s="25"/>
      <c r="G998" s="27"/>
    </row>
    <row r="999">
      <c r="A999" s="21"/>
      <c r="B999" s="21"/>
      <c r="D999" s="25"/>
      <c r="E999" s="27"/>
      <c r="F999" s="25"/>
      <c r="G999" s="27"/>
    </row>
    <row r="1000">
      <c r="A1000" s="21"/>
      <c r="B1000" s="21"/>
      <c r="D1000" s="25"/>
      <c r="E1000" s="27"/>
      <c r="F1000" s="25"/>
      <c r="G1000" s="27"/>
    </row>
    <row r="1001">
      <c r="A1001" s="21"/>
      <c r="B1001" s="21"/>
      <c r="D1001" s="25"/>
      <c r="E1001" s="27"/>
      <c r="F1001" s="25"/>
      <c r="G1001" s="27"/>
    </row>
    <row r="1002">
      <c r="A1002" s="21"/>
      <c r="B1002" s="21"/>
      <c r="D1002" s="25"/>
      <c r="E1002" s="27"/>
      <c r="F1002" s="25"/>
      <c r="G1002" s="27"/>
    </row>
    <row r="1003">
      <c r="A1003" s="21"/>
      <c r="B1003" s="21"/>
      <c r="D1003" s="25"/>
      <c r="E1003" s="27"/>
      <c r="F1003" s="25"/>
      <c r="G1003" s="27"/>
    </row>
    <row r="1004">
      <c r="A1004" s="21"/>
      <c r="B1004" s="21"/>
      <c r="D1004" s="25"/>
      <c r="E1004" s="27"/>
      <c r="F1004" s="25"/>
      <c r="G1004" s="27"/>
    </row>
    <row r="1005">
      <c r="A1005" s="21"/>
      <c r="B1005" s="21"/>
      <c r="D1005" s="25"/>
      <c r="E1005" s="27"/>
      <c r="F1005" s="25"/>
      <c r="G1005" s="27"/>
    </row>
    <row r="1006">
      <c r="A1006" s="21"/>
      <c r="B1006" s="21"/>
      <c r="D1006" s="25"/>
      <c r="E1006" s="27"/>
      <c r="F1006" s="25"/>
      <c r="G1006" s="27"/>
    </row>
    <row r="1007">
      <c r="A1007" s="21"/>
      <c r="B1007" s="21"/>
      <c r="D1007" s="25"/>
      <c r="E1007" s="27"/>
      <c r="F1007" s="25"/>
      <c r="G1007" s="27"/>
    </row>
    <row r="1008">
      <c r="A1008" s="21"/>
      <c r="B1008" s="21"/>
      <c r="D1008" s="25"/>
      <c r="E1008" s="27"/>
      <c r="F1008" s="25"/>
      <c r="G1008" s="27"/>
    </row>
    <row r="1009">
      <c r="A1009" s="21"/>
      <c r="B1009" s="21"/>
      <c r="D1009" s="25"/>
      <c r="E1009" s="27"/>
      <c r="F1009" s="25"/>
      <c r="G1009" s="27"/>
    </row>
    <row r="1010">
      <c r="A1010" s="21"/>
      <c r="B1010" s="21"/>
      <c r="D1010" s="25"/>
      <c r="E1010" s="27"/>
      <c r="F1010" s="25"/>
      <c r="G1010" s="27"/>
    </row>
    <row r="1011">
      <c r="A1011" s="21"/>
      <c r="B1011" s="21"/>
      <c r="D1011" s="25"/>
      <c r="E1011" s="27"/>
      <c r="F1011" s="25"/>
      <c r="G1011" s="27"/>
    </row>
    <row r="1012">
      <c r="A1012" s="21"/>
      <c r="B1012" s="21"/>
      <c r="D1012" s="25"/>
      <c r="E1012" s="27"/>
      <c r="F1012" s="25"/>
      <c r="G1012" s="27"/>
    </row>
    <row r="1013">
      <c r="A1013" s="21"/>
      <c r="B1013" s="21"/>
      <c r="D1013" s="25"/>
      <c r="E1013" s="27"/>
      <c r="F1013" s="25"/>
      <c r="G1013" s="27"/>
    </row>
    <row r="1014">
      <c r="A1014" s="21"/>
      <c r="B1014" s="21"/>
      <c r="D1014" s="25"/>
      <c r="E1014" s="27"/>
      <c r="F1014" s="25"/>
      <c r="G1014" s="27"/>
    </row>
    <row r="1015">
      <c r="A1015" s="21"/>
      <c r="B1015" s="21"/>
      <c r="D1015" s="25"/>
      <c r="E1015" s="27"/>
      <c r="F1015" s="25"/>
      <c r="G1015" s="27"/>
    </row>
    <row r="1016">
      <c r="A1016" s="21"/>
      <c r="B1016" s="21"/>
      <c r="D1016" s="25"/>
      <c r="E1016" s="27"/>
      <c r="F1016" s="25"/>
      <c r="G1016" s="27"/>
    </row>
    <row r="1017">
      <c r="A1017" s="21"/>
      <c r="B1017" s="21"/>
      <c r="D1017" s="25"/>
      <c r="E1017" s="27"/>
      <c r="F1017" s="25"/>
      <c r="G1017" s="27"/>
    </row>
    <row r="1018">
      <c r="A1018" s="21"/>
      <c r="B1018" s="21"/>
      <c r="D1018" s="25"/>
      <c r="E1018" s="27"/>
      <c r="F1018" s="25"/>
      <c r="G1018" s="27"/>
    </row>
    <row r="1019">
      <c r="A1019" s="21"/>
      <c r="B1019" s="21"/>
      <c r="D1019" s="25"/>
      <c r="E1019" s="27"/>
      <c r="F1019" s="25"/>
      <c r="G1019" s="27"/>
    </row>
    <row r="1020">
      <c r="A1020" s="21"/>
      <c r="B1020" s="21"/>
      <c r="D1020" s="25"/>
      <c r="E1020" s="27"/>
      <c r="F1020" s="25"/>
      <c r="G1020" s="27"/>
    </row>
    <row r="1021">
      <c r="A1021" s="21"/>
      <c r="B1021" s="21"/>
      <c r="D1021" s="25"/>
      <c r="E1021" s="27"/>
      <c r="F1021" s="25"/>
      <c r="G1021" s="27"/>
    </row>
    <row r="1022">
      <c r="A1022" s="21"/>
      <c r="B1022" s="21"/>
      <c r="D1022" s="25"/>
      <c r="E1022" s="27"/>
      <c r="F1022" s="25"/>
      <c r="G1022" s="27"/>
    </row>
    <row r="1023">
      <c r="A1023" s="21"/>
      <c r="B1023" s="21"/>
      <c r="D1023" s="25"/>
      <c r="E1023" s="27"/>
      <c r="F1023" s="25"/>
      <c r="G1023" s="27"/>
    </row>
    <row r="1024">
      <c r="A1024" s="21"/>
      <c r="B1024" s="21"/>
      <c r="D1024" s="25"/>
      <c r="E1024" s="27"/>
      <c r="F1024" s="25"/>
      <c r="G1024" s="27"/>
    </row>
    <row r="1025">
      <c r="A1025" s="21"/>
      <c r="B1025" s="21"/>
      <c r="D1025" s="25"/>
      <c r="E1025" s="27"/>
      <c r="F1025" s="25"/>
      <c r="G1025" s="27"/>
    </row>
    <row r="1026">
      <c r="A1026" s="21"/>
      <c r="B1026" s="21"/>
      <c r="D1026" s="25"/>
      <c r="E1026" s="27"/>
      <c r="F1026" s="25"/>
      <c r="G1026" s="27"/>
    </row>
    <row r="1027">
      <c r="A1027" s="21"/>
      <c r="B1027" s="21"/>
      <c r="D1027" s="25"/>
      <c r="E1027" s="27"/>
      <c r="F1027" s="25"/>
      <c r="G1027" s="27"/>
    </row>
    <row r="1028">
      <c r="A1028" s="21"/>
      <c r="B1028" s="21"/>
      <c r="D1028" s="25"/>
      <c r="E1028" s="27"/>
      <c r="F1028" s="25"/>
      <c r="G1028" s="27"/>
    </row>
    <row r="1029">
      <c r="A1029" s="21"/>
      <c r="B1029" s="21"/>
      <c r="D1029" s="25"/>
      <c r="E1029" s="27"/>
      <c r="F1029" s="25"/>
      <c r="G1029" s="27"/>
    </row>
    <row r="1030">
      <c r="A1030" s="21"/>
      <c r="B1030" s="21"/>
      <c r="D1030" s="25"/>
      <c r="E1030" s="27"/>
      <c r="F1030" s="25"/>
      <c r="G1030" s="27"/>
    </row>
    <row r="1031">
      <c r="A1031" s="21"/>
      <c r="B1031" s="21"/>
      <c r="D1031" s="25"/>
      <c r="E1031" s="27"/>
      <c r="F1031" s="25"/>
      <c r="G1031" s="27"/>
    </row>
    <row r="1032">
      <c r="A1032" s="21"/>
      <c r="B1032" s="21"/>
      <c r="D1032" s="25"/>
      <c r="E1032" s="27"/>
      <c r="F1032" s="25"/>
      <c r="G1032" s="27"/>
    </row>
    <row r="1033">
      <c r="A1033" s="21"/>
      <c r="B1033" s="21"/>
      <c r="D1033" s="25"/>
      <c r="E1033" s="27"/>
      <c r="F1033" s="25"/>
      <c r="G1033" s="27"/>
    </row>
    <row r="1034">
      <c r="A1034" s="21"/>
      <c r="B1034" s="21"/>
      <c r="D1034" s="25"/>
      <c r="E1034" s="27"/>
      <c r="F1034" s="25"/>
      <c r="G1034" s="27"/>
    </row>
    <row r="1035">
      <c r="A1035" s="21"/>
      <c r="B1035" s="21"/>
      <c r="D1035" s="25"/>
      <c r="E1035" s="27"/>
      <c r="F1035" s="25"/>
      <c r="G1035" s="27"/>
    </row>
    <row r="1036">
      <c r="A1036" s="21"/>
      <c r="B1036" s="21"/>
      <c r="D1036" s="25"/>
      <c r="E1036" s="27"/>
      <c r="F1036" s="25"/>
      <c r="G1036" s="27"/>
    </row>
    <row r="1037">
      <c r="A1037" s="21"/>
      <c r="B1037" s="21"/>
      <c r="D1037" s="25"/>
      <c r="E1037" s="27"/>
      <c r="F1037" s="25"/>
      <c r="G1037" s="27"/>
    </row>
    <row r="1038">
      <c r="A1038" s="21"/>
      <c r="B1038" s="21"/>
      <c r="D1038" s="25"/>
      <c r="E1038" s="27"/>
      <c r="F1038" s="25"/>
      <c r="G1038" s="27"/>
    </row>
    <row r="1039">
      <c r="A1039" s="21"/>
      <c r="B1039" s="21"/>
      <c r="D1039" s="25"/>
      <c r="E1039" s="27"/>
      <c r="F1039" s="25"/>
      <c r="G1039" s="27"/>
    </row>
    <row r="1040">
      <c r="A1040" s="21"/>
      <c r="B1040" s="21"/>
      <c r="D1040" s="25"/>
      <c r="E1040" s="27"/>
      <c r="F1040" s="25"/>
      <c r="G1040" s="27"/>
    </row>
    <row r="1041">
      <c r="A1041" s="21"/>
      <c r="B1041" s="21"/>
      <c r="D1041" s="25"/>
      <c r="E1041" s="27"/>
      <c r="F1041" s="25"/>
      <c r="G1041" s="27"/>
    </row>
    <row r="1042">
      <c r="A1042" s="21"/>
      <c r="B1042" s="21"/>
      <c r="D1042" s="25"/>
      <c r="E1042" s="27"/>
      <c r="F1042" s="25"/>
      <c r="G1042" s="27"/>
    </row>
    <row r="1043">
      <c r="A1043" s="21"/>
      <c r="B1043" s="21"/>
      <c r="D1043" s="25"/>
      <c r="E1043" s="27"/>
      <c r="F1043" s="25"/>
      <c r="G1043" s="27"/>
    </row>
    <row r="1044">
      <c r="A1044" s="21"/>
      <c r="B1044" s="21"/>
      <c r="D1044" s="25"/>
      <c r="E1044" s="27"/>
      <c r="F1044" s="25"/>
      <c r="G1044" s="27"/>
    </row>
    <row r="1045">
      <c r="A1045" s="21"/>
      <c r="B1045" s="21"/>
      <c r="D1045" s="25"/>
      <c r="E1045" s="27"/>
      <c r="F1045" s="25"/>
      <c r="G1045" s="27"/>
    </row>
    <row r="1046">
      <c r="A1046" s="21"/>
      <c r="B1046" s="21"/>
      <c r="D1046" s="25"/>
      <c r="E1046" s="27"/>
      <c r="F1046" s="25"/>
      <c r="G1046" s="27"/>
    </row>
    <row r="1047">
      <c r="A1047" s="21"/>
      <c r="B1047" s="21"/>
      <c r="D1047" s="25"/>
      <c r="E1047" s="27"/>
      <c r="F1047" s="25"/>
      <c r="G1047" s="27"/>
    </row>
    <row r="1048">
      <c r="A1048" s="21"/>
      <c r="B1048" s="21"/>
      <c r="D1048" s="25"/>
      <c r="E1048" s="27"/>
      <c r="F1048" s="25"/>
      <c r="G1048" s="27"/>
    </row>
    <row r="1049">
      <c r="A1049" s="21"/>
      <c r="B1049" s="21"/>
      <c r="D1049" s="25"/>
      <c r="E1049" s="27"/>
      <c r="F1049" s="25"/>
      <c r="G1049" s="27"/>
    </row>
    <row r="1050">
      <c r="A1050" s="21"/>
      <c r="B1050" s="21"/>
      <c r="D1050" s="25"/>
      <c r="E1050" s="27"/>
      <c r="F1050" s="25"/>
      <c r="G1050" s="27"/>
    </row>
    <row r="1051">
      <c r="A1051" s="21"/>
      <c r="B1051" s="21"/>
      <c r="D1051" s="25"/>
      <c r="E1051" s="27"/>
      <c r="F1051" s="25"/>
      <c r="G1051" s="27"/>
    </row>
    <row r="1052">
      <c r="A1052" s="21"/>
      <c r="B1052" s="21"/>
      <c r="D1052" s="25"/>
      <c r="E1052" s="27"/>
      <c r="F1052" s="25"/>
      <c r="G1052" s="27"/>
    </row>
    <row r="1053">
      <c r="A1053" s="21"/>
      <c r="B1053" s="21"/>
      <c r="D1053" s="25"/>
      <c r="E1053" s="27"/>
      <c r="F1053" s="25"/>
      <c r="G1053" s="27"/>
    </row>
    <row r="1054">
      <c r="A1054" s="21"/>
      <c r="B1054" s="21"/>
      <c r="D1054" s="25"/>
      <c r="E1054" s="27"/>
      <c r="F1054" s="25"/>
      <c r="G1054" s="27"/>
    </row>
    <row r="1055">
      <c r="A1055" s="21"/>
      <c r="B1055" s="21"/>
      <c r="D1055" s="25"/>
      <c r="E1055" s="27"/>
      <c r="F1055" s="25"/>
      <c r="G1055" s="27"/>
    </row>
    <row r="1056">
      <c r="A1056" s="21"/>
      <c r="B1056" s="21"/>
      <c r="D1056" s="25"/>
      <c r="E1056" s="27"/>
      <c r="F1056" s="25"/>
      <c r="G1056" s="27"/>
    </row>
    <row r="1057">
      <c r="A1057" s="21"/>
      <c r="B1057" s="21"/>
      <c r="D1057" s="25"/>
      <c r="E1057" s="27"/>
      <c r="F1057" s="25"/>
      <c r="G1057" s="27"/>
    </row>
    <row r="1058">
      <c r="A1058" s="21"/>
      <c r="B1058" s="21"/>
      <c r="D1058" s="25"/>
      <c r="E1058" s="27"/>
      <c r="F1058" s="25"/>
      <c r="G1058" s="27"/>
    </row>
    <row r="1059">
      <c r="A1059" s="21"/>
      <c r="B1059" s="21"/>
      <c r="D1059" s="25"/>
      <c r="E1059" s="27"/>
      <c r="F1059" s="25"/>
      <c r="G1059" s="27"/>
    </row>
    <row r="1060">
      <c r="A1060" s="21"/>
      <c r="B1060" s="21"/>
      <c r="D1060" s="25"/>
      <c r="E1060" s="27"/>
      <c r="F1060" s="25"/>
      <c r="G1060" s="27"/>
    </row>
    <row r="1061">
      <c r="A1061" s="21"/>
      <c r="B1061" s="21"/>
      <c r="D1061" s="25"/>
      <c r="E1061" s="27"/>
      <c r="F1061" s="25"/>
      <c r="G1061" s="27"/>
    </row>
    <row r="1062">
      <c r="A1062" s="21"/>
      <c r="B1062" s="21"/>
      <c r="D1062" s="25"/>
      <c r="E1062" s="27"/>
      <c r="F1062" s="25"/>
      <c r="G1062" s="27"/>
    </row>
    <row r="1063">
      <c r="A1063" s="21"/>
      <c r="B1063" s="21"/>
      <c r="D1063" s="25"/>
      <c r="E1063" s="27"/>
      <c r="F1063" s="25"/>
      <c r="G1063" s="27"/>
    </row>
    <row r="1064">
      <c r="A1064" s="21"/>
      <c r="B1064" s="21"/>
      <c r="D1064" s="25"/>
      <c r="E1064" s="27"/>
      <c r="F1064" s="25"/>
      <c r="G1064" s="27"/>
    </row>
    <row r="1065">
      <c r="A1065" s="21"/>
      <c r="B1065" s="21"/>
      <c r="D1065" s="25"/>
      <c r="E1065" s="27"/>
      <c r="F1065" s="25"/>
      <c r="G1065" s="27"/>
    </row>
    <row r="1066">
      <c r="A1066" s="21"/>
      <c r="B1066" s="21"/>
      <c r="D1066" s="25"/>
      <c r="E1066" s="27"/>
      <c r="F1066" s="25"/>
      <c r="G1066" s="27"/>
    </row>
    <row r="1067">
      <c r="A1067" s="21"/>
      <c r="B1067" s="21"/>
      <c r="D1067" s="25"/>
      <c r="E1067" s="27"/>
      <c r="F1067" s="25"/>
      <c r="G1067" s="27"/>
    </row>
    <row r="1068">
      <c r="A1068" s="21"/>
      <c r="B1068" s="21"/>
      <c r="D1068" s="25"/>
      <c r="E1068" s="27"/>
      <c r="F1068" s="25"/>
      <c r="G1068" s="27"/>
    </row>
    <row r="1069">
      <c r="A1069" s="21"/>
      <c r="B1069" s="21"/>
      <c r="D1069" s="25"/>
      <c r="E1069" s="27"/>
      <c r="F1069" s="25"/>
      <c r="G1069" s="27"/>
    </row>
    <row r="1070">
      <c r="A1070" s="21"/>
      <c r="B1070" s="21"/>
      <c r="D1070" s="25"/>
      <c r="E1070" s="27"/>
      <c r="F1070" s="25"/>
      <c r="G1070" s="27"/>
    </row>
    <row r="1071">
      <c r="A1071" s="21"/>
      <c r="B1071" s="21"/>
      <c r="D1071" s="25"/>
      <c r="E1071" s="27"/>
      <c r="F1071" s="25"/>
      <c r="G1071" s="27"/>
    </row>
    <row r="1072">
      <c r="A1072" s="21"/>
      <c r="B1072" s="21"/>
      <c r="D1072" s="25"/>
      <c r="E1072" s="27"/>
      <c r="F1072" s="25"/>
      <c r="G1072" s="27"/>
    </row>
    <row r="1073">
      <c r="A1073" s="21"/>
      <c r="B1073" s="21"/>
      <c r="D1073" s="25"/>
      <c r="E1073" s="27"/>
      <c r="F1073" s="25"/>
      <c r="G1073" s="27"/>
    </row>
    <row r="1074">
      <c r="A1074" s="21"/>
      <c r="B1074" s="21"/>
      <c r="D1074" s="25"/>
      <c r="E1074" s="27"/>
      <c r="F1074" s="25"/>
      <c r="G1074" s="27"/>
    </row>
    <row r="1075">
      <c r="A1075" s="21"/>
      <c r="B1075" s="21"/>
      <c r="D1075" s="25"/>
      <c r="E1075" s="27"/>
      <c r="F1075" s="25"/>
      <c r="G1075" s="27"/>
    </row>
    <row r="1076">
      <c r="A1076" s="21"/>
      <c r="B1076" s="21"/>
      <c r="D1076" s="25"/>
      <c r="E1076" s="27"/>
      <c r="F1076" s="25"/>
      <c r="G1076" s="27"/>
    </row>
    <row r="1077">
      <c r="A1077" s="21"/>
      <c r="B1077" s="21"/>
      <c r="D1077" s="25"/>
      <c r="E1077" s="27"/>
      <c r="F1077" s="25"/>
      <c r="G1077" s="27"/>
    </row>
    <row r="1078">
      <c r="A1078" s="21"/>
      <c r="B1078" s="21"/>
      <c r="D1078" s="25"/>
      <c r="E1078" s="27"/>
      <c r="F1078" s="25"/>
      <c r="G1078" s="27"/>
    </row>
    <row r="1079">
      <c r="A1079" s="21"/>
      <c r="B1079" s="21"/>
      <c r="D1079" s="25"/>
      <c r="E1079" s="27"/>
      <c r="F1079" s="25"/>
      <c r="G1079" s="27"/>
    </row>
    <row r="1080">
      <c r="A1080" s="21"/>
      <c r="B1080" s="21"/>
      <c r="D1080" s="25"/>
      <c r="E1080" s="27"/>
      <c r="F1080" s="25"/>
      <c r="G1080" s="27"/>
    </row>
    <row r="1081">
      <c r="A1081" s="21"/>
      <c r="B1081" s="21"/>
      <c r="D1081" s="25"/>
      <c r="E1081" s="27"/>
      <c r="F1081" s="25"/>
      <c r="G1081" s="27"/>
    </row>
    <row r="1082">
      <c r="A1082" s="21"/>
      <c r="B1082" s="21"/>
      <c r="D1082" s="25"/>
      <c r="E1082" s="27"/>
      <c r="F1082" s="25"/>
      <c r="G1082" s="27"/>
    </row>
    <row r="1083">
      <c r="A1083" s="21"/>
      <c r="B1083" s="21"/>
      <c r="D1083" s="25"/>
      <c r="E1083" s="27"/>
      <c r="F1083" s="25"/>
      <c r="G1083" s="27"/>
    </row>
    <row r="1084">
      <c r="A1084" s="21"/>
      <c r="B1084" s="21"/>
      <c r="D1084" s="25"/>
      <c r="E1084" s="27"/>
      <c r="F1084" s="25"/>
      <c r="G1084" s="27"/>
    </row>
    <row r="1085">
      <c r="A1085" s="21"/>
      <c r="B1085" s="21"/>
      <c r="D1085" s="25"/>
      <c r="E1085" s="27"/>
      <c r="F1085" s="25"/>
      <c r="G1085" s="27"/>
    </row>
    <row r="1086">
      <c r="A1086" s="21"/>
      <c r="B1086" s="21"/>
      <c r="D1086" s="25"/>
      <c r="E1086" s="27"/>
      <c r="F1086" s="25"/>
      <c r="G1086" s="27"/>
    </row>
    <row r="1087">
      <c r="A1087" s="21"/>
      <c r="B1087" s="21"/>
      <c r="D1087" s="25"/>
      <c r="E1087" s="27"/>
      <c r="F1087" s="25"/>
      <c r="G1087" s="27"/>
    </row>
    <row r="1088">
      <c r="A1088" s="21"/>
      <c r="B1088" s="21"/>
      <c r="D1088" s="25"/>
      <c r="E1088" s="27"/>
      <c r="F1088" s="25"/>
      <c r="G1088" s="27"/>
    </row>
    <row r="1089">
      <c r="A1089" s="21"/>
      <c r="B1089" s="21"/>
      <c r="D1089" s="25"/>
      <c r="E1089" s="27"/>
      <c r="F1089" s="25"/>
      <c r="G1089" s="27"/>
    </row>
    <row r="1090">
      <c r="A1090" s="21"/>
      <c r="B1090" s="21"/>
      <c r="D1090" s="25"/>
      <c r="E1090" s="27"/>
      <c r="F1090" s="25"/>
      <c r="G1090" s="27"/>
    </row>
    <row r="1091">
      <c r="A1091" s="21"/>
      <c r="B1091" s="21"/>
      <c r="D1091" s="25"/>
      <c r="E1091" s="27"/>
      <c r="F1091" s="25"/>
      <c r="G1091" s="27"/>
    </row>
    <row r="1092">
      <c r="A1092" s="21"/>
      <c r="B1092" s="21"/>
      <c r="D1092" s="25"/>
      <c r="E1092" s="27"/>
      <c r="F1092" s="25"/>
      <c r="G1092" s="27"/>
    </row>
    <row r="1093">
      <c r="A1093" s="21"/>
      <c r="B1093" s="21"/>
      <c r="D1093" s="25"/>
      <c r="E1093" s="27"/>
      <c r="F1093" s="25"/>
      <c r="G1093" s="27"/>
    </row>
    <row r="1094">
      <c r="A1094" s="21"/>
      <c r="B1094" s="21"/>
      <c r="D1094" s="25"/>
      <c r="E1094" s="27"/>
      <c r="F1094" s="25"/>
      <c r="G1094" s="27"/>
    </row>
    <row r="1095">
      <c r="A1095" s="21"/>
      <c r="B1095" s="21"/>
      <c r="D1095" s="25"/>
      <c r="E1095" s="27"/>
      <c r="F1095" s="25"/>
      <c r="G1095" s="27"/>
    </row>
    <row r="1096">
      <c r="A1096" s="21"/>
      <c r="B1096" s="21"/>
      <c r="D1096" s="25"/>
      <c r="E1096" s="27"/>
      <c r="F1096" s="25"/>
      <c r="G1096" s="27"/>
    </row>
    <row r="1097">
      <c r="A1097" s="21"/>
      <c r="B1097" s="21"/>
      <c r="D1097" s="25"/>
      <c r="E1097" s="27"/>
      <c r="F1097" s="25"/>
      <c r="G1097" s="27"/>
    </row>
    <row r="1098">
      <c r="A1098" s="21"/>
      <c r="B1098" s="21"/>
      <c r="D1098" s="25"/>
      <c r="E1098" s="27"/>
      <c r="F1098" s="25"/>
      <c r="G1098" s="27"/>
    </row>
    <row r="1099">
      <c r="A1099" s="21"/>
      <c r="B1099" s="21"/>
      <c r="D1099" s="25"/>
      <c r="E1099" s="27"/>
      <c r="F1099" s="25"/>
      <c r="G1099" s="27"/>
    </row>
    <row r="1100">
      <c r="A1100" s="21"/>
      <c r="B1100" s="21"/>
      <c r="D1100" s="25"/>
      <c r="E1100" s="27"/>
      <c r="F1100" s="25"/>
      <c r="G1100" s="27"/>
    </row>
    <row r="1101">
      <c r="A1101" s="21"/>
      <c r="B1101" s="21"/>
      <c r="D1101" s="25"/>
      <c r="E1101" s="27"/>
      <c r="F1101" s="25"/>
      <c r="G1101" s="27"/>
    </row>
    <row r="1102">
      <c r="A1102" s="21"/>
      <c r="B1102" s="21"/>
      <c r="D1102" s="25"/>
      <c r="E1102" s="27"/>
      <c r="F1102" s="25"/>
      <c r="G1102" s="27"/>
    </row>
    <row r="1103">
      <c r="A1103" s="21"/>
      <c r="B1103" s="21"/>
      <c r="D1103" s="25"/>
      <c r="E1103" s="27"/>
      <c r="F1103" s="25"/>
      <c r="G1103" s="27"/>
    </row>
    <row r="1104">
      <c r="A1104" s="21"/>
      <c r="B1104" s="21"/>
      <c r="D1104" s="25"/>
      <c r="E1104" s="27"/>
      <c r="F1104" s="25"/>
      <c r="G1104" s="27"/>
    </row>
    <row r="1105">
      <c r="A1105" s="21"/>
      <c r="B1105" s="21"/>
      <c r="D1105" s="25"/>
      <c r="E1105" s="27"/>
      <c r="F1105" s="25"/>
      <c r="G1105" s="27"/>
    </row>
    <row r="1106">
      <c r="A1106" s="21"/>
      <c r="B1106" s="21"/>
      <c r="D1106" s="25"/>
      <c r="E1106" s="27"/>
      <c r="F1106" s="25"/>
      <c r="G1106" s="27"/>
    </row>
    <row r="1107">
      <c r="A1107" s="21"/>
      <c r="B1107" s="21"/>
      <c r="D1107" s="25"/>
      <c r="E1107" s="27"/>
      <c r="F1107" s="25"/>
      <c r="G1107" s="27"/>
    </row>
    <row r="1108">
      <c r="A1108" s="21"/>
      <c r="B1108" s="21"/>
      <c r="D1108" s="25"/>
      <c r="E1108" s="27"/>
      <c r="F1108" s="25"/>
      <c r="G1108" s="27"/>
    </row>
    <row r="1109">
      <c r="A1109" s="21"/>
      <c r="B1109" s="21"/>
      <c r="D1109" s="25"/>
      <c r="E1109" s="27"/>
      <c r="F1109" s="25"/>
      <c r="G1109" s="27"/>
    </row>
    <row r="1110">
      <c r="A1110" s="21"/>
      <c r="B1110" s="21"/>
      <c r="D1110" s="25"/>
      <c r="E1110" s="27"/>
      <c r="F1110" s="25"/>
      <c r="G1110" s="27"/>
    </row>
    <row r="1111">
      <c r="A1111" s="21"/>
      <c r="B1111" s="21"/>
      <c r="D1111" s="25"/>
      <c r="E1111" s="27"/>
      <c r="F1111" s="25"/>
      <c r="G1111" s="27"/>
    </row>
    <row r="1112">
      <c r="A1112" s="21"/>
      <c r="B1112" s="21"/>
      <c r="D1112" s="25"/>
      <c r="E1112" s="27"/>
      <c r="F1112" s="25"/>
      <c r="G1112" s="27"/>
    </row>
    <row r="1113">
      <c r="A1113" s="21"/>
      <c r="B1113" s="21"/>
      <c r="D1113" s="25"/>
      <c r="E1113" s="27"/>
      <c r="F1113" s="25"/>
      <c r="G1113" s="27"/>
    </row>
    <row r="1114">
      <c r="A1114" s="21"/>
      <c r="B1114" s="21"/>
      <c r="D1114" s="25"/>
      <c r="E1114" s="27"/>
      <c r="F1114" s="25"/>
      <c r="G1114" s="27"/>
    </row>
    <row r="1115">
      <c r="A1115" s="21"/>
      <c r="B1115" s="21"/>
      <c r="D1115" s="25"/>
      <c r="E1115" s="27"/>
      <c r="F1115" s="25"/>
      <c r="G1115" s="27"/>
    </row>
    <row r="1116">
      <c r="A1116" s="21"/>
      <c r="B1116" s="21"/>
      <c r="D1116" s="25"/>
      <c r="E1116" s="27"/>
      <c r="F1116" s="25"/>
      <c r="G1116" s="27"/>
    </row>
    <row r="1117">
      <c r="A1117" s="21"/>
      <c r="B1117" s="21"/>
      <c r="D1117" s="25"/>
      <c r="E1117" s="27"/>
      <c r="F1117" s="25"/>
      <c r="G1117" s="27"/>
    </row>
    <row r="1118">
      <c r="A1118" s="21"/>
      <c r="B1118" s="21"/>
      <c r="D1118" s="25"/>
      <c r="E1118" s="27"/>
      <c r="F1118" s="25"/>
      <c r="G1118" s="27"/>
    </row>
    <row r="1119">
      <c r="A1119" s="21"/>
      <c r="B1119" s="21"/>
      <c r="D1119" s="25"/>
      <c r="E1119" s="27"/>
      <c r="F1119" s="25"/>
      <c r="G1119" s="27"/>
    </row>
    <row r="1120">
      <c r="A1120" s="21"/>
      <c r="B1120" s="21"/>
      <c r="D1120" s="25"/>
      <c r="E1120" s="27"/>
      <c r="F1120" s="25"/>
      <c r="G1120" s="27"/>
    </row>
    <row r="1121">
      <c r="A1121" s="21"/>
      <c r="B1121" s="21"/>
      <c r="D1121" s="25"/>
      <c r="E1121" s="27"/>
      <c r="F1121" s="25"/>
      <c r="G1121" s="27"/>
    </row>
    <row r="1122">
      <c r="A1122" s="21"/>
      <c r="B1122" s="21"/>
      <c r="D1122" s="25"/>
      <c r="E1122" s="27"/>
      <c r="F1122" s="25"/>
      <c r="G1122" s="27"/>
    </row>
    <row r="1123">
      <c r="A1123" s="21"/>
      <c r="B1123" s="21"/>
      <c r="D1123" s="25"/>
      <c r="E1123" s="27"/>
      <c r="F1123" s="25"/>
      <c r="G1123" s="27"/>
    </row>
    <row r="1124">
      <c r="A1124" s="21"/>
      <c r="B1124" s="21"/>
      <c r="D1124" s="25"/>
      <c r="E1124" s="27"/>
      <c r="F1124" s="25"/>
      <c r="G1124" s="27"/>
    </row>
    <row r="1125">
      <c r="A1125" s="21"/>
      <c r="B1125" s="21"/>
      <c r="D1125" s="25"/>
      <c r="E1125" s="27"/>
      <c r="F1125" s="25"/>
      <c r="G1125" s="27"/>
    </row>
    <row r="1126">
      <c r="A1126" s="21"/>
      <c r="B1126" s="21"/>
      <c r="D1126" s="25"/>
      <c r="E1126" s="27"/>
      <c r="F1126" s="25"/>
      <c r="G1126" s="27"/>
    </row>
    <row r="1127">
      <c r="A1127" s="21"/>
      <c r="B1127" s="21"/>
      <c r="D1127" s="25"/>
      <c r="E1127" s="27"/>
      <c r="F1127" s="25"/>
      <c r="G1127" s="27"/>
    </row>
    <row r="1128">
      <c r="A1128" s="21"/>
      <c r="B1128" s="21"/>
      <c r="D1128" s="25"/>
      <c r="E1128" s="27"/>
      <c r="F1128" s="25"/>
      <c r="G1128" s="27"/>
    </row>
    <row r="1129">
      <c r="A1129" s="21"/>
      <c r="B1129" s="21"/>
      <c r="D1129" s="25"/>
      <c r="E1129" s="27"/>
      <c r="F1129" s="25"/>
      <c r="G1129" s="27"/>
    </row>
    <row r="1130">
      <c r="A1130" s="21"/>
      <c r="B1130" s="21"/>
      <c r="D1130" s="25"/>
      <c r="E1130" s="27"/>
      <c r="F1130" s="25"/>
      <c r="G1130" s="27"/>
    </row>
    <row r="1131">
      <c r="A1131" s="21"/>
      <c r="B1131" s="21"/>
      <c r="D1131" s="25"/>
      <c r="E1131" s="27"/>
      <c r="F1131" s="25"/>
      <c r="G1131" s="27"/>
    </row>
    <row r="1132">
      <c r="A1132" s="21"/>
      <c r="B1132" s="21"/>
      <c r="D1132" s="25"/>
      <c r="E1132" s="27"/>
      <c r="F1132" s="25"/>
      <c r="G1132" s="27"/>
    </row>
    <row r="1133">
      <c r="A1133" s="21"/>
      <c r="B1133" s="21"/>
      <c r="D1133" s="25"/>
      <c r="E1133" s="27"/>
      <c r="F1133" s="25"/>
      <c r="G1133" s="27"/>
    </row>
    <row r="1134">
      <c r="A1134" s="21"/>
      <c r="B1134" s="21"/>
      <c r="D1134" s="25"/>
      <c r="E1134" s="27"/>
      <c r="F1134" s="25"/>
      <c r="G1134" s="27"/>
    </row>
    <row r="1135">
      <c r="A1135" s="21"/>
      <c r="B1135" s="21"/>
      <c r="D1135" s="25"/>
      <c r="E1135" s="27"/>
      <c r="F1135" s="25"/>
      <c r="G1135" s="27"/>
    </row>
    <row r="1136">
      <c r="A1136" s="21"/>
      <c r="B1136" s="21"/>
      <c r="D1136" s="25"/>
      <c r="E1136" s="27"/>
      <c r="F1136" s="25"/>
      <c r="G1136" s="27"/>
    </row>
    <row r="1137">
      <c r="A1137" s="21"/>
      <c r="B1137" s="21"/>
      <c r="D1137" s="25"/>
      <c r="E1137" s="27"/>
      <c r="F1137" s="25"/>
      <c r="G1137" s="27"/>
    </row>
    <row r="1138">
      <c r="A1138" s="21"/>
      <c r="B1138" s="21"/>
      <c r="D1138" s="25"/>
      <c r="E1138" s="27"/>
      <c r="F1138" s="25"/>
      <c r="G1138" s="27"/>
    </row>
    <row r="1139">
      <c r="A1139" s="21"/>
      <c r="B1139" s="21"/>
      <c r="D1139" s="25"/>
      <c r="E1139" s="27"/>
      <c r="F1139" s="25"/>
      <c r="G1139" s="27"/>
    </row>
    <row r="1140">
      <c r="A1140" s="21"/>
      <c r="B1140" s="21"/>
      <c r="D1140" s="25"/>
      <c r="E1140" s="27"/>
      <c r="F1140" s="25"/>
      <c r="G1140" s="27"/>
    </row>
    <row r="1141">
      <c r="A1141" s="21"/>
      <c r="B1141" s="21"/>
      <c r="D1141" s="25"/>
      <c r="E1141" s="27"/>
      <c r="F1141" s="25"/>
      <c r="G1141" s="27"/>
    </row>
    <row r="1142">
      <c r="A1142" s="21"/>
      <c r="B1142" s="21"/>
      <c r="D1142" s="25"/>
      <c r="E1142" s="27"/>
      <c r="F1142" s="25"/>
      <c r="G1142" s="27"/>
    </row>
    <row r="1143">
      <c r="A1143" s="21"/>
      <c r="B1143" s="21"/>
      <c r="D1143" s="25"/>
      <c r="E1143" s="27"/>
      <c r="F1143" s="25"/>
      <c r="G1143" s="27"/>
    </row>
    <row r="1144">
      <c r="A1144" s="21"/>
      <c r="B1144" s="21"/>
      <c r="D1144" s="25"/>
      <c r="E1144" s="27"/>
      <c r="F1144" s="25"/>
      <c r="G1144" s="27"/>
    </row>
    <row r="1145">
      <c r="A1145" s="21"/>
      <c r="B1145" s="21"/>
      <c r="D1145" s="25"/>
      <c r="E1145" s="27"/>
      <c r="F1145" s="25"/>
      <c r="G1145" s="27"/>
    </row>
    <row r="1146">
      <c r="A1146" s="21"/>
      <c r="B1146" s="21"/>
      <c r="D1146" s="25"/>
      <c r="E1146" s="27"/>
      <c r="F1146" s="25"/>
      <c r="G1146" s="27"/>
    </row>
    <row r="1147">
      <c r="A1147" s="21"/>
      <c r="B1147" s="21"/>
      <c r="D1147" s="25"/>
      <c r="E1147" s="27"/>
      <c r="F1147" s="25"/>
      <c r="G1147" s="27"/>
    </row>
    <row r="1148">
      <c r="A1148" s="21"/>
      <c r="B1148" s="21"/>
      <c r="D1148" s="25"/>
      <c r="E1148" s="27"/>
      <c r="F1148" s="25"/>
      <c r="G1148" s="27"/>
    </row>
    <row r="1149">
      <c r="A1149" s="21"/>
      <c r="B1149" s="21"/>
      <c r="D1149" s="25"/>
      <c r="E1149" s="27"/>
      <c r="F1149" s="25"/>
      <c r="G1149" s="27"/>
    </row>
    <row r="1150">
      <c r="A1150" s="21"/>
      <c r="B1150" s="21"/>
      <c r="D1150" s="25"/>
      <c r="E1150" s="27"/>
      <c r="F1150" s="25"/>
      <c r="G1150" s="27"/>
    </row>
    <row r="1151">
      <c r="A1151" s="21"/>
      <c r="B1151" s="21"/>
      <c r="D1151" s="25"/>
      <c r="E1151" s="27"/>
      <c r="F1151" s="25"/>
      <c r="G1151" s="27"/>
    </row>
    <row r="1152">
      <c r="A1152" s="21"/>
      <c r="B1152" s="21"/>
      <c r="D1152" s="25"/>
      <c r="E1152" s="27"/>
      <c r="F1152" s="25"/>
      <c r="G1152" s="27"/>
    </row>
    <row r="1153">
      <c r="A1153" s="21"/>
      <c r="B1153" s="21"/>
      <c r="D1153" s="25"/>
      <c r="E1153" s="27"/>
      <c r="F1153" s="25"/>
      <c r="G1153" s="27"/>
    </row>
    <row r="1154">
      <c r="A1154" s="21"/>
      <c r="B1154" s="21"/>
      <c r="D1154" s="25"/>
      <c r="E1154" s="27"/>
      <c r="F1154" s="25"/>
      <c r="G1154" s="27"/>
    </row>
    <row r="1155">
      <c r="A1155" s="21"/>
      <c r="B1155" s="21"/>
      <c r="D1155" s="25"/>
      <c r="E1155" s="27"/>
      <c r="F1155" s="25"/>
      <c r="G1155" s="27"/>
    </row>
    <row r="1156">
      <c r="A1156" s="21"/>
      <c r="B1156" s="21"/>
      <c r="D1156" s="25"/>
      <c r="E1156" s="27"/>
      <c r="F1156" s="25"/>
      <c r="G1156" s="27"/>
    </row>
    <row r="1157">
      <c r="A1157" s="21"/>
      <c r="B1157" s="21"/>
      <c r="D1157" s="25"/>
      <c r="E1157" s="27"/>
      <c r="F1157" s="25"/>
      <c r="G1157" s="27"/>
    </row>
    <row r="1158">
      <c r="A1158" s="21"/>
      <c r="B1158" s="21"/>
      <c r="D1158" s="25"/>
      <c r="E1158" s="27"/>
      <c r="F1158" s="25"/>
      <c r="G1158" s="27"/>
    </row>
    <row r="1159">
      <c r="A1159" s="21"/>
      <c r="B1159" s="21"/>
      <c r="D1159" s="25"/>
      <c r="E1159" s="27"/>
      <c r="F1159" s="25"/>
      <c r="G1159" s="27"/>
    </row>
    <row r="1160">
      <c r="A1160" s="21"/>
      <c r="B1160" s="21"/>
      <c r="D1160" s="25"/>
      <c r="E1160" s="27"/>
      <c r="F1160" s="25"/>
      <c r="G1160" s="27"/>
    </row>
    <row r="1161">
      <c r="A1161" s="21"/>
      <c r="B1161" s="21"/>
      <c r="D1161" s="25"/>
      <c r="E1161" s="27"/>
      <c r="F1161" s="25"/>
      <c r="G1161" s="27"/>
    </row>
    <row r="1162">
      <c r="A1162" s="21"/>
      <c r="B1162" s="21"/>
      <c r="D1162" s="25"/>
      <c r="E1162" s="27"/>
      <c r="F1162" s="25"/>
      <c r="G1162" s="27"/>
    </row>
    <row r="1163">
      <c r="A1163" s="21"/>
      <c r="B1163" s="21"/>
      <c r="D1163" s="25"/>
      <c r="E1163" s="27"/>
      <c r="F1163" s="25"/>
      <c r="G1163" s="27"/>
    </row>
    <row r="1164">
      <c r="A1164" s="21"/>
      <c r="B1164" s="21"/>
      <c r="D1164" s="25"/>
      <c r="E1164" s="27"/>
      <c r="F1164" s="25"/>
      <c r="G1164" s="27"/>
    </row>
    <row r="1165">
      <c r="A1165" s="21"/>
      <c r="B1165" s="21"/>
      <c r="D1165" s="25"/>
      <c r="E1165" s="27"/>
      <c r="F1165" s="25"/>
      <c r="G1165" s="27"/>
    </row>
    <row r="1166">
      <c r="A1166" s="21"/>
      <c r="B1166" s="21"/>
      <c r="D1166" s="25"/>
      <c r="E1166" s="27"/>
      <c r="F1166" s="25"/>
      <c r="G1166" s="27"/>
    </row>
    <row r="1167">
      <c r="A1167" s="21"/>
      <c r="B1167" s="21"/>
      <c r="D1167" s="25"/>
      <c r="E1167" s="27"/>
      <c r="F1167" s="25"/>
      <c r="G1167" s="27"/>
    </row>
    <row r="1168">
      <c r="A1168" s="21"/>
      <c r="B1168" s="21"/>
      <c r="D1168" s="25"/>
      <c r="E1168" s="27"/>
      <c r="F1168" s="25"/>
      <c r="G1168" s="27"/>
    </row>
    <row r="1169">
      <c r="A1169" s="21"/>
      <c r="B1169" s="21"/>
      <c r="D1169" s="25"/>
      <c r="E1169" s="27"/>
      <c r="F1169" s="25"/>
      <c r="G1169" s="27"/>
    </row>
    <row r="1170">
      <c r="A1170" s="21"/>
      <c r="B1170" s="21"/>
      <c r="D1170" s="25"/>
      <c r="E1170" s="27"/>
      <c r="F1170" s="25"/>
      <c r="G1170" s="27"/>
    </row>
    <row r="1171">
      <c r="A1171" s="21"/>
      <c r="B1171" s="21"/>
      <c r="D1171" s="25"/>
      <c r="E1171" s="27"/>
      <c r="F1171" s="25"/>
      <c r="G1171" s="27"/>
    </row>
    <row r="1172">
      <c r="A1172" s="21"/>
      <c r="B1172" s="21"/>
      <c r="D1172" s="25"/>
      <c r="E1172" s="27"/>
      <c r="F1172" s="25"/>
      <c r="G1172" s="27"/>
    </row>
    <row r="1173">
      <c r="A1173" s="21"/>
      <c r="B1173" s="21"/>
      <c r="D1173" s="25"/>
      <c r="E1173" s="27"/>
      <c r="F1173" s="25"/>
      <c r="G1173" s="27"/>
    </row>
    <row r="1174">
      <c r="A1174" s="21"/>
      <c r="B1174" s="21"/>
      <c r="D1174" s="25"/>
      <c r="E1174" s="27"/>
      <c r="F1174" s="25"/>
      <c r="G1174" s="27"/>
    </row>
    <row r="1175">
      <c r="A1175" s="21"/>
      <c r="B1175" s="21"/>
      <c r="D1175" s="25"/>
      <c r="E1175" s="27"/>
      <c r="F1175" s="25"/>
      <c r="G1175" s="27"/>
    </row>
    <row r="1176">
      <c r="A1176" s="21"/>
      <c r="B1176" s="21"/>
      <c r="D1176" s="25"/>
      <c r="E1176" s="27"/>
      <c r="F1176" s="25"/>
      <c r="G1176" s="27"/>
    </row>
    <row r="1177">
      <c r="A1177" s="21"/>
      <c r="B1177" s="21"/>
      <c r="D1177" s="25"/>
      <c r="E1177" s="27"/>
      <c r="F1177" s="25"/>
      <c r="G1177" s="27"/>
    </row>
    <row r="1178">
      <c r="A1178" s="21"/>
      <c r="B1178" s="21"/>
      <c r="D1178" s="25"/>
      <c r="E1178" s="27"/>
      <c r="F1178" s="25"/>
      <c r="G1178" s="27"/>
    </row>
    <row r="1179">
      <c r="A1179" s="21"/>
      <c r="B1179" s="21"/>
      <c r="D1179" s="25"/>
      <c r="E1179" s="27"/>
      <c r="F1179" s="25"/>
      <c r="G1179" s="27"/>
    </row>
    <row r="1180">
      <c r="A1180" s="21"/>
      <c r="B1180" s="21"/>
      <c r="D1180" s="25"/>
      <c r="E1180" s="27"/>
      <c r="F1180" s="25"/>
      <c r="G1180" s="27"/>
    </row>
    <row r="1181">
      <c r="A1181" s="21"/>
      <c r="B1181" s="21"/>
      <c r="D1181" s="25"/>
      <c r="E1181" s="27"/>
      <c r="F1181" s="25"/>
      <c r="G1181" s="27"/>
    </row>
    <row r="1182">
      <c r="A1182" s="21"/>
      <c r="B1182" s="21"/>
      <c r="D1182" s="25"/>
      <c r="E1182" s="27"/>
      <c r="F1182" s="25"/>
      <c r="G1182" s="27"/>
    </row>
    <row r="1183">
      <c r="A1183" s="21"/>
      <c r="B1183" s="21"/>
      <c r="D1183" s="25"/>
      <c r="E1183" s="27"/>
      <c r="F1183" s="25"/>
      <c r="G1183" s="27"/>
    </row>
    <row r="1184">
      <c r="A1184" s="21"/>
      <c r="B1184" s="21"/>
      <c r="D1184" s="25"/>
      <c r="E1184" s="27"/>
      <c r="F1184" s="25"/>
      <c r="G1184" s="27"/>
    </row>
    <row r="1185">
      <c r="A1185" s="21"/>
      <c r="B1185" s="21"/>
      <c r="D1185" s="25"/>
      <c r="E1185" s="27"/>
      <c r="F1185" s="25"/>
      <c r="G1185" s="27"/>
    </row>
    <row r="1186">
      <c r="A1186" s="21"/>
      <c r="B1186" s="21"/>
      <c r="D1186" s="25"/>
      <c r="E1186" s="27"/>
      <c r="F1186" s="25"/>
      <c r="G1186" s="27"/>
    </row>
    <row r="1187">
      <c r="A1187" s="21"/>
      <c r="B1187" s="21"/>
      <c r="D1187" s="25"/>
      <c r="E1187" s="27"/>
      <c r="F1187" s="25"/>
      <c r="G1187" s="27"/>
    </row>
    <row r="1188">
      <c r="A1188" s="21"/>
      <c r="B1188" s="21"/>
      <c r="D1188" s="25"/>
      <c r="E1188" s="27"/>
      <c r="F1188" s="25"/>
      <c r="G1188" s="27"/>
    </row>
    <row r="1189">
      <c r="A1189" s="21"/>
      <c r="B1189" s="21"/>
      <c r="D1189" s="25"/>
      <c r="E1189" s="27"/>
      <c r="F1189" s="25"/>
      <c r="G1189" s="27"/>
    </row>
    <row r="1190">
      <c r="A1190" s="21"/>
      <c r="B1190" s="21"/>
      <c r="D1190" s="25"/>
      <c r="E1190" s="27"/>
      <c r="F1190" s="25"/>
      <c r="G1190" s="27"/>
    </row>
    <row r="1191">
      <c r="A1191" s="21"/>
      <c r="B1191" s="21"/>
      <c r="D1191" s="25"/>
      <c r="E1191" s="27"/>
      <c r="F1191" s="25"/>
      <c r="G1191" s="27"/>
    </row>
    <row r="1192">
      <c r="A1192" s="21"/>
      <c r="B1192" s="21"/>
      <c r="D1192" s="25"/>
      <c r="E1192" s="27"/>
      <c r="F1192" s="25"/>
      <c r="G1192" s="27"/>
    </row>
    <row r="1193">
      <c r="A1193" s="21"/>
      <c r="B1193" s="21"/>
      <c r="D1193" s="25"/>
      <c r="E1193" s="27"/>
      <c r="F1193" s="25"/>
      <c r="G1193" s="27"/>
    </row>
    <row r="1194">
      <c r="A1194" s="21"/>
      <c r="B1194" s="21"/>
      <c r="D1194" s="25"/>
      <c r="E1194" s="27"/>
      <c r="F1194" s="25"/>
      <c r="G1194" s="27"/>
    </row>
    <row r="1195">
      <c r="A1195" s="21"/>
      <c r="B1195" s="21"/>
      <c r="D1195" s="25"/>
      <c r="E1195" s="27"/>
      <c r="F1195" s="25"/>
      <c r="G1195" s="27"/>
    </row>
    <row r="1196">
      <c r="A1196" s="21"/>
      <c r="B1196" s="21"/>
      <c r="D1196" s="25"/>
      <c r="E1196" s="27"/>
      <c r="F1196" s="25"/>
      <c r="G1196" s="27"/>
    </row>
    <row r="1197">
      <c r="A1197" s="21"/>
      <c r="B1197" s="21"/>
      <c r="D1197" s="25"/>
      <c r="E1197" s="27"/>
      <c r="F1197" s="25"/>
      <c r="G1197" s="27"/>
    </row>
    <row r="1198">
      <c r="A1198" s="21"/>
      <c r="B1198" s="21"/>
      <c r="D1198" s="25"/>
      <c r="E1198" s="27"/>
      <c r="F1198" s="25"/>
      <c r="G1198" s="27"/>
    </row>
    <row r="1199">
      <c r="A1199" s="21"/>
      <c r="B1199" s="21"/>
      <c r="D1199" s="25"/>
      <c r="E1199" s="27"/>
      <c r="F1199" s="25"/>
      <c r="G1199" s="27"/>
    </row>
    <row r="1200">
      <c r="A1200" s="21"/>
      <c r="B1200" s="21"/>
      <c r="D1200" s="25"/>
      <c r="E1200" s="27"/>
      <c r="F1200" s="25"/>
      <c r="G1200" s="27"/>
    </row>
    <row r="1201">
      <c r="A1201" s="21"/>
      <c r="B1201" s="21"/>
      <c r="D1201" s="25"/>
      <c r="E1201" s="27"/>
      <c r="F1201" s="25"/>
      <c r="G1201" s="27"/>
    </row>
    <row r="1202">
      <c r="A1202" s="21"/>
      <c r="B1202" s="21"/>
      <c r="D1202" s="25"/>
      <c r="E1202" s="27"/>
      <c r="F1202" s="25"/>
      <c r="G1202" s="27"/>
    </row>
    <row r="1203">
      <c r="A1203" s="21"/>
      <c r="B1203" s="21"/>
      <c r="D1203" s="25"/>
      <c r="E1203" s="27"/>
      <c r="F1203" s="25"/>
      <c r="G1203" s="27"/>
    </row>
    <row r="1204">
      <c r="A1204" s="21"/>
      <c r="B1204" s="21"/>
      <c r="D1204" s="25"/>
      <c r="E1204" s="27"/>
      <c r="F1204" s="25"/>
      <c r="G1204" s="27"/>
    </row>
    <row r="1205">
      <c r="A1205" s="21"/>
      <c r="B1205" s="21"/>
      <c r="D1205" s="25"/>
      <c r="E1205" s="27"/>
      <c r="F1205" s="25"/>
      <c r="G1205" s="27"/>
    </row>
    <row r="1206">
      <c r="A1206" s="21"/>
      <c r="B1206" s="21"/>
      <c r="D1206" s="25"/>
      <c r="E1206" s="27"/>
      <c r="F1206" s="25"/>
      <c r="G1206" s="27"/>
    </row>
    <row r="1207">
      <c r="A1207" s="21"/>
      <c r="B1207" s="21"/>
      <c r="D1207" s="25"/>
      <c r="E1207" s="27"/>
      <c r="F1207" s="25"/>
      <c r="G1207" s="27"/>
    </row>
    <row r="1208">
      <c r="A1208" s="21"/>
      <c r="B1208" s="21"/>
      <c r="D1208" s="25"/>
      <c r="E1208" s="27"/>
      <c r="F1208" s="25"/>
      <c r="G1208" s="27"/>
    </row>
    <row r="1209">
      <c r="A1209" s="21"/>
      <c r="B1209" s="21"/>
      <c r="D1209" s="25"/>
      <c r="E1209" s="27"/>
      <c r="F1209" s="25"/>
      <c r="G1209" s="27"/>
    </row>
    <row r="1210">
      <c r="A1210" s="21"/>
      <c r="B1210" s="21"/>
      <c r="D1210" s="25"/>
      <c r="E1210" s="27"/>
      <c r="F1210" s="25"/>
      <c r="G1210" s="27"/>
    </row>
    <row r="1211">
      <c r="A1211" s="21"/>
      <c r="B1211" s="21"/>
      <c r="D1211" s="25"/>
      <c r="E1211" s="27"/>
      <c r="F1211" s="25"/>
      <c r="G1211" s="27"/>
    </row>
    <row r="1212">
      <c r="A1212" s="21"/>
      <c r="B1212" s="21"/>
      <c r="D1212" s="25"/>
      <c r="E1212" s="27"/>
      <c r="F1212" s="25"/>
      <c r="G1212" s="27"/>
    </row>
    <row r="1213">
      <c r="A1213" s="21"/>
      <c r="B1213" s="21"/>
      <c r="D1213" s="25"/>
      <c r="E1213" s="27"/>
      <c r="F1213" s="25"/>
      <c r="G1213" s="27"/>
    </row>
    <row r="1214">
      <c r="A1214" s="21"/>
      <c r="B1214" s="21"/>
      <c r="D1214" s="25"/>
      <c r="E1214" s="27"/>
      <c r="F1214" s="25"/>
      <c r="G1214" s="27"/>
    </row>
    <row r="1215">
      <c r="A1215" s="21"/>
      <c r="B1215" s="21"/>
      <c r="D1215" s="25"/>
      <c r="E1215" s="27"/>
      <c r="F1215" s="25"/>
      <c r="G1215" s="27"/>
    </row>
    <row r="1216">
      <c r="A1216" s="21"/>
      <c r="B1216" s="21"/>
      <c r="D1216" s="25"/>
      <c r="E1216" s="27"/>
      <c r="F1216" s="25"/>
      <c r="G1216" s="27"/>
    </row>
    <row r="1217">
      <c r="A1217" s="21"/>
      <c r="B1217" s="21"/>
      <c r="D1217" s="25"/>
      <c r="E1217" s="27"/>
      <c r="F1217" s="25"/>
      <c r="G1217" s="27"/>
    </row>
    <row r="1218">
      <c r="A1218" s="21"/>
      <c r="B1218" s="21"/>
      <c r="D1218" s="25"/>
      <c r="E1218" s="27"/>
      <c r="F1218" s="25"/>
      <c r="G1218" s="27"/>
    </row>
    <row r="1219">
      <c r="A1219" s="21"/>
      <c r="B1219" s="21"/>
      <c r="D1219" s="25"/>
      <c r="E1219" s="27"/>
      <c r="F1219" s="25"/>
      <c r="G1219" s="27"/>
    </row>
    <row r="1220">
      <c r="A1220" s="21"/>
      <c r="B1220" s="21"/>
      <c r="D1220" s="25"/>
      <c r="E1220" s="27"/>
      <c r="F1220" s="25"/>
      <c r="G1220" s="27"/>
    </row>
    <row r="1221">
      <c r="A1221" s="21"/>
      <c r="B1221" s="21"/>
      <c r="D1221" s="25"/>
      <c r="E1221" s="27"/>
      <c r="F1221" s="25"/>
      <c r="G1221" s="27"/>
    </row>
    <row r="1222">
      <c r="A1222" s="21"/>
      <c r="B1222" s="21"/>
      <c r="D1222" s="25"/>
      <c r="E1222" s="27"/>
      <c r="F1222" s="25"/>
      <c r="G1222" s="27"/>
    </row>
    <row r="1223">
      <c r="A1223" s="21"/>
      <c r="B1223" s="21"/>
      <c r="D1223" s="25"/>
      <c r="E1223" s="27"/>
      <c r="F1223" s="25"/>
      <c r="G1223" s="27"/>
    </row>
    <row r="1224">
      <c r="A1224" s="21"/>
      <c r="B1224" s="21"/>
      <c r="D1224" s="25"/>
      <c r="E1224" s="27"/>
      <c r="F1224" s="25"/>
      <c r="G1224" s="27"/>
    </row>
    <row r="1225">
      <c r="A1225" s="21"/>
      <c r="B1225" s="21"/>
      <c r="D1225" s="25"/>
      <c r="E1225" s="27"/>
      <c r="F1225" s="25"/>
      <c r="G1225" s="27"/>
    </row>
    <row r="1226">
      <c r="A1226" s="21"/>
      <c r="B1226" s="21"/>
      <c r="D1226" s="25"/>
      <c r="E1226" s="27"/>
      <c r="F1226" s="25"/>
      <c r="G1226" s="27"/>
    </row>
    <row r="1227">
      <c r="A1227" s="21"/>
      <c r="B1227" s="21"/>
      <c r="D1227" s="25"/>
      <c r="E1227" s="27"/>
      <c r="F1227" s="25"/>
      <c r="G1227" s="27"/>
    </row>
    <row r="1228">
      <c r="A1228" s="21"/>
      <c r="B1228" s="21"/>
      <c r="D1228" s="25"/>
      <c r="E1228" s="27"/>
      <c r="F1228" s="25"/>
      <c r="G1228" s="27"/>
    </row>
    <row r="1229">
      <c r="A1229" s="21"/>
      <c r="B1229" s="21"/>
      <c r="D1229" s="25"/>
      <c r="E1229" s="27"/>
      <c r="F1229" s="25"/>
      <c r="G1229" s="27"/>
    </row>
    <row r="1230">
      <c r="A1230" s="21"/>
      <c r="B1230" s="21"/>
      <c r="D1230" s="25"/>
      <c r="E1230" s="27"/>
      <c r="F1230" s="25"/>
      <c r="G1230" s="27"/>
    </row>
    <row r="1231">
      <c r="A1231" s="21"/>
      <c r="B1231" s="21"/>
      <c r="D1231" s="25"/>
      <c r="E1231" s="27"/>
      <c r="F1231" s="25"/>
      <c r="G1231" s="27"/>
    </row>
    <row r="1232">
      <c r="A1232" s="21"/>
      <c r="B1232" s="21"/>
      <c r="D1232" s="25"/>
      <c r="E1232" s="27"/>
      <c r="F1232" s="25"/>
      <c r="G1232" s="27"/>
    </row>
    <row r="1233">
      <c r="A1233" s="21"/>
      <c r="B1233" s="21"/>
      <c r="D1233" s="25"/>
      <c r="E1233" s="27"/>
      <c r="F1233" s="25"/>
      <c r="G1233" s="27"/>
    </row>
    <row r="1234">
      <c r="A1234" s="21"/>
      <c r="B1234" s="21"/>
      <c r="D1234" s="25"/>
      <c r="E1234" s="27"/>
      <c r="F1234" s="25"/>
      <c r="G1234" s="27"/>
    </row>
    <row r="1235">
      <c r="A1235" s="21"/>
      <c r="B1235" s="21"/>
      <c r="D1235" s="25"/>
      <c r="E1235" s="27"/>
      <c r="F1235" s="25"/>
      <c r="G1235" s="27"/>
    </row>
    <row r="1236">
      <c r="A1236" s="21"/>
      <c r="B1236" s="21"/>
      <c r="D1236" s="25"/>
      <c r="E1236" s="27"/>
      <c r="F1236" s="25"/>
      <c r="G1236" s="27"/>
    </row>
    <row r="1237">
      <c r="A1237" s="21"/>
      <c r="B1237" s="21"/>
      <c r="D1237" s="25"/>
      <c r="E1237" s="27"/>
      <c r="F1237" s="25"/>
      <c r="G1237" s="27"/>
    </row>
    <row r="1238">
      <c r="A1238" s="21"/>
      <c r="B1238" s="21"/>
      <c r="D1238" s="25"/>
      <c r="E1238" s="27"/>
      <c r="F1238" s="25"/>
      <c r="G1238" s="27"/>
    </row>
    <row r="1239">
      <c r="A1239" s="21"/>
      <c r="B1239" s="21"/>
      <c r="D1239" s="25"/>
      <c r="E1239" s="27"/>
      <c r="F1239" s="25"/>
      <c r="G1239" s="27"/>
    </row>
    <row r="1240">
      <c r="A1240" s="21"/>
      <c r="B1240" s="21"/>
      <c r="D1240" s="25"/>
      <c r="E1240" s="27"/>
      <c r="F1240" s="25"/>
      <c r="G1240" s="27"/>
    </row>
    <row r="1241">
      <c r="A1241" s="21"/>
      <c r="B1241" s="21"/>
      <c r="D1241" s="25"/>
      <c r="E1241" s="27"/>
      <c r="F1241" s="25"/>
      <c r="G1241" s="27"/>
    </row>
    <row r="1242">
      <c r="A1242" s="21"/>
      <c r="B1242" s="21"/>
      <c r="D1242" s="25"/>
      <c r="E1242" s="27"/>
      <c r="F1242" s="25"/>
      <c r="G1242" s="27"/>
    </row>
    <row r="1243">
      <c r="A1243" s="21"/>
      <c r="B1243" s="21"/>
      <c r="D1243" s="25"/>
      <c r="E1243" s="27"/>
      <c r="F1243" s="25"/>
      <c r="G1243" s="27"/>
    </row>
    <row r="1244">
      <c r="A1244" s="21"/>
      <c r="B1244" s="21"/>
      <c r="D1244" s="25"/>
      <c r="E1244" s="27"/>
      <c r="F1244" s="25"/>
      <c r="G1244" s="27"/>
    </row>
    <row r="1245">
      <c r="A1245" s="21"/>
      <c r="B1245" s="21"/>
      <c r="D1245" s="25"/>
      <c r="E1245" s="27"/>
      <c r="F1245" s="25"/>
      <c r="G1245" s="27"/>
    </row>
    <row r="1246">
      <c r="A1246" s="21"/>
      <c r="B1246" s="21"/>
      <c r="D1246" s="25"/>
      <c r="E1246" s="27"/>
      <c r="F1246" s="25"/>
      <c r="G1246" s="27"/>
    </row>
    <row r="1247">
      <c r="A1247" s="21"/>
      <c r="B1247" s="21"/>
      <c r="D1247" s="25"/>
      <c r="E1247" s="27"/>
      <c r="F1247" s="25"/>
      <c r="G1247" s="27"/>
    </row>
    <row r="1248">
      <c r="A1248" s="21"/>
      <c r="B1248" s="21"/>
      <c r="D1248" s="25"/>
      <c r="E1248" s="27"/>
      <c r="F1248" s="25"/>
      <c r="G1248" s="27"/>
    </row>
    <row r="1249">
      <c r="A1249" s="21"/>
      <c r="B1249" s="21"/>
      <c r="D1249" s="25"/>
      <c r="E1249" s="27"/>
      <c r="F1249" s="25"/>
      <c r="G1249" s="27"/>
    </row>
    <row r="1250">
      <c r="A1250" s="21"/>
      <c r="B1250" s="21"/>
      <c r="D1250" s="25"/>
      <c r="E1250" s="27"/>
      <c r="F1250" s="25"/>
      <c r="G1250" s="27"/>
    </row>
    <row r="1251">
      <c r="A1251" s="21"/>
      <c r="B1251" s="21"/>
      <c r="D1251" s="25"/>
      <c r="E1251" s="27"/>
      <c r="F1251" s="25"/>
      <c r="G1251" s="27"/>
    </row>
    <row r="1252">
      <c r="A1252" s="21"/>
      <c r="B1252" s="21"/>
      <c r="D1252" s="25"/>
      <c r="E1252" s="27"/>
      <c r="F1252" s="25"/>
      <c r="G1252" s="27"/>
    </row>
    <row r="1253">
      <c r="A1253" s="21"/>
      <c r="B1253" s="21"/>
      <c r="D1253" s="25"/>
      <c r="E1253" s="27"/>
      <c r="F1253" s="25"/>
      <c r="G1253" s="27"/>
    </row>
    <row r="1254">
      <c r="A1254" s="21"/>
      <c r="B1254" s="21"/>
      <c r="D1254" s="25"/>
      <c r="E1254" s="27"/>
      <c r="F1254" s="25"/>
      <c r="G1254" s="27"/>
    </row>
    <row r="1255">
      <c r="A1255" s="21"/>
      <c r="B1255" s="21"/>
      <c r="D1255" s="25"/>
      <c r="E1255" s="27"/>
      <c r="F1255" s="25"/>
      <c r="G1255" s="27"/>
    </row>
    <row r="1256">
      <c r="A1256" s="21"/>
      <c r="B1256" s="21"/>
      <c r="D1256" s="25"/>
      <c r="E1256" s="27"/>
      <c r="F1256" s="25"/>
      <c r="G1256" s="27"/>
    </row>
    <row r="1257">
      <c r="A1257" s="21"/>
      <c r="B1257" s="21"/>
      <c r="D1257" s="25"/>
      <c r="E1257" s="27"/>
      <c r="F1257" s="25"/>
      <c r="G1257" s="27"/>
    </row>
    <row r="1258">
      <c r="A1258" s="21"/>
      <c r="B1258" s="21"/>
      <c r="D1258" s="25"/>
      <c r="E1258" s="27"/>
      <c r="F1258" s="25"/>
      <c r="G1258" s="27"/>
    </row>
    <row r="1259">
      <c r="A1259" s="21"/>
      <c r="B1259" s="21"/>
      <c r="D1259" s="25"/>
      <c r="E1259" s="27"/>
      <c r="F1259" s="25"/>
      <c r="G1259" s="27"/>
    </row>
    <row r="1260">
      <c r="A1260" s="21"/>
      <c r="B1260" s="21"/>
      <c r="D1260" s="25"/>
      <c r="E1260" s="27"/>
      <c r="F1260" s="25"/>
      <c r="G1260" s="27"/>
    </row>
    <row r="1261">
      <c r="A1261" s="21"/>
      <c r="B1261" s="21"/>
      <c r="D1261" s="25"/>
      <c r="E1261" s="27"/>
      <c r="F1261" s="25"/>
      <c r="G1261" s="27"/>
    </row>
    <row r="1262">
      <c r="A1262" s="21"/>
      <c r="B1262" s="21"/>
      <c r="D1262" s="25"/>
      <c r="E1262" s="27"/>
      <c r="F1262" s="25"/>
      <c r="G1262" s="27"/>
    </row>
    <row r="1263">
      <c r="A1263" s="21"/>
      <c r="B1263" s="21"/>
      <c r="D1263" s="25"/>
      <c r="E1263" s="27"/>
      <c r="F1263" s="25"/>
      <c r="G1263" s="27"/>
    </row>
    <row r="1264">
      <c r="A1264" s="21"/>
      <c r="B1264" s="21"/>
      <c r="D1264" s="25"/>
      <c r="E1264" s="27"/>
      <c r="F1264" s="25"/>
      <c r="G1264" s="27"/>
    </row>
    <row r="1265">
      <c r="A1265" s="21"/>
      <c r="B1265" s="21"/>
      <c r="D1265" s="25"/>
      <c r="E1265" s="27"/>
      <c r="F1265" s="25"/>
      <c r="G1265" s="27"/>
    </row>
    <row r="1266">
      <c r="A1266" s="21"/>
      <c r="B1266" s="21"/>
      <c r="D1266" s="25"/>
      <c r="E1266" s="27"/>
      <c r="F1266" s="25"/>
      <c r="G1266" s="27"/>
    </row>
    <row r="1267">
      <c r="A1267" s="21"/>
      <c r="B1267" s="21"/>
      <c r="D1267" s="25"/>
      <c r="E1267" s="27"/>
      <c r="F1267" s="25"/>
      <c r="G1267" s="27"/>
    </row>
    <row r="1268">
      <c r="A1268" s="21"/>
      <c r="B1268" s="21"/>
      <c r="D1268" s="25"/>
      <c r="E1268" s="27"/>
      <c r="F1268" s="25"/>
      <c r="G1268" s="27"/>
    </row>
    <row r="1269">
      <c r="A1269" s="21"/>
      <c r="B1269" s="21"/>
      <c r="D1269" s="25"/>
      <c r="E1269" s="27"/>
      <c r="F1269" s="25"/>
      <c r="G1269" s="27"/>
    </row>
    <row r="1270">
      <c r="A1270" s="21"/>
      <c r="B1270" s="21"/>
      <c r="D1270" s="25"/>
      <c r="E1270" s="27"/>
      <c r="F1270" s="25"/>
      <c r="G1270" s="27"/>
    </row>
    <row r="1271">
      <c r="A1271" s="21"/>
      <c r="B1271" s="21"/>
      <c r="D1271" s="25"/>
      <c r="E1271" s="27"/>
      <c r="F1271" s="25"/>
      <c r="G1271" s="27"/>
    </row>
    <row r="1272">
      <c r="A1272" s="21"/>
      <c r="B1272" s="21"/>
      <c r="D1272" s="25"/>
      <c r="E1272" s="27"/>
      <c r="F1272" s="25"/>
      <c r="G1272" s="27"/>
    </row>
    <row r="1273">
      <c r="A1273" s="21"/>
      <c r="B1273" s="21"/>
      <c r="D1273" s="25"/>
      <c r="E1273" s="27"/>
      <c r="F1273" s="25"/>
      <c r="G1273" s="27"/>
    </row>
    <row r="1274">
      <c r="A1274" s="21"/>
      <c r="B1274" s="21"/>
      <c r="D1274" s="25"/>
      <c r="E1274" s="27"/>
      <c r="F1274" s="25"/>
      <c r="G1274" s="27"/>
    </row>
    <row r="1275">
      <c r="A1275" s="21"/>
      <c r="B1275" s="21"/>
      <c r="D1275" s="25"/>
      <c r="E1275" s="27"/>
      <c r="F1275" s="25"/>
      <c r="G1275" s="27"/>
    </row>
    <row r="1276">
      <c r="A1276" s="21"/>
      <c r="B1276" s="21"/>
      <c r="D1276" s="25"/>
      <c r="E1276" s="27"/>
      <c r="F1276" s="25"/>
      <c r="G1276" s="27"/>
    </row>
    <row r="1277">
      <c r="A1277" s="21"/>
      <c r="B1277" s="21"/>
      <c r="D1277" s="25"/>
      <c r="E1277" s="27"/>
      <c r="F1277" s="25"/>
      <c r="G1277" s="27"/>
    </row>
    <row r="1278">
      <c r="A1278" s="21"/>
      <c r="B1278" s="21"/>
      <c r="D1278" s="25"/>
      <c r="E1278" s="27"/>
      <c r="F1278" s="25"/>
      <c r="G1278" s="27"/>
    </row>
    <row r="1279">
      <c r="A1279" s="21"/>
      <c r="B1279" s="21"/>
      <c r="D1279" s="25"/>
      <c r="E1279" s="27"/>
      <c r="F1279" s="25"/>
      <c r="G1279" s="27"/>
    </row>
    <row r="1280">
      <c r="A1280" s="21"/>
      <c r="B1280" s="21"/>
      <c r="D1280" s="25"/>
      <c r="E1280" s="27"/>
      <c r="F1280" s="25"/>
      <c r="G1280" s="27"/>
    </row>
    <row r="1281">
      <c r="A1281" s="21"/>
      <c r="B1281" s="21"/>
      <c r="D1281" s="25"/>
      <c r="E1281" s="27"/>
      <c r="F1281" s="25"/>
      <c r="G1281" s="27"/>
    </row>
    <row r="1282">
      <c r="A1282" s="21"/>
      <c r="B1282" s="21"/>
      <c r="D1282" s="25"/>
      <c r="E1282" s="27"/>
      <c r="F1282" s="25"/>
      <c r="G1282" s="27"/>
    </row>
    <row r="1283">
      <c r="A1283" s="21"/>
      <c r="B1283" s="21"/>
      <c r="D1283" s="25"/>
      <c r="E1283" s="27"/>
      <c r="F1283" s="25"/>
      <c r="G1283" s="27"/>
    </row>
    <row r="1284">
      <c r="A1284" s="21"/>
      <c r="B1284" s="21"/>
      <c r="D1284" s="25"/>
      <c r="E1284" s="27"/>
      <c r="F1284" s="25"/>
      <c r="G1284" s="27"/>
    </row>
    <row r="1285">
      <c r="A1285" s="21"/>
      <c r="B1285" s="21"/>
      <c r="D1285" s="25"/>
      <c r="E1285" s="27"/>
      <c r="F1285" s="25"/>
      <c r="G1285" s="27"/>
    </row>
    <row r="1286">
      <c r="A1286" s="21"/>
      <c r="B1286" s="21"/>
      <c r="D1286" s="25"/>
      <c r="E1286" s="27"/>
      <c r="F1286" s="25"/>
      <c r="G1286" s="27"/>
    </row>
    <row r="1287">
      <c r="A1287" s="21"/>
      <c r="B1287" s="21"/>
      <c r="D1287" s="25"/>
      <c r="E1287" s="27"/>
      <c r="F1287" s="25"/>
      <c r="G1287" s="27"/>
    </row>
    <row r="1288">
      <c r="A1288" s="21"/>
      <c r="B1288" s="21"/>
      <c r="D1288" s="25"/>
      <c r="E1288" s="27"/>
      <c r="F1288" s="25"/>
      <c r="G1288" s="27"/>
    </row>
    <row r="1289">
      <c r="A1289" s="21"/>
      <c r="B1289" s="21"/>
      <c r="D1289" s="25"/>
      <c r="E1289" s="27"/>
      <c r="F1289" s="25"/>
      <c r="G1289" s="27"/>
    </row>
    <row r="1290">
      <c r="A1290" s="21"/>
      <c r="B1290" s="21"/>
      <c r="D1290" s="25"/>
      <c r="E1290" s="27"/>
      <c r="F1290" s="25"/>
      <c r="G1290" s="27"/>
    </row>
    <row r="1291">
      <c r="A1291" s="21"/>
      <c r="B1291" s="21"/>
      <c r="D1291" s="25"/>
      <c r="E1291" s="27"/>
      <c r="F1291" s="25"/>
      <c r="G1291" s="27"/>
    </row>
    <row r="1292">
      <c r="A1292" s="21"/>
      <c r="B1292" s="21"/>
      <c r="D1292" s="25"/>
      <c r="E1292" s="27"/>
      <c r="F1292" s="25"/>
      <c r="G1292" s="27"/>
    </row>
    <row r="1293">
      <c r="A1293" s="21"/>
      <c r="B1293" s="21"/>
      <c r="D1293" s="25"/>
      <c r="E1293" s="27"/>
      <c r="F1293" s="25"/>
      <c r="G1293" s="27"/>
    </row>
    <row r="1294">
      <c r="A1294" s="21"/>
      <c r="B1294" s="21"/>
      <c r="D1294" s="25"/>
      <c r="E1294" s="27"/>
      <c r="F1294" s="25"/>
      <c r="G1294" s="27"/>
    </row>
    <row r="1295">
      <c r="A1295" s="21"/>
      <c r="B1295" s="21"/>
      <c r="D1295" s="25"/>
      <c r="E1295" s="27"/>
      <c r="F1295" s="25"/>
      <c r="G1295" s="27"/>
    </row>
    <row r="1296">
      <c r="A1296" s="21"/>
      <c r="B1296" s="21"/>
      <c r="D1296" s="25"/>
      <c r="E1296" s="27"/>
      <c r="F1296" s="25"/>
      <c r="G1296" s="27"/>
    </row>
    <row r="1297">
      <c r="A1297" s="21"/>
      <c r="B1297" s="21"/>
      <c r="D1297" s="25"/>
      <c r="E1297" s="27"/>
      <c r="F1297" s="25"/>
      <c r="G1297" s="27"/>
    </row>
    <row r="1298">
      <c r="A1298" s="21"/>
      <c r="B1298" s="21"/>
      <c r="D1298" s="25"/>
      <c r="E1298" s="27"/>
      <c r="F1298" s="25"/>
      <c r="G1298" s="27"/>
    </row>
    <row r="1299">
      <c r="A1299" s="21"/>
      <c r="B1299" s="21"/>
      <c r="D1299" s="25"/>
      <c r="E1299" s="27"/>
      <c r="F1299" s="25"/>
      <c r="G1299" s="27"/>
    </row>
    <row r="1300">
      <c r="A1300" s="21"/>
      <c r="B1300" s="21"/>
      <c r="D1300" s="25"/>
      <c r="E1300" s="27"/>
      <c r="F1300" s="25"/>
      <c r="G1300" s="27"/>
    </row>
    <row r="1301">
      <c r="A1301" s="21"/>
      <c r="B1301" s="21"/>
      <c r="D1301" s="25"/>
      <c r="E1301" s="27"/>
      <c r="F1301" s="25"/>
      <c r="G1301" s="27"/>
    </row>
    <row r="1302">
      <c r="A1302" s="21"/>
      <c r="B1302" s="21"/>
      <c r="D1302" s="25"/>
      <c r="E1302" s="27"/>
      <c r="F1302" s="25"/>
      <c r="G1302" s="27"/>
    </row>
    <row r="1303">
      <c r="A1303" s="21"/>
      <c r="B1303" s="21"/>
      <c r="D1303" s="25"/>
      <c r="E1303" s="27"/>
      <c r="F1303" s="25"/>
      <c r="G1303" s="27"/>
    </row>
    <row r="1304">
      <c r="A1304" s="21"/>
      <c r="B1304" s="21"/>
      <c r="D1304" s="25"/>
      <c r="E1304" s="27"/>
      <c r="F1304" s="25"/>
      <c r="G1304" s="27"/>
    </row>
    <row r="1305">
      <c r="A1305" s="21"/>
      <c r="B1305" s="21"/>
      <c r="D1305" s="25"/>
      <c r="E1305" s="27"/>
      <c r="F1305" s="25"/>
      <c r="G1305" s="27"/>
    </row>
    <row r="1306">
      <c r="A1306" s="21"/>
      <c r="B1306" s="21"/>
      <c r="D1306" s="25"/>
      <c r="E1306" s="27"/>
      <c r="F1306" s="25"/>
      <c r="G1306" s="27"/>
    </row>
    <row r="1307">
      <c r="A1307" s="21"/>
      <c r="B1307" s="21"/>
      <c r="D1307" s="25"/>
      <c r="E1307" s="27"/>
      <c r="F1307" s="25"/>
      <c r="G1307" s="27"/>
    </row>
    <row r="1308">
      <c r="A1308" s="21"/>
      <c r="B1308" s="21"/>
      <c r="D1308" s="25"/>
      <c r="E1308" s="27"/>
      <c r="F1308" s="25"/>
      <c r="G1308" s="27"/>
    </row>
    <row r="1309">
      <c r="A1309" s="21"/>
      <c r="B1309" s="21"/>
      <c r="D1309" s="25"/>
      <c r="E1309" s="27"/>
      <c r="F1309" s="25"/>
      <c r="G1309" s="27"/>
    </row>
    <row r="1310">
      <c r="A1310" s="21"/>
      <c r="B1310" s="21"/>
      <c r="D1310" s="25"/>
      <c r="E1310" s="27"/>
      <c r="F1310" s="25"/>
      <c r="G1310" s="27"/>
    </row>
    <row r="1311">
      <c r="A1311" s="21"/>
      <c r="B1311" s="21"/>
      <c r="D1311" s="25"/>
      <c r="E1311" s="27"/>
      <c r="F1311" s="25"/>
      <c r="G1311" s="27"/>
    </row>
    <row r="1312">
      <c r="A1312" s="21"/>
      <c r="B1312" s="21"/>
      <c r="D1312" s="25"/>
      <c r="E1312" s="27"/>
      <c r="F1312" s="25"/>
      <c r="G1312" s="27"/>
    </row>
    <row r="1313">
      <c r="A1313" s="21"/>
      <c r="B1313" s="21"/>
      <c r="D1313" s="25"/>
      <c r="E1313" s="27"/>
      <c r="F1313" s="25"/>
      <c r="G1313" s="27"/>
    </row>
    <row r="1314">
      <c r="A1314" s="21"/>
      <c r="B1314" s="21"/>
      <c r="D1314" s="25"/>
      <c r="E1314" s="27"/>
      <c r="F1314" s="25"/>
      <c r="G1314" s="27"/>
    </row>
    <row r="1315">
      <c r="A1315" s="21"/>
      <c r="B1315" s="21"/>
      <c r="D1315" s="25"/>
      <c r="E1315" s="27"/>
      <c r="F1315" s="25"/>
      <c r="G1315" s="27"/>
    </row>
    <row r="1316">
      <c r="A1316" s="21"/>
      <c r="B1316" s="21"/>
      <c r="D1316" s="25"/>
      <c r="E1316" s="27"/>
      <c r="F1316" s="25"/>
      <c r="G1316" s="27"/>
    </row>
    <row r="1317">
      <c r="A1317" s="21"/>
      <c r="B1317" s="21"/>
      <c r="D1317" s="25"/>
      <c r="E1317" s="27"/>
      <c r="F1317" s="25"/>
      <c r="G1317" s="27"/>
    </row>
    <row r="1318">
      <c r="A1318" s="21"/>
      <c r="B1318" s="21"/>
      <c r="D1318" s="25"/>
      <c r="E1318" s="27"/>
      <c r="F1318" s="25"/>
      <c r="G1318" s="27"/>
    </row>
    <row r="1319">
      <c r="A1319" s="21"/>
      <c r="B1319" s="21"/>
      <c r="D1319" s="25"/>
      <c r="E1319" s="27"/>
      <c r="F1319" s="25"/>
      <c r="G1319" s="27"/>
    </row>
    <row r="1320">
      <c r="A1320" s="21"/>
      <c r="B1320" s="21"/>
      <c r="D1320" s="25"/>
      <c r="E1320" s="27"/>
      <c r="F1320" s="25"/>
      <c r="G1320" s="27"/>
    </row>
    <row r="1321">
      <c r="A1321" s="21"/>
      <c r="B1321" s="21"/>
      <c r="D1321" s="25"/>
      <c r="E1321" s="27"/>
      <c r="F1321" s="25"/>
      <c r="G1321" s="27"/>
    </row>
    <row r="1322">
      <c r="A1322" s="21"/>
      <c r="B1322" s="21"/>
      <c r="D1322" s="25"/>
      <c r="E1322" s="27"/>
      <c r="F1322" s="25"/>
      <c r="G1322" s="27"/>
    </row>
    <row r="1323">
      <c r="A1323" s="21"/>
      <c r="B1323" s="21"/>
      <c r="D1323" s="25"/>
      <c r="E1323" s="27"/>
      <c r="F1323" s="25"/>
      <c r="G1323" s="27"/>
    </row>
    <row r="1324">
      <c r="A1324" s="21"/>
      <c r="B1324" s="21"/>
      <c r="D1324" s="25"/>
      <c r="E1324" s="27"/>
      <c r="F1324" s="25"/>
      <c r="G1324" s="27"/>
    </row>
    <row r="1325">
      <c r="A1325" s="21"/>
      <c r="B1325" s="21"/>
      <c r="D1325" s="25"/>
      <c r="E1325" s="27"/>
      <c r="F1325" s="25"/>
      <c r="G1325" s="27"/>
    </row>
    <row r="1326">
      <c r="A1326" s="21"/>
      <c r="B1326" s="21"/>
      <c r="D1326" s="25"/>
      <c r="E1326" s="27"/>
      <c r="F1326" s="25"/>
      <c r="G1326" s="27"/>
    </row>
    <row r="1327">
      <c r="A1327" s="21"/>
      <c r="B1327" s="21"/>
      <c r="D1327" s="25"/>
      <c r="E1327" s="27"/>
      <c r="F1327" s="25"/>
      <c r="G1327" s="27"/>
    </row>
    <row r="1328">
      <c r="A1328" s="21"/>
      <c r="B1328" s="21"/>
      <c r="D1328" s="25"/>
      <c r="E1328" s="27"/>
      <c r="F1328" s="25"/>
      <c r="G1328" s="27"/>
    </row>
    <row r="1329">
      <c r="A1329" s="21"/>
      <c r="B1329" s="21"/>
      <c r="D1329" s="25"/>
      <c r="E1329" s="27"/>
      <c r="F1329" s="25"/>
      <c r="G1329" s="27"/>
    </row>
    <row r="1330">
      <c r="A1330" s="21"/>
      <c r="B1330" s="21"/>
      <c r="D1330" s="25"/>
      <c r="E1330" s="27"/>
      <c r="F1330" s="25"/>
      <c r="G1330" s="27"/>
    </row>
    <row r="1331">
      <c r="A1331" s="21"/>
      <c r="B1331" s="21"/>
      <c r="D1331" s="25"/>
      <c r="E1331" s="27"/>
      <c r="F1331" s="25"/>
      <c r="G1331" s="27"/>
    </row>
    <row r="1332">
      <c r="A1332" s="21"/>
      <c r="B1332" s="21"/>
      <c r="D1332" s="25"/>
      <c r="E1332" s="27"/>
      <c r="F1332" s="25"/>
      <c r="G1332" s="27"/>
    </row>
    <row r="1333">
      <c r="A1333" s="21"/>
      <c r="B1333" s="21"/>
      <c r="D1333" s="25"/>
      <c r="E1333" s="27"/>
      <c r="F1333" s="25"/>
      <c r="G1333" s="27"/>
    </row>
    <row r="1334">
      <c r="A1334" s="21"/>
      <c r="B1334" s="21"/>
      <c r="D1334" s="25"/>
      <c r="E1334" s="27"/>
      <c r="F1334" s="25"/>
      <c r="G1334" s="27"/>
    </row>
    <row r="1335">
      <c r="A1335" s="21"/>
      <c r="B1335" s="21"/>
      <c r="D1335" s="25"/>
      <c r="E1335" s="27"/>
      <c r="F1335" s="25"/>
      <c r="G1335" s="27"/>
    </row>
    <row r="1336">
      <c r="A1336" s="21"/>
      <c r="B1336" s="21"/>
      <c r="D1336" s="25"/>
      <c r="E1336" s="27"/>
      <c r="F1336" s="25"/>
      <c r="G1336" s="27"/>
    </row>
    <row r="1337">
      <c r="A1337" s="21"/>
      <c r="B1337" s="21"/>
      <c r="D1337" s="25"/>
      <c r="E1337" s="27"/>
      <c r="F1337" s="25"/>
      <c r="G1337" s="27"/>
    </row>
    <row r="1338">
      <c r="A1338" s="21"/>
      <c r="B1338" s="21"/>
      <c r="D1338" s="25"/>
      <c r="E1338" s="27"/>
      <c r="F1338" s="25"/>
      <c r="G1338" s="27"/>
    </row>
    <row r="1339">
      <c r="A1339" s="21"/>
      <c r="B1339" s="21"/>
      <c r="D1339" s="25"/>
      <c r="E1339" s="27"/>
      <c r="F1339" s="25"/>
      <c r="G1339" s="27"/>
    </row>
    <row r="1340">
      <c r="A1340" s="21"/>
      <c r="B1340" s="21"/>
      <c r="D1340" s="25"/>
      <c r="E1340" s="27"/>
      <c r="F1340" s="25"/>
      <c r="G1340" s="27"/>
    </row>
    <row r="1341">
      <c r="A1341" s="21"/>
      <c r="B1341" s="21"/>
      <c r="D1341" s="25"/>
      <c r="E1341" s="27"/>
      <c r="F1341" s="25"/>
      <c r="G1341" s="27"/>
    </row>
    <row r="1342">
      <c r="A1342" s="21"/>
      <c r="B1342" s="21"/>
      <c r="D1342" s="25"/>
      <c r="E1342" s="27"/>
      <c r="F1342" s="25"/>
      <c r="G1342" s="27"/>
    </row>
    <row r="1343">
      <c r="A1343" s="21"/>
      <c r="B1343" s="21"/>
      <c r="D1343" s="25"/>
      <c r="E1343" s="27"/>
      <c r="F1343" s="25"/>
      <c r="G1343" s="27"/>
    </row>
    <row r="1344">
      <c r="A1344" s="21"/>
      <c r="B1344" s="21"/>
      <c r="D1344" s="25"/>
      <c r="E1344" s="27"/>
      <c r="F1344" s="25"/>
      <c r="G1344" s="27"/>
    </row>
    <row r="1345">
      <c r="A1345" s="21"/>
      <c r="B1345" s="21"/>
      <c r="D1345" s="25"/>
      <c r="E1345" s="27"/>
      <c r="F1345" s="25"/>
      <c r="G1345" s="27"/>
    </row>
    <row r="1346">
      <c r="A1346" s="21"/>
      <c r="B1346" s="21"/>
      <c r="D1346" s="25"/>
      <c r="E1346" s="27"/>
      <c r="F1346" s="25"/>
      <c r="G1346" s="27"/>
    </row>
    <row r="1347">
      <c r="A1347" s="21"/>
      <c r="B1347" s="21"/>
      <c r="D1347" s="25"/>
      <c r="E1347" s="27"/>
      <c r="F1347" s="25"/>
      <c r="G1347" s="27"/>
    </row>
    <row r="1348">
      <c r="A1348" s="21"/>
      <c r="B1348" s="21"/>
      <c r="D1348" s="25"/>
      <c r="E1348" s="27"/>
      <c r="F1348" s="25"/>
      <c r="G1348" s="27"/>
    </row>
    <row r="1349">
      <c r="A1349" s="21"/>
      <c r="B1349" s="21"/>
      <c r="D1349" s="25"/>
      <c r="E1349" s="27"/>
      <c r="F1349" s="25"/>
      <c r="G1349" s="27"/>
    </row>
    <row r="1350">
      <c r="A1350" s="21"/>
      <c r="B1350" s="21"/>
      <c r="D1350" s="25"/>
      <c r="E1350" s="27"/>
      <c r="F1350" s="25"/>
      <c r="G1350" s="27"/>
    </row>
    <row r="1351">
      <c r="A1351" s="21"/>
      <c r="B1351" s="21"/>
      <c r="D1351" s="25"/>
      <c r="E1351" s="27"/>
      <c r="F1351" s="25"/>
      <c r="G1351" s="27"/>
    </row>
    <row r="1352">
      <c r="A1352" s="21"/>
      <c r="B1352" s="21"/>
      <c r="D1352" s="25"/>
      <c r="E1352" s="27"/>
      <c r="F1352" s="25"/>
      <c r="G1352" s="27"/>
    </row>
    <row r="1353">
      <c r="A1353" s="21"/>
      <c r="B1353" s="21"/>
      <c r="D1353" s="25"/>
      <c r="E1353" s="27"/>
      <c r="F1353" s="25"/>
      <c r="G1353" s="27"/>
    </row>
    <row r="1354">
      <c r="A1354" s="21"/>
      <c r="B1354" s="21"/>
      <c r="D1354" s="25"/>
      <c r="E1354" s="27"/>
      <c r="F1354" s="25"/>
      <c r="G1354" s="27"/>
    </row>
    <row r="1355">
      <c r="A1355" s="21"/>
      <c r="B1355" s="21"/>
      <c r="D1355" s="25"/>
      <c r="E1355" s="27"/>
      <c r="F1355" s="25"/>
      <c r="G1355" s="27"/>
    </row>
    <row r="1356">
      <c r="A1356" s="21"/>
      <c r="B1356" s="21"/>
      <c r="D1356" s="25"/>
      <c r="E1356" s="27"/>
      <c r="F1356" s="25"/>
      <c r="G1356" s="27"/>
    </row>
    <row r="1357">
      <c r="A1357" s="21"/>
      <c r="B1357" s="21"/>
      <c r="D1357" s="25"/>
      <c r="E1357" s="27"/>
      <c r="F1357" s="25"/>
      <c r="G1357" s="27"/>
    </row>
    <row r="1358">
      <c r="A1358" s="21"/>
      <c r="B1358" s="21"/>
      <c r="D1358" s="25"/>
      <c r="E1358" s="27"/>
      <c r="F1358" s="25"/>
      <c r="G1358" s="27"/>
    </row>
    <row r="1359">
      <c r="A1359" s="21"/>
      <c r="B1359" s="21"/>
      <c r="D1359" s="25"/>
      <c r="E1359" s="27"/>
      <c r="F1359" s="25"/>
      <c r="G1359" s="27"/>
    </row>
    <row r="1360">
      <c r="A1360" s="21"/>
      <c r="B1360" s="21"/>
      <c r="D1360" s="25"/>
      <c r="E1360" s="27"/>
      <c r="F1360" s="25"/>
      <c r="G1360" s="27"/>
    </row>
    <row r="1361">
      <c r="A1361" s="21"/>
      <c r="B1361" s="21"/>
      <c r="D1361" s="25"/>
      <c r="E1361" s="27"/>
      <c r="F1361" s="25"/>
      <c r="G1361" s="27"/>
    </row>
    <row r="1362">
      <c r="A1362" s="21"/>
      <c r="B1362" s="21"/>
      <c r="D1362" s="25"/>
      <c r="E1362" s="27"/>
      <c r="F1362" s="25"/>
      <c r="G1362" s="27"/>
    </row>
    <row r="1363">
      <c r="A1363" s="21"/>
      <c r="B1363" s="21"/>
      <c r="D1363" s="25"/>
      <c r="E1363" s="27"/>
      <c r="F1363" s="25"/>
      <c r="G1363" s="27"/>
    </row>
    <row r="1364">
      <c r="A1364" s="21"/>
      <c r="B1364" s="21"/>
      <c r="D1364" s="25"/>
      <c r="E1364" s="27"/>
      <c r="F1364" s="25"/>
      <c r="G1364" s="27"/>
    </row>
    <row r="1365">
      <c r="A1365" s="21"/>
      <c r="B1365" s="21"/>
      <c r="D1365" s="25"/>
      <c r="E1365" s="27"/>
      <c r="F1365" s="25"/>
      <c r="G1365" s="27"/>
    </row>
    <row r="1366">
      <c r="A1366" s="21"/>
      <c r="B1366" s="21"/>
      <c r="D1366" s="25"/>
      <c r="E1366" s="27"/>
      <c r="F1366" s="25"/>
      <c r="G1366" s="27"/>
    </row>
    <row r="1367">
      <c r="A1367" s="21"/>
      <c r="B1367" s="21"/>
      <c r="D1367" s="25"/>
      <c r="E1367" s="27"/>
      <c r="F1367" s="25"/>
      <c r="G1367" s="27"/>
    </row>
    <row r="1368">
      <c r="A1368" s="21"/>
      <c r="B1368" s="21"/>
      <c r="D1368" s="25"/>
      <c r="E1368" s="27"/>
      <c r="F1368" s="25"/>
      <c r="G1368" s="27"/>
    </row>
    <row r="1369">
      <c r="A1369" s="21"/>
      <c r="B1369" s="21"/>
      <c r="D1369" s="25"/>
      <c r="E1369" s="27"/>
      <c r="F1369" s="25"/>
      <c r="G1369" s="27"/>
    </row>
    <row r="1370">
      <c r="A1370" s="21"/>
      <c r="B1370" s="21"/>
      <c r="D1370" s="25"/>
      <c r="E1370" s="27"/>
      <c r="F1370" s="25"/>
      <c r="G1370" s="27"/>
    </row>
    <row r="1371">
      <c r="A1371" s="21"/>
      <c r="B1371" s="21"/>
      <c r="D1371" s="25"/>
      <c r="E1371" s="27"/>
      <c r="F1371" s="25"/>
      <c r="G1371" s="27"/>
    </row>
    <row r="1372">
      <c r="A1372" s="21"/>
      <c r="B1372" s="21"/>
      <c r="D1372" s="25"/>
      <c r="E1372" s="27"/>
      <c r="F1372" s="25"/>
      <c r="G1372" s="27"/>
    </row>
    <row r="1373">
      <c r="A1373" s="21"/>
      <c r="B1373" s="21"/>
      <c r="D1373" s="25"/>
      <c r="E1373" s="27"/>
      <c r="F1373" s="25"/>
      <c r="G1373" s="27"/>
    </row>
    <row r="1374">
      <c r="A1374" s="21"/>
      <c r="B1374" s="21"/>
      <c r="D1374" s="25"/>
      <c r="E1374" s="27"/>
      <c r="F1374" s="25"/>
      <c r="G1374" s="27"/>
    </row>
    <row r="1375">
      <c r="A1375" s="21"/>
      <c r="B1375" s="21"/>
      <c r="D1375" s="25"/>
      <c r="E1375" s="27"/>
      <c r="F1375" s="25"/>
      <c r="G1375" s="27"/>
    </row>
    <row r="1376">
      <c r="A1376" s="21"/>
      <c r="B1376" s="21"/>
      <c r="D1376" s="25"/>
      <c r="E1376" s="27"/>
      <c r="F1376" s="25"/>
      <c r="G1376" s="27"/>
    </row>
    <row r="1377">
      <c r="A1377" s="21"/>
      <c r="B1377" s="21"/>
      <c r="D1377" s="25"/>
      <c r="E1377" s="27"/>
      <c r="F1377" s="25"/>
      <c r="G1377" s="27"/>
    </row>
    <row r="1378">
      <c r="A1378" s="21"/>
      <c r="B1378" s="21"/>
      <c r="D1378" s="25"/>
      <c r="E1378" s="27"/>
      <c r="F1378" s="25"/>
      <c r="G1378" s="27"/>
    </row>
    <row r="1379">
      <c r="A1379" s="21"/>
      <c r="B1379" s="21"/>
      <c r="D1379" s="25"/>
      <c r="E1379" s="27"/>
      <c r="F1379" s="25"/>
      <c r="G1379" s="27"/>
    </row>
    <row r="1380">
      <c r="A1380" s="21"/>
      <c r="B1380" s="21"/>
      <c r="D1380" s="25"/>
      <c r="E1380" s="27"/>
      <c r="F1380" s="25"/>
      <c r="G1380" s="27"/>
    </row>
    <row r="1381">
      <c r="A1381" s="21"/>
      <c r="B1381" s="21"/>
      <c r="D1381" s="25"/>
      <c r="E1381" s="27"/>
      <c r="F1381" s="25"/>
      <c r="G1381" s="27"/>
    </row>
    <row r="1382">
      <c r="A1382" s="21"/>
      <c r="B1382" s="21"/>
      <c r="D1382" s="25"/>
      <c r="E1382" s="27"/>
      <c r="F1382" s="25"/>
      <c r="G1382" s="27"/>
    </row>
    <row r="1383">
      <c r="A1383" s="21"/>
      <c r="B1383" s="21"/>
      <c r="D1383" s="25"/>
      <c r="E1383" s="27"/>
      <c r="F1383" s="25"/>
      <c r="G1383" s="27"/>
    </row>
    <row r="1384">
      <c r="A1384" s="21"/>
      <c r="B1384" s="21"/>
      <c r="D1384" s="25"/>
      <c r="E1384" s="27"/>
      <c r="F1384" s="25"/>
      <c r="G1384" s="27"/>
    </row>
    <row r="1385">
      <c r="A1385" s="21"/>
      <c r="B1385" s="21"/>
      <c r="D1385" s="25"/>
      <c r="E1385" s="27"/>
      <c r="F1385" s="25"/>
      <c r="G1385" s="27"/>
    </row>
    <row r="1386">
      <c r="A1386" s="21"/>
      <c r="B1386" s="21"/>
      <c r="D1386" s="25"/>
      <c r="E1386" s="27"/>
      <c r="F1386" s="25"/>
      <c r="G1386" s="27"/>
    </row>
    <row r="1387">
      <c r="A1387" s="21"/>
      <c r="B1387" s="21"/>
      <c r="D1387" s="25"/>
      <c r="E1387" s="27"/>
      <c r="F1387" s="25"/>
      <c r="G1387" s="27"/>
    </row>
    <row r="1388">
      <c r="A1388" s="21"/>
      <c r="B1388" s="21"/>
      <c r="D1388" s="25"/>
      <c r="E1388" s="27"/>
      <c r="F1388" s="25"/>
      <c r="G1388" s="27"/>
    </row>
    <row r="1389">
      <c r="A1389" s="21"/>
      <c r="B1389" s="21"/>
      <c r="D1389" s="25"/>
      <c r="E1389" s="27"/>
      <c r="F1389" s="25"/>
      <c r="G1389" s="27"/>
    </row>
    <row r="1390">
      <c r="A1390" s="21"/>
      <c r="B1390" s="21"/>
      <c r="D1390" s="25"/>
      <c r="E1390" s="27"/>
      <c r="F1390" s="25"/>
      <c r="G1390" s="27"/>
    </row>
    <row r="1391">
      <c r="A1391" s="21"/>
      <c r="B1391" s="21"/>
      <c r="D1391" s="25"/>
      <c r="E1391" s="27"/>
      <c r="F1391" s="25"/>
      <c r="G1391" s="27"/>
    </row>
    <row r="1392">
      <c r="A1392" s="21"/>
      <c r="B1392" s="21"/>
      <c r="D1392" s="25"/>
      <c r="E1392" s="27"/>
      <c r="F1392" s="25"/>
      <c r="G1392" s="27"/>
    </row>
    <row r="1393">
      <c r="A1393" s="21"/>
      <c r="B1393" s="21"/>
      <c r="D1393" s="25"/>
      <c r="E1393" s="27"/>
      <c r="F1393" s="25"/>
      <c r="G1393" s="27"/>
    </row>
    <row r="1394">
      <c r="A1394" s="21"/>
      <c r="B1394" s="21"/>
      <c r="D1394" s="25"/>
      <c r="E1394" s="27"/>
      <c r="F1394" s="25"/>
      <c r="G1394" s="27"/>
    </row>
    <row r="1395">
      <c r="A1395" s="21"/>
      <c r="B1395" s="21"/>
      <c r="D1395" s="25"/>
      <c r="E1395" s="27"/>
      <c r="F1395" s="25"/>
      <c r="G1395" s="27"/>
    </row>
    <row r="1396">
      <c r="A1396" s="21"/>
      <c r="B1396" s="21"/>
      <c r="D1396" s="25"/>
      <c r="E1396" s="27"/>
      <c r="F1396" s="25"/>
      <c r="G1396" s="27"/>
    </row>
    <row r="1397">
      <c r="A1397" s="21"/>
      <c r="B1397" s="21"/>
      <c r="D1397" s="25"/>
      <c r="E1397" s="27"/>
      <c r="F1397" s="25"/>
      <c r="G1397" s="27"/>
    </row>
    <row r="1398">
      <c r="A1398" s="21"/>
      <c r="B1398" s="21"/>
      <c r="D1398" s="25"/>
      <c r="E1398" s="27"/>
      <c r="F1398" s="25"/>
      <c r="G1398" s="27"/>
    </row>
    <row r="1399">
      <c r="A1399" s="21"/>
      <c r="B1399" s="21"/>
      <c r="D1399" s="25"/>
      <c r="E1399" s="27"/>
      <c r="F1399" s="25"/>
      <c r="G1399" s="27"/>
    </row>
    <row r="1400">
      <c r="A1400" s="21"/>
      <c r="B1400" s="21"/>
      <c r="D1400" s="25"/>
      <c r="E1400" s="27"/>
      <c r="F1400" s="25"/>
      <c r="G1400" s="27"/>
    </row>
    <row r="1401">
      <c r="A1401" s="21"/>
      <c r="B1401" s="21"/>
      <c r="D1401" s="25"/>
      <c r="E1401" s="27"/>
      <c r="F1401" s="25"/>
      <c r="G1401" s="27"/>
    </row>
    <row r="1402">
      <c r="A1402" s="21"/>
      <c r="B1402" s="21"/>
      <c r="D1402" s="25"/>
      <c r="E1402" s="27"/>
      <c r="F1402" s="25"/>
      <c r="G1402" s="27"/>
    </row>
    <row r="1403">
      <c r="A1403" s="21"/>
      <c r="B1403" s="21"/>
      <c r="D1403" s="25"/>
      <c r="E1403" s="27"/>
      <c r="F1403" s="25"/>
      <c r="G1403" s="27"/>
    </row>
    <row r="1404">
      <c r="A1404" s="21"/>
      <c r="B1404" s="21"/>
      <c r="D1404" s="25"/>
      <c r="E1404" s="27"/>
      <c r="F1404" s="25"/>
      <c r="G1404" s="27"/>
    </row>
    <row r="1405">
      <c r="A1405" s="21"/>
      <c r="B1405" s="21"/>
      <c r="D1405" s="25"/>
      <c r="E1405" s="27"/>
      <c r="F1405" s="25"/>
      <c r="G1405" s="27"/>
    </row>
    <row r="1406">
      <c r="A1406" s="21"/>
      <c r="B1406" s="21"/>
      <c r="D1406" s="25"/>
      <c r="E1406" s="27"/>
      <c r="F1406" s="25"/>
      <c r="G1406" s="27"/>
    </row>
    <row r="1407">
      <c r="A1407" s="21"/>
      <c r="B1407" s="21"/>
      <c r="D1407" s="25"/>
      <c r="E1407" s="27"/>
      <c r="F1407" s="25"/>
      <c r="G1407" s="27"/>
    </row>
    <row r="1408">
      <c r="A1408" s="21"/>
      <c r="B1408" s="21"/>
      <c r="D1408" s="25"/>
      <c r="E1408" s="27"/>
      <c r="F1408" s="25"/>
      <c r="G1408" s="27"/>
    </row>
    <row r="1409">
      <c r="A1409" s="21"/>
      <c r="B1409" s="21"/>
      <c r="D1409" s="25"/>
      <c r="E1409" s="27"/>
      <c r="F1409" s="25"/>
      <c r="G1409" s="27"/>
    </row>
    <row r="1410">
      <c r="A1410" s="21"/>
      <c r="B1410" s="21"/>
      <c r="D1410" s="25"/>
      <c r="E1410" s="27"/>
      <c r="F1410" s="25"/>
      <c r="G1410" s="27"/>
    </row>
    <row r="1411">
      <c r="A1411" s="21"/>
      <c r="B1411" s="21"/>
      <c r="D1411" s="25"/>
      <c r="E1411" s="27"/>
      <c r="F1411" s="25"/>
      <c r="G1411" s="27"/>
    </row>
    <row r="1412">
      <c r="A1412" s="21"/>
      <c r="B1412" s="21"/>
      <c r="D1412" s="25"/>
      <c r="E1412" s="27"/>
      <c r="F1412" s="25"/>
      <c r="G1412" s="27"/>
    </row>
    <row r="1413">
      <c r="A1413" s="21"/>
      <c r="B1413" s="21"/>
      <c r="D1413" s="25"/>
      <c r="E1413" s="27"/>
      <c r="F1413" s="25"/>
      <c r="G1413" s="27"/>
    </row>
    <row r="1414">
      <c r="A1414" s="21"/>
      <c r="B1414" s="21"/>
      <c r="D1414" s="25"/>
      <c r="E1414" s="27"/>
      <c r="F1414" s="25"/>
      <c r="G1414" s="27"/>
    </row>
    <row r="1415">
      <c r="A1415" s="21"/>
      <c r="B1415" s="21"/>
      <c r="D1415" s="25"/>
      <c r="E1415" s="27"/>
      <c r="F1415" s="25"/>
      <c r="G1415" s="27"/>
    </row>
    <row r="1416">
      <c r="A1416" s="21"/>
      <c r="B1416" s="21"/>
      <c r="D1416" s="25"/>
      <c r="E1416" s="27"/>
      <c r="F1416" s="25"/>
      <c r="G1416" s="27"/>
    </row>
    <row r="1417">
      <c r="A1417" s="21"/>
      <c r="B1417" s="21"/>
      <c r="D1417" s="25"/>
      <c r="E1417" s="27"/>
      <c r="F1417" s="25"/>
      <c r="G1417" s="27"/>
    </row>
    <row r="1418">
      <c r="A1418" s="21"/>
      <c r="B1418" s="21"/>
      <c r="D1418" s="25"/>
      <c r="E1418" s="27"/>
      <c r="F1418" s="25"/>
      <c r="G1418" s="27"/>
    </row>
    <row r="1419">
      <c r="A1419" s="21"/>
      <c r="B1419" s="21"/>
      <c r="D1419" s="25"/>
      <c r="E1419" s="27"/>
      <c r="F1419" s="25"/>
      <c r="G1419" s="27"/>
    </row>
    <row r="1420">
      <c r="A1420" s="21"/>
      <c r="B1420" s="21"/>
      <c r="D1420" s="25"/>
      <c r="E1420" s="27"/>
      <c r="F1420" s="25"/>
      <c r="G1420" s="27"/>
    </row>
    <row r="1421">
      <c r="A1421" s="21"/>
      <c r="B1421" s="21"/>
      <c r="D1421" s="25"/>
      <c r="E1421" s="27"/>
      <c r="F1421" s="25"/>
      <c r="G1421" s="27"/>
    </row>
    <row r="1422">
      <c r="A1422" s="21"/>
      <c r="B1422" s="21"/>
      <c r="D1422" s="25"/>
      <c r="E1422" s="27"/>
      <c r="F1422" s="25"/>
      <c r="G1422" s="27"/>
    </row>
    <row r="1423">
      <c r="A1423" s="21"/>
      <c r="B1423" s="21"/>
      <c r="D1423" s="25"/>
      <c r="E1423" s="27"/>
      <c r="F1423" s="25"/>
      <c r="G1423" s="27"/>
    </row>
    <row r="1424">
      <c r="A1424" s="21"/>
      <c r="B1424" s="21"/>
      <c r="D1424" s="25"/>
      <c r="E1424" s="27"/>
      <c r="F1424" s="25"/>
      <c r="G1424" s="27"/>
    </row>
    <row r="1425">
      <c r="A1425" s="21"/>
      <c r="B1425" s="21"/>
      <c r="D1425" s="25"/>
      <c r="E1425" s="27"/>
      <c r="F1425" s="25"/>
      <c r="G1425" s="27"/>
    </row>
    <row r="1426">
      <c r="A1426" s="21"/>
      <c r="B1426" s="21"/>
      <c r="D1426" s="25"/>
      <c r="E1426" s="27"/>
      <c r="F1426" s="25"/>
      <c r="G1426" s="27"/>
    </row>
    <row r="1427">
      <c r="A1427" s="21"/>
      <c r="B1427" s="21"/>
      <c r="D1427" s="25"/>
      <c r="E1427" s="27"/>
      <c r="F1427" s="25"/>
      <c r="G1427" s="27"/>
    </row>
    <row r="1428">
      <c r="A1428" s="21"/>
      <c r="B1428" s="21"/>
      <c r="D1428" s="25"/>
      <c r="E1428" s="27"/>
      <c r="F1428" s="25"/>
      <c r="G1428" s="27"/>
    </row>
    <row r="1429">
      <c r="A1429" s="21"/>
      <c r="B1429" s="21"/>
      <c r="D1429" s="25"/>
      <c r="E1429" s="27"/>
      <c r="F1429" s="25"/>
      <c r="G1429" s="27"/>
    </row>
    <row r="1430">
      <c r="A1430" s="21"/>
      <c r="B1430" s="21"/>
      <c r="D1430" s="25"/>
      <c r="E1430" s="27"/>
      <c r="F1430" s="25"/>
      <c r="G1430" s="27"/>
    </row>
    <row r="1431">
      <c r="A1431" s="21"/>
      <c r="B1431" s="21"/>
      <c r="D1431" s="25"/>
      <c r="E1431" s="27"/>
      <c r="F1431" s="25"/>
      <c r="G1431" s="27"/>
    </row>
    <row r="1432">
      <c r="A1432" s="21"/>
      <c r="B1432" s="21"/>
      <c r="D1432" s="25"/>
      <c r="E1432" s="27"/>
      <c r="F1432" s="25"/>
      <c r="G1432" s="27"/>
    </row>
    <row r="1433">
      <c r="A1433" s="21"/>
      <c r="B1433" s="21"/>
      <c r="D1433" s="25"/>
      <c r="E1433" s="27"/>
      <c r="F1433" s="25"/>
      <c r="G1433" s="27"/>
    </row>
    <row r="1434">
      <c r="A1434" s="21"/>
      <c r="B1434" s="21"/>
      <c r="D1434" s="25"/>
      <c r="E1434" s="27"/>
      <c r="F1434" s="25"/>
      <c r="G1434" s="27"/>
    </row>
    <row r="1435">
      <c r="A1435" s="21"/>
      <c r="B1435" s="21"/>
      <c r="D1435" s="25"/>
      <c r="E1435" s="27"/>
      <c r="F1435" s="25"/>
      <c r="G1435" s="27"/>
    </row>
    <row r="1436">
      <c r="A1436" s="21"/>
      <c r="B1436" s="21"/>
      <c r="D1436" s="25"/>
      <c r="E1436" s="27"/>
      <c r="F1436" s="25"/>
      <c r="G1436" s="27"/>
    </row>
    <row r="1437">
      <c r="A1437" s="21"/>
      <c r="B1437" s="21"/>
      <c r="D1437" s="25"/>
      <c r="E1437" s="27"/>
      <c r="F1437" s="25"/>
      <c r="G1437" s="27"/>
    </row>
    <row r="1438">
      <c r="A1438" s="21"/>
      <c r="B1438" s="21"/>
      <c r="D1438" s="25"/>
      <c r="E1438" s="27"/>
      <c r="F1438" s="25"/>
      <c r="G1438" s="27"/>
    </row>
    <row r="1439">
      <c r="A1439" s="21"/>
      <c r="B1439" s="21"/>
      <c r="D1439" s="25"/>
      <c r="E1439" s="27"/>
      <c r="F1439" s="25"/>
      <c r="G1439" s="27"/>
    </row>
    <row r="1440">
      <c r="A1440" s="21"/>
      <c r="B1440" s="21"/>
      <c r="D1440" s="25"/>
      <c r="E1440" s="27"/>
      <c r="F1440" s="25"/>
      <c r="G1440" s="27"/>
    </row>
    <row r="1441">
      <c r="A1441" s="21"/>
      <c r="B1441" s="21"/>
      <c r="D1441" s="25"/>
      <c r="E1441" s="27"/>
      <c r="F1441" s="25"/>
      <c r="G1441" s="27"/>
    </row>
    <row r="1442">
      <c r="A1442" s="21"/>
      <c r="B1442" s="21"/>
      <c r="D1442" s="25"/>
      <c r="E1442" s="27"/>
      <c r="F1442" s="25"/>
      <c r="G1442" s="27"/>
    </row>
    <row r="1443">
      <c r="A1443" s="21"/>
      <c r="B1443" s="21"/>
      <c r="D1443" s="25"/>
      <c r="E1443" s="27"/>
      <c r="F1443" s="25"/>
      <c r="G1443" s="27"/>
    </row>
    <row r="1444">
      <c r="A1444" s="21"/>
      <c r="B1444" s="21"/>
      <c r="D1444" s="25"/>
      <c r="E1444" s="27"/>
      <c r="F1444" s="25"/>
      <c r="G1444" s="27"/>
    </row>
    <row r="1445">
      <c r="A1445" s="21"/>
      <c r="B1445" s="21"/>
      <c r="D1445" s="25"/>
      <c r="E1445" s="27"/>
      <c r="F1445" s="25"/>
      <c r="G1445" s="27"/>
    </row>
    <row r="1446">
      <c r="A1446" s="21"/>
      <c r="B1446" s="21"/>
      <c r="D1446" s="25"/>
      <c r="E1446" s="27"/>
      <c r="F1446" s="25"/>
      <c r="G1446" s="27"/>
    </row>
    <row r="1447">
      <c r="A1447" s="21"/>
      <c r="B1447" s="21"/>
      <c r="D1447" s="25"/>
      <c r="E1447" s="27"/>
      <c r="F1447" s="25"/>
      <c r="G1447" s="27"/>
    </row>
    <row r="1448">
      <c r="A1448" s="21"/>
      <c r="B1448" s="21"/>
      <c r="D1448" s="25"/>
      <c r="E1448" s="27"/>
      <c r="F1448" s="25"/>
      <c r="G1448" s="27"/>
    </row>
    <row r="1449">
      <c r="A1449" s="21"/>
      <c r="B1449" s="21"/>
      <c r="D1449" s="25"/>
      <c r="E1449" s="27"/>
      <c r="F1449" s="25"/>
      <c r="G1449" s="27"/>
    </row>
    <row r="1450">
      <c r="A1450" s="21"/>
      <c r="B1450" s="21"/>
      <c r="D1450" s="25"/>
      <c r="E1450" s="27"/>
      <c r="F1450" s="25"/>
      <c r="G1450" s="27"/>
    </row>
    <row r="1451">
      <c r="A1451" s="21"/>
      <c r="B1451" s="21"/>
      <c r="D1451" s="25"/>
      <c r="E1451" s="27"/>
      <c r="F1451" s="25"/>
      <c r="G1451" s="27"/>
    </row>
    <row r="1452">
      <c r="A1452" s="21"/>
      <c r="B1452" s="21"/>
      <c r="D1452" s="25"/>
      <c r="E1452" s="27"/>
      <c r="F1452" s="25"/>
      <c r="G1452" s="27"/>
    </row>
    <row r="1453">
      <c r="A1453" s="21"/>
      <c r="B1453" s="21"/>
      <c r="D1453" s="25"/>
      <c r="E1453" s="27"/>
      <c r="F1453" s="25"/>
      <c r="G1453" s="27"/>
    </row>
    <row r="1454">
      <c r="A1454" s="21"/>
      <c r="B1454" s="21"/>
      <c r="D1454" s="25"/>
      <c r="E1454" s="27"/>
      <c r="F1454" s="25"/>
      <c r="G1454" s="27"/>
    </row>
    <row r="1455">
      <c r="A1455" s="21"/>
      <c r="B1455" s="21"/>
      <c r="D1455" s="25"/>
      <c r="E1455" s="27"/>
      <c r="F1455" s="25"/>
      <c r="G1455" s="27"/>
    </row>
    <row r="1456">
      <c r="A1456" s="21"/>
      <c r="B1456" s="21"/>
      <c r="D1456" s="25"/>
      <c r="E1456" s="27"/>
      <c r="F1456" s="25"/>
      <c r="G1456" s="27"/>
    </row>
    <row r="1457">
      <c r="A1457" s="21"/>
      <c r="B1457" s="21"/>
      <c r="D1457" s="25"/>
      <c r="E1457" s="27"/>
      <c r="F1457" s="25"/>
      <c r="G1457" s="27"/>
    </row>
    <row r="1458">
      <c r="A1458" s="21"/>
      <c r="B1458" s="21"/>
      <c r="D1458" s="25"/>
      <c r="E1458" s="27"/>
      <c r="F1458" s="25"/>
      <c r="G1458" s="27"/>
    </row>
    <row r="1459">
      <c r="A1459" s="21"/>
      <c r="B1459" s="21"/>
      <c r="D1459" s="25"/>
      <c r="E1459" s="27"/>
      <c r="F1459" s="25"/>
      <c r="G1459" s="27"/>
    </row>
    <row r="1460">
      <c r="A1460" s="21"/>
      <c r="B1460" s="21"/>
      <c r="D1460" s="25"/>
      <c r="E1460" s="27"/>
      <c r="F1460" s="25"/>
      <c r="G1460" s="27"/>
    </row>
    <row r="1461">
      <c r="A1461" s="21"/>
      <c r="B1461" s="21"/>
      <c r="D1461" s="25"/>
      <c r="E1461" s="27"/>
      <c r="F1461" s="25"/>
      <c r="G1461" s="27"/>
    </row>
    <row r="1462">
      <c r="A1462" s="21"/>
      <c r="B1462" s="21"/>
      <c r="D1462" s="25"/>
      <c r="E1462" s="27"/>
      <c r="F1462" s="25"/>
      <c r="G1462" s="27"/>
    </row>
    <row r="1463">
      <c r="A1463" s="21"/>
      <c r="B1463" s="21"/>
      <c r="D1463" s="25"/>
      <c r="E1463" s="27"/>
      <c r="F1463" s="25"/>
      <c r="G1463" s="27"/>
    </row>
    <row r="1464">
      <c r="A1464" s="21"/>
      <c r="B1464" s="21"/>
      <c r="D1464" s="25"/>
      <c r="E1464" s="27"/>
      <c r="F1464" s="25"/>
      <c r="G1464" s="27"/>
    </row>
    <row r="1465">
      <c r="A1465" s="21"/>
      <c r="B1465" s="21"/>
      <c r="D1465" s="25"/>
      <c r="E1465" s="27"/>
      <c r="F1465" s="25"/>
      <c r="G1465" s="27"/>
    </row>
    <row r="1466">
      <c r="A1466" s="21"/>
      <c r="B1466" s="21"/>
      <c r="D1466" s="25"/>
      <c r="E1466" s="27"/>
      <c r="F1466" s="25"/>
      <c r="G1466" s="27"/>
    </row>
    <row r="1467">
      <c r="A1467" s="21"/>
      <c r="B1467" s="21"/>
      <c r="D1467" s="25"/>
      <c r="E1467" s="27"/>
      <c r="F1467" s="25"/>
      <c r="G1467" s="27"/>
    </row>
    <row r="1468">
      <c r="A1468" s="21"/>
      <c r="B1468" s="21"/>
      <c r="D1468" s="25"/>
      <c r="E1468" s="27"/>
      <c r="F1468" s="25"/>
      <c r="G1468" s="27"/>
    </row>
    <row r="1469">
      <c r="A1469" s="21"/>
      <c r="B1469" s="21"/>
      <c r="D1469" s="25"/>
      <c r="E1469" s="27"/>
      <c r="F1469" s="25"/>
      <c r="G1469" s="27"/>
    </row>
    <row r="1470">
      <c r="A1470" s="21"/>
      <c r="B1470" s="21"/>
      <c r="D1470" s="25"/>
      <c r="E1470" s="27"/>
      <c r="F1470" s="25"/>
      <c r="G1470" s="27"/>
    </row>
    <row r="1471">
      <c r="A1471" s="21"/>
      <c r="B1471" s="21"/>
      <c r="D1471" s="25"/>
      <c r="E1471" s="27"/>
      <c r="F1471" s="25"/>
      <c r="G1471" s="27"/>
    </row>
    <row r="1472">
      <c r="A1472" s="21"/>
      <c r="B1472" s="21"/>
      <c r="D1472" s="25"/>
      <c r="E1472" s="27"/>
      <c r="F1472" s="25"/>
      <c r="G1472" s="27"/>
    </row>
    <row r="1473">
      <c r="A1473" s="21"/>
      <c r="B1473" s="21"/>
      <c r="D1473" s="25"/>
      <c r="E1473" s="27"/>
      <c r="F1473" s="25"/>
      <c r="G1473" s="27"/>
    </row>
    <row r="1474">
      <c r="A1474" s="21"/>
      <c r="B1474" s="21"/>
      <c r="D1474" s="25"/>
      <c r="E1474" s="27"/>
      <c r="F1474" s="25"/>
      <c r="G1474" s="27"/>
    </row>
    <row r="1475">
      <c r="A1475" s="21"/>
      <c r="B1475" s="21"/>
      <c r="D1475" s="25"/>
      <c r="E1475" s="27"/>
      <c r="F1475" s="25"/>
      <c r="G1475" s="27"/>
    </row>
    <row r="1476">
      <c r="A1476" s="21"/>
      <c r="B1476" s="21"/>
      <c r="D1476" s="25"/>
      <c r="E1476" s="27"/>
      <c r="F1476" s="25"/>
      <c r="G1476" s="27"/>
    </row>
    <row r="1477">
      <c r="A1477" s="21"/>
      <c r="B1477" s="21"/>
      <c r="D1477" s="25"/>
      <c r="E1477" s="27"/>
      <c r="F1477" s="25"/>
      <c r="G1477" s="27"/>
    </row>
    <row r="1478">
      <c r="A1478" s="21"/>
      <c r="B1478" s="21"/>
      <c r="D1478" s="25"/>
      <c r="E1478" s="27"/>
      <c r="F1478" s="25"/>
      <c r="G1478" s="27"/>
    </row>
    <row r="1479">
      <c r="A1479" s="21"/>
      <c r="B1479" s="21"/>
      <c r="D1479" s="25"/>
      <c r="E1479" s="27"/>
      <c r="F1479" s="25"/>
      <c r="G1479" s="27"/>
    </row>
    <row r="1480">
      <c r="A1480" s="21"/>
      <c r="B1480" s="21"/>
      <c r="D1480" s="25"/>
      <c r="E1480" s="27"/>
      <c r="F1480" s="25"/>
      <c r="G1480" s="27"/>
    </row>
    <row r="1481">
      <c r="A1481" s="21"/>
      <c r="B1481" s="21"/>
      <c r="D1481" s="25"/>
      <c r="E1481" s="27"/>
      <c r="F1481" s="25"/>
      <c r="G1481" s="27"/>
    </row>
    <row r="1482">
      <c r="A1482" s="21"/>
      <c r="B1482" s="21"/>
      <c r="D1482" s="25"/>
      <c r="E1482" s="27"/>
      <c r="F1482" s="25"/>
      <c r="G1482" s="27"/>
    </row>
    <row r="1483">
      <c r="A1483" s="21"/>
      <c r="B1483" s="21"/>
      <c r="D1483" s="25"/>
      <c r="E1483" s="27"/>
      <c r="F1483" s="25"/>
      <c r="G1483" s="27"/>
    </row>
    <row r="1484">
      <c r="A1484" s="21"/>
      <c r="B1484" s="21"/>
      <c r="D1484" s="25"/>
      <c r="E1484" s="27"/>
      <c r="F1484" s="25"/>
      <c r="G1484" s="27"/>
    </row>
    <row r="1485">
      <c r="A1485" s="21"/>
      <c r="B1485" s="21"/>
      <c r="D1485" s="25"/>
      <c r="E1485" s="27"/>
      <c r="F1485" s="25"/>
      <c r="G1485" s="27"/>
    </row>
    <row r="1486">
      <c r="A1486" s="21"/>
      <c r="B1486" s="21"/>
      <c r="D1486" s="25"/>
      <c r="E1486" s="27"/>
      <c r="F1486" s="25"/>
      <c r="G1486" s="27"/>
    </row>
    <row r="1487">
      <c r="A1487" s="21"/>
      <c r="B1487" s="21"/>
      <c r="D1487" s="25"/>
      <c r="E1487" s="27"/>
      <c r="F1487" s="25"/>
      <c r="G1487" s="27"/>
    </row>
    <row r="1488">
      <c r="A1488" s="21"/>
      <c r="B1488" s="21"/>
      <c r="D1488" s="25"/>
      <c r="E1488" s="27"/>
      <c r="F1488" s="25"/>
      <c r="G1488" s="27"/>
    </row>
    <row r="1489">
      <c r="A1489" s="21"/>
      <c r="B1489" s="21"/>
      <c r="D1489" s="25"/>
      <c r="E1489" s="27"/>
      <c r="F1489" s="25"/>
      <c r="G1489" s="27"/>
    </row>
    <row r="1490">
      <c r="A1490" s="21"/>
      <c r="B1490" s="21"/>
      <c r="D1490" s="25"/>
      <c r="E1490" s="27"/>
      <c r="F1490" s="25"/>
      <c r="G1490" s="27"/>
    </row>
    <row r="1491">
      <c r="A1491" s="21"/>
      <c r="B1491" s="21"/>
      <c r="D1491" s="25"/>
      <c r="E1491" s="27"/>
      <c r="F1491" s="25"/>
      <c r="G1491" s="27"/>
    </row>
    <row r="1492">
      <c r="A1492" s="21"/>
      <c r="B1492" s="21"/>
      <c r="D1492" s="25"/>
      <c r="E1492" s="27"/>
      <c r="F1492" s="25"/>
      <c r="G1492" s="27"/>
    </row>
    <row r="1493">
      <c r="A1493" s="21"/>
      <c r="B1493" s="21"/>
      <c r="D1493" s="25"/>
      <c r="E1493" s="27"/>
      <c r="F1493" s="25"/>
      <c r="G1493" s="27"/>
    </row>
    <row r="1494">
      <c r="A1494" s="21"/>
      <c r="B1494" s="21"/>
      <c r="D1494" s="25"/>
      <c r="E1494" s="27"/>
      <c r="F1494" s="25"/>
      <c r="G1494" s="27"/>
    </row>
    <row r="1495">
      <c r="A1495" s="21"/>
      <c r="B1495" s="21"/>
      <c r="D1495" s="25"/>
      <c r="E1495" s="27"/>
      <c r="F1495" s="25"/>
      <c r="G1495" s="27"/>
    </row>
    <row r="1496">
      <c r="A1496" s="21"/>
      <c r="B1496" s="21"/>
      <c r="D1496" s="25"/>
      <c r="E1496" s="27"/>
      <c r="F1496" s="25"/>
      <c r="G1496" s="27"/>
    </row>
    <row r="1497">
      <c r="A1497" s="21"/>
      <c r="B1497" s="21"/>
      <c r="D1497" s="25"/>
      <c r="E1497" s="27"/>
      <c r="F1497" s="25"/>
      <c r="G1497" s="27"/>
    </row>
    <row r="1498">
      <c r="A1498" s="21"/>
      <c r="B1498" s="21"/>
      <c r="D1498" s="25"/>
      <c r="E1498" s="27"/>
      <c r="F1498" s="25"/>
      <c r="G1498" s="27"/>
    </row>
    <row r="1499">
      <c r="A1499" s="21"/>
      <c r="B1499" s="21"/>
      <c r="D1499" s="25"/>
      <c r="E1499" s="27"/>
      <c r="F1499" s="25"/>
      <c r="G1499" s="27"/>
    </row>
    <row r="1500">
      <c r="A1500" s="21"/>
      <c r="B1500" s="21"/>
      <c r="D1500" s="25"/>
      <c r="E1500" s="27"/>
      <c r="F1500" s="25"/>
      <c r="G1500" s="27"/>
    </row>
    <row r="1501">
      <c r="A1501" s="21"/>
      <c r="B1501" s="21"/>
      <c r="D1501" s="25"/>
      <c r="E1501" s="27"/>
      <c r="F1501" s="25"/>
      <c r="G1501" s="27"/>
    </row>
    <row r="1502">
      <c r="A1502" s="21"/>
      <c r="B1502" s="21"/>
      <c r="D1502" s="25"/>
      <c r="E1502" s="27"/>
      <c r="F1502" s="25"/>
      <c r="G1502" s="27"/>
    </row>
    <row r="1503">
      <c r="A1503" s="21"/>
      <c r="B1503" s="21"/>
      <c r="D1503" s="25"/>
      <c r="E1503" s="27"/>
      <c r="F1503" s="25"/>
      <c r="G1503" s="27"/>
    </row>
    <row r="1504">
      <c r="A1504" s="21"/>
      <c r="B1504" s="21"/>
      <c r="D1504" s="25"/>
      <c r="E1504" s="27"/>
      <c r="F1504" s="25"/>
      <c r="G1504" s="27"/>
    </row>
    <row r="1505">
      <c r="A1505" s="21"/>
      <c r="B1505" s="21"/>
      <c r="D1505" s="25"/>
      <c r="E1505" s="27"/>
      <c r="F1505" s="25"/>
      <c r="G1505" s="27"/>
    </row>
    <row r="1506">
      <c r="A1506" s="21"/>
      <c r="B1506" s="21"/>
      <c r="D1506" s="25"/>
      <c r="E1506" s="27"/>
      <c r="F1506" s="25"/>
      <c r="G1506" s="27"/>
    </row>
    <row r="1507">
      <c r="A1507" s="21"/>
      <c r="B1507" s="21"/>
      <c r="D1507" s="25"/>
      <c r="E1507" s="27"/>
      <c r="F1507" s="25"/>
      <c r="G1507" s="27"/>
    </row>
    <row r="1508">
      <c r="A1508" s="21"/>
      <c r="B1508" s="21"/>
      <c r="D1508" s="25"/>
      <c r="E1508" s="27"/>
      <c r="F1508" s="25"/>
      <c r="G1508" s="27"/>
    </row>
    <row r="1509">
      <c r="A1509" s="21"/>
      <c r="B1509" s="21"/>
      <c r="D1509" s="25"/>
      <c r="E1509" s="27"/>
      <c r="F1509" s="25"/>
      <c r="G1509" s="27"/>
    </row>
    <row r="1510">
      <c r="A1510" s="21"/>
      <c r="B1510" s="21"/>
      <c r="D1510" s="25"/>
      <c r="E1510" s="27"/>
      <c r="F1510" s="25"/>
      <c r="G1510" s="27"/>
    </row>
    <row r="1511">
      <c r="A1511" s="21"/>
      <c r="B1511" s="21"/>
      <c r="D1511" s="25"/>
      <c r="E1511" s="27"/>
      <c r="F1511" s="25"/>
      <c r="G1511" s="27"/>
    </row>
    <row r="1512">
      <c r="A1512" s="21"/>
      <c r="B1512" s="21"/>
      <c r="D1512" s="25"/>
      <c r="E1512" s="27"/>
      <c r="F1512" s="25"/>
      <c r="G1512" s="27"/>
    </row>
    <row r="1513">
      <c r="A1513" s="21"/>
      <c r="B1513" s="21"/>
      <c r="D1513" s="25"/>
      <c r="E1513" s="27"/>
      <c r="F1513" s="25"/>
      <c r="G1513" s="27"/>
    </row>
    <row r="1514">
      <c r="A1514" s="21"/>
      <c r="B1514" s="21"/>
      <c r="D1514" s="25"/>
      <c r="E1514" s="27"/>
      <c r="F1514" s="25"/>
      <c r="G1514" s="27"/>
    </row>
    <row r="1515">
      <c r="A1515" s="21"/>
      <c r="B1515" s="21"/>
      <c r="D1515" s="25"/>
      <c r="E1515" s="27"/>
      <c r="F1515" s="25"/>
      <c r="G1515" s="27"/>
    </row>
    <row r="1516">
      <c r="A1516" s="21"/>
      <c r="B1516" s="21"/>
      <c r="D1516" s="25"/>
      <c r="E1516" s="27"/>
      <c r="F1516" s="25"/>
      <c r="G1516" s="27"/>
    </row>
    <row r="1517">
      <c r="A1517" s="21"/>
      <c r="B1517" s="21"/>
      <c r="D1517" s="25"/>
      <c r="E1517" s="27"/>
      <c r="F1517" s="25"/>
      <c r="G1517" s="27"/>
    </row>
    <row r="1518">
      <c r="A1518" s="21"/>
      <c r="B1518" s="21"/>
      <c r="D1518" s="25"/>
      <c r="E1518" s="27"/>
      <c r="F1518" s="25"/>
      <c r="G1518" s="27"/>
    </row>
    <row r="1519">
      <c r="A1519" s="21"/>
      <c r="B1519" s="21"/>
      <c r="D1519" s="25"/>
      <c r="E1519" s="27"/>
      <c r="F1519" s="25"/>
      <c r="G1519" s="27"/>
    </row>
    <row r="1520">
      <c r="A1520" s="21"/>
      <c r="B1520" s="21"/>
      <c r="D1520" s="25"/>
      <c r="E1520" s="27"/>
      <c r="F1520" s="25"/>
      <c r="G1520" s="27"/>
    </row>
    <row r="1521">
      <c r="A1521" s="21"/>
      <c r="B1521" s="21"/>
      <c r="D1521" s="25"/>
      <c r="E1521" s="27"/>
      <c r="F1521" s="25"/>
      <c r="G1521" s="27"/>
    </row>
    <row r="1522">
      <c r="A1522" s="21"/>
      <c r="B1522" s="21"/>
      <c r="D1522" s="25"/>
      <c r="E1522" s="27"/>
      <c r="F1522" s="25"/>
      <c r="G1522" s="27"/>
    </row>
    <row r="1523">
      <c r="A1523" s="21"/>
      <c r="B1523" s="21"/>
      <c r="D1523" s="25"/>
      <c r="E1523" s="27"/>
      <c r="F1523" s="25"/>
      <c r="G1523" s="27"/>
    </row>
    <row r="1524">
      <c r="A1524" s="21"/>
      <c r="B1524" s="21"/>
      <c r="D1524" s="25"/>
      <c r="E1524" s="27"/>
      <c r="F1524" s="25"/>
      <c r="G1524" s="27"/>
    </row>
    <row r="1525">
      <c r="A1525" s="21"/>
      <c r="B1525" s="21"/>
      <c r="D1525" s="25"/>
      <c r="E1525" s="27"/>
      <c r="F1525" s="25"/>
      <c r="G1525" s="27"/>
    </row>
    <row r="1526">
      <c r="A1526" s="21"/>
      <c r="B1526" s="21"/>
      <c r="D1526" s="25"/>
      <c r="E1526" s="27"/>
      <c r="F1526" s="25"/>
      <c r="G1526" s="27"/>
    </row>
    <row r="1527">
      <c r="A1527" s="21"/>
      <c r="B1527" s="21"/>
      <c r="D1527" s="25"/>
      <c r="E1527" s="27"/>
      <c r="F1527" s="25"/>
      <c r="G1527" s="27"/>
    </row>
    <row r="1528">
      <c r="A1528" s="21"/>
      <c r="B1528" s="21"/>
      <c r="D1528" s="25"/>
      <c r="E1528" s="27"/>
      <c r="F1528" s="25"/>
      <c r="G1528" s="27"/>
    </row>
    <row r="1529">
      <c r="A1529" s="21"/>
      <c r="B1529" s="21"/>
      <c r="D1529" s="25"/>
      <c r="E1529" s="27"/>
      <c r="F1529" s="25"/>
      <c r="G1529" s="27"/>
    </row>
    <row r="1530">
      <c r="A1530" s="21"/>
      <c r="B1530" s="21"/>
      <c r="D1530" s="25"/>
      <c r="E1530" s="27"/>
      <c r="F1530" s="25"/>
      <c r="G1530" s="27"/>
    </row>
    <row r="1531">
      <c r="A1531" s="21"/>
      <c r="B1531" s="21"/>
      <c r="D1531" s="25"/>
      <c r="E1531" s="27"/>
      <c r="F1531" s="25"/>
      <c r="G1531" s="27"/>
    </row>
    <row r="1532">
      <c r="A1532" s="21"/>
      <c r="B1532" s="21"/>
      <c r="D1532" s="25"/>
      <c r="E1532" s="27"/>
      <c r="F1532" s="25"/>
      <c r="G1532" s="27"/>
    </row>
    <row r="1533">
      <c r="A1533" s="21"/>
      <c r="B1533" s="21"/>
      <c r="D1533" s="25"/>
      <c r="E1533" s="27"/>
      <c r="F1533" s="25"/>
      <c r="G1533" s="27"/>
    </row>
    <row r="1534">
      <c r="A1534" s="21"/>
      <c r="B1534" s="21"/>
      <c r="D1534" s="25"/>
      <c r="E1534" s="27"/>
      <c r="F1534" s="25"/>
      <c r="G1534" s="27"/>
    </row>
    <row r="1535">
      <c r="A1535" s="21"/>
      <c r="B1535" s="21"/>
      <c r="D1535" s="25"/>
      <c r="E1535" s="27"/>
      <c r="F1535" s="25"/>
      <c r="G1535" s="27"/>
    </row>
    <row r="1536">
      <c r="A1536" s="21"/>
      <c r="B1536" s="21"/>
      <c r="D1536" s="25"/>
      <c r="E1536" s="27"/>
      <c r="F1536" s="25"/>
      <c r="G1536" s="27"/>
    </row>
    <row r="1537">
      <c r="A1537" s="21"/>
      <c r="B1537" s="21"/>
      <c r="D1537" s="25"/>
      <c r="E1537" s="27"/>
      <c r="F1537" s="25"/>
      <c r="G1537" s="27"/>
    </row>
    <row r="1538">
      <c r="A1538" s="21"/>
      <c r="B1538" s="21"/>
      <c r="D1538" s="25"/>
      <c r="E1538" s="27"/>
      <c r="F1538" s="25"/>
      <c r="G1538" s="27"/>
    </row>
    <row r="1539">
      <c r="A1539" s="21"/>
      <c r="B1539" s="21"/>
      <c r="D1539" s="25"/>
      <c r="E1539" s="27"/>
      <c r="F1539" s="25"/>
      <c r="G1539" s="27"/>
    </row>
    <row r="1540">
      <c r="A1540" s="21"/>
      <c r="B1540" s="21"/>
      <c r="D1540" s="25"/>
      <c r="E1540" s="27"/>
      <c r="F1540" s="25"/>
      <c r="G1540" s="27"/>
    </row>
    <row r="1541">
      <c r="A1541" s="21"/>
      <c r="B1541" s="21"/>
      <c r="D1541" s="25"/>
      <c r="E1541" s="27"/>
      <c r="F1541" s="25"/>
      <c r="G1541" s="27"/>
    </row>
    <row r="1542">
      <c r="A1542" s="21"/>
      <c r="B1542" s="21"/>
      <c r="D1542" s="25"/>
      <c r="E1542" s="27"/>
      <c r="F1542" s="25"/>
      <c r="G1542" s="27"/>
    </row>
    <row r="1543">
      <c r="A1543" s="21"/>
      <c r="B1543" s="21"/>
      <c r="D1543" s="25"/>
      <c r="E1543" s="27"/>
      <c r="F1543" s="25"/>
      <c r="G1543" s="27"/>
    </row>
    <row r="1544">
      <c r="A1544" s="21"/>
      <c r="B1544" s="21"/>
      <c r="D1544" s="25"/>
      <c r="E1544" s="27"/>
      <c r="F1544" s="25"/>
      <c r="G1544" s="27"/>
    </row>
    <row r="1545">
      <c r="A1545" s="21"/>
      <c r="B1545" s="21"/>
      <c r="D1545" s="25"/>
      <c r="E1545" s="27"/>
      <c r="F1545" s="25"/>
      <c r="G1545" s="27"/>
    </row>
    <row r="1546">
      <c r="A1546" s="21"/>
      <c r="B1546" s="21"/>
      <c r="D1546" s="25"/>
      <c r="E1546" s="27"/>
      <c r="F1546" s="25"/>
      <c r="G1546" s="27"/>
    </row>
    <row r="1547">
      <c r="A1547" s="21"/>
      <c r="B1547" s="21"/>
      <c r="D1547" s="25"/>
      <c r="E1547" s="27"/>
      <c r="F1547" s="25"/>
      <c r="G1547" s="27"/>
    </row>
    <row r="1548">
      <c r="A1548" s="21"/>
      <c r="B1548" s="21"/>
      <c r="D1548" s="25"/>
      <c r="E1548" s="27"/>
      <c r="F1548" s="25"/>
      <c r="G1548" s="27"/>
    </row>
    <row r="1549">
      <c r="A1549" s="21"/>
      <c r="B1549" s="21"/>
      <c r="D1549" s="25"/>
      <c r="E1549" s="27"/>
      <c r="F1549" s="25"/>
      <c r="G1549" s="27"/>
    </row>
    <row r="1550">
      <c r="A1550" s="21"/>
      <c r="B1550" s="21"/>
      <c r="D1550" s="25"/>
      <c r="E1550" s="27"/>
      <c r="F1550" s="25"/>
      <c r="G1550" s="27"/>
    </row>
    <row r="1551">
      <c r="A1551" s="21"/>
      <c r="B1551" s="21"/>
      <c r="D1551" s="25"/>
      <c r="E1551" s="27"/>
      <c r="F1551" s="25"/>
      <c r="G1551" s="27"/>
    </row>
    <row r="1552">
      <c r="A1552" s="21"/>
      <c r="B1552" s="21"/>
      <c r="D1552" s="25"/>
      <c r="E1552" s="27"/>
      <c r="F1552" s="25"/>
      <c r="G1552" s="27"/>
    </row>
    <row r="1553">
      <c r="A1553" s="21"/>
      <c r="B1553" s="21"/>
      <c r="D1553" s="25"/>
      <c r="E1553" s="27"/>
      <c r="F1553" s="25"/>
      <c r="G1553" s="27"/>
    </row>
    <row r="1554">
      <c r="A1554" s="21"/>
      <c r="B1554" s="21"/>
      <c r="D1554" s="25"/>
      <c r="E1554" s="27"/>
      <c r="F1554" s="25"/>
      <c r="G1554" s="27"/>
    </row>
    <row r="1555">
      <c r="A1555" s="21"/>
      <c r="B1555" s="21"/>
      <c r="D1555" s="25"/>
      <c r="E1555" s="27"/>
      <c r="F1555" s="25"/>
      <c r="G1555" s="27"/>
    </row>
    <row r="1556">
      <c r="A1556" s="21"/>
      <c r="B1556" s="21"/>
      <c r="D1556" s="25"/>
      <c r="E1556" s="27"/>
      <c r="F1556" s="25"/>
      <c r="G1556" s="27"/>
    </row>
    <row r="1557">
      <c r="A1557" s="21"/>
      <c r="B1557" s="21"/>
      <c r="D1557" s="25"/>
      <c r="E1557" s="27"/>
      <c r="F1557" s="25"/>
      <c r="G1557" s="27"/>
    </row>
    <row r="1558">
      <c r="A1558" s="21"/>
      <c r="B1558" s="21"/>
      <c r="D1558" s="25"/>
      <c r="E1558" s="27"/>
      <c r="F1558" s="25"/>
      <c r="G1558" s="27"/>
    </row>
    <row r="1559">
      <c r="A1559" s="21"/>
      <c r="B1559" s="21"/>
      <c r="D1559" s="25"/>
      <c r="E1559" s="27"/>
      <c r="F1559" s="25"/>
      <c r="G1559" s="27"/>
    </row>
    <row r="1560">
      <c r="A1560" s="21"/>
      <c r="B1560" s="21"/>
      <c r="D1560" s="25"/>
      <c r="E1560" s="27"/>
      <c r="F1560" s="25"/>
      <c r="G1560" s="27"/>
    </row>
    <row r="1561">
      <c r="A1561" s="21"/>
      <c r="B1561" s="21"/>
      <c r="D1561" s="25"/>
      <c r="E1561" s="27"/>
      <c r="F1561" s="25"/>
      <c r="G1561" s="27"/>
    </row>
    <row r="1562">
      <c r="A1562" s="21"/>
      <c r="B1562" s="21"/>
      <c r="D1562" s="25"/>
      <c r="E1562" s="27"/>
      <c r="F1562" s="25"/>
      <c r="G1562" s="27"/>
    </row>
    <row r="1563">
      <c r="A1563" s="21"/>
      <c r="B1563" s="21"/>
      <c r="D1563" s="25"/>
      <c r="E1563" s="27"/>
      <c r="F1563" s="25"/>
      <c r="G1563" s="27"/>
    </row>
    <row r="1564">
      <c r="A1564" s="21"/>
      <c r="B1564" s="21"/>
      <c r="D1564" s="25"/>
      <c r="E1564" s="27"/>
      <c r="F1564" s="25"/>
      <c r="G1564" s="27"/>
    </row>
    <row r="1565">
      <c r="A1565" s="21"/>
      <c r="B1565" s="21"/>
      <c r="D1565" s="25"/>
      <c r="E1565" s="27"/>
      <c r="F1565" s="25"/>
      <c r="G1565" s="27"/>
    </row>
    <row r="1566">
      <c r="A1566" s="21"/>
      <c r="B1566" s="21"/>
      <c r="D1566" s="25"/>
      <c r="E1566" s="27"/>
      <c r="F1566" s="25"/>
      <c r="G1566" s="27"/>
    </row>
    <row r="1567">
      <c r="A1567" s="21"/>
      <c r="B1567" s="21"/>
      <c r="D1567" s="25"/>
      <c r="E1567" s="27"/>
      <c r="F1567" s="25"/>
      <c r="G1567" s="27"/>
    </row>
    <row r="1568">
      <c r="A1568" s="21"/>
      <c r="B1568" s="21"/>
      <c r="D1568" s="25"/>
      <c r="E1568" s="27"/>
      <c r="F1568" s="25"/>
      <c r="G1568" s="27"/>
    </row>
    <row r="1569">
      <c r="A1569" s="21"/>
      <c r="B1569" s="21"/>
      <c r="D1569" s="25"/>
      <c r="E1569" s="27"/>
      <c r="F1569" s="25"/>
      <c r="G1569" s="27"/>
    </row>
    <row r="1570">
      <c r="A1570" s="21"/>
      <c r="B1570" s="21"/>
      <c r="D1570" s="25"/>
      <c r="E1570" s="27"/>
      <c r="F1570" s="25"/>
      <c r="G1570" s="27"/>
    </row>
    <row r="1571">
      <c r="A1571" s="21"/>
      <c r="B1571" s="21"/>
      <c r="D1571" s="25"/>
      <c r="E1571" s="27"/>
      <c r="F1571" s="25"/>
      <c r="G1571" s="27"/>
    </row>
    <row r="1572">
      <c r="A1572" s="21"/>
      <c r="B1572" s="21"/>
      <c r="D1572" s="25"/>
      <c r="E1572" s="27"/>
      <c r="F1572" s="25"/>
      <c r="G1572" s="27"/>
    </row>
    <row r="1573">
      <c r="A1573" s="21"/>
      <c r="B1573" s="21"/>
      <c r="D1573" s="25"/>
      <c r="E1573" s="27"/>
      <c r="F1573" s="25"/>
      <c r="G1573" s="27"/>
    </row>
    <row r="1574">
      <c r="A1574" s="21"/>
      <c r="B1574" s="21"/>
      <c r="D1574" s="25"/>
      <c r="E1574" s="27"/>
      <c r="F1574" s="25"/>
      <c r="G1574" s="27"/>
    </row>
    <row r="1575">
      <c r="A1575" s="21"/>
      <c r="B1575" s="21"/>
      <c r="D1575" s="25"/>
      <c r="E1575" s="27"/>
      <c r="F1575" s="25"/>
      <c r="G1575" s="27"/>
    </row>
    <row r="1576">
      <c r="A1576" s="21"/>
      <c r="B1576" s="21"/>
      <c r="D1576" s="25"/>
      <c r="E1576" s="27"/>
      <c r="F1576" s="25"/>
      <c r="G1576" s="27"/>
    </row>
    <row r="1577">
      <c r="A1577" s="21"/>
      <c r="B1577" s="21"/>
      <c r="D1577" s="25"/>
      <c r="E1577" s="27"/>
      <c r="F1577" s="25"/>
      <c r="G1577" s="27"/>
    </row>
    <row r="1578">
      <c r="A1578" s="21"/>
      <c r="B1578" s="21"/>
      <c r="D1578" s="25"/>
      <c r="E1578" s="27"/>
      <c r="F1578" s="25"/>
      <c r="G1578" s="27"/>
    </row>
    <row r="1579">
      <c r="A1579" s="21"/>
      <c r="B1579" s="21"/>
      <c r="D1579" s="25"/>
      <c r="E1579" s="27"/>
      <c r="F1579" s="25"/>
      <c r="G1579" s="27"/>
    </row>
    <row r="1580">
      <c r="A1580" s="21"/>
      <c r="B1580" s="21"/>
      <c r="D1580" s="25"/>
      <c r="E1580" s="27"/>
      <c r="F1580" s="25"/>
      <c r="G1580" s="27"/>
    </row>
    <row r="1581">
      <c r="A1581" s="21"/>
      <c r="B1581" s="21"/>
      <c r="D1581" s="25"/>
      <c r="E1581" s="27"/>
      <c r="F1581" s="25"/>
      <c r="G1581" s="27"/>
    </row>
    <row r="1582">
      <c r="A1582" s="21"/>
      <c r="B1582" s="21"/>
      <c r="D1582" s="25"/>
      <c r="E1582" s="27"/>
      <c r="F1582" s="25"/>
      <c r="G1582" s="27"/>
    </row>
    <row r="1583">
      <c r="A1583" s="21"/>
      <c r="B1583" s="21"/>
      <c r="D1583" s="25"/>
      <c r="E1583" s="27"/>
      <c r="F1583" s="25"/>
      <c r="G1583" s="27"/>
    </row>
    <row r="1584">
      <c r="A1584" s="21"/>
      <c r="B1584" s="21"/>
      <c r="D1584" s="25"/>
      <c r="E1584" s="27"/>
      <c r="F1584" s="25"/>
      <c r="G1584" s="27"/>
    </row>
    <row r="1585">
      <c r="A1585" s="21"/>
      <c r="B1585" s="21"/>
      <c r="D1585" s="25"/>
      <c r="E1585" s="27"/>
      <c r="F1585" s="25"/>
      <c r="G1585" s="27"/>
    </row>
    <row r="1586">
      <c r="A1586" s="21"/>
      <c r="B1586" s="21"/>
      <c r="D1586" s="25"/>
      <c r="E1586" s="27"/>
      <c r="F1586" s="25"/>
      <c r="G1586" s="27"/>
    </row>
    <row r="1587">
      <c r="A1587" s="21"/>
      <c r="B1587" s="21"/>
      <c r="D1587" s="25"/>
      <c r="E1587" s="27"/>
      <c r="F1587" s="25"/>
      <c r="G1587" s="27"/>
    </row>
    <row r="1588">
      <c r="A1588" s="21"/>
      <c r="B1588" s="21"/>
      <c r="D1588" s="25"/>
      <c r="E1588" s="27"/>
      <c r="F1588" s="25"/>
      <c r="G1588" s="27"/>
    </row>
    <row r="1589">
      <c r="A1589" s="21"/>
      <c r="B1589" s="21"/>
      <c r="D1589" s="25"/>
      <c r="E1589" s="27"/>
      <c r="F1589" s="25"/>
      <c r="G1589" s="27"/>
    </row>
    <row r="1590">
      <c r="A1590" s="21"/>
      <c r="B1590" s="21"/>
      <c r="D1590" s="25"/>
      <c r="E1590" s="27"/>
      <c r="F1590" s="25"/>
      <c r="G1590" s="27"/>
    </row>
    <row r="1591">
      <c r="A1591" s="21"/>
      <c r="B1591" s="21"/>
      <c r="D1591" s="25"/>
      <c r="E1591" s="27"/>
      <c r="F1591" s="25"/>
      <c r="G1591" s="27"/>
    </row>
    <row r="1592">
      <c r="A1592" s="21"/>
      <c r="B1592" s="21"/>
      <c r="D1592" s="25"/>
      <c r="E1592" s="27"/>
      <c r="F1592" s="25"/>
      <c r="G1592" s="27"/>
    </row>
    <row r="1593">
      <c r="A1593" s="21"/>
      <c r="B1593" s="21"/>
      <c r="D1593" s="25"/>
      <c r="E1593" s="27"/>
      <c r="F1593" s="25"/>
      <c r="G1593" s="27"/>
    </row>
    <row r="1594">
      <c r="A1594" s="21"/>
      <c r="B1594" s="21"/>
      <c r="D1594" s="25"/>
      <c r="E1594" s="27"/>
      <c r="F1594" s="25"/>
      <c r="G1594" s="27"/>
    </row>
    <row r="1595">
      <c r="A1595" s="21"/>
      <c r="B1595" s="21"/>
      <c r="D1595" s="25"/>
      <c r="E1595" s="27"/>
      <c r="F1595" s="25"/>
      <c r="G1595" s="27"/>
    </row>
    <row r="1596">
      <c r="A1596" s="21"/>
      <c r="B1596" s="21"/>
      <c r="D1596" s="25"/>
      <c r="E1596" s="27"/>
      <c r="F1596" s="25"/>
      <c r="G1596" s="27"/>
    </row>
    <row r="1597">
      <c r="A1597" s="21"/>
      <c r="B1597" s="21"/>
      <c r="D1597" s="25"/>
      <c r="E1597" s="27"/>
      <c r="F1597" s="25"/>
      <c r="G1597" s="27"/>
    </row>
    <row r="1598">
      <c r="A1598" s="21"/>
      <c r="B1598" s="21"/>
      <c r="D1598" s="25"/>
      <c r="E1598" s="27"/>
      <c r="F1598" s="25"/>
      <c r="G1598" s="27"/>
    </row>
    <row r="1599">
      <c r="A1599" s="21"/>
      <c r="B1599" s="21"/>
      <c r="D1599" s="25"/>
      <c r="E1599" s="27"/>
      <c r="F1599" s="25"/>
      <c r="G1599" s="27"/>
    </row>
    <row r="1600">
      <c r="A1600" s="21"/>
      <c r="B1600" s="21"/>
      <c r="D1600" s="25"/>
      <c r="E1600" s="27"/>
      <c r="F1600" s="25"/>
      <c r="G1600" s="27"/>
    </row>
    <row r="1601">
      <c r="A1601" s="21"/>
      <c r="B1601" s="21"/>
      <c r="D1601" s="25"/>
      <c r="E1601" s="27"/>
      <c r="F1601" s="25"/>
      <c r="G1601" s="27"/>
    </row>
    <row r="1602">
      <c r="A1602" s="21"/>
      <c r="B1602" s="21"/>
      <c r="D1602" s="25"/>
      <c r="E1602" s="27"/>
      <c r="F1602" s="25"/>
      <c r="G1602" s="27"/>
    </row>
    <row r="1603">
      <c r="A1603" s="21"/>
      <c r="B1603" s="21"/>
      <c r="D1603" s="25"/>
      <c r="E1603" s="27"/>
      <c r="F1603" s="25"/>
      <c r="G1603" s="27"/>
    </row>
    <row r="1604">
      <c r="A1604" s="21"/>
      <c r="B1604" s="21"/>
      <c r="D1604" s="25"/>
      <c r="E1604" s="27"/>
      <c r="F1604" s="25"/>
      <c r="G1604" s="27"/>
    </row>
    <row r="1605">
      <c r="A1605" s="21"/>
      <c r="B1605" s="21"/>
      <c r="D1605" s="25"/>
      <c r="E1605" s="27"/>
      <c r="F1605" s="25"/>
      <c r="G1605" s="27"/>
    </row>
    <row r="1606">
      <c r="A1606" s="21"/>
      <c r="B1606" s="21"/>
      <c r="D1606" s="25"/>
      <c r="E1606" s="27"/>
      <c r="F1606" s="25"/>
      <c r="G1606" s="27"/>
    </row>
    <row r="1607">
      <c r="A1607" s="21"/>
      <c r="B1607" s="21"/>
      <c r="D1607" s="25"/>
      <c r="E1607" s="27"/>
      <c r="F1607" s="25"/>
      <c r="G1607" s="27"/>
    </row>
    <row r="1608">
      <c r="A1608" s="21"/>
      <c r="B1608" s="21"/>
      <c r="D1608" s="25"/>
      <c r="E1608" s="27"/>
      <c r="F1608" s="25"/>
      <c r="G1608" s="27"/>
    </row>
    <row r="1609">
      <c r="A1609" s="21"/>
      <c r="B1609" s="21"/>
      <c r="D1609" s="25"/>
      <c r="E1609" s="27"/>
      <c r="F1609" s="25"/>
      <c r="G1609" s="27"/>
    </row>
    <row r="1610">
      <c r="A1610" s="21"/>
      <c r="B1610" s="21"/>
      <c r="D1610" s="25"/>
      <c r="E1610" s="27"/>
      <c r="F1610" s="25"/>
      <c r="G1610" s="27"/>
    </row>
    <row r="1611">
      <c r="A1611" s="21"/>
      <c r="B1611" s="21"/>
      <c r="D1611" s="25"/>
      <c r="E1611" s="27"/>
      <c r="F1611" s="25"/>
      <c r="G1611" s="27"/>
    </row>
    <row r="1612">
      <c r="A1612" s="21"/>
      <c r="B1612" s="21"/>
      <c r="D1612" s="25"/>
      <c r="E1612" s="27"/>
      <c r="F1612" s="25"/>
      <c r="G1612" s="27"/>
    </row>
    <row r="1613">
      <c r="A1613" s="21"/>
      <c r="B1613" s="21"/>
      <c r="D1613" s="25"/>
      <c r="E1613" s="27"/>
      <c r="F1613" s="25"/>
      <c r="G1613" s="27"/>
    </row>
    <row r="1614">
      <c r="A1614" s="21"/>
      <c r="B1614" s="21"/>
      <c r="D1614" s="25"/>
      <c r="E1614" s="27"/>
      <c r="F1614" s="25"/>
      <c r="G1614" s="27"/>
    </row>
    <row r="1615">
      <c r="A1615" s="21"/>
      <c r="B1615" s="21"/>
      <c r="D1615" s="25"/>
      <c r="E1615" s="27"/>
      <c r="F1615" s="25"/>
      <c r="G1615" s="27"/>
    </row>
    <row r="1616">
      <c r="A1616" s="21"/>
      <c r="B1616" s="21"/>
      <c r="D1616" s="25"/>
      <c r="E1616" s="27"/>
      <c r="F1616" s="25"/>
      <c r="G1616" s="27"/>
    </row>
    <row r="1617">
      <c r="A1617" s="21"/>
      <c r="B1617" s="21"/>
      <c r="D1617" s="25"/>
      <c r="E1617" s="27"/>
      <c r="F1617" s="25"/>
      <c r="G1617" s="27"/>
    </row>
    <row r="1618">
      <c r="A1618" s="21"/>
      <c r="B1618" s="21"/>
      <c r="D1618" s="25"/>
      <c r="E1618" s="27"/>
      <c r="F1618" s="25"/>
      <c r="G1618" s="27"/>
    </row>
    <row r="1619">
      <c r="A1619" s="21"/>
      <c r="B1619" s="21"/>
      <c r="D1619" s="25"/>
      <c r="E1619" s="27"/>
      <c r="F1619" s="25"/>
      <c r="G1619" s="27"/>
    </row>
    <row r="1620">
      <c r="A1620" s="21"/>
      <c r="B1620" s="21"/>
      <c r="D1620" s="25"/>
      <c r="E1620" s="27"/>
      <c r="F1620" s="25"/>
      <c r="G1620" s="27"/>
    </row>
    <row r="1621">
      <c r="A1621" s="21"/>
      <c r="B1621" s="21"/>
      <c r="D1621" s="25"/>
      <c r="E1621" s="27"/>
      <c r="F1621" s="25"/>
      <c r="G1621" s="27"/>
    </row>
    <row r="1622">
      <c r="A1622" s="21"/>
      <c r="B1622" s="21"/>
      <c r="D1622" s="25"/>
      <c r="E1622" s="27"/>
      <c r="F1622" s="25"/>
      <c r="G1622" s="27"/>
    </row>
    <row r="1623">
      <c r="A1623" s="21"/>
      <c r="B1623" s="21"/>
      <c r="D1623" s="25"/>
      <c r="E1623" s="27"/>
      <c r="F1623" s="25"/>
      <c r="G1623" s="27"/>
    </row>
    <row r="1624">
      <c r="A1624" s="21"/>
      <c r="B1624" s="21"/>
      <c r="D1624" s="25"/>
      <c r="E1624" s="27"/>
      <c r="F1624" s="25"/>
      <c r="G1624" s="27"/>
    </row>
    <row r="1625">
      <c r="A1625" s="21"/>
      <c r="B1625" s="21"/>
      <c r="D1625" s="25"/>
      <c r="E1625" s="27"/>
      <c r="F1625" s="25"/>
      <c r="G1625" s="27"/>
    </row>
    <row r="1626">
      <c r="A1626" s="21"/>
      <c r="B1626" s="21"/>
      <c r="D1626" s="25"/>
      <c r="E1626" s="27"/>
      <c r="F1626" s="25"/>
      <c r="G1626" s="27"/>
    </row>
    <row r="1627">
      <c r="A1627" s="21"/>
      <c r="B1627" s="21"/>
      <c r="D1627" s="25"/>
      <c r="E1627" s="27"/>
      <c r="F1627" s="25"/>
      <c r="G1627" s="27"/>
    </row>
    <row r="1628">
      <c r="A1628" s="21"/>
      <c r="B1628" s="21"/>
      <c r="D1628" s="25"/>
      <c r="E1628" s="27"/>
      <c r="F1628" s="25"/>
      <c r="G1628" s="27"/>
    </row>
    <row r="1629">
      <c r="A1629" s="21"/>
      <c r="B1629" s="21"/>
      <c r="D1629" s="25"/>
      <c r="E1629" s="27"/>
      <c r="F1629" s="25"/>
      <c r="G1629" s="27"/>
    </row>
    <row r="1630">
      <c r="A1630" s="21"/>
      <c r="B1630" s="21"/>
      <c r="D1630" s="25"/>
      <c r="E1630" s="27"/>
      <c r="F1630" s="25"/>
      <c r="G1630" s="27"/>
    </row>
    <row r="1631">
      <c r="A1631" s="21"/>
      <c r="B1631" s="21"/>
      <c r="D1631" s="25"/>
      <c r="E1631" s="27"/>
      <c r="F1631" s="25"/>
      <c r="G1631" s="27"/>
    </row>
    <row r="1632">
      <c r="A1632" s="21"/>
      <c r="B1632" s="21"/>
      <c r="D1632" s="25"/>
      <c r="E1632" s="27"/>
      <c r="F1632" s="25"/>
      <c r="G1632" s="27"/>
    </row>
    <row r="1633">
      <c r="A1633" s="21"/>
      <c r="B1633" s="21"/>
      <c r="D1633" s="25"/>
      <c r="E1633" s="27"/>
      <c r="F1633" s="25"/>
      <c r="G1633" s="27"/>
    </row>
    <row r="1634">
      <c r="A1634" s="21"/>
      <c r="B1634" s="21"/>
      <c r="D1634" s="25"/>
      <c r="E1634" s="27"/>
      <c r="F1634" s="25"/>
      <c r="G1634" s="27"/>
    </row>
    <row r="1635">
      <c r="A1635" s="21"/>
      <c r="B1635" s="21"/>
      <c r="D1635" s="25"/>
      <c r="E1635" s="27"/>
      <c r="F1635" s="25"/>
      <c r="G1635" s="27"/>
    </row>
    <row r="1636">
      <c r="A1636" s="21"/>
      <c r="B1636" s="21"/>
      <c r="D1636" s="25"/>
      <c r="E1636" s="27"/>
      <c r="F1636" s="25"/>
      <c r="G1636" s="27"/>
    </row>
    <row r="1637">
      <c r="A1637" s="21"/>
      <c r="B1637" s="21"/>
      <c r="D1637" s="25"/>
      <c r="E1637" s="27"/>
      <c r="F1637" s="25"/>
      <c r="G1637" s="27"/>
    </row>
    <row r="1638">
      <c r="A1638" s="21"/>
      <c r="B1638" s="21"/>
      <c r="D1638" s="25"/>
      <c r="E1638" s="27"/>
      <c r="F1638" s="25"/>
      <c r="G1638" s="27"/>
    </row>
    <row r="1639">
      <c r="A1639" s="21"/>
      <c r="B1639" s="21"/>
      <c r="D1639" s="25"/>
      <c r="E1639" s="27"/>
      <c r="F1639" s="25"/>
      <c r="G1639" s="27"/>
    </row>
    <row r="1640">
      <c r="A1640" s="21"/>
      <c r="B1640" s="21"/>
      <c r="D1640" s="25"/>
      <c r="E1640" s="27"/>
      <c r="F1640" s="25"/>
      <c r="G1640" s="27"/>
    </row>
    <row r="1641">
      <c r="A1641" s="21"/>
      <c r="B1641" s="21"/>
      <c r="D1641" s="25"/>
      <c r="E1641" s="27"/>
      <c r="F1641" s="25"/>
      <c r="G1641" s="27"/>
    </row>
    <row r="1642">
      <c r="A1642" s="21"/>
      <c r="B1642" s="21"/>
      <c r="D1642" s="25"/>
      <c r="E1642" s="27"/>
      <c r="F1642" s="25"/>
      <c r="G1642" s="27"/>
    </row>
    <row r="1643">
      <c r="A1643" s="21"/>
      <c r="B1643" s="21"/>
      <c r="D1643" s="25"/>
      <c r="E1643" s="27"/>
      <c r="F1643" s="25"/>
      <c r="G1643" s="27"/>
    </row>
    <row r="1644">
      <c r="A1644" s="21"/>
      <c r="B1644" s="21"/>
      <c r="D1644" s="25"/>
      <c r="E1644" s="27"/>
      <c r="F1644" s="25"/>
      <c r="G1644" s="27"/>
    </row>
    <row r="1645">
      <c r="A1645" s="21"/>
      <c r="B1645" s="21"/>
      <c r="D1645" s="25"/>
      <c r="E1645" s="27"/>
      <c r="F1645" s="25"/>
      <c r="G1645" s="27"/>
    </row>
    <row r="1646">
      <c r="A1646" s="21"/>
      <c r="B1646" s="21"/>
      <c r="D1646" s="25"/>
      <c r="E1646" s="27"/>
      <c r="F1646" s="25"/>
      <c r="G1646" s="27"/>
    </row>
    <row r="1647">
      <c r="A1647" s="21"/>
      <c r="B1647" s="21"/>
      <c r="D1647" s="25"/>
      <c r="E1647" s="27"/>
      <c r="F1647" s="25"/>
      <c r="G1647" s="27"/>
    </row>
    <row r="1648">
      <c r="A1648" s="21"/>
      <c r="B1648" s="21"/>
      <c r="D1648" s="25"/>
      <c r="E1648" s="27"/>
      <c r="F1648" s="25"/>
      <c r="G1648" s="27"/>
    </row>
    <row r="1649">
      <c r="A1649" s="21"/>
      <c r="B1649" s="21"/>
      <c r="D1649" s="25"/>
      <c r="E1649" s="27"/>
      <c r="F1649" s="25"/>
      <c r="G1649" s="27"/>
    </row>
    <row r="1650">
      <c r="A1650" s="21"/>
      <c r="B1650" s="21"/>
      <c r="D1650" s="25"/>
      <c r="E1650" s="27"/>
      <c r="F1650" s="25"/>
      <c r="G1650" s="27"/>
    </row>
    <row r="1651">
      <c r="A1651" s="21"/>
      <c r="B1651" s="21"/>
      <c r="D1651" s="25"/>
      <c r="E1651" s="27"/>
      <c r="F1651" s="25"/>
      <c r="G1651" s="27"/>
    </row>
    <row r="1652">
      <c r="A1652" s="21"/>
      <c r="B1652" s="21"/>
      <c r="D1652" s="25"/>
      <c r="E1652" s="27"/>
      <c r="F1652" s="25"/>
      <c r="G1652" s="27"/>
    </row>
    <row r="1653">
      <c r="A1653" s="21"/>
      <c r="B1653" s="21"/>
      <c r="D1653" s="25"/>
      <c r="E1653" s="27"/>
      <c r="F1653" s="25"/>
      <c r="G1653" s="27"/>
    </row>
    <row r="1654">
      <c r="A1654" s="21"/>
      <c r="B1654" s="21"/>
      <c r="D1654" s="25"/>
      <c r="E1654" s="27"/>
      <c r="F1654" s="25"/>
      <c r="G1654" s="27"/>
    </row>
    <row r="1655">
      <c r="A1655" s="21"/>
      <c r="B1655" s="21"/>
      <c r="D1655" s="25"/>
      <c r="E1655" s="27"/>
      <c r="F1655" s="25"/>
      <c r="G1655" s="27"/>
    </row>
    <row r="1656">
      <c r="A1656" s="21"/>
      <c r="B1656" s="21"/>
      <c r="D1656" s="25"/>
      <c r="E1656" s="27"/>
      <c r="F1656" s="25"/>
      <c r="G1656" s="27"/>
    </row>
    <row r="1657">
      <c r="A1657" s="21"/>
      <c r="B1657" s="21"/>
      <c r="D1657" s="25"/>
      <c r="E1657" s="27"/>
      <c r="F1657" s="25"/>
      <c r="G1657" s="27"/>
    </row>
    <row r="1658">
      <c r="A1658" s="21"/>
      <c r="B1658" s="21"/>
      <c r="D1658" s="25"/>
      <c r="E1658" s="27"/>
      <c r="F1658" s="25"/>
      <c r="G1658" s="27"/>
    </row>
    <row r="1659">
      <c r="A1659" s="21"/>
      <c r="B1659" s="21"/>
      <c r="D1659" s="25"/>
      <c r="E1659" s="27"/>
      <c r="F1659" s="25"/>
      <c r="G1659" s="27"/>
    </row>
    <row r="1660">
      <c r="A1660" s="21"/>
      <c r="B1660" s="21"/>
      <c r="D1660" s="25"/>
      <c r="E1660" s="27"/>
      <c r="F1660" s="25"/>
      <c r="G1660" s="27"/>
    </row>
    <row r="1661">
      <c r="A1661" s="21"/>
      <c r="B1661" s="21"/>
      <c r="D1661" s="25"/>
      <c r="E1661" s="27"/>
      <c r="F1661" s="25"/>
      <c r="G1661" s="27"/>
    </row>
    <row r="1662">
      <c r="A1662" s="21"/>
      <c r="B1662" s="21"/>
      <c r="D1662" s="25"/>
      <c r="E1662" s="27"/>
      <c r="F1662" s="25"/>
      <c r="G1662" s="27"/>
    </row>
    <row r="1663">
      <c r="A1663" s="21"/>
      <c r="B1663" s="21"/>
      <c r="D1663" s="25"/>
      <c r="E1663" s="27"/>
      <c r="F1663" s="25"/>
      <c r="G1663" s="27"/>
    </row>
    <row r="1664">
      <c r="A1664" s="21"/>
      <c r="B1664" s="21"/>
      <c r="D1664" s="25"/>
      <c r="E1664" s="27"/>
      <c r="F1664" s="25"/>
      <c r="G1664" s="27"/>
    </row>
    <row r="1665">
      <c r="A1665" s="21"/>
      <c r="B1665" s="21"/>
      <c r="D1665" s="25"/>
      <c r="E1665" s="27"/>
      <c r="F1665" s="25"/>
      <c r="G1665" s="27"/>
    </row>
    <row r="1666">
      <c r="A1666" s="21"/>
      <c r="B1666" s="21"/>
      <c r="D1666" s="25"/>
      <c r="E1666" s="27"/>
      <c r="F1666" s="25"/>
      <c r="G1666" s="27"/>
    </row>
    <row r="1667">
      <c r="A1667" s="21"/>
      <c r="B1667" s="21"/>
      <c r="D1667" s="25"/>
      <c r="E1667" s="27"/>
      <c r="F1667" s="25"/>
      <c r="G1667" s="27"/>
    </row>
    <row r="1668">
      <c r="A1668" s="21"/>
      <c r="B1668" s="21"/>
      <c r="D1668" s="25"/>
      <c r="E1668" s="27"/>
      <c r="F1668" s="25"/>
      <c r="G1668" s="27"/>
    </row>
    <row r="1669">
      <c r="A1669" s="21"/>
      <c r="B1669" s="21"/>
      <c r="D1669" s="25"/>
      <c r="E1669" s="27"/>
      <c r="F1669" s="25"/>
      <c r="G1669" s="27"/>
    </row>
    <row r="1670">
      <c r="A1670" s="21"/>
      <c r="B1670" s="21"/>
      <c r="D1670" s="25"/>
      <c r="E1670" s="27"/>
      <c r="F1670" s="25"/>
      <c r="G1670" s="27"/>
    </row>
    <row r="1671">
      <c r="A1671" s="21"/>
      <c r="B1671" s="21"/>
      <c r="D1671" s="25"/>
      <c r="E1671" s="27"/>
      <c r="F1671" s="25"/>
      <c r="G1671" s="27"/>
    </row>
    <row r="1672">
      <c r="A1672" s="21"/>
      <c r="B1672" s="21"/>
      <c r="D1672" s="25"/>
      <c r="E1672" s="27"/>
      <c r="F1672" s="25"/>
      <c r="G1672" s="27"/>
    </row>
    <row r="1673">
      <c r="A1673" s="21"/>
      <c r="B1673" s="21"/>
      <c r="D1673" s="25"/>
      <c r="E1673" s="27"/>
      <c r="F1673" s="25"/>
      <c r="G1673" s="27"/>
    </row>
    <row r="1674">
      <c r="A1674" s="21"/>
      <c r="B1674" s="21"/>
      <c r="D1674" s="25"/>
      <c r="E1674" s="27"/>
      <c r="F1674" s="25"/>
      <c r="G1674" s="27"/>
    </row>
    <row r="1675">
      <c r="A1675" s="21"/>
      <c r="B1675" s="21"/>
      <c r="D1675" s="25"/>
      <c r="E1675" s="27"/>
      <c r="F1675" s="25"/>
      <c r="G1675" s="27"/>
    </row>
    <row r="1676">
      <c r="A1676" s="21"/>
      <c r="B1676" s="21"/>
      <c r="D1676" s="25"/>
      <c r="E1676" s="27"/>
      <c r="F1676" s="25"/>
      <c r="G1676" s="27"/>
    </row>
    <row r="1677">
      <c r="A1677" s="21"/>
      <c r="B1677" s="21"/>
      <c r="D1677" s="25"/>
      <c r="E1677" s="27"/>
      <c r="F1677" s="25"/>
      <c r="G1677" s="27"/>
    </row>
    <row r="1678">
      <c r="A1678" s="21"/>
      <c r="B1678" s="21"/>
      <c r="D1678" s="25"/>
      <c r="E1678" s="27"/>
      <c r="F1678" s="25"/>
      <c r="G1678" s="27"/>
    </row>
    <row r="1679">
      <c r="A1679" s="21"/>
      <c r="B1679" s="21"/>
      <c r="D1679" s="25"/>
      <c r="E1679" s="27"/>
      <c r="F1679" s="25"/>
      <c r="G1679" s="27"/>
    </row>
    <row r="1680">
      <c r="A1680" s="21"/>
      <c r="B1680" s="21"/>
      <c r="D1680" s="25"/>
      <c r="E1680" s="27"/>
      <c r="F1680" s="25"/>
      <c r="G1680" s="27"/>
    </row>
    <row r="1681">
      <c r="A1681" s="21"/>
      <c r="B1681" s="21"/>
      <c r="D1681" s="25"/>
      <c r="E1681" s="27"/>
      <c r="F1681" s="25"/>
      <c r="G1681" s="27"/>
    </row>
    <row r="1682">
      <c r="A1682" s="21"/>
      <c r="B1682" s="21"/>
      <c r="D1682" s="25"/>
      <c r="E1682" s="27"/>
      <c r="F1682" s="25"/>
      <c r="G1682" s="27"/>
    </row>
    <row r="1683">
      <c r="A1683" s="21"/>
      <c r="B1683" s="21"/>
      <c r="D1683" s="25"/>
      <c r="E1683" s="27"/>
      <c r="F1683" s="25"/>
      <c r="G1683" s="27"/>
    </row>
    <row r="1684">
      <c r="A1684" s="21"/>
      <c r="B1684" s="21"/>
      <c r="D1684" s="25"/>
      <c r="E1684" s="27"/>
      <c r="F1684" s="25"/>
      <c r="G1684" s="27"/>
    </row>
    <row r="1685">
      <c r="A1685" s="21"/>
      <c r="B1685" s="21"/>
      <c r="D1685" s="25"/>
      <c r="E1685" s="27"/>
      <c r="F1685" s="25"/>
      <c r="G1685" s="27"/>
    </row>
    <row r="1686">
      <c r="A1686" s="21"/>
      <c r="B1686" s="21"/>
      <c r="D1686" s="25"/>
      <c r="E1686" s="27"/>
      <c r="F1686" s="25"/>
      <c r="G1686" s="27"/>
    </row>
    <row r="1687">
      <c r="A1687" s="21"/>
      <c r="B1687" s="21"/>
      <c r="D1687" s="25"/>
      <c r="E1687" s="27"/>
      <c r="F1687" s="25"/>
      <c r="G1687" s="27"/>
    </row>
    <row r="1688">
      <c r="A1688" s="21"/>
      <c r="B1688" s="21"/>
      <c r="D1688" s="25"/>
      <c r="E1688" s="27"/>
      <c r="F1688" s="25"/>
      <c r="G1688" s="27"/>
    </row>
    <row r="1689">
      <c r="A1689" s="21"/>
      <c r="B1689" s="21"/>
      <c r="D1689" s="25"/>
      <c r="E1689" s="27"/>
      <c r="F1689" s="25"/>
      <c r="G1689" s="27"/>
    </row>
    <row r="1690">
      <c r="A1690" s="21"/>
      <c r="B1690" s="21"/>
      <c r="D1690" s="25"/>
      <c r="E1690" s="27"/>
      <c r="F1690" s="25"/>
      <c r="G1690" s="27"/>
    </row>
    <row r="1691">
      <c r="A1691" s="21"/>
      <c r="B1691" s="21"/>
      <c r="D1691" s="25"/>
      <c r="E1691" s="27"/>
      <c r="F1691" s="25"/>
      <c r="G1691" s="27"/>
    </row>
    <row r="1692">
      <c r="A1692" s="21"/>
      <c r="B1692" s="21"/>
      <c r="D1692" s="25"/>
      <c r="E1692" s="27"/>
      <c r="F1692" s="25"/>
      <c r="G1692" s="27"/>
    </row>
    <row r="1693">
      <c r="A1693" s="21"/>
      <c r="B1693" s="21"/>
      <c r="D1693" s="25"/>
      <c r="E1693" s="27"/>
      <c r="F1693" s="25"/>
      <c r="G1693" s="27"/>
    </row>
    <row r="1694">
      <c r="A1694" s="21"/>
      <c r="B1694" s="21"/>
      <c r="D1694" s="25"/>
      <c r="E1694" s="27"/>
      <c r="F1694" s="25"/>
      <c r="G1694" s="27"/>
    </row>
    <row r="1695">
      <c r="A1695" s="21"/>
      <c r="B1695" s="21"/>
      <c r="D1695" s="25"/>
      <c r="E1695" s="27"/>
      <c r="F1695" s="25"/>
      <c r="G1695" s="27"/>
    </row>
    <row r="1696">
      <c r="A1696" s="21"/>
      <c r="B1696" s="21"/>
      <c r="D1696" s="25"/>
      <c r="E1696" s="27"/>
      <c r="F1696" s="25"/>
      <c r="G1696" s="27"/>
    </row>
    <row r="1697">
      <c r="A1697" s="21"/>
      <c r="B1697" s="21"/>
      <c r="D1697" s="25"/>
      <c r="E1697" s="27"/>
      <c r="F1697" s="25"/>
      <c r="G1697" s="27"/>
    </row>
    <row r="1698">
      <c r="A1698" s="21"/>
      <c r="B1698" s="21"/>
      <c r="D1698" s="25"/>
      <c r="E1698" s="27"/>
      <c r="F1698" s="25"/>
      <c r="G1698" s="27"/>
    </row>
    <row r="1699">
      <c r="A1699" s="21"/>
      <c r="B1699" s="21"/>
      <c r="D1699" s="25"/>
      <c r="E1699" s="27"/>
      <c r="F1699" s="25"/>
      <c r="G1699" s="27"/>
    </row>
    <row r="1700">
      <c r="A1700" s="21"/>
      <c r="B1700" s="21"/>
      <c r="D1700" s="25"/>
      <c r="E1700" s="27"/>
      <c r="F1700" s="25"/>
      <c r="G1700" s="27"/>
    </row>
    <row r="1701">
      <c r="A1701" s="21"/>
      <c r="B1701" s="21"/>
      <c r="D1701" s="25"/>
      <c r="E1701" s="27"/>
      <c r="F1701" s="25"/>
      <c r="G1701" s="27"/>
    </row>
    <row r="1702">
      <c r="A1702" s="21"/>
      <c r="B1702" s="21"/>
      <c r="D1702" s="25"/>
      <c r="E1702" s="27"/>
      <c r="F1702" s="25"/>
      <c r="G1702" s="27"/>
    </row>
    <row r="1703">
      <c r="A1703" s="21"/>
      <c r="B1703" s="21"/>
      <c r="D1703" s="25"/>
      <c r="E1703" s="27"/>
      <c r="F1703" s="25"/>
      <c r="G1703" s="27"/>
    </row>
    <row r="1704">
      <c r="A1704" s="21"/>
      <c r="B1704" s="21"/>
      <c r="D1704" s="25"/>
      <c r="E1704" s="27"/>
      <c r="F1704" s="25"/>
      <c r="G1704" s="27"/>
    </row>
    <row r="1705">
      <c r="A1705" s="21"/>
      <c r="B1705" s="21"/>
      <c r="D1705" s="25"/>
      <c r="E1705" s="27"/>
      <c r="F1705" s="25"/>
      <c r="G1705" s="27"/>
    </row>
    <row r="1706">
      <c r="A1706" s="21"/>
      <c r="B1706" s="21"/>
      <c r="D1706" s="25"/>
      <c r="E1706" s="27"/>
      <c r="F1706" s="25"/>
      <c r="G1706" s="27"/>
    </row>
    <row r="1707">
      <c r="A1707" s="21"/>
      <c r="B1707" s="21"/>
      <c r="D1707" s="25"/>
      <c r="E1707" s="27"/>
      <c r="F1707" s="25"/>
      <c r="G1707" s="27"/>
    </row>
    <row r="1708">
      <c r="A1708" s="21"/>
      <c r="B1708" s="21"/>
      <c r="D1708" s="25"/>
      <c r="E1708" s="27"/>
      <c r="F1708" s="25"/>
      <c r="G1708" s="27"/>
    </row>
    <row r="1709">
      <c r="A1709" s="21"/>
      <c r="B1709" s="21"/>
      <c r="D1709" s="25"/>
      <c r="E1709" s="27"/>
      <c r="F1709" s="25"/>
      <c r="G1709" s="27"/>
    </row>
    <row r="1710">
      <c r="A1710" s="21"/>
      <c r="B1710" s="21"/>
      <c r="D1710" s="25"/>
      <c r="E1710" s="27"/>
      <c r="F1710" s="25"/>
      <c r="G1710" s="27"/>
    </row>
    <row r="1711">
      <c r="A1711" s="21"/>
      <c r="B1711" s="21"/>
      <c r="D1711" s="25"/>
      <c r="E1711" s="27"/>
      <c r="F1711" s="25"/>
      <c r="G1711" s="27"/>
    </row>
    <row r="1712">
      <c r="A1712" s="21"/>
      <c r="B1712" s="21"/>
      <c r="D1712" s="25"/>
      <c r="E1712" s="27"/>
      <c r="F1712" s="25"/>
      <c r="G1712" s="27"/>
    </row>
    <row r="1713">
      <c r="A1713" s="21"/>
      <c r="B1713" s="21"/>
      <c r="D1713" s="25"/>
      <c r="E1713" s="27"/>
      <c r="F1713" s="25"/>
      <c r="G1713" s="27"/>
    </row>
    <row r="1714">
      <c r="A1714" s="21"/>
      <c r="B1714" s="21"/>
      <c r="D1714" s="25"/>
      <c r="E1714" s="27"/>
      <c r="F1714" s="25"/>
      <c r="G1714" s="27"/>
    </row>
    <row r="1715">
      <c r="A1715" s="21"/>
      <c r="B1715" s="21"/>
      <c r="D1715" s="25"/>
      <c r="E1715" s="27"/>
      <c r="F1715" s="25"/>
      <c r="G1715" s="27"/>
    </row>
    <row r="1716">
      <c r="A1716" s="21"/>
      <c r="B1716" s="21"/>
      <c r="D1716" s="25"/>
      <c r="E1716" s="27"/>
      <c r="F1716" s="25"/>
      <c r="G1716" s="27"/>
    </row>
    <row r="1717">
      <c r="A1717" s="21"/>
      <c r="B1717" s="21"/>
      <c r="D1717" s="25"/>
      <c r="E1717" s="27"/>
      <c r="F1717" s="25"/>
      <c r="G1717" s="27"/>
    </row>
    <row r="1718">
      <c r="A1718" s="21"/>
      <c r="B1718" s="21"/>
      <c r="D1718" s="25"/>
      <c r="E1718" s="27"/>
      <c r="F1718" s="25"/>
      <c r="G1718" s="27"/>
    </row>
    <row r="1719">
      <c r="A1719" s="21"/>
      <c r="B1719" s="21"/>
      <c r="D1719" s="25"/>
      <c r="E1719" s="27"/>
      <c r="F1719" s="25"/>
      <c r="G1719" s="27"/>
    </row>
    <row r="1720">
      <c r="A1720" s="21"/>
      <c r="B1720" s="21"/>
      <c r="D1720" s="25"/>
      <c r="E1720" s="27"/>
      <c r="F1720" s="25"/>
      <c r="G1720" s="27"/>
    </row>
    <row r="1721">
      <c r="A1721" s="21"/>
      <c r="B1721" s="21"/>
      <c r="D1721" s="25"/>
      <c r="E1721" s="27"/>
      <c r="F1721" s="25"/>
      <c r="G1721" s="27"/>
    </row>
    <row r="1722">
      <c r="A1722" s="21"/>
      <c r="B1722" s="21"/>
      <c r="D1722" s="25"/>
      <c r="E1722" s="27"/>
      <c r="F1722" s="25"/>
      <c r="G1722" s="27"/>
    </row>
    <row r="1723">
      <c r="A1723" s="21"/>
      <c r="B1723" s="21"/>
      <c r="D1723" s="25"/>
      <c r="E1723" s="27"/>
      <c r="F1723" s="25"/>
      <c r="G1723" s="27"/>
    </row>
    <row r="1724">
      <c r="A1724" s="21"/>
      <c r="B1724" s="21"/>
      <c r="D1724" s="25"/>
      <c r="E1724" s="27"/>
      <c r="F1724" s="25"/>
      <c r="G1724" s="27"/>
    </row>
    <row r="1725">
      <c r="A1725" s="21"/>
      <c r="B1725" s="21"/>
      <c r="D1725" s="25"/>
      <c r="E1725" s="27"/>
      <c r="F1725" s="25"/>
      <c r="G1725" s="27"/>
    </row>
    <row r="1726">
      <c r="A1726" s="21"/>
      <c r="B1726" s="21"/>
      <c r="D1726" s="25"/>
      <c r="E1726" s="27"/>
      <c r="F1726" s="25"/>
      <c r="G1726" s="27"/>
    </row>
    <row r="1727">
      <c r="A1727" s="21"/>
      <c r="B1727" s="21"/>
      <c r="D1727" s="25"/>
      <c r="E1727" s="27"/>
      <c r="F1727" s="25"/>
      <c r="G1727" s="27"/>
    </row>
    <row r="1728">
      <c r="A1728" s="21"/>
      <c r="B1728" s="21"/>
      <c r="D1728" s="25"/>
      <c r="E1728" s="27"/>
      <c r="F1728" s="25"/>
      <c r="G1728" s="27"/>
    </row>
    <row r="1729">
      <c r="A1729" s="21"/>
      <c r="B1729" s="21"/>
      <c r="D1729" s="25"/>
      <c r="E1729" s="27"/>
      <c r="F1729" s="25"/>
      <c r="G1729" s="27"/>
    </row>
    <row r="1730">
      <c r="A1730" s="21"/>
      <c r="B1730" s="21"/>
      <c r="D1730" s="25"/>
      <c r="E1730" s="27"/>
      <c r="F1730" s="25"/>
      <c r="G1730" s="27"/>
    </row>
    <row r="1731">
      <c r="A1731" s="21"/>
      <c r="B1731" s="21"/>
      <c r="D1731" s="25"/>
      <c r="E1731" s="27"/>
      <c r="F1731" s="25"/>
      <c r="G1731" s="27"/>
    </row>
    <row r="1732">
      <c r="A1732" s="21"/>
      <c r="B1732" s="21"/>
      <c r="D1732" s="25"/>
      <c r="E1732" s="27"/>
      <c r="F1732" s="25"/>
      <c r="G1732" s="27"/>
    </row>
    <row r="1733">
      <c r="A1733" s="21"/>
      <c r="B1733" s="21"/>
      <c r="D1733" s="25"/>
      <c r="E1733" s="27"/>
      <c r="F1733" s="25"/>
      <c r="G1733" s="27"/>
    </row>
    <row r="1734">
      <c r="A1734" s="21"/>
      <c r="B1734" s="21"/>
      <c r="D1734" s="25"/>
      <c r="E1734" s="27"/>
      <c r="F1734" s="25"/>
      <c r="G1734" s="27"/>
    </row>
    <row r="1735">
      <c r="A1735" s="21"/>
      <c r="B1735" s="21"/>
      <c r="D1735" s="25"/>
      <c r="E1735" s="27"/>
      <c r="F1735" s="25"/>
      <c r="G1735" s="27"/>
    </row>
    <row r="1736">
      <c r="A1736" s="21"/>
      <c r="B1736" s="21"/>
      <c r="D1736" s="25"/>
      <c r="E1736" s="27"/>
      <c r="F1736" s="25"/>
      <c r="G1736" s="27"/>
    </row>
    <row r="1737">
      <c r="A1737" s="21"/>
      <c r="B1737" s="21"/>
      <c r="D1737" s="25"/>
      <c r="E1737" s="27"/>
      <c r="F1737" s="25"/>
      <c r="G1737" s="27"/>
    </row>
    <row r="1738">
      <c r="A1738" s="21"/>
      <c r="B1738" s="21"/>
      <c r="D1738" s="25"/>
      <c r="E1738" s="27"/>
      <c r="F1738" s="25"/>
      <c r="G1738" s="27"/>
    </row>
    <row r="1739">
      <c r="A1739" s="21"/>
      <c r="B1739" s="21"/>
      <c r="D1739" s="25"/>
      <c r="E1739" s="27"/>
      <c r="F1739" s="25"/>
      <c r="G1739" s="27"/>
    </row>
    <row r="1740">
      <c r="A1740" s="21"/>
      <c r="B1740" s="21"/>
      <c r="D1740" s="25"/>
      <c r="E1740" s="27"/>
      <c r="F1740" s="25"/>
      <c r="G1740" s="27"/>
    </row>
    <row r="1741">
      <c r="A1741" s="21"/>
      <c r="B1741" s="21"/>
      <c r="D1741" s="25"/>
      <c r="E1741" s="27"/>
      <c r="F1741" s="25"/>
      <c r="G1741" s="27"/>
    </row>
    <row r="1742">
      <c r="A1742" s="21"/>
      <c r="B1742" s="21"/>
      <c r="D1742" s="25"/>
      <c r="E1742" s="27"/>
      <c r="F1742" s="25"/>
      <c r="G1742" s="27"/>
    </row>
    <row r="1743">
      <c r="A1743" s="21"/>
      <c r="B1743" s="21"/>
      <c r="D1743" s="25"/>
      <c r="E1743" s="27"/>
      <c r="F1743" s="25"/>
      <c r="G1743" s="27"/>
    </row>
    <row r="1744">
      <c r="A1744" s="21"/>
      <c r="B1744" s="21"/>
      <c r="D1744" s="25"/>
      <c r="E1744" s="27"/>
      <c r="F1744" s="25"/>
      <c r="G1744" s="27"/>
    </row>
    <row r="1745">
      <c r="A1745" s="21"/>
      <c r="B1745" s="21"/>
      <c r="D1745" s="25"/>
      <c r="E1745" s="27"/>
      <c r="F1745" s="25"/>
      <c r="G1745" s="27"/>
    </row>
    <row r="1746">
      <c r="A1746" s="21"/>
      <c r="B1746" s="21"/>
      <c r="D1746" s="25"/>
      <c r="E1746" s="27"/>
      <c r="F1746" s="25"/>
      <c r="G1746" s="27"/>
    </row>
    <row r="1747">
      <c r="A1747" s="21"/>
      <c r="B1747" s="21"/>
      <c r="D1747" s="25"/>
      <c r="E1747" s="27"/>
      <c r="F1747" s="25"/>
      <c r="G1747" s="27"/>
    </row>
    <row r="1748">
      <c r="A1748" s="21"/>
      <c r="B1748" s="21"/>
      <c r="D1748" s="25"/>
      <c r="E1748" s="27"/>
      <c r="F1748" s="25"/>
      <c r="G1748" s="27"/>
    </row>
    <row r="1749">
      <c r="A1749" s="21"/>
      <c r="B1749" s="21"/>
      <c r="D1749" s="25"/>
      <c r="E1749" s="27"/>
      <c r="F1749" s="25"/>
      <c r="G1749" s="27"/>
    </row>
    <row r="1750">
      <c r="A1750" s="21"/>
      <c r="B1750" s="21"/>
      <c r="D1750" s="25"/>
      <c r="E1750" s="27"/>
      <c r="F1750" s="25"/>
      <c r="G1750" s="27"/>
    </row>
    <row r="1751">
      <c r="A1751" s="21"/>
      <c r="B1751" s="21"/>
      <c r="D1751" s="25"/>
      <c r="E1751" s="27"/>
      <c r="F1751" s="25"/>
      <c r="G1751" s="27"/>
    </row>
    <row r="1752">
      <c r="A1752" s="21"/>
      <c r="B1752" s="21"/>
      <c r="D1752" s="25"/>
      <c r="E1752" s="27"/>
      <c r="F1752" s="25"/>
      <c r="G1752" s="27"/>
    </row>
    <row r="1753">
      <c r="A1753" s="21"/>
      <c r="B1753" s="21"/>
      <c r="D1753" s="25"/>
      <c r="E1753" s="27"/>
      <c r="F1753" s="25"/>
      <c r="G1753" s="27"/>
    </row>
    <row r="1754">
      <c r="A1754" s="21"/>
      <c r="B1754" s="21"/>
      <c r="D1754" s="25"/>
      <c r="E1754" s="27"/>
      <c r="F1754" s="25"/>
      <c r="G1754" s="27"/>
    </row>
    <row r="1755">
      <c r="A1755" s="21"/>
      <c r="B1755" s="21"/>
      <c r="D1755" s="25"/>
      <c r="E1755" s="27"/>
      <c r="F1755" s="25"/>
      <c r="G1755" s="27"/>
    </row>
    <row r="1756">
      <c r="A1756" s="21"/>
      <c r="B1756" s="21"/>
      <c r="D1756" s="25"/>
      <c r="E1756" s="27"/>
      <c r="F1756" s="25"/>
      <c r="G1756" s="27"/>
    </row>
    <row r="1757">
      <c r="A1757" s="21"/>
      <c r="B1757" s="21"/>
      <c r="D1757" s="25"/>
      <c r="E1757" s="27"/>
      <c r="F1757" s="25"/>
      <c r="G1757" s="27"/>
    </row>
    <row r="1758">
      <c r="A1758" s="21"/>
      <c r="B1758" s="21"/>
      <c r="D1758" s="25"/>
      <c r="E1758" s="27"/>
      <c r="F1758" s="25"/>
      <c r="G1758" s="27"/>
    </row>
    <row r="1759">
      <c r="A1759" s="21"/>
      <c r="B1759" s="21"/>
      <c r="D1759" s="25"/>
      <c r="E1759" s="27"/>
      <c r="F1759" s="25"/>
      <c r="G1759" s="27"/>
    </row>
    <row r="1760">
      <c r="A1760" s="21"/>
      <c r="B1760" s="21"/>
      <c r="D1760" s="25"/>
      <c r="E1760" s="27"/>
      <c r="F1760" s="25"/>
      <c r="G1760" s="27"/>
    </row>
    <row r="1761">
      <c r="A1761" s="21"/>
      <c r="B1761" s="21"/>
      <c r="D1761" s="25"/>
      <c r="E1761" s="27"/>
      <c r="F1761" s="25"/>
      <c r="G1761" s="27"/>
    </row>
    <row r="1762">
      <c r="A1762" s="21"/>
      <c r="B1762" s="21"/>
      <c r="D1762" s="25"/>
      <c r="E1762" s="27"/>
      <c r="F1762" s="25"/>
      <c r="G1762" s="27"/>
    </row>
    <row r="1763">
      <c r="A1763" s="21"/>
      <c r="B1763" s="21"/>
      <c r="D1763" s="25"/>
      <c r="E1763" s="27"/>
      <c r="F1763" s="25"/>
      <c r="G1763" s="27"/>
    </row>
    <row r="1764">
      <c r="A1764" s="21"/>
      <c r="B1764" s="21"/>
      <c r="D1764" s="25"/>
      <c r="E1764" s="27"/>
      <c r="F1764" s="25"/>
      <c r="G1764" s="27"/>
    </row>
    <row r="1765">
      <c r="A1765" s="21"/>
      <c r="B1765" s="21"/>
      <c r="D1765" s="25"/>
      <c r="E1765" s="27"/>
      <c r="F1765" s="25"/>
      <c r="G1765" s="27"/>
    </row>
    <row r="1766">
      <c r="A1766" s="21"/>
      <c r="B1766" s="21"/>
      <c r="D1766" s="25"/>
      <c r="E1766" s="27"/>
      <c r="F1766" s="25"/>
      <c r="G1766" s="27"/>
    </row>
    <row r="1767">
      <c r="A1767" s="21"/>
      <c r="B1767" s="21"/>
      <c r="D1767" s="25"/>
      <c r="E1767" s="27"/>
      <c r="F1767" s="25"/>
      <c r="G1767" s="27"/>
    </row>
    <row r="1768">
      <c r="A1768" s="21"/>
      <c r="B1768" s="21"/>
      <c r="D1768" s="25"/>
      <c r="E1768" s="27"/>
      <c r="F1768" s="25"/>
      <c r="G1768" s="27"/>
    </row>
    <row r="1769">
      <c r="A1769" s="21"/>
      <c r="B1769" s="21"/>
      <c r="D1769" s="25"/>
      <c r="E1769" s="27"/>
      <c r="F1769" s="25"/>
      <c r="G1769" s="27"/>
    </row>
    <row r="1770">
      <c r="A1770" s="21"/>
      <c r="B1770" s="21"/>
      <c r="D1770" s="25"/>
      <c r="E1770" s="27"/>
      <c r="F1770" s="25"/>
      <c r="G1770" s="27"/>
    </row>
    <row r="1771">
      <c r="A1771" s="21"/>
      <c r="B1771" s="21"/>
      <c r="D1771" s="25"/>
      <c r="E1771" s="27"/>
      <c r="F1771" s="25"/>
      <c r="G1771" s="27"/>
    </row>
    <row r="1772">
      <c r="A1772" s="21"/>
      <c r="B1772" s="21"/>
      <c r="D1772" s="25"/>
      <c r="E1772" s="27"/>
      <c r="F1772" s="25"/>
      <c r="G1772" s="27"/>
    </row>
    <row r="1773">
      <c r="A1773" s="21"/>
      <c r="B1773" s="21"/>
      <c r="D1773" s="25"/>
      <c r="E1773" s="27"/>
      <c r="F1773" s="25"/>
      <c r="G1773" s="27"/>
    </row>
    <row r="1774">
      <c r="A1774" s="21"/>
      <c r="B1774" s="21"/>
      <c r="D1774" s="25"/>
      <c r="E1774" s="27"/>
      <c r="F1774" s="25"/>
      <c r="G1774" s="27"/>
    </row>
    <row r="1775">
      <c r="A1775" s="21"/>
      <c r="B1775" s="21"/>
      <c r="D1775" s="25"/>
      <c r="E1775" s="27"/>
      <c r="F1775" s="25"/>
      <c r="G1775" s="27"/>
    </row>
    <row r="1776">
      <c r="A1776" s="21"/>
      <c r="B1776" s="21"/>
      <c r="D1776" s="25"/>
      <c r="E1776" s="27"/>
      <c r="F1776" s="25"/>
      <c r="G1776" s="27"/>
    </row>
    <row r="1777">
      <c r="A1777" s="21"/>
      <c r="B1777" s="21"/>
      <c r="D1777" s="25"/>
      <c r="E1777" s="27"/>
      <c r="F1777" s="25"/>
      <c r="G1777" s="27"/>
    </row>
    <row r="1778">
      <c r="A1778" s="21"/>
      <c r="B1778" s="21"/>
      <c r="D1778" s="25"/>
      <c r="E1778" s="27"/>
      <c r="F1778" s="25"/>
      <c r="G1778" s="27"/>
    </row>
    <row r="1779">
      <c r="A1779" s="21"/>
      <c r="B1779" s="21"/>
      <c r="D1779" s="25"/>
      <c r="E1779" s="27"/>
      <c r="F1779" s="25"/>
      <c r="G1779" s="27"/>
    </row>
    <row r="1780">
      <c r="A1780" s="21"/>
      <c r="B1780" s="21"/>
      <c r="D1780" s="25"/>
      <c r="E1780" s="27"/>
      <c r="F1780" s="25"/>
      <c r="G1780" s="27"/>
    </row>
    <row r="1781">
      <c r="A1781" s="21"/>
      <c r="B1781" s="21"/>
      <c r="D1781" s="25"/>
      <c r="E1781" s="27"/>
      <c r="F1781" s="25"/>
      <c r="G1781" s="27"/>
    </row>
    <row r="1782">
      <c r="A1782" s="21"/>
      <c r="B1782" s="21"/>
      <c r="D1782" s="25"/>
      <c r="E1782" s="27"/>
      <c r="F1782" s="25"/>
      <c r="G1782" s="27"/>
    </row>
    <row r="1783">
      <c r="A1783" s="21"/>
      <c r="B1783" s="21"/>
      <c r="D1783" s="25"/>
      <c r="E1783" s="27"/>
      <c r="F1783" s="25"/>
      <c r="G1783" s="27"/>
    </row>
    <row r="1784">
      <c r="A1784" s="21"/>
      <c r="B1784" s="21"/>
      <c r="D1784" s="25"/>
      <c r="E1784" s="27"/>
      <c r="F1784" s="25"/>
      <c r="G1784" s="27"/>
    </row>
    <row r="1785">
      <c r="A1785" s="21"/>
      <c r="B1785" s="21"/>
      <c r="D1785" s="25"/>
      <c r="E1785" s="27"/>
      <c r="F1785" s="25"/>
      <c r="G1785" s="27"/>
    </row>
    <row r="1786">
      <c r="A1786" s="21"/>
      <c r="B1786" s="21"/>
      <c r="D1786" s="25"/>
      <c r="E1786" s="27"/>
      <c r="F1786" s="25"/>
      <c r="G1786" s="27"/>
    </row>
    <row r="1787">
      <c r="A1787" s="21"/>
      <c r="B1787" s="21"/>
      <c r="D1787" s="25"/>
      <c r="E1787" s="27"/>
      <c r="F1787" s="25"/>
      <c r="G1787" s="27"/>
    </row>
    <row r="1788">
      <c r="A1788" s="21"/>
      <c r="B1788" s="21"/>
      <c r="D1788" s="25"/>
      <c r="E1788" s="27"/>
      <c r="F1788" s="25"/>
      <c r="G1788" s="27"/>
    </row>
    <row r="1789">
      <c r="A1789" s="21"/>
      <c r="B1789" s="21"/>
      <c r="D1789" s="25"/>
      <c r="E1789" s="27"/>
      <c r="F1789" s="25"/>
      <c r="G1789" s="27"/>
    </row>
    <row r="1790">
      <c r="A1790" s="21"/>
      <c r="B1790" s="21"/>
      <c r="D1790" s="25"/>
      <c r="E1790" s="27"/>
      <c r="F1790" s="25"/>
      <c r="G1790" s="27"/>
    </row>
    <row r="1791">
      <c r="A1791" s="21"/>
      <c r="B1791" s="21"/>
      <c r="D1791" s="25"/>
      <c r="E1791" s="27"/>
      <c r="F1791" s="25"/>
      <c r="G1791" s="27"/>
    </row>
    <row r="1792">
      <c r="A1792" s="21"/>
      <c r="B1792" s="21"/>
      <c r="D1792" s="25"/>
      <c r="E1792" s="27"/>
      <c r="F1792" s="25"/>
      <c r="G1792" s="27"/>
    </row>
    <row r="1793">
      <c r="A1793" s="21"/>
      <c r="B1793" s="21"/>
      <c r="D1793" s="25"/>
      <c r="E1793" s="27"/>
      <c r="F1793" s="25"/>
      <c r="G1793" s="27"/>
    </row>
    <row r="1794">
      <c r="A1794" s="21"/>
      <c r="B1794" s="21"/>
      <c r="D1794" s="25"/>
      <c r="E1794" s="27"/>
      <c r="F1794" s="25"/>
      <c r="G1794" s="27"/>
    </row>
    <row r="1795">
      <c r="A1795" s="21"/>
      <c r="B1795" s="21"/>
      <c r="D1795" s="25"/>
      <c r="E1795" s="27"/>
      <c r="F1795" s="25"/>
      <c r="G1795" s="27"/>
    </row>
    <row r="1796">
      <c r="A1796" s="21"/>
      <c r="B1796" s="21"/>
      <c r="D1796" s="25"/>
      <c r="E1796" s="27"/>
      <c r="F1796" s="25"/>
      <c r="G1796" s="27"/>
    </row>
    <row r="1797">
      <c r="A1797" s="21"/>
      <c r="B1797" s="21"/>
      <c r="D1797" s="25"/>
      <c r="E1797" s="27"/>
      <c r="F1797" s="25"/>
      <c r="G1797" s="27"/>
    </row>
    <row r="1798">
      <c r="A1798" s="21"/>
      <c r="B1798" s="21"/>
      <c r="D1798" s="25"/>
      <c r="E1798" s="27"/>
      <c r="F1798" s="25"/>
      <c r="G1798" s="27"/>
    </row>
    <row r="1799">
      <c r="A1799" s="21"/>
      <c r="B1799" s="21"/>
      <c r="D1799" s="25"/>
      <c r="E1799" s="27"/>
      <c r="F1799" s="25"/>
      <c r="G1799" s="27"/>
    </row>
    <row r="1800">
      <c r="A1800" s="21"/>
      <c r="B1800" s="21"/>
      <c r="D1800" s="25"/>
      <c r="E1800" s="27"/>
      <c r="F1800" s="25"/>
      <c r="G1800" s="27"/>
    </row>
    <row r="1801">
      <c r="A1801" s="21"/>
      <c r="B1801" s="21"/>
      <c r="D1801" s="25"/>
      <c r="E1801" s="27"/>
      <c r="F1801" s="25"/>
      <c r="G1801" s="27"/>
    </row>
    <row r="1802">
      <c r="A1802" s="21"/>
      <c r="B1802" s="21"/>
      <c r="D1802" s="25"/>
      <c r="E1802" s="27"/>
      <c r="F1802" s="25"/>
      <c r="G1802" s="27"/>
    </row>
    <row r="1803">
      <c r="A1803" s="21"/>
      <c r="B1803" s="21"/>
      <c r="D1803" s="25"/>
      <c r="E1803" s="27"/>
      <c r="F1803" s="25"/>
      <c r="G1803" s="27"/>
    </row>
    <row r="1804">
      <c r="A1804" s="21"/>
      <c r="B1804" s="21"/>
      <c r="D1804" s="25"/>
      <c r="E1804" s="27"/>
      <c r="F1804" s="25"/>
      <c r="G1804" s="27"/>
    </row>
    <row r="1805">
      <c r="A1805" s="21"/>
      <c r="B1805" s="21"/>
      <c r="D1805" s="25"/>
      <c r="E1805" s="27"/>
      <c r="F1805" s="25"/>
      <c r="G1805" s="27"/>
    </row>
    <row r="1806">
      <c r="A1806" s="31"/>
      <c r="B1806" s="31"/>
      <c r="C1806" s="27"/>
      <c r="D1806" s="25"/>
      <c r="E1806" s="27"/>
      <c r="F1806" s="25"/>
      <c r="G1806" s="27"/>
    </row>
    <row r="1807">
      <c r="A1807" s="31"/>
      <c r="B1807" s="31"/>
      <c r="C1807" s="27"/>
      <c r="D1807" s="25"/>
      <c r="E1807" s="27"/>
      <c r="F1807" s="25"/>
      <c r="G1807" s="27"/>
    </row>
    <row r="1808">
      <c r="A1808" s="31"/>
      <c r="B1808" s="31"/>
      <c r="C1808" s="27"/>
      <c r="D1808" s="25"/>
      <c r="E1808" s="27"/>
      <c r="F1808" s="25"/>
      <c r="G1808" s="27"/>
    </row>
    <row r="1809">
      <c r="A1809" s="31"/>
      <c r="B1809" s="31"/>
      <c r="C1809" s="27"/>
      <c r="D1809" s="25"/>
      <c r="E1809" s="27"/>
      <c r="F1809" s="25"/>
      <c r="G1809" s="27"/>
    </row>
    <row r="1810">
      <c r="A1810" s="31"/>
      <c r="B1810" s="31"/>
      <c r="C1810" s="27"/>
      <c r="D1810" s="25"/>
      <c r="E1810" s="27"/>
      <c r="F1810" s="25"/>
      <c r="G1810" s="27"/>
    </row>
    <row r="1811">
      <c r="A1811" s="31"/>
      <c r="B1811" s="31"/>
      <c r="C1811" s="27"/>
      <c r="D1811" s="25"/>
      <c r="E1811" s="27"/>
      <c r="F1811" s="25"/>
      <c r="G1811" s="27"/>
    </row>
    <row r="1812">
      <c r="A1812" s="21"/>
      <c r="B1812" s="21"/>
      <c r="D1812" s="25"/>
      <c r="E1812" s="27"/>
      <c r="F1812" s="25"/>
      <c r="G1812" s="27"/>
    </row>
    <row r="1813">
      <c r="A1813" s="21"/>
      <c r="B1813" s="21"/>
      <c r="D1813" s="25"/>
      <c r="E1813" s="27"/>
      <c r="F1813" s="25"/>
      <c r="G1813" s="27"/>
    </row>
    <row r="1814">
      <c r="A1814" s="21"/>
      <c r="B1814" s="21"/>
      <c r="D1814" s="25"/>
      <c r="E1814" s="27"/>
      <c r="F1814" s="25"/>
      <c r="G1814" s="27"/>
    </row>
    <row r="1815">
      <c r="A1815" s="21"/>
      <c r="B1815" s="21"/>
      <c r="D1815" s="25"/>
      <c r="E1815" s="27"/>
      <c r="F1815" s="25"/>
      <c r="G1815" s="27"/>
    </row>
    <row r="1816">
      <c r="A1816" s="21"/>
      <c r="B1816" s="21"/>
      <c r="D1816" s="25"/>
      <c r="E1816" s="27"/>
      <c r="F1816" s="25"/>
      <c r="G1816" s="27"/>
    </row>
    <row r="1817">
      <c r="A1817" s="21"/>
      <c r="B1817" s="21"/>
      <c r="D1817" s="25"/>
      <c r="E1817" s="27"/>
      <c r="F1817" s="25"/>
      <c r="G1817" s="27"/>
    </row>
    <row r="1818">
      <c r="A1818" s="21"/>
      <c r="B1818" s="21"/>
      <c r="D1818" s="25"/>
      <c r="E1818" s="27"/>
      <c r="F1818" s="25"/>
      <c r="G1818" s="27"/>
    </row>
    <row r="1819">
      <c r="A1819" s="21"/>
      <c r="B1819" s="21"/>
      <c r="D1819" s="25"/>
      <c r="E1819" s="27"/>
      <c r="F1819" s="25"/>
      <c r="G1819" s="27"/>
    </row>
    <row r="1820">
      <c r="A1820" s="21"/>
      <c r="B1820" s="21"/>
      <c r="D1820" s="25"/>
      <c r="E1820" s="27"/>
      <c r="F1820" s="25"/>
      <c r="G1820" s="27"/>
    </row>
    <row r="1821">
      <c r="A1821" s="21"/>
      <c r="B1821" s="21"/>
      <c r="D1821" s="25"/>
      <c r="E1821" s="27"/>
      <c r="F1821" s="25"/>
      <c r="G1821" s="27"/>
    </row>
    <row r="1822">
      <c r="A1822" s="21"/>
      <c r="B1822" s="21"/>
      <c r="D1822" s="25"/>
      <c r="E1822" s="27"/>
      <c r="F1822" s="25"/>
      <c r="G1822" s="27"/>
    </row>
    <row r="1823">
      <c r="A1823" s="21"/>
      <c r="B1823" s="21"/>
      <c r="D1823" s="25"/>
      <c r="E1823" s="27"/>
      <c r="F1823" s="25"/>
      <c r="G1823" s="27"/>
    </row>
    <row r="1824">
      <c r="A1824" s="21"/>
      <c r="B1824" s="21"/>
      <c r="D1824" s="25"/>
      <c r="E1824" s="27"/>
      <c r="F1824" s="25"/>
      <c r="G1824" s="27"/>
    </row>
    <row r="1825">
      <c r="A1825" s="21"/>
      <c r="B1825" s="21"/>
      <c r="D1825" s="25"/>
      <c r="E1825" s="27"/>
      <c r="F1825" s="25"/>
      <c r="G1825" s="27"/>
    </row>
    <row r="1826">
      <c r="A1826" s="21"/>
      <c r="B1826" s="21"/>
      <c r="D1826" s="25"/>
      <c r="E1826" s="27"/>
      <c r="F1826" s="25"/>
      <c r="G1826" s="27"/>
    </row>
    <row r="1827">
      <c r="A1827" s="21"/>
      <c r="B1827" s="21"/>
      <c r="D1827" s="25"/>
      <c r="E1827" s="27"/>
      <c r="F1827" s="25"/>
      <c r="G1827" s="27"/>
    </row>
    <row r="1828">
      <c r="A1828" s="21"/>
      <c r="B1828" s="21"/>
      <c r="D1828" s="25"/>
      <c r="E1828" s="27"/>
      <c r="F1828" s="25"/>
      <c r="G1828" s="27"/>
    </row>
    <row r="1829">
      <c r="A1829" s="21"/>
      <c r="B1829" s="21"/>
      <c r="D1829" s="25"/>
      <c r="E1829" s="27"/>
      <c r="F1829" s="25"/>
      <c r="G1829" s="27"/>
    </row>
    <row r="1830">
      <c r="A1830" s="21"/>
      <c r="B1830" s="21"/>
      <c r="D1830" s="25"/>
      <c r="E1830" s="27"/>
      <c r="F1830" s="25"/>
      <c r="G1830" s="27"/>
    </row>
    <row r="1831">
      <c r="A1831" s="21"/>
      <c r="B1831" s="21"/>
      <c r="D1831" s="25"/>
      <c r="E1831" s="27"/>
      <c r="F1831" s="25"/>
      <c r="G1831" s="27"/>
    </row>
    <row r="1832">
      <c r="A1832" s="21"/>
      <c r="B1832" s="21"/>
      <c r="D1832" s="25"/>
      <c r="E1832" s="27"/>
      <c r="F1832" s="25"/>
      <c r="G1832" s="27"/>
    </row>
    <row r="1833">
      <c r="A1833" s="21"/>
      <c r="B1833" s="21"/>
      <c r="D1833" s="25"/>
      <c r="E1833" s="27"/>
      <c r="F1833" s="25"/>
      <c r="G1833" s="27"/>
    </row>
    <row r="1834">
      <c r="A1834" s="21"/>
      <c r="B1834" s="21"/>
      <c r="D1834" s="25"/>
      <c r="E1834" s="27"/>
      <c r="F1834" s="25"/>
      <c r="G1834" s="27"/>
    </row>
    <row r="1835">
      <c r="A1835" s="21"/>
      <c r="B1835" s="21"/>
      <c r="D1835" s="25"/>
      <c r="E1835" s="27"/>
      <c r="F1835" s="25"/>
      <c r="G1835" s="27"/>
    </row>
    <row r="1836">
      <c r="A1836" s="21"/>
      <c r="B1836" s="21"/>
      <c r="D1836" s="25"/>
      <c r="E1836" s="27"/>
      <c r="F1836" s="25"/>
      <c r="G1836" s="27"/>
    </row>
    <row r="1837">
      <c r="A1837" s="21"/>
      <c r="B1837" s="21"/>
      <c r="D1837" s="25"/>
      <c r="E1837" s="27"/>
      <c r="F1837" s="25"/>
      <c r="G1837" s="27"/>
    </row>
    <row r="1838">
      <c r="A1838" s="21"/>
      <c r="B1838" s="21"/>
      <c r="D1838" s="25"/>
      <c r="E1838" s="27"/>
      <c r="F1838" s="25"/>
      <c r="G1838" s="27"/>
    </row>
    <row r="1839">
      <c r="A1839" s="21"/>
      <c r="B1839" s="21"/>
      <c r="D1839" s="25"/>
      <c r="E1839" s="27"/>
      <c r="F1839" s="25"/>
      <c r="G1839" s="27"/>
    </row>
    <row r="1840">
      <c r="A1840" s="21"/>
      <c r="B1840" s="21"/>
      <c r="D1840" s="25"/>
      <c r="E1840" s="27"/>
      <c r="F1840" s="25"/>
      <c r="G1840" s="27"/>
    </row>
    <row r="1841">
      <c r="A1841" s="21"/>
      <c r="B1841" s="21"/>
      <c r="D1841" s="25"/>
      <c r="E1841" s="27"/>
      <c r="F1841" s="25"/>
      <c r="G1841" s="27"/>
    </row>
    <row r="1842">
      <c r="A1842" s="21"/>
      <c r="B1842" s="21"/>
      <c r="D1842" s="25"/>
      <c r="E1842" s="27"/>
      <c r="F1842" s="25"/>
      <c r="G1842" s="27"/>
    </row>
    <row r="1843">
      <c r="A1843" s="21"/>
      <c r="B1843" s="21"/>
      <c r="D1843" s="25"/>
      <c r="E1843" s="27"/>
      <c r="F1843" s="25"/>
      <c r="G1843" s="27"/>
    </row>
    <row r="1844">
      <c r="A1844" s="21"/>
      <c r="B1844" s="21"/>
      <c r="D1844" s="25"/>
      <c r="E1844" s="27"/>
      <c r="F1844" s="25"/>
      <c r="G1844" s="27"/>
    </row>
    <row r="1845">
      <c r="A1845" s="21"/>
      <c r="B1845" s="21"/>
      <c r="D1845" s="25"/>
      <c r="E1845" s="27"/>
      <c r="F1845" s="25"/>
      <c r="G1845" s="27"/>
    </row>
    <row r="1846">
      <c r="A1846" s="21"/>
      <c r="B1846" s="21"/>
      <c r="D1846" s="25"/>
      <c r="E1846" s="27"/>
      <c r="F1846" s="25"/>
      <c r="G1846" s="27"/>
    </row>
    <row r="1847">
      <c r="A1847" s="21"/>
      <c r="B1847" s="21"/>
      <c r="D1847" s="25"/>
      <c r="E1847" s="27"/>
      <c r="F1847" s="25"/>
      <c r="G1847" s="27"/>
    </row>
    <row r="1848">
      <c r="A1848" s="21"/>
      <c r="B1848" s="21"/>
      <c r="D1848" s="25"/>
      <c r="E1848" s="27"/>
      <c r="F1848" s="25"/>
      <c r="G1848" s="27"/>
    </row>
    <row r="1849">
      <c r="A1849" s="21"/>
      <c r="B1849" s="21"/>
      <c r="D1849" s="25"/>
      <c r="E1849" s="27"/>
      <c r="F1849" s="25"/>
      <c r="G1849" s="27"/>
    </row>
    <row r="1850">
      <c r="A1850" s="21"/>
      <c r="B1850" s="21"/>
      <c r="D1850" s="25"/>
      <c r="E1850" s="27"/>
      <c r="F1850" s="25"/>
      <c r="G1850" s="27"/>
    </row>
    <row r="1851">
      <c r="A1851" s="21"/>
      <c r="B1851" s="21"/>
      <c r="D1851" s="25"/>
      <c r="E1851" s="27"/>
      <c r="F1851" s="25"/>
      <c r="G1851" s="27"/>
    </row>
    <row r="1852">
      <c r="A1852" s="21"/>
      <c r="B1852" s="21"/>
      <c r="D1852" s="25"/>
      <c r="E1852" s="27"/>
      <c r="F1852" s="25"/>
      <c r="G1852" s="27"/>
    </row>
    <row r="1853">
      <c r="A1853" s="21"/>
      <c r="B1853" s="21"/>
      <c r="D1853" s="25"/>
      <c r="E1853" s="27"/>
      <c r="F1853" s="25"/>
      <c r="G1853" s="27"/>
    </row>
    <row r="1854">
      <c r="A1854" s="21"/>
      <c r="B1854" s="21"/>
      <c r="D1854" s="25"/>
      <c r="E1854" s="27"/>
      <c r="F1854" s="25"/>
      <c r="G1854" s="27"/>
    </row>
    <row r="1855">
      <c r="A1855" s="21"/>
      <c r="B1855" s="21"/>
      <c r="D1855" s="25"/>
      <c r="E1855" s="27"/>
      <c r="F1855" s="25"/>
      <c r="G1855" s="27"/>
    </row>
    <row r="1856">
      <c r="A1856" s="21"/>
      <c r="B1856" s="21"/>
      <c r="D1856" s="25"/>
      <c r="E1856" s="27"/>
      <c r="F1856" s="25"/>
      <c r="G1856" s="27"/>
    </row>
    <row r="1857">
      <c r="A1857" s="21"/>
      <c r="B1857" s="21"/>
      <c r="D1857" s="25"/>
      <c r="E1857" s="27"/>
      <c r="F1857" s="25"/>
      <c r="G1857" s="27"/>
    </row>
    <row r="1858">
      <c r="A1858" s="21"/>
      <c r="B1858" s="21"/>
      <c r="D1858" s="25"/>
      <c r="E1858" s="27"/>
      <c r="F1858" s="25"/>
      <c r="G1858" s="27"/>
    </row>
    <row r="1859">
      <c r="A1859" s="21"/>
      <c r="B1859" s="21"/>
      <c r="D1859" s="25"/>
      <c r="E1859" s="27"/>
      <c r="F1859" s="25"/>
      <c r="G1859" s="27"/>
    </row>
    <row r="1860">
      <c r="A1860" s="21"/>
      <c r="B1860" s="21"/>
      <c r="D1860" s="25"/>
      <c r="E1860" s="27"/>
      <c r="F1860" s="25"/>
      <c r="G1860" s="27"/>
    </row>
    <row r="1861">
      <c r="A1861" s="21"/>
      <c r="B1861" s="21"/>
      <c r="D1861" s="25"/>
      <c r="E1861" s="27"/>
      <c r="F1861" s="25"/>
      <c r="G1861" s="27"/>
    </row>
    <row r="1862">
      <c r="A1862" s="21"/>
      <c r="B1862" s="21"/>
      <c r="D1862" s="25"/>
      <c r="E1862" s="27"/>
      <c r="F1862" s="25"/>
      <c r="G1862" s="27"/>
    </row>
    <row r="1863">
      <c r="A1863" s="21"/>
      <c r="B1863" s="21"/>
      <c r="D1863" s="25"/>
      <c r="E1863" s="27"/>
      <c r="F1863" s="25"/>
      <c r="G1863" s="27"/>
    </row>
    <row r="1864">
      <c r="A1864" s="21"/>
      <c r="B1864" s="21"/>
      <c r="D1864" s="25"/>
      <c r="E1864" s="27"/>
      <c r="F1864" s="25"/>
      <c r="G1864" s="27"/>
    </row>
    <row r="1865">
      <c r="A1865" s="21"/>
      <c r="B1865" s="21"/>
      <c r="D1865" s="25"/>
      <c r="E1865" s="27"/>
      <c r="F1865" s="25"/>
      <c r="G1865" s="27"/>
    </row>
    <row r="1866">
      <c r="A1866" s="21"/>
      <c r="B1866" s="21"/>
      <c r="D1866" s="25"/>
      <c r="E1866" s="27"/>
      <c r="F1866" s="25"/>
      <c r="G1866" s="27"/>
    </row>
    <row r="1867">
      <c r="A1867" s="21"/>
      <c r="B1867" s="21"/>
      <c r="D1867" s="25"/>
      <c r="E1867" s="27"/>
      <c r="F1867" s="25"/>
      <c r="G1867" s="27"/>
    </row>
    <row r="1868">
      <c r="A1868" s="21"/>
      <c r="B1868" s="21"/>
      <c r="D1868" s="25"/>
      <c r="E1868" s="27"/>
      <c r="F1868" s="25"/>
      <c r="G1868" s="27"/>
    </row>
    <row r="1869">
      <c r="A1869" s="21"/>
      <c r="B1869" s="21"/>
      <c r="D1869" s="25"/>
      <c r="E1869" s="27"/>
      <c r="F1869" s="25"/>
      <c r="G1869" s="27"/>
    </row>
    <row r="1870">
      <c r="A1870" s="21"/>
      <c r="B1870" s="21"/>
      <c r="D1870" s="25"/>
      <c r="E1870" s="27"/>
      <c r="F1870" s="25"/>
      <c r="G1870" s="27"/>
    </row>
    <row r="1871">
      <c r="A1871" s="21"/>
      <c r="B1871" s="21"/>
      <c r="D1871" s="25"/>
      <c r="E1871" s="27"/>
      <c r="F1871" s="25"/>
      <c r="G1871" s="27"/>
    </row>
    <row r="1872">
      <c r="A1872" s="21"/>
      <c r="B1872" s="21"/>
      <c r="D1872" s="25"/>
      <c r="E1872" s="27"/>
      <c r="F1872" s="25"/>
      <c r="G1872" s="27"/>
    </row>
    <row r="1873">
      <c r="A1873" s="21"/>
      <c r="B1873" s="21"/>
      <c r="D1873" s="25"/>
      <c r="E1873" s="27"/>
      <c r="F1873" s="25"/>
      <c r="G1873" s="27"/>
    </row>
    <row r="1874">
      <c r="A1874" s="21"/>
      <c r="B1874" s="21"/>
      <c r="D1874" s="25"/>
      <c r="E1874" s="27"/>
      <c r="F1874" s="25"/>
      <c r="G1874" s="27"/>
    </row>
    <row r="1875">
      <c r="A1875" s="21"/>
      <c r="B1875" s="21"/>
      <c r="D1875" s="25"/>
      <c r="E1875" s="27"/>
      <c r="F1875" s="25"/>
      <c r="G1875" s="27"/>
    </row>
    <row r="1876">
      <c r="A1876" s="21"/>
      <c r="B1876" s="21"/>
      <c r="D1876" s="25"/>
      <c r="E1876" s="27"/>
      <c r="F1876" s="25"/>
      <c r="G1876" s="27"/>
    </row>
    <row r="1877">
      <c r="A1877" s="21"/>
      <c r="B1877" s="21"/>
      <c r="D1877" s="25"/>
      <c r="E1877" s="27"/>
      <c r="F1877" s="25"/>
      <c r="G1877" s="27"/>
    </row>
    <row r="1878">
      <c r="A1878" s="21"/>
      <c r="B1878" s="21"/>
      <c r="D1878" s="25"/>
      <c r="E1878" s="27"/>
      <c r="F1878" s="25"/>
      <c r="G1878" s="27"/>
    </row>
    <row r="1879">
      <c r="A1879" s="21"/>
      <c r="B1879" s="21"/>
      <c r="D1879" s="25"/>
      <c r="E1879" s="27"/>
      <c r="F1879" s="25"/>
      <c r="G1879" s="27"/>
    </row>
    <row r="1880">
      <c r="A1880" s="21"/>
      <c r="B1880" s="21"/>
      <c r="D1880" s="25"/>
      <c r="E1880" s="27"/>
      <c r="F1880" s="25"/>
      <c r="G1880" s="27"/>
    </row>
    <row r="1881">
      <c r="A1881" s="21"/>
      <c r="B1881" s="21"/>
      <c r="D1881" s="25"/>
      <c r="E1881" s="27"/>
      <c r="F1881" s="25"/>
      <c r="G1881" s="27"/>
    </row>
    <row r="1882">
      <c r="A1882" s="21"/>
      <c r="B1882" s="21"/>
      <c r="D1882" s="25"/>
      <c r="E1882" s="27"/>
      <c r="F1882" s="25"/>
      <c r="G1882" s="27"/>
    </row>
    <row r="1883">
      <c r="A1883" s="21"/>
      <c r="B1883" s="21"/>
      <c r="D1883" s="25"/>
      <c r="E1883" s="27"/>
      <c r="F1883" s="25"/>
      <c r="G1883" s="27"/>
    </row>
    <row r="1884">
      <c r="A1884" s="21"/>
      <c r="B1884" s="21"/>
      <c r="D1884" s="25"/>
      <c r="E1884" s="27"/>
      <c r="F1884" s="25"/>
      <c r="G1884" s="27"/>
    </row>
    <row r="1885">
      <c r="A1885" s="21"/>
      <c r="B1885" s="21"/>
      <c r="D1885" s="25"/>
      <c r="E1885" s="27"/>
      <c r="F1885" s="25"/>
      <c r="G1885" s="27"/>
    </row>
    <row r="1886">
      <c r="A1886" s="21"/>
      <c r="B1886" s="21"/>
      <c r="D1886" s="25"/>
      <c r="E1886" s="27"/>
      <c r="F1886" s="25"/>
      <c r="G1886" s="27"/>
    </row>
    <row r="1887">
      <c r="A1887" s="21"/>
      <c r="B1887" s="21"/>
      <c r="D1887" s="25"/>
      <c r="E1887" s="27"/>
      <c r="F1887" s="25"/>
      <c r="G1887" s="27"/>
    </row>
    <row r="1888">
      <c r="A1888" s="21"/>
      <c r="B1888" s="21"/>
      <c r="D1888" s="25"/>
      <c r="E1888" s="27"/>
      <c r="F1888" s="25"/>
      <c r="G1888" s="27"/>
    </row>
    <row r="1889">
      <c r="A1889" s="21"/>
      <c r="B1889" s="21"/>
      <c r="D1889" s="25"/>
      <c r="E1889" s="27"/>
      <c r="F1889" s="25"/>
      <c r="G1889" s="27"/>
    </row>
    <row r="1890">
      <c r="A1890" s="21"/>
      <c r="B1890" s="21"/>
      <c r="D1890" s="25"/>
      <c r="E1890" s="27"/>
      <c r="F1890" s="25"/>
      <c r="G1890" s="27"/>
    </row>
    <row r="1891">
      <c r="A1891" s="21"/>
      <c r="B1891" s="21"/>
      <c r="D1891" s="25"/>
      <c r="E1891" s="27"/>
      <c r="F1891" s="25"/>
      <c r="G1891" s="27"/>
    </row>
    <row r="1892">
      <c r="A1892" s="21"/>
      <c r="B1892" s="21"/>
      <c r="D1892" s="25"/>
      <c r="E1892" s="27"/>
      <c r="F1892" s="25"/>
      <c r="G1892" s="27"/>
    </row>
    <row r="1893">
      <c r="A1893" s="21"/>
      <c r="B1893" s="21"/>
      <c r="D1893" s="25"/>
      <c r="E1893" s="27"/>
      <c r="F1893" s="25"/>
      <c r="G1893" s="27"/>
    </row>
    <row r="1894">
      <c r="A1894" s="21"/>
      <c r="B1894" s="21"/>
      <c r="D1894" s="25"/>
      <c r="E1894" s="27"/>
      <c r="F1894" s="25"/>
      <c r="G1894" s="27"/>
    </row>
    <row r="1895">
      <c r="A1895" s="21"/>
      <c r="B1895" s="21"/>
      <c r="D1895" s="25"/>
      <c r="E1895" s="27"/>
      <c r="F1895" s="25"/>
      <c r="G1895" s="27"/>
    </row>
    <row r="1896">
      <c r="A1896" s="21"/>
      <c r="B1896" s="21"/>
      <c r="D1896" s="25"/>
      <c r="E1896" s="27"/>
      <c r="F1896" s="25"/>
      <c r="G1896" s="27"/>
    </row>
    <row r="1897">
      <c r="A1897" s="21"/>
      <c r="B1897" s="21"/>
      <c r="D1897" s="25"/>
      <c r="E1897" s="27"/>
      <c r="F1897" s="25"/>
      <c r="G1897" s="27"/>
    </row>
    <row r="1898">
      <c r="A1898" s="21"/>
      <c r="B1898" s="21"/>
      <c r="D1898" s="25"/>
      <c r="E1898" s="27"/>
      <c r="F1898" s="25"/>
      <c r="G1898" s="27"/>
    </row>
    <row r="1899">
      <c r="A1899" s="21"/>
      <c r="B1899" s="21"/>
      <c r="D1899" s="25"/>
      <c r="E1899" s="27"/>
      <c r="F1899" s="25"/>
      <c r="G1899" s="27"/>
    </row>
    <row r="1900">
      <c r="A1900" s="21"/>
      <c r="B1900" s="21"/>
      <c r="D1900" s="25"/>
      <c r="E1900" s="27"/>
      <c r="F1900" s="25"/>
      <c r="G1900" s="27"/>
    </row>
    <row r="1901">
      <c r="A1901" s="21"/>
      <c r="B1901" s="21"/>
      <c r="D1901" s="25"/>
      <c r="E1901" s="27"/>
      <c r="F1901" s="25"/>
      <c r="G1901" s="27"/>
    </row>
    <row r="1902">
      <c r="A1902" s="21"/>
      <c r="B1902" s="21"/>
      <c r="D1902" s="25"/>
      <c r="E1902" s="27"/>
      <c r="F1902" s="25"/>
      <c r="G1902" s="27"/>
    </row>
    <row r="1903">
      <c r="A1903" s="21"/>
      <c r="B1903" s="21"/>
      <c r="D1903" s="25"/>
      <c r="E1903" s="27"/>
      <c r="F1903" s="25"/>
      <c r="G1903" s="27"/>
    </row>
    <row r="1904">
      <c r="A1904" s="21"/>
      <c r="B1904" s="21"/>
      <c r="D1904" s="25"/>
      <c r="E1904" s="27"/>
      <c r="F1904" s="25"/>
      <c r="G1904" s="27"/>
    </row>
    <row r="1905">
      <c r="A1905" s="21"/>
      <c r="B1905" s="21"/>
      <c r="D1905" s="25"/>
      <c r="E1905" s="27"/>
      <c r="F1905" s="25"/>
      <c r="G1905" s="27"/>
    </row>
    <row r="1906">
      <c r="A1906" s="21"/>
      <c r="B1906" s="21"/>
      <c r="D1906" s="25"/>
      <c r="E1906" s="27"/>
      <c r="F1906" s="25"/>
      <c r="G1906" s="27"/>
    </row>
    <row r="1907">
      <c r="A1907" s="21"/>
      <c r="B1907" s="21"/>
      <c r="D1907" s="25"/>
      <c r="E1907" s="27"/>
      <c r="F1907" s="25"/>
      <c r="G1907" s="27"/>
    </row>
    <row r="1908">
      <c r="A1908" s="21"/>
      <c r="B1908" s="21"/>
      <c r="D1908" s="25"/>
      <c r="E1908" s="27"/>
      <c r="F1908" s="25"/>
      <c r="G1908" s="27"/>
    </row>
    <row r="1909">
      <c r="A1909" s="21"/>
      <c r="B1909" s="21"/>
      <c r="D1909" s="25"/>
      <c r="E1909" s="27"/>
      <c r="F1909" s="25"/>
      <c r="G1909" s="27"/>
    </row>
    <row r="1910">
      <c r="A1910" s="21"/>
      <c r="B1910" s="21"/>
      <c r="D1910" s="25"/>
      <c r="E1910" s="27"/>
      <c r="F1910" s="25"/>
      <c r="G1910" s="27"/>
    </row>
    <row r="1911">
      <c r="A1911" s="21"/>
      <c r="B1911" s="21"/>
      <c r="D1911" s="25"/>
      <c r="E1911" s="27"/>
      <c r="F1911" s="25"/>
      <c r="G1911" s="27"/>
    </row>
    <row r="1912">
      <c r="A1912" s="21"/>
      <c r="B1912" s="21"/>
      <c r="D1912" s="25"/>
      <c r="E1912" s="27"/>
      <c r="F1912" s="25"/>
      <c r="G1912" s="27"/>
    </row>
    <row r="1913">
      <c r="A1913" s="21"/>
      <c r="B1913" s="21"/>
      <c r="D1913" s="25"/>
      <c r="E1913" s="27"/>
      <c r="F1913" s="25"/>
      <c r="G1913" s="27"/>
    </row>
    <row r="1914">
      <c r="A1914" s="21"/>
      <c r="B1914" s="21"/>
      <c r="D1914" s="25"/>
      <c r="E1914" s="27"/>
      <c r="F1914" s="25"/>
      <c r="G1914" s="27"/>
    </row>
    <row r="1915">
      <c r="A1915" s="21"/>
      <c r="B1915" s="21"/>
      <c r="D1915" s="25"/>
      <c r="E1915" s="27"/>
      <c r="F1915" s="25"/>
      <c r="G1915" s="27"/>
    </row>
    <row r="1916">
      <c r="A1916" s="21"/>
      <c r="B1916" s="21"/>
      <c r="D1916" s="25"/>
      <c r="E1916" s="27"/>
      <c r="F1916" s="25"/>
      <c r="G1916" s="27"/>
    </row>
    <row r="1917">
      <c r="A1917" s="21"/>
      <c r="B1917" s="21"/>
      <c r="D1917" s="25"/>
      <c r="E1917" s="27"/>
      <c r="F1917" s="25"/>
      <c r="G1917" s="27"/>
    </row>
    <row r="1918">
      <c r="A1918" s="21"/>
      <c r="B1918" s="21"/>
      <c r="D1918" s="25"/>
      <c r="E1918" s="27"/>
      <c r="F1918" s="25"/>
      <c r="G1918" s="27"/>
    </row>
    <row r="1919">
      <c r="A1919" s="21"/>
      <c r="B1919" s="21"/>
      <c r="D1919" s="25"/>
      <c r="E1919" s="27"/>
      <c r="F1919" s="25"/>
      <c r="G1919" s="27"/>
    </row>
    <row r="1920">
      <c r="A1920" s="21"/>
      <c r="B1920" s="21"/>
      <c r="D1920" s="25"/>
      <c r="E1920" s="27"/>
      <c r="F1920" s="25"/>
      <c r="G1920" s="27"/>
    </row>
    <row r="1921">
      <c r="A1921" s="21"/>
      <c r="B1921" s="21"/>
      <c r="D1921" s="25"/>
      <c r="E1921" s="27"/>
      <c r="F1921" s="25"/>
      <c r="G1921" s="27"/>
    </row>
    <row r="1922">
      <c r="A1922" s="21"/>
      <c r="B1922" s="21"/>
      <c r="D1922" s="25"/>
      <c r="E1922" s="27"/>
      <c r="F1922" s="25"/>
      <c r="G1922" s="27"/>
    </row>
    <row r="1923">
      <c r="A1923" s="21"/>
      <c r="B1923" s="21"/>
      <c r="D1923" s="25"/>
      <c r="E1923" s="27"/>
      <c r="F1923" s="25"/>
      <c r="G1923" s="27"/>
    </row>
    <row r="1924">
      <c r="A1924" s="21"/>
      <c r="B1924" s="21"/>
      <c r="D1924" s="25"/>
      <c r="E1924" s="27"/>
      <c r="F1924" s="25"/>
      <c r="G1924" s="27"/>
    </row>
    <row r="1925">
      <c r="A1925" s="21"/>
      <c r="B1925" s="21"/>
      <c r="D1925" s="25"/>
      <c r="E1925" s="27"/>
      <c r="F1925" s="25"/>
      <c r="G1925" s="27"/>
    </row>
    <row r="1926">
      <c r="A1926" s="21"/>
      <c r="B1926" s="21"/>
      <c r="D1926" s="25"/>
      <c r="E1926" s="27"/>
      <c r="F1926" s="25"/>
      <c r="G1926" s="27"/>
    </row>
    <row r="1927">
      <c r="A1927" s="21"/>
      <c r="B1927" s="21"/>
      <c r="D1927" s="25"/>
      <c r="E1927" s="27"/>
      <c r="F1927" s="25"/>
      <c r="G1927" s="27"/>
    </row>
    <row r="1928">
      <c r="A1928" s="21"/>
      <c r="B1928" s="21"/>
      <c r="D1928" s="25"/>
      <c r="E1928" s="27"/>
      <c r="F1928" s="25"/>
      <c r="G1928" s="27"/>
    </row>
    <row r="1929">
      <c r="A1929" s="21"/>
      <c r="B1929" s="21"/>
      <c r="D1929" s="25"/>
      <c r="E1929" s="27"/>
      <c r="F1929" s="25"/>
      <c r="G1929" s="27"/>
    </row>
    <row r="1930">
      <c r="A1930" s="21"/>
      <c r="B1930" s="21"/>
      <c r="D1930" s="25"/>
      <c r="E1930" s="27"/>
      <c r="F1930" s="25"/>
      <c r="G1930" s="27"/>
    </row>
    <row r="1931">
      <c r="A1931" s="21"/>
      <c r="B1931" s="21"/>
      <c r="D1931" s="25"/>
      <c r="E1931" s="27"/>
      <c r="F1931" s="25"/>
      <c r="G1931" s="27"/>
    </row>
    <row r="1932">
      <c r="A1932" s="21"/>
      <c r="B1932" s="21"/>
      <c r="D1932" s="25"/>
      <c r="E1932" s="27"/>
      <c r="F1932" s="25"/>
      <c r="G1932" s="27"/>
    </row>
    <row r="1933">
      <c r="A1933" s="21"/>
      <c r="B1933" s="21"/>
      <c r="D1933" s="25"/>
      <c r="E1933" s="27"/>
      <c r="F1933" s="25"/>
      <c r="G1933" s="27"/>
    </row>
    <row r="1934">
      <c r="A1934" s="21"/>
      <c r="B1934" s="21"/>
      <c r="D1934" s="25"/>
      <c r="E1934" s="27"/>
      <c r="F1934" s="25"/>
      <c r="G1934" s="27"/>
    </row>
    <row r="1935">
      <c r="A1935" s="21"/>
      <c r="B1935" s="21"/>
      <c r="D1935" s="25"/>
      <c r="E1935" s="27"/>
      <c r="F1935" s="25"/>
      <c r="G1935" s="27"/>
    </row>
    <row r="1936">
      <c r="A1936" s="21"/>
      <c r="B1936" s="21"/>
      <c r="D1936" s="25"/>
      <c r="E1936" s="27"/>
      <c r="F1936" s="25"/>
      <c r="G1936" s="27"/>
    </row>
    <row r="1937">
      <c r="A1937" s="21"/>
      <c r="B1937" s="21"/>
      <c r="D1937" s="25"/>
      <c r="E1937" s="27"/>
      <c r="F1937" s="25"/>
      <c r="G1937" s="27"/>
    </row>
    <row r="1938">
      <c r="A1938" s="21"/>
      <c r="B1938" s="21"/>
      <c r="D1938" s="25"/>
      <c r="E1938" s="27"/>
      <c r="F1938" s="25"/>
      <c r="G1938" s="27"/>
    </row>
    <row r="1939">
      <c r="A1939" s="21"/>
      <c r="B1939" s="21"/>
      <c r="D1939" s="25"/>
      <c r="E1939" s="27"/>
      <c r="F1939" s="25"/>
      <c r="G1939" s="27"/>
    </row>
    <row r="1940">
      <c r="A1940" s="21"/>
      <c r="B1940" s="21"/>
      <c r="D1940" s="25"/>
      <c r="E1940" s="27"/>
      <c r="F1940" s="25"/>
      <c r="G1940" s="27"/>
    </row>
    <row r="1941">
      <c r="A1941" s="21"/>
      <c r="B1941" s="21"/>
      <c r="D1941" s="25"/>
      <c r="E1941" s="27"/>
      <c r="F1941" s="25"/>
      <c r="G1941" s="27"/>
    </row>
    <row r="1942">
      <c r="A1942" s="21"/>
      <c r="B1942" s="21"/>
      <c r="D1942" s="25"/>
      <c r="E1942" s="27"/>
      <c r="F1942" s="25"/>
      <c r="G1942" s="27"/>
    </row>
    <row r="1943">
      <c r="A1943" s="21"/>
      <c r="B1943" s="21"/>
      <c r="D1943" s="25"/>
      <c r="E1943" s="27"/>
      <c r="F1943" s="25"/>
      <c r="G1943" s="27"/>
    </row>
    <row r="1944">
      <c r="A1944" s="21"/>
      <c r="B1944" s="21"/>
      <c r="D1944" s="25"/>
      <c r="E1944" s="27"/>
      <c r="F1944" s="25"/>
      <c r="G1944" s="27"/>
    </row>
    <row r="1945">
      <c r="A1945" s="21"/>
      <c r="B1945" s="21"/>
      <c r="D1945" s="25"/>
      <c r="E1945" s="27"/>
      <c r="F1945" s="25"/>
      <c r="G1945" s="27"/>
    </row>
    <row r="1946">
      <c r="A1946" s="21"/>
      <c r="B1946" s="21"/>
      <c r="D1946" s="25"/>
      <c r="E1946" s="27"/>
      <c r="F1946" s="25"/>
      <c r="G1946" s="27"/>
    </row>
    <row r="1947">
      <c r="A1947" s="21"/>
      <c r="B1947" s="21"/>
      <c r="D1947" s="25"/>
      <c r="E1947" s="27"/>
      <c r="F1947" s="25"/>
      <c r="G1947" s="27"/>
    </row>
    <row r="1948">
      <c r="A1948" s="21"/>
      <c r="B1948" s="21"/>
      <c r="D1948" s="25"/>
      <c r="E1948" s="27"/>
      <c r="F1948" s="25"/>
      <c r="G1948" s="27"/>
    </row>
    <row r="1949">
      <c r="A1949" s="21"/>
      <c r="B1949" s="21"/>
      <c r="D1949" s="25"/>
      <c r="E1949" s="27"/>
      <c r="F1949" s="25"/>
      <c r="G1949" s="27"/>
    </row>
    <row r="1950">
      <c r="A1950" s="21"/>
      <c r="B1950" s="21"/>
      <c r="D1950" s="25"/>
      <c r="E1950" s="27"/>
      <c r="F1950" s="25"/>
      <c r="G1950" s="27"/>
    </row>
    <row r="1951">
      <c r="A1951" s="21"/>
      <c r="B1951" s="21"/>
      <c r="D1951" s="25"/>
      <c r="E1951" s="27"/>
      <c r="F1951" s="25"/>
      <c r="G1951" s="27"/>
    </row>
    <row r="1952">
      <c r="A1952" s="21"/>
      <c r="B1952" s="21"/>
      <c r="D1952" s="25"/>
      <c r="E1952" s="27"/>
      <c r="F1952" s="25"/>
      <c r="G1952" s="27"/>
    </row>
    <row r="1953">
      <c r="A1953" s="21"/>
      <c r="B1953" s="21"/>
      <c r="D1953" s="25"/>
      <c r="E1953" s="27"/>
      <c r="F1953" s="25"/>
      <c r="G1953" s="27"/>
    </row>
    <row r="1954">
      <c r="A1954" s="21"/>
      <c r="B1954" s="21"/>
      <c r="D1954" s="25"/>
      <c r="E1954" s="27"/>
      <c r="F1954" s="25"/>
      <c r="G1954" s="27"/>
    </row>
    <row r="1955">
      <c r="A1955" s="21"/>
      <c r="B1955" s="21"/>
      <c r="D1955" s="25"/>
      <c r="E1955" s="27"/>
      <c r="F1955" s="25"/>
      <c r="G1955" s="27"/>
    </row>
    <row r="1956">
      <c r="A1956" s="21"/>
      <c r="B1956" s="21"/>
      <c r="D1956" s="25"/>
      <c r="E1956" s="27"/>
      <c r="F1956" s="25"/>
      <c r="G1956" s="27"/>
    </row>
    <row r="1957">
      <c r="A1957" s="21"/>
      <c r="B1957" s="21"/>
      <c r="D1957" s="25"/>
      <c r="E1957" s="27"/>
      <c r="F1957" s="25"/>
      <c r="G1957" s="27"/>
    </row>
    <row r="1958">
      <c r="A1958" s="21"/>
      <c r="B1958" s="21"/>
      <c r="D1958" s="25"/>
      <c r="E1958" s="27"/>
      <c r="F1958" s="25"/>
      <c r="G1958" s="27"/>
    </row>
    <row r="1959">
      <c r="A1959" s="21"/>
      <c r="B1959" s="21"/>
      <c r="D1959" s="25"/>
      <c r="E1959" s="27"/>
      <c r="F1959" s="25"/>
      <c r="G1959" s="27"/>
    </row>
    <row r="1960">
      <c r="A1960" s="21"/>
      <c r="B1960" s="21"/>
      <c r="D1960" s="25"/>
      <c r="E1960" s="27"/>
      <c r="F1960" s="25"/>
      <c r="G1960" s="27"/>
    </row>
    <row r="1961">
      <c r="A1961" s="21"/>
      <c r="B1961" s="21"/>
      <c r="D1961" s="25"/>
      <c r="E1961" s="27"/>
      <c r="F1961" s="25"/>
      <c r="G1961" s="27"/>
    </row>
    <row r="1962">
      <c r="A1962" s="21"/>
      <c r="B1962" s="21"/>
      <c r="D1962" s="25"/>
      <c r="E1962" s="27"/>
      <c r="F1962" s="25"/>
      <c r="G1962" s="27"/>
    </row>
    <row r="1963">
      <c r="A1963" s="21"/>
      <c r="B1963" s="21"/>
      <c r="D1963" s="25"/>
      <c r="E1963" s="27"/>
      <c r="F1963" s="25"/>
      <c r="G1963" s="27"/>
    </row>
    <row r="1964">
      <c r="A1964" s="21"/>
      <c r="B1964" s="21"/>
      <c r="D1964" s="25"/>
      <c r="E1964" s="27"/>
      <c r="F1964" s="25"/>
      <c r="G1964" s="27"/>
    </row>
    <row r="1965">
      <c r="A1965" s="21"/>
      <c r="B1965" s="21"/>
      <c r="D1965" s="25"/>
      <c r="E1965" s="27"/>
      <c r="F1965" s="25"/>
      <c r="G1965" s="27"/>
    </row>
    <row r="1966">
      <c r="A1966" s="21"/>
      <c r="B1966" s="21"/>
      <c r="D1966" s="25"/>
      <c r="E1966" s="27"/>
      <c r="F1966" s="25"/>
      <c r="G1966" s="27"/>
    </row>
    <row r="1967">
      <c r="A1967" s="21"/>
      <c r="B1967" s="21"/>
      <c r="D1967" s="25"/>
      <c r="E1967" s="27"/>
      <c r="F1967" s="25"/>
      <c r="G1967" s="27"/>
    </row>
    <row r="1968">
      <c r="A1968" s="21"/>
      <c r="B1968" s="21"/>
      <c r="D1968" s="25"/>
      <c r="E1968" s="27"/>
      <c r="F1968" s="25"/>
      <c r="G1968" s="27"/>
    </row>
    <row r="1969">
      <c r="A1969" s="21"/>
      <c r="B1969" s="21"/>
      <c r="D1969" s="25"/>
      <c r="E1969" s="27"/>
      <c r="F1969" s="25"/>
      <c r="G1969" s="27"/>
    </row>
    <row r="1970">
      <c r="A1970" s="21"/>
      <c r="B1970" s="21"/>
      <c r="D1970" s="25"/>
      <c r="E1970" s="27"/>
      <c r="F1970" s="25"/>
      <c r="G1970" s="27"/>
    </row>
    <row r="1971">
      <c r="A1971" s="21"/>
      <c r="B1971" s="21"/>
      <c r="D1971" s="25"/>
      <c r="E1971" s="27"/>
      <c r="F1971" s="25"/>
      <c r="G1971" s="27"/>
    </row>
    <row r="1972">
      <c r="A1972" s="21"/>
      <c r="B1972" s="21"/>
      <c r="D1972" s="25"/>
      <c r="E1972" s="27"/>
      <c r="F1972" s="25"/>
      <c r="G1972" s="27"/>
    </row>
    <row r="1973">
      <c r="A1973" s="21"/>
      <c r="B1973" s="21"/>
      <c r="D1973" s="25"/>
      <c r="E1973" s="27"/>
      <c r="F1973" s="25"/>
      <c r="G1973" s="27"/>
    </row>
    <row r="1974">
      <c r="A1974" s="21"/>
      <c r="B1974" s="21"/>
      <c r="D1974" s="25"/>
      <c r="E1974" s="27"/>
      <c r="F1974" s="25"/>
      <c r="G1974" s="27"/>
    </row>
    <row r="1975">
      <c r="A1975" s="21"/>
      <c r="B1975" s="21"/>
      <c r="D1975" s="25"/>
      <c r="E1975" s="27"/>
      <c r="F1975" s="25"/>
      <c r="G1975" s="27"/>
    </row>
    <row r="1976">
      <c r="A1976" s="21"/>
      <c r="B1976" s="21"/>
      <c r="D1976" s="25"/>
      <c r="E1976" s="27"/>
      <c r="F1976" s="25"/>
      <c r="G1976" s="27"/>
    </row>
    <row r="1977">
      <c r="A1977" s="21"/>
      <c r="B1977" s="21"/>
      <c r="D1977" s="25"/>
      <c r="E1977" s="27"/>
      <c r="F1977" s="25"/>
      <c r="G1977" s="27"/>
    </row>
    <row r="1978">
      <c r="A1978" s="21"/>
      <c r="B1978" s="21"/>
      <c r="D1978" s="25"/>
      <c r="E1978" s="27"/>
      <c r="F1978" s="25"/>
      <c r="G1978" s="27"/>
    </row>
    <row r="1979">
      <c r="A1979" s="21"/>
      <c r="B1979" s="21"/>
      <c r="D1979" s="25"/>
      <c r="E1979" s="27"/>
      <c r="F1979" s="25"/>
      <c r="G1979" s="27"/>
    </row>
    <row r="1980">
      <c r="A1980" s="21"/>
      <c r="B1980" s="21"/>
      <c r="D1980" s="25"/>
      <c r="E1980" s="27"/>
      <c r="F1980" s="25"/>
      <c r="G1980" s="27"/>
    </row>
    <row r="1981">
      <c r="A1981" s="21"/>
      <c r="B1981" s="21"/>
      <c r="D1981" s="25"/>
      <c r="E1981" s="27"/>
      <c r="F1981" s="25"/>
      <c r="G1981" s="27"/>
    </row>
    <row r="1982">
      <c r="A1982" s="21"/>
      <c r="B1982" s="21"/>
      <c r="D1982" s="25"/>
      <c r="E1982" s="27"/>
      <c r="F1982" s="25"/>
      <c r="G1982" s="27"/>
    </row>
    <row r="1983">
      <c r="A1983" s="21"/>
      <c r="B1983" s="21"/>
      <c r="D1983" s="25"/>
      <c r="E1983" s="27"/>
      <c r="F1983" s="25"/>
      <c r="G1983" s="27"/>
    </row>
    <row r="1984">
      <c r="A1984" s="21"/>
      <c r="B1984" s="21"/>
      <c r="D1984" s="25"/>
      <c r="E1984" s="27"/>
      <c r="F1984" s="25"/>
      <c r="G1984" s="27"/>
    </row>
    <row r="1985">
      <c r="A1985" s="21"/>
      <c r="B1985" s="21"/>
      <c r="D1985" s="25"/>
      <c r="E1985" s="27"/>
      <c r="F1985" s="25"/>
      <c r="G1985" s="27"/>
    </row>
    <row r="1986">
      <c r="A1986" s="21"/>
      <c r="B1986" s="21"/>
      <c r="D1986" s="25"/>
      <c r="E1986" s="27"/>
      <c r="F1986" s="25"/>
      <c r="G1986" s="27"/>
    </row>
    <row r="1987">
      <c r="A1987" s="21"/>
      <c r="B1987" s="21"/>
      <c r="D1987" s="25"/>
      <c r="E1987" s="27"/>
      <c r="F1987" s="25"/>
      <c r="G1987" s="27"/>
    </row>
    <row r="1988">
      <c r="A1988" s="21"/>
      <c r="B1988" s="21"/>
      <c r="D1988" s="25"/>
      <c r="E1988" s="27"/>
      <c r="F1988" s="25"/>
      <c r="G1988" s="27"/>
    </row>
    <row r="1989">
      <c r="A1989" s="21"/>
      <c r="B1989" s="21"/>
      <c r="D1989" s="25"/>
      <c r="E1989" s="27"/>
      <c r="F1989" s="25"/>
      <c r="G1989" s="27"/>
    </row>
    <row r="1990">
      <c r="A1990" s="21"/>
      <c r="B1990" s="21"/>
      <c r="D1990" s="25"/>
      <c r="E1990" s="27"/>
      <c r="F1990" s="25"/>
      <c r="G1990" s="27"/>
    </row>
    <row r="1991">
      <c r="A1991" s="21"/>
      <c r="B1991" s="21"/>
      <c r="D1991" s="25"/>
      <c r="E1991" s="27"/>
      <c r="F1991" s="25"/>
      <c r="G1991" s="27"/>
    </row>
    <row r="1992">
      <c r="A1992" s="21"/>
      <c r="B1992" s="21"/>
      <c r="D1992" s="25"/>
      <c r="E1992" s="27"/>
      <c r="F1992" s="25"/>
      <c r="G1992" s="27"/>
    </row>
    <row r="1993">
      <c r="A1993" s="21"/>
      <c r="B1993" s="21"/>
      <c r="D1993" s="25"/>
      <c r="E1993" s="27"/>
      <c r="F1993" s="25"/>
      <c r="G1993" s="27"/>
    </row>
    <row r="1994">
      <c r="A1994" s="21"/>
      <c r="B1994" s="21"/>
      <c r="D1994" s="25"/>
      <c r="E1994" s="27"/>
      <c r="F1994" s="25"/>
      <c r="G1994" s="27"/>
    </row>
    <row r="1995">
      <c r="A1995" s="21"/>
      <c r="B1995" s="21"/>
      <c r="D1995" s="25"/>
      <c r="E1995" s="27"/>
      <c r="F1995" s="25"/>
      <c r="G1995" s="27"/>
    </row>
    <row r="1996">
      <c r="A1996" s="21"/>
      <c r="B1996" s="21"/>
      <c r="D1996" s="25"/>
      <c r="E1996" s="27"/>
      <c r="F1996" s="25"/>
      <c r="G1996" s="27"/>
    </row>
    <row r="1997">
      <c r="A1997" s="21"/>
      <c r="B1997" s="21"/>
      <c r="D1997" s="25"/>
      <c r="E1997" s="27"/>
      <c r="F1997" s="25"/>
      <c r="G1997" s="27"/>
    </row>
    <row r="1998">
      <c r="A1998" s="21"/>
      <c r="B1998" s="21"/>
      <c r="D1998" s="25"/>
      <c r="E1998" s="27"/>
      <c r="F1998" s="25"/>
      <c r="G1998" s="27"/>
    </row>
    <row r="1999">
      <c r="A1999" s="21"/>
      <c r="B1999" s="21"/>
      <c r="D1999" s="25"/>
      <c r="E1999" s="27"/>
      <c r="F1999" s="25"/>
      <c r="G1999" s="27"/>
    </row>
    <row r="2000">
      <c r="A2000" s="21"/>
      <c r="B2000" s="21"/>
      <c r="D2000" s="25"/>
      <c r="E2000" s="27"/>
      <c r="F2000" s="25"/>
      <c r="G2000" s="27"/>
    </row>
    <row r="2001">
      <c r="A2001" s="21"/>
      <c r="B2001" s="21"/>
      <c r="D2001" s="25"/>
      <c r="E2001" s="27"/>
      <c r="F2001" s="25"/>
      <c r="G2001" s="27"/>
    </row>
    <row r="2002">
      <c r="A2002" s="21"/>
      <c r="B2002" s="21"/>
      <c r="D2002" s="25"/>
      <c r="E2002" s="27"/>
      <c r="F2002" s="25"/>
      <c r="G2002" s="27"/>
    </row>
    <row r="2003">
      <c r="A2003" s="21"/>
      <c r="B2003" s="21"/>
      <c r="D2003" s="25"/>
      <c r="E2003" s="27"/>
      <c r="F2003" s="25"/>
      <c r="G2003" s="27"/>
    </row>
    <row r="2004">
      <c r="A2004" s="21"/>
      <c r="B2004" s="21"/>
      <c r="D2004" s="25"/>
      <c r="E2004" s="27"/>
      <c r="F2004" s="25"/>
      <c r="G2004" s="27"/>
    </row>
    <row r="2005">
      <c r="A2005" s="21"/>
      <c r="B2005" s="21"/>
      <c r="D2005" s="25"/>
      <c r="E2005" s="27"/>
      <c r="F2005" s="25"/>
      <c r="G2005" s="27"/>
    </row>
    <row r="2006">
      <c r="A2006" s="21"/>
      <c r="B2006" s="21"/>
      <c r="D2006" s="25"/>
      <c r="E2006" s="27"/>
      <c r="F2006" s="25"/>
      <c r="G2006" s="27"/>
    </row>
    <row r="2007">
      <c r="A2007" s="21"/>
      <c r="B2007" s="21"/>
      <c r="D2007" s="25"/>
      <c r="E2007" s="27"/>
      <c r="F2007" s="25"/>
      <c r="G2007" s="27"/>
    </row>
    <row r="2008">
      <c r="A2008" s="21"/>
      <c r="B2008" s="21"/>
      <c r="D2008" s="25"/>
      <c r="E2008" s="27"/>
      <c r="F2008" s="25"/>
      <c r="G2008" s="27"/>
    </row>
    <row r="2009">
      <c r="A2009" s="21"/>
      <c r="B2009" s="21"/>
      <c r="D2009" s="25"/>
      <c r="E2009" s="27"/>
      <c r="F2009" s="25"/>
      <c r="G2009" s="27"/>
    </row>
    <row r="2010">
      <c r="A2010" s="21"/>
      <c r="B2010" s="21"/>
      <c r="D2010" s="25"/>
      <c r="E2010" s="27"/>
      <c r="F2010" s="25"/>
      <c r="G2010" s="27"/>
    </row>
    <row r="2011">
      <c r="A2011" s="21"/>
      <c r="B2011" s="21"/>
      <c r="D2011" s="25"/>
      <c r="E2011" s="27"/>
      <c r="F2011" s="25"/>
      <c r="G2011" s="27"/>
    </row>
    <row r="2012">
      <c r="A2012" s="21"/>
      <c r="B2012" s="21"/>
      <c r="D2012" s="25"/>
      <c r="E2012" s="27"/>
      <c r="F2012" s="25"/>
      <c r="G2012" s="27"/>
    </row>
    <row r="2013">
      <c r="A2013" s="21"/>
      <c r="B2013" s="21"/>
      <c r="D2013" s="25"/>
      <c r="E2013" s="27"/>
      <c r="F2013" s="25"/>
      <c r="G2013" s="27"/>
    </row>
    <row r="2014">
      <c r="A2014" s="21"/>
      <c r="B2014" s="21"/>
      <c r="D2014" s="25"/>
      <c r="E2014" s="27"/>
      <c r="F2014" s="25"/>
      <c r="G2014" s="27"/>
    </row>
    <row r="2015">
      <c r="A2015" s="21"/>
      <c r="B2015" s="21"/>
      <c r="D2015" s="25"/>
      <c r="E2015" s="27"/>
      <c r="F2015" s="25"/>
      <c r="G2015" s="27"/>
    </row>
    <row r="2016">
      <c r="A2016" s="21"/>
      <c r="B2016" s="21"/>
      <c r="D2016" s="25"/>
      <c r="E2016" s="27"/>
      <c r="F2016" s="25"/>
      <c r="G2016" s="27"/>
    </row>
    <row r="2017">
      <c r="A2017" s="21"/>
      <c r="B2017" s="21"/>
      <c r="D2017" s="25"/>
      <c r="E2017" s="27"/>
      <c r="F2017" s="25"/>
      <c r="G2017" s="27"/>
    </row>
    <row r="2018">
      <c r="A2018" s="21"/>
      <c r="B2018" s="21"/>
      <c r="D2018" s="25"/>
      <c r="E2018" s="27"/>
      <c r="F2018" s="25"/>
      <c r="G2018" s="27"/>
    </row>
    <row r="2019">
      <c r="A2019" s="21"/>
      <c r="B2019" s="21"/>
      <c r="D2019" s="25"/>
      <c r="E2019" s="27"/>
      <c r="F2019" s="25"/>
      <c r="G2019" s="27"/>
    </row>
    <row r="2020">
      <c r="A2020" s="21"/>
      <c r="B2020" s="21"/>
      <c r="D2020" s="25"/>
      <c r="E2020" s="27"/>
      <c r="F2020" s="25"/>
      <c r="G2020" s="27"/>
    </row>
    <row r="2021">
      <c r="A2021" s="21"/>
      <c r="B2021" s="21"/>
      <c r="D2021" s="25"/>
      <c r="E2021" s="27"/>
      <c r="F2021" s="25"/>
      <c r="G2021" s="27"/>
    </row>
    <row r="2022">
      <c r="A2022" s="21"/>
      <c r="B2022" s="21"/>
      <c r="D2022" s="25"/>
      <c r="E2022" s="27"/>
      <c r="F2022" s="25"/>
      <c r="G2022" s="27"/>
    </row>
    <row r="2023">
      <c r="A2023" s="21"/>
      <c r="B2023" s="21"/>
      <c r="D2023" s="25"/>
      <c r="E2023" s="27"/>
      <c r="F2023" s="25"/>
      <c r="G2023" s="27"/>
    </row>
    <row r="2024">
      <c r="A2024" s="21"/>
      <c r="B2024" s="21"/>
      <c r="D2024" s="25"/>
      <c r="E2024" s="27"/>
      <c r="F2024" s="25"/>
      <c r="G2024" s="27"/>
    </row>
    <row r="2025">
      <c r="A2025" s="21"/>
      <c r="B2025" s="21"/>
      <c r="D2025" s="25"/>
      <c r="E2025" s="27"/>
      <c r="F2025" s="25"/>
      <c r="G2025" s="27"/>
    </row>
    <row r="2026">
      <c r="A2026" s="21"/>
      <c r="B2026" s="21"/>
      <c r="D2026" s="25"/>
      <c r="E2026" s="27"/>
      <c r="F2026" s="25"/>
      <c r="G2026" s="27"/>
    </row>
    <row r="2027">
      <c r="A2027" s="21"/>
      <c r="B2027" s="21"/>
      <c r="D2027" s="25"/>
      <c r="E2027" s="27"/>
      <c r="F2027" s="25"/>
      <c r="G2027" s="27"/>
    </row>
    <row r="2028">
      <c r="A2028" s="21"/>
      <c r="B2028" s="21"/>
      <c r="D2028" s="25"/>
      <c r="E2028" s="27"/>
      <c r="F2028" s="25"/>
      <c r="G2028" s="27"/>
    </row>
    <row r="2029">
      <c r="A2029" s="21"/>
      <c r="B2029" s="21"/>
      <c r="D2029" s="25"/>
      <c r="E2029" s="27"/>
      <c r="F2029" s="25"/>
      <c r="G2029" s="27"/>
    </row>
    <row r="2030">
      <c r="A2030" s="21"/>
      <c r="B2030" s="21"/>
      <c r="D2030" s="25"/>
      <c r="E2030" s="27"/>
      <c r="F2030" s="25"/>
      <c r="G2030" s="27"/>
    </row>
    <row r="2031">
      <c r="A2031" s="21"/>
      <c r="B2031" s="21"/>
      <c r="D2031" s="25"/>
      <c r="E2031" s="27"/>
      <c r="F2031" s="25"/>
      <c r="G2031" s="27"/>
    </row>
    <row r="2032">
      <c r="A2032" s="21"/>
      <c r="B2032" s="21"/>
      <c r="D2032" s="25"/>
      <c r="E2032" s="27"/>
      <c r="F2032" s="25"/>
      <c r="G2032" s="27"/>
    </row>
    <row r="2033">
      <c r="A2033" s="21"/>
      <c r="B2033" s="21"/>
      <c r="D2033" s="25"/>
      <c r="E2033" s="27"/>
      <c r="F2033" s="25"/>
      <c r="G2033" s="27"/>
    </row>
    <row r="2034">
      <c r="A2034" s="21"/>
      <c r="B2034" s="21"/>
      <c r="D2034" s="25"/>
      <c r="E2034" s="27"/>
      <c r="F2034" s="25"/>
      <c r="G2034" s="27"/>
    </row>
    <row r="2035">
      <c r="A2035" s="21"/>
      <c r="B2035" s="21"/>
      <c r="D2035" s="25"/>
      <c r="E2035" s="27"/>
      <c r="F2035" s="25"/>
      <c r="G2035" s="27"/>
    </row>
    <row r="2036">
      <c r="A2036" s="21"/>
      <c r="B2036" s="21"/>
      <c r="D2036" s="25"/>
      <c r="E2036" s="27"/>
      <c r="F2036" s="25"/>
      <c r="G2036" s="27"/>
    </row>
    <row r="2037">
      <c r="A2037" s="21"/>
      <c r="B2037" s="21"/>
      <c r="D2037" s="25"/>
      <c r="E2037" s="27"/>
      <c r="F2037" s="25"/>
      <c r="G2037" s="27"/>
    </row>
    <row r="2038">
      <c r="A2038" s="21"/>
      <c r="B2038" s="21"/>
      <c r="D2038" s="25"/>
      <c r="E2038" s="27"/>
      <c r="F2038" s="25"/>
      <c r="G2038" s="27"/>
    </row>
    <row r="2039">
      <c r="A2039" s="21"/>
      <c r="B2039" s="21"/>
      <c r="D2039" s="25"/>
      <c r="E2039" s="27"/>
      <c r="F2039" s="25"/>
      <c r="G2039" s="27"/>
    </row>
    <row r="2040">
      <c r="A2040" s="21"/>
      <c r="B2040" s="21"/>
      <c r="D2040" s="25"/>
      <c r="E2040" s="27"/>
      <c r="F2040" s="25"/>
      <c r="G2040" s="27"/>
    </row>
    <row r="2041">
      <c r="A2041" s="21"/>
      <c r="B2041" s="21"/>
      <c r="D2041" s="25"/>
      <c r="E2041" s="27"/>
      <c r="F2041" s="25"/>
      <c r="G2041" s="27"/>
    </row>
    <row r="2042">
      <c r="A2042" s="21"/>
      <c r="B2042" s="21"/>
      <c r="D2042" s="25"/>
      <c r="E2042" s="27"/>
      <c r="F2042" s="25"/>
      <c r="G2042" s="27"/>
    </row>
    <row r="2043">
      <c r="A2043" s="21"/>
      <c r="B2043" s="21"/>
      <c r="D2043" s="25"/>
      <c r="E2043" s="27"/>
      <c r="F2043" s="25"/>
      <c r="G2043" s="27"/>
    </row>
    <row r="2044">
      <c r="A2044" s="21"/>
      <c r="B2044" s="21"/>
      <c r="D2044" s="25"/>
      <c r="E2044" s="27"/>
      <c r="F2044" s="25"/>
      <c r="G2044" s="27"/>
    </row>
    <row r="2045">
      <c r="A2045" s="21"/>
      <c r="B2045" s="21"/>
      <c r="D2045" s="25"/>
      <c r="E2045" s="27"/>
      <c r="F2045" s="25"/>
      <c r="G2045" s="27"/>
    </row>
    <row r="2046">
      <c r="A2046" s="21"/>
      <c r="B2046" s="21"/>
      <c r="D2046" s="25"/>
      <c r="E2046" s="27"/>
      <c r="F2046" s="25"/>
      <c r="G2046" s="27"/>
    </row>
    <row r="2047">
      <c r="A2047" s="21"/>
      <c r="B2047" s="21"/>
      <c r="D2047" s="25"/>
      <c r="E2047" s="27"/>
      <c r="F2047" s="25"/>
      <c r="G2047" s="27"/>
    </row>
    <row r="2048">
      <c r="A2048" s="21"/>
      <c r="B2048" s="21"/>
      <c r="D2048" s="25"/>
      <c r="E2048" s="27"/>
      <c r="F2048" s="25"/>
      <c r="G2048" s="27"/>
    </row>
    <row r="2049">
      <c r="A2049" s="21"/>
      <c r="B2049" s="21"/>
      <c r="D2049" s="25"/>
      <c r="E2049" s="27"/>
      <c r="F2049" s="25"/>
      <c r="G2049" s="27"/>
    </row>
    <row r="2050">
      <c r="A2050" s="21"/>
      <c r="B2050" s="21"/>
      <c r="D2050" s="25"/>
      <c r="E2050" s="27"/>
      <c r="F2050" s="25"/>
      <c r="G2050" s="27"/>
    </row>
    <row r="2051">
      <c r="A2051" s="21"/>
      <c r="B2051" s="21"/>
      <c r="D2051" s="25"/>
      <c r="E2051" s="27"/>
      <c r="F2051" s="25"/>
      <c r="G2051" s="27"/>
    </row>
    <row r="2052">
      <c r="A2052" s="21"/>
      <c r="B2052" s="21"/>
      <c r="D2052" s="25"/>
      <c r="E2052" s="27"/>
      <c r="F2052" s="25"/>
      <c r="G2052" s="27"/>
    </row>
    <row r="2053">
      <c r="A2053" s="21"/>
      <c r="B2053" s="21"/>
      <c r="D2053" s="25"/>
      <c r="E2053" s="27"/>
      <c r="F2053" s="25"/>
      <c r="G2053" s="27"/>
    </row>
    <row r="2054">
      <c r="A2054" s="21"/>
      <c r="B2054" s="21"/>
      <c r="D2054" s="25"/>
      <c r="E2054" s="27"/>
      <c r="F2054" s="25"/>
      <c r="G2054" s="27"/>
    </row>
    <row r="2055">
      <c r="A2055" s="21"/>
      <c r="B2055" s="21"/>
      <c r="D2055" s="25"/>
      <c r="E2055" s="27"/>
      <c r="F2055" s="25"/>
      <c r="G2055" s="27"/>
    </row>
    <row r="2056">
      <c r="A2056" s="21"/>
      <c r="B2056" s="21"/>
      <c r="D2056" s="25"/>
      <c r="E2056" s="27"/>
      <c r="F2056" s="25"/>
      <c r="G2056" s="27"/>
    </row>
    <row r="2057">
      <c r="A2057" s="21"/>
      <c r="B2057" s="21"/>
      <c r="D2057" s="25"/>
      <c r="E2057" s="27"/>
      <c r="F2057" s="25"/>
      <c r="G2057" s="27"/>
    </row>
    <row r="2058">
      <c r="A2058" s="21"/>
      <c r="B2058" s="21"/>
      <c r="D2058" s="25"/>
      <c r="E2058" s="27"/>
      <c r="F2058" s="25"/>
      <c r="G2058" s="27"/>
    </row>
    <row r="2059">
      <c r="A2059" s="21"/>
      <c r="B2059" s="21"/>
      <c r="D2059" s="25"/>
      <c r="E2059" s="27"/>
      <c r="F2059" s="25"/>
      <c r="G2059" s="27"/>
    </row>
    <row r="2060">
      <c r="A2060" s="21"/>
      <c r="B2060" s="21"/>
      <c r="D2060" s="25"/>
      <c r="E2060" s="27"/>
      <c r="F2060" s="25"/>
      <c r="G2060" s="27"/>
    </row>
    <row r="2061">
      <c r="A2061" s="21"/>
      <c r="B2061" s="21"/>
      <c r="D2061" s="25"/>
      <c r="E2061" s="27"/>
      <c r="F2061" s="25"/>
      <c r="G2061" s="27"/>
    </row>
    <row r="2062">
      <c r="A2062" s="21"/>
      <c r="B2062" s="21"/>
      <c r="D2062" s="25"/>
      <c r="E2062" s="27"/>
      <c r="F2062" s="25"/>
      <c r="G2062" s="27"/>
    </row>
    <row r="2063">
      <c r="A2063" s="21"/>
      <c r="B2063" s="21"/>
      <c r="D2063" s="25"/>
      <c r="E2063" s="27"/>
      <c r="F2063" s="25"/>
      <c r="G2063" s="27"/>
    </row>
    <row r="2064">
      <c r="A2064" s="21"/>
      <c r="B2064" s="21"/>
      <c r="D2064" s="25"/>
      <c r="E2064" s="27"/>
      <c r="F2064" s="25"/>
      <c r="G2064" s="27"/>
    </row>
    <row r="2065">
      <c r="A2065" s="21"/>
      <c r="B2065" s="21"/>
      <c r="D2065" s="25"/>
      <c r="E2065" s="27"/>
      <c r="F2065" s="25"/>
      <c r="G2065" s="27"/>
    </row>
    <row r="2066">
      <c r="A2066" s="21"/>
      <c r="B2066" s="21"/>
      <c r="D2066" s="25"/>
      <c r="E2066" s="27"/>
      <c r="F2066" s="25"/>
      <c r="G2066" s="27"/>
    </row>
    <row r="2067">
      <c r="A2067" s="21"/>
      <c r="B2067" s="21"/>
      <c r="D2067" s="25"/>
      <c r="E2067" s="27"/>
      <c r="F2067" s="25"/>
      <c r="G2067" s="27"/>
    </row>
    <row r="2068">
      <c r="A2068" s="21"/>
      <c r="B2068" s="21"/>
      <c r="D2068" s="25"/>
      <c r="E2068" s="27"/>
      <c r="F2068" s="25"/>
      <c r="G2068" s="27"/>
    </row>
    <row r="2069">
      <c r="A2069" s="21"/>
      <c r="B2069" s="21"/>
      <c r="D2069" s="25"/>
      <c r="E2069" s="27"/>
      <c r="F2069" s="25"/>
      <c r="G2069" s="27"/>
    </row>
    <row r="2070">
      <c r="A2070" s="21"/>
      <c r="B2070" s="21"/>
      <c r="D2070" s="25"/>
      <c r="E2070" s="27"/>
      <c r="F2070" s="25"/>
      <c r="G2070" s="27"/>
    </row>
    <row r="2071">
      <c r="A2071" s="21"/>
      <c r="B2071" s="21"/>
      <c r="D2071" s="25"/>
      <c r="E2071" s="27"/>
      <c r="F2071" s="25"/>
      <c r="G2071" s="27"/>
    </row>
    <row r="2072">
      <c r="A2072" s="21"/>
      <c r="B2072" s="21"/>
      <c r="D2072" s="25"/>
      <c r="E2072" s="27"/>
      <c r="F2072" s="25"/>
      <c r="G2072" s="27"/>
    </row>
    <row r="2073">
      <c r="A2073" s="21"/>
      <c r="B2073" s="21"/>
      <c r="D2073" s="25"/>
      <c r="E2073" s="27"/>
      <c r="F2073" s="25"/>
      <c r="G2073" s="27"/>
    </row>
    <row r="2074">
      <c r="A2074" s="21"/>
      <c r="B2074" s="21"/>
      <c r="D2074" s="25"/>
      <c r="E2074" s="27"/>
      <c r="F2074" s="25"/>
      <c r="G2074" s="27"/>
    </row>
    <row r="2075">
      <c r="A2075" s="21"/>
      <c r="B2075" s="21"/>
      <c r="D2075" s="25"/>
      <c r="E2075" s="27"/>
      <c r="F2075" s="25"/>
      <c r="G2075" s="27"/>
    </row>
    <row r="2076">
      <c r="A2076" s="21"/>
      <c r="B2076" s="21"/>
      <c r="D2076" s="25"/>
      <c r="E2076" s="27"/>
      <c r="F2076" s="25"/>
      <c r="G2076" s="27"/>
    </row>
    <row r="2077">
      <c r="A2077" s="21"/>
      <c r="B2077" s="21"/>
      <c r="D2077" s="25"/>
      <c r="E2077" s="27"/>
      <c r="F2077" s="25"/>
      <c r="G2077" s="27"/>
    </row>
    <row r="2078">
      <c r="A2078" s="21"/>
      <c r="B2078" s="21"/>
      <c r="D2078" s="25"/>
      <c r="E2078" s="27"/>
      <c r="F2078" s="25"/>
      <c r="G2078" s="27"/>
    </row>
    <row r="2079">
      <c r="A2079" s="21"/>
      <c r="B2079" s="21"/>
      <c r="D2079" s="25"/>
      <c r="E2079" s="27"/>
      <c r="F2079" s="25"/>
      <c r="G2079" s="27"/>
    </row>
    <row r="2080">
      <c r="A2080" s="21"/>
      <c r="B2080" s="21"/>
      <c r="D2080" s="25"/>
      <c r="E2080" s="27"/>
      <c r="F2080" s="25"/>
      <c r="G2080" s="27"/>
    </row>
    <row r="2081">
      <c r="A2081" s="21"/>
      <c r="B2081" s="21"/>
      <c r="D2081" s="25"/>
      <c r="E2081" s="27"/>
      <c r="F2081" s="25"/>
      <c r="G2081" s="27"/>
    </row>
    <row r="2082">
      <c r="A2082" s="21"/>
      <c r="B2082" s="21"/>
      <c r="D2082" s="25"/>
      <c r="E2082" s="27"/>
      <c r="F2082" s="25"/>
      <c r="G2082" s="27"/>
    </row>
    <row r="2083">
      <c r="A2083" s="21"/>
      <c r="B2083" s="21"/>
      <c r="D2083" s="25"/>
      <c r="E2083" s="27"/>
      <c r="F2083" s="25"/>
      <c r="G2083" s="27"/>
    </row>
    <row r="2084">
      <c r="A2084" s="21"/>
      <c r="B2084" s="21"/>
      <c r="D2084" s="25"/>
      <c r="E2084" s="27"/>
      <c r="F2084" s="25"/>
      <c r="G2084" s="27"/>
    </row>
    <row r="2085">
      <c r="A2085" s="21"/>
      <c r="B2085" s="21"/>
      <c r="D2085" s="25"/>
      <c r="E2085" s="27"/>
      <c r="F2085" s="25"/>
      <c r="G2085" s="27"/>
    </row>
    <row r="2086">
      <c r="A2086" s="21"/>
      <c r="B2086" s="21"/>
      <c r="D2086" s="25"/>
      <c r="E2086" s="27"/>
      <c r="F2086" s="25"/>
      <c r="G2086" s="27"/>
    </row>
    <row r="2087">
      <c r="A2087" s="21"/>
      <c r="B2087" s="21"/>
      <c r="D2087" s="25"/>
      <c r="E2087" s="27"/>
      <c r="F2087" s="25"/>
      <c r="G2087" s="27"/>
    </row>
    <row r="2088">
      <c r="A2088" s="21"/>
      <c r="B2088" s="21"/>
      <c r="D2088" s="25"/>
      <c r="E2088" s="27"/>
      <c r="F2088" s="25"/>
      <c r="G2088" s="27"/>
    </row>
    <row r="2089">
      <c r="A2089" s="21"/>
      <c r="B2089" s="21"/>
      <c r="D2089" s="25"/>
      <c r="E2089" s="27"/>
      <c r="F2089" s="25"/>
      <c r="G2089" s="27"/>
    </row>
    <row r="2090">
      <c r="A2090" s="21"/>
      <c r="B2090" s="21"/>
      <c r="D2090" s="25"/>
      <c r="E2090" s="27"/>
      <c r="F2090" s="25"/>
      <c r="G2090" s="27"/>
    </row>
    <row r="2091">
      <c r="A2091" s="21"/>
      <c r="B2091" s="21"/>
      <c r="D2091" s="25"/>
      <c r="E2091" s="27"/>
      <c r="F2091" s="25"/>
      <c r="G2091" s="27"/>
    </row>
    <row r="2092">
      <c r="A2092" s="21"/>
      <c r="B2092" s="21"/>
      <c r="D2092" s="25"/>
      <c r="E2092" s="27"/>
      <c r="F2092" s="25"/>
      <c r="G2092" s="27"/>
    </row>
    <row r="2093">
      <c r="A2093" s="21"/>
      <c r="B2093" s="21"/>
      <c r="D2093" s="25"/>
      <c r="E2093" s="27"/>
      <c r="F2093" s="25"/>
      <c r="G2093" s="27"/>
    </row>
    <row r="2094">
      <c r="A2094" s="21"/>
      <c r="B2094" s="21"/>
      <c r="D2094" s="25"/>
      <c r="E2094" s="27"/>
      <c r="F2094" s="25"/>
      <c r="G2094" s="27"/>
    </row>
    <row r="2095">
      <c r="A2095" s="21"/>
      <c r="B2095" s="21"/>
      <c r="D2095" s="25"/>
      <c r="E2095" s="27"/>
      <c r="F2095" s="25"/>
      <c r="G2095" s="27"/>
    </row>
    <row r="2096">
      <c r="A2096" s="21"/>
      <c r="B2096" s="21"/>
      <c r="D2096" s="25"/>
      <c r="E2096" s="27"/>
      <c r="F2096" s="25"/>
      <c r="G2096" s="27"/>
    </row>
    <row r="2097">
      <c r="A2097" s="21"/>
      <c r="B2097" s="21"/>
      <c r="D2097" s="25"/>
      <c r="E2097" s="27"/>
      <c r="F2097" s="25"/>
      <c r="G2097" s="27"/>
    </row>
    <row r="2098">
      <c r="A2098" s="21"/>
      <c r="B2098" s="21"/>
      <c r="D2098" s="25"/>
      <c r="E2098" s="27"/>
      <c r="F2098" s="25"/>
      <c r="G2098" s="27"/>
    </row>
    <row r="2099">
      <c r="A2099" s="21"/>
      <c r="B2099" s="21"/>
      <c r="D2099" s="25"/>
      <c r="E2099" s="27"/>
      <c r="F2099" s="25"/>
      <c r="G2099" s="27"/>
    </row>
    <row r="2100">
      <c r="A2100" s="21"/>
      <c r="B2100" s="21"/>
      <c r="D2100" s="25"/>
      <c r="E2100" s="27"/>
      <c r="F2100" s="25"/>
      <c r="G2100" s="27"/>
    </row>
    <row r="2101">
      <c r="A2101" s="21"/>
      <c r="B2101" s="21"/>
      <c r="D2101" s="25"/>
      <c r="E2101" s="27"/>
      <c r="F2101" s="25"/>
      <c r="G2101" s="27"/>
    </row>
    <row r="2102">
      <c r="A2102" s="21"/>
      <c r="B2102" s="21"/>
      <c r="D2102" s="25"/>
      <c r="E2102" s="27"/>
      <c r="F2102" s="25"/>
      <c r="G2102" s="27"/>
    </row>
    <row r="2103">
      <c r="A2103" s="21"/>
      <c r="B2103" s="21"/>
      <c r="D2103" s="25"/>
      <c r="E2103" s="27"/>
      <c r="F2103" s="25"/>
      <c r="G2103" s="27"/>
    </row>
    <row r="2104">
      <c r="A2104" s="21"/>
      <c r="B2104" s="21"/>
      <c r="D2104" s="25"/>
      <c r="E2104" s="27"/>
      <c r="F2104" s="25"/>
      <c r="G2104" s="27"/>
    </row>
    <row r="2105">
      <c r="A2105" s="21"/>
      <c r="B2105" s="21"/>
      <c r="D2105" s="25"/>
      <c r="E2105" s="27"/>
      <c r="F2105" s="25"/>
      <c r="G2105" s="27"/>
    </row>
    <row r="2106">
      <c r="A2106" s="21"/>
      <c r="B2106" s="21"/>
      <c r="D2106" s="25"/>
      <c r="E2106" s="27"/>
      <c r="F2106" s="25"/>
      <c r="G2106" s="27"/>
    </row>
    <row r="2107">
      <c r="A2107" s="21"/>
      <c r="B2107" s="21"/>
      <c r="D2107" s="25"/>
      <c r="E2107" s="27"/>
      <c r="F2107" s="25"/>
      <c r="G2107" s="27"/>
    </row>
    <row r="2108">
      <c r="A2108" s="21"/>
      <c r="B2108" s="21"/>
      <c r="D2108" s="25"/>
      <c r="E2108" s="27"/>
      <c r="F2108" s="25"/>
      <c r="G2108" s="27"/>
    </row>
    <row r="2109">
      <c r="A2109" s="21"/>
      <c r="B2109" s="21"/>
      <c r="D2109" s="25"/>
      <c r="E2109" s="27"/>
      <c r="F2109" s="25"/>
      <c r="G2109" s="27"/>
    </row>
    <row r="2110">
      <c r="A2110" s="21"/>
      <c r="B2110" s="21"/>
      <c r="D2110" s="25"/>
      <c r="E2110" s="27"/>
      <c r="F2110" s="25"/>
      <c r="G2110" s="27"/>
    </row>
    <row r="2111">
      <c r="A2111" s="21"/>
      <c r="B2111" s="21"/>
      <c r="D2111" s="25"/>
      <c r="E2111" s="27"/>
      <c r="F2111" s="25"/>
      <c r="G2111" s="27"/>
    </row>
    <row r="2112">
      <c r="A2112" s="21"/>
      <c r="B2112" s="21"/>
      <c r="D2112" s="25"/>
      <c r="E2112" s="27"/>
      <c r="F2112" s="25"/>
      <c r="G2112" s="27"/>
    </row>
    <row r="2113">
      <c r="A2113" s="21"/>
      <c r="B2113" s="21"/>
      <c r="D2113" s="25"/>
      <c r="E2113" s="27"/>
      <c r="F2113" s="25"/>
      <c r="G2113" s="27"/>
    </row>
    <row r="2114">
      <c r="A2114" s="21"/>
      <c r="B2114" s="21"/>
      <c r="D2114" s="25"/>
      <c r="E2114" s="27"/>
      <c r="F2114" s="25"/>
      <c r="G2114" s="27"/>
    </row>
    <row r="2115">
      <c r="A2115" s="21"/>
      <c r="B2115" s="21"/>
      <c r="D2115" s="25"/>
      <c r="E2115" s="27"/>
      <c r="F2115" s="25"/>
      <c r="G2115" s="27"/>
    </row>
    <row r="2116">
      <c r="A2116" s="21"/>
      <c r="B2116" s="21"/>
      <c r="D2116" s="25"/>
      <c r="E2116" s="27"/>
      <c r="F2116" s="25"/>
      <c r="G2116" s="27"/>
    </row>
    <row r="2117">
      <c r="A2117" s="21"/>
      <c r="B2117" s="21"/>
      <c r="D2117" s="25"/>
      <c r="E2117" s="27"/>
      <c r="F2117" s="25"/>
      <c r="G2117" s="27"/>
    </row>
    <row r="2118">
      <c r="A2118" s="21"/>
      <c r="B2118" s="21"/>
      <c r="D2118" s="25"/>
      <c r="E2118" s="27"/>
      <c r="F2118" s="25"/>
      <c r="G2118" s="27"/>
    </row>
    <row r="2119">
      <c r="A2119" s="21"/>
      <c r="B2119" s="21"/>
      <c r="D2119" s="25"/>
      <c r="E2119" s="27"/>
      <c r="F2119" s="25"/>
      <c r="G2119" s="27"/>
    </row>
    <row r="2120">
      <c r="A2120" s="21"/>
      <c r="B2120" s="21"/>
      <c r="D2120" s="25"/>
      <c r="E2120" s="27"/>
      <c r="F2120" s="25"/>
      <c r="G2120" s="27"/>
    </row>
    <row r="2121">
      <c r="A2121" s="21"/>
      <c r="B2121" s="21"/>
      <c r="D2121" s="25"/>
      <c r="E2121" s="27"/>
      <c r="F2121" s="25"/>
      <c r="G2121" s="27"/>
    </row>
    <row r="2122">
      <c r="A2122" s="21"/>
      <c r="B2122" s="21"/>
      <c r="D2122" s="25"/>
      <c r="E2122" s="27"/>
      <c r="F2122" s="25"/>
      <c r="G2122" s="27"/>
    </row>
    <row r="2123">
      <c r="A2123" s="21"/>
      <c r="B2123" s="21"/>
      <c r="D2123" s="25"/>
      <c r="E2123" s="27"/>
      <c r="F2123" s="25"/>
      <c r="G2123" s="27"/>
    </row>
    <row r="2124">
      <c r="A2124" s="21"/>
      <c r="B2124" s="21"/>
      <c r="D2124" s="25"/>
      <c r="E2124" s="27"/>
      <c r="F2124" s="25"/>
      <c r="G2124" s="27"/>
    </row>
    <row r="2125">
      <c r="A2125" s="21"/>
      <c r="B2125" s="21"/>
      <c r="D2125" s="25"/>
      <c r="E2125" s="27"/>
      <c r="F2125" s="25"/>
      <c r="G2125" s="27"/>
    </row>
    <row r="2126">
      <c r="A2126" s="21"/>
      <c r="B2126" s="21"/>
      <c r="D2126" s="25"/>
      <c r="E2126" s="27"/>
      <c r="F2126" s="25"/>
      <c r="G2126" s="27"/>
    </row>
    <row r="2127">
      <c r="A2127" s="21"/>
      <c r="B2127" s="21"/>
      <c r="D2127" s="25"/>
      <c r="E2127" s="27"/>
      <c r="F2127" s="25"/>
      <c r="G2127" s="27"/>
    </row>
    <row r="2128">
      <c r="A2128" s="21"/>
      <c r="B2128" s="21"/>
      <c r="D2128" s="25"/>
      <c r="E2128" s="27"/>
      <c r="F2128" s="25"/>
      <c r="G2128" s="27"/>
    </row>
    <row r="2129">
      <c r="A2129" s="21"/>
      <c r="B2129" s="21"/>
      <c r="D2129" s="25"/>
      <c r="E2129" s="27"/>
      <c r="F2129" s="25"/>
      <c r="G2129" s="27"/>
    </row>
    <row r="2130">
      <c r="A2130" s="21"/>
      <c r="B2130" s="21"/>
      <c r="D2130" s="25"/>
      <c r="E2130" s="27"/>
      <c r="F2130" s="25"/>
      <c r="G2130" s="27"/>
    </row>
    <row r="2131">
      <c r="A2131" s="21"/>
      <c r="B2131" s="21"/>
      <c r="D2131" s="25"/>
      <c r="E2131" s="27"/>
      <c r="F2131" s="25"/>
      <c r="G2131" s="27"/>
    </row>
    <row r="2132">
      <c r="A2132" s="21"/>
      <c r="B2132" s="21"/>
      <c r="D2132" s="25"/>
      <c r="E2132" s="27"/>
      <c r="F2132" s="25"/>
      <c r="G2132" s="27"/>
    </row>
    <row r="2133">
      <c r="A2133" s="21"/>
      <c r="B2133" s="21"/>
      <c r="D2133" s="25"/>
      <c r="E2133" s="27"/>
      <c r="F2133" s="25"/>
      <c r="G2133" s="27"/>
    </row>
    <row r="2134">
      <c r="A2134" s="21"/>
      <c r="B2134" s="21"/>
      <c r="D2134" s="25"/>
      <c r="E2134" s="27"/>
      <c r="F2134" s="25"/>
      <c r="G2134" s="27"/>
    </row>
    <row r="2135">
      <c r="A2135" s="21"/>
      <c r="B2135" s="21"/>
      <c r="D2135" s="25"/>
      <c r="E2135" s="27"/>
      <c r="F2135" s="25"/>
      <c r="G2135" s="27"/>
    </row>
    <row r="2136">
      <c r="A2136" s="21"/>
      <c r="B2136" s="21"/>
      <c r="D2136" s="25"/>
      <c r="E2136" s="27"/>
      <c r="F2136" s="25"/>
      <c r="G2136" s="27"/>
    </row>
    <row r="2137">
      <c r="A2137" s="21"/>
      <c r="B2137" s="21"/>
      <c r="D2137" s="25"/>
      <c r="E2137" s="27"/>
      <c r="F2137" s="25"/>
      <c r="G2137" s="27"/>
    </row>
    <row r="2138">
      <c r="A2138" s="21"/>
      <c r="B2138" s="21"/>
      <c r="D2138" s="25"/>
      <c r="E2138" s="27"/>
      <c r="F2138" s="25"/>
      <c r="G2138" s="27"/>
    </row>
    <row r="2139">
      <c r="A2139" s="21"/>
      <c r="B2139" s="21"/>
      <c r="D2139" s="25"/>
      <c r="E2139" s="27"/>
      <c r="F2139" s="25"/>
      <c r="G2139" s="27"/>
    </row>
    <row r="2140">
      <c r="A2140" s="21"/>
      <c r="B2140" s="21"/>
      <c r="D2140" s="25"/>
      <c r="E2140" s="27"/>
      <c r="F2140" s="25"/>
      <c r="G2140" s="27"/>
    </row>
    <row r="2141">
      <c r="A2141" s="21"/>
      <c r="B2141" s="21"/>
      <c r="D2141" s="25"/>
      <c r="E2141" s="27"/>
      <c r="F2141" s="25"/>
      <c r="G2141" s="27"/>
    </row>
    <row r="2142">
      <c r="A2142" s="21"/>
      <c r="B2142" s="21"/>
      <c r="D2142" s="25"/>
      <c r="E2142" s="27"/>
      <c r="F2142" s="25"/>
      <c r="G2142" s="27"/>
    </row>
    <row r="2143">
      <c r="A2143" s="21"/>
      <c r="B2143" s="21"/>
      <c r="D2143" s="25"/>
      <c r="E2143" s="27"/>
      <c r="F2143" s="25"/>
      <c r="G2143" s="27"/>
    </row>
    <row r="2144">
      <c r="A2144" s="21"/>
      <c r="B2144" s="21"/>
      <c r="D2144" s="25"/>
      <c r="E2144" s="27"/>
      <c r="F2144" s="25"/>
      <c r="G2144" s="27"/>
    </row>
    <row r="2145">
      <c r="A2145" s="21"/>
      <c r="B2145" s="21"/>
      <c r="D2145" s="25"/>
      <c r="E2145" s="27"/>
      <c r="F2145" s="25"/>
      <c r="G2145" s="27"/>
    </row>
    <row r="2146">
      <c r="A2146" s="21"/>
      <c r="B2146" s="21"/>
      <c r="D2146" s="25"/>
      <c r="E2146" s="27"/>
      <c r="F2146" s="25"/>
      <c r="G2146" s="27"/>
    </row>
    <row r="2147">
      <c r="A2147" s="21"/>
      <c r="B2147" s="21"/>
      <c r="D2147" s="25"/>
      <c r="E2147" s="27"/>
      <c r="F2147" s="25"/>
      <c r="G2147" s="27"/>
    </row>
    <row r="2148">
      <c r="A2148" s="21"/>
      <c r="B2148" s="21"/>
      <c r="D2148" s="25"/>
      <c r="E2148" s="27"/>
      <c r="F2148" s="25"/>
      <c r="G2148" s="27"/>
    </row>
    <row r="2149">
      <c r="A2149" s="21"/>
      <c r="B2149" s="21"/>
      <c r="D2149" s="25"/>
      <c r="E2149" s="27"/>
      <c r="F2149" s="25"/>
      <c r="G2149" s="27"/>
    </row>
    <row r="2150">
      <c r="A2150" s="21"/>
      <c r="B2150" s="21"/>
      <c r="D2150" s="25"/>
      <c r="E2150" s="27"/>
      <c r="F2150" s="25"/>
      <c r="G2150" s="27"/>
    </row>
    <row r="2151">
      <c r="A2151" s="21"/>
      <c r="B2151" s="21"/>
      <c r="D2151" s="25"/>
      <c r="E2151" s="27"/>
      <c r="F2151" s="25"/>
      <c r="G2151" s="27"/>
    </row>
    <row r="2152">
      <c r="A2152" s="21"/>
      <c r="B2152" s="21"/>
      <c r="D2152" s="25"/>
      <c r="E2152" s="27"/>
      <c r="F2152" s="25"/>
      <c r="G2152" s="27"/>
    </row>
    <row r="2153">
      <c r="A2153" s="21"/>
      <c r="B2153" s="21"/>
      <c r="D2153" s="25"/>
      <c r="E2153" s="27"/>
      <c r="F2153" s="25"/>
      <c r="G2153" s="27"/>
    </row>
    <row r="2154">
      <c r="A2154" s="21"/>
      <c r="B2154" s="21"/>
      <c r="D2154" s="25"/>
      <c r="E2154" s="27"/>
      <c r="F2154" s="25"/>
      <c r="G2154" s="27"/>
    </row>
    <row r="2155">
      <c r="A2155" s="21"/>
      <c r="B2155" s="21"/>
      <c r="D2155" s="25"/>
      <c r="E2155" s="27"/>
      <c r="F2155" s="25"/>
      <c r="G2155" s="27"/>
    </row>
    <row r="2156">
      <c r="A2156" s="21"/>
      <c r="B2156" s="21"/>
      <c r="D2156" s="25"/>
      <c r="E2156" s="27"/>
      <c r="F2156" s="25"/>
      <c r="G2156" s="27"/>
    </row>
    <row r="2157">
      <c r="A2157" s="21"/>
      <c r="B2157" s="21"/>
      <c r="D2157" s="25"/>
      <c r="E2157" s="27"/>
      <c r="F2157" s="25"/>
      <c r="G2157" s="27"/>
    </row>
    <row r="2158">
      <c r="A2158" s="21"/>
      <c r="B2158" s="21"/>
      <c r="D2158" s="25"/>
      <c r="E2158" s="27"/>
      <c r="F2158" s="25"/>
      <c r="G2158" s="27"/>
    </row>
    <row r="2159">
      <c r="A2159" s="21"/>
      <c r="B2159" s="21"/>
      <c r="D2159" s="25"/>
      <c r="E2159" s="27"/>
      <c r="F2159" s="25"/>
      <c r="G2159" s="27"/>
    </row>
    <row r="2160">
      <c r="A2160" s="21"/>
      <c r="B2160" s="21"/>
      <c r="D2160" s="25"/>
      <c r="E2160" s="27"/>
      <c r="F2160" s="25"/>
      <c r="G2160" s="27"/>
    </row>
    <row r="2161">
      <c r="A2161" s="21"/>
      <c r="B2161" s="21"/>
      <c r="D2161" s="25"/>
      <c r="E2161" s="27"/>
      <c r="F2161" s="25"/>
      <c r="G2161" s="27"/>
    </row>
    <row r="2162">
      <c r="A2162" s="21"/>
      <c r="B2162" s="21"/>
      <c r="D2162" s="25"/>
      <c r="E2162" s="27"/>
      <c r="F2162" s="25"/>
      <c r="G2162" s="27"/>
    </row>
    <row r="2163">
      <c r="A2163" s="21"/>
      <c r="B2163" s="21"/>
      <c r="D2163" s="25"/>
      <c r="E2163" s="27"/>
      <c r="F2163" s="25"/>
      <c r="G2163" s="27"/>
    </row>
    <row r="2164">
      <c r="A2164" s="21"/>
      <c r="B2164" s="21"/>
      <c r="D2164" s="25"/>
      <c r="E2164" s="27"/>
      <c r="F2164" s="25"/>
      <c r="G2164" s="27"/>
    </row>
    <row r="2165">
      <c r="A2165" s="21"/>
      <c r="B2165" s="21"/>
      <c r="D2165" s="25"/>
      <c r="E2165" s="27"/>
      <c r="F2165" s="25"/>
      <c r="G2165" s="27"/>
    </row>
    <row r="2166">
      <c r="A2166" s="21"/>
      <c r="B2166" s="21"/>
      <c r="D2166" s="25"/>
      <c r="E2166" s="27"/>
      <c r="F2166" s="25"/>
      <c r="G2166" s="27"/>
    </row>
    <row r="2167">
      <c r="A2167" s="21"/>
      <c r="B2167" s="21"/>
      <c r="D2167" s="25"/>
      <c r="E2167" s="27"/>
      <c r="F2167" s="25"/>
      <c r="G2167" s="27"/>
    </row>
    <row r="2168">
      <c r="A2168" s="21"/>
      <c r="B2168" s="21"/>
      <c r="D2168" s="25"/>
      <c r="E2168" s="27"/>
      <c r="F2168" s="25"/>
      <c r="G2168" s="27"/>
    </row>
    <row r="2169">
      <c r="A2169" s="21"/>
      <c r="B2169" s="21"/>
      <c r="D2169" s="25"/>
      <c r="E2169" s="27"/>
      <c r="F2169" s="25"/>
      <c r="G2169" s="27"/>
    </row>
    <row r="2170">
      <c r="A2170" s="21"/>
      <c r="B2170" s="21"/>
      <c r="D2170" s="25"/>
      <c r="E2170" s="27"/>
      <c r="F2170" s="25"/>
      <c r="G2170" s="27"/>
    </row>
    <row r="2171">
      <c r="A2171" s="21"/>
      <c r="B2171" s="21"/>
      <c r="D2171" s="25"/>
      <c r="E2171" s="27"/>
      <c r="F2171" s="25"/>
      <c r="G2171" s="27"/>
    </row>
    <row r="2172">
      <c r="A2172" s="21"/>
      <c r="B2172" s="21"/>
      <c r="D2172" s="25"/>
      <c r="E2172" s="27"/>
      <c r="F2172" s="25"/>
      <c r="G2172" s="27"/>
    </row>
    <row r="2173">
      <c r="A2173" s="21"/>
      <c r="B2173" s="21"/>
      <c r="D2173" s="25"/>
      <c r="E2173" s="27"/>
      <c r="F2173" s="25"/>
      <c r="G2173" s="27"/>
    </row>
    <row r="2174">
      <c r="A2174" s="21"/>
      <c r="B2174" s="21"/>
      <c r="D2174" s="25"/>
      <c r="E2174" s="27"/>
      <c r="F2174" s="25"/>
      <c r="G2174" s="27"/>
    </row>
    <row r="2175">
      <c r="A2175" s="21"/>
      <c r="B2175" s="21"/>
      <c r="D2175" s="25"/>
      <c r="E2175" s="27"/>
      <c r="F2175" s="25"/>
      <c r="G2175" s="27"/>
    </row>
    <row r="2176">
      <c r="A2176" s="21"/>
      <c r="B2176" s="21"/>
      <c r="D2176" s="25"/>
      <c r="E2176" s="27"/>
      <c r="F2176" s="25"/>
      <c r="G2176" s="27"/>
    </row>
    <row r="2177">
      <c r="A2177" s="21"/>
      <c r="B2177" s="21"/>
      <c r="D2177" s="25"/>
      <c r="E2177" s="27"/>
      <c r="F2177" s="25"/>
      <c r="G2177" s="27"/>
    </row>
    <row r="2178">
      <c r="A2178" s="21"/>
      <c r="B2178" s="21"/>
      <c r="D2178" s="25"/>
      <c r="E2178" s="27"/>
      <c r="F2178" s="25"/>
      <c r="G2178" s="27"/>
    </row>
    <row r="2179">
      <c r="A2179" s="21"/>
      <c r="B2179" s="21"/>
      <c r="D2179" s="25"/>
      <c r="E2179" s="27"/>
      <c r="F2179" s="25"/>
      <c r="G2179" s="27"/>
    </row>
    <row r="2180">
      <c r="A2180" s="21"/>
      <c r="B2180" s="21"/>
      <c r="D2180" s="25"/>
      <c r="E2180" s="27"/>
      <c r="F2180" s="25"/>
      <c r="G2180" s="27"/>
    </row>
    <row r="2181">
      <c r="A2181" s="21"/>
      <c r="B2181" s="21"/>
      <c r="D2181" s="25"/>
      <c r="E2181" s="27"/>
      <c r="F2181" s="25"/>
      <c r="G2181" s="27"/>
    </row>
    <row r="2182">
      <c r="A2182" s="21"/>
      <c r="B2182" s="21"/>
      <c r="D2182" s="25"/>
      <c r="E2182" s="27"/>
      <c r="F2182" s="25"/>
      <c r="G2182" s="27"/>
    </row>
    <row r="2183">
      <c r="A2183" s="21"/>
      <c r="B2183" s="21"/>
      <c r="D2183" s="25"/>
      <c r="E2183" s="27"/>
      <c r="F2183" s="25"/>
      <c r="G2183" s="27"/>
    </row>
    <row r="2184">
      <c r="A2184" s="21"/>
      <c r="B2184" s="21"/>
      <c r="D2184" s="25"/>
      <c r="E2184" s="27"/>
      <c r="F2184" s="25"/>
      <c r="G2184" s="27"/>
    </row>
    <row r="2185">
      <c r="A2185" s="21"/>
      <c r="B2185" s="21"/>
      <c r="D2185" s="25"/>
      <c r="E2185" s="27"/>
      <c r="F2185" s="25"/>
      <c r="G2185" s="27"/>
    </row>
    <row r="2186">
      <c r="A2186" s="21"/>
      <c r="B2186" s="21"/>
      <c r="D2186" s="25"/>
      <c r="E2186" s="27"/>
      <c r="F2186" s="25"/>
      <c r="G2186" s="27"/>
    </row>
    <row r="2187">
      <c r="A2187" s="21"/>
      <c r="B2187" s="21"/>
      <c r="D2187" s="25"/>
      <c r="E2187" s="27"/>
      <c r="F2187" s="25"/>
      <c r="G2187" s="27"/>
    </row>
    <row r="2188">
      <c r="A2188" s="21"/>
      <c r="B2188" s="21"/>
      <c r="D2188" s="25"/>
      <c r="E2188" s="27"/>
      <c r="F2188" s="25"/>
      <c r="G2188" s="27"/>
    </row>
    <row r="2189">
      <c r="A2189" s="21"/>
      <c r="B2189" s="21"/>
      <c r="D2189" s="25"/>
      <c r="E2189" s="27"/>
      <c r="F2189" s="25"/>
      <c r="G2189" s="27"/>
    </row>
    <row r="2190">
      <c r="A2190" s="21"/>
      <c r="B2190" s="21"/>
      <c r="D2190" s="25"/>
      <c r="E2190" s="27"/>
      <c r="F2190" s="25"/>
      <c r="G2190" s="27"/>
    </row>
    <row r="2191">
      <c r="A2191" s="21"/>
      <c r="B2191" s="21"/>
      <c r="D2191" s="25"/>
      <c r="E2191" s="27"/>
      <c r="F2191" s="25"/>
      <c r="G2191" s="27"/>
    </row>
    <row r="2192">
      <c r="A2192" s="21"/>
      <c r="B2192" s="21"/>
      <c r="D2192" s="25"/>
      <c r="E2192" s="27"/>
      <c r="F2192" s="25"/>
      <c r="G2192" s="27"/>
    </row>
    <row r="2193">
      <c r="A2193" s="21"/>
      <c r="B2193" s="21"/>
      <c r="D2193" s="25"/>
      <c r="E2193" s="27"/>
      <c r="F2193" s="25"/>
      <c r="G2193" s="27"/>
    </row>
    <row r="2194">
      <c r="A2194" s="21"/>
      <c r="B2194" s="21"/>
      <c r="D2194" s="25"/>
      <c r="E2194" s="27"/>
      <c r="F2194" s="25"/>
      <c r="G2194" s="27"/>
    </row>
    <row r="2195">
      <c r="A2195" s="21"/>
      <c r="B2195" s="21"/>
      <c r="D2195" s="25"/>
      <c r="E2195" s="27"/>
      <c r="F2195" s="25"/>
      <c r="G2195" s="27"/>
    </row>
    <row r="2196">
      <c r="A2196" s="21"/>
      <c r="B2196" s="21"/>
      <c r="D2196" s="25"/>
      <c r="E2196" s="27"/>
      <c r="F2196" s="25"/>
      <c r="G2196" s="27"/>
    </row>
    <row r="2197">
      <c r="A2197" s="21"/>
      <c r="B2197" s="21"/>
      <c r="D2197" s="25"/>
      <c r="E2197" s="27"/>
      <c r="F2197" s="25"/>
      <c r="G2197" s="27"/>
    </row>
    <row r="2198">
      <c r="A2198" s="21"/>
      <c r="B2198" s="21"/>
      <c r="D2198" s="25"/>
      <c r="E2198" s="27"/>
      <c r="F2198" s="25"/>
      <c r="G2198" s="27"/>
    </row>
    <row r="2199">
      <c r="A2199" s="21"/>
      <c r="B2199" s="21"/>
      <c r="D2199" s="25"/>
      <c r="E2199" s="27"/>
      <c r="F2199" s="25"/>
      <c r="G2199" s="27"/>
    </row>
    <row r="2200">
      <c r="A2200" s="21"/>
      <c r="B2200" s="21"/>
      <c r="D2200" s="25"/>
      <c r="E2200" s="27"/>
      <c r="F2200" s="25"/>
      <c r="G2200" s="27"/>
    </row>
    <row r="2201">
      <c r="A2201" s="21"/>
      <c r="B2201" s="21"/>
      <c r="D2201" s="25"/>
      <c r="E2201" s="27"/>
      <c r="F2201" s="25"/>
      <c r="G2201" s="27"/>
    </row>
    <row r="2202">
      <c r="A2202" s="21"/>
      <c r="B2202" s="21"/>
      <c r="D2202" s="25"/>
      <c r="E2202" s="27"/>
      <c r="F2202" s="25"/>
      <c r="G2202" s="27"/>
    </row>
    <row r="2203">
      <c r="A2203" s="21"/>
      <c r="B2203" s="21"/>
      <c r="D2203" s="25"/>
      <c r="E2203" s="27"/>
      <c r="F2203" s="25"/>
      <c r="G2203" s="27"/>
    </row>
    <row r="2204">
      <c r="A2204" s="21"/>
      <c r="B2204" s="21"/>
      <c r="D2204" s="25"/>
      <c r="E2204" s="27"/>
      <c r="F2204" s="25"/>
      <c r="G2204" s="27"/>
    </row>
    <row r="2205">
      <c r="A2205" s="21"/>
      <c r="B2205" s="21"/>
      <c r="D2205" s="25"/>
      <c r="E2205" s="27"/>
      <c r="F2205" s="25"/>
      <c r="G2205" s="27"/>
    </row>
    <row r="2206">
      <c r="A2206" s="21"/>
      <c r="B2206" s="21"/>
      <c r="D2206" s="25"/>
      <c r="E2206" s="27"/>
      <c r="F2206" s="25"/>
      <c r="G2206" s="27"/>
    </row>
    <row r="2207">
      <c r="A2207" s="21"/>
      <c r="B2207" s="21"/>
      <c r="D2207" s="25"/>
      <c r="E2207" s="27"/>
      <c r="F2207" s="25"/>
      <c r="G2207" s="27"/>
    </row>
    <row r="2208">
      <c r="A2208" s="21"/>
      <c r="B2208" s="21"/>
      <c r="D2208" s="25"/>
      <c r="E2208" s="27"/>
      <c r="F2208" s="25"/>
      <c r="G2208" s="27"/>
    </row>
    <row r="2209">
      <c r="A2209" s="21"/>
      <c r="B2209" s="21"/>
      <c r="D2209" s="25"/>
      <c r="E2209" s="27"/>
      <c r="F2209" s="25"/>
      <c r="G2209" s="27"/>
    </row>
    <row r="2210">
      <c r="A2210" s="21"/>
      <c r="B2210" s="21"/>
      <c r="D2210" s="25"/>
      <c r="E2210" s="27"/>
      <c r="F2210" s="25"/>
      <c r="G2210" s="27"/>
    </row>
    <row r="2211">
      <c r="A2211" s="21"/>
      <c r="B2211" s="21"/>
      <c r="D2211" s="25"/>
      <c r="E2211" s="27"/>
      <c r="F2211" s="25"/>
      <c r="G2211" s="27"/>
    </row>
    <row r="2212">
      <c r="A2212" s="21"/>
      <c r="B2212" s="21"/>
      <c r="D2212" s="25"/>
      <c r="E2212" s="27"/>
      <c r="F2212" s="25"/>
      <c r="G2212" s="27"/>
    </row>
    <row r="2213">
      <c r="A2213" s="21"/>
      <c r="B2213" s="21"/>
      <c r="D2213" s="25"/>
      <c r="E2213" s="27"/>
      <c r="F2213" s="25"/>
      <c r="G2213" s="27"/>
    </row>
    <row r="2214">
      <c r="A2214" s="21"/>
      <c r="B2214" s="21"/>
      <c r="D2214" s="25"/>
      <c r="E2214" s="27"/>
      <c r="F2214" s="25"/>
      <c r="G2214" s="27"/>
    </row>
    <row r="2215">
      <c r="A2215" s="21"/>
      <c r="B2215" s="21"/>
      <c r="D2215" s="25"/>
      <c r="E2215" s="27"/>
      <c r="F2215" s="25"/>
      <c r="G2215" s="27"/>
    </row>
    <row r="2216">
      <c r="A2216" s="21"/>
      <c r="B2216" s="21"/>
      <c r="D2216" s="25"/>
      <c r="E2216" s="27"/>
      <c r="F2216" s="25"/>
      <c r="G2216" s="27"/>
    </row>
    <row r="2217">
      <c r="A2217" s="21"/>
      <c r="B2217" s="21"/>
      <c r="D2217" s="25"/>
      <c r="E2217" s="27"/>
      <c r="F2217" s="25"/>
      <c r="G2217" s="27"/>
    </row>
    <row r="2218">
      <c r="A2218" s="21"/>
      <c r="B2218" s="21"/>
      <c r="D2218" s="25"/>
      <c r="E2218" s="27"/>
      <c r="F2218" s="25"/>
      <c r="G2218" s="27"/>
    </row>
    <row r="2219">
      <c r="A2219" s="21"/>
      <c r="B2219" s="21"/>
      <c r="D2219" s="25"/>
      <c r="E2219" s="27"/>
      <c r="F2219" s="25"/>
      <c r="G2219" s="27"/>
    </row>
    <row r="2220">
      <c r="A2220" s="21"/>
      <c r="B2220" s="21"/>
      <c r="D2220" s="25"/>
      <c r="E2220" s="27"/>
      <c r="F2220" s="25"/>
      <c r="G2220" s="27"/>
    </row>
    <row r="2221">
      <c r="A2221" s="21"/>
      <c r="B2221" s="21"/>
      <c r="D2221" s="25"/>
      <c r="E2221" s="27"/>
      <c r="F2221" s="25"/>
      <c r="G2221" s="27"/>
    </row>
    <row r="2222">
      <c r="A2222" s="21"/>
      <c r="B2222" s="21"/>
      <c r="D2222" s="25"/>
      <c r="E2222" s="27"/>
      <c r="F2222" s="25"/>
      <c r="G2222" s="27"/>
    </row>
    <row r="2223">
      <c r="A2223" s="21"/>
      <c r="B2223" s="21"/>
      <c r="D2223" s="25"/>
      <c r="E2223" s="27"/>
      <c r="F2223" s="25"/>
      <c r="G2223" s="27"/>
    </row>
    <row r="2224">
      <c r="A2224" s="21"/>
      <c r="B2224" s="21"/>
      <c r="D2224" s="25"/>
      <c r="E2224" s="27"/>
      <c r="F2224" s="25"/>
      <c r="G2224" s="27"/>
    </row>
    <row r="2225">
      <c r="A2225" s="21"/>
      <c r="B2225" s="21"/>
      <c r="D2225" s="25"/>
      <c r="E2225" s="27"/>
      <c r="F2225" s="25"/>
      <c r="G2225" s="27"/>
    </row>
    <row r="2226">
      <c r="A2226" s="21"/>
      <c r="B2226" s="21"/>
      <c r="D2226" s="25"/>
      <c r="E2226" s="27"/>
      <c r="F2226" s="25"/>
      <c r="G2226" s="27"/>
    </row>
    <row r="2227">
      <c r="A2227" s="21"/>
      <c r="B2227" s="21"/>
      <c r="D2227" s="25"/>
      <c r="E2227" s="27"/>
      <c r="F2227" s="25"/>
      <c r="G2227" s="27"/>
    </row>
    <row r="2228">
      <c r="A2228" s="21"/>
      <c r="B2228" s="21"/>
      <c r="D2228" s="25"/>
      <c r="E2228" s="27"/>
      <c r="F2228" s="25"/>
      <c r="G2228" s="27"/>
    </row>
    <row r="2229">
      <c r="A2229" s="21"/>
      <c r="B2229" s="21"/>
      <c r="D2229" s="25"/>
      <c r="E2229" s="27"/>
      <c r="F2229" s="25"/>
      <c r="G2229" s="27"/>
    </row>
    <row r="2230">
      <c r="A2230" s="21"/>
      <c r="B2230" s="21"/>
      <c r="D2230" s="25"/>
      <c r="E2230" s="27"/>
      <c r="F2230" s="25"/>
      <c r="G2230" s="27"/>
    </row>
    <row r="2231">
      <c r="A2231" s="21"/>
      <c r="B2231" s="21"/>
      <c r="D2231" s="25"/>
      <c r="E2231" s="27"/>
      <c r="F2231" s="25"/>
      <c r="G2231" s="27"/>
    </row>
    <row r="2232">
      <c r="A2232" s="21"/>
      <c r="B2232" s="21"/>
      <c r="D2232" s="25"/>
      <c r="E2232" s="27"/>
      <c r="F2232" s="25"/>
      <c r="G2232" s="27"/>
    </row>
    <row r="2233">
      <c r="A2233" s="21"/>
      <c r="B2233" s="21"/>
      <c r="D2233" s="25"/>
      <c r="E2233" s="27"/>
      <c r="F2233" s="25"/>
      <c r="G2233" s="27"/>
    </row>
    <row r="2234">
      <c r="A2234" s="21"/>
      <c r="B2234" s="21"/>
      <c r="D2234" s="25"/>
      <c r="E2234" s="27"/>
      <c r="F2234" s="25"/>
      <c r="G2234" s="27"/>
    </row>
    <row r="2235">
      <c r="A2235" s="21"/>
      <c r="B2235" s="21"/>
      <c r="D2235" s="25"/>
      <c r="E2235" s="27"/>
      <c r="F2235" s="25"/>
      <c r="G2235" s="27"/>
    </row>
    <row r="2236">
      <c r="A2236" s="21"/>
      <c r="B2236" s="21"/>
      <c r="D2236" s="25"/>
      <c r="E2236" s="27"/>
      <c r="F2236" s="25"/>
      <c r="G2236" s="27"/>
    </row>
    <row r="2237">
      <c r="A2237" s="21"/>
      <c r="B2237" s="21"/>
      <c r="D2237" s="25"/>
      <c r="E2237" s="27"/>
      <c r="F2237" s="25"/>
      <c r="G2237" s="27"/>
    </row>
    <row r="2238">
      <c r="A2238" s="21"/>
      <c r="B2238" s="21"/>
      <c r="D2238" s="25"/>
      <c r="E2238" s="27"/>
      <c r="F2238" s="25"/>
      <c r="G2238" s="27"/>
    </row>
    <row r="2239">
      <c r="A2239" s="21"/>
      <c r="B2239" s="21"/>
      <c r="D2239" s="25"/>
      <c r="E2239" s="27"/>
      <c r="F2239" s="25"/>
      <c r="G2239" s="27"/>
    </row>
    <row r="2240">
      <c r="A2240" s="21"/>
      <c r="B2240" s="21"/>
      <c r="D2240" s="25"/>
      <c r="E2240" s="27"/>
      <c r="F2240" s="25"/>
      <c r="G2240" s="27"/>
    </row>
    <row r="2241">
      <c r="A2241" s="21"/>
      <c r="B2241" s="21"/>
      <c r="D2241" s="25"/>
      <c r="E2241" s="27"/>
      <c r="F2241" s="25"/>
      <c r="G2241" s="27"/>
    </row>
    <row r="2242">
      <c r="A2242" s="21"/>
      <c r="B2242" s="21"/>
      <c r="D2242" s="25"/>
      <c r="E2242" s="27"/>
      <c r="F2242" s="25"/>
      <c r="G2242" s="27"/>
    </row>
    <row r="2243">
      <c r="A2243" s="21"/>
      <c r="B2243" s="21"/>
      <c r="D2243" s="25"/>
      <c r="E2243" s="27"/>
      <c r="F2243" s="25"/>
      <c r="G2243" s="27"/>
    </row>
    <row r="2244">
      <c r="A2244" s="21"/>
      <c r="B2244" s="21"/>
      <c r="D2244" s="25"/>
      <c r="E2244" s="27"/>
      <c r="F2244" s="25"/>
      <c r="G2244" s="27"/>
    </row>
    <row r="2245">
      <c r="A2245" s="21"/>
      <c r="B2245" s="21"/>
      <c r="D2245" s="25"/>
      <c r="E2245" s="27"/>
      <c r="F2245" s="25"/>
      <c r="G2245" s="27"/>
    </row>
    <row r="2246">
      <c r="A2246" s="21"/>
      <c r="B2246" s="21"/>
      <c r="D2246" s="25"/>
      <c r="E2246" s="27"/>
      <c r="F2246" s="25"/>
      <c r="G2246" s="27"/>
    </row>
    <row r="2247">
      <c r="A2247" s="21"/>
      <c r="B2247" s="21"/>
      <c r="D2247" s="25"/>
      <c r="E2247" s="27"/>
      <c r="F2247" s="25"/>
      <c r="G2247" s="27"/>
    </row>
    <row r="2248">
      <c r="A2248" s="21"/>
      <c r="B2248" s="21"/>
      <c r="D2248" s="25"/>
      <c r="E2248" s="27"/>
      <c r="F2248" s="25"/>
      <c r="G2248" s="27"/>
    </row>
    <row r="2249">
      <c r="A2249" s="21"/>
      <c r="B2249" s="21"/>
      <c r="D2249" s="25"/>
      <c r="E2249" s="27"/>
      <c r="F2249" s="25"/>
      <c r="G2249" s="27"/>
    </row>
    <row r="2250">
      <c r="A2250" s="21"/>
      <c r="B2250" s="21"/>
      <c r="D2250" s="25"/>
      <c r="E2250" s="27"/>
      <c r="F2250" s="25"/>
      <c r="G2250" s="27"/>
    </row>
    <row r="2251">
      <c r="A2251" s="21"/>
      <c r="B2251" s="21"/>
      <c r="D2251" s="25"/>
      <c r="E2251" s="27"/>
      <c r="F2251" s="25"/>
      <c r="G2251" s="27"/>
    </row>
    <row r="2252">
      <c r="A2252" s="21"/>
      <c r="B2252" s="21"/>
      <c r="D2252" s="25"/>
      <c r="E2252" s="27"/>
      <c r="F2252" s="25"/>
      <c r="G2252" s="27"/>
    </row>
    <row r="2253">
      <c r="A2253" s="21"/>
      <c r="B2253" s="21"/>
      <c r="D2253" s="25"/>
      <c r="E2253" s="27"/>
      <c r="F2253" s="25"/>
      <c r="G2253" s="27"/>
    </row>
    <row r="2254">
      <c r="A2254" s="21"/>
      <c r="B2254" s="21"/>
      <c r="D2254" s="25"/>
      <c r="E2254" s="27"/>
      <c r="F2254" s="25"/>
      <c r="G2254" s="27"/>
    </row>
    <row r="2255">
      <c r="A2255" s="21"/>
      <c r="B2255" s="21"/>
      <c r="D2255" s="25"/>
      <c r="E2255" s="27"/>
      <c r="F2255" s="25"/>
      <c r="G2255" s="27"/>
    </row>
    <row r="2256">
      <c r="A2256" s="21"/>
      <c r="B2256" s="21"/>
      <c r="D2256" s="25"/>
      <c r="E2256" s="27"/>
      <c r="F2256" s="25"/>
      <c r="G2256" s="27"/>
    </row>
    <row r="2257">
      <c r="A2257" s="21"/>
      <c r="B2257" s="21"/>
      <c r="D2257" s="25"/>
      <c r="E2257" s="27"/>
      <c r="F2257" s="25"/>
      <c r="G2257" s="27"/>
    </row>
    <row r="2258">
      <c r="A2258" s="21"/>
      <c r="B2258" s="21"/>
      <c r="D2258" s="25"/>
      <c r="E2258" s="27"/>
      <c r="F2258" s="25"/>
      <c r="G2258" s="27"/>
    </row>
    <row r="2259">
      <c r="A2259" s="21"/>
      <c r="B2259" s="21"/>
      <c r="D2259" s="25"/>
      <c r="E2259" s="27"/>
      <c r="F2259" s="25"/>
      <c r="G2259" s="27"/>
    </row>
    <row r="2260">
      <c r="A2260" s="21"/>
      <c r="B2260" s="21"/>
      <c r="D2260" s="25"/>
      <c r="E2260" s="27"/>
      <c r="F2260" s="25"/>
      <c r="G2260" s="27"/>
    </row>
    <row r="2261">
      <c r="A2261" s="21"/>
      <c r="B2261" s="21"/>
      <c r="D2261" s="25"/>
      <c r="E2261" s="27"/>
      <c r="F2261" s="25"/>
      <c r="G2261" s="27"/>
    </row>
    <row r="2262">
      <c r="A2262" s="21"/>
      <c r="B2262" s="21"/>
      <c r="D2262" s="25"/>
      <c r="E2262" s="27"/>
      <c r="F2262" s="25"/>
      <c r="G2262" s="27"/>
    </row>
    <row r="2263">
      <c r="A2263" s="21"/>
      <c r="B2263" s="21"/>
      <c r="D2263" s="25"/>
      <c r="E2263" s="27"/>
      <c r="F2263" s="25"/>
      <c r="G2263" s="27"/>
    </row>
    <row r="2264">
      <c r="A2264" s="21"/>
      <c r="B2264" s="21"/>
      <c r="D2264" s="25"/>
      <c r="E2264" s="27"/>
      <c r="F2264" s="25"/>
      <c r="G2264" s="27"/>
    </row>
    <row r="2265">
      <c r="A2265" s="21"/>
      <c r="B2265" s="21"/>
      <c r="D2265" s="25"/>
      <c r="E2265" s="27"/>
      <c r="F2265" s="25"/>
      <c r="G2265" s="27"/>
    </row>
    <row r="2266">
      <c r="A2266" s="21"/>
      <c r="B2266" s="21"/>
      <c r="D2266" s="25"/>
      <c r="E2266" s="27"/>
      <c r="F2266" s="25"/>
      <c r="G2266" s="27"/>
    </row>
    <row r="2267">
      <c r="A2267" s="21"/>
      <c r="B2267" s="21"/>
      <c r="D2267" s="25"/>
      <c r="E2267" s="27"/>
      <c r="F2267" s="25"/>
      <c r="G2267" s="27"/>
    </row>
    <row r="2268">
      <c r="A2268" s="21"/>
      <c r="B2268" s="21"/>
      <c r="D2268" s="25"/>
      <c r="E2268" s="27"/>
      <c r="F2268" s="25"/>
      <c r="G2268" s="27"/>
    </row>
    <row r="2269">
      <c r="A2269" s="21"/>
      <c r="B2269" s="21"/>
      <c r="D2269" s="25"/>
      <c r="E2269" s="27"/>
      <c r="F2269" s="25"/>
      <c r="G2269" s="27"/>
    </row>
    <row r="2270">
      <c r="A2270" s="21"/>
      <c r="B2270" s="21"/>
      <c r="D2270" s="25"/>
      <c r="E2270" s="27"/>
      <c r="F2270" s="25"/>
      <c r="G2270" s="27"/>
    </row>
    <row r="2271">
      <c r="A2271" s="21"/>
      <c r="B2271" s="21"/>
      <c r="D2271" s="25"/>
      <c r="E2271" s="27"/>
      <c r="F2271" s="25"/>
      <c r="G2271" s="27"/>
    </row>
    <row r="2272">
      <c r="A2272" s="21"/>
      <c r="B2272" s="21"/>
      <c r="D2272" s="25"/>
      <c r="E2272" s="27"/>
      <c r="F2272" s="25"/>
      <c r="G2272" s="27"/>
    </row>
    <row r="2273">
      <c r="A2273" s="21"/>
      <c r="B2273" s="21"/>
      <c r="D2273" s="25"/>
      <c r="E2273" s="27"/>
      <c r="F2273" s="25"/>
      <c r="G2273" s="27"/>
    </row>
    <row r="2274">
      <c r="A2274" s="21"/>
      <c r="B2274" s="21"/>
      <c r="D2274" s="25"/>
      <c r="E2274" s="27"/>
      <c r="F2274" s="25"/>
      <c r="G2274" s="27"/>
    </row>
    <row r="2275">
      <c r="A2275" s="21"/>
      <c r="B2275" s="21"/>
      <c r="D2275" s="25"/>
      <c r="E2275" s="27"/>
      <c r="F2275" s="25"/>
      <c r="G2275" s="27"/>
    </row>
    <row r="2276">
      <c r="A2276" s="21"/>
      <c r="B2276" s="21"/>
      <c r="D2276" s="25"/>
      <c r="E2276" s="27"/>
      <c r="F2276" s="25"/>
      <c r="G2276" s="27"/>
    </row>
    <row r="2277">
      <c r="A2277" s="21"/>
      <c r="B2277" s="21"/>
      <c r="D2277" s="25"/>
      <c r="E2277" s="27"/>
      <c r="F2277" s="25"/>
      <c r="G2277" s="27"/>
    </row>
    <row r="2278">
      <c r="A2278" s="21"/>
      <c r="B2278" s="21"/>
      <c r="D2278" s="25"/>
      <c r="E2278" s="27"/>
      <c r="F2278" s="25"/>
      <c r="G2278" s="27"/>
    </row>
    <row r="2279">
      <c r="A2279" s="21"/>
      <c r="B2279" s="21"/>
      <c r="D2279" s="25"/>
      <c r="E2279" s="27"/>
      <c r="F2279" s="25"/>
      <c r="G2279" s="27"/>
    </row>
    <row r="2280">
      <c r="A2280" s="21"/>
      <c r="B2280" s="21"/>
      <c r="D2280" s="25"/>
      <c r="E2280" s="27"/>
      <c r="F2280" s="25"/>
      <c r="G2280" s="27"/>
    </row>
    <row r="2281">
      <c r="A2281" s="21"/>
      <c r="B2281" s="21"/>
      <c r="D2281" s="25"/>
      <c r="E2281" s="27"/>
      <c r="F2281" s="25"/>
      <c r="G2281" s="27"/>
    </row>
    <row r="2282">
      <c r="A2282" s="21"/>
      <c r="B2282" s="21"/>
      <c r="D2282" s="25"/>
      <c r="E2282" s="27"/>
      <c r="F2282" s="25"/>
      <c r="G2282" s="27"/>
    </row>
    <row r="2283">
      <c r="A2283" s="21"/>
      <c r="B2283" s="21"/>
      <c r="D2283" s="25"/>
      <c r="E2283" s="27"/>
      <c r="F2283" s="25"/>
      <c r="G2283" s="27"/>
    </row>
    <row r="2284">
      <c r="A2284" s="21"/>
      <c r="B2284" s="21"/>
      <c r="D2284" s="25"/>
      <c r="E2284" s="27"/>
      <c r="F2284" s="25"/>
      <c r="G2284" s="27"/>
    </row>
    <row r="2285">
      <c r="A2285" s="21"/>
      <c r="B2285" s="21"/>
      <c r="D2285" s="25"/>
      <c r="E2285" s="27"/>
      <c r="F2285" s="25"/>
      <c r="G2285" s="27"/>
    </row>
    <row r="2286">
      <c r="A2286" s="21"/>
      <c r="B2286" s="21"/>
      <c r="D2286" s="25"/>
      <c r="E2286" s="27"/>
      <c r="F2286" s="25"/>
      <c r="G2286" s="27"/>
    </row>
    <row r="2287">
      <c r="A2287" s="21"/>
      <c r="B2287" s="21"/>
      <c r="D2287" s="25"/>
      <c r="E2287" s="27"/>
      <c r="F2287" s="25"/>
      <c r="G2287" s="27"/>
    </row>
    <row r="2288">
      <c r="A2288" s="21"/>
      <c r="B2288" s="21"/>
      <c r="D2288" s="25"/>
      <c r="E2288" s="27"/>
      <c r="F2288" s="25"/>
      <c r="G2288" s="27"/>
    </row>
    <row r="2289">
      <c r="A2289" s="21"/>
      <c r="B2289" s="21"/>
      <c r="D2289" s="25"/>
      <c r="E2289" s="27"/>
      <c r="F2289" s="25"/>
      <c r="G2289" s="27"/>
    </row>
    <row r="2290">
      <c r="A2290" s="21"/>
      <c r="B2290" s="21"/>
      <c r="D2290" s="25"/>
      <c r="E2290" s="27"/>
      <c r="F2290" s="25"/>
      <c r="G2290" s="27"/>
    </row>
    <row r="2291">
      <c r="A2291" s="21"/>
      <c r="B2291" s="21"/>
      <c r="D2291" s="25"/>
      <c r="E2291" s="27"/>
      <c r="F2291" s="25"/>
      <c r="G2291" s="27"/>
    </row>
    <row r="2292">
      <c r="A2292" s="21"/>
      <c r="B2292" s="21"/>
      <c r="D2292" s="25"/>
      <c r="E2292" s="27"/>
      <c r="F2292" s="25"/>
      <c r="G2292" s="27"/>
    </row>
    <row r="2293">
      <c r="A2293" s="21"/>
      <c r="B2293" s="21"/>
      <c r="D2293" s="25"/>
      <c r="E2293" s="27"/>
      <c r="F2293" s="25"/>
      <c r="G2293" s="27"/>
    </row>
    <row r="2294">
      <c r="A2294" s="21"/>
      <c r="B2294" s="21"/>
      <c r="D2294" s="25"/>
      <c r="E2294" s="27"/>
      <c r="F2294" s="25"/>
      <c r="G2294" s="27"/>
    </row>
    <row r="2295">
      <c r="A2295" s="21"/>
      <c r="B2295" s="21"/>
      <c r="D2295" s="25"/>
      <c r="E2295" s="27"/>
      <c r="F2295" s="25"/>
      <c r="G2295" s="27"/>
    </row>
    <row r="2296">
      <c r="A2296" s="21"/>
      <c r="B2296" s="21"/>
      <c r="D2296" s="25"/>
      <c r="E2296" s="27"/>
      <c r="F2296" s="25"/>
      <c r="G2296" s="27"/>
    </row>
    <row r="2297">
      <c r="A2297" s="21"/>
      <c r="B2297" s="21"/>
      <c r="D2297" s="25"/>
      <c r="E2297" s="27"/>
      <c r="F2297" s="25"/>
      <c r="G2297" s="27"/>
    </row>
    <row r="2298">
      <c r="A2298" s="21"/>
      <c r="B2298" s="21"/>
      <c r="D2298" s="25"/>
      <c r="E2298" s="27"/>
      <c r="F2298" s="25"/>
      <c r="G2298" s="27"/>
    </row>
    <row r="2299">
      <c r="A2299" s="21"/>
      <c r="B2299" s="21"/>
      <c r="D2299" s="25"/>
      <c r="E2299" s="27"/>
      <c r="F2299" s="25"/>
      <c r="G2299" s="27"/>
    </row>
    <row r="2300">
      <c r="A2300" s="21"/>
      <c r="B2300" s="21"/>
      <c r="D2300" s="25"/>
      <c r="E2300" s="27"/>
      <c r="F2300" s="25"/>
      <c r="G2300" s="27"/>
    </row>
    <row r="2301">
      <c r="A2301" s="21"/>
      <c r="B2301" s="21"/>
      <c r="D2301" s="25"/>
      <c r="E2301" s="27"/>
      <c r="F2301" s="25"/>
      <c r="G2301" s="27"/>
    </row>
    <row r="2302">
      <c r="A2302" s="21"/>
      <c r="B2302" s="21"/>
      <c r="D2302" s="25"/>
      <c r="E2302" s="27"/>
      <c r="F2302" s="25"/>
      <c r="G2302" s="27"/>
    </row>
    <row r="2303">
      <c r="A2303" s="21"/>
      <c r="B2303" s="21"/>
      <c r="D2303" s="25"/>
      <c r="E2303" s="27"/>
      <c r="F2303" s="25"/>
      <c r="G2303" s="27"/>
    </row>
    <row r="2304">
      <c r="A2304" s="21"/>
      <c r="B2304" s="21"/>
      <c r="D2304" s="25"/>
      <c r="E2304" s="27"/>
      <c r="F2304" s="25"/>
      <c r="G2304" s="27"/>
    </row>
    <row r="2305">
      <c r="A2305" s="21"/>
      <c r="B2305" s="21"/>
      <c r="D2305" s="25"/>
      <c r="E2305" s="27"/>
      <c r="F2305" s="25"/>
      <c r="G2305" s="27"/>
    </row>
    <row r="2306">
      <c r="A2306" s="21"/>
      <c r="B2306" s="21"/>
      <c r="D2306" s="25"/>
      <c r="E2306" s="27"/>
      <c r="F2306" s="25"/>
      <c r="G2306" s="27"/>
    </row>
    <row r="2307">
      <c r="A2307" s="21"/>
      <c r="B2307" s="21"/>
      <c r="D2307" s="25"/>
      <c r="E2307" s="27"/>
      <c r="F2307" s="25"/>
      <c r="G2307" s="27"/>
    </row>
    <row r="2308">
      <c r="A2308" s="21"/>
      <c r="B2308" s="21"/>
      <c r="D2308" s="25"/>
      <c r="E2308" s="27"/>
      <c r="F2308" s="25"/>
      <c r="G2308" s="27"/>
    </row>
    <row r="2309">
      <c r="A2309" s="21"/>
      <c r="B2309" s="21"/>
      <c r="D2309" s="25"/>
      <c r="E2309" s="27"/>
      <c r="F2309" s="25"/>
      <c r="G2309" s="27"/>
    </row>
    <row r="2310">
      <c r="A2310" s="21"/>
      <c r="B2310" s="21"/>
      <c r="D2310" s="25"/>
      <c r="E2310" s="27"/>
      <c r="F2310" s="25"/>
      <c r="G2310" s="27"/>
    </row>
    <row r="2311">
      <c r="A2311" s="21"/>
      <c r="B2311" s="21"/>
      <c r="D2311" s="25"/>
      <c r="E2311" s="27"/>
      <c r="F2311" s="25"/>
      <c r="G2311" s="27"/>
    </row>
    <row r="2312">
      <c r="A2312" s="21"/>
      <c r="B2312" s="21"/>
      <c r="D2312" s="25"/>
      <c r="E2312" s="27"/>
      <c r="F2312" s="25"/>
      <c r="G2312" s="27"/>
    </row>
    <row r="2313">
      <c r="A2313" s="21"/>
      <c r="B2313" s="21"/>
      <c r="D2313" s="25"/>
      <c r="E2313" s="27"/>
      <c r="F2313" s="25"/>
      <c r="G2313" s="27"/>
    </row>
    <row r="2314">
      <c r="A2314" s="21"/>
      <c r="B2314" s="21"/>
      <c r="D2314" s="25"/>
      <c r="E2314" s="27"/>
      <c r="F2314" s="25"/>
      <c r="G2314" s="27"/>
    </row>
    <row r="2315">
      <c r="A2315" s="21"/>
      <c r="B2315" s="21"/>
      <c r="D2315" s="25"/>
      <c r="E2315" s="27"/>
      <c r="F2315" s="25"/>
      <c r="G2315" s="27"/>
    </row>
    <row r="2316">
      <c r="A2316" s="21"/>
      <c r="B2316" s="21"/>
      <c r="D2316" s="25"/>
      <c r="E2316" s="27"/>
      <c r="F2316" s="25"/>
      <c r="G2316" s="27"/>
    </row>
    <row r="2317">
      <c r="A2317" s="21"/>
      <c r="B2317" s="21"/>
      <c r="D2317" s="25"/>
      <c r="E2317" s="27"/>
      <c r="F2317" s="25"/>
      <c r="G2317" s="27"/>
    </row>
    <row r="2318">
      <c r="A2318" s="21"/>
      <c r="B2318" s="21"/>
      <c r="D2318" s="25"/>
      <c r="E2318" s="27"/>
      <c r="F2318" s="25"/>
      <c r="G2318" s="27"/>
    </row>
    <row r="2319">
      <c r="A2319" s="21"/>
      <c r="B2319" s="21"/>
      <c r="D2319" s="25"/>
      <c r="E2319" s="27"/>
      <c r="F2319" s="25"/>
      <c r="G2319" s="27"/>
    </row>
    <row r="2320">
      <c r="A2320" s="21"/>
      <c r="B2320" s="21"/>
      <c r="D2320" s="25"/>
      <c r="E2320" s="27"/>
      <c r="F2320" s="25"/>
      <c r="G2320" s="27"/>
    </row>
    <row r="2321">
      <c r="A2321" s="21"/>
      <c r="B2321" s="21"/>
      <c r="D2321" s="25"/>
      <c r="E2321" s="27"/>
      <c r="F2321" s="25"/>
      <c r="G2321" s="27"/>
    </row>
    <row r="2322">
      <c r="A2322" s="21"/>
      <c r="B2322" s="21"/>
      <c r="D2322" s="25"/>
      <c r="E2322" s="27"/>
      <c r="F2322" s="25"/>
      <c r="G2322" s="27"/>
    </row>
    <row r="2323">
      <c r="A2323" s="21"/>
      <c r="B2323" s="21"/>
      <c r="D2323" s="25"/>
      <c r="E2323" s="27"/>
      <c r="F2323" s="25"/>
      <c r="G2323" s="27"/>
    </row>
    <row r="2324">
      <c r="A2324" s="21"/>
      <c r="B2324" s="21"/>
      <c r="D2324" s="25"/>
      <c r="E2324" s="27"/>
      <c r="F2324" s="25"/>
      <c r="G2324" s="27"/>
    </row>
    <row r="2325">
      <c r="A2325" s="21"/>
      <c r="B2325" s="21"/>
      <c r="D2325" s="25"/>
      <c r="E2325" s="27"/>
      <c r="F2325" s="25"/>
      <c r="G2325" s="27"/>
    </row>
    <row r="2326">
      <c r="A2326" s="21"/>
      <c r="B2326" s="21"/>
      <c r="D2326" s="25"/>
      <c r="E2326" s="27"/>
      <c r="F2326" s="25"/>
      <c r="G2326" s="27"/>
    </row>
    <row r="2327">
      <c r="A2327" s="21"/>
      <c r="B2327" s="21"/>
      <c r="D2327" s="25"/>
      <c r="E2327" s="27"/>
      <c r="F2327" s="25"/>
      <c r="G2327" s="27"/>
    </row>
    <row r="2328">
      <c r="A2328" s="21"/>
      <c r="B2328" s="21"/>
      <c r="D2328" s="25"/>
      <c r="E2328" s="27"/>
      <c r="F2328" s="25"/>
      <c r="G2328" s="27"/>
    </row>
    <row r="2329">
      <c r="A2329" s="21"/>
      <c r="B2329" s="21"/>
      <c r="D2329" s="25"/>
      <c r="E2329" s="27"/>
      <c r="F2329" s="25"/>
      <c r="G2329" s="27"/>
    </row>
    <row r="2330">
      <c r="A2330" s="21"/>
      <c r="B2330" s="21"/>
      <c r="D2330" s="25"/>
      <c r="E2330" s="27"/>
      <c r="F2330" s="25"/>
      <c r="G2330" s="27"/>
    </row>
    <row r="2331">
      <c r="A2331" s="21"/>
      <c r="B2331" s="21"/>
      <c r="D2331" s="25"/>
      <c r="E2331" s="27"/>
      <c r="F2331" s="25"/>
      <c r="G2331" s="27"/>
    </row>
    <row r="2332">
      <c r="A2332" s="21"/>
      <c r="B2332" s="21"/>
      <c r="D2332" s="25"/>
      <c r="E2332" s="27"/>
      <c r="F2332" s="25"/>
      <c r="G2332" s="27"/>
    </row>
    <row r="2333">
      <c r="A2333" s="21"/>
      <c r="B2333" s="21"/>
      <c r="D2333" s="25"/>
      <c r="E2333" s="27"/>
      <c r="F2333" s="25"/>
      <c r="G2333" s="27"/>
    </row>
    <row r="2334">
      <c r="A2334" s="21"/>
      <c r="B2334" s="21"/>
      <c r="D2334" s="25"/>
      <c r="E2334" s="27"/>
      <c r="F2334" s="25"/>
      <c r="G2334" s="27"/>
    </row>
    <row r="2335">
      <c r="A2335" s="21"/>
      <c r="B2335" s="21"/>
      <c r="D2335" s="25"/>
      <c r="E2335" s="27"/>
      <c r="F2335" s="25"/>
      <c r="G2335" s="27"/>
    </row>
    <row r="2336">
      <c r="A2336" s="21"/>
      <c r="B2336" s="21"/>
      <c r="D2336" s="25"/>
      <c r="E2336" s="27"/>
      <c r="F2336" s="25"/>
      <c r="G2336" s="27"/>
    </row>
    <row r="2337">
      <c r="A2337" s="21"/>
      <c r="B2337" s="21"/>
      <c r="D2337" s="25"/>
      <c r="E2337" s="27"/>
      <c r="F2337" s="25"/>
      <c r="G2337" s="27"/>
    </row>
    <row r="2338">
      <c r="A2338" s="21"/>
      <c r="B2338" s="21"/>
      <c r="D2338" s="25"/>
      <c r="E2338" s="27"/>
      <c r="F2338" s="25"/>
      <c r="G2338" s="27"/>
    </row>
    <row r="2339">
      <c r="A2339" s="21"/>
      <c r="B2339" s="21"/>
      <c r="D2339" s="25"/>
      <c r="E2339" s="27"/>
      <c r="F2339" s="25"/>
      <c r="G2339" s="27"/>
    </row>
    <row r="2340">
      <c r="A2340" s="21"/>
      <c r="B2340" s="21"/>
      <c r="D2340" s="25"/>
      <c r="E2340" s="27"/>
      <c r="F2340" s="25"/>
      <c r="G2340" s="27"/>
    </row>
    <row r="2341">
      <c r="A2341" s="21"/>
      <c r="B2341" s="21"/>
      <c r="D2341" s="25"/>
      <c r="E2341" s="27"/>
      <c r="F2341" s="25"/>
      <c r="G2341" s="27"/>
    </row>
    <row r="2342">
      <c r="A2342" s="21"/>
      <c r="B2342" s="21"/>
      <c r="D2342" s="25"/>
      <c r="E2342" s="27"/>
      <c r="F2342" s="25"/>
      <c r="G2342" s="27"/>
    </row>
    <row r="2343">
      <c r="A2343" s="21"/>
      <c r="B2343" s="21"/>
      <c r="D2343" s="25"/>
      <c r="E2343" s="27"/>
      <c r="F2343" s="25"/>
      <c r="G2343" s="27"/>
    </row>
    <row r="2344">
      <c r="A2344" s="21"/>
      <c r="B2344" s="21"/>
      <c r="D2344" s="25"/>
      <c r="E2344" s="27"/>
      <c r="F2344" s="25"/>
      <c r="G2344" s="27"/>
    </row>
    <row r="2345">
      <c r="A2345" s="21"/>
      <c r="B2345" s="21"/>
      <c r="D2345" s="25"/>
      <c r="E2345" s="27"/>
      <c r="F2345" s="25"/>
      <c r="G2345" s="27"/>
    </row>
    <row r="2346">
      <c r="A2346" s="21"/>
      <c r="B2346" s="21"/>
      <c r="D2346" s="25"/>
      <c r="E2346" s="27"/>
      <c r="F2346" s="25"/>
      <c r="G2346" s="27"/>
    </row>
    <row r="2347">
      <c r="A2347" s="21"/>
      <c r="B2347" s="21"/>
      <c r="D2347" s="25"/>
      <c r="E2347" s="27"/>
      <c r="F2347" s="25"/>
      <c r="G2347" s="27"/>
    </row>
    <row r="2348">
      <c r="A2348" s="21"/>
      <c r="B2348" s="21"/>
      <c r="D2348" s="25"/>
      <c r="E2348" s="27"/>
      <c r="F2348" s="25"/>
      <c r="G2348" s="27"/>
    </row>
    <row r="2349">
      <c r="A2349" s="21"/>
      <c r="B2349" s="21"/>
      <c r="D2349" s="25"/>
      <c r="E2349" s="27"/>
      <c r="F2349" s="25"/>
      <c r="G2349" s="27"/>
    </row>
    <row r="2350">
      <c r="A2350" s="21"/>
      <c r="B2350" s="21"/>
      <c r="D2350" s="25"/>
      <c r="E2350" s="27"/>
      <c r="F2350" s="25"/>
      <c r="G2350" s="27"/>
    </row>
    <row r="2351">
      <c r="A2351" s="21"/>
      <c r="B2351" s="21"/>
      <c r="D2351" s="25"/>
      <c r="E2351" s="27"/>
      <c r="F2351" s="25"/>
      <c r="G2351" s="27"/>
    </row>
    <row r="2352">
      <c r="A2352" s="21"/>
      <c r="B2352" s="21"/>
      <c r="D2352" s="25"/>
      <c r="E2352" s="27"/>
      <c r="F2352" s="25"/>
      <c r="G2352" s="27"/>
    </row>
    <row r="2353">
      <c r="A2353" s="21"/>
      <c r="B2353" s="21"/>
      <c r="D2353" s="25"/>
      <c r="E2353" s="27"/>
      <c r="F2353" s="25"/>
      <c r="G2353" s="27"/>
    </row>
    <row r="2354">
      <c r="A2354" s="21"/>
      <c r="B2354" s="21"/>
      <c r="D2354" s="25"/>
      <c r="E2354" s="27"/>
      <c r="F2354" s="25"/>
      <c r="G2354" s="27"/>
    </row>
    <row r="2355">
      <c r="A2355" s="21"/>
      <c r="B2355" s="21"/>
      <c r="D2355" s="25"/>
      <c r="E2355" s="27"/>
      <c r="F2355" s="25"/>
      <c r="G2355" s="27"/>
    </row>
    <row r="2356">
      <c r="A2356" s="21"/>
      <c r="B2356" s="21"/>
      <c r="D2356" s="25"/>
      <c r="E2356" s="27"/>
      <c r="F2356" s="25"/>
      <c r="G2356" s="27"/>
    </row>
    <row r="2357">
      <c r="A2357" s="21"/>
      <c r="B2357" s="21"/>
      <c r="D2357" s="25"/>
      <c r="E2357" s="27"/>
      <c r="F2357" s="25"/>
      <c r="G2357" s="27"/>
    </row>
    <row r="2358">
      <c r="A2358" s="21"/>
      <c r="B2358" s="21"/>
      <c r="D2358" s="25"/>
      <c r="E2358" s="27"/>
      <c r="F2358" s="25"/>
      <c r="G2358" s="27"/>
    </row>
    <row r="2359">
      <c r="A2359" s="21"/>
      <c r="B2359" s="21"/>
      <c r="D2359" s="25"/>
      <c r="E2359" s="27"/>
      <c r="F2359" s="25"/>
      <c r="G2359" s="27"/>
    </row>
    <row r="2360">
      <c r="A2360" s="21"/>
      <c r="B2360" s="21"/>
      <c r="D2360" s="25"/>
      <c r="E2360" s="27"/>
      <c r="F2360" s="25"/>
      <c r="G2360" s="27"/>
    </row>
    <row r="2361">
      <c r="A2361" s="21"/>
      <c r="B2361" s="21"/>
      <c r="D2361" s="25"/>
      <c r="E2361" s="27"/>
      <c r="F2361" s="25"/>
      <c r="G2361" s="27"/>
    </row>
    <row r="2362">
      <c r="A2362" s="21"/>
      <c r="B2362" s="21"/>
      <c r="D2362" s="25"/>
      <c r="E2362" s="27"/>
      <c r="F2362" s="25"/>
      <c r="G2362" s="27"/>
    </row>
    <row r="2363">
      <c r="A2363" s="21"/>
      <c r="B2363" s="21"/>
      <c r="D2363" s="25"/>
      <c r="E2363" s="27"/>
      <c r="F2363" s="25"/>
      <c r="G2363" s="27"/>
    </row>
    <row r="2364">
      <c r="A2364" s="21"/>
      <c r="B2364" s="21"/>
      <c r="D2364" s="25"/>
      <c r="E2364" s="27"/>
      <c r="F2364" s="25"/>
      <c r="G2364" s="27"/>
    </row>
    <row r="2365">
      <c r="A2365" s="21"/>
      <c r="B2365" s="21"/>
      <c r="D2365" s="25"/>
      <c r="E2365" s="27"/>
      <c r="F2365" s="25"/>
      <c r="G2365" s="27"/>
    </row>
    <row r="2366">
      <c r="A2366" s="21"/>
      <c r="B2366" s="21"/>
      <c r="D2366" s="25"/>
      <c r="E2366" s="27"/>
      <c r="F2366" s="25"/>
      <c r="G2366" s="27"/>
    </row>
    <row r="2367">
      <c r="A2367" s="21"/>
      <c r="B2367" s="21"/>
      <c r="D2367" s="25"/>
      <c r="E2367" s="27"/>
      <c r="F2367" s="25"/>
      <c r="G2367" s="27"/>
    </row>
    <row r="2368">
      <c r="A2368" s="21"/>
      <c r="B2368" s="21"/>
      <c r="D2368" s="25"/>
      <c r="E2368" s="27"/>
      <c r="F2368" s="25"/>
      <c r="G2368" s="27"/>
    </row>
    <row r="2369">
      <c r="A2369" s="21"/>
      <c r="B2369" s="21"/>
      <c r="D2369" s="25"/>
      <c r="E2369" s="27"/>
      <c r="F2369" s="25"/>
      <c r="G2369" s="27"/>
    </row>
    <row r="2370">
      <c r="A2370" s="21"/>
      <c r="B2370" s="21"/>
      <c r="D2370" s="25"/>
      <c r="E2370" s="27"/>
      <c r="F2370" s="25"/>
      <c r="G2370" s="27"/>
    </row>
    <row r="2371">
      <c r="A2371" s="21"/>
      <c r="B2371" s="21"/>
      <c r="D2371" s="25"/>
      <c r="E2371" s="27"/>
      <c r="F2371" s="25"/>
      <c r="G2371" s="27"/>
    </row>
    <row r="2372">
      <c r="A2372" s="21"/>
      <c r="B2372" s="21"/>
      <c r="D2372" s="25"/>
      <c r="E2372" s="27"/>
      <c r="F2372" s="25"/>
      <c r="G2372" s="27"/>
    </row>
    <row r="2373">
      <c r="A2373" s="21"/>
      <c r="B2373" s="21"/>
      <c r="D2373" s="25"/>
      <c r="E2373" s="27"/>
      <c r="F2373" s="25"/>
      <c r="G2373" s="27"/>
    </row>
    <row r="2374">
      <c r="A2374" s="21"/>
      <c r="B2374" s="21"/>
      <c r="D2374" s="25"/>
      <c r="E2374" s="27"/>
      <c r="F2374" s="25"/>
      <c r="G2374" s="27"/>
    </row>
    <row r="2375">
      <c r="A2375" s="21"/>
      <c r="B2375" s="21"/>
      <c r="D2375" s="25"/>
      <c r="E2375" s="27"/>
      <c r="F2375" s="25"/>
      <c r="G2375" s="27"/>
    </row>
    <row r="2376">
      <c r="A2376" s="21"/>
      <c r="B2376" s="21"/>
      <c r="D2376" s="25"/>
      <c r="E2376" s="27"/>
      <c r="F2376" s="25"/>
      <c r="G2376" s="27"/>
    </row>
    <row r="2377">
      <c r="A2377" s="21"/>
      <c r="B2377" s="21"/>
      <c r="D2377" s="25"/>
      <c r="E2377" s="27"/>
      <c r="F2377" s="25"/>
      <c r="G2377" s="27"/>
    </row>
    <row r="2378">
      <c r="A2378" s="21"/>
      <c r="B2378" s="21"/>
      <c r="D2378" s="25"/>
      <c r="E2378" s="27"/>
      <c r="F2378" s="25"/>
      <c r="G2378" s="27"/>
    </row>
    <row r="2379">
      <c r="A2379" s="21"/>
      <c r="B2379" s="21"/>
      <c r="D2379" s="25"/>
      <c r="E2379" s="27"/>
      <c r="F2379" s="25"/>
      <c r="G2379" s="27"/>
    </row>
    <row r="2380">
      <c r="A2380" s="21"/>
      <c r="B2380" s="21"/>
      <c r="D2380" s="25"/>
      <c r="E2380" s="27"/>
      <c r="F2380" s="25"/>
      <c r="G2380" s="27"/>
    </row>
    <row r="2381">
      <c r="A2381" s="21"/>
      <c r="B2381" s="21"/>
      <c r="D2381" s="25"/>
      <c r="E2381" s="27"/>
      <c r="F2381" s="25"/>
      <c r="G2381" s="27"/>
    </row>
    <row r="2382">
      <c r="A2382" s="21"/>
      <c r="B2382" s="21"/>
      <c r="D2382" s="25"/>
      <c r="E2382" s="27"/>
      <c r="F2382" s="25"/>
      <c r="G2382" s="27"/>
    </row>
    <row r="2383">
      <c r="A2383" s="21"/>
      <c r="B2383" s="21"/>
      <c r="D2383" s="25"/>
      <c r="E2383" s="27"/>
      <c r="F2383" s="25"/>
      <c r="G2383" s="27"/>
    </row>
    <row r="2384">
      <c r="A2384" s="21"/>
      <c r="B2384" s="21"/>
      <c r="D2384" s="25"/>
      <c r="E2384" s="27"/>
      <c r="F2384" s="25"/>
      <c r="G2384" s="27"/>
    </row>
    <row r="2385">
      <c r="A2385" s="21"/>
      <c r="B2385" s="21"/>
      <c r="D2385" s="25"/>
      <c r="E2385" s="27"/>
      <c r="F2385" s="25"/>
      <c r="G2385" s="27"/>
    </row>
    <row r="2386">
      <c r="A2386" s="21"/>
      <c r="B2386" s="21"/>
      <c r="D2386" s="25"/>
      <c r="E2386" s="27"/>
      <c r="F2386" s="25"/>
      <c r="G2386" s="27"/>
    </row>
    <row r="2387">
      <c r="A2387" s="21"/>
      <c r="B2387" s="21"/>
      <c r="D2387" s="25"/>
      <c r="E2387" s="27"/>
      <c r="F2387" s="25"/>
      <c r="G2387" s="27"/>
    </row>
    <row r="2388">
      <c r="A2388" s="21"/>
      <c r="B2388" s="21"/>
      <c r="D2388" s="25"/>
      <c r="E2388" s="27"/>
      <c r="F2388" s="25"/>
      <c r="G2388" s="27"/>
    </row>
    <row r="2389">
      <c r="A2389" s="21"/>
      <c r="B2389" s="21"/>
      <c r="D2389" s="25"/>
      <c r="E2389" s="27"/>
      <c r="F2389" s="25"/>
      <c r="G2389" s="27"/>
    </row>
    <row r="2390">
      <c r="A2390" s="21"/>
      <c r="B2390" s="21"/>
      <c r="D2390" s="25"/>
      <c r="E2390" s="27"/>
      <c r="F2390" s="25"/>
      <c r="G2390" s="27"/>
    </row>
    <row r="2391">
      <c r="A2391" s="21"/>
      <c r="B2391" s="21"/>
      <c r="D2391" s="25"/>
      <c r="E2391" s="27"/>
      <c r="F2391" s="25"/>
      <c r="G2391" s="27"/>
    </row>
    <row r="2392">
      <c r="A2392" s="21"/>
      <c r="B2392" s="21"/>
      <c r="D2392" s="25"/>
      <c r="E2392" s="27"/>
      <c r="F2392" s="25"/>
      <c r="G2392" s="27"/>
    </row>
    <row r="2393">
      <c r="A2393" s="21"/>
      <c r="B2393" s="21"/>
      <c r="D2393" s="25"/>
      <c r="E2393" s="27"/>
      <c r="F2393" s="25"/>
      <c r="G2393" s="27"/>
    </row>
    <row r="2394">
      <c r="A2394" s="21"/>
      <c r="B2394" s="21"/>
      <c r="D2394" s="25"/>
      <c r="E2394" s="27"/>
      <c r="F2394" s="25"/>
      <c r="G2394" s="27"/>
    </row>
    <row r="2395">
      <c r="A2395" s="21"/>
      <c r="B2395" s="21"/>
      <c r="D2395" s="25"/>
      <c r="E2395" s="27"/>
      <c r="F2395" s="25"/>
      <c r="G2395" s="27"/>
    </row>
    <row r="2396">
      <c r="A2396" s="21"/>
      <c r="B2396" s="21"/>
      <c r="D2396" s="25"/>
      <c r="E2396" s="27"/>
      <c r="F2396" s="25"/>
      <c r="G2396" s="27"/>
    </row>
    <row r="2397">
      <c r="A2397" s="21"/>
      <c r="B2397" s="21"/>
      <c r="D2397" s="25"/>
      <c r="E2397" s="27"/>
      <c r="F2397" s="25"/>
      <c r="G2397" s="27"/>
    </row>
    <row r="2398">
      <c r="A2398" s="21"/>
      <c r="B2398" s="21"/>
      <c r="D2398" s="25"/>
      <c r="E2398" s="27"/>
      <c r="F2398" s="25"/>
      <c r="G2398" s="27"/>
    </row>
    <row r="2399">
      <c r="A2399" s="21"/>
      <c r="B2399" s="21"/>
      <c r="D2399" s="25"/>
      <c r="E2399" s="27"/>
      <c r="F2399" s="25"/>
      <c r="G2399" s="27"/>
    </row>
    <row r="2400">
      <c r="A2400" s="21"/>
      <c r="B2400" s="21"/>
      <c r="D2400" s="25"/>
      <c r="E2400" s="27"/>
      <c r="F2400" s="25"/>
      <c r="G2400" s="27"/>
    </row>
    <row r="2401">
      <c r="A2401" s="21"/>
      <c r="B2401" s="21"/>
      <c r="D2401" s="25"/>
      <c r="E2401" s="27"/>
      <c r="F2401" s="25"/>
      <c r="G2401" s="27"/>
    </row>
    <row r="2402">
      <c r="A2402" s="21"/>
      <c r="B2402" s="21"/>
      <c r="D2402" s="25"/>
      <c r="E2402" s="27"/>
      <c r="F2402" s="25"/>
      <c r="G2402" s="27"/>
    </row>
    <row r="2403">
      <c r="A2403" s="21"/>
      <c r="B2403" s="21"/>
      <c r="D2403" s="25"/>
      <c r="E2403" s="27"/>
      <c r="F2403" s="25"/>
      <c r="G2403" s="27"/>
    </row>
    <row r="2404">
      <c r="A2404" s="21"/>
      <c r="B2404" s="21"/>
      <c r="D2404" s="25"/>
      <c r="E2404" s="27"/>
      <c r="F2404" s="25"/>
      <c r="G2404" s="27"/>
    </row>
    <row r="2405">
      <c r="A2405" s="21"/>
      <c r="B2405" s="21"/>
      <c r="D2405" s="25"/>
      <c r="E2405" s="27"/>
      <c r="F2405" s="25"/>
      <c r="G2405" s="27"/>
    </row>
    <row r="2406">
      <c r="A2406" s="21"/>
      <c r="B2406" s="21"/>
      <c r="D2406" s="25"/>
      <c r="E2406" s="27"/>
      <c r="F2406" s="25"/>
      <c r="G2406" s="27"/>
    </row>
    <row r="2407">
      <c r="A2407" s="21"/>
      <c r="B2407" s="21"/>
      <c r="D2407" s="25"/>
      <c r="E2407" s="27"/>
      <c r="F2407" s="25"/>
      <c r="G2407" s="27"/>
    </row>
    <row r="2408">
      <c r="A2408" s="21"/>
      <c r="B2408" s="21"/>
      <c r="D2408" s="25"/>
      <c r="E2408" s="27"/>
      <c r="F2408" s="25"/>
      <c r="G2408" s="27"/>
    </row>
    <row r="2409">
      <c r="A2409" s="21"/>
      <c r="B2409" s="21"/>
      <c r="D2409" s="25"/>
      <c r="E2409" s="27"/>
      <c r="F2409" s="25"/>
      <c r="G2409" s="27"/>
    </row>
    <row r="2410">
      <c r="A2410" s="21"/>
      <c r="B2410" s="21"/>
      <c r="D2410" s="25"/>
      <c r="E2410" s="27"/>
      <c r="F2410" s="25"/>
      <c r="G2410" s="27"/>
    </row>
    <row r="2411">
      <c r="A2411" s="21"/>
      <c r="B2411" s="21"/>
      <c r="D2411" s="25"/>
      <c r="E2411" s="27"/>
      <c r="F2411" s="25"/>
      <c r="G2411" s="27"/>
    </row>
    <row r="2412">
      <c r="A2412" s="21"/>
      <c r="B2412" s="21"/>
      <c r="D2412" s="25"/>
      <c r="E2412" s="27"/>
      <c r="F2412" s="25"/>
      <c r="G2412" s="27"/>
    </row>
    <row r="2413">
      <c r="A2413" s="21"/>
      <c r="B2413" s="21"/>
      <c r="D2413" s="25"/>
      <c r="E2413" s="27"/>
      <c r="F2413" s="25"/>
      <c r="G2413" s="27"/>
    </row>
    <row r="2414">
      <c r="A2414" s="21"/>
      <c r="B2414" s="21"/>
      <c r="D2414" s="25"/>
      <c r="E2414" s="27"/>
      <c r="F2414" s="25"/>
      <c r="G2414" s="27"/>
    </row>
    <row r="2415">
      <c r="A2415" s="21"/>
      <c r="B2415" s="21"/>
      <c r="D2415" s="25"/>
      <c r="E2415" s="27"/>
      <c r="F2415" s="25"/>
      <c r="G2415" s="27"/>
    </row>
    <row r="2416">
      <c r="A2416" s="21"/>
      <c r="B2416" s="21"/>
      <c r="D2416" s="25"/>
      <c r="E2416" s="27"/>
      <c r="F2416" s="25"/>
      <c r="G2416" s="27"/>
    </row>
    <row r="2417">
      <c r="A2417" s="21"/>
      <c r="B2417" s="21"/>
      <c r="D2417" s="25"/>
      <c r="E2417" s="27"/>
      <c r="F2417" s="25"/>
      <c r="G2417" s="27"/>
    </row>
    <row r="2418">
      <c r="A2418" s="21"/>
      <c r="B2418" s="21"/>
      <c r="D2418" s="25"/>
      <c r="E2418" s="27"/>
      <c r="F2418" s="25"/>
      <c r="G2418" s="27"/>
    </row>
    <row r="2419">
      <c r="A2419" s="21"/>
      <c r="B2419" s="21"/>
      <c r="D2419" s="25"/>
      <c r="E2419" s="27"/>
      <c r="F2419" s="25"/>
      <c r="G2419" s="27"/>
    </row>
    <row r="2420">
      <c r="A2420" s="21"/>
      <c r="B2420" s="21"/>
      <c r="D2420" s="25"/>
      <c r="E2420" s="27"/>
      <c r="F2420" s="25"/>
      <c r="G2420" s="27"/>
    </row>
    <row r="2421">
      <c r="A2421" s="21"/>
      <c r="B2421" s="21"/>
      <c r="D2421" s="25"/>
      <c r="E2421" s="27"/>
      <c r="F2421" s="25"/>
      <c r="G2421" s="27"/>
    </row>
    <row r="2422">
      <c r="A2422" s="21"/>
      <c r="B2422" s="21"/>
      <c r="D2422" s="25"/>
      <c r="E2422" s="27"/>
      <c r="F2422" s="25"/>
      <c r="G2422" s="27"/>
    </row>
    <row r="2423">
      <c r="A2423" s="21"/>
      <c r="B2423" s="21"/>
      <c r="D2423" s="25"/>
      <c r="E2423" s="27"/>
      <c r="F2423" s="25"/>
      <c r="G2423" s="27"/>
    </row>
    <row r="2424">
      <c r="A2424" s="21"/>
      <c r="B2424" s="21"/>
      <c r="D2424" s="25"/>
      <c r="E2424" s="27"/>
      <c r="F2424" s="25"/>
      <c r="G2424" s="27"/>
    </row>
    <row r="2425">
      <c r="A2425" s="21"/>
      <c r="B2425" s="21"/>
      <c r="D2425" s="25"/>
      <c r="E2425" s="27"/>
      <c r="F2425" s="25"/>
      <c r="G2425" s="27"/>
    </row>
    <row r="2426">
      <c r="A2426" s="21"/>
      <c r="B2426" s="21"/>
      <c r="D2426" s="25"/>
      <c r="E2426" s="27"/>
      <c r="F2426" s="25"/>
      <c r="G2426" s="27"/>
    </row>
    <row r="2427">
      <c r="A2427" s="21"/>
      <c r="B2427" s="21"/>
      <c r="D2427" s="25"/>
      <c r="E2427" s="27"/>
      <c r="F2427" s="25"/>
      <c r="G2427" s="27"/>
    </row>
    <row r="2428">
      <c r="A2428" s="21"/>
      <c r="B2428" s="21"/>
      <c r="D2428" s="25"/>
      <c r="E2428" s="27"/>
      <c r="F2428" s="25"/>
      <c r="G2428" s="27"/>
    </row>
    <row r="2429">
      <c r="A2429" s="21"/>
      <c r="B2429" s="21"/>
      <c r="D2429" s="25"/>
      <c r="E2429" s="27"/>
      <c r="F2429" s="25"/>
      <c r="G2429" s="27"/>
    </row>
    <row r="2430">
      <c r="A2430" s="21"/>
      <c r="B2430" s="21"/>
      <c r="D2430" s="25"/>
      <c r="E2430" s="27"/>
      <c r="F2430" s="25"/>
      <c r="G2430" s="27"/>
    </row>
    <row r="2431">
      <c r="A2431" s="21"/>
      <c r="B2431" s="21"/>
      <c r="D2431" s="25"/>
      <c r="E2431" s="27"/>
      <c r="F2431" s="25"/>
      <c r="G2431" s="27"/>
    </row>
    <row r="2432">
      <c r="A2432" s="21"/>
      <c r="B2432" s="21"/>
      <c r="D2432" s="25"/>
      <c r="E2432" s="27"/>
      <c r="F2432" s="25"/>
      <c r="G2432" s="27"/>
    </row>
    <row r="2433">
      <c r="A2433" s="21"/>
      <c r="B2433" s="21"/>
      <c r="D2433" s="25"/>
      <c r="E2433" s="27"/>
      <c r="F2433" s="25"/>
      <c r="G2433" s="27"/>
    </row>
    <row r="2434">
      <c r="A2434" s="21"/>
      <c r="B2434" s="21"/>
      <c r="D2434" s="25"/>
      <c r="E2434" s="27"/>
      <c r="F2434" s="25"/>
      <c r="G2434" s="27"/>
    </row>
    <row r="2435">
      <c r="A2435" s="21"/>
      <c r="B2435" s="21"/>
      <c r="D2435" s="25"/>
      <c r="E2435" s="27"/>
      <c r="F2435" s="25"/>
      <c r="G2435" s="27"/>
    </row>
    <row r="2436">
      <c r="A2436" s="21"/>
      <c r="B2436" s="21"/>
      <c r="D2436" s="25"/>
      <c r="E2436" s="27"/>
      <c r="F2436" s="25"/>
      <c r="G2436" s="27"/>
    </row>
    <row r="2437">
      <c r="A2437" s="21"/>
      <c r="B2437" s="21"/>
      <c r="D2437" s="25"/>
      <c r="E2437" s="27"/>
      <c r="F2437" s="25"/>
      <c r="G2437" s="27"/>
    </row>
    <row r="2438">
      <c r="A2438" s="21"/>
      <c r="B2438" s="21"/>
      <c r="D2438" s="25"/>
      <c r="E2438" s="27"/>
      <c r="F2438" s="25"/>
      <c r="G2438" s="27"/>
    </row>
    <row r="2439">
      <c r="A2439" s="21"/>
      <c r="B2439" s="21"/>
      <c r="D2439" s="25"/>
      <c r="E2439" s="27"/>
      <c r="F2439" s="25"/>
      <c r="G2439" s="27"/>
    </row>
    <row r="2440">
      <c r="A2440" s="21"/>
      <c r="B2440" s="21"/>
      <c r="D2440" s="25"/>
      <c r="E2440" s="27"/>
      <c r="F2440" s="25"/>
      <c r="G2440" s="27"/>
    </row>
    <row r="2441">
      <c r="A2441" s="21"/>
      <c r="B2441" s="21"/>
      <c r="D2441" s="25"/>
      <c r="E2441" s="27"/>
      <c r="F2441" s="25"/>
      <c r="G2441" s="27"/>
    </row>
    <row r="2442">
      <c r="A2442" s="21"/>
      <c r="B2442" s="21"/>
      <c r="D2442" s="25"/>
      <c r="E2442" s="27"/>
      <c r="F2442" s="25"/>
      <c r="G2442" s="27"/>
    </row>
    <row r="2443">
      <c r="A2443" s="21"/>
      <c r="B2443" s="21"/>
      <c r="D2443" s="25"/>
      <c r="E2443" s="27"/>
      <c r="F2443" s="25"/>
      <c r="G2443" s="27"/>
    </row>
    <row r="2444">
      <c r="A2444" s="21"/>
      <c r="B2444" s="21"/>
      <c r="D2444" s="25"/>
      <c r="E2444" s="27"/>
      <c r="F2444" s="25"/>
      <c r="G2444" s="27"/>
    </row>
    <row r="2445">
      <c r="A2445" s="21"/>
      <c r="B2445" s="21"/>
      <c r="D2445" s="25"/>
      <c r="E2445" s="27"/>
      <c r="F2445" s="25"/>
      <c r="G2445" s="27"/>
    </row>
    <row r="2446">
      <c r="A2446" s="21"/>
      <c r="B2446" s="21"/>
      <c r="D2446" s="25"/>
      <c r="E2446" s="27"/>
      <c r="F2446" s="25"/>
      <c r="G2446" s="27"/>
    </row>
    <row r="2447">
      <c r="A2447" s="21"/>
      <c r="B2447" s="21"/>
      <c r="D2447" s="25"/>
      <c r="E2447" s="27"/>
      <c r="F2447" s="25"/>
      <c r="G2447" s="27"/>
    </row>
    <row r="2448">
      <c r="A2448" s="21"/>
      <c r="B2448" s="21"/>
      <c r="D2448" s="25"/>
      <c r="E2448" s="27"/>
      <c r="F2448" s="25"/>
      <c r="G2448" s="27"/>
    </row>
    <row r="2449">
      <c r="A2449" s="21"/>
      <c r="B2449" s="21"/>
      <c r="D2449" s="25"/>
      <c r="E2449" s="27"/>
      <c r="F2449" s="25"/>
      <c r="G2449" s="27"/>
    </row>
    <row r="2450">
      <c r="A2450" s="21"/>
      <c r="B2450" s="21"/>
      <c r="D2450" s="25"/>
      <c r="E2450" s="27"/>
      <c r="F2450" s="25"/>
      <c r="G2450" s="27"/>
    </row>
    <row r="2451">
      <c r="A2451" s="21"/>
      <c r="B2451" s="21"/>
      <c r="D2451" s="25"/>
      <c r="E2451" s="27"/>
      <c r="F2451" s="25"/>
      <c r="G2451" s="27"/>
    </row>
    <row r="2452">
      <c r="A2452" s="21"/>
      <c r="B2452" s="21"/>
      <c r="D2452" s="25"/>
      <c r="E2452" s="27"/>
      <c r="F2452" s="25"/>
      <c r="G2452" s="27"/>
    </row>
    <row r="2453">
      <c r="A2453" s="21"/>
      <c r="B2453" s="21"/>
      <c r="D2453" s="25"/>
      <c r="E2453" s="27"/>
      <c r="F2453" s="25"/>
      <c r="G2453" s="27"/>
    </row>
    <row r="2454">
      <c r="A2454" s="21"/>
      <c r="B2454" s="21"/>
      <c r="D2454" s="25"/>
      <c r="E2454" s="27"/>
      <c r="F2454" s="25"/>
      <c r="G2454" s="27"/>
    </row>
    <row r="2455">
      <c r="A2455" s="21"/>
      <c r="B2455" s="21"/>
      <c r="D2455" s="25"/>
      <c r="E2455" s="27"/>
      <c r="F2455" s="25"/>
      <c r="G2455" s="27"/>
    </row>
    <row r="2456">
      <c r="A2456" s="21"/>
      <c r="B2456" s="21"/>
      <c r="D2456" s="25"/>
      <c r="E2456" s="27"/>
      <c r="F2456" s="25"/>
      <c r="G2456" s="27"/>
    </row>
    <row r="2457">
      <c r="A2457" s="21"/>
      <c r="B2457" s="21"/>
      <c r="D2457" s="25"/>
      <c r="E2457" s="27"/>
      <c r="F2457" s="25"/>
      <c r="G2457" s="27"/>
    </row>
    <row r="2458">
      <c r="A2458" s="21"/>
      <c r="B2458" s="21"/>
      <c r="D2458" s="25"/>
      <c r="E2458" s="27"/>
      <c r="F2458" s="25"/>
      <c r="G2458" s="27"/>
    </row>
    <row r="2459">
      <c r="A2459" s="21"/>
      <c r="B2459" s="21"/>
      <c r="D2459" s="25"/>
      <c r="E2459" s="27"/>
      <c r="F2459" s="25"/>
      <c r="G2459" s="27"/>
    </row>
    <row r="2460">
      <c r="A2460" s="21"/>
      <c r="B2460" s="21"/>
      <c r="D2460" s="25"/>
      <c r="E2460" s="27"/>
      <c r="F2460" s="25"/>
      <c r="G2460" s="27"/>
    </row>
    <row r="2461">
      <c r="A2461" s="21"/>
      <c r="B2461" s="21"/>
      <c r="D2461" s="25"/>
      <c r="E2461" s="27"/>
      <c r="F2461" s="25"/>
      <c r="G2461" s="27"/>
    </row>
    <row r="2462">
      <c r="A2462" s="21"/>
      <c r="B2462" s="21"/>
      <c r="D2462" s="25"/>
      <c r="E2462" s="27"/>
      <c r="F2462" s="25"/>
      <c r="G2462" s="27"/>
    </row>
    <row r="2463">
      <c r="A2463" s="21"/>
      <c r="B2463" s="21"/>
      <c r="D2463" s="25"/>
      <c r="E2463" s="27"/>
      <c r="F2463" s="25"/>
      <c r="G2463" s="27"/>
    </row>
    <row r="2464">
      <c r="A2464" s="21"/>
      <c r="B2464" s="21"/>
      <c r="D2464" s="25"/>
      <c r="E2464" s="27"/>
      <c r="F2464" s="25"/>
      <c r="G2464" s="27"/>
    </row>
    <row r="2465">
      <c r="A2465" s="21"/>
      <c r="B2465" s="21"/>
      <c r="D2465" s="25"/>
      <c r="E2465" s="27"/>
      <c r="F2465" s="25"/>
      <c r="G2465" s="27"/>
    </row>
    <row r="2466">
      <c r="A2466" s="21"/>
      <c r="B2466" s="21"/>
      <c r="D2466" s="25"/>
      <c r="E2466" s="27"/>
      <c r="F2466" s="25"/>
      <c r="G2466" s="27"/>
    </row>
    <row r="2467">
      <c r="A2467" s="21"/>
      <c r="B2467" s="21"/>
      <c r="D2467" s="25"/>
      <c r="E2467" s="27"/>
      <c r="F2467" s="25"/>
      <c r="G2467" s="27"/>
    </row>
    <row r="2468">
      <c r="A2468" s="21"/>
      <c r="B2468" s="21"/>
      <c r="D2468" s="25"/>
      <c r="E2468" s="27"/>
      <c r="F2468" s="25"/>
      <c r="G2468" s="27"/>
    </row>
    <row r="2469">
      <c r="A2469" s="21"/>
      <c r="B2469" s="21"/>
      <c r="D2469" s="25"/>
      <c r="E2469" s="27"/>
      <c r="F2469" s="25"/>
      <c r="G2469" s="27"/>
    </row>
    <row r="2470">
      <c r="A2470" s="21"/>
      <c r="B2470" s="21"/>
      <c r="D2470" s="25"/>
      <c r="E2470" s="27"/>
      <c r="F2470" s="25"/>
      <c r="G2470" s="27"/>
    </row>
    <row r="2471">
      <c r="A2471" s="21"/>
      <c r="B2471" s="21"/>
      <c r="D2471" s="25"/>
      <c r="E2471" s="27"/>
      <c r="F2471" s="25"/>
      <c r="G2471" s="27"/>
    </row>
    <row r="2472">
      <c r="A2472" s="21"/>
      <c r="B2472" s="21"/>
      <c r="D2472" s="25"/>
      <c r="E2472" s="27"/>
      <c r="F2472" s="25"/>
      <c r="G2472" s="27"/>
    </row>
    <row r="2473">
      <c r="A2473" s="21"/>
      <c r="B2473" s="21"/>
      <c r="D2473" s="25"/>
      <c r="E2473" s="27"/>
      <c r="F2473" s="25"/>
      <c r="G2473" s="27"/>
    </row>
    <row r="2474">
      <c r="A2474" s="21"/>
      <c r="B2474" s="21"/>
      <c r="D2474" s="25"/>
      <c r="E2474" s="27"/>
      <c r="F2474" s="25"/>
      <c r="G2474" s="27"/>
    </row>
    <row r="2475">
      <c r="A2475" s="21"/>
      <c r="B2475" s="21"/>
      <c r="D2475" s="25"/>
      <c r="E2475" s="27"/>
      <c r="F2475" s="25"/>
      <c r="G2475" s="27"/>
    </row>
    <row r="2476">
      <c r="A2476" s="21"/>
      <c r="B2476" s="21"/>
      <c r="D2476" s="25"/>
      <c r="E2476" s="27"/>
      <c r="F2476" s="25"/>
      <c r="G2476" s="27"/>
    </row>
    <row r="2477">
      <c r="A2477" s="21"/>
      <c r="B2477" s="21"/>
      <c r="D2477" s="25"/>
      <c r="E2477" s="27"/>
      <c r="F2477" s="25"/>
      <c r="G2477" s="27"/>
    </row>
    <row r="2478">
      <c r="A2478" s="21"/>
      <c r="B2478" s="21"/>
      <c r="D2478" s="25"/>
      <c r="E2478" s="27"/>
      <c r="F2478" s="25"/>
      <c r="G2478" s="27"/>
    </row>
    <row r="2479">
      <c r="A2479" s="21"/>
      <c r="B2479" s="21"/>
      <c r="D2479" s="25"/>
      <c r="E2479" s="27"/>
      <c r="F2479" s="25"/>
      <c r="G2479" s="27"/>
    </row>
    <row r="2480">
      <c r="A2480" s="21"/>
      <c r="B2480" s="21"/>
      <c r="D2480" s="25"/>
      <c r="E2480" s="27"/>
      <c r="F2480" s="25"/>
      <c r="G2480" s="27"/>
    </row>
    <row r="2481">
      <c r="A2481" s="21"/>
      <c r="B2481" s="21"/>
      <c r="D2481" s="25"/>
      <c r="E2481" s="27"/>
      <c r="F2481" s="25"/>
      <c r="G2481" s="27"/>
    </row>
    <row r="2482">
      <c r="A2482" s="21"/>
      <c r="B2482" s="21"/>
      <c r="D2482" s="25"/>
      <c r="E2482" s="27"/>
      <c r="F2482" s="25"/>
      <c r="G2482" s="27"/>
    </row>
    <row r="2483">
      <c r="A2483" s="21"/>
      <c r="B2483" s="21"/>
      <c r="D2483" s="25"/>
      <c r="E2483" s="27"/>
      <c r="F2483" s="25"/>
      <c r="G2483" s="27"/>
    </row>
    <row r="2484">
      <c r="A2484" s="21"/>
      <c r="B2484" s="21"/>
      <c r="D2484" s="25"/>
      <c r="E2484" s="27"/>
      <c r="F2484" s="25"/>
      <c r="G2484" s="27"/>
    </row>
    <row r="2485">
      <c r="A2485" s="21"/>
      <c r="B2485" s="21"/>
      <c r="D2485" s="25"/>
      <c r="E2485" s="27"/>
      <c r="F2485" s="25"/>
      <c r="G2485" s="27"/>
    </row>
    <row r="2486">
      <c r="A2486" s="21"/>
      <c r="B2486" s="21"/>
      <c r="D2486" s="25"/>
      <c r="E2486" s="27"/>
      <c r="F2486" s="25"/>
      <c r="G2486" s="27"/>
    </row>
    <row r="2487">
      <c r="A2487" s="21"/>
      <c r="B2487" s="21"/>
      <c r="D2487" s="25"/>
      <c r="E2487" s="27"/>
      <c r="F2487" s="25"/>
      <c r="G2487" s="27"/>
    </row>
    <row r="2488">
      <c r="A2488" s="21"/>
      <c r="B2488" s="21"/>
      <c r="D2488" s="25"/>
      <c r="E2488" s="27"/>
      <c r="F2488" s="25"/>
      <c r="G2488" s="27"/>
    </row>
    <row r="2489">
      <c r="A2489" s="21"/>
      <c r="B2489" s="21"/>
      <c r="D2489" s="25"/>
      <c r="E2489" s="27"/>
      <c r="F2489" s="25"/>
      <c r="G2489" s="27"/>
    </row>
    <row r="2490">
      <c r="A2490" s="21"/>
      <c r="B2490" s="21"/>
      <c r="D2490" s="25"/>
      <c r="E2490" s="27"/>
      <c r="F2490" s="25"/>
      <c r="G2490" s="27"/>
    </row>
    <row r="2491">
      <c r="A2491" s="21"/>
      <c r="B2491" s="21"/>
      <c r="D2491" s="25"/>
      <c r="E2491" s="27"/>
      <c r="F2491" s="25"/>
      <c r="G2491" s="27"/>
    </row>
    <row r="2492">
      <c r="A2492" s="21"/>
      <c r="B2492" s="21"/>
      <c r="D2492" s="25"/>
      <c r="E2492" s="27"/>
      <c r="F2492" s="25"/>
      <c r="G2492" s="27"/>
    </row>
    <row r="2493">
      <c r="A2493" s="21"/>
      <c r="B2493" s="21"/>
      <c r="D2493" s="25"/>
      <c r="E2493" s="27"/>
      <c r="F2493" s="25"/>
      <c r="G2493" s="27"/>
    </row>
    <row r="2494">
      <c r="A2494" s="21"/>
      <c r="B2494" s="21"/>
      <c r="D2494" s="25"/>
      <c r="E2494" s="27"/>
      <c r="F2494" s="25"/>
      <c r="G2494" s="27"/>
    </row>
    <row r="2495">
      <c r="A2495" s="21"/>
      <c r="B2495" s="21"/>
      <c r="D2495" s="25"/>
      <c r="E2495" s="27"/>
      <c r="F2495" s="25"/>
      <c r="G2495" s="27"/>
    </row>
    <row r="2496">
      <c r="A2496" s="21"/>
      <c r="B2496" s="21"/>
      <c r="D2496" s="25"/>
      <c r="E2496" s="27"/>
      <c r="F2496" s="25"/>
      <c r="G2496" s="27"/>
    </row>
    <row r="2497">
      <c r="A2497" s="21"/>
      <c r="B2497" s="21"/>
      <c r="D2497" s="25"/>
      <c r="E2497" s="27"/>
      <c r="F2497" s="25"/>
      <c r="G2497" s="27"/>
    </row>
    <row r="2498">
      <c r="A2498" s="21"/>
      <c r="B2498" s="21"/>
      <c r="D2498" s="25"/>
      <c r="E2498" s="27"/>
      <c r="F2498" s="25"/>
      <c r="G2498" s="27"/>
    </row>
    <row r="2499">
      <c r="A2499" s="21"/>
      <c r="B2499" s="21"/>
      <c r="D2499" s="25"/>
      <c r="E2499" s="27"/>
      <c r="F2499" s="25"/>
      <c r="G2499" s="27"/>
    </row>
    <row r="2500">
      <c r="A2500" s="21"/>
      <c r="B2500" s="21"/>
      <c r="D2500" s="25"/>
      <c r="E2500" s="27"/>
      <c r="F2500" s="25"/>
      <c r="G2500" s="27"/>
    </row>
    <row r="2501">
      <c r="A2501" s="21"/>
      <c r="B2501" s="21"/>
      <c r="D2501" s="25"/>
      <c r="E2501" s="27"/>
      <c r="F2501" s="25"/>
      <c r="G2501" s="27"/>
    </row>
    <row r="2502">
      <c r="A2502" s="21"/>
      <c r="B2502" s="21"/>
      <c r="D2502" s="25"/>
      <c r="E2502" s="27"/>
      <c r="F2502" s="25"/>
      <c r="G2502" s="27"/>
    </row>
    <row r="2503">
      <c r="A2503" s="21"/>
      <c r="B2503" s="21"/>
      <c r="D2503" s="25"/>
      <c r="E2503" s="27"/>
      <c r="F2503" s="25"/>
      <c r="G2503" s="27"/>
    </row>
    <row r="2504">
      <c r="A2504" s="21"/>
      <c r="B2504" s="21"/>
      <c r="D2504" s="25"/>
      <c r="E2504" s="27"/>
      <c r="F2504" s="25"/>
      <c r="G2504" s="27"/>
    </row>
    <row r="2505">
      <c r="A2505" s="21"/>
      <c r="B2505" s="21"/>
      <c r="D2505" s="25"/>
      <c r="E2505" s="27"/>
      <c r="F2505" s="25"/>
      <c r="G2505" s="27"/>
    </row>
    <row r="2506">
      <c r="A2506" s="21"/>
      <c r="B2506" s="21"/>
      <c r="D2506" s="25"/>
      <c r="E2506" s="27"/>
      <c r="F2506" s="25"/>
      <c r="G2506" s="27"/>
    </row>
    <row r="2507">
      <c r="A2507" s="21"/>
      <c r="B2507" s="21"/>
      <c r="D2507" s="25"/>
      <c r="E2507" s="27"/>
      <c r="F2507" s="25"/>
      <c r="G2507" s="27"/>
    </row>
    <row r="2508">
      <c r="A2508" s="21"/>
      <c r="B2508" s="21"/>
      <c r="D2508" s="25"/>
      <c r="E2508" s="27"/>
      <c r="F2508" s="25"/>
      <c r="G2508" s="27"/>
    </row>
    <row r="2509">
      <c r="A2509" s="21"/>
      <c r="B2509" s="21"/>
      <c r="D2509" s="25"/>
      <c r="E2509" s="27"/>
      <c r="F2509" s="25"/>
      <c r="G2509" s="27"/>
    </row>
    <row r="2510">
      <c r="A2510" s="21"/>
      <c r="B2510" s="21"/>
      <c r="D2510" s="25"/>
      <c r="E2510" s="27"/>
      <c r="F2510" s="25"/>
      <c r="G2510" s="27"/>
    </row>
    <row r="2511">
      <c r="A2511" s="21"/>
      <c r="B2511" s="21"/>
      <c r="D2511" s="25"/>
      <c r="E2511" s="27"/>
      <c r="F2511" s="25"/>
      <c r="G2511" s="27"/>
    </row>
    <row r="2512">
      <c r="A2512" s="21"/>
      <c r="B2512" s="21"/>
      <c r="D2512" s="25"/>
      <c r="E2512" s="27"/>
      <c r="F2512" s="25"/>
      <c r="G2512" s="27"/>
    </row>
    <row r="2513">
      <c r="A2513" s="21"/>
      <c r="B2513" s="21"/>
      <c r="D2513" s="25"/>
      <c r="E2513" s="27"/>
      <c r="F2513" s="25"/>
      <c r="G2513" s="27"/>
    </row>
    <row r="2514">
      <c r="A2514" s="21"/>
      <c r="B2514" s="21"/>
      <c r="D2514" s="25"/>
      <c r="E2514" s="27"/>
      <c r="F2514" s="25"/>
      <c r="G2514" s="27"/>
    </row>
    <row r="2515">
      <c r="A2515" s="21"/>
      <c r="B2515" s="21"/>
      <c r="D2515" s="25"/>
      <c r="E2515" s="27"/>
      <c r="F2515" s="25"/>
      <c r="G2515" s="27"/>
    </row>
    <row r="2516">
      <c r="A2516" s="21"/>
      <c r="B2516" s="21"/>
      <c r="D2516" s="25"/>
      <c r="E2516" s="27"/>
      <c r="F2516" s="25"/>
      <c r="G2516" s="27"/>
    </row>
    <row r="2517">
      <c r="A2517" s="21"/>
      <c r="B2517" s="21"/>
      <c r="D2517" s="25"/>
      <c r="E2517" s="27"/>
      <c r="F2517" s="25"/>
      <c r="G2517" s="27"/>
    </row>
    <row r="2518">
      <c r="A2518" s="21"/>
      <c r="B2518" s="21"/>
      <c r="D2518" s="25"/>
      <c r="E2518" s="27"/>
      <c r="F2518" s="25"/>
      <c r="G2518" s="27"/>
    </row>
    <row r="2519">
      <c r="A2519" s="21"/>
      <c r="B2519" s="21"/>
      <c r="D2519" s="25"/>
      <c r="E2519" s="27"/>
      <c r="F2519" s="25"/>
      <c r="G2519" s="27"/>
    </row>
    <row r="2520">
      <c r="A2520" s="21"/>
      <c r="B2520" s="21"/>
      <c r="D2520" s="25"/>
      <c r="E2520" s="27"/>
      <c r="F2520" s="25"/>
      <c r="G2520" s="27"/>
    </row>
    <row r="2521">
      <c r="A2521" s="21"/>
      <c r="B2521" s="21"/>
      <c r="D2521" s="25"/>
      <c r="E2521" s="27"/>
      <c r="F2521" s="25"/>
      <c r="G2521" s="27"/>
    </row>
    <row r="2522">
      <c r="A2522" s="21"/>
      <c r="B2522" s="21"/>
      <c r="D2522" s="25"/>
      <c r="E2522" s="27"/>
      <c r="F2522" s="25"/>
      <c r="G2522" s="27"/>
    </row>
    <row r="2523">
      <c r="A2523" s="21"/>
      <c r="B2523" s="21"/>
      <c r="D2523" s="25"/>
      <c r="E2523" s="27"/>
      <c r="F2523" s="25"/>
      <c r="G2523" s="27"/>
    </row>
    <row r="2524">
      <c r="A2524" s="21"/>
      <c r="B2524" s="21"/>
      <c r="D2524" s="25"/>
      <c r="E2524" s="27"/>
      <c r="F2524" s="25"/>
      <c r="G2524" s="27"/>
    </row>
    <row r="2525">
      <c r="A2525" s="21"/>
      <c r="B2525" s="21"/>
      <c r="D2525" s="25"/>
      <c r="E2525" s="27"/>
      <c r="F2525" s="25"/>
      <c r="G2525" s="27"/>
    </row>
    <row r="2526">
      <c r="A2526" s="21"/>
      <c r="B2526" s="21"/>
      <c r="D2526" s="25"/>
      <c r="E2526" s="27"/>
      <c r="F2526" s="25"/>
      <c r="G2526" s="27"/>
    </row>
    <row r="2527">
      <c r="A2527" s="21"/>
      <c r="B2527" s="21"/>
      <c r="D2527" s="25"/>
      <c r="E2527" s="27"/>
      <c r="F2527" s="25"/>
      <c r="G2527" s="27"/>
    </row>
    <row r="2528">
      <c r="A2528" s="21"/>
      <c r="B2528" s="21"/>
      <c r="D2528" s="25"/>
      <c r="E2528" s="27"/>
      <c r="F2528" s="25"/>
      <c r="G2528" s="27"/>
    </row>
    <row r="2529">
      <c r="A2529" s="21"/>
      <c r="B2529" s="21"/>
      <c r="D2529" s="25"/>
      <c r="E2529" s="27"/>
      <c r="F2529" s="25"/>
      <c r="G2529" s="27"/>
    </row>
    <row r="2530">
      <c r="A2530" s="21"/>
      <c r="B2530" s="21"/>
      <c r="D2530" s="25"/>
      <c r="E2530" s="27"/>
      <c r="F2530" s="25"/>
      <c r="G2530" s="27"/>
    </row>
    <row r="2531">
      <c r="A2531" s="21"/>
      <c r="B2531" s="21"/>
      <c r="D2531" s="25"/>
      <c r="E2531" s="27"/>
      <c r="F2531" s="25"/>
      <c r="G2531" s="27"/>
    </row>
    <row r="2532">
      <c r="A2532" s="21"/>
      <c r="B2532" s="21"/>
      <c r="D2532" s="25"/>
      <c r="E2532" s="27"/>
      <c r="F2532" s="25"/>
      <c r="G2532" s="27"/>
    </row>
    <row r="2533">
      <c r="A2533" s="21"/>
      <c r="B2533" s="21"/>
      <c r="D2533" s="25"/>
      <c r="E2533" s="27"/>
      <c r="F2533" s="25"/>
      <c r="G2533" s="27"/>
    </row>
    <row r="2534">
      <c r="A2534" s="21"/>
      <c r="B2534" s="21"/>
      <c r="D2534" s="25"/>
      <c r="E2534" s="27"/>
      <c r="F2534" s="25"/>
      <c r="G2534" s="27"/>
    </row>
    <row r="2535">
      <c r="A2535" s="21"/>
      <c r="B2535" s="21"/>
      <c r="D2535" s="25"/>
      <c r="E2535" s="27"/>
      <c r="F2535" s="25"/>
      <c r="G2535" s="27"/>
    </row>
    <row r="2536">
      <c r="A2536" s="21"/>
      <c r="B2536" s="21"/>
      <c r="D2536" s="25"/>
      <c r="E2536" s="27"/>
      <c r="F2536" s="25"/>
      <c r="G2536" s="27"/>
    </row>
    <row r="2537">
      <c r="A2537" s="21"/>
      <c r="B2537" s="21"/>
      <c r="D2537" s="25"/>
      <c r="E2537" s="27"/>
      <c r="F2537" s="25"/>
      <c r="G2537" s="27"/>
    </row>
    <row r="2538">
      <c r="A2538" s="21"/>
      <c r="B2538" s="21"/>
      <c r="D2538" s="25"/>
      <c r="E2538" s="27"/>
      <c r="F2538" s="25"/>
      <c r="G2538" s="27"/>
    </row>
    <row r="2539">
      <c r="A2539" s="21"/>
      <c r="B2539" s="21"/>
      <c r="D2539" s="25"/>
      <c r="E2539" s="27"/>
      <c r="F2539" s="25"/>
      <c r="G2539" s="27"/>
    </row>
    <row r="2540">
      <c r="A2540" s="21"/>
      <c r="B2540" s="21"/>
      <c r="D2540" s="25"/>
      <c r="E2540" s="27"/>
      <c r="F2540" s="25"/>
      <c r="G2540" s="27"/>
    </row>
    <row r="2541">
      <c r="A2541" s="21"/>
      <c r="B2541" s="21"/>
      <c r="D2541" s="25"/>
      <c r="E2541" s="27"/>
      <c r="F2541" s="25"/>
      <c r="G2541" s="27"/>
    </row>
    <row r="2542">
      <c r="A2542" s="21"/>
      <c r="B2542" s="21"/>
      <c r="D2542" s="25"/>
      <c r="E2542" s="27"/>
      <c r="F2542" s="25"/>
      <c r="G2542" s="27"/>
    </row>
    <row r="2543">
      <c r="A2543" s="21"/>
      <c r="B2543" s="21"/>
      <c r="D2543" s="25"/>
      <c r="E2543" s="27"/>
      <c r="F2543" s="25"/>
      <c r="G2543" s="27"/>
    </row>
    <row r="2544">
      <c r="A2544" s="21"/>
      <c r="B2544" s="21"/>
      <c r="D2544" s="25"/>
      <c r="E2544" s="27"/>
      <c r="F2544" s="25"/>
      <c r="G2544" s="27"/>
    </row>
    <row r="2545">
      <c r="A2545" s="21"/>
      <c r="B2545" s="21"/>
      <c r="D2545" s="25"/>
      <c r="E2545" s="27"/>
      <c r="F2545" s="25"/>
      <c r="G2545" s="27"/>
    </row>
    <row r="2546">
      <c r="A2546" s="21"/>
      <c r="B2546" s="21"/>
      <c r="D2546" s="25"/>
      <c r="E2546" s="27"/>
      <c r="F2546" s="25"/>
      <c r="G2546" s="27"/>
    </row>
    <row r="2547">
      <c r="A2547" s="21"/>
      <c r="B2547" s="21"/>
      <c r="D2547" s="25"/>
      <c r="E2547" s="27"/>
      <c r="F2547" s="25"/>
      <c r="G2547" s="27"/>
    </row>
    <row r="2548">
      <c r="A2548" s="21"/>
      <c r="B2548" s="21"/>
      <c r="D2548" s="25"/>
      <c r="E2548" s="27"/>
      <c r="F2548" s="25"/>
      <c r="G2548" s="27"/>
    </row>
    <row r="2549">
      <c r="A2549" s="21"/>
      <c r="B2549" s="21"/>
      <c r="D2549" s="25"/>
      <c r="E2549" s="27"/>
      <c r="F2549" s="25"/>
      <c r="G2549" s="27"/>
    </row>
    <row r="2550">
      <c r="A2550" s="21"/>
      <c r="B2550" s="21"/>
      <c r="D2550" s="25"/>
      <c r="E2550" s="27"/>
      <c r="F2550" s="25"/>
      <c r="G2550" s="27"/>
    </row>
    <row r="2551">
      <c r="A2551" s="21"/>
      <c r="B2551" s="21"/>
      <c r="D2551" s="25"/>
      <c r="E2551" s="27"/>
      <c r="F2551" s="25"/>
      <c r="G2551" s="27"/>
    </row>
    <row r="2552">
      <c r="A2552" s="21"/>
      <c r="B2552" s="21"/>
      <c r="D2552" s="25"/>
      <c r="E2552" s="27"/>
      <c r="F2552" s="25"/>
      <c r="G2552" s="27"/>
    </row>
    <row r="2553">
      <c r="A2553" s="21"/>
      <c r="B2553" s="21"/>
      <c r="D2553" s="25"/>
      <c r="E2553" s="27"/>
      <c r="F2553" s="25"/>
      <c r="G2553" s="27"/>
    </row>
    <row r="2554">
      <c r="A2554" s="21"/>
      <c r="B2554" s="21"/>
      <c r="D2554" s="25"/>
      <c r="E2554" s="27"/>
      <c r="F2554" s="25"/>
      <c r="G2554" s="27"/>
    </row>
    <row r="2555">
      <c r="A2555" s="21"/>
      <c r="B2555" s="21"/>
      <c r="D2555" s="25"/>
      <c r="E2555" s="27"/>
      <c r="F2555" s="25"/>
      <c r="G2555" s="27"/>
    </row>
    <row r="2556">
      <c r="A2556" s="21"/>
      <c r="B2556" s="21"/>
      <c r="D2556" s="25"/>
      <c r="E2556" s="27"/>
      <c r="F2556" s="25"/>
      <c r="G2556" s="27"/>
    </row>
    <row r="2557">
      <c r="A2557" s="21"/>
      <c r="B2557" s="21"/>
      <c r="D2557" s="25"/>
      <c r="E2557" s="27"/>
      <c r="F2557" s="25"/>
      <c r="G2557" s="27"/>
    </row>
    <row r="2558">
      <c r="A2558" s="21"/>
      <c r="B2558" s="21"/>
      <c r="D2558" s="25"/>
      <c r="E2558" s="27"/>
      <c r="F2558" s="25"/>
      <c r="G2558" s="27"/>
    </row>
    <row r="2559">
      <c r="A2559" s="21"/>
      <c r="B2559" s="21"/>
      <c r="D2559" s="25"/>
      <c r="E2559" s="27"/>
      <c r="F2559" s="25"/>
      <c r="G2559" s="27"/>
    </row>
    <row r="2560">
      <c r="A2560" s="21"/>
      <c r="B2560" s="21"/>
      <c r="D2560" s="25"/>
      <c r="E2560" s="27"/>
      <c r="F2560" s="25"/>
      <c r="G2560" s="27"/>
    </row>
    <row r="2561">
      <c r="A2561" s="21"/>
      <c r="B2561" s="21"/>
      <c r="D2561" s="25"/>
      <c r="E2561" s="27"/>
      <c r="F2561" s="25"/>
      <c r="G2561" s="27"/>
    </row>
    <row r="2562">
      <c r="A2562" s="21"/>
      <c r="B2562" s="21"/>
      <c r="D2562" s="25"/>
      <c r="E2562" s="27"/>
      <c r="F2562" s="25"/>
      <c r="G2562" s="27"/>
    </row>
    <row r="2563">
      <c r="A2563" s="21"/>
      <c r="B2563" s="21"/>
      <c r="D2563" s="25"/>
      <c r="E2563" s="27"/>
      <c r="F2563" s="25"/>
      <c r="G2563" s="27"/>
    </row>
    <row r="2564">
      <c r="A2564" s="21"/>
      <c r="B2564" s="21"/>
      <c r="D2564" s="25"/>
      <c r="E2564" s="27"/>
      <c r="F2564" s="25"/>
      <c r="G2564" s="27"/>
    </row>
    <row r="2565">
      <c r="A2565" s="21"/>
      <c r="B2565" s="21"/>
      <c r="D2565" s="25"/>
      <c r="E2565" s="27"/>
      <c r="F2565" s="25"/>
      <c r="G2565" s="27"/>
    </row>
    <row r="2566">
      <c r="A2566" s="21"/>
      <c r="B2566" s="21"/>
      <c r="D2566" s="25"/>
      <c r="E2566" s="27"/>
      <c r="F2566" s="25"/>
      <c r="G2566" s="27"/>
    </row>
    <row r="2567">
      <c r="A2567" s="21"/>
      <c r="B2567" s="21"/>
      <c r="D2567" s="25"/>
      <c r="E2567" s="27"/>
      <c r="F2567" s="25"/>
      <c r="G2567" s="27"/>
    </row>
    <row r="2568">
      <c r="A2568" s="21"/>
      <c r="B2568" s="21"/>
      <c r="D2568" s="25"/>
      <c r="E2568" s="27"/>
      <c r="F2568" s="25"/>
      <c r="G2568" s="27"/>
    </row>
    <row r="2569">
      <c r="A2569" s="21"/>
      <c r="B2569" s="21"/>
      <c r="D2569" s="25"/>
      <c r="E2569" s="27"/>
      <c r="F2569" s="25"/>
      <c r="G2569" s="27"/>
    </row>
    <row r="2570">
      <c r="A2570" s="21"/>
      <c r="B2570" s="21"/>
      <c r="D2570" s="25"/>
      <c r="E2570" s="27"/>
      <c r="F2570" s="25"/>
      <c r="G2570" s="27"/>
    </row>
    <row r="2571">
      <c r="A2571" s="21"/>
      <c r="B2571" s="21"/>
      <c r="D2571" s="25"/>
      <c r="E2571" s="27"/>
      <c r="F2571" s="25"/>
      <c r="G2571" s="27"/>
    </row>
    <row r="2572">
      <c r="A2572" s="21"/>
      <c r="B2572" s="21"/>
      <c r="D2572" s="25"/>
      <c r="E2572" s="27"/>
      <c r="F2572" s="25"/>
      <c r="G2572" s="27"/>
    </row>
    <row r="2573">
      <c r="A2573" s="21"/>
      <c r="B2573" s="21"/>
      <c r="D2573" s="25"/>
      <c r="E2573" s="27"/>
      <c r="F2573" s="25"/>
      <c r="G2573" s="27"/>
    </row>
    <row r="2574">
      <c r="A2574" s="21"/>
      <c r="B2574" s="21"/>
      <c r="D2574" s="25"/>
      <c r="E2574" s="27"/>
      <c r="F2574" s="25"/>
      <c r="G2574" s="27"/>
    </row>
    <row r="2575">
      <c r="A2575" s="21"/>
      <c r="B2575" s="21"/>
      <c r="D2575" s="25"/>
      <c r="E2575" s="27"/>
      <c r="F2575" s="25"/>
      <c r="G2575" s="27"/>
    </row>
    <row r="2576">
      <c r="A2576" s="21"/>
      <c r="B2576" s="21"/>
      <c r="D2576" s="25"/>
      <c r="E2576" s="27"/>
      <c r="F2576" s="25"/>
      <c r="G2576" s="27"/>
    </row>
    <row r="2577">
      <c r="A2577" s="21"/>
      <c r="B2577" s="21"/>
      <c r="D2577" s="25"/>
      <c r="E2577" s="27"/>
      <c r="F2577" s="25"/>
      <c r="G2577" s="27"/>
    </row>
    <row r="2578">
      <c r="A2578" s="21"/>
      <c r="B2578" s="21"/>
      <c r="D2578" s="25"/>
      <c r="E2578" s="27"/>
      <c r="F2578" s="25"/>
      <c r="G2578" s="27"/>
    </row>
    <row r="2579">
      <c r="A2579" s="21"/>
      <c r="B2579" s="21"/>
      <c r="D2579" s="25"/>
      <c r="E2579" s="27"/>
      <c r="F2579" s="25"/>
      <c r="G2579" s="27"/>
    </row>
    <row r="2580">
      <c r="A2580" s="21"/>
      <c r="B2580" s="21"/>
      <c r="D2580" s="25"/>
      <c r="E2580" s="27"/>
      <c r="F2580" s="25"/>
      <c r="G2580" s="27"/>
    </row>
    <row r="2581">
      <c r="A2581" s="21"/>
      <c r="B2581" s="21"/>
      <c r="D2581" s="25"/>
      <c r="E2581" s="27"/>
      <c r="F2581" s="25"/>
      <c r="G2581" s="27"/>
    </row>
    <row r="2582">
      <c r="A2582" s="21"/>
      <c r="B2582" s="21"/>
      <c r="D2582" s="25"/>
      <c r="E2582" s="27"/>
      <c r="F2582" s="25"/>
      <c r="G2582" s="27"/>
    </row>
    <row r="2583">
      <c r="A2583" s="21"/>
      <c r="B2583" s="21"/>
      <c r="D2583" s="25"/>
      <c r="E2583" s="27"/>
      <c r="F2583" s="25"/>
      <c r="G2583" s="27"/>
    </row>
    <row r="2584">
      <c r="A2584" s="21"/>
      <c r="B2584" s="21"/>
      <c r="D2584" s="25"/>
      <c r="E2584" s="27"/>
      <c r="F2584" s="25"/>
      <c r="G2584" s="27"/>
    </row>
    <row r="2585">
      <c r="A2585" s="21"/>
      <c r="B2585" s="21"/>
      <c r="D2585" s="25"/>
      <c r="E2585" s="27"/>
      <c r="F2585" s="25"/>
      <c r="G2585" s="27"/>
    </row>
    <row r="2586">
      <c r="A2586" s="21"/>
      <c r="B2586" s="21"/>
      <c r="D2586" s="25"/>
      <c r="E2586" s="27"/>
      <c r="F2586" s="25"/>
      <c r="G2586" s="27"/>
    </row>
    <row r="2587">
      <c r="A2587" s="21"/>
      <c r="B2587" s="21"/>
      <c r="D2587" s="25"/>
      <c r="E2587" s="27"/>
      <c r="F2587" s="25"/>
      <c r="G2587" s="27"/>
    </row>
    <row r="2588">
      <c r="A2588" s="21"/>
      <c r="B2588" s="21"/>
      <c r="D2588" s="25"/>
      <c r="E2588" s="27"/>
      <c r="F2588" s="25"/>
      <c r="G2588" s="27"/>
    </row>
    <row r="2589">
      <c r="A2589" s="21"/>
      <c r="B2589" s="21"/>
      <c r="D2589" s="25"/>
      <c r="E2589" s="27"/>
      <c r="F2589" s="25"/>
      <c r="G2589" s="27"/>
    </row>
    <row r="2590">
      <c r="A2590" s="21"/>
      <c r="B2590" s="21"/>
      <c r="D2590" s="25"/>
      <c r="E2590" s="27"/>
      <c r="F2590" s="25"/>
      <c r="G2590" s="27"/>
    </row>
    <row r="2591">
      <c r="A2591" s="21"/>
      <c r="B2591" s="21"/>
      <c r="D2591" s="25"/>
      <c r="E2591" s="27"/>
      <c r="F2591" s="25"/>
      <c r="G2591" s="27"/>
    </row>
    <row r="2592">
      <c r="A2592" s="21"/>
      <c r="B2592" s="21"/>
      <c r="D2592" s="25"/>
      <c r="E2592" s="27"/>
      <c r="F2592" s="25"/>
      <c r="G2592" s="27"/>
    </row>
    <row r="2593">
      <c r="A2593" s="21"/>
      <c r="B2593" s="21"/>
      <c r="D2593" s="25"/>
      <c r="E2593" s="27"/>
      <c r="F2593" s="25"/>
      <c r="G2593" s="27"/>
    </row>
    <row r="2594">
      <c r="A2594" s="21"/>
      <c r="B2594" s="21"/>
      <c r="D2594" s="25"/>
      <c r="E2594" s="27"/>
      <c r="F2594" s="25"/>
      <c r="G2594" s="27"/>
    </row>
    <row r="2595">
      <c r="A2595" s="21"/>
      <c r="B2595" s="21"/>
      <c r="D2595" s="25"/>
      <c r="E2595" s="27"/>
      <c r="F2595" s="25"/>
      <c r="G2595" s="27"/>
    </row>
    <row r="2596">
      <c r="A2596" s="21"/>
      <c r="B2596" s="21"/>
      <c r="D2596" s="25"/>
      <c r="E2596" s="27"/>
      <c r="F2596" s="25"/>
      <c r="G2596" s="27"/>
    </row>
    <row r="2597">
      <c r="A2597" s="21"/>
      <c r="B2597" s="21"/>
      <c r="D2597" s="25"/>
      <c r="E2597" s="27"/>
      <c r="F2597" s="25"/>
      <c r="G2597" s="27"/>
    </row>
    <row r="2598">
      <c r="A2598" s="21"/>
      <c r="B2598" s="21"/>
      <c r="D2598" s="25"/>
      <c r="E2598" s="27"/>
      <c r="F2598" s="25"/>
      <c r="G2598" s="27"/>
    </row>
    <row r="2599">
      <c r="A2599" s="21"/>
      <c r="B2599" s="21"/>
      <c r="D2599" s="25"/>
      <c r="E2599" s="27"/>
      <c r="F2599" s="25"/>
      <c r="G2599" s="27"/>
    </row>
    <row r="2600">
      <c r="A2600" s="21"/>
      <c r="B2600" s="21"/>
      <c r="D2600" s="25"/>
      <c r="E2600" s="27"/>
      <c r="F2600" s="25"/>
      <c r="G2600" s="27"/>
    </row>
    <row r="2601">
      <c r="A2601" s="21"/>
      <c r="B2601" s="21"/>
      <c r="D2601" s="25"/>
      <c r="E2601" s="27"/>
      <c r="F2601" s="25"/>
      <c r="G2601" s="27"/>
    </row>
    <row r="2602">
      <c r="A2602" s="21"/>
      <c r="B2602" s="21"/>
      <c r="D2602" s="25"/>
      <c r="E2602" s="27"/>
      <c r="F2602" s="25"/>
      <c r="G2602" s="27"/>
    </row>
    <row r="2603">
      <c r="A2603" s="21"/>
      <c r="B2603" s="21"/>
      <c r="D2603" s="25"/>
      <c r="E2603" s="27"/>
      <c r="F2603" s="25"/>
      <c r="G2603" s="27"/>
    </row>
    <row r="2604">
      <c r="A2604" s="21"/>
      <c r="B2604" s="21"/>
      <c r="D2604" s="25"/>
      <c r="E2604" s="27"/>
      <c r="F2604" s="25"/>
      <c r="G2604" s="27"/>
    </row>
    <row r="2605">
      <c r="A2605" s="21"/>
      <c r="B2605" s="21"/>
      <c r="D2605" s="25"/>
      <c r="E2605" s="27"/>
      <c r="F2605" s="25"/>
      <c r="G2605" s="27"/>
    </row>
    <row r="2606">
      <c r="A2606" s="21"/>
      <c r="B2606" s="21"/>
      <c r="D2606" s="25"/>
      <c r="E2606" s="27"/>
      <c r="F2606" s="25"/>
      <c r="G2606" s="27"/>
    </row>
    <row r="2607">
      <c r="A2607" s="21"/>
      <c r="B2607" s="21"/>
      <c r="D2607" s="25"/>
      <c r="E2607" s="27"/>
      <c r="F2607" s="25"/>
      <c r="G2607" s="27"/>
    </row>
    <row r="2608">
      <c r="A2608" s="21"/>
      <c r="B2608" s="21"/>
      <c r="D2608" s="25"/>
      <c r="E2608" s="27"/>
      <c r="F2608" s="25"/>
      <c r="G2608" s="27"/>
    </row>
    <row r="2609">
      <c r="A2609" s="21"/>
      <c r="B2609" s="21"/>
      <c r="D2609" s="25"/>
      <c r="E2609" s="27"/>
      <c r="F2609" s="25"/>
      <c r="G2609" s="27"/>
    </row>
    <row r="2610">
      <c r="A2610" s="21"/>
      <c r="B2610" s="21"/>
      <c r="D2610" s="25"/>
      <c r="E2610" s="27"/>
      <c r="F2610" s="25"/>
      <c r="G2610" s="27"/>
    </row>
    <row r="2611">
      <c r="A2611" s="21"/>
      <c r="B2611" s="21"/>
      <c r="D2611" s="25"/>
      <c r="E2611" s="27"/>
      <c r="F2611" s="25"/>
      <c r="G2611" s="27"/>
    </row>
    <row r="2612">
      <c r="A2612" s="21"/>
      <c r="B2612" s="21"/>
      <c r="D2612" s="25"/>
      <c r="E2612" s="27"/>
      <c r="F2612" s="25"/>
      <c r="G2612" s="27"/>
    </row>
    <row r="2613">
      <c r="A2613" s="21"/>
      <c r="B2613" s="21"/>
      <c r="D2613" s="25"/>
      <c r="E2613" s="27"/>
      <c r="F2613" s="25"/>
      <c r="G2613" s="27"/>
    </row>
    <row r="2614">
      <c r="A2614" s="21"/>
      <c r="B2614" s="21"/>
      <c r="D2614" s="25"/>
      <c r="E2614" s="27"/>
      <c r="F2614" s="25"/>
      <c r="G2614" s="27"/>
    </row>
    <row r="2615">
      <c r="A2615" s="21"/>
      <c r="B2615" s="21"/>
      <c r="D2615" s="25"/>
      <c r="E2615" s="27"/>
      <c r="F2615" s="25"/>
      <c r="G2615" s="27"/>
    </row>
    <row r="2616">
      <c r="A2616" s="21"/>
      <c r="B2616" s="21"/>
      <c r="D2616" s="25"/>
      <c r="E2616" s="27"/>
      <c r="F2616" s="25"/>
      <c r="G2616" s="27"/>
    </row>
    <row r="2617">
      <c r="A2617" s="21"/>
      <c r="B2617" s="21"/>
      <c r="D2617" s="25"/>
      <c r="E2617" s="27"/>
      <c r="F2617" s="25"/>
      <c r="G2617" s="27"/>
    </row>
    <row r="2618">
      <c r="A2618" s="21"/>
      <c r="B2618" s="21"/>
      <c r="D2618" s="25"/>
      <c r="E2618" s="27"/>
      <c r="F2618" s="25"/>
      <c r="G2618" s="27"/>
    </row>
    <row r="2619">
      <c r="A2619" s="21"/>
      <c r="B2619" s="21"/>
      <c r="D2619" s="25"/>
      <c r="E2619" s="27"/>
      <c r="F2619" s="25"/>
      <c r="G2619" s="27"/>
    </row>
    <row r="2620">
      <c r="A2620" s="21"/>
      <c r="B2620" s="21"/>
      <c r="D2620" s="25"/>
      <c r="E2620" s="27"/>
      <c r="F2620" s="25"/>
      <c r="G2620" s="27"/>
    </row>
    <row r="2621">
      <c r="A2621" s="21"/>
      <c r="B2621" s="21"/>
      <c r="D2621" s="25"/>
      <c r="E2621" s="27"/>
      <c r="F2621" s="25"/>
      <c r="G2621" s="27"/>
    </row>
    <row r="2622">
      <c r="A2622" s="21"/>
      <c r="B2622" s="21"/>
      <c r="D2622" s="25"/>
      <c r="E2622" s="27"/>
      <c r="F2622" s="25"/>
      <c r="G2622" s="27"/>
    </row>
    <row r="2623">
      <c r="A2623" s="21"/>
      <c r="B2623" s="21"/>
      <c r="D2623" s="25"/>
      <c r="E2623" s="27"/>
      <c r="F2623" s="25"/>
      <c r="G2623" s="27"/>
    </row>
    <row r="2624">
      <c r="A2624" s="21"/>
      <c r="B2624" s="21"/>
      <c r="D2624" s="25"/>
      <c r="E2624" s="27"/>
      <c r="F2624" s="25"/>
      <c r="G2624" s="27"/>
    </row>
    <row r="2625">
      <c r="A2625" s="21"/>
      <c r="B2625" s="21"/>
      <c r="D2625" s="25"/>
      <c r="E2625" s="27"/>
      <c r="F2625" s="25"/>
      <c r="G2625" s="27"/>
    </row>
    <row r="2626">
      <c r="A2626" s="21"/>
      <c r="B2626" s="21"/>
      <c r="D2626" s="25"/>
      <c r="E2626" s="27"/>
      <c r="F2626" s="25"/>
      <c r="G2626" s="27"/>
    </row>
    <row r="2627">
      <c r="A2627" s="21"/>
      <c r="B2627" s="21"/>
      <c r="D2627" s="25"/>
      <c r="E2627" s="27"/>
      <c r="F2627" s="25"/>
      <c r="G2627" s="27"/>
    </row>
    <row r="2628">
      <c r="A2628" s="21"/>
      <c r="B2628" s="21"/>
      <c r="D2628" s="25"/>
      <c r="E2628" s="27"/>
      <c r="F2628" s="25"/>
      <c r="G2628" s="27"/>
    </row>
    <row r="2629">
      <c r="A2629" s="21"/>
      <c r="B2629" s="21"/>
      <c r="D2629" s="25"/>
      <c r="E2629" s="27"/>
      <c r="F2629" s="25"/>
      <c r="G2629" s="27"/>
    </row>
    <row r="2630">
      <c r="A2630" s="21"/>
      <c r="B2630" s="21"/>
      <c r="D2630" s="25"/>
      <c r="E2630" s="27"/>
      <c r="F2630" s="25"/>
      <c r="G2630" s="27"/>
    </row>
    <row r="2631">
      <c r="A2631" s="21"/>
      <c r="B2631" s="21"/>
      <c r="D2631" s="25"/>
      <c r="E2631" s="27"/>
      <c r="F2631" s="25"/>
      <c r="G2631" s="27"/>
    </row>
    <row r="2632">
      <c r="A2632" s="21"/>
      <c r="B2632" s="21"/>
      <c r="D2632" s="25"/>
      <c r="E2632" s="27"/>
      <c r="F2632" s="25"/>
      <c r="G2632" s="27"/>
    </row>
    <row r="2633">
      <c r="A2633" s="21"/>
      <c r="B2633" s="21"/>
      <c r="D2633" s="25"/>
      <c r="E2633" s="27"/>
      <c r="F2633" s="25"/>
      <c r="G2633" s="27"/>
    </row>
    <row r="2634">
      <c r="A2634" s="21"/>
      <c r="B2634" s="21"/>
      <c r="D2634" s="25"/>
      <c r="E2634" s="27"/>
      <c r="F2634" s="25"/>
      <c r="G2634" s="27"/>
    </row>
    <row r="2635">
      <c r="A2635" s="21"/>
      <c r="B2635" s="21"/>
      <c r="D2635" s="25"/>
      <c r="E2635" s="27"/>
      <c r="F2635" s="25"/>
      <c r="G2635" s="27"/>
    </row>
    <row r="2636">
      <c r="A2636" s="21"/>
      <c r="B2636" s="21"/>
      <c r="D2636" s="25"/>
      <c r="E2636" s="27"/>
      <c r="F2636" s="25"/>
      <c r="G2636" s="27"/>
    </row>
    <row r="2637">
      <c r="A2637" s="21"/>
      <c r="B2637" s="21"/>
      <c r="D2637" s="25"/>
      <c r="E2637" s="27"/>
      <c r="F2637" s="25"/>
      <c r="G2637" s="27"/>
    </row>
    <row r="2638">
      <c r="A2638" s="21"/>
      <c r="B2638" s="21"/>
      <c r="D2638" s="25"/>
      <c r="E2638" s="27"/>
      <c r="F2638" s="25"/>
      <c r="G2638" s="27"/>
    </row>
    <row r="2639">
      <c r="A2639" s="21"/>
      <c r="B2639" s="21"/>
      <c r="D2639" s="25"/>
      <c r="E2639" s="27"/>
      <c r="F2639" s="25"/>
      <c r="G2639" s="27"/>
    </row>
    <row r="2640">
      <c r="A2640" s="21"/>
      <c r="B2640" s="21"/>
      <c r="D2640" s="25"/>
      <c r="E2640" s="27"/>
      <c r="F2640" s="25"/>
      <c r="G2640" s="27"/>
    </row>
    <row r="2641">
      <c r="A2641" s="21"/>
      <c r="B2641" s="21"/>
      <c r="D2641" s="25"/>
      <c r="E2641" s="27"/>
      <c r="F2641" s="25"/>
      <c r="G2641" s="27"/>
    </row>
    <row r="2642">
      <c r="A2642" s="21"/>
      <c r="B2642" s="21"/>
      <c r="D2642" s="25"/>
      <c r="E2642" s="27"/>
      <c r="F2642" s="25"/>
      <c r="G2642" s="27"/>
    </row>
    <row r="2643">
      <c r="A2643" s="21"/>
      <c r="B2643" s="21"/>
      <c r="D2643" s="25"/>
      <c r="E2643" s="27"/>
      <c r="F2643" s="25"/>
      <c r="G2643" s="27"/>
    </row>
    <row r="2644">
      <c r="A2644" s="21"/>
      <c r="B2644" s="21"/>
      <c r="D2644" s="25"/>
      <c r="E2644" s="27"/>
      <c r="F2644" s="25"/>
      <c r="G2644" s="27"/>
    </row>
    <row r="2645">
      <c r="A2645" s="21"/>
      <c r="B2645" s="21"/>
      <c r="D2645" s="25"/>
      <c r="E2645" s="27"/>
      <c r="F2645" s="25"/>
      <c r="G2645" s="27"/>
    </row>
    <row r="2646">
      <c r="A2646" s="21"/>
      <c r="B2646" s="21"/>
      <c r="D2646" s="25"/>
      <c r="E2646" s="27"/>
      <c r="F2646" s="25"/>
      <c r="G2646" s="27"/>
    </row>
    <row r="2647">
      <c r="A2647" s="21"/>
      <c r="B2647" s="21"/>
      <c r="D2647" s="25"/>
      <c r="E2647" s="27"/>
      <c r="F2647" s="25"/>
      <c r="G2647" s="27"/>
    </row>
    <row r="2648">
      <c r="A2648" s="21"/>
      <c r="B2648" s="21"/>
      <c r="D2648" s="25"/>
      <c r="E2648" s="27"/>
      <c r="F2648" s="25"/>
      <c r="G2648" s="27"/>
    </row>
    <row r="2649">
      <c r="A2649" s="21"/>
      <c r="B2649" s="21"/>
      <c r="D2649" s="25"/>
      <c r="E2649" s="27"/>
      <c r="F2649" s="25"/>
      <c r="G2649" s="27"/>
    </row>
    <row r="2650">
      <c r="A2650" s="21"/>
      <c r="B2650" s="21"/>
      <c r="D2650" s="25"/>
      <c r="E2650" s="27"/>
      <c r="F2650" s="25"/>
      <c r="G2650" s="27"/>
    </row>
    <row r="2651">
      <c r="A2651" s="21"/>
      <c r="B2651" s="21"/>
      <c r="D2651" s="25"/>
      <c r="E2651" s="27"/>
      <c r="F2651" s="25"/>
      <c r="G2651" s="27"/>
    </row>
    <row r="2652">
      <c r="A2652" s="21"/>
      <c r="B2652" s="21"/>
      <c r="D2652" s="25"/>
      <c r="E2652" s="27"/>
      <c r="F2652" s="25"/>
      <c r="G2652" s="27"/>
    </row>
    <row r="2653">
      <c r="A2653" s="21"/>
      <c r="B2653" s="21"/>
      <c r="D2653" s="25"/>
      <c r="E2653" s="27"/>
      <c r="F2653" s="25"/>
      <c r="G2653" s="27"/>
    </row>
    <row r="2654">
      <c r="A2654" s="21"/>
      <c r="B2654" s="21"/>
      <c r="D2654" s="25"/>
      <c r="E2654" s="27"/>
      <c r="F2654" s="25"/>
      <c r="G2654" s="27"/>
    </row>
    <row r="2655">
      <c r="A2655" s="21"/>
      <c r="B2655" s="21"/>
      <c r="D2655" s="25"/>
      <c r="E2655" s="27"/>
      <c r="F2655" s="25"/>
      <c r="G2655" s="27"/>
    </row>
    <row r="2656">
      <c r="A2656" s="21"/>
      <c r="B2656" s="21"/>
      <c r="D2656" s="25"/>
      <c r="E2656" s="27"/>
      <c r="F2656" s="25"/>
      <c r="G2656" s="27"/>
    </row>
    <row r="2657">
      <c r="A2657" s="21"/>
      <c r="B2657" s="21"/>
      <c r="D2657" s="25"/>
      <c r="E2657" s="27"/>
      <c r="F2657" s="25"/>
      <c r="G2657" s="27"/>
    </row>
    <row r="2658">
      <c r="A2658" s="21"/>
      <c r="B2658" s="21"/>
      <c r="D2658" s="25"/>
      <c r="E2658" s="27"/>
      <c r="F2658" s="25"/>
      <c r="G2658" s="27"/>
    </row>
    <row r="2659">
      <c r="A2659" s="21"/>
      <c r="B2659" s="21"/>
      <c r="D2659" s="25"/>
      <c r="E2659" s="27"/>
      <c r="F2659" s="25"/>
      <c r="G2659" s="27"/>
    </row>
    <row r="2660">
      <c r="A2660" s="21"/>
      <c r="B2660" s="21"/>
      <c r="D2660" s="25"/>
      <c r="E2660" s="27"/>
      <c r="F2660" s="25"/>
      <c r="G2660" s="27"/>
    </row>
    <row r="2661">
      <c r="A2661" s="21"/>
      <c r="B2661" s="21"/>
      <c r="D2661" s="25"/>
      <c r="E2661" s="27"/>
      <c r="F2661" s="25"/>
      <c r="G2661" s="27"/>
    </row>
    <row r="2662">
      <c r="A2662" s="21"/>
      <c r="B2662" s="21"/>
      <c r="D2662" s="25"/>
      <c r="E2662" s="27"/>
      <c r="F2662" s="25"/>
      <c r="G2662" s="27"/>
    </row>
    <row r="2663">
      <c r="A2663" s="21"/>
      <c r="B2663" s="21"/>
      <c r="D2663" s="25"/>
      <c r="E2663" s="27"/>
      <c r="F2663" s="25"/>
      <c r="G2663" s="27"/>
    </row>
    <row r="2664">
      <c r="A2664" s="21"/>
      <c r="B2664" s="21"/>
      <c r="D2664" s="25"/>
      <c r="E2664" s="27"/>
      <c r="F2664" s="25"/>
      <c r="G2664" s="27"/>
    </row>
    <row r="2665">
      <c r="A2665" s="21"/>
      <c r="B2665" s="21"/>
      <c r="D2665" s="25"/>
      <c r="E2665" s="27"/>
      <c r="F2665" s="25"/>
      <c r="G2665" s="27"/>
    </row>
    <row r="2666">
      <c r="A2666" s="21"/>
      <c r="B2666" s="21"/>
      <c r="D2666" s="25"/>
      <c r="E2666" s="27"/>
      <c r="F2666" s="25"/>
      <c r="G2666" s="27"/>
    </row>
    <row r="2667">
      <c r="A2667" s="21"/>
      <c r="B2667" s="21"/>
      <c r="D2667" s="25"/>
      <c r="E2667" s="27"/>
      <c r="F2667" s="25"/>
      <c r="G2667" s="27"/>
    </row>
    <row r="2668">
      <c r="A2668" s="21"/>
      <c r="B2668" s="21"/>
      <c r="D2668" s="25"/>
      <c r="E2668" s="27"/>
      <c r="F2668" s="25"/>
      <c r="G2668" s="27"/>
    </row>
    <row r="2669">
      <c r="A2669" s="21"/>
      <c r="B2669" s="21"/>
      <c r="D2669" s="25"/>
      <c r="E2669" s="27"/>
      <c r="F2669" s="25"/>
      <c r="G2669" s="27"/>
    </row>
    <row r="2670">
      <c r="A2670" s="21"/>
      <c r="B2670" s="21"/>
      <c r="D2670" s="25"/>
      <c r="E2670" s="27"/>
      <c r="F2670" s="25"/>
      <c r="G2670" s="27"/>
    </row>
    <row r="2671">
      <c r="A2671" s="21"/>
      <c r="B2671" s="21"/>
      <c r="D2671" s="25"/>
      <c r="E2671" s="27"/>
      <c r="F2671" s="25"/>
      <c r="G2671" s="27"/>
    </row>
    <row r="2672">
      <c r="A2672" s="21"/>
      <c r="B2672" s="21"/>
      <c r="D2672" s="25"/>
      <c r="E2672" s="27"/>
      <c r="F2672" s="25"/>
      <c r="G2672" s="27"/>
    </row>
    <row r="2673">
      <c r="A2673" s="21"/>
      <c r="B2673" s="21"/>
      <c r="D2673" s="25"/>
      <c r="E2673" s="27"/>
      <c r="F2673" s="25"/>
      <c r="G2673" s="27"/>
    </row>
    <row r="2674">
      <c r="A2674" s="21"/>
      <c r="B2674" s="21"/>
      <c r="D2674" s="25"/>
      <c r="E2674" s="27"/>
      <c r="F2674" s="25"/>
      <c r="G2674" s="27"/>
    </row>
    <row r="2675">
      <c r="A2675" s="21"/>
      <c r="B2675" s="21"/>
      <c r="D2675" s="25"/>
      <c r="E2675" s="27"/>
      <c r="F2675" s="25"/>
      <c r="G2675" s="27"/>
    </row>
    <row r="2676">
      <c r="A2676" s="21"/>
      <c r="B2676" s="21"/>
      <c r="D2676" s="25"/>
      <c r="E2676" s="27"/>
      <c r="F2676" s="25"/>
      <c r="G2676" s="27"/>
    </row>
    <row r="2677">
      <c r="A2677" s="21"/>
      <c r="B2677" s="21"/>
      <c r="D2677" s="25"/>
      <c r="E2677" s="27"/>
      <c r="F2677" s="25"/>
      <c r="G2677" s="27"/>
    </row>
    <row r="2678">
      <c r="A2678" s="21"/>
      <c r="B2678" s="21"/>
      <c r="D2678" s="25"/>
      <c r="E2678" s="27"/>
      <c r="F2678" s="25"/>
      <c r="G2678" s="27"/>
    </row>
    <row r="2679">
      <c r="A2679" s="21"/>
      <c r="B2679" s="21"/>
      <c r="D2679" s="25"/>
      <c r="E2679" s="27"/>
      <c r="F2679" s="25"/>
      <c r="G2679" s="27"/>
    </row>
    <row r="2680">
      <c r="A2680" s="21"/>
      <c r="B2680" s="21"/>
      <c r="D2680" s="25"/>
      <c r="E2680" s="27"/>
      <c r="F2680" s="25"/>
      <c r="G2680" s="27"/>
    </row>
    <row r="2681">
      <c r="A2681" s="21"/>
      <c r="B2681" s="21"/>
      <c r="D2681" s="25"/>
      <c r="E2681" s="27"/>
      <c r="F2681" s="25"/>
      <c r="G2681" s="27"/>
    </row>
    <row r="2682">
      <c r="A2682" s="21"/>
      <c r="B2682" s="21"/>
      <c r="D2682" s="25"/>
      <c r="E2682" s="27"/>
      <c r="F2682" s="25"/>
      <c r="G2682" s="27"/>
    </row>
    <row r="2683">
      <c r="A2683" s="21"/>
      <c r="B2683" s="21"/>
      <c r="D2683" s="25"/>
      <c r="E2683" s="27"/>
      <c r="F2683" s="25"/>
      <c r="G2683" s="27"/>
    </row>
    <row r="2684">
      <c r="A2684" s="21"/>
      <c r="B2684" s="21"/>
      <c r="D2684" s="25"/>
      <c r="E2684" s="27"/>
      <c r="F2684" s="25"/>
      <c r="G2684" s="27"/>
    </row>
    <row r="2685">
      <c r="A2685" s="21"/>
      <c r="B2685" s="21"/>
      <c r="D2685" s="25"/>
      <c r="E2685" s="27"/>
      <c r="F2685" s="25"/>
      <c r="G2685" s="27"/>
    </row>
    <row r="2686">
      <c r="A2686" s="21"/>
      <c r="B2686" s="21"/>
      <c r="D2686" s="25"/>
      <c r="E2686" s="27"/>
      <c r="F2686" s="25"/>
      <c r="G2686" s="27"/>
    </row>
    <row r="2687">
      <c r="A2687" s="21"/>
      <c r="B2687" s="21"/>
      <c r="D2687" s="25"/>
      <c r="E2687" s="27"/>
      <c r="F2687" s="25"/>
      <c r="G2687" s="27"/>
    </row>
    <row r="2688">
      <c r="A2688" s="21"/>
      <c r="B2688" s="21"/>
      <c r="D2688" s="25"/>
      <c r="E2688" s="27"/>
      <c r="F2688" s="25"/>
      <c r="G2688" s="27"/>
    </row>
    <row r="2689">
      <c r="A2689" s="21"/>
      <c r="B2689" s="21"/>
      <c r="D2689" s="25"/>
      <c r="E2689" s="27"/>
      <c r="F2689" s="25"/>
      <c r="G2689" s="27"/>
    </row>
    <row r="2690">
      <c r="A2690" s="21"/>
      <c r="B2690" s="21"/>
      <c r="D2690" s="25"/>
      <c r="E2690" s="27"/>
      <c r="F2690" s="25"/>
      <c r="G2690" s="27"/>
    </row>
    <row r="2691">
      <c r="A2691" s="21"/>
      <c r="B2691" s="21"/>
      <c r="D2691" s="25"/>
      <c r="E2691" s="27"/>
      <c r="F2691" s="25"/>
      <c r="G2691" s="27"/>
    </row>
    <row r="2692">
      <c r="A2692" s="21"/>
      <c r="B2692" s="21"/>
      <c r="D2692" s="25"/>
      <c r="E2692" s="27"/>
      <c r="F2692" s="25"/>
      <c r="G2692" s="27"/>
    </row>
    <row r="2693">
      <c r="A2693" s="21"/>
      <c r="B2693" s="21"/>
      <c r="D2693" s="25"/>
      <c r="E2693" s="27"/>
      <c r="F2693" s="25"/>
      <c r="G2693" s="27"/>
    </row>
    <row r="2694">
      <c r="A2694" s="21"/>
      <c r="B2694" s="21"/>
      <c r="D2694" s="25"/>
      <c r="E2694" s="27"/>
      <c r="F2694" s="25"/>
      <c r="G2694" s="27"/>
    </row>
    <row r="2695">
      <c r="A2695" s="21"/>
      <c r="B2695" s="21"/>
      <c r="D2695" s="25"/>
      <c r="E2695" s="27"/>
      <c r="F2695" s="25"/>
      <c r="G2695" s="27"/>
    </row>
    <row r="2696">
      <c r="A2696" s="21"/>
      <c r="B2696" s="21"/>
      <c r="D2696" s="25"/>
      <c r="E2696" s="27"/>
      <c r="F2696" s="25"/>
      <c r="G2696" s="27"/>
    </row>
    <row r="2697">
      <c r="A2697" s="21"/>
      <c r="B2697" s="21"/>
      <c r="D2697" s="25"/>
      <c r="E2697" s="27"/>
      <c r="F2697" s="25"/>
      <c r="G2697" s="27"/>
    </row>
    <row r="2698">
      <c r="A2698" s="21"/>
      <c r="B2698" s="21"/>
      <c r="D2698" s="25"/>
      <c r="E2698" s="27"/>
      <c r="F2698" s="25"/>
      <c r="G2698" s="27"/>
    </row>
    <row r="2699">
      <c r="A2699" s="21"/>
      <c r="B2699" s="21"/>
      <c r="D2699" s="25"/>
      <c r="E2699" s="27"/>
      <c r="F2699" s="25"/>
      <c r="G2699" s="27"/>
    </row>
    <row r="2700">
      <c r="A2700" s="21"/>
      <c r="B2700" s="21"/>
      <c r="D2700" s="25"/>
      <c r="E2700" s="27"/>
      <c r="F2700" s="25"/>
      <c r="G2700" s="27"/>
    </row>
    <row r="2701">
      <c r="A2701" s="21"/>
      <c r="B2701" s="21"/>
      <c r="D2701" s="25"/>
      <c r="E2701" s="27"/>
      <c r="F2701" s="25"/>
      <c r="G2701" s="27"/>
    </row>
    <row r="2702">
      <c r="A2702" s="21"/>
      <c r="B2702" s="21"/>
      <c r="D2702" s="25"/>
      <c r="E2702" s="27"/>
      <c r="F2702" s="25"/>
      <c r="G2702" s="27"/>
    </row>
    <row r="2703">
      <c r="A2703" s="21"/>
      <c r="B2703" s="21"/>
      <c r="D2703" s="25"/>
      <c r="E2703" s="27"/>
      <c r="F2703" s="25"/>
      <c r="G2703" s="27"/>
    </row>
    <row r="2704">
      <c r="A2704" s="21"/>
      <c r="B2704" s="21"/>
      <c r="D2704" s="25"/>
      <c r="E2704" s="27"/>
      <c r="F2704" s="25"/>
      <c r="G2704" s="27"/>
    </row>
    <row r="2705">
      <c r="A2705" s="21"/>
      <c r="B2705" s="21"/>
      <c r="D2705" s="25"/>
      <c r="E2705" s="27"/>
      <c r="F2705" s="25"/>
      <c r="G2705" s="27"/>
    </row>
    <row r="2706">
      <c r="A2706" s="21"/>
      <c r="B2706" s="21"/>
      <c r="D2706" s="25"/>
      <c r="E2706" s="27"/>
      <c r="F2706" s="25"/>
      <c r="G2706" s="27"/>
    </row>
    <row r="2707">
      <c r="A2707" s="21"/>
      <c r="B2707" s="21"/>
      <c r="D2707" s="25"/>
      <c r="E2707" s="27"/>
      <c r="F2707" s="25"/>
      <c r="G2707" s="27"/>
    </row>
    <row r="2708">
      <c r="A2708" s="21"/>
      <c r="B2708" s="21"/>
      <c r="D2708" s="25"/>
      <c r="E2708" s="27"/>
      <c r="F2708" s="25"/>
      <c r="G2708" s="27"/>
    </row>
    <row r="2709">
      <c r="A2709" s="21"/>
      <c r="B2709" s="21"/>
      <c r="D2709" s="25"/>
      <c r="E2709" s="27"/>
      <c r="F2709" s="25"/>
      <c r="G2709" s="27"/>
    </row>
    <row r="2710">
      <c r="A2710" s="21"/>
      <c r="B2710" s="21"/>
      <c r="D2710" s="25"/>
      <c r="E2710" s="27"/>
      <c r="F2710" s="25"/>
      <c r="G2710" s="27"/>
    </row>
    <row r="2711">
      <c r="A2711" s="21"/>
      <c r="B2711" s="21"/>
      <c r="D2711" s="25"/>
      <c r="E2711" s="27"/>
      <c r="F2711" s="25"/>
      <c r="G2711" s="27"/>
    </row>
    <row r="2712">
      <c r="A2712" s="21"/>
      <c r="B2712" s="21"/>
      <c r="D2712" s="25"/>
      <c r="E2712" s="27"/>
      <c r="F2712" s="25"/>
      <c r="G2712" s="27"/>
    </row>
    <row r="2713">
      <c r="A2713" s="21"/>
      <c r="B2713" s="21"/>
      <c r="D2713" s="25"/>
      <c r="E2713" s="27"/>
      <c r="F2713" s="25"/>
      <c r="G2713" s="27"/>
    </row>
    <row r="2714">
      <c r="A2714" s="21"/>
      <c r="B2714" s="21"/>
      <c r="D2714" s="25"/>
      <c r="E2714" s="27"/>
      <c r="F2714" s="25"/>
      <c r="G2714" s="27"/>
    </row>
    <row r="2715">
      <c r="A2715" s="21"/>
      <c r="B2715" s="21"/>
      <c r="D2715" s="25"/>
      <c r="E2715" s="27"/>
      <c r="F2715" s="25"/>
      <c r="G2715" s="27"/>
    </row>
    <row r="2716">
      <c r="A2716" s="21"/>
      <c r="B2716" s="21"/>
      <c r="D2716" s="25"/>
      <c r="E2716" s="27"/>
      <c r="F2716" s="25"/>
      <c r="G2716" s="27"/>
    </row>
    <row r="2717">
      <c r="A2717" s="21"/>
      <c r="B2717" s="21"/>
      <c r="D2717" s="25"/>
      <c r="E2717" s="27"/>
      <c r="F2717" s="25"/>
      <c r="G2717" s="27"/>
    </row>
    <row r="2718">
      <c r="A2718" s="21"/>
      <c r="B2718" s="21"/>
      <c r="D2718" s="25"/>
      <c r="E2718" s="27"/>
      <c r="F2718" s="25"/>
      <c r="G2718" s="27"/>
    </row>
    <row r="2719">
      <c r="A2719" s="21"/>
      <c r="B2719" s="21"/>
      <c r="D2719" s="25"/>
      <c r="E2719" s="27"/>
      <c r="F2719" s="25"/>
      <c r="G2719" s="27"/>
    </row>
    <row r="2720">
      <c r="A2720" s="21"/>
      <c r="B2720" s="21"/>
      <c r="D2720" s="25"/>
      <c r="E2720" s="27"/>
      <c r="F2720" s="25"/>
      <c r="G2720" s="27"/>
    </row>
    <row r="2721">
      <c r="A2721" s="21"/>
      <c r="B2721" s="21"/>
      <c r="D2721" s="25"/>
      <c r="E2721" s="27"/>
      <c r="F2721" s="25"/>
      <c r="G2721" s="27"/>
    </row>
    <row r="2722">
      <c r="A2722" s="21"/>
      <c r="B2722" s="21"/>
      <c r="D2722" s="25"/>
      <c r="E2722" s="27"/>
      <c r="F2722" s="25"/>
      <c r="G2722" s="27"/>
    </row>
    <row r="2723">
      <c r="A2723" s="21"/>
      <c r="B2723" s="21"/>
      <c r="D2723" s="25"/>
      <c r="E2723" s="27"/>
      <c r="F2723" s="25"/>
      <c r="G2723" s="27"/>
    </row>
    <row r="2724">
      <c r="A2724" s="21"/>
      <c r="B2724" s="21"/>
      <c r="D2724" s="25"/>
      <c r="E2724" s="27"/>
      <c r="F2724" s="25"/>
      <c r="G2724" s="27"/>
    </row>
    <row r="2725">
      <c r="A2725" s="21"/>
      <c r="B2725" s="21"/>
      <c r="D2725" s="25"/>
      <c r="E2725" s="27"/>
      <c r="F2725" s="25"/>
      <c r="G2725" s="27"/>
    </row>
    <row r="2726">
      <c r="A2726" s="21"/>
      <c r="B2726" s="21"/>
      <c r="D2726" s="25"/>
      <c r="E2726" s="27"/>
      <c r="F2726" s="25"/>
      <c r="G2726" s="27"/>
    </row>
    <row r="2727">
      <c r="A2727" s="21"/>
      <c r="B2727" s="21"/>
      <c r="D2727" s="25"/>
      <c r="E2727" s="27"/>
      <c r="F2727" s="25"/>
      <c r="G2727" s="27"/>
    </row>
    <row r="2728">
      <c r="A2728" s="21"/>
      <c r="B2728" s="21"/>
      <c r="D2728" s="25"/>
      <c r="E2728" s="27"/>
      <c r="F2728" s="25"/>
      <c r="G2728" s="27"/>
    </row>
    <row r="2729">
      <c r="A2729" s="21"/>
      <c r="B2729" s="21"/>
      <c r="D2729" s="25"/>
      <c r="E2729" s="27"/>
      <c r="F2729" s="25"/>
      <c r="G2729" s="27"/>
    </row>
    <row r="2730">
      <c r="A2730" s="21"/>
      <c r="B2730" s="21"/>
      <c r="D2730" s="25"/>
      <c r="E2730" s="27"/>
      <c r="F2730" s="25"/>
      <c r="G2730" s="27"/>
    </row>
    <row r="2731">
      <c r="A2731" s="21"/>
      <c r="B2731" s="21"/>
      <c r="D2731" s="25"/>
      <c r="E2731" s="27"/>
      <c r="F2731" s="25"/>
      <c r="G2731" s="27"/>
    </row>
    <row r="2732">
      <c r="A2732" s="21"/>
      <c r="B2732" s="21"/>
      <c r="D2732" s="25"/>
      <c r="E2732" s="27"/>
      <c r="F2732" s="25"/>
      <c r="G2732" s="27"/>
    </row>
    <row r="2733">
      <c r="A2733" s="21"/>
      <c r="B2733" s="21"/>
      <c r="D2733" s="25"/>
      <c r="E2733" s="27"/>
      <c r="F2733" s="25"/>
      <c r="G2733" s="27"/>
    </row>
    <row r="2734">
      <c r="A2734" s="21"/>
      <c r="B2734" s="21"/>
      <c r="D2734" s="25"/>
      <c r="E2734" s="27"/>
      <c r="F2734" s="25"/>
      <c r="G2734" s="27"/>
    </row>
    <row r="2735">
      <c r="A2735" s="21"/>
      <c r="B2735" s="21"/>
      <c r="D2735" s="25"/>
      <c r="E2735" s="27"/>
      <c r="F2735" s="25"/>
      <c r="G2735" s="27"/>
    </row>
    <row r="2736">
      <c r="A2736" s="21"/>
      <c r="B2736" s="21"/>
      <c r="D2736" s="25"/>
      <c r="E2736" s="27"/>
      <c r="F2736" s="25"/>
      <c r="G2736" s="27"/>
    </row>
    <row r="2737">
      <c r="A2737" s="21"/>
      <c r="B2737" s="21"/>
      <c r="D2737" s="25"/>
      <c r="E2737" s="27"/>
      <c r="F2737" s="25"/>
      <c r="G2737" s="27"/>
    </row>
    <row r="2738">
      <c r="A2738" s="21"/>
      <c r="B2738" s="21"/>
      <c r="D2738" s="25"/>
      <c r="E2738" s="27"/>
      <c r="F2738" s="25"/>
      <c r="G2738" s="27"/>
    </row>
    <row r="2739">
      <c r="A2739" s="21"/>
      <c r="B2739" s="21"/>
      <c r="D2739" s="25"/>
      <c r="E2739" s="27"/>
      <c r="F2739" s="25"/>
      <c r="G2739" s="27"/>
    </row>
    <row r="2740">
      <c r="A2740" s="21"/>
      <c r="B2740" s="21"/>
      <c r="D2740" s="25"/>
      <c r="E2740" s="27"/>
      <c r="F2740" s="25"/>
      <c r="G2740" s="27"/>
    </row>
    <row r="2741">
      <c r="A2741" s="21"/>
      <c r="B2741" s="21"/>
      <c r="D2741" s="25"/>
      <c r="E2741" s="27"/>
      <c r="F2741" s="25"/>
      <c r="G2741" s="27"/>
    </row>
    <row r="2742">
      <c r="A2742" s="21"/>
      <c r="B2742" s="21"/>
      <c r="D2742" s="25"/>
      <c r="E2742" s="27"/>
      <c r="F2742" s="25"/>
      <c r="G2742" s="27"/>
    </row>
    <row r="2743">
      <c r="A2743" s="21"/>
      <c r="B2743" s="21"/>
      <c r="D2743" s="25"/>
      <c r="E2743" s="27"/>
      <c r="F2743" s="25"/>
      <c r="G2743" s="27"/>
    </row>
    <row r="2744">
      <c r="A2744" s="21"/>
      <c r="B2744" s="21"/>
      <c r="D2744" s="25"/>
      <c r="E2744" s="27"/>
      <c r="F2744" s="25"/>
      <c r="G2744" s="27"/>
    </row>
    <row r="2745">
      <c r="A2745" s="21"/>
      <c r="B2745" s="21"/>
      <c r="D2745" s="25"/>
      <c r="E2745" s="27"/>
      <c r="F2745" s="25"/>
      <c r="G2745" s="27"/>
    </row>
    <row r="2746">
      <c r="A2746" s="21"/>
      <c r="B2746" s="21"/>
      <c r="D2746" s="25"/>
      <c r="E2746" s="27"/>
      <c r="F2746" s="25"/>
      <c r="G2746" s="27"/>
    </row>
    <row r="2747">
      <c r="A2747" s="21"/>
      <c r="B2747" s="21"/>
      <c r="D2747" s="25"/>
      <c r="E2747" s="27"/>
      <c r="F2747" s="25"/>
      <c r="G2747" s="27"/>
    </row>
    <row r="2748">
      <c r="A2748" s="21"/>
      <c r="B2748" s="21"/>
      <c r="D2748" s="25"/>
      <c r="E2748" s="27"/>
      <c r="F2748" s="25"/>
      <c r="G2748" s="27"/>
    </row>
    <row r="2749">
      <c r="A2749" s="21"/>
      <c r="B2749" s="21"/>
      <c r="D2749" s="25"/>
      <c r="E2749" s="27"/>
      <c r="F2749" s="25"/>
      <c r="G2749" s="27"/>
    </row>
    <row r="2750">
      <c r="A2750" s="21"/>
      <c r="B2750" s="21"/>
      <c r="D2750" s="25"/>
      <c r="E2750" s="27"/>
      <c r="F2750" s="25"/>
      <c r="G2750" s="27"/>
    </row>
    <row r="2751">
      <c r="A2751" s="21"/>
      <c r="B2751" s="21"/>
      <c r="D2751" s="25"/>
      <c r="E2751" s="27"/>
      <c r="F2751" s="25"/>
      <c r="G2751" s="27"/>
    </row>
    <row r="2752">
      <c r="A2752" s="21"/>
      <c r="B2752" s="21"/>
      <c r="D2752" s="25"/>
      <c r="E2752" s="27"/>
      <c r="F2752" s="25"/>
      <c r="G2752" s="27"/>
    </row>
    <row r="2753">
      <c r="A2753" s="21"/>
      <c r="B2753" s="21"/>
      <c r="D2753" s="25"/>
      <c r="E2753" s="27"/>
      <c r="F2753" s="25"/>
      <c r="G2753" s="27"/>
    </row>
    <row r="2754">
      <c r="A2754" s="21"/>
      <c r="B2754" s="21"/>
      <c r="D2754" s="25"/>
      <c r="E2754" s="27"/>
      <c r="F2754" s="25"/>
      <c r="G2754" s="27"/>
    </row>
    <row r="2755">
      <c r="A2755" s="21"/>
      <c r="B2755" s="21"/>
      <c r="D2755" s="25"/>
      <c r="E2755" s="27"/>
      <c r="F2755" s="25"/>
      <c r="G2755" s="27"/>
    </row>
    <row r="2756">
      <c r="A2756" s="21"/>
      <c r="B2756" s="21"/>
      <c r="D2756" s="25"/>
      <c r="E2756" s="27"/>
      <c r="F2756" s="25"/>
      <c r="G2756" s="27"/>
    </row>
    <row r="2757">
      <c r="A2757" s="21"/>
      <c r="B2757" s="21"/>
      <c r="D2757" s="25"/>
      <c r="E2757" s="27"/>
      <c r="F2757" s="25"/>
      <c r="G2757" s="27"/>
    </row>
    <row r="2758">
      <c r="A2758" s="21"/>
      <c r="B2758" s="21"/>
      <c r="D2758" s="25"/>
      <c r="E2758" s="27"/>
      <c r="F2758" s="25"/>
      <c r="G2758" s="27"/>
    </row>
    <row r="2759">
      <c r="A2759" s="21"/>
      <c r="B2759" s="21"/>
      <c r="D2759" s="25"/>
      <c r="E2759" s="27"/>
      <c r="F2759" s="25"/>
      <c r="G2759" s="27"/>
    </row>
    <row r="2760">
      <c r="A2760" s="21"/>
      <c r="B2760" s="21"/>
      <c r="D2760" s="25"/>
      <c r="E2760" s="27"/>
      <c r="F2760" s="25"/>
      <c r="G2760" s="27"/>
    </row>
    <row r="2761">
      <c r="A2761" s="21"/>
      <c r="B2761" s="21"/>
      <c r="D2761" s="25"/>
      <c r="E2761" s="27"/>
      <c r="F2761" s="25"/>
      <c r="G2761" s="27"/>
    </row>
    <row r="2762">
      <c r="A2762" s="21"/>
      <c r="B2762" s="21"/>
      <c r="D2762" s="25"/>
      <c r="E2762" s="27"/>
      <c r="F2762" s="25"/>
      <c r="G2762" s="27"/>
    </row>
    <row r="2763">
      <c r="A2763" s="21"/>
      <c r="B2763" s="21"/>
      <c r="D2763" s="25"/>
      <c r="E2763" s="27"/>
      <c r="F2763" s="25"/>
      <c r="G2763" s="27"/>
    </row>
    <row r="2764">
      <c r="A2764" s="21"/>
      <c r="B2764" s="21"/>
      <c r="D2764" s="25"/>
      <c r="E2764" s="27"/>
      <c r="F2764" s="25"/>
      <c r="G2764" s="27"/>
    </row>
    <row r="2765">
      <c r="A2765" s="21"/>
      <c r="B2765" s="21"/>
      <c r="D2765" s="25"/>
      <c r="E2765" s="27"/>
      <c r="F2765" s="25"/>
      <c r="G2765" s="27"/>
    </row>
    <row r="2766">
      <c r="A2766" s="21"/>
      <c r="B2766" s="21"/>
      <c r="D2766" s="25"/>
      <c r="E2766" s="27"/>
      <c r="F2766" s="25"/>
      <c r="G2766" s="27"/>
    </row>
    <row r="2767">
      <c r="A2767" s="21"/>
      <c r="B2767" s="21"/>
      <c r="D2767" s="25"/>
      <c r="E2767" s="27"/>
      <c r="F2767" s="25"/>
      <c r="G2767" s="27"/>
    </row>
    <row r="2768">
      <c r="A2768" s="21"/>
      <c r="B2768" s="21"/>
      <c r="D2768" s="25"/>
      <c r="E2768" s="27"/>
      <c r="F2768" s="25"/>
      <c r="G2768" s="27"/>
    </row>
    <row r="2769">
      <c r="A2769" s="21"/>
      <c r="B2769" s="21"/>
      <c r="D2769" s="25"/>
      <c r="E2769" s="27"/>
      <c r="F2769" s="25"/>
      <c r="G2769" s="27"/>
    </row>
    <row r="2770">
      <c r="A2770" s="21"/>
      <c r="B2770" s="21"/>
      <c r="D2770" s="25"/>
      <c r="E2770" s="27"/>
      <c r="F2770" s="25"/>
      <c r="G2770" s="27"/>
    </row>
    <row r="2771">
      <c r="A2771" s="21"/>
      <c r="B2771" s="21"/>
      <c r="D2771" s="25"/>
      <c r="E2771" s="27"/>
      <c r="F2771" s="25"/>
      <c r="G2771" s="27"/>
    </row>
    <row r="2772">
      <c r="A2772" s="21"/>
      <c r="B2772" s="21"/>
      <c r="D2772" s="25"/>
      <c r="E2772" s="27"/>
      <c r="F2772" s="25"/>
      <c r="G2772" s="27"/>
    </row>
    <row r="2773">
      <c r="A2773" s="21"/>
      <c r="B2773" s="21"/>
      <c r="D2773" s="25"/>
      <c r="E2773" s="27"/>
      <c r="F2773" s="25"/>
      <c r="G2773" s="27"/>
    </row>
    <row r="2774">
      <c r="A2774" s="21"/>
      <c r="B2774" s="21"/>
      <c r="D2774" s="25"/>
      <c r="E2774" s="27"/>
      <c r="F2774" s="25"/>
      <c r="G2774" s="27"/>
    </row>
    <row r="2775">
      <c r="A2775" s="21"/>
      <c r="B2775" s="21"/>
      <c r="D2775" s="25"/>
      <c r="E2775" s="27"/>
      <c r="F2775" s="25"/>
      <c r="G2775" s="27"/>
    </row>
    <row r="2776">
      <c r="A2776" s="21"/>
      <c r="B2776" s="21"/>
      <c r="D2776" s="25"/>
      <c r="E2776" s="27"/>
      <c r="F2776" s="25"/>
      <c r="G2776" s="27"/>
    </row>
    <row r="2777">
      <c r="A2777" s="21"/>
      <c r="B2777" s="21"/>
      <c r="D2777" s="25"/>
      <c r="E2777" s="27"/>
      <c r="F2777" s="25"/>
      <c r="G2777" s="27"/>
    </row>
    <row r="2778">
      <c r="A2778" s="21"/>
      <c r="B2778" s="21"/>
      <c r="D2778" s="25"/>
      <c r="E2778" s="27"/>
      <c r="F2778" s="25"/>
      <c r="G2778" s="27"/>
    </row>
    <row r="2779">
      <c r="A2779" s="21"/>
      <c r="B2779" s="21"/>
      <c r="D2779" s="25"/>
      <c r="E2779" s="27"/>
      <c r="F2779" s="25"/>
      <c r="G2779" s="27"/>
    </row>
    <row r="2780">
      <c r="A2780" s="21"/>
      <c r="B2780" s="21"/>
      <c r="D2780" s="25"/>
      <c r="E2780" s="27"/>
      <c r="F2780" s="25"/>
      <c r="G2780" s="27"/>
    </row>
    <row r="2781">
      <c r="A2781" s="21"/>
      <c r="B2781" s="21"/>
      <c r="D2781" s="25"/>
      <c r="E2781" s="27"/>
      <c r="F2781" s="25"/>
      <c r="G2781" s="27"/>
    </row>
    <row r="2782">
      <c r="A2782" s="21"/>
      <c r="B2782" s="21"/>
      <c r="D2782" s="25"/>
      <c r="E2782" s="27"/>
      <c r="F2782" s="25"/>
      <c r="G2782" s="27"/>
    </row>
    <row r="2783">
      <c r="A2783" s="21"/>
      <c r="B2783" s="21"/>
      <c r="D2783" s="25"/>
      <c r="E2783" s="27"/>
      <c r="F2783" s="25"/>
      <c r="G2783" s="27"/>
    </row>
    <row r="2784">
      <c r="A2784" s="21"/>
      <c r="B2784" s="21"/>
      <c r="D2784" s="25"/>
      <c r="E2784" s="27"/>
      <c r="F2784" s="25"/>
      <c r="G2784" s="27"/>
    </row>
    <row r="2785">
      <c r="A2785" s="21"/>
      <c r="B2785" s="21"/>
      <c r="D2785" s="25"/>
      <c r="E2785" s="27"/>
      <c r="F2785" s="25"/>
      <c r="G2785" s="27"/>
    </row>
    <row r="2786">
      <c r="A2786" s="21"/>
      <c r="B2786" s="21"/>
      <c r="D2786" s="25"/>
      <c r="E2786" s="27"/>
      <c r="F2786" s="25"/>
      <c r="G2786" s="27"/>
    </row>
    <row r="2787">
      <c r="A2787" s="21"/>
      <c r="B2787" s="21"/>
      <c r="D2787" s="25"/>
      <c r="E2787" s="27"/>
      <c r="F2787" s="25"/>
      <c r="G2787" s="27"/>
    </row>
    <row r="2788">
      <c r="A2788" s="21"/>
      <c r="B2788" s="21"/>
      <c r="D2788" s="25"/>
      <c r="E2788" s="27"/>
      <c r="F2788" s="25"/>
      <c r="G2788" s="27"/>
    </row>
    <row r="2789">
      <c r="A2789" s="21"/>
      <c r="B2789" s="21"/>
      <c r="D2789" s="25"/>
      <c r="E2789" s="27"/>
      <c r="F2789" s="25"/>
      <c r="G2789" s="27"/>
    </row>
    <row r="2790">
      <c r="A2790" s="21"/>
      <c r="B2790" s="21"/>
      <c r="D2790" s="25"/>
      <c r="E2790" s="27"/>
      <c r="F2790" s="25"/>
      <c r="G2790" s="27"/>
    </row>
    <row r="2791">
      <c r="A2791" s="21"/>
      <c r="B2791" s="21"/>
      <c r="D2791" s="25"/>
      <c r="E2791" s="27"/>
      <c r="F2791" s="25"/>
      <c r="G2791" s="27"/>
    </row>
    <row r="2792">
      <c r="A2792" s="21"/>
      <c r="B2792" s="21"/>
      <c r="D2792" s="25"/>
      <c r="E2792" s="27"/>
      <c r="F2792" s="25"/>
      <c r="G2792" s="27"/>
    </row>
    <row r="2793">
      <c r="A2793" s="21"/>
      <c r="B2793" s="21"/>
      <c r="D2793" s="25"/>
      <c r="E2793" s="27"/>
      <c r="F2793" s="25"/>
      <c r="G2793" s="27"/>
    </row>
    <row r="2794">
      <c r="A2794" s="21"/>
      <c r="B2794" s="21"/>
      <c r="D2794" s="25"/>
      <c r="E2794" s="27"/>
      <c r="F2794" s="25"/>
      <c r="G2794" s="27"/>
    </row>
    <row r="2795">
      <c r="A2795" s="21"/>
      <c r="B2795" s="21"/>
      <c r="D2795" s="25"/>
      <c r="E2795" s="27"/>
      <c r="F2795" s="25"/>
      <c r="G2795" s="27"/>
    </row>
    <row r="2796">
      <c r="A2796" s="21"/>
      <c r="B2796" s="21"/>
      <c r="D2796" s="25"/>
      <c r="E2796" s="27"/>
      <c r="F2796" s="25"/>
      <c r="G2796" s="27"/>
    </row>
    <row r="2797">
      <c r="A2797" s="21"/>
      <c r="B2797" s="21"/>
      <c r="D2797" s="25"/>
      <c r="E2797" s="27"/>
      <c r="F2797" s="25"/>
      <c r="G2797" s="27"/>
    </row>
    <row r="2798">
      <c r="A2798" s="21"/>
      <c r="B2798" s="21"/>
      <c r="D2798" s="25"/>
      <c r="E2798" s="27"/>
      <c r="F2798" s="25"/>
      <c r="G2798" s="27"/>
    </row>
    <row r="2799">
      <c r="A2799" s="21"/>
      <c r="B2799" s="21"/>
      <c r="D2799" s="25"/>
      <c r="E2799" s="27"/>
      <c r="F2799" s="25"/>
      <c r="G2799" s="27"/>
    </row>
    <row r="2800">
      <c r="A2800" s="21"/>
      <c r="B2800" s="21"/>
      <c r="D2800" s="25"/>
      <c r="E2800" s="27"/>
      <c r="F2800" s="25"/>
      <c r="G2800" s="27"/>
    </row>
    <row r="2801">
      <c r="A2801" s="21"/>
      <c r="B2801" s="21"/>
      <c r="D2801" s="25"/>
      <c r="E2801" s="27"/>
      <c r="F2801" s="25"/>
      <c r="G2801" s="27"/>
    </row>
    <row r="2802">
      <c r="A2802" s="21"/>
      <c r="B2802" s="21"/>
      <c r="D2802" s="25"/>
      <c r="E2802" s="27"/>
      <c r="F2802" s="25"/>
      <c r="G2802" s="27"/>
    </row>
    <row r="2803">
      <c r="A2803" s="21"/>
      <c r="B2803" s="21"/>
      <c r="D2803" s="25"/>
      <c r="E2803" s="27"/>
      <c r="F2803" s="25"/>
      <c r="G2803" s="27"/>
    </row>
    <row r="2804">
      <c r="A2804" s="21"/>
      <c r="B2804" s="21"/>
      <c r="D2804" s="25"/>
      <c r="E2804" s="27"/>
      <c r="F2804" s="25"/>
      <c r="G2804" s="27"/>
    </row>
    <row r="2805">
      <c r="A2805" s="21"/>
      <c r="B2805" s="21"/>
      <c r="D2805" s="25"/>
      <c r="E2805" s="27"/>
      <c r="F2805" s="25"/>
      <c r="G2805" s="27"/>
    </row>
    <row r="2806">
      <c r="A2806" s="21"/>
      <c r="B2806" s="21"/>
      <c r="D2806" s="25"/>
      <c r="E2806" s="27"/>
      <c r="F2806" s="25"/>
      <c r="G2806" s="27"/>
    </row>
    <row r="2807">
      <c r="A2807" s="21"/>
      <c r="B2807" s="21"/>
      <c r="D2807" s="25"/>
      <c r="E2807" s="27"/>
      <c r="F2807" s="25"/>
      <c r="G2807" s="27"/>
    </row>
    <row r="2808">
      <c r="A2808" s="21"/>
      <c r="B2808" s="21"/>
      <c r="D2808" s="25"/>
      <c r="E2808" s="27"/>
      <c r="F2808" s="25"/>
      <c r="G2808" s="27"/>
    </row>
    <row r="2809">
      <c r="A2809" s="21"/>
      <c r="B2809" s="21"/>
      <c r="D2809" s="25"/>
      <c r="E2809" s="27"/>
      <c r="F2809" s="25"/>
      <c r="G2809" s="27"/>
    </row>
    <row r="2810">
      <c r="A2810" s="21"/>
      <c r="B2810" s="21"/>
      <c r="D2810" s="25"/>
      <c r="E2810" s="27"/>
      <c r="F2810" s="25"/>
      <c r="G2810" s="27"/>
    </row>
    <row r="2811">
      <c r="A2811" s="21"/>
      <c r="B2811" s="21"/>
      <c r="D2811" s="25"/>
      <c r="E2811" s="27"/>
      <c r="F2811" s="25"/>
      <c r="G2811" s="27"/>
    </row>
    <row r="2812">
      <c r="A2812" s="21"/>
      <c r="B2812" s="21"/>
      <c r="D2812" s="25"/>
      <c r="E2812" s="27"/>
      <c r="F2812" s="25"/>
      <c r="G2812" s="27"/>
    </row>
    <row r="2813">
      <c r="A2813" s="21"/>
      <c r="B2813" s="21"/>
      <c r="D2813" s="25"/>
      <c r="E2813" s="27"/>
      <c r="F2813" s="25"/>
      <c r="G2813" s="27"/>
    </row>
    <row r="2814">
      <c r="A2814" s="21"/>
      <c r="B2814" s="21"/>
      <c r="D2814" s="25"/>
      <c r="E2814" s="27"/>
      <c r="F2814" s="25"/>
      <c r="G2814" s="27"/>
    </row>
    <row r="2815">
      <c r="A2815" s="21"/>
      <c r="B2815" s="21"/>
      <c r="D2815" s="25"/>
      <c r="E2815" s="27"/>
      <c r="F2815" s="25"/>
      <c r="G2815" s="27"/>
    </row>
    <row r="2816">
      <c r="A2816" s="21"/>
      <c r="B2816" s="21"/>
      <c r="D2816" s="25"/>
      <c r="E2816" s="27"/>
      <c r="F2816" s="25"/>
      <c r="G2816" s="27"/>
    </row>
    <row r="2817">
      <c r="A2817" s="21"/>
      <c r="B2817" s="21"/>
      <c r="D2817" s="25"/>
      <c r="E2817" s="27"/>
      <c r="F2817" s="25"/>
      <c r="G2817" s="27"/>
    </row>
    <row r="2818">
      <c r="A2818" s="21"/>
      <c r="B2818" s="21"/>
      <c r="D2818" s="25"/>
      <c r="E2818" s="27"/>
      <c r="F2818" s="25"/>
      <c r="G2818" s="27"/>
    </row>
    <row r="2819">
      <c r="A2819" s="21"/>
      <c r="B2819" s="21"/>
      <c r="D2819" s="25"/>
      <c r="E2819" s="27"/>
      <c r="F2819" s="25"/>
      <c r="G2819" s="27"/>
    </row>
    <row r="2820">
      <c r="A2820" s="21"/>
      <c r="B2820" s="21"/>
      <c r="D2820" s="25"/>
      <c r="E2820" s="27"/>
      <c r="F2820" s="25"/>
      <c r="G2820" s="27"/>
    </row>
    <row r="2821">
      <c r="A2821" s="21"/>
      <c r="B2821" s="21"/>
      <c r="D2821" s="25"/>
      <c r="E2821" s="27"/>
      <c r="F2821" s="25"/>
      <c r="G2821" s="27"/>
    </row>
    <row r="2822">
      <c r="A2822" s="21"/>
      <c r="B2822" s="21"/>
      <c r="D2822" s="25"/>
      <c r="E2822" s="27"/>
      <c r="F2822" s="25"/>
      <c r="G2822" s="27"/>
    </row>
    <row r="2823">
      <c r="A2823" s="21"/>
      <c r="B2823" s="21"/>
      <c r="D2823" s="25"/>
      <c r="E2823" s="27"/>
      <c r="F2823" s="25"/>
      <c r="G2823" s="27"/>
    </row>
    <row r="2824">
      <c r="A2824" s="21"/>
      <c r="B2824" s="21"/>
      <c r="D2824" s="25"/>
      <c r="E2824" s="27"/>
      <c r="F2824" s="25"/>
      <c r="G2824" s="27"/>
    </row>
    <row r="2825">
      <c r="A2825" s="21"/>
      <c r="B2825" s="21"/>
      <c r="D2825" s="25"/>
      <c r="E2825" s="27"/>
      <c r="F2825" s="25"/>
      <c r="G2825" s="27"/>
    </row>
    <row r="2826">
      <c r="A2826" s="21"/>
      <c r="B2826" s="21"/>
      <c r="D2826" s="25"/>
      <c r="E2826" s="27"/>
      <c r="F2826" s="25"/>
      <c r="G2826" s="27"/>
    </row>
    <row r="2827">
      <c r="A2827" s="21"/>
      <c r="B2827" s="21"/>
      <c r="D2827" s="25"/>
      <c r="E2827" s="27"/>
      <c r="F2827" s="25"/>
      <c r="G2827" s="27"/>
    </row>
    <row r="2828">
      <c r="A2828" s="21"/>
      <c r="B2828" s="21"/>
      <c r="D2828" s="25"/>
      <c r="E2828" s="27"/>
      <c r="F2828" s="25"/>
      <c r="G2828" s="27"/>
    </row>
    <row r="2829">
      <c r="A2829" s="21"/>
      <c r="B2829" s="21"/>
      <c r="D2829" s="25"/>
      <c r="E2829" s="27"/>
      <c r="F2829" s="25"/>
      <c r="G2829" s="27"/>
    </row>
    <row r="2830">
      <c r="A2830" s="21"/>
      <c r="B2830" s="21"/>
      <c r="D2830" s="25"/>
      <c r="E2830" s="27"/>
      <c r="F2830" s="25"/>
      <c r="G2830" s="27"/>
    </row>
    <row r="2831">
      <c r="A2831" s="21"/>
      <c r="B2831" s="21"/>
      <c r="D2831" s="25"/>
      <c r="E2831" s="27"/>
      <c r="F2831" s="25"/>
      <c r="G2831" s="27"/>
    </row>
    <row r="2832">
      <c r="A2832" s="21"/>
      <c r="B2832" s="21"/>
      <c r="D2832" s="25"/>
      <c r="E2832" s="27"/>
      <c r="F2832" s="25"/>
      <c r="G2832" s="27"/>
    </row>
    <row r="2833">
      <c r="A2833" s="21"/>
      <c r="B2833" s="21"/>
      <c r="D2833" s="25"/>
      <c r="E2833" s="27"/>
      <c r="F2833" s="25"/>
      <c r="G2833" s="27"/>
    </row>
    <row r="2834">
      <c r="A2834" s="21"/>
      <c r="B2834" s="21"/>
      <c r="D2834" s="25"/>
      <c r="E2834" s="27"/>
      <c r="F2834" s="25"/>
      <c r="G2834" s="27"/>
    </row>
    <row r="2835">
      <c r="A2835" s="21"/>
      <c r="B2835" s="21"/>
      <c r="D2835" s="25"/>
      <c r="E2835" s="27"/>
      <c r="F2835" s="25"/>
      <c r="G2835" s="27"/>
    </row>
    <row r="2836">
      <c r="A2836" s="21"/>
      <c r="B2836" s="21"/>
      <c r="D2836" s="25"/>
      <c r="E2836" s="27"/>
      <c r="F2836" s="25"/>
      <c r="G2836" s="27"/>
    </row>
    <row r="2837">
      <c r="A2837" s="21"/>
      <c r="B2837" s="21"/>
      <c r="D2837" s="25"/>
      <c r="E2837" s="27"/>
      <c r="F2837" s="25"/>
      <c r="G2837" s="27"/>
    </row>
    <row r="2838">
      <c r="A2838" s="21"/>
      <c r="B2838" s="21"/>
      <c r="D2838" s="25"/>
      <c r="E2838" s="27"/>
      <c r="F2838" s="25"/>
      <c r="G2838" s="27"/>
    </row>
    <row r="2839">
      <c r="A2839" s="21"/>
      <c r="B2839" s="21"/>
      <c r="D2839" s="25"/>
      <c r="E2839" s="27"/>
      <c r="F2839" s="25"/>
      <c r="G2839" s="27"/>
    </row>
    <row r="2840">
      <c r="A2840" s="21"/>
      <c r="B2840" s="21"/>
      <c r="D2840" s="25"/>
      <c r="E2840" s="27"/>
      <c r="F2840" s="25"/>
      <c r="G2840" s="27"/>
    </row>
    <row r="2841">
      <c r="A2841" s="21"/>
      <c r="B2841" s="21"/>
      <c r="D2841" s="25"/>
      <c r="E2841" s="27"/>
      <c r="F2841" s="25"/>
      <c r="G2841" s="27"/>
    </row>
    <row r="2842">
      <c r="A2842" s="21"/>
      <c r="B2842" s="21"/>
      <c r="D2842" s="25"/>
      <c r="E2842" s="27"/>
      <c r="F2842" s="25"/>
      <c r="G2842" s="27"/>
    </row>
    <row r="2843">
      <c r="A2843" s="21"/>
      <c r="B2843" s="21"/>
      <c r="D2843" s="25"/>
      <c r="E2843" s="27"/>
      <c r="F2843" s="25"/>
      <c r="G2843" s="27"/>
    </row>
    <row r="2844">
      <c r="A2844" s="21"/>
      <c r="B2844" s="21"/>
      <c r="D2844" s="25"/>
      <c r="E2844" s="27"/>
      <c r="F2844" s="25"/>
      <c r="G2844" s="27"/>
    </row>
    <row r="2845">
      <c r="A2845" s="21"/>
      <c r="B2845" s="21"/>
      <c r="D2845" s="25"/>
      <c r="E2845" s="27"/>
      <c r="F2845" s="25"/>
      <c r="G2845" s="27"/>
    </row>
    <row r="2846">
      <c r="A2846" s="21"/>
      <c r="B2846" s="21"/>
      <c r="D2846" s="25"/>
      <c r="E2846" s="27"/>
      <c r="F2846" s="25"/>
      <c r="G2846" s="27"/>
    </row>
    <row r="2847">
      <c r="A2847" s="21"/>
      <c r="B2847" s="21"/>
      <c r="D2847" s="25"/>
      <c r="E2847" s="27"/>
      <c r="F2847" s="25"/>
      <c r="G2847" s="27"/>
    </row>
    <row r="2848">
      <c r="A2848" s="21"/>
      <c r="B2848" s="21"/>
      <c r="D2848" s="25"/>
      <c r="E2848" s="27"/>
      <c r="F2848" s="25"/>
      <c r="G2848" s="27"/>
    </row>
    <row r="2849">
      <c r="A2849" s="21"/>
      <c r="B2849" s="21"/>
      <c r="D2849" s="25"/>
      <c r="E2849" s="27"/>
      <c r="F2849" s="25"/>
      <c r="G2849" s="27"/>
    </row>
    <row r="2850">
      <c r="A2850" s="21"/>
      <c r="B2850" s="21"/>
      <c r="D2850" s="25"/>
      <c r="E2850" s="27"/>
      <c r="F2850" s="25"/>
      <c r="G2850" s="27"/>
    </row>
    <row r="2851">
      <c r="A2851" s="21"/>
      <c r="B2851" s="21"/>
      <c r="D2851" s="25"/>
      <c r="E2851" s="27"/>
      <c r="F2851" s="25"/>
      <c r="G2851" s="27"/>
    </row>
    <row r="2852">
      <c r="A2852" s="21"/>
      <c r="B2852" s="21"/>
      <c r="D2852" s="25"/>
      <c r="E2852" s="27"/>
      <c r="F2852" s="25"/>
      <c r="G2852" s="27"/>
    </row>
    <row r="2853">
      <c r="A2853" s="21"/>
      <c r="B2853" s="21"/>
      <c r="D2853" s="25"/>
      <c r="E2853" s="27"/>
      <c r="F2853" s="25"/>
      <c r="G2853" s="27"/>
    </row>
    <row r="2854">
      <c r="A2854" s="21"/>
      <c r="B2854" s="21"/>
      <c r="D2854" s="25"/>
      <c r="E2854" s="27"/>
      <c r="F2854" s="25"/>
      <c r="G2854" s="27"/>
    </row>
    <row r="2855">
      <c r="A2855" s="21"/>
      <c r="B2855" s="21"/>
      <c r="D2855" s="25"/>
      <c r="E2855" s="27"/>
      <c r="F2855" s="25"/>
      <c r="G2855" s="27"/>
    </row>
    <row r="2856">
      <c r="A2856" s="21"/>
      <c r="B2856" s="21"/>
      <c r="D2856" s="25"/>
      <c r="E2856" s="27"/>
      <c r="F2856" s="25"/>
      <c r="G2856" s="27"/>
    </row>
    <row r="2857">
      <c r="A2857" s="21"/>
      <c r="B2857" s="21"/>
      <c r="D2857" s="25"/>
      <c r="E2857" s="27"/>
      <c r="F2857" s="25"/>
      <c r="G2857" s="27"/>
    </row>
    <row r="2858">
      <c r="A2858" s="21"/>
      <c r="B2858" s="21"/>
      <c r="D2858" s="25"/>
      <c r="E2858" s="27"/>
      <c r="F2858" s="25"/>
      <c r="G2858" s="27"/>
    </row>
    <row r="2859">
      <c r="A2859" s="21"/>
      <c r="B2859" s="21"/>
      <c r="D2859" s="25"/>
      <c r="E2859" s="27"/>
      <c r="F2859" s="25"/>
      <c r="G2859" s="27"/>
    </row>
    <row r="2860">
      <c r="A2860" s="21"/>
      <c r="B2860" s="21"/>
      <c r="D2860" s="25"/>
      <c r="E2860" s="27"/>
      <c r="F2860" s="25"/>
      <c r="G2860" s="27"/>
    </row>
    <row r="2861">
      <c r="A2861" s="21"/>
      <c r="B2861" s="21"/>
      <c r="D2861" s="25"/>
      <c r="E2861" s="27"/>
      <c r="F2861" s="25"/>
      <c r="G2861" s="27"/>
    </row>
    <row r="2862">
      <c r="A2862" s="21"/>
      <c r="B2862" s="21"/>
      <c r="D2862" s="25"/>
      <c r="E2862" s="27"/>
      <c r="F2862" s="25"/>
      <c r="G2862" s="27"/>
    </row>
    <row r="2863">
      <c r="A2863" s="21"/>
      <c r="B2863" s="21"/>
      <c r="D2863" s="25"/>
      <c r="E2863" s="27"/>
      <c r="F2863" s="25"/>
      <c r="G2863" s="27"/>
    </row>
    <row r="2864">
      <c r="A2864" s="21"/>
      <c r="B2864" s="21"/>
      <c r="D2864" s="25"/>
      <c r="E2864" s="27"/>
      <c r="F2864" s="25"/>
      <c r="G2864" s="27"/>
    </row>
    <row r="2865">
      <c r="A2865" s="21"/>
      <c r="B2865" s="21"/>
      <c r="D2865" s="25"/>
      <c r="E2865" s="27"/>
      <c r="F2865" s="25"/>
      <c r="G2865" s="27"/>
    </row>
    <row r="2866">
      <c r="A2866" s="21"/>
      <c r="B2866" s="21"/>
      <c r="D2866" s="25"/>
      <c r="E2866" s="27"/>
      <c r="F2866" s="25"/>
      <c r="G2866" s="27"/>
    </row>
    <row r="2867">
      <c r="A2867" s="21"/>
      <c r="B2867" s="21"/>
      <c r="D2867" s="25"/>
      <c r="E2867" s="27"/>
      <c r="F2867" s="25"/>
      <c r="G2867" s="27"/>
    </row>
    <row r="2868">
      <c r="A2868" s="21"/>
      <c r="B2868" s="21"/>
      <c r="D2868" s="25"/>
      <c r="E2868" s="27"/>
      <c r="F2868" s="25"/>
      <c r="G2868" s="27"/>
    </row>
    <row r="2869">
      <c r="A2869" s="21"/>
      <c r="B2869" s="21"/>
      <c r="D2869" s="25"/>
      <c r="E2869" s="27"/>
      <c r="F2869" s="25"/>
      <c r="G2869" s="27"/>
    </row>
    <row r="2870">
      <c r="A2870" s="21"/>
      <c r="B2870" s="21"/>
      <c r="D2870" s="25"/>
      <c r="E2870" s="27"/>
      <c r="F2870" s="25"/>
      <c r="G2870" s="27"/>
    </row>
    <row r="2871">
      <c r="A2871" s="21"/>
      <c r="B2871" s="21"/>
      <c r="D2871" s="25"/>
      <c r="E2871" s="27"/>
      <c r="F2871" s="25"/>
      <c r="G2871" s="27"/>
    </row>
    <row r="2872">
      <c r="A2872" s="21"/>
      <c r="B2872" s="21"/>
      <c r="D2872" s="25"/>
      <c r="E2872" s="27"/>
      <c r="F2872" s="25"/>
      <c r="G2872" s="27"/>
    </row>
    <row r="2873">
      <c r="A2873" s="21"/>
      <c r="B2873" s="21"/>
      <c r="D2873" s="25"/>
      <c r="E2873" s="27"/>
      <c r="F2873" s="25"/>
      <c r="G2873" s="27"/>
    </row>
    <row r="2874">
      <c r="A2874" s="21"/>
      <c r="B2874" s="21"/>
      <c r="D2874" s="25"/>
      <c r="E2874" s="27"/>
      <c r="F2874" s="25"/>
      <c r="G2874" s="27"/>
    </row>
    <row r="2875">
      <c r="A2875" s="21"/>
      <c r="B2875" s="21"/>
      <c r="D2875" s="25"/>
      <c r="E2875" s="27"/>
      <c r="F2875" s="25"/>
      <c r="G2875" s="27"/>
    </row>
    <row r="2876">
      <c r="A2876" s="21"/>
      <c r="B2876" s="21"/>
      <c r="D2876" s="25"/>
      <c r="E2876" s="27"/>
      <c r="F2876" s="25"/>
      <c r="G2876" s="27"/>
    </row>
    <row r="2877">
      <c r="A2877" s="21"/>
      <c r="B2877" s="21"/>
      <c r="D2877" s="25"/>
      <c r="E2877" s="27"/>
      <c r="F2877" s="25"/>
      <c r="G2877" s="27"/>
    </row>
    <row r="2878">
      <c r="A2878" s="21"/>
      <c r="B2878" s="21"/>
      <c r="D2878" s="25"/>
      <c r="E2878" s="27"/>
      <c r="F2878" s="25"/>
      <c r="G2878" s="27"/>
    </row>
    <row r="2879">
      <c r="A2879" s="21"/>
      <c r="B2879" s="21"/>
      <c r="D2879" s="25"/>
      <c r="E2879" s="27"/>
      <c r="F2879" s="25"/>
      <c r="G2879" s="27"/>
    </row>
    <row r="2880">
      <c r="A2880" s="21"/>
      <c r="B2880" s="21"/>
      <c r="D2880" s="25"/>
      <c r="E2880" s="27"/>
      <c r="F2880" s="25"/>
      <c r="G2880" s="27"/>
    </row>
    <row r="2881">
      <c r="A2881" s="21"/>
      <c r="B2881" s="21"/>
      <c r="D2881" s="25"/>
      <c r="E2881" s="27"/>
      <c r="F2881" s="25"/>
      <c r="G2881" s="27"/>
    </row>
    <row r="2882">
      <c r="A2882" s="21"/>
      <c r="B2882" s="21"/>
      <c r="D2882" s="25"/>
      <c r="E2882" s="27"/>
      <c r="F2882" s="25"/>
      <c r="G2882" s="27"/>
    </row>
    <row r="2883">
      <c r="A2883" s="21"/>
      <c r="B2883" s="21"/>
      <c r="D2883" s="25"/>
      <c r="E2883" s="27"/>
      <c r="F2883" s="25"/>
      <c r="G2883" s="27"/>
    </row>
    <row r="2884">
      <c r="A2884" s="21"/>
      <c r="B2884" s="21"/>
      <c r="D2884" s="25"/>
      <c r="E2884" s="27"/>
      <c r="F2884" s="25"/>
      <c r="G2884" s="27"/>
    </row>
    <row r="2885">
      <c r="A2885" s="21"/>
      <c r="B2885" s="21"/>
      <c r="D2885" s="25"/>
      <c r="E2885" s="27"/>
      <c r="F2885" s="25"/>
      <c r="G2885" s="27"/>
    </row>
    <row r="2886">
      <c r="A2886" s="21"/>
      <c r="B2886" s="21"/>
      <c r="D2886" s="25"/>
      <c r="E2886" s="27"/>
      <c r="F2886" s="25"/>
      <c r="G2886" s="27"/>
    </row>
    <row r="2887">
      <c r="A2887" s="21"/>
      <c r="B2887" s="21"/>
      <c r="D2887" s="25"/>
      <c r="E2887" s="27"/>
      <c r="F2887" s="25"/>
      <c r="G2887" s="27"/>
    </row>
    <row r="2888">
      <c r="A2888" s="21"/>
      <c r="B2888" s="21"/>
      <c r="D2888" s="25"/>
      <c r="E2888" s="27"/>
      <c r="F2888" s="25"/>
      <c r="G2888" s="27"/>
    </row>
    <row r="2889">
      <c r="A2889" s="21"/>
      <c r="B2889" s="21"/>
      <c r="D2889" s="25"/>
      <c r="E2889" s="27"/>
      <c r="F2889" s="25"/>
      <c r="G2889" s="27"/>
    </row>
    <row r="2890">
      <c r="A2890" s="21"/>
      <c r="B2890" s="21"/>
      <c r="D2890" s="25"/>
      <c r="E2890" s="27"/>
      <c r="F2890" s="25"/>
      <c r="G2890" s="27"/>
    </row>
    <row r="2891">
      <c r="A2891" s="21"/>
      <c r="B2891" s="21"/>
      <c r="D2891" s="25"/>
      <c r="E2891" s="27"/>
      <c r="F2891" s="25"/>
      <c r="G2891" s="27"/>
    </row>
    <row r="2892">
      <c r="A2892" s="21"/>
      <c r="B2892" s="21"/>
      <c r="D2892" s="25"/>
      <c r="E2892" s="27"/>
      <c r="F2892" s="25"/>
      <c r="G2892" s="27"/>
    </row>
    <row r="2893">
      <c r="A2893" s="21"/>
      <c r="B2893" s="21"/>
      <c r="D2893" s="25"/>
      <c r="E2893" s="27"/>
      <c r="F2893" s="25"/>
      <c r="G2893" s="27"/>
    </row>
    <row r="2894">
      <c r="A2894" s="21"/>
      <c r="B2894" s="21"/>
      <c r="D2894" s="25"/>
      <c r="E2894" s="27"/>
      <c r="F2894" s="25"/>
      <c r="G2894" s="27"/>
    </row>
    <row r="2895">
      <c r="A2895" s="21"/>
      <c r="B2895" s="21"/>
      <c r="D2895" s="25"/>
      <c r="E2895" s="27"/>
      <c r="F2895" s="25"/>
      <c r="G2895" s="27"/>
    </row>
    <row r="2896">
      <c r="A2896" s="21"/>
      <c r="B2896" s="21"/>
      <c r="D2896" s="25"/>
      <c r="E2896" s="27"/>
      <c r="F2896" s="25"/>
      <c r="G2896" s="27"/>
    </row>
    <row r="2897">
      <c r="A2897" s="21"/>
      <c r="B2897" s="21"/>
      <c r="D2897" s="25"/>
      <c r="E2897" s="27"/>
      <c r="F2897" s="25"/>
      <c r="G2897" s="27"/>
    </row>
    <row r="2898">
      <c r="A2898" s="21"/>
      <c r="B2898" s="21"/>
      <c r="D2898" s="25"/>
      <c r="E2898" s="27"/>
      <c r="F2898" s="25"/>
      <c r="G2898" s="27"/>
    </row>
    <row r="2899">
      <c r="A2899" s="21"/>
      <c r="B2899" s="21"/>
      <c r="D2899" s="25"/>
      <c r="E2899" s="27"/>
      <c r="F2899" s="25"/>
      <c r="G2899" s="27"/>
    </row>
    <row r="2900">
      <c r="A2900" s="21"/>
      <c r="B2900" s="21"/>
      <c r="D2900" s="25"/>
      <c r="E2900" s="27"/>
      <c r="F2900" s="25"/>
      <c r="G2900" s="27"/>
    </row>
    <row r="2901">
      <c r="A2901" s="21"/>
      <c r="B2901" s="21"/>
      <c r="D2901" s="25"/>
      <c r="E2901" s="27"/>
      <c r="F2901" s="25"/>
      <c r="G2901" s="27"/>
    </row>
    <row r="2902">
      <c r="A2902" s="21"/>
      <c r="B2902" s="21"/>
      <c r="D2902" s="25"/>
      <c r="E2902" s="27"/>
      <c r="F2902" s="25"/>
      <c r="G2902" s="27"/>
    </row>
    <row r="2903">
      <c r="A2903" s="21"/>
      <c r="B2903" s="21"/>
      <c r="D2903" s="25"/>
      <c r="E2903" s="27"/>
      <c r="F2903" s="25"/>
      <c r="G2903" s="27"/>
    </row>
    <row r="2904">
      <c r="A2904" s="21"/>
      <c r="B2904" s="21"/>
      <c r="D2904" s="25"/>
      <c r="E2904" s="27"/>
      <c r="F2904" s="25"/>
      <c r="G2904" s="27"/>
    </row>
    <row r="2905">
      <c r="A2905" s="21"/>
      <c r="B2905" s="21"/>
      <c r="D2905" s="25"/>
      <c r="E2905" s="27"/>
      <c r="F2905" s="25"/>
      <c r="G2905" s="27"/>
    </row>
    <row r="2906">
      <c r="A2906" s="21"/>
      <c r="B2906" s="21"/>
      <c r="D2906" s="25"/>
      <c r="E2906" s="27"/>
      <c r="F2906" s="25"/>
      <c r="G2906" s="27"/>
    </row>
    <row r="2907">
      <c r="A2907" s="21"/>
      <c r="B2907" s="21"/>
      <c r="D2907" s="25"/>
      <c r="E2907" s="27"/>
      <c r="F2907" s="25"/>
      <c r="G2907" s="27"/>
    </row>
    <row r="2908">
      <c r="A2908" s="21"/>
      <c r="B2908" s="21"/>
      <c r="D2908" s="25"/>
      <c r="E2908" s="27"/>
      <c r="F2908" s="25"/>
      <c r="G2908" s="27"/>
    </row>
    <row r="2909">
      <c r="A2909" s="21"/>
      <c r="B2909" s="21"/>
      <c r="D2909" s="25"/>
      <c r="E2909" s="27"/>
      <c r="F2909" s="25"/>
      <c r="G2909" s="27"/>
    </row>
    <row r="2910">
      <c r="A2910" s="21"/>
      <c r="B2910" s="21"/>
      <c r="D2910" s="25"/>
      <c r="E2910" s="27"/>
      <c r="F2910" s="25"/>
      <c r="G2910" s="27"/>
    </row>
    <row r="2911">
      <c r="A2911" s="21"/>
      <c r="B2911" s="21"/>
      <c r="D2911" s="25"/>
      <c r="E2911" s="27"/>
      <c r="F2911" s="25"/>
      <c r="G2911" s="27"/>
    </row>
    <row r="2912">
      <c r="A2912" s="21"/>
      <c r="B2912" s="21"/>
      <c r="D2912" s="25"/>
      <c r="E2912" s="27"/>
      <c r="F2912" s="25"/>
      <c r="G2912" s="27"/>
    </row>
    <row r="2913">
      <c r="A2913" s="21"/>
      <c r="B2913" s="21"/>
      <c r="D2913" s="25"/>
      <c r="E2913" s="27"/>
      <c r="F2913" s="25"/>
      <c r="G2913" s="27"/>
    </row>
    <row r="2914">
      <c r="A2914" s="21"/>
      <c r="B2914" s="21"/>
      <c r="D2914" s="25"/>
      <c r="E2914" s="27"/>
      <c r="F2914" s="25"/>
      <c r="G2914" s="27"/>
    </row>
    <row r="2915">
      <c r="A2915" s="21"/>
      <c r="B2915" s="21"/>
      <c r="D2915" s="25"/>
      <c r="E2915" s="27"/>
      <c r="F2915" s="25"/>
      <c r="G2915" s="27"/>
    </row>
    <row r="2916">
      <c r="A2916" s="21"/>
      <c r="B2916" s="21"/>
      <c r="D2916" s="25"/>
      <c r="E2916" s="27"/>
      <c r="F2916" s="25"/>
      <c r="G2916" s="27"/>
    </row>
    <row r="2917">
      <c r="A2917" s="21"/>
      <c r="B2917" s="21"/>
      <c r="D2917" s="25"/>
      <c r="E2917" s="27"/>
      <c r="F2917" s="25"/>
      <c r="G2917" s="27"/>
    </row>
    <row r="2918">
      <c r="A2918" s="21"/>
      <c r="B2918" s="21"/>
      <c r="D2918" s="25"/>
      <c r="E2918" s="27"/>
      <c r="F2918" s="25"/>
      <c r="G2918" s="27"/>
    </row>
    <row r="2919">
      <c r="A2919" s="21"/>
      <c r="B2919" s="21"/>
      <c r="D2919" s="25"/>
      <c r="E2919" s="27"/>
      <c r="F2919" s="25"/>
      <c r="G2919" s="27"/>
    </row>
    <row r="2920">
      <c r="A2920" s="21"/>
      <c r="B2920" s="21"/>
      <c r="D2920" s="25"/>
      <c r="E2920" s="27"/>
      <c r="F2920" s="25"/>
      <c r="G2920" s="27"/>
    </row>
    <row r="2921">
      <c r="A2921" s="21"/>
      <c r="B2921" s="21"/>
      <c r="D2921" s="25"/>
      <c r="E2921" s="27"/>
      <c r="F2921" s="25"/>
      <c r="G2921" s="27"/>
    </row>
    <row r="2922">
      <c r="A2922" s="21"/>
      <c r="B2922" s="21"/>
      <c r="D2922" s="25"/>
      <c r="E2922" s="27"/>
      <c r="F2922" s="25"/>
      <c r="G2922" s="27"/>
    </row>
    <row r="2923">
      <c r="A2923" s="21"/>
      <c r="B2923" s="21"/>
      <c r="D2923" s="25"/>
      <c r="E2923" s="27"/>
      <c r="F2923" s="25"/>
      <c r="G2923" s="27"/>
    </row>
    <row r="2924">
      <c r="A2924" s="21"/>
      <c r="B2924" s="21"/>
      <c r="D2924" s="25"/>
      <c r="E2924" s="27"/>
      <c r="F2924" s="25"/>
      <c r="G2924" s="27"/>
    </row>
    <row r="2925">
      <c r="A2925" s="21"/>
      <c r="B2925" s="21"/>
      <c r="D2925" s="25"/>
      <c r="E2925" s="27"/>
      <c r="F2925" s="25"/>
      <c r="G2925" s="27"/>
    </row>
    <row r="2926">
      <c r="A2926" s="21"/>
      <c r="B2926" s="21"/>
      <c r="D2926" s="25"/>
      <c r="E2926" s="27"/>
      <c r="F2926" s="25"/>
      <c r="G2926" s="27"/>
    </row>
    <row r="2927">
      <c r="A2927" s="21"/>
      <c r="B2927" s="21"/>
      <c r="D2927" s="25"/>
      <c r="E2927" s="27"/>
      <c r="F2927" s="25"/>
      <c r="G2927" s="27"/>
    </row>
    <row r="2928">
      <c r="A2928" s="21"/>
      <c r="B2928" s="21"/>
      <c r="D2928" s="25"/>
      <c r="E2928" s="27"/>
      <c r="F2928" s="25"/>
      <c r="G2928" s="27"/>
    </row>
    <row r="2929">
      <c r="A2929" s="21"/>
      <c r="B2929" s="21"/>
      <c r="D2929" s="25"/>
      <c r="E2929" s="27"/>
      <c r="F2929" s="25"/>
      <c r="G2929" s="27"/>
    </row>
    <row r="2930">
      <c r="A2930" s="21"/>
      <c r="B2930" s="21"/>
      <c r="D2930" s="25"/>
      <c r="E2930" s="27"/>
      <c r="F2930" s="25"/>
      <c r="G2930" s="27"/>
    </row>
    <row r="2931">
      <c r="A2931" s="21"/>
      <c r="B2931" s="21"/>
      <c r="D2931" s="25"/>
      <c r="E2931" s="27"/>
      <c r="F2931" s="25"/>
      <c r="G2931" s="27"/>
    </row>
    <row r="2932">
      <c r="A2932" s="21"/>
      <c r="B2932" s="21"/>
      <c r="D2932" s="25"/>
      <c r="E2932" s="27"/>
      <c r="F2932" s="25"/>
      <c r="G2932" s="27"/>
    </row>
    <row r="2933">
      <c r="A2933" s="21"/>
      <c r="B2933" s="21"/>
      <c r="D2933" s="25"/>
      <c r="E2933" s="27"/>
      <c r="F2933" s="25"/>
      <c r="G2933" s="27"/>
    </row>
    <row r="2934">
      <c r="A2934" s="21"/>
      <c r="B2934" s="21"/>
      <c r="D2934" s="25"/>
      <c r="E2934" s="27"/>
      <c r="F2934" s="25"/>
      <c r="G2934" s="27"/>
    </row>
    <row r="2935">
      <c r="A2935" s="21"/>
      <c r="B2935" s="21"/>
      <c r="D2935" s="25"/>
      <c r="E2935" s="27"/>
      <c r="F2935" s="25"/>
      <c r="G2935" s="27"/>
    </row>
    <row r="2936">
      <c r="A2936" s="21"/>
      <c r="B2936" s="21"/>
      <c r="D2936" s="25"/>
      <c r="E2936" s="27"/>
      <c r="F2936" s="25"/>
      <c r="G2936" s="27"/>
    </row>
    <row r="2937">
      <c r="A2937" s="21"/>
      <c r="B2937" s="21"/>
      <c r="D2937" s="25"/>
      <c r="E2937" s="27"/>
      <c r="F2937" s="25"/>
      <c r="G2937" s="27"/>
    </row>
    <row r="2938">
      <c r="A2938" s="21"/>
      <c r="B2938" s="21"/>
      <c r="D2938" s="25"/>
      <c r="E2938" s="27"/>
      <c r="F2938" s="25"/>
      <c r="G2938" s="27"/>
    </row>
    <row r="2939">
      <c r="A2939" s="21"/>
      <c r="B2939" s="21"/>
      <c r="D2939" s="25"/>
      <c r="E2939" s="27"/>
      <c r="F2939" s="25"/>
      <c r="G2939" s="27"/>
    </row>
    <row r="2940">
      <c r="A2940" s="21"/>
      <c r="B2940" s="21"/>
      <c r="D2940" s="25"/>
      <c r="E2940" s="27"/>
      <c r="F2940" s="25"/>
      <c r="G2940" s="27"/>
    </row>
    <row r="2941">
      <c r="A2941" s="21"/>
      <c r="B2941" s="21"/>
      <c r="D2941" s="25"/>
      <c r="E2941" s="27"/>
      <c r="F2941" s="25"/>
      <c r="G2941" s="27"/>
    </row>
    <row r="2942">
      <c r="A2942" s="21"/>
      <c r="B2942" s="21"/>
      <c r="D2942" s="25"/>
      <c r="E2942" s="27"/>
      <c r="F2942" s="25"/>
      <c r="G2942" s="27"/>
    </row>
    <row r="2943">
      <c r="A2943" s="21"/>
      <c r="B2943" s="21"/>
      <c r="D2943" s="25"/>
      <c r="E2943" s="27"/>
      <c r="F2943" s="25"/>
      <c r="G2943" s="27"/>
    </row>
    <row r="2944">
      <c r="A2944" s="21"/>
      <c r="B2944" s="21"/>
      <c r="D2944" s="25"/>
      <c r="E2944" s="27"/>
      <c r="F2944" s="25"/>
      <c r="G2944" s="27"/>
    </row>
    <row r="2945">
      <c r="A2945" s="21"/>
      <c r="B2945" s="21"/>
      <c r="D2945" s="25"/>
      <c r="E2945" s="27"/>
      <c r="F2945" s="25"/>
      <c r="G2945" s="27"/>
    </row>
    <row r="2946">
      <c r="A2946" s="21"/>
      <c r="B2946" s="21"/>
      <c r="D2946" s="25"/>
      <c r="E2946" s="27"/>
      <c r="F2946" s="25"/>
      <c r="G2946" s="27"/>
    </row>
    <row r="2947">
      <c r="A2947" s="21"/>
      <c r="B2947" s="21"/>
      <c r="D2947" s="25"/>
      <c r="E2947" s="27"/>
      <c r="F2947" s="25"/>
      <c r="G2947" s="27"/>
    </row>
    <row r="2948">
      <c r="A2948" s="21"/>
      <c r="B2948" s="21"/>
      <c r="D2948" s="25"/>
      <c r="E2948" s="27"/>
      <c r="F2948" s="25"/>
      <c r="G2948" s="27"/>
    </row>
    <row r="2949">
      <c r="A2949" s="21"/>
      <c r="B2949" s="21"/>
      <c r="D2949" s="25"/>
      <c r="E2949" s="27"/>
      <c r="F2949" s="25"/>
      <c r="G2949" s="27"/>
    </row>
    <row r="2950">
      <c r="A2950" s="21"/>
      <c r="B2950" s="21"/>
      <c r="D2950" s="25"/>
      <c r="E2950" s="27"/>
      <c r="F2950" s="25"/>
      <c r="G2950" s="27"/>
    </row>
    <row r="2951">
      <c r="A2951" s="21"/>
      <c r="B2951" s="21"/>
      <c r="D2951" s="25"/>
      <c r="E2951" s="27"/>
      <c r="F2951" s="25"/>
      <c r="G2951" s="27"/>
    </row>
    <row r="2952">
      <c r="A2952" s="21"/>
      <c r="B2952" s="21"/>
      <c r="D2952" s="25"/>
      <c r="E2952" s="27"/>
      <c r="F2952" s="25"/>
      <c r="G2952" s="27"/>
    </row>
    <row r="2953">
      <c r="A2953" s="21"/>
      <c r="B2953" s="21"/>
      <c r="D2953" s="25"/>
      <c r="E2953" s="27"/>
      <c r="F2953" s="25"/>
      <c r="G2953" s="27"/>
    </row>
    <row r="2954">
      <c r="A2954" s="21"/>
      <c r="B2954" s="21"/>
      <c r="D2954" s="25"/>
      <c r="E2954" s="27"/>
      <c r="F2954" s="25"/>
      <c r="G2954" s="27"/>
    </row>
    <row r="2955">
      <c r="A2955" s="21"/>
      <c r="B2955" s="21"/>
      <c r="D2955" s="25"/>
      <c r="E2955" s="27"/>
      <c r="F2955" s="25"/>
      <c r="G2955" s="27"/>
    </row>
    <row r="2956">
      <c r="A2956" s="21"/>
      <c r="B2956" s="21"/>
      <c r="D2956" s="25"/>
      <c r="E2956" s="27"/>
      <c r="F2956" s="25"/>
      <c r="G2956" s="27"/>
    </row>
    <row r="2957">
      <c r="A2957" s="21"/>
      <c r="B2957" s="21"/>
      <c r="D2957" s="25"/>
      <c r="E2957" s="27"/>
      <c r="F2957" s="25"/>
      <c r="G2957" s="27"/>
    </row>
    <row r="2958">
      <c r="A2958" s="21"/>
      <c r="B2958" s="21"/>
      <c r="D2958" s="25"/>
      <c r="E2958" s="27"/>
      <c r="F2958" s="25"/>
      <c r="G2958" s="27"/>
    </row>
    <row r="2959">
      <c r="A2959" s="21"/>
      <c r="B2959" s="21"/>
      <c r="D2959" s="25"/>
      <c r="E2959" s="27"/>
      <c r="F2959" s="25"/>
      <c r="G2959" s="27"/>
    </row>
    <row r="2960">
      <c r="A2960" s="21"/>
      <c r="B2960" s="21"/>
      <c r="D2960" s="25"/>
      <c r="E2960" s="27"/>
      <c r="F2960" s="25"/>
      <c r="G2960" s="27"/>
    </row>
    <row r="2961">
      <c r="A2961" s="21"/>
      <c r="B2961" s="21"/>
      <c r="D2961" s="25"/>
      <c r="E2961" s="27"/>
      <c r="F2961" s="25"/>
      <c r="G2961" s="27"/>
    </row>
    <row r="2962">
      <c r="A2962" s="21"/>
      <c r="B2962" s="21"/>
      <c r="D2962" s="25"/>
      <c r="E2962" s="27"/>
      <c r="F2962" s="25"/>
      <c r="G2962" s="27"/>
    </row>
    <row r="2963">
      <c r="A2963" s="21"/>
      <c r="B2963" s="21"/>
      <c r="D2963" s="25"/>
      <c r="E2963" s="27"/>
      <c r="F2963" s="25"/>
      <c r="G2963" s="27"/>
    </row>
    <row r="2964">
      <c r="A2964" s="21"/>
      <c r="B2964" s="21"/>
      <c r="D2964" s="25"/>
      <c r="E2964" s="27"/>
      <c r="F2964" s="25"/>
      <c r="G2964" s="27"/>
    </row>
    <row r="2965">
      <c r="A2965" s="21"/>
      <c r="B2965" s="21"/>
      <c r="D2965" s="25"/>
      <c r="E2965" s="27"/>
      <c r="F2965" s="25"/>
      <c r="G2965" s="27"/>
    </row>
    <row r="2966">
      <c r="A2966" s="21"/>
      <c r="B2966" s="21"/>
      <c r="D2966" s="25"/>
      <c r="E2966" s="27"/>
      <c r="F2966" s="25"/>
      <c r="G2966" s="27"/>
    </row>
    <row r="2967">
      <c r="A2967" s="21"/>
      <c r="B2967" s="21"/>
      <c r="D2967" s="25"/>
      <c r="E2967" s="27"/>
      <c r="F2967" s="25"/>
      <c r="G2967" s="27"/>
    </row>
    <row r="2968">
      <c r="A2968" s="21"/>
      <c r="B2968" s="21"/>
      <c r="D2968" s="25"/>
      <c r="E2968" s="27"/>
      <c r="F2968" s="25"/>
      <c r="G2968" s="27"/>
    </row>
    <row r="2969">
      <c r="A2969" s="21"/>
      <c r="B2969" s="21"/>
      <c r="D2969" s="25"/>
      <c r="E2969" s="27"/>
      <c r="F2969" s="25"/>
      <c r="G2969" s="27"/>
    </row>
    <row r="2970">
      <c r="A2970" s="21"/>
      <c r="B2970" s="21"/>
      <c r="D2970" s="25"/>
      <c r="E2970" s="27"/>
      <c r="F2970" s="25"/>
      <c r="G2970" s="27"/>
    </row>
    <row r="2971">
      <c r="A2971" s="21"/>
      <c r="B2971" s="21"/>
      <c r="D2971" s="25"/>
      <c r="E2971" s="27"/>
      <c r="F2971" s="25"/>
      <c r="G2971" s="27"/>
    </row>
    <row r="2972">
      <c r="A2972" s="21"/>
      <c r="B2972" s="21"/>
      <c r="D2972" s="25"/>
      <c r="E2972" s="27"/>
      <c r="F2972" s="25"/>
      <c r="G2972" s="27"/>
    </row>
    <row r="2973">
      <c r="A2973" s="21"/>
      <c r="B2973" s="21"/>
      <c r="D2973" s="25"/>
      <c r="E2973" s="27"/>
      <c r="F2973" s="25"/>
      <c r="G2973" s="27"/>
    </row>
    <row r="2974">
      <c r="A2974" s="21"/>
      <c r="B2974" s="21"/>
      <c r="D2974" s="25"/>
      <c r="E2974" s="27"/>
      <c r="F2974" s="25"/>
      <c r="G2974" s="27"/>
    </row>
    <row r="2975">
      <c r="A2975" s="21"/>
      <c r="B2975" s="21"/>
      <c r="D2975" s="25"/>
      <c r="E2975" s="27"/>
      <c r="F2975" s="25"/>
      <c r="G2975" s="27"/>
    </row>
    <row r="2976">
      <c r="A2976" s="21"/>
      <c r="B2976" s="21"/>
      <c r="D2976" s="25"/>
      <c r="E2976" s="27"/>
      <c r="F2976" s="25"/>
      <c r="G2976" s="27"/>
    </row>
    <row r="2977">
      <c r="A2977" s="21"/>
      <c r="B2977" s="21"/>
      <c r="D2977" s="25"/>
      <c r="E2977" s="27"/>
      <c r="F2977" s="25"/>
      <c r="G2977" s="27"/>
    </row>
    <row r="2978">
      <c r="A2978" s="21"/>
      <c r="B2978" s="21"/>
      <c r="D2978" s="25"/>
      <c r="E2978" s="27"/>
      <c r="F2978" s="25"/>
      <c r="G2978" s="27"/>
    </row>
    <row r="2979">
      <c r="A2979" s="21"/>
      <c r="B2979" s="21"/>
      <c r="D2979" s="25"/>
      <c r="E2979" s="27"/>
      <c r="F2979" s="25"/>
      <c r="G2979" s="27"/>
    </row>
    <row r="2980">
      <c r="A2980" s="21"/>
      <c r="B2980" s="21"/>
      <c r="D2980" s="25"/>
      <c r="E2980" s="27"/>
      <c r="F2980" s="25"/>
      <c r="G2980" s="27"/>
    </row>
    <row r="2981">
      <c r="A2981" s="21"/>
      <c r="B2981" s="21"/>
      <c r="D2981" s="25"/>
      <c r="E2981" s="27"/>
      <c r="F2981" s="25"/>
      <c r="G2981" s="27"/>
    </row>
    <row r="2982">
      <c r="A2982" s="21"/>
      <c r="B2982" s="21"/>
      <c r="D2982" s="25"/>
      <c r="E2982" s="27"/>
      <c r="F2982" s="25"/>
      <c r="G2982" s="27"/>
    </row>
    <row r="2983">
      <c r="A2983" s="21"/>
      <c r="B2983" s="21"/>
      <c r="D2983" s="25"/>
      <c r="E2983" s="27"/>
      <c r="F2983" s="25"/>
      <c r="G2983" s="27"/>
    </row>
    <row r="2984">
      <c r="A2984" s="21"/>
      <c r="B2984" s="21"/>
      <c r="D2984" s="25"/>
      <c r="E2984" s="27"/>
      <c r="F2984" s="25"/>
      <c r="G2984" s="27"/>
    </row>
    <row r="2985">
      <c r="A2985" s="21"/>
      <c r="B2985" s="21"/>
      <c r="D2985" s="25"/>
      <c r="E2985" s="27"/>
      <c r="F2985" s="25"/>
      <c r="G2985" s="27"/>
    </row>
    <row r="2986">
      <c r="A2986" s="21"/>
      <c r="B2986" s="21"/>
      <c r="D2986" s="25"/>
      <c r="E2986" s="27"/>
      <c r="F2986" s="25"/>
      <c r="G2986" s="27"/>
    </row>
    <row r="2987">
      <c r="A2987" s="21"/>
      <c r="B2987" s="21"/>
      <c r="D2987" s="25"/>
      <c r="E2987" s="27"/>
      <c r="F2987" s="25"/>
      <c r="G2987" s="27"/>
    </row>
    <row r="2988">
      <c r="A2988" s="21"/>
      <c r="B2988" s="21"/>
      <c r="D2988" s="25"/>
      <c r="E2988" s="27"/>
      <c r="F2988" s="25"/>
      <c r="G2988" s="27"/>
    </row>
    <row r="2989">
      <c r="A2989" s="21"/>
      <c r="B2989" s="21"/>
      <c r="D2989" s="25"/>
      <c r="E2989" s="27"/>
      <c r="F2989" s="25"/>
      <c r="G2989" s="27"/>
    </row>
    <row r="2990">
      <c r="A2990" s="21"/>
      <c r="B2990" s="21"/>
      <c r="D2990" s="25"/>
      <c r="E2990" s="27"/>
      <c r="F2990" s="25"/>
      <c r="G2990" s="27"/>
    </row>
    <row r="2991">
      <c r="A2991" s="21"/>
      <c r="B2991" s="21"/>
      <c r="D2991" s="25"/>
      <c r="E2991" s="27"/>
      <c r="F2991" s="25"/>
      <c r="G2991" s="27"/>
    </row>
    <row r="2992">
      <c r="A2992" s="21"/>
      <c r="B2992" s="21"/>
      <c r="D2992" s="25"/>
      <c r="E2992" s="27"/>
      <c r="F2992" s="25"/>
      <c r="G2992" s="27"/>
    </row>
    <row r="2993">
      <c r="A2993" s="21"/>
      <c r="B2993" s="21"/>
      <c r="D2993" s="25"/>
      <c r="E2993" s="27"/>
      <c r="F2993" s="25"/>
      <c r="G2993" s="27"/>
    </row>
    <row r="2994">
      <c r="A2994" s="21"/>
      <c r="B2994" s="21"/>
      <c r="D2994" s="25"/>
      <c r="E2994" s="27"/>
      <c r="F2994" s="25"/>
      <c r="G2994" s="27"/>
    </row>
    <row r="2995">
      <c r="A2995" s="21"/>
      <c r="B2995" s="21"/>
      <c r="D2995" s="25"/>
      <c r="E2995" s="27"/>
      <c r="F2995" s="25"/>
      <c r="G2995" s="27"/>
    </row>
    <row r="2996">
      <c r="A2996" s="21"/>
      <c r="B2996" s="21"/>
      <c r="D2996" s="25"/>
      <c r="E2996" s="27"/>
      <c r="F2996" s="25"/>
      <c r="G2996" s="27"/>
    </row>
    <row r="2997">
      <c r="A2997" s="21"/>
      <c r="B2997" s="21"/>
      <c r="D2997" s="25"/>
      <c r="E2997" s="27"/>
      <c r="F2997" s="25"/>
      <c r="G2997" s="27"/>
    </row>
    <row r="2998">
      <c r="A2998" s="21"/>
      <c r="B2998" s="21"/>
      <c r="D2998" s="25"/>
      <c r="E2998" s="27"/>
      <c r="F2998" s="25"/>
      <c r="G2998" s="27"/>
    </row>
    <row r="2999">
      <c r="A2999" s="21"/>
      <c r="B2999" s="21"/>
      <c r="D2999" s="25"/>
      <c r="E2999" s="27"/>
      <c r="F2999" s="25"/>
      <c r="G2999" s="27"/>
    </row>
    <row r="3000">
      <c r="A3000" s="21"/>
      <c r="B3000" s="21"/>
      <c r="D3000" s="25"/>
      <c r="E3000" s="27"/>
      <c r="F3000" s="25"/>
      <c r="G3000" s="27"/>
    </row>
    <row r="3001">
      <c r="A3001" s="21"/>
      <c r="B3001" s="21"/>
      <c r="D3001" s="25"/>
      <c r="E3001" s="27"/>
      <c r="F3001" s="25"/>
      <c r="G3001" s="27"/>
    </row>
    <row r="3002">
      <c r="A3002" s="21"/>
      <c r="B3002" s="21"/>
      <c r="D3002" s="25"/>
      <c r="E3002" s="27"/>
      <c r="F3002" s="25"/>
      <c r="G3002" s="27"/>
    </row>
    <row r="3003">
      <c r="A3003" s="21"/>
      <c r="B3003" s="21"/>
      <c r="D3003" s="25"/>
      <c r="E3003" s="27"/>
      <c r="F3003" s="25"/>
      <c r="G3003" s="27"/>
    </row>
    <row r="3004">
      <c r="A3004" s="21"/>
      <c r="B3004" s="21"/>
      <c r="D3004" s="25"/>
      <c r="E3004" s="27"/>
      <c r="F3004" s="25"/>
      <c r="G3004" s="27"/>
    </row>
    <row r="3005">
      <c r="A3005" s="21"/>
      <c r="B3005" s="21"/>
      <c r="D3005" s="25"/>
      <c r="E3005" s="27"/>
      <c r="F3005" s="25"/>
      <c r="G3005" s="27"/>
    </row>
    <row r="3006">
      <c r="A3006" s="21"/>
      <c r="B3006" s="21"/>
      <c r="D3006" s="25"/>
      <c r="E3006" s="27"/>
      <c r="F3006" s="25"/>
      <c r="G3006" s="27"/>
    </row>
    <row r="3007">
      <c r="A3007" s="21"/>
      <c r="B3007" s="21"/>
      <c r="D3007" s="25"/>
      <c r="E3007" s="27"/>
      <c r="F3007" s="25"/>
      <c r="G3007" s="27"/>
    </row>
    <row r="3008">
      <c r="A3008" s="21"/>
      <c r="B3008" s="21"/>
      <c r="D3008" s="25"/>
      <c r="E3008" s="27"/>
      <c r="F3008" s="25"/>
      <c r="G3008" s="27"/>
    </row>
    <row r="3009">
      <c r="A3009" s="21"/>
      <c r="B3009" s="21"/>
      <c r="D3009" s="25"/>
      <c r="E3009" s="27"/>
      <c r="F3009" s="25"/>
      <c r="G3009" s="27"/>
    </row>
    <row r="3010">
      <c r="A3010" s="21"/>
      <c r="B3010" s="21"/>
      <c r="D3010" s="25"/>
      <c r="E3010" s="27"/>
      <c r="F3010" s="25"/>
      <c r="G3010" s="27"/>
    </row>
    <row r="3011">
      <c r="A3011" s="21"/>
      <c r="B3011" s="21"/>
      <c r="D3011" s="25"/>
      <c r="E3011" s="27"/>
      <c r="F3011" s="25"/>
      <c r="G3011" s="27"/>
    </row>
    <row r="3012">
      <c r="A3012" s="21"/>
      <c r="B3012" s="21"/>
      <c r="D3012" s="25"/>
      <c r="E3012" s="27"/>
      <c r="F3012" s="25"/>
      <c r="G3012" s="27"/>
    </row>
    <row r="3013">
      <c r="A3013" s="21"/>
      <c r="B3013" s="21"/>
      <c r="D3013" s="25"/>
      <c r="E3013" s="27"/>
      <c r="F3013" s="25"/>
      <c r="G3013" s="27"/>
    </row>
    <row r="3014">
      <c r="A3014" s="21"/>
      <c r="B3014" s="21"/>
      <c r="D3014" s="25"/>
      <c r="E3014" s="27"/>
      <c r="F3014" s="25"/>
      <c r="G3014" s="27"/>
    </row>
    <row r="3015">
      <c r="A3015" s="21"/>
      <c r="B3015" s="21"/>
      <c r="D3015" s="25"/>
      <c r="E3015" s="27"/>
      <c r="F3015" s="25"/>
      <c r="G3015" s="27"/>
    </row>
    <row r="3016">
      <c r="A3016" s="21"/>
      <c r="B3016" s="21"/>
      <c r="D3016" s="25"/>
      <c r="E3016" s="27"/>
      <c r="F3016" s="25"/>
      <c r="G3016" s="27"/>
    </row>
    <row r="3017">
      <c r="A3017" s="21"/>
      <c r="B3017" s="21"/>
      <c r="D3017" s="25"/>
      <c r="E3017" s="27"/>
      <c r="F3017" s="25"/>
      <c r="G3017" s="27"/>
    </row>
    <row r="3018">
      <c r="A3018" s="21"/>
      <c r="B3018" s="21"/>
      <c r="D3018" s="25"/>
      <c r="E3018" s="27"/>
      <c r="F3018" s="25"/>
      <c r="G3018" s="27"/>
    </row>
    <row r="3019">
      <c r="A3019" s="21"/>
      <c r="B3019" s="21"/>
      <c r="D3019" s="25"/>
      <c r="E3019" s="27"/>
      <c r="F3019" s="25"/>
      <c r="G3019" s="27"/>
    </row>
    <row r="3020">
      <c r="A3020" s="21"/>
      <c r="B3020" s="21"/>
      <c r="D3020" s="25"/>
      <c r="E3020" s="27"/>
      <c r="F3020" s="25"/>
      <c r="G3020" s="27"/>
    </row>
    <row r="3021">
      <c r="A3021" s="21"/>
      <c r="B3021" s="21"/>
      <c r="D3021" s="25"/>
      <c r="E3021" s="27"/>
      <c r="F3021" s="25"/>
      <c r="G3021" s="27"/>
    </row>
    <row r="3022">
      <c r="A3022" s="21"/>
      <c r="B3022" s="21"/>
      <c r="D3022" s="25"/>
      <c r="E3022" s="27"/>
      <c r="F3022" s="25"/>
      <c r="G3022" s="27"/>
    </row>
    <row r="3023">
      <c r="A3023" s="21"/>
      <c r="B3023" s="21"/>
      <c r="D3023" s="25"/>
      <c r="E3023" s="27"/>
      <c r="F3023" s="25"/>
      <c r="G3023" s="27"/>
    </row>
    <row r="3024">
      <c r="A3024" s="21"/>
      <c r="B3024" s="21"/>
      <c r="D3024" s="25"/>
      <c r="E3024" s="27"/>
      <c r="F3024" s="25"/>
      <c r="G3024" s="27"/>
    </row>
    <row r="3025">
      <c r="A3025" s="21"/>
      <c r="B3025" s="21"/>
      <c r="D3025" s="25"/>
      <c r="E3025" s="27"/>
      <c r="F3025" s="25"/>
      <c r="G3025" s="27"/>
    </row>
    <row r="3026">
      <c r="A3026" s="21"/>
      <c r="B3026" s="21"/>
      <c r="D3026" s="25"/>
      <c r="E3026" s="27"/>
      <c r="F3026" s="25"/>
      <c r="G3026" s="27"/>
    </row>
    <row r="3027">
      <c r="A3027" s="21"/>
      <c r="B3027" s="21"/>
      <c r="D3027" s="25"/>
      <c r="E3027" s="27"/>
      <c r="F3027" s="25"/>
      <c r="G3027" s="27"/>
    </row>
    <row r="3028">
      <c r="A3028" s="21"/>
      <c r="B3028" s="21"/>
      <c r="D3028" s="25"/>
      <c r="E3028" s="27"/>
      <c r="F3028" s="25"/>
      <c r="G3028" s="27"/>
    </row>
    <row r="3029">
      <c r="A3029" s="21"/>
      <c r="B3029" s="21"/>
      <c r="D3029" s="25"/>
      <c r="E3029" s="27"/>
      <c r="F3029" s="25"/>
      <c r="G3029" s="27"/>
    </row>
    <row r="3030">
      <c r="A3030" s="21"/>
      <c r="B3030" s="21"/>
      <c r="D3030" s="25"/>
      <c r="E3030" s="27"/>
      <c r="F3030" s="25"/>
      <c r="G3030" s="27"/>
    </row>
    <row r="3031">
      <c r="A3031" s="21"/>
      <c r="B3031" s="21"/>
      <c r="D3031" s="25"/>
      <c r="E3031" s="27"/>
      <c r="F3031" s="25"/>
      <c r="G3031" s="27"/>
    </row>
    <row r="3032">
      <c r="A3032" s="21"/>
      <c r="B3032" s="21"/>
      <c r="D3032" s="25"/>
      <c r="E3032" s="27"/>
      <c r="F3032" s="25"/>
      <c r="G3032" s="27"/>
    </row>
    <row r="3033">
      <c r="A3033" s="21"/>
      <c r="B3033" s="21"/>
      <c r="D3033" s="25"/>
      <c r="E3033" s="27"/>
      <c r="F3033" s="25"/>
      <c r="G3033" s="27"/>
    </row>
    <row r="3034">
      <c r="A3034" s="21"/>
      <c r="B3034" s="21"/>
      <c r="D3034" s="25"/>
      <c r="E3034" s="27"/>
      <c r="F3034" s="25"/>
      <c r="G3034" s="27"/>
    </row>
    <row r="3035">
      <c r="A3035" s="21"/>
      <c r="B3035" s="21"/>
      <c r="D3035" s="25"/>
      <c r="E3035" s="27"/>
      <c r="F3035" s="25"/>
      <c r="G3035" s="27"/>
    </row>
    <row r="3036">
      <c r="A3036" s="21"/>
      <c r="B3036" s="21"/>
      <c r="D3036" s="25"/>
      <c r="E3036" s="27"/>
      <c r="F3036" s="25"/>
      <c r="G3036" s="27"/>
    </row>
    <row r="3037">
      <c r="A3037" s="21"/>
      <c r="B3037" s="21"/>
      <c r="D3037" s="25"/>
      <c r="E3037" s="27"/>
      <c r="F3037" s="25"/>
      <c r="G3037" s="27"/>
    </row>
    <row r="3038">
      <c r="A3038" s="21"/>
      <c r="B3038" s="21"/>
      <c r="D3038" s="25"/>
      <c r="E3038" s="27"/>
      <c r="F3038" s="25"/>
      <c r="G3038" s="27"/>
    </row>
    <row r="3039">
      <c r="A3039" s="21"/>
      <c r="B3039" s="21"/>
      <c r="D3039" s="25"/>
      <c r="E3039" s="27"/>
      <c r="F3039" s="25"/>
      <c r="G3039" s="27"/>
    </row>
    <row r="3040">
      <c r="A3040" s="21"/>
      <c r="B3040" s="21"/>
      <c r="D3040" s="25"/>
      <c r="E3040" s="27"/>
      <c r="F3040" s="25"/>
      <c r="G3040" s="27"/>
    </row>
    <row r="3041">
      <c r="A3041" s="21"/>
      <c r="B3041" s="21"/>
      <c r="D3041" s="25"/>
      <c r="E3041" s="27"/>
      <c r="F3041" s="25"/>
      <c r="G3041" s="27"/>
    </row>
    <row r="3042">
      <c r="A3042" s="21"/>
      <c r="B3042" s="21"/>
      <c r="D3042" s="25"/>
      <c r="E3042" s="27"/>
      <c r="F3042" s="25"/>
      <c r="G3042" s="27"/>
    </row>
    <row r="3043">
      <c r="A3043" s="21"/>
      <c r="B3043" s="21"/>
      <c r="D3043" s="25"/>
      <c r="E3043" s="27"/>
      <c r="F3043" s="25"/>
      <c r="G3043" s="27"/>
    </row>
    <row r="3044">
      <c r="A3044" s="21"/>
      <c r="B3044" s="21"/>
      <c r="D3044" s="25"/>
      <c r="E3044" s="27"/>
      <c r="F3044" s="25"/>
      <c r="G3044" s="27"/>
    </row>
    <row r="3045">
      <c r="A3045" s="21"/>
      <c r="B3045" s="21"/>
      <c r="D3045" s="25"/>
      <c r="E3045" s="27"/>
      <c r="F3045" s="25"/>
      <c r="G3045" s="27"/>
    </row>
    <row r="3046">
      <c r="A3046" s="21"/>
      <c r="B3046" s="21"/>
      <c r="D3046" s="25"/>
      <c r="E3046" s="27"/>
      <c r="F3046" s="25"/>
      <c r="G3046" s="27"/>
    </row>
    <row r="3047">
      <c r="A3047" s="21"/>
      <c r="B3047" s="21"/>
      <c r="D3047" s="25"/>
      <c r="E3047" s="27"/>
      <c r="F3047" s="25"/>
      <c r="G3047" s="27"/>
    </row>
    <row r="3048">
      <c r="A3048" s="21"/>
      <c r="B3048" s="21"/>
      <c r="D3048" s="25"/>
      <c r="E3048" s="27"/>
      <c r="F3048" s="25"/>
      <c r="G3048" s="27"/>
    </row>
    <row r="3049">
      <c r="A3049" s="21"/>
      <c r="B3049" s="21"/>
      <c r="D3049" s="25"/>
      <c r="E3049" s="27"/>
      <c r="F3049" s="25"/>
      <c r="G3049" s="27"/>
    </row>
    <row r="3050">
      <c r="A3050" s="21"/>
      <c r="B3050" s="21"/>
      <c r="D3050" s="25"/>
      <c r="E3050" s="27"/>
      <c r="F3050" s="25"/>
      <c r="G3050" s="27"/>
    </row>
    <row r="3051">
      <c r="A3051" s="21"/>
      <c r="B3051" s="21"/>
      <c r="D3051" s="25"/>
      <c r="E3051" s="27"/>
      <c r="F3051" s="25"/>
      <c r="G3051" s="27"/>
    </row>
    <row r="3052">
      <c r="A3052" s="21"/>
      <c r="B3052" s="21"/>
      <c r="D3052" s="25"/>
      <c r="E3052" s="27"/>
      <c r="F3052" s="25"/>
      <c r="G3052" s="27"/>
    </row>
    <row r="3053">
      <c r="A3053" s="21"/>
      <c r="B3053" s="21"/>
      <c r="D3053" s="25"/>
      <c r="E3053" s="27"/>
      <c r="F3053" s="25"/>
      <c r="G3053" s="27"/>
    </row>
    <row r="3054">
      <c r="A3054" s="21"/>
      <c r="B3054" s="21"/>
      <c r="D3054" s="25"/>
      <c r="E3054" s="27"/>
      <c r="F3054" s="25"/>
      <c r="G3054" s="27"/>
    </row>
    <row r="3055">
      <c r="A3055" s="21"/>
      <c r="B3055" s="21"/>
      <c r="D3055" s="25"/>
      <c r="E3055" s="27"/>
      <c r="F3055" s="25"/>
      <c r="G3055" s="27"/>
    </row>
    <row r="3056">
      <c r="A3056" s="21"/>
      <c r="B3056" s="21"/>
      <c r="D3056" s="25"/>
      <c r="E3056" s="27"/>
      <c r="F3056" s="25"/>
      <c r="G3056" s="27"/>
    </row>
    <row r="3057">
      <c r="A3057" s="21"/>
      <c r="B3057" s="21"/>
      <c r="D3057" s="25"/>
      <c r="E3057" s="27"/>
      <c r="F3057" s="25"/>
      <c r="G3057" s="27"/>
    </row>
    <row r="3058">
      <c r="A3058" s="21"/>
      <c r="B3058" s="21"/>
      <c r="D3058" s="25"/>
      <c r="E3058" s="27"/>
      <c r="F3058" s="25"/>
      <c r="G3058" s="27"/>
    </row>
    <row r="3059">
      <c r="A3059" s="21"/>
      <c r="B3059" s="21"/>
      <c r="D3059" s="25"/>
      <c r="E3059" s="27"/>
      <c r="F3059" s="25"/>
      <c r="G3059" s="27"/>
    </row>
    <row r="3060">
      <c r="A3060" s="21"/>
      <c r="B3060" s="21"/>
      <c r="D3060" s="25"/>
      <c r="E3060" s="27"/>
      <c r="F3060" s="25"/>
      <c r="G3060" s="27"/>
    </row>
    <row r="3061">
      <c r="A3061" s="21"/>
      <c r="B3061" s="21"/>
      <c r="D3061" s="25"/>
      <c r="E3061" s="27"/>
      <c r="F3061" s="25"/>
      <c r="G3061" s="27"/>
    </row>
    <row r="3062">
      <c r="A3062" s="21"/>
      <c r="B3062" s="21"/>
      <c r="D3062" s="25"/>
      <c r="E3062" s="27"/>
      <c r="F3062" s="25"/>
      <c r="G3062" s="27"/>
    </row>
    <row r="3063">
      <c r="A3063" s="21"/>
      <c r="B3063" s="21"/>
      <c r="D3063" s="25"/>
      <c r="E3063" s="27"/>
      <c r="F3063" s="25"/>
      <c r="G3063" s="27"/>
    </row>
    <row r="3064">
      <c r="A3064" s="21"/>
      <c r="B3064" s="21"/>
      <c r="D3064" s="25"/>
      <c r="E3064" s="27"/>
      <c r="F3064" s="25"/>
      <c r="G3064" s="27"/>
    </row>
    <row r="3065">
      <c r="A3065" s="21"/>
      <c r="B3065" s="21"/>
      <c r="D3065" s="25"/>
      <c r="E3065" s="27"/>
      <c r="F3065" s="25"/>
      <c r="G3065" s="27"/>
    </row>
    <row r="3066">
      <c r="A3066" s="21"/>
      <c r="B3066" s="21"/>
      <c r="D3066" s="25"/>
      <c r="E3066" s="27"/>
      <c r="F3066" s="25"/>
      <c r="G3066" s="27"/>
    </row>
    <row r="3067">
      <c r="A3067" s="21"/>
      <c r="B3067" s="21"/>
      <c r="D3067" s="25"/>
      <c r="E3067" s="27"/>
      <c r="F3067" s="25"/>
      <c r="G3067" s="27"/>
    </row>
    <row r="3068">
      <c r="A3068" s="21"/>
      <c r="B3068" s="21"/>
      <c r="D3068" s="25"/>
      <c r="E3068" s="27"/>
      <c r="F3068" s="25"/>
      <c r="G3068" s="27"/>
    </row>
    <row r="3069">
      <c r="A3069" s="21"/>
      <c r="B3069" s="21"/>
      <c r="D3069" s="25"/>
      <c r="E3069" s="27"/>
      <c r="F3069" s="25"/>
      <c r="G3069" s="27"/>
    </row>
    <row r="3070">
      <c r="A3070" s="21"/>
      <c r="B3070" s="21"/>
      <c r="D3070" s="25"/>
      <c r="E3070" s="27"/>
      <c r="F3070" s="25"/>
      <c r="G3070" s="27"/>
    </row>
    <row r="3071">
      <c r="A3071" s="21"/>
      <c r="B3071" s="21"/>
      <c r="D3071" s="25"/>
      <c r="E3071" s="27"/>
      <c r="F3071" s="25"/>
      <c r="G3071" s="27"/>
    </row>
    <row r="3072">
      <c r="A3072" s="21"/>
      <c r="B3072" s="21"/>
      <c r="D3072" s="25"/>
      <c r="E3072" s="27"/>
      <c r="F3072" s="25"/>
      <c r="G3072" s="27"/>
    </row>
    <row r="3073">
      <c r="A3073" s="21"/>
      <c r="B3073" s="21"/>
      <c r="D3073" s="25"/>
      <c r="E3073" s="27"/>
      <c r="F3073" s="25"/>
      <c r="G3073" s="27"/>
    </row>
    <row r="3074">
      <c r="A3074" s="21"/>
      <c r="B3074" s="21"/>
      <c r="D3074" s="25"/>
      <c r="E3074" s="27"/>
      <c r="F3074" s="25"/>
      <c r="G3074" s="27"/>
    </row>
    <row r="3075">
      <c r="A3075" s="21"/>
      <c r="B3075" s="21"/>
      <c r="D3075" s="25"/>
      <c r="E3075" s="27"/>
      <c r="F3075" s="25"/>
      <c r="G3075" s="27"/>
    </row>
    <row r="3076">
      <c r="A3076" s="21"/>
      <c r="B3076" s="21"/>
      <c r="D3076" s="25"/>
      <c r="E3076" s="27"/>
      <c r="F3076" s="25"/>
      <c r="G3076" s="27"/>
    </row>
    <row r="3077">
      <c r="A3077" s="21"/>
      <c r="B3077" s="21"/>
      <c r="D3077" s="25"/>
      <c r="E3077" s="27"/>
      <c r="F3077" s="25"/>
      <c r="G3077" s="27"/>
    </row>
    <row r="3078">
      <c r="A3078" s="21"/>
      <c r="B3078" s="21"/>
      <c r="D3078" s="25"/>
      <c r="E3078" s="27"/>
      <c r="F3078" s="25"/>
      <c r="G3078" s="27"/>
    </row>
    <row r="3079">
      <c r="A3079" s="21"/>
      <c r="B3079" s="21"/>
      <c r="D3079" s="25"/>
      <c r="E3079" s="27"/>
      <c r="F3079" s="25"/>
      <c r="G3079" s="27"/>
    </row>
    <row r="3080">
      <c r="A3080" s="21"/>
      <c r="B3080" s="21"/>
      <c r="D3080" s="25"/>
      <c r="E3080" s="27"/>
      <c r="F3080" s="25"/>
      <c r="G3080" s="27"/>
    </row>
    <row r="3081">
      <c r="A3081" s="21"/>
      <c r="B3081" s="21"/>
      <c r="D3081" s="25"/>
      <c r="E3081" s="27"/>
      <c r="F3081" s="25"/>
      <c r="G3081" s="27"/>
    </row>
    <row r="3082">
      <c r="A3082" s="21"/>
      <c r="B3082" s="21"/>
      <c r="D3082" s="25"/>
      <c r="E3082" s="27"/>
      <c r="F3082" s="25"/>
      <c r="G3082" s="27"/>
    </row>
    <row r="3083">
      <c r="A3083" s="21"/>
      <c r="B3083" s="21"/>
      <c r="D3083" s="25"/>
      <c r="E3083" s="27"/>
      <c r="F3083" s="25"/>
      <c r="G3083" s="27"/>
    </row>
    <row r="3084">
      <c r="A3084" s="21"/>
      <c r="B3084" s="21"/>
      <c r="D3084" s="25"/>
      <c r="E3084" s="27"/>
      <c r="F3084" s="25"/>
      <c r="G3084" s="27"/>
    </row>
    <row r="3085">
      <c r="A3085" s="21"/>
      <c r="B3085" s="21"/>
      <c r="D3085" s="25"/>
      <c r="E3085" s="27"/>
      <c r="F3085" s="25"/>
      <c r="G3085" s="27"/>
    </row>
    <row r="3086">
      <c r="A3086" s="21"/>
      <c r="B3086" s="21"/>
      <c r="D3086" s="25"/>
      <c r="E3086" s="27"/>
      <c r="F3086" s="25"/>
      <c r="G3086" s="27"/>
    </row>
    <row r="3087">
      <c r="A3087" s="21"/>
      <c r="B3087" s="21"/>
      <c r="D3087" s="25"/>
      <c r="E3087" s="27"/>
      <c r="F3087" s="25"/>
      <c r="G3087" s="27"/>
    </row>
    <row r="3088">
      <c r="A3088" s="21"/>
      <c r="B3088" s="21"/>
      <c r="D3088" s="25"/>
      <c r="E3088" s="27"/>
      <c r="F3088" s="25"/>
      <c r="G3088" s="27"/>
    </row>
    <row r="3089">
      <c r="A3089" s="21"/>
      <c r="B3089" s="21"/>
      <c r="D3089" s="25"/>
      <c r="E3089" s="27"/>
      <c r="F3089" s="25"/>
      <c r="G3089" s="27"/>
    </row>
    <row r="3090">
      <c r="A3090" s="21"/>
      <c r="B3090" s="21"/>
      <c r="D3090" s="25"/>
      <c r="E3090" s="27"/>
      <c r="F3090" s="25"/>
      <c r="G3090" s="27"/>
    </row>
    <row r="3091">
      <c r="A3091" s="21"/>
      <c r="B3091" s="21"/>
      <c r="D3091" s="25"/>
      <c r="E3091" s="27"/>
      <c r="F3091" s="25"/>
      <c r="G3091" s="27"/>
    </row>
    <row r="3092">
      <c r="A3092" s="21"/>
      <c r="B3092" s="21"/>
      <c r="D3092" s="25"/>
      <c r="E3092" s="27"/>
      <c r="F3092" s="25"/>
      <c r="G3092" s="27"/>
    </row>
    <row r="3093">
      <c r="A3093" s="21"/>
      <c r="B3093" s="21"/>
      <c r="D3093" s="25"/>
      <c r="E3093" s="27"/>
      <c r="F3093" s="25"/>
      <c r="G3093" s="27"/>
    </row>
    <row r="3094">
      <c r="A3094" s="21"/>
      <c r="B3094" s="21"/>
      <c r="D3094" s="25"/>
      <c r="E3094" s="27"/>
      <c r="F3094" s="25"/>
      <c r="G3094" s="27"/>
    </row>
    <row r="3095">
      <c r="A3095" s="21"/>
      <c r="B3095" s="21"/>
      <c r="D3095" s="25"/>
      <c r="E3095" s="27"/>
      <c r="F3095" s="25"/>
      <c r="G3095" s="27"/>
    </row>
    <row r="3096">
      <c r="A3096" s="21"/>
      <c r="B3096" s="21"/>
      <c r="D3096" s="25"/>
      <c r="E3096" s="27"/>
      <c r="F3096" s="25"/>
      <c r="G3096" s="27"/>
    </row>
    <row r="3097">
      <c r="A3097" s="21"/>
      <c r="B3097" s="21"/>
      <c r="D3097" s="25"/>
      <c r="E3097" s="27"/>
      <c r="F3097" s="25"/>
      <c r="G3097" s="27"/>
    </row>
    <row r="3098">
      <c r="A3098" s="21"/>
      <c r="B3098" s="21"/>
      <c r="D3098" s="25"/>
      <c r="E3098" s="27"/>
      <c r="F3098" s="25"/>
      <c r="G3098" s="27"/>
    </row>
    <row r="3099">
      <c r="A3099" s="21"/>
      <c r="B3099" s="21"/>
      <c r="D3099" s="25"/>
      <c r="E3099" s="27"/>
      <c r="F3099" s="25"/>
      <c r="G3099" s="27"/>
    </row>
    <row r="3100">
      <c r="A3100" s="21"/>
      <c r="B3100" s="21"/>
      <c r="D3100" s="25"/>
      <c r="E3100" s="27"/>
      <c r="F3100" s="25"/>
      <c r="G3100" s="27"/>
    </row>
    <row r="3101">
      <c r="A3101" s="21"/>
      <c r="B3101" s="21"/>
      <c r="D3101" s="25"/>
      <c r="E3101" s="27"/>
      <c r="F3101" s="25"/>
      <c r="G3101" s="27"/>
    </row>
    <row r="3102">
      <c r="A3102" s="21"/>
      <c r="B3102" s="21"/>
      <c r="D3102" s="25"/>
      <c r="E3102" s="27"/>
      <c r="F3102" s="25"/>
      <c r="G3102" s="27"/>
    </row>
    <row r="3103">
      <c r="A3103" s="21"/>
      <c r="B3103" s="21"/>
      <c r="D3103" s="25"/>
      <c r="E3103" s="27"/>
      <c r="F3103" s="25"/>
      <c r="G3103" s="27"/>
    </row>
    <row r="3104">
      <c r="A3104" s="21"/>
      <c r="B3104" s="21"/>
      <c r="D3104" s="25"/>
      <c r="E3104" s="27"/>
      <c r="F3104" s="25"/>
      <c r="G3104" s="27"/>
    </row>
    <row r="3105">
      <c r="A3105" s="21"/>
      <c r="B3105" s="21"/>
      <c r="D3105" s="25"/>
      <c r="E3105" s="27"/>
      <c r="F3105" s="25"/>
      <c r="G3105" s="27"/>
    </row>
    <row r="3106">
      <c r="A3106" s="21"/>
      <c r="B3106" s="21"/>
      <c r="D3106" s="25"/>
      <c r="E3106" s="27"/>
      <c r="F3106" s="25"/>
      <c r="G3106" s="27"/>
    </row>
    <row r="3107">
      <c r="A3107" s="21"/>
      <c r="B3107" s="21"/>
      <c r="D3107" s="25"/>
      <c r="E3107" s="27"/>
      <c r="F3107" s="25"/>
      <c r="G3107" s="27"/>
    </row>
    <row r="3108">
      <c r="A3108" s="21"/>
      <c r="B3108" s="21"/>
      <c r="D3108" s="25"/>
      <c r="E3108" s="27"/>
      <c r="F3108" s="25"/>
      <c r="G3108" s="27"/>
    </row>
    <row r="3109">
      <c r="A3109" s="21"/>
      <c r="B3109" s="21"/>
      <c r="D3109" s="25"/>
      <c r="E3109" s="27"/>
      <c r="F3109" s="25"/>
      <c r="G3109" s="27"/>
    </row>
    <row r="3110">
      <c r="A3110" s="21"/>
      <c r="B3110" s="21"/>
      <c r="D3110" s="25"/>
      <c r="E3110" s="27"/>
      <c r="F3110" s="25"/>
      <c r="G3110" s="27"/>
    </row>
    <row r="3111">
      <c r="A3111" s="21"/>
      <c r="B3111" s="21"/>
      <c r="D3111" s="25"/>
      <c r="E3111" s="27"/>
      <c r="F3111" s="25"/>
      <c r="G3111" s="27"/>
    </row>
    <row r="3112">
      <c r="A3112" s="21"/>
      <c r="B3112" s="21"/>
      <c r="D3112" s="25"/>
      <c r="E3112" s="27"/>
      <c r="F3112" s="25"/>
      <c r="G3112" s="27"/>
    </row>
    <row r="3113">
      <c r="A3113" s="21"/>
      <c r="B3113" s="21"/>
      <c r="D3113" s="25"/>
      <c r="E3113" s="27"/>
      <c r="F3113" s="25"/>
      <c r="G3113" s="27"/>
    </row>
    <row r="3114">
      <c r="A3114" s="21"/>
      <c r="B3114" s="21"/>
      <c r="D3114" s="25"/>
      <c r="E3114" s="27"/>
      <c r="F3114" s="25"/>
      <c r="G3114" s="27"/>
    </row>
    <row r="3115">
      <c r="A3115" s="21"/>
      <c r="B3115" s="21"/>
      <c r="D3115" s="25"/>
      <c r="E3115" s="27"/>
      <c r="F3115" s="25"/>
      <c r="G3115" s="27"/>
    </row>
    <row r="3116">
      <c r="A3116" s="21"/>
      <c r="B3116" s="21"/>
      <c r="D3116" s="25"/>
      <c r="E3116" s="27"/>
      <c r="F3116" s="25"/>
      <c r="G3116" s="27"/>
    </row>
    <row r="3117">
      <c r="A3117" s="21"/>
      <c r="B3117" s="21"/>
      <c r="D3117" s="25"/>
      <c r="E3117" s="27"/>
      <c r="F3117" s="25"/>
      <c r="G3117" s="27"/>
    </row>
    <row r="3118">
      <c r="A3118" s="21"/>
      <c r="B3118" s="21"/>
      <c r="D3118" s="25"/>
      <c r="E3118" s="27"/>
      <c r="F3118" s="25"/>
      <c r="G3118" s="27"/>
    </row>
    <row r="3119">
      <c r="A3119" s="21"/>
      <c r="B3119" s="21"/>
      <c r="D3119" s="25"/>
      <c r="E3119" s="27"/>
      <c r="F3119" s="25"/>
      <c r="G3119" s="27"/>
    </row>
    <row r="3120">
      <c r="A3120" s="21"/>
      <c r="B3120" s="21"/>
      <c r="D3120" s="25"/>
      <c r="E3120" s="27"/>
      <c r="F3120" s="25"/>
      <c r="G3120" s="27"/>
    </row>
    <row r="3121">
      <c r="A3121" s="21"/>
      <c r="B3121" s="21"/>
      <c r="D3121" s="25"/>
      <c r="E3121" s="27"/>
      <c r="F3121" s="25"/>
      <c r="G3121" s="27"/>
    </row>
    <row r="3122">
      <c r="A3122" s="21"/>
      <c r="B3122" s="21"/>
      <c r="D3122" s="25"/>
      <c r="E3122" s="27"/>
      <c r="F3122" s="25"/>
      <c r="G3122" s="27"/>
    </row>
    <row r="3123">
      <c r="A3123" s="21"/>
      <c r="B3123" s="21"/>
      <c r="D3123" s="25"/>
      <c r="E3123" s="27"/>
      <c r="F3123" s="25"/>
      <c r="G3123" s="27"/>
    </row>
    <row r="3124">
      <c r="A3124" s="21"/>
      <c r="B3124" s="21"/>
      <c r="D3124" s="25"/>
      <c r="E3124" s="27"/>
      <c r="F3124" s="25"/>
      <c r="G3124" s="27"/>
    </row>
    <row r="3125">
      <c r="A3125" s="21"/>
      <c r="B3125" s="21"/>
      <c r="D3125" s="25"/>
      <c r="E3125" s="27"/>
      <c r="F3125" s="25"/>
      <c r="G3125" s="27"/>
    </row>
    <row r="3126">
      <c r="A3126" s="21"/>
      <c r="B3126" s="21"/>
      <c r="D3126" s="25"/>
      <c r="E3126" s="27"/>
      <c r="F3126" s="25"/>
      <c r="G3126" s="27"/>
    </row>
    <row r="3127">
      <c r="A3127" s="21"/>
      <c r="B3127" s="21"/>
      <c r="D3127" s="25"/>
      <c r="E3127" s="27"/>
      <c r="F3127" s="25"/>
      <c r="G3127" s="27"/>
    </row>
    <row r="3128">
      <c r="A3128" s="21"/>
      <c r="B3128" s="21"/>
      <c r="D3128" s="25"/>
      <c r="E3128" s="27"/>
      <c r="F3128" s="25"/>
      <c r="G3128" s="27"/>
    </row>
    <row r="3129">
      <c r="A3129" s="21"/>
      <c r="B3129" s="21"/>
      <c r="D3129" s="25"/>
      <c r="E3129" s="27"/>
      <c r="F3129" s="25"/>
      <c r="G3129" s="27"/>
    </row>
    <row r="3130">
      <c r="A3130" s="21"/>
      <c r="B3130" s="21"/>
      <c r="D3130" s="25"/>
      <c r="E3130" s="27"/>
      <c r="F3130" s="25"/>
      <c r="G3130" s="27"/>
    </row>
    <row r="3131">
      <c r="A3131" s="21"/>
      <c r="B3131" s="21"/>
      <c r="D3131" s="25"/>
      <c r="E3131" s="27"/>
      <c r="F3131" s="25"/>
      <c r="G3131" s="27"/>
    </row>
    <row r="3132">
      <c r="A3132" s="21"/>
      <c r="B3132" s="21"/>
      <c r="D3132" s="25"/>
      <c r="E3132" s="27"/>
      <c r="F3132" s="25"/>
      <c r="G3132" s="27"/>
    </row>
    <row r="3133">
      <c r="A3133" s="21"/>
      <c r="B3133" s="21"/>
      <c r="D3133" s="25"/>
      <c r="E3133" s="27"/>
      <c r="F3133" s="25"/>
      <c r="G3133" s="27"/>
    </row>
    <row r="3134">
      <c r="A3134" s="21"/>
      <c r="B3134" s="21"/>
      <c r="D3134" s="25"/>
      <c r="E3134" s="27"/>
      <c r="F3134" s="25"/>
      <c r="G3134" s="27"/>
    </row>
    <row r="3135">
      <c r="A3135" s="21"/>
      <c r="B3135" s="21"/>
      <c r="D3135" s="25"/>
      <c r="E3135" s="27"/>
      <c r="F3135" s="25"/>
      <c r="G3135" s="27"/>
    </row>
    <row r="3136">
      <c r="A3136" s="21"/>
      <c r="B3136" s="21"/>
      <c r="D3136" s="25"/>
      <c r="E3136" s="27"/>
      <c r="F3136" s="25"/>
      <c r="G3136" s="27"/>
    </row>
    <row r="3137">
      <c r="A3137" s="21"/>
      <c r="B3137" s="21"/>
      <c r="D3137" s="25"/>
      <c r="E3137" s="27"/>
      <c r="F3137" s="25"/>
      <c r="G3137" s="27"/>
    </row>
    <row r="3138">
      <c r="A3138" s="21"/>
      <c r="B3138" s="21"/>
      <c r="D3138" s="25"/>
      <c r="E3138" s="27"/>
      <c r="F3138" s="25"/>
      <c r="G3138" s="27"/>
    </row>
    <row r="3139">
      <c r="A3139" s="21"/>
      <c r="B3139" s="21"/>
      <c r="D3139" s="25"/>
      <c r="E3139" s="27"/>
      <c r="F3139" s="25"/>
      <c r="G3139" s="27"/>
    </row>
    <row r="3140">
      <c r="A3140" s="21"/>
      <c r="B3140" s="21"/>
      <c r="D3140" s="25"/>
      <c r="E3140" s="27"/>
      <c r="F3140" s="25"/>
      <c r="G3140" s="27"/>
    </row>
    <row r="3141">
      <c r="A3141" s="21"/>
      <c r="B3141" s="21"/>
      <c r="D3141" s="25"/>
      <c r="E3141" s="27"/>
      <c r="F3141" s="25"/>
      <c r="G3141" s="27"/>
    </row>
    <row r="3142">
      <c r="A3142" s="21"/>
      <c r="B3142" s="21"/>
      <c r="D3142" s="25"/>
      <c r="E3142" s="27"/>
      <c r="F3142" s="25"/>
      <c r="G3142" s="27"/>
    </row>
    <row r="3143">
      <c r="A3143" s="21"/>
      <c r="B3143" s="21"/>
      <c r="D3143" s="25"/>
      <c r="E3143" s="27"/>
      <c r="F3143" s="25"/>
      <c r="G3143" s="27"/>
    </row>
    <row r="3144">
      <c r="A3144" s="21"/>
      <c r="B3144" s="21"/>
      <c r="D3144" s="25"/>
      <c r="E3144" s="27"/>
      <c r="F3144" s="25"/>
      <c r="G3144" s="27"/>
    </row>
    <row r="3145">
      <c r="A3145" s="21"/>
      <c r="B3145" s="21"/>
      <c r="D3145" s="25"/>
      <c r="E3145" s="27"/>
      <c r="F3145" s="25"/>
      <c r="G3145" s="27"/>
    </row>
    <row r="3146">
      <c r="A3146" s="21"/>
      <c r="B3146" s="21"/>
      <c r="D3146" s="25"/>
      <c r="E3146" s="27"/>
      <c r="F3146" s="25"/>
      <c r="G3146" s="27"/>
    </row>
    <row r="3147">
      <c r="A3147" s="21"/>
      <c r="B3147" s="21"/>
      <c r="D3147" s="25"/>
      <c r="E3147" s="27"/>
      <c r="F3147" s="25"/>
      <c r="G3147" s="27"/>
    </row>
    <row r="3148">
      <c r="A3148" s="21"/>
      <c r="B3148" s="21"/>
      <c r="D3148" s="25"/>
      <c r="E3148" s="27"/>
      <c r="F3148" s="25"/>
      <c r="G3148" s="27"/>
    </row>
    <row r="3149">
      <c r="A3149" s="21"/>
      <c r="B3149" s="21"/>
      <c r="D3149" s="25"/>
      <c r="E3149" s="27"/>
      <c r="F3149" s="25"/>
      <c r="G3149" s="27"/>
    </row>
    <row r="3150">
      <c r="A3150" s="21"/>
      <c r="B3150" s="21"/>
      <c r="D3150" s="25"/>
      <c r="E3150" s="27"/>
      <c r="F3150" s="25"/>
      <c r="G3150" s="27"/>
    </row>
    <row r="3151">
      <c r="A3151" s="21"/>
      <c r="B3151" s="21"/>
      <c r="D3151" s="25"/>
      <c r="E3151" s="27"/>
      <c r="F3151" s="25"/>
      <c r="G3151" s="27"/>
    </row>
    <row r="3152">
      <c r="A3152" s="21"/>
      <c r="B3152" s="21"/>
      <c r="D3152" s="25"/>
      <c r="E3152" s="27"/>
      <c r="F3152" s="25"/>
      <c r="G3152" s="27"/>
    </row>
    <row r="3153">
      <c r="A3153" s="21"/>
      <c r="B3153" s="21"/>
      <c r="D3153" s="25"/>
      <c r="E3153" s="27"/>
      <c r="F3153" s="25"/>
      <c r="G3153" s="27"/>
    </row>
    <row r="3154">
      <c r="A3154" s="21"/>
      <c r="B3154" s="21"/>
      <c r="D3154" s="25"/>
      <c r="E3154" s="27"/>
      <c r="F3154" s="25"/>
      <c r="G3154" s="27"/>
    </row>
    <row r="3155">
      <c r="A3155" s="21"/>
      <c r="B3155" s="21"/>
      <c r="D3155" s="25"/>
      <c r="E3155" s="27"/>
      <c r="F3155" s="25"/>
      <c r="G3155" s="27"/>
    </row>
    <row r="3156">
      <c r="A3156" s="21"/>
      <c r="B3156" s="21"/>
      <c r="D3156" s="25"/>
      <c r="E3156" s="27"/>
      <c r="F3156" s="25"/>
      <c r="G3156" s="27"/>
    </row>
    <row r="3157">
      <c r="A3157" s="21"/>
      <c r="B3157" s="21"/>
      <c r="D3157" s="25"/>
      <c r="E3157" s="27"/>
      <c r="F3157" s="25"/>
      <c r="G3157" s="27"/>
    </row>
    <row r="3158">
      <c r="A3158" s="21"/>
      <c r="B3158" s="21"/>
      <c r="D3158" s="25"/>
      <c r="E3158" s="27"/>
      <c r="F3158" s="25"/>
      <c r="G3158" s="27"/>
    </row>
    <row r="3159">
      <c r="A3159" s="21"/>
      <c r="B3159" s="21"/>
      <c r="D3159" s="25"/>
      <c r="E3159" s="27"/>
      <c r="F3159" s="25"/>
      <c r="G3159" s="27"/>
    </row>
    <row r="3160">
      <c r="A3160" s="21"/>
      <c r="B3160" s="21"/>
      <c r="D3160" s="25"/>
      <c r="E3160" s="27"/>
      <c r="F3160" s="25"/>
      <c r="G3160" s="27"/>
    </row>
    <row r="3161">
      <c r="A3161" s="21"/>
      <c r="B3161" s="21"/>
      <c r="D3161" s="25"/>
      <c r="E3161" s="27"/>
      <c r="F3161" s="25"/>
      <c r="G3161" s="27"/>
    </row>
    <row r="3162">
      <c r="A3162" s="21"/>
      <c r="B3162" s="21"/>
      <c r="D3162" s="25"/>
      <c r="E3162" s="27"/>
      <c r="F3162" s="25"/>
      <c r="G3162" s="27"/>
    </row>
    <row r="3163">
      <c r="A3163" s="21"/>
      <c r="B3163" s="21"/>
      <c r="D3163" s="25"/>
      <c r="E3163" s="27"/>
      <c r="F3163" s="25"/>
      <c r="G3163" s="27"/>
    </row>
    <row r="3164">
      <c r="A3164" s="21"/>
      <c r="B3164" s="21"/>
      <c r="D3164" s="25"/>
      <c r="E3164" s="27"/>
      <c r="F3164" s="25"/>
      <c r="G3164" s="27"/>
    </row>
    <row r="3165">
      <c r="A3165" s="21"/>
      <c r="B3165" s="21"/>
      <c r="D3165" s="25"/>
      <c r="E3165" s="27"/>
      <c r="F3165" s="25"/>
      <c r="G3165" s="27"/>
    </row>
    <row r="3166">
      <c r="A3166" s="21"/>
      <c r="B3166" s="21"/>
      <c r="D3166" s="25"/>
      <c r="E3166" s="27"/>
      <c r="F3166" s="25"/>
      <c r="G3166" s="27"/>
    </row>
    <row r="3167">
      <c r="A3167" s="21"/>
      <c r="B3167" s="21"/>
      <c r="D3167" s="25"/>
      <c r="E3167" s="27"/>
      <c r="F3167" s="25"/>
      <c r="G3167" s="27"/>
    </row>
    <row r="3168">
      <c r="A3168" s="21"/>
      <c r="B3168" s="21"/>
      <c r="D3168" s="25"/>
      <c r="E3168" s="27"/>
      <c r="F3168" s="25"/>
      <c r="G3168" s="27"/>
    </row>
    <row r="3169">
      <c r="A3169" s="21"/>
      <c r="B3169" s="21"/>
      <c r="D3169" s="25"/>
      <c r="E3169" s="27"/>
      <c r="F3169" s="25"/>
      <c r="G3169" s="27"/>
    </row>
    <row r="3170">
      <c r="A3170" s="21"/>
      <c r="B3170" s="21"/>
      <c r="D3170" s="25"/>
      <c r="E3170" s="27"/>
      <c r="F3170" s="25"/>
      <c r="G3170" s="27"/>
    </row>
    <row r="3171">
      <c r="A3171" s="21"/>
      <c r="B3171" s="21"/>
      <c r="D3171" s="25"/>
      <c r="E3171" s="27"/>
      <c r="F3171" s="25"/>
      <c r="G3171" s="27"/>
    </row>
    <row r="3172">
      <c r="A3172" s="21"/>
      <c r="B3172" s="21"/>
      <c r="D3172" s="25"/>
      <c r="E3172" s="27"/>
      <c r="F3172" s="25"/>
      <c r="G3172" s="27"/>
    </row>
    <row r="3173">
      <c r="A3173" s="21"/>
      <c r="B3173" s="21"/>
      <c r="D3173" s="25"/>
      <c r="E3173" s="27"/>
      <c r="F3173" s="25"/>
      <c r="G3173" s="27"/>
    </row>
    <row r="3174">
      <c r="A3174" s="21"/>
      <c r="B3174" s="21"/>
      <c r="D3174" s="25"/>
      <c r="E3174" s="27"/>
      <c r="F3174" s="25"/>
      <c r="G3174" s="27"/>
    </row>
    <row r="3175">
      <c r="A3175" s="21"/>
      <c r="B3175" s="21"/>
      <c r="D3175" s="25"/>
      <c r="E3175" s="27"/>
      <c r="F3175" s="25"/>
      <c r="G3175" s="27"/>
    </row>
    <row r="3176">
      <c r="A3176" s="21"/>
      <c r="B3176" s="21"/>
      <c r="D3176" s="25"/>
      <c r="E3176" s="27"/>
      <c r="F3176" s="25"/>
      <c r="G3176" s="27"/>
    </row>
    <row r="3177">
      <c r="A3177" s="21"/>
      <c r="B3177" s="21"/>
      <c r="D3177" s="25"/>
      <c r="E3177" s="27"/>
      <c r="F3177" s="25"/>
      <c r="G3177" s="27"/>
    </row>
    <row r="3178">
      <c r="A3178" s="21"/>
      <c r="B3178" s="21"/>
      <c r="D3178" s="25"/>
      <c r="E3178" s="27"/>
      <c r="F3178" s="25"/>
      <c r="G3178" s="27"/>
    </row>
    <row r="3179">
      <c r="A3179" s="21"/>
      <c r="B3179" s="21"/>
      <c r="D3179" s="25"/>
      <c r="E3179" s="27"/>
      <c r="F3179" s="25"/>
      <c r="G3179" s="27"/>
    </row>
    <row r="3180">
      <c r="A3180" s="21"/>
      <c r="B3180" s="21"/>
      <c r="D3180" s="25"/>
      <c r="E3180" s="27"/>
      <c r="F3180" s="25"/>
      <c r="G3180" s="27"/>
    </row>
    <row r="3181">
      <c r="A3181" s="21"/>
      <c r="B3181" s="21"/>
      <c r="D3181" s="25"/>
      <c r="E3181" s="27"/>
      <c r="F3181" s="25"/>
      <c r="G3181" s="27"/>
    </row>
    <row r="3182">
      <c r="A3182" s="21"/>
      <c r="B3182" s="21"/>
      <c r="D3182" s="25"/>
      <c r="E3182" s="27"/>
      <c r="F3182" s="25"/>
      <c r="G3182" s="27"/>
    </row>
    <row r="3183">
      <c r="A3183" s="21"/>
      <c r="B3183" s="21"/>
      <c r="D3183" s="25"/>
      <c r="E3183" s="27"/>
      <c r="F3183" s="25"/>
      <c r="G3183" s="27"/>
    </row>
    <row r="3184">
      <c r="A3184" s="21"/>
      <c r="B3184" s="21"/>
      <c r="D3184" s="25"/>
      <c r="E3184" s="27"/>
      <c r="F3184" s="25"/>
      <c r="G3184" s="27"/>
    </row>
    <row r="3185">
      <c r="A3185" s="21"/>
      <c r="B3185" s="21"/>
      <c r="D3185" s="25"/>
      <c r="E3185" s="27"/>
      <c r="F3185" s="25"/>
      <c r="G3185" s="27"/>
    </row>
    <row r="3186">
      <c r="A3186" s="21"/>
      <c r="B3186" s="21"/>
      <c r="D3186" s="25"/>
      <c r="E3186" s="27"/>
      <c r="F3186" s="25"/>
      <c r="G3186" s="27"/>
    </row>
    <row r="3187">
      <c r="A3187" s="21"/>
      <c r="B3187" s="21"/>
      <c r="D3187" s="25"/>
      <c r="E3187" s="27"/>
      <c r="F3187" s="25"/>
      <c r="G3187" s="27"/>
    </row>
    <row r="3188">
      <c r="A3188" s="21"/>
      <c r="B3188" s="21"/>
      <c r="D3188" s="25"/>
      <c r="E3188" s="27"/>
      <c r="F3188" s="25"/>
      <c r="G3188" s="27"/>
    </row>
    <row r="3189">
      <c r="A3189" s="21"/>
      <c r="B3189" s="21"/>
      <c r="D3189" s="25"/>
      <c r="E3189" s="27"/>
      <c r="F3189" s="25"/>
      <c r="G3189" s="27"/>
    </row>
    <row r="3190">
      <c r="A3190" s="21"/>
      <c r="B3190" s="21"/>
      <c r="D3190" s="25"/>
      <c r="E3190" s="27"/>
      <c r="F3190" s="25"/>
      <c r="G3190" s="27"/>
    </row>
    <row r="3191">
      <c r="A3191" s="21"/>
      <c r="B3191" s="21"/>
      <c r="D3191" s="25"/>
      <c r="E3191" s="27"/>
      <c r="F3191" s="25"/>
      <c r="G3191" s="27"/>
    </row>
    <row r="3192">
      <c r="A3192" s="21"/>
      <c r="B3192" s="21"/>
      <c r="D3192" s="25"/>
      <c r="E3192" s="27"/>
      <c r="F3192" s="25"/>
      <c r="G3192" s="27"/>
    </row>
    <row r="3193">
      <c r="A3193" s="21"/>
      <c r="B3193" s="21"/>
      <c r="D3193" s="25"/>
      <c r="E3193" s="27"/>
      <c r="F3193" s="25"/>
      <c r="G3193" s="27"/>
    </row>
    <row r="3194">
      <c r="A3194" s="21"/>
      <c r="B3194" s="21"/>
      <c r="D3194" s="25"/>
      <c r="E3194" s="27"/>
      <c r="F3194" s="25"/>
      <c r="G3194" s="27"/>
    </row>
    <row r="3195">
      <c r="A3195" s="21"/>
      <c r="B3195" s="21"/>
      <c r="D3195" s="25"/>
      <c r="E3195" s="27"/>
      <c r="F3195" s="25"/>
      <c r="G3195" s="27"/>
    </row>
    <row r="3196">
      <c r="A3196" s="21"/>
      <c r="B3196" s="21"/>
      <c r="D3196" s="25"/>
      <c r="E3196" s="27"/>
      <c r="F3196" s="25"/>
      <c r="G3196" s="27"/>
    </row>
    <row r="3197">
      <c r="A3197" s="21"/>
      <c r="B3197" s="21"/>
      <c r="D3197" s="25"/>
      <c r="E3197" s="27"/>
      <c r="F3197" s="25"/>
      <c r="G3197" s="27"/>
    </row>
    <row r="3198">
      <c r="A3198" s="21"/>
      <c r="B3198" s="21"/>
      <c r="D3198" s="25"/>
      <c r="E3198" s="27"/>
      <c r="F3198" s="25"/>
      <c r="G3198" s="27"/>
    </row>
    <row r="3199">
      <c r="A3199" s="21"/>
      <c r="B3199" s="21"/>
      <c r="D3199" s="25"/>
      <c r="E3199" s="27"/>
      <c r="F3199" s="25"/>
      <c r="G3199" s="27"/>
    </row>
    <row r="3200">
      <c r="A3200" s="21"/>
      <c r="B3200" s="21"/>
      <c r="D3200" s="25"/>
      <c r="E3200" s="27"/>
      <c r="F3200" s="25"/>
      <c r="G3200" s="27"/>
    </row>
    <row r="3201">
      <c r="A3201" s="21"/>
      <c r="B3201" s="21"/>
      <c r="D3201" s="25"/>
      <c r="E3201" s="27"/>
      <c r="F3201" s="25"/>
      <c r="G3201" s="27"/>
    </row>
    <row r="3202">
      <c r="A3202" s="21"/>
      <c r="B3202" s="21"/>
      <c r="D3202" s="25"/>
      <c r="E3202" s="27"/>
      <c r="F3202" s="25"/>
      <c r="G3202" s="27"/>
    </row>
    <row r="3203">
      <c r="A3203" s="21"/>
      <c r="B3203" s="21"/>
      <c r="D3203" s="25"/>
      <c r="E3203" s="27"/>
      <c r="F3203" s="25"/>
      <c r="G3203" s="27"/>
    </row>
    <row r="3204">
      <c r="A3204" s="21"/>
      <c r="B3204" s="21"/>
      <c r="D3204" s="25"/>
      <c r="E3204" s="27"/>
      <c r="F3204" s="25"/>
      <c r="G3204" s="27"/>
    </row>
    <row r="3205">
      <c r="A3205" s="21"/>
      <c r="B3205" s="21"/>
      <c r="D3205" s="25"/>
      <c r="E3205" s="27"/>
      <c r="F3205" s="25"/>
      <c r="G3205" s="27"/>
    </row>
    <row r="3206">
      <c r="A3206" s="21"/>
      <c r="B3206" s="21"/>
      <c r="D3206" s="25"/>
      <c r="E3206" s="27"/>
      <c r="F3206" s="25"/>
      <c r="G3206" s="27"/>
    </row>
    <row r="3207">
      <c r="A3207" s="21"/>
      <c r="B3207" s="21"/>
      <c r="D3207" s="25"/>
      <c r="E3207" s="27"/>
      <c r="F3207" s="25"/>
      <c r="G3207" s="27"/>
    </row>
    <row r="3208">
      <c r="A3208" s="21"/>
      <c r="B3208" s="21"/>
      <c r="D3208" s="25"/>
      <c r="E3208" s="27"/>
      <c r="F3208" s="25"/>
      <c r="G3208" s="27"/>
    </row>
    <row r="3209">
      <c r="A3209" s="21"/>
      <c r="B3209" s="21"/>
      <c r="D3209" s="25"/>
      <c r="E3209" s="27"/>
      <c r="F3209" s="25"/>
      <c r="G3209" s="27"/>
    </row>
    <row r="3210">
      <c r="A3210" s="21"/>
      <c r="B3210" s="21"/>
      <c r="D3210" s="25"/>
      <c r="E3210" s="27"/>
      <c r="F3210" s="25"/>
      <c r="G3210" s="27"/>
    </row>
    <row r="3211">
      <c r="A3211" s="21"/>
      <c r="B3211" s="21"/>
      <c r="D3211" s="25"/>
      <c r="E3211" s="27"/>
      <c r="F3211" s="25"/>
      <c r="G3211" s="27"/>
    </row>
    <row r="3212">
      <c r="A3212" s="21"/>
      <c r="B3212" s="21"/>
      <c r="D3212" s="25"/>
      <c r="E3212" s="27"/>
      <c r="F3212" s="25"/>
      <c r="G3212" s="27"/>
    </row>
    <row r="3213">
      <c r="A3213" s="21"/>
      <c r="B3213" s="21"/>
      <c r="D3213" s="25"/>
      <c r="E3213" s="27"/>
      <c r="F3213" s="25"/>
      <c r="G3213" s="27"/>
    </row>
    <row r="3214">
      <c r="A3214" s="21"/>
      <c r="B3214" s="21"/>
      <c r="D3214" s="25"/>
      <c r="E3214" s="27"/>
      <c r="F3214" s="25"/>
      <c r="G3214" s="27"/>
    </row>
    <row r="3215">
      <c r="A3215" s="21"/>
      <c r="B3215" s="21"/>
      <c r="D3215" s="25"/>
      <c r="E3215" s="27"/>
      <c r="F3215" s="25"/>
      <c r="G3215" s="27"/>
    </row>
    <row r="3216">
      <c r="A3216" s="21"/>
      <c r="B3216" s="21"/>
      <c r="D3216" s="25"/>
      <c r="E3216" s="27"/>
      <c r="F3216" s="25"/>
      <c r="G3216" s="27"/>
    </row>
    <row r="3217">
      <c r="A3217" s="21"/>
      <c r="B3217" s="21"/>
      <c r="D3217" s="25"/>
      <c r="E3217" s="27"/>
      <c r="F3217" s="25"/>
      <c r="G3217" s="27"/>
    </row>
    <row r="3218">
      <c r="A3218" s="21"/>
      <c r="B3218" s="21"/>
      <c r="D3218" s="25"/>
      <c r="E3218" s="27"/>
      <c r="F3218" s="25"/>
      <c r="G3218" s="27"/>
    </row>
    <row r="3219">
      <c r="A3219" s="21"/>
      <c r="B3219" s="21"/>
      <c r="D3219" s="25"/>
      <c r="E3219" s="27"/>
      <c r="F3219" s="25"/>
      <c r="G3219" s="27"/>
    </row>
    <row r="3220">
      <c r="A3220" s="21"/>
      <c r="B3220" s="21"/>
      <c r="D3220" s="25"/>
      <c r="E3220" s="27"/>
      <c r="F3220" s="25"/>
      <c r="G3220" s="27"/>
    </row>
    <row r="3221">
      <c r="A3221" s="21"/>
      <c r="B3221" s="21"/>
      <c r="D3221" s="25"/>
      <c r="E3221" s="27"/>
      <c r="F3221" s="25"/>
      <c r="G3221" s="27"/>
    </row>
    <row r="3222">
      <c r="A3222" s="21"/>
      <c r="B3222" s="21"/>
      <c r="D3222" s="25"/>
      <c r="E3222" s="27"/>
      <c r="F3222" s="25"/>
      <c r="G3222" s="27"/>
    </row>
    <row r="3223">
      <c r="A3223" s="21"/>
      <c r="B3223" s="21"/>
      <c r="D3223" s="25"/>
      <c r="E3223" s="27"/>
      <c r="F3223" s="25"/>
      <c r="G3223" s="27"/>
    </row>
    <row r="3224">
      <c r="A3224" s="21"/>
      <c r="B3224" s="21"/>
      <c r="D3224" s="25"/>
      <c r="E3224" s="27"/>
      <c r="F3224" s="25"/>
      <c r="G3224" s="27"/>
    </row>
    <row r="3225">
      <c r="A3225" s="21"/>
      <c r="B3225" s="21"/>
      <c r="D3225" s="25"/>
      <c r="E3225" s="27"/>
      <c r="F3225" s="25"/>
      <c r="G3225" s="27"/>
    </row>
    <row r="3226">
      <c r="A3226" s="21"/>
      <c r="B3226" s="21"/>
      <c r="D3226" s="25"/>
      <c r="E3226" s="27"/>
      <c r="F3226" s="25"/>
      <c r="G3226" s="27"/>
    </row>
    <row r="3227">
      <c r="A3227" s="21"/>
      <c r="B3227" s="21"/>
      <c r="D3227" s="25"/>
      <c r="E3227" s="27"/>
      <c r="F3227" s="25"/>
      <c r="G3227" s="27"/>
    </row>
    <row r="3228">
      <c r="A3228" s="21"/>
      <c r="B3228" s="21"/>
      <c r="D3228" s="25"/>
      <c r="E3228" s="27"/>
      <c r="F3228" s="25"/>
      <c r="G3228" s="27"/>
    </row>
    <row r="3229">
      <c r="A3229" s="21"/>
      <c r="B3229" s="21"/>
      <c r="D3229" s="25"/>
      <c r="E3229" s="27"/>
      <c r="F3229" s="25"/>
      <c r="G3229" s="27"/>
    </row>
    <row r="3230">
      <c r="A3230" s="21"/>
      <c r="B3230" s="21"/>
      <c r="D3230" s="25"/>
      <c r="E3230" s="27"/>
      <c r="F3230" s="25"/>
      <c r="G3230" s="27"/>
    </row>
    <row r="3231">
      <c r="A3231" s="21"/>
      <c r="B3231" s="21"/>
      <c r="D3231" s="25"/>
      <c r="E3231" s="27"/>
      <c r="F3231" s="25"/>
      <c r="G3231" s="27"/>
    </row>
    <row r="3232">
      <c r="A3232" s="21"/>
      <c r="B3232" s="21"/>
      <c r="D3232" s="25"/>
      <c r="E3232" s="27"/>
      <c r="F3232" s="25"/>
      <c r="G3232" s="27"/>
    </row>
    <row r="3233">
      <c r="A3233" s="21"/>
      <c r="B3233" s="21"/>
      <c r="D3233" s="25"/>
      <c r="E3233" s="27"/>
      <c r="F3233" s="25"/>
      <c r="G3233" s="27"/>
    </row>
    <row r="3234">
      <c r="A3234" s="21"/>
      <c r="B3234" s="21"/>
      <c r="D3234" s="25"/>
      <c r="E3234" s="27"/>
      <c r="F3234" s="25"/>
      <c r="G3234" s="27"/>
    </row>
    <row r="3235">
      <c r="A3235" s="21"/>
      <c r="B3235" s="21"/>
      <c r="D3235" s="25"/>
      <c r="E3235" s="27"/>
      <c r="F3235" s="25"/>
      <c r="G3235" s="27"/>
    </row>
    <row r="3236">
      <c r="A3236" s="21"/>
      <c r="B3236" s="21"/>
      <c r="D3236" s="25"/>
      <c r="E3236" s="27"/>
      <c r="F3236" s="25"/>
      <c r="G3236" s="27"/>
    </row>
    <row r="3237">
      <c r="A3237" s="21"/>
      <c r="B3237" s="21"/>
      <c r="D3237" s="25"/>
      <c r="E3237" s="27"/>
      <c r="F3237" s="25"/>
      <c r="G3237" s="27"/>
    </row>
    <row r="3238">
      <c r="A3238" s="21"/>
      <c r="B3238" s="21"/>
      <c r="D3238" s="25"/>
      <c r="E3238" s="27"/>
      <c r="F3238" s="25"/>
      <c r="G3238" s="27"/>
    </row>
    <row r="3239">
      <c r="A3239" s="21"/>
      <c r="B3239" s="21"/>
      <c r="D3239" s="25"/>
      <c r="E3239" s="27"/>
      <c r="F3239" s="25"/>
      <c r="G3239" s="27"/>
    </row>
    <row r="3240">
      <c r="A3240" s="21"/>
      <c r="B3240" s="21"/>
      <c r="D3240" s="25"/>
      <c r="E3240" s="27"/>
      <c r="F3240" s="25"/>
      <c r="G3240" s="27"/>
    </row>
    <row r="3241">
      <c r="A3241" s="21"/>
      <c r="B3241" s="21"/>
      <c r="D3241" s="25"/>
      <c r="E3241" s="27"/>
      <c r="F3241" s="25"/>
      <c r="G3241" s="27"/>
    </row>
    <row r="3242">
      <c r="A3242" s="21"/>
      <c r="B3242" s="21"/>
      <c r="D3242" s="25"/>
      <c r="E3242" s="27"/>
      <c r="F3242" s="25"/>
      <c r="G3242" s="27"/>
    </row>
    <row r="3243">
      <c r="A3243" s="21"/>
      <c r="B3243" s="21"/>
      <c r="D3243" s="25"/>
      <c r="E3243" s="27"/>
      <c r="F3243" s="25"/>
      <c r="G3243" s="27"/>
    </row>
    <row r="3244">
      <c r="A3244" s="21"/>
      <c r="B3244" s="21"/>
      <c r="D3244" s="25"/>
      <c r="E3244" s="27"/>
      <c r="F3244" s="25"/>
      <c r="G3244" s="27"/>
    </row>
    <row r="3245">
      <c r="A3245" s="21"/>
      <c r="B3245" s="21"/>
      <c r="D3245" s="25"/>
      <c r="E3245" s="27"/>
      <c r="F3245" s="25"/>
      <c r="G3245" s="27"/>
    </row>
    <row r="3246">
      <c r="A3246" s="21"/>
      <c r="B3246" s="21"/>
      <c r="D3246" s="25"/>
      <c r="E3246" s="27"/>
      <c r="F3246" s="25"/>
      <c r="G3246" s="27"/>
    </row>
    <row r="3247">
      <c r="A3247" s="21"/>
      <c r="B3247" s="21"/>
      <c r="D3247" s="25"/>
      <c r="E3247" s="27"/>
      <c r="F3247" s="25"/>
      <c r="G3247" s="27"/>
    </row>
    <row r="3248">
      <c r="A3248" s="21"/>
      <c r="B3248" s="21"/>
      <c r="D3248" s="25"/>
      <c r="E3248" s="27"/>
      <c r="F3248" s="25"/>
      <c r="G3248" s="27"/>
    </row>
    <row r="3249">
      <c r="A3249" s="21"/>
      <c r="B3249" s="21"/>
      <c r="D3249" s="25"/>
      <c r="E3249" s="27"/>
      <c r="F3249" s="25"/>
      <c r="G3249" s="27"/>
    </row>
    <row r="3250">
      <c r="A3250" s="21"/>
      <c r="B3250" s="21"/>
      <c r="D3250" s="25"/>
      <c r="E3250" s="27"/>
      <c r="F3250" s="25"/>
      <c r="G3250" s="27"/>
    </row>
    <row r="3251">
      <c r="A3251" s="21"/>
      <c r="B3251" s="21"/>
      <c r="D3251" s="25"/>
      <c r="E3251" s="27"/>
      <c r="F3251" s="25"/>
      <c r="G3251" s="27"/>
    </row>
    <row r="3252">
      <c r="A3252" s="21"/>
      <c r="B3252" s="21"/>
      <c r="D3252" s="25"/>
      <c r="E3252" s="27"/>
      <c r="F3252" s="25"/>
      <c r="G3252" s="27"/>
    </row>
    <row r="3253">
      <c r="A3253" s="21"/>
      <c r="B3253" s="21"/>
      <c r="D3253" s="25"/>
      <c r="E3253" s="27"/>
      <c r="F3253" s="25"/>
      <c r="G3253" s="27"/>
    </row>
    <row r="3254">
      <c r="A3254" s="21"/>
      <c r="B3254" s="21"/>
      <c r="D3254" s="25"/>
      <c r="E3254" s="27"/>
      <c r="F3254" s="25"/>
      <c r="G3254" s="27"/>
    </row>
    <row r="3255">
      <c r="A3255" s="21"/>
      <c r="B3255" s="21"/>
      <c r="D3255" s="25"/>
      <c r="E3255" s="27"/>
      <c r="F3255" s="25"/>
      <c r="G3255" s="27"/>
    </row>
    <row r="3256">
      <c r="A3256" s="21"/>
      <c r="B3256" s="21"/>
      <c r="D3256" s="25"/>
      <c r="E3256" s="27"/>
      <c r="F3256" s="25"/>
      <c r="G3256" s="27"/>
    </row>
    <row r="3257">
      <c r="A3257" s="21"/>
      <c r="B3257" s="21"/>
      <c r="D3257" s="25"/>
      <c r="E3257" s="27"/>
      <c r="F3257" s="25"/>
      <c r="G3257" s="27"/>
    </row>
    <row r="3258">
      <c r="A3258" s="21"/>
      <c r="B3258" s="21"/>
      <c r="D3258" s="25"/>
      <c r="E3258" s="27"/>
      <c r="F3258" s="25"/>
      <c r="G3258" s="27"/>
    </row>
    <row r="3259">
      <c r="A3259" s="21"/>
      <c r="B3259" s="21"/>
      <c r="D3259" s="25"/>
      <c r="E3259" s="27"/>
      <c r="F3259" s="25"/>
      <c r="G3259" s="27"/>
    </row>
    <row r="3260">
      <c r="A3260" s="21"/>
      <c r="B3260" s="21"/>
      <c r="D3260" s="25"/>
      <c r="E3260" s="27"/>
      <c r="F3260" s="25"/>
      <c r="G3260" s="27"/>
    </row>
    <row r="3261">
      <c r="A3261" s="21"/>
      <c r="B3261" s="21"/>
      <c r="D3261" s="25"/>
      <c r="E3261" s="27"/>
      <c r="F3261" s="25"/>
      <c r="G3261" s="27"/>
    </row>
    <row r="3262">
      <c r="A3262" s="21"/>
      <c r="B3262" s="21"/>
      <c r="D3262" s="25"/>
      <c r="E3262" s="27"/>
      <c r="F3262" s="25"/>
      <c r="G3262" s="27"/>
    </row>
    <row r="3263">
      <c r="A3263" s="21"/>
      <c r="B3263" s="21"/>
      <c r="D3263" s="25"/>
      <c r="E3263" s="27"/>
      <c r="F3263" s="25"/>
      <c r="G3263" s="27"/>
    </row>
    <row r="3264">
      <c r="A3264" s="21"/>
      <c r="B3264" s="21"/>
      <c r="D3264" s="25"/>
      <c r="E3264" s="27"/>
      <c r="F3264" s="25"/>
      <c r="G3264" s="27"/>
    </row>
    <row r="3265">
      <c r="A3265" s="21"/>
      <c r="B3265" s="21"/>
      <c r="D3265" s="25"/>
      <c r="E3265" s="27"/>
      <c r="F3265" s="25"/>
      <c r="G3265" s="27"/>
    </row>
    <row r="3266">
      <c r="A3266" s="21"/>
      <c r="B3266" s="21"/>
      <c r="D3266" s="25"/>
      <c r="E3266" s="27"/>
      <c r="F3266" s="25"/>
      <c r="G3266" s="27"/>
    </row>
    <row r="3267">
      <c r="A3267" s="21"/>
      <c r="B3267" s="21"/>
      <c r="D3267" s="25"/>
      <c r="E3267" s="27"/>
      <c r="F3267" s="25"/>
      <c r="G3267" s="27"/>
    </row>
    <row r="3268">
      <c r="A3268" s="21"/>
      <c r="B3268" s="21"/>
      <c r="D3268" s="25"/>
      <c r="E3268" s="27"/>
      <c r="F3268" s="25"/>
      <c r="G3268" s="27"/>
    </row>
    <row r="3269">
      <c r="A3269" s="21"/>
      <c r="B3269" s="21"/>
      <c r="D3269" s="25"/>
      <c r="E3269" s="27"/>
      <c r="F3269" s="25"/>
      <c r="G3269" s="27"/>
    </row>
    <row r="3270">
      <c r="A3270" s="21"/>
      <c r="B3270" s="21"/>
      <c r="D3270" s="25"/>
      <c r="E3270" s="27"/>
      <c r="F3270" s="25"/>
      <c r="G3270" s="27"/>
    </row>
    <row r="3271">
      <c r="A3271" s="21"/>
      <c r="B3271" s="21"/>
      <c r="D3271" s="25"/>
      <c r="E3271" s="27"/>
      <c r="F3271" s="25"/>
      <c r="G3271" s="27"/>
    </row>
    <row r="3272">
      <c r="A3272" s="21"/>
      <c r="B3272" s="21"/>
      <c r="D3272" s="25"/>
      <c r="E3272" s="27"/>
      <c r="F3272" s="25"/>
      <c r="G3272" s="27"/>
    </row>
    <row r="3273">
      <c r="A3273" s="21"/>
      <c r="B3273" s="21"/>
      <c r="D3273" s="25"/>
      <c r="E3273" s="27"/>
      <c r="F3273" s="25"/>
      <c r="G3273" s="27"/>
    </row>
    <row r="3274">
      <c r="A3274" s="21"/>
      <c r="B3274" s="21"/>
      <c r="D3274" s="25"/>
      <c r="E3274" s="27"/>
      <c r="F3274" s="25"/>
      <c r="G3274" s="27"/>
    </row>
    <row r="3275">
      <c r="A3275" s="21"/>
      <c r="B3275" s="21"/>
      <c r="D3275" s="25"/>
      <c r="E3275" s="27"/>
      <c r="F3275" s="25"/>
      <c r="G3275" s="27"/>
    </row>
    <row r="3276">
      <c r="A3276" s="21"/>
      <c r="B3276" s="21"/>
      <c r="D3276" s="25"/>
      <c r="E3276" s="27"/>
      <c r="F3276" s="25"/>
      <c r="G3276" s="27"/>
    </row>
    <row r="3277">
      <c r="A3277" s="21"/>
      <c r="B3277" s="21"/>
      <c r="D3277" s="25"/>
      <c r="E3277" s="27"/>
      <c r="F3277" s="25"/>
      <c r="G3277" s="27"/>
    </row>
    <row r="3278">
      <c r="A3278" s="21"/>
      <c r="B3278" s="21"/>
      <c r="D3278" s="25"/>
      <c r="E3278" s="27"/>
      <c r="F3278" s="25"/>
      <c r="G3278" s="27"/>
    </row>
    <row r="3279">
      <c r="A3279" s="21"/>
      <c r="B3279" s="21"/>
      <c r="D3279" s="25"/>
      <c r="E3279" s="27"/>
      <c r="F3279" s="25"/>
      <c r="G3279" s="27"/>
    </row>
    <row r="3280">
      <c r="A3280" s="21"/>
      <c r="B3280" s="21"/>
      <c r="D3280" s="25"/>
      <c r="E3280" s="27"/>
      <c r="F3280" s="25"/>
      <c r="G3280" s="27"/>
    </row>
    <row r="3281">
      <c r="A3281" s="21"/>
      <c r="B3281" s="21"/>
      <c r="D3281" s="25"/>
      <c r="E3281" s="27"/>
      <c r="F3281" s="25"/>
      <c r="G3281" s="27"/>
    </row>
    <row r="3282">
      <c r="A3282" s="21"/>
      <c r="B3282" s="21"/>
      <c r="D3282" s="25"/>
      <c r="E3282" s="27"/>
      <c r="F3282" s="25"/>
      <c r="G3282" s="27"/>
    </row>
    <row r="3283">
      <c r="A3283" s="21"/>
      <c r="B3283" s="21"/>
      <c r="D3283" s="25"/>
      <c r="E3283" s="27"/>
      <c r="F3283" s="25"/>
      <c r="G3283" s="27"/>
    </row>
    <row r="3284">
      <c r="A3284" s="21"/>
      <c r="B3284" s="21"/>
      <c r="D3284" s="25"/>
      <c r="E3284" s="27"/>
      <c r="F3284" s="25"/>
      <c r="G3284" s="27"/>
    </row>
    <row r="3285">
      <c r="A3285" s="21"/>
      <c r="B3285" s="21"/>
      <c r="D3285" s="25"/>
      <c r="E3285" s="27"/>
      <c r="F3285" s="25"/>
      <c r="G3285" s="27"/>
    </row>
    <row r="3286">
      <c r="A3286" s="21"/>
      <c r="B3286" s="21"/>
      <c r="D3286" s="25"/>
      <c r="E3286" s="27"/>
      <c r="F3286" s="25"/>
      <c r="G3286" s="27"/>
    </row>
    <row r="3287">
      <c r="A3287" s="21"/>
      <c r="B3287" s="21"/>
      <c r="D3287" s="25"/>
      <c r="E3287" s="27"/>
      <c r="F3287" s="25"/>
      <c r="G3287" s="27"/>
    </row>
    <row r="3288">
      <c r="A3288" s="21"/>
      <c r="B3288" s="21"/>
      <c r="D3288" s="25"/>
      <c r="E3288" s="27"/>
      <c r="F3288" s="25"/>
      <c r="G3288" s="27"/>
    </row>
    <row r="3289">
      <c r="A3289" s="21"/>
      <c r="B3289" s="21"/>
      <c r="D3289" s="25"/>
      <c r="E3289" s="27"/>
      <c r="F3289" s="25"/>
      <c r="G3289" s="27"/>
    </row>
    <row r="3290">
      <c r="A3290" s="21"/>
      <c r="B3290" s="21"/>
      <c r="D3290" s="25"/>
      <c r="E3290" s="27"/>
      <c r="F3290" s="25"/>
      <c r="G3290" s="27"/>
    </row>
    <row r="3291">
      <c r="A3291" s="21"/>
      <c r="B3291" s="21"/>
      <c r="D3291" s="25"/>
      <c r="E3291" s="27"/>
      <c r="F3291" s="25"/>
      <c r="G3291" s="27"/>
    </row>
    <row r="3292">
      <c r="A3292" s="21"/>
      <c r="B3292" s="21"/>
      <c r="D3292" s="25"/>
      <c r="E3292" s="27"/>
      <c r="F3292" s="25"/>
      <c r="G3292" s="27"/>
    </row>
    <row r="3293">
      <c r="A3293" s="21"/>
      <c r="B3293" s="21"/>
      <c r="D3293" s="25"/>
      <c r="E3293" s="27"/>
      <c r="F3293" s="25"/>
      <c r="G3293" s="27"/>
    </row>
    <row r="3294">
      <c r="A3294" s="21"/>
      <c r="B3294" s="21"/>
      <c r="D3294" s="25"/>
      <c r="E3294" s="27"/>
      <c r="F3294" s="25"/>
      <c r="G3294" s="27"/>
    </row>
    <row r="3295">
      <c r="A3295" s="21"/>
      <c r="B3295" s="21"/>
      <c r="D3295" s="25"/>
      <c r="E3295" s="27"/>
      <c r="F3295" s="25"/>
      <c r="G3295" s="27"/>
    </row>
    <row r="3296">
      <c r="A3296" s="21"/>
      <c r="B3296" s="21"/>
      <c r="D3296" s="25"/>
      <c r="E3296" s="27"/>
      <c r="F3296" s="25"/>
      <c r="G3296" s="27"/>
    </row>
    <row r="3297">
      <c r="A3297" s="21"/>
      <c r="B3297" s="21"/>
      <c r="D3297" s="25"/>
      <c r="E3297" s="27"/>
      <c r="F3297" s="25"/>
      <c r="G3297" s="27"/>
    </row>
    <row r="3298">
      <c r="A3298" s="21"/>
      <c r="B3298" s="21"/>
      <c r="D3298" s="25"/>
      <c r="E3298" s="27"/>
      <c r="F3298" s="25"/>
      <c r="G3298" s="27"/>
    </row>
    <row r="3299">
      <c r="A3299" s="21"/>
      <c r="B3299" s="21"/>
      <c r="D3299" s="25"/>
      <c r="E3299" s="27"/>
      <c r="F3299" s="25"/>
      <c r="G3299" s="27"/>
    </row>
    <row r="3300">
      <c r="A3300" s="21"/>
      <c r="B3300" s="21"/>
      <c r="D3300" s="25"/>
      <c r="E3300" s="27"/>
      <c r="F3300" s="25"/>
      <c r="G3300" s="27"/>
    </row>
    <row r="3301">
      <c r="A3301" s="21"/>
      <c r="B3301" s="21"/>
      <c r="D3301" s="25"/>
      <c r="E3301" s="27"/>
      <c r="F3301" s="25"/>
      <c r="G3301" s="27"/>
    </row>
    <row r="3302">
      <c r="A3302" s="21"/>
      <c r="B3302" s="21"/>
      <c r="D3302" s="25"/>
      <c r="E3302" s="27"/>
      <c r="F3302" s="25"/>
      <c r="G3302" s="27"/>
    </row>
    <row r="3303">
      <c r="A3303" s="21"/>
      <c r="B3303" s="21"/>
      <c r="D3303" s="25"/>
      <c r="E3303" s="27"/>
      <c r="F3303" s="25"/>
      <c r="G3303" s="27"/>
    </row>
    <row r="3304">
      <c r="A3304" s="21"/>
      <c r="B3304" s="21"/>
      <c r="D3304" s="25"/>
      <c r="E3304" s="27"/>
      <c r="F3304" s="25"/>
      <c r="G3304" s="27"/>
    </row>
    <row r="3305">
      <c r="A3305" s="21"/>
      <c r="B3305" s="21"/>
      <c r="D3305" s="25"/>
      <c r="E3305" s="27"/>
      <c r="F3305" s="25"/>
      <c r="G3305" s="27"/>
    </row>
    <row r="3306">
      <c r="A3306" s="21"/>
      <c r="B3306" s="21"/>
      <c r="D3306" s="25"/>
      <c r="E3306" s="27"/>
      <c r="F3306" s="25"/>
      <c r="G3306" s="27"/>
    </row>
    <row r="3307">
      <c r="A3307" s="21"/>
      <c r="B3307" s="21"/>
      <c r="D3307" s="25"/>
      <c r="E3307" s="27"/>
      <c r="F3307" s="25"/>
      <c r="G3307" s="27"/>
    </row>
    <row r="3308">
      <c r="A3308" s="21"/>
      <c r="B3308" s="21"/>
      <c r="D3308" s="25"/>
      <c r="E3308" s="27"/>
      <c r="F3308" s="25"/>
      <c r="G3308" s="27"/>
    </row>
    <row r="3309">
      <c r="A3309" s="21"/>
      <c r="B3309" s="21"/>
      <c r="D3309" s="25"/>
      <c r="E3309" s="27"/>
      <c r="F3309" s="25"/>
      <c r="G3309" s="27"/>
    </row>
    <row r="3310">
      <c r="A3310" s="21"/>
      <c r="B3310" s="21"/>
      <c r="D3310" s="25"/>
      <c r="E3310" s="27"/>
      <c r="F3310" s="25"/>
      <c r="G3310" s="27"/>
    </row>
    <row r="3311">
      <c r="A3311" s="21"/>
      <c r="B3311" s="21"/>
      <c r="D3311" s="25"/>
      <c r="E3311" s="27"/>
      <c r="F3311" s="25"/>
      <c r="G3311" s="27"/>
    </row>
    <row r="3312">
      <c r="A3312" s="21"/>
      <c r="B3312" s="21"/>
      <c r="D3312" s="25"/>
      <c r="E3312" s="27"/>
      <c r="F3312" s="25"/>
      <c r="G3312" s="27"/>
    </row>
    <row r="3313">
      <c r="A3313" s="21"/>
      <c r="B3313" s="21"/>
      <c r="D3313" s="25"/>
      <c r="E3313" s="27"/>
      <c r="F3313" s="25"/>
      <c r="G3313" s="27"/>
    </row>
    <row r="3314">
      <c r="A3314" s="21"/>
      <c r="B3314" s="21"/>
      <c r="D3314" s="25"/>
      <c r="E3314" s="27"/>
      <c r="F3314" s="25"/>
      <c r="G3314" s="27"/>
    </row>
    <row r="3315">
      <c r="A3315" s="21"/>
      <c r="B3315" s="21"/>
      <c r="D3315" s="25"/>
      <c r="E3315" s="27"/>
      <c r="F3315" s="25"/>
      <c r="G3315" s="27"/>
    </row>
    <row r="3316">
      <c r="A3316" s="21"/>
      <c r="B3316" s="21"/>
      <c r="D3316" s="25"/>
      <c r="E3316" s="27"/>
      <c r="F3316" s="25"/>
      <c r="G3316" s="27"/>
    </row>
    <row r="3317">
      <c r="A3317" s="21"/>
      <c r="B3317" s="21"/>
      <c r="D3317" s="25"/>
      <c r="E3317" s="27"/>
      <c r="F3317" s="25"/>
      <c r="G3317" s="27"/>
    </row>
    <row r="3318">
      <c r="A3318" s="21"/>
      <c r="B3318" s="21"/>
      <c r="D3318" s="25"/>
      <c r="E3318" s="27"/>
      <c r="F3318" s="25"/>
      <c r="G3318" s="27"/>
    </row>
    <row r="3319">
      <c r="A3319" s="21"/>
      <c r="B3319" s="21"/>
      <c r="D3319" s="25"/>
      <c r="E3319" s="27"/>
      <c r="F3319" s="25"/>
      <c r="G3319" s="27"/>
    </row>
    <row r="3320">
      <c r="A3320" s="21"/>
      <c r="B3320" s="21"/>
      <c r="D3320" s="25"/>
      <c r="E3320" s="27"/>
      <c r="F3320" s="25"/>
      <c r="G3320" s="27"/>
    </row>
    <row r="3321">
      <c r="A3321" s="21"/>
      <c r="B3321" s="21"/>
      <c r="D3321" s="25"/>
      <c r="E3321" s="27"/>
      <c r="F3321" s="25"/>
      <c r="G3321" s="27"/>
    </row>
    <row r="3322">
      <c r="A3322" s="21"/>
      <c r="B3322" s="21"/>
      <c r="D3322" s="25"/>
      <c r="E3322" s="27"/>
      <c r="F3322" s="25"/>
      <c r="G3322" s="27"/>
    </row>
    <row r="3323">
      <c r="A3323" s="21"/>
      <c r="B3323" s="21"/>
      <c r="D3323" s="25"/>
      <c r="E3323" s="27"/>
      <c r="F3323" s="25"/>
      <c r="G3323" s="27"/>
    </row>
    <row r="3324">
      <c r="A3324" s="21"/>
      <c r="B3324" s="21"/>
      <c r="D3324" s="25"/>
      <c r="E3324" s="27"/>
      <c r="F3324" s="25"/>
      <c r="G3324" s="27"/>
    </row>
    <row r="3325">
      <c r="A3325" s="21"/>
      <c r="B3325" s="21"/>
      <c r="D3325" s="25"/>
      <c r="E3325" s="27"/>
      <c r="F3325" s="25"/>
      <c r="G3325" s="27"/>
    </row>
    <row r="3326">
      <c r="A3326" s="21"/>
      <c r="B3326" s="21"/>
      <c r="D3326" s="25"/>
      <c r="E3326" s="27"/>
      <c r="F3326" s="25"/>
      <c r="G3326" s="27"/>
    </row>
    <row r="3327">
      <c r="A3327" s="21"/>
      <c r="B3327" s="21"/>
      <c r="D3327" s="25"/>
      <c r="E3327" s="27"/>
      <c r="F3327" s="25"/>
      <c r="G3327" s="27"/>
    </row>
    <row r="3328">
      <c r="A3328" s="21"/>
      <c r="B3328" s="21"/>
      <c r="D3328" s="25"/>
      <c r="E3328" s="27"/>
      <c r="F3328" s="25"/>
      <c r="G3328" s="27"/>
    </row>
    <row r="3329">
      <c r="A3329" s="21"/>
      <c r="B3329" s="21"/>
      <c r="D3329" s="25"/>
      <c r="E3329" s="27"/>
      <c r="F3329" s="25"/>
      <c r="G3329" s="27"/>
    </row>
    <row r="3330">
      <c r="A3330" s="21"/>
      <c r="B3330" s="21"/>
      <c r="D3330" s="25"/>
      <c r="E3330" s="27"/>
      <c r="F3330" s="25"/>
      <c r="G3330" s="27"/>
    </row>
    <row r="3331">
      <c r="A3331" s="21"/>
      <c r="B3331" s="21"/>
      <c r="D3331" s="25"/>
      <c r="E3331" s="27"/>
      <c r="F3331" s="25"/>
      <c r="G3331" s="27"/>
    </row>
    <row r="3332">
      <c r="A3332" s="21"/>
      <c r="B3332" s="21"/>
      <c r="D3332" s="25"/>
      <c r="E3332" s="27"/>
      <c r="F3332" s="25"/>
      <c r="G3332" s="27"/>
    </row>
    <row r="3333">
      <c r="A3333" s="21"/>
      <c r="B3333" s="21"/>
      <c r="D3333" s="25"/>
      <c r="E3333" s="27"/>
      <c r="F3333" s="25"/>
      <c r="G3333" s="27"/>
    </row>
    <row r="3334">
      <c r="A3334" s="21"/>
      <c r="B3334" s="21"/>
      <c r="D3334" s="25"/>
      <c r="E3334" s="27"/>
      <c r="F3334" s="25"/>
      <c r="G3334" s="27"/>
    </row>
    <row r="3335">
      <c r="A3335" s="21"/>
      <c r="B3335" s="21"/>
      <c r="D3335" s="25"/>
      <c r="E3335" s="27"/>
      <c r="F3335" s="25"/>
      <c r="G3335" s="27"/>
    </row>
    <row r="3336">
      <c r="A3336" s="21"/>
      <c r="B3336" s="21"/>
      <c r="D3336" s="25"/>
      <c r="E3336" s="27"/>
      <c r="F3336" s="25"/>
      <c r="G3336" s="27"/>
    </row>
    <row r="3337">
      <c r="A3337" s="21"/>
      <c r="B3337" s="21"/>
      <c r="D3337" s="25"/>
      <c r="E3337" s="27"/>
      <c r="F3337" s="25"/>
      <c r="G3337" s="27"/>
    </row>
    <row r="3338">
      <c r="A3338" s="21"/>
      <c r="B3338" s="21"/>
      <c r="D3338" s="25"/>
      <c r="E3338" s="27"/>
      <c r="F3338" s="25"/>
      <c r="G3338" s="27"/>
    </row>
    <row r="3339">
      <c r="A3339" s="21"/>
      <c r="B3339" s="21"/>
      <c r="D3339" s="25"/>
      <c r="E3339" s="27"/>
      <c r="F3339" s="25"/>
      <c r="G3339" s="27"/>
    </row>
    <row r="3340">
      <c r="A3340" s="21"/>
      <c r="B3340" s="21"/>
      <c r="D3340" s="25"/>
      <c r="E3340" s="27"/>
      <c r="F3340" s="25"/>
      <c r="G3340" s="27"/>
    </row>
    <row r="3341">
      <c r="A3341" s="21"/>
      <c r="B3341" s="21"/>
      <c r="D3341" s="25"/>
      <c r="E3341" s="27"/>
      <c r="F3341" s="25"/>
      <c r="G3341" s="27"/>
    </row>
    <row r="3342">
      <c r="A3342" s="21"/>
      <c r="B3342" s="21"/>
      <c r="D3342" s="25"/>
      <c r="E3342" s="27"/>
      <c r="F3342" s="25"/>
      <c r="G3342" s="27"/>
    </row>
    <row r="3343">
      <c r="A3343" s="21"/>
      <c r="B3343" s="21"/>
      <c r="D3343" s="25"/>
      <c r="E3343" s="27"/>
      <c r="F3343" s="25"/>
      <c r="G3343" s="27"/>
    </row>
    <row r="3344">
      <c r="A3344" s="21"/>
      <c r="B3344" s="21"/>
      <c r="D3344" s="25"/>
      <c r="E3344" s="27"/>
      <c r="F3344" s="25"/>
      <c r="G3344" s="27"/>
    </row>
    <row r="3345">
      <c r="A3345" s="21"/>
      <c r="B3345" s="21"/>
      <c r="D3345" s="25"/>
      <c r="E3345" s="27"/>
      <c r="F3345" s="25"/>
      <c r="G3345" s="27"/>
    </row>
    <row r="3346">
      <c r="A3346" s="21"/>
      <c r="B3346" s="21"/>
      <c r="D3346" s="25"/>
      <c r="E3346" s="27"/>
      <c r="F3346" s="25"/>
      <c r="G3346" s="27"/>
    </row>
    <row r="3347">
      <c r="A3347" s="21"/>
      <c r="B3347" s="21"/>
      <c r="D3347" s="25"/>
      <c r="E3347" s="27"/>
      <c r="F3347" s="25"/>
      <c r="G3347" s="27"/>
    </row>
    <row r="3348">
      <c r="A3348" s="21"/>
      <c r="B3348" s="21"/>
      <c r="D3348" s="25"/>
      <c r="E3348" s="27"/>
      <c r="F3348" s="25"/>
      <c r="G3348" s="27"/>
    </row>
    <row r="3349">
      <c r="A3349" s="21"/>
      <c r="B3349" s="21"/>
      <c r="D3349" s="25"/>
      <c r="E3349" s="27"/>
      <c r="F3349" s="25"/>
      <c r="G3349" s="27"/>
    </row>
    <row r="3350">
      <c r="A3350" s="21"/>
      <c r="B3350" s="21"/>
      <c r="D3350" s="25"/>
      <c r="E3350" s="27"/>
      <c r="F3350" s="25"/>
      <c r="G3350" s="27"/>
    </row>
    <row r="3351">
      <c r="A3351" s="21"/>
      <c r="B3351" s="21"/>
      <c r="D3351" s="25"/>
      <c r="E3351" s="27"/>
      <c r="F3351" s="25"/>
      <c r="G3351" s="27"/>
    </row>
    <row r="3352">
      <c r="A3352" s="21"/>
      <c r="B3352" s="21"/>
      <c r="D3352" s="25"/>
      <c r="E3352" s="27"/>
      <c r="F3352" s="25"/>
      <c r="G3352" s="27"/>
    </row>
    <row r="3353">
      <c r="A3353" s="21"/>
      <c r="B3353" s="21"/>
      <c r="D3353" s="25"/>
      <c r="E3353" s="27"/>
      <c r="F3353" s="25"/>
      <c r="G3353" s="27"/>
    </row>
    <row r="3354">
      <c r="A3354" s="21"/>
      <c r="B3354" s="21"/>
      <c r="D3354" s="25"/>
      <c r="E3354" s="27"/>
      <c r="F3354" s="25"/>
      <c r="G3354" s="27"/>
    </row>
    <row r="3355">
      <c r="A3355" s="21"/>
      <c r="B3355" s="21"/>
      <c r="D3355" s="25"/>
      <c r="E3355" s="27"/>
      <c r="F3355" s="25"/>
      <c r="G3355" s="27"/>
    </row>
    <row r="3356">
      <c r="A3356" s="21"/>
      <c r="B3356" s="21"/>
      <c r="D3356" s="25"/>
      <c r="E3356" s="27"/>
      <c r="F3356" s="25"/>
      <c r="G3356" s="27"/>
    </row>
    <row r="3357">
      <c r="A3357" s="21"/>
      <c r="B3357" s="21"/>
      <c r="D3357" s="25"/>
      <c r="E3357" s="27"/>
      <c r="F3357" s="25"/>
      <c r="G3357" s="27"/>
    </row>
    <row r="3358">
      <c r="A3358" s="21"/>
      <c r="B3358" s="21"/>
      <c r="D3358" s="25"/>
      <c r="E3358" s="27"/>
      <c r="F3358" s="25"/>
      <c r="G3358" s="27"/>
    </row>
    <row r="3359">
      <c r="A3359" s="21"/>
      <c r="B3359" s="21"/>
      <c r="D3359" s="25"/>
      <c r="E3359" s="27"/>
      <c r="F3359" s="25"/>
      <c r="G3359" s="27"/>
    </row>
    <row r="3360">
      <c r="A3360" s="21"/>
      <c r="B3360" s="21"/>
      <c r="D3360" s="25"/>
      <c r="E3360" s="27"/>
      <c r="F3360" s="25"/>
      <c r="G3360" s="27"/>
    </row>
    <row r="3361">
      <c r="A3361" s="21"/>
      <c r="B3361" s="21"/>
      <c r="D3361" s="25"/>
      <c r="E3361" s="27"/>
      <c r="F3361" s="25"/>
      <c r="G3361" s="27"/>
    </row>
    <row r="3362">
      <c r="A3362" s="21"/>
      <c r="B3362" s="21"/>
      <c r="D3362" s="25"/>
      <c r="E3362" s="27"/>
      <c r="F3362" s="25"/>
      <c r="G3362" s="27"/>
    </row>
    <row r="3363">
      <c r="A3363" s="21"/>
      <c r="B3363" s="21"/>
      <c r="D3363" s="25"/>
      <c r="E3363" s="27"/>
      <c r="F3363" s="25"/>
      <c r="G3363" s="27"/>
    </row>
    <row r="3364">
      <c r="A3364" s="21"/>
      <c r="B3364" s="21"/>
      <c r="D3364" s="25"/>
      <c r="E3364" s="27"/>
      <c r="F3364" s="25"/>
      <c r="G3364" s="27"/>
    </row>
    <row r="3365">
      <c r="A3365" s="21"/>
      <c r="B3365" s="21"/>
      <c r="D3365" s="25"/>
      <c r="E3365" s="27"/>
      <c r="F3365" s="25"/>
      <c r="G3365" s="27"/>
    </row>
    <row r="3366">
      <c r="A3366" s="21"/>
      <c r="B3366" s="21"/>
      <c r="D3366" s="25"/>
      <c r="E3366" s="27"/>
      <c r="F3366" s="25"/>
      <c r="G3366" s="27"/>
    </row>
    <row r="3367">
      <c r="A3367" s="21"/>
      <c r="B3367" s="21"/>
      <c r="D3367" s="25"/>
      <c r="E3367" s="27"/>
      <c r="F3367" s="25"/>
      <c r="G3367" s="27"/>
    </row>
    <row r="3368">
      <c r="A3368" s="21"/>
      <c r="B3368" s="21"/>
      <c r="D3368" s="25"/>
      <c r="E3368" s="27"/>
      <c r="F3368" s="25"/>
      <c r="G3368" s="27"/>
    </row>
    <row r="3369">
      <c r="A3369" s="21"/>
      <c r="B3369" s="21"/>
      <c r="D3369" s="25"/>
      <c r="E3369" s="27"/>
      <c r="F3369" s="25"/>
      <c r="G3369" s="27"/>
    </row>
    <row r="3370">
      <c r="A3370" s="21"/>
      <c r="B3370" s="21"/>
      <c r="D3370" s="25"/>
      <c r="E3370" s="27"/>
      <c r="F3370" s="25"/>
      <c r="G3370" s="27"/>
    </row>
    <row r="3371">
      <c r="A3371" s="21"/>
      <c r="B3371" s="21"/>
      <c r="D3371" s="25"/>
      <c r="E3371" s="27"/>
      <c r="F3371" s="25"/>
      <c r="G3371" s="27"/>
    </row>
    <row r="3372">
      <c r="A3372" s="21"/>
      <c r="B3372" s="21"/>
      <c r="D3372" s="25"/>
      <c r="E3372" s="27"/>
      <c r="F3372" s="25"/>
      <c r="G3372" s="27"/>
    </row>
    <row r="3373">
      <c r="A3373" s="21"/>
      <c r="B3373" s="21"/>
      <c r="D3373" s="25"/>
      <c r="E3373" s="27"/>
      <c r="F3373" s="25"/>
      <c r="G3373" s="27"/>
    </row>
    <row r="3374">
      <c r="A3374" s="21"/>
      <c r="B3374" s="21"/>
      <c r="D3374" s="25"/>
      <c r="E3374" s="27"/>
      <c r="F3374" s="25"/>
      <c r="G3374" s="27"/>
    </row>
    <row r="3375">
      <c r="A3375" s="21"/>
      <c r="B3375" s="21"/>
      <c r="D3375" s="25"/>
      <c r="E3375" s="27"/>
      <c r="F3375" s="25"/>
      <c r="G3375" s="27"/>
    </row>
    <row r="3376">
      <c r="A3376" s="21"/>
      <c r="B3376" s="21"/>
      <c r="D3376" s="25"/>
      <c r="E3376" s="27"/>
      <c r="F3376" s="25"/>
      <c r="G3376" s="27"/>
    </row>
    <row r="3377">
      <c r="A3377" s="21"/>
      <c r="B3377" s="21"/>
      <c r="D3377" s="25"/>
      <c r="E3377" s="27"/>
      <c r="F3377" s="25"/>
      <c r="G3377" s="27"/>
    </row>
    <row r="3378">
      <c r="A3378" s="21"/>
      <c r="B3378" s="21"/>
      <c r="D3378" s="25"/>
      <c r="E3378" s="27"/>
      <c r="F3378" s="25"/>
      <c r="G3378" s="27"/>
    </row>
    <row r="3379">
      <c r="A3379" s="21"/>
      <c r="B3379" s="21"/>
      <c r="D3379" s="25"/>
      <c r="E3379" s="27"/>
      <c r="F3379" s="25"/>
      <c r="G3379" s="27"/>
    </row>
    <row r="3380">
      <c r="A3380" s="21"/>
      <c r="B3380" s="21"/>
      <c r="D3380" s="25"/>
      <c r="E3380" s="27"/>
      <c r="F3380" s="25"/>
      <c r="G3380" s="27"/>
    </row>
    <row r="3381">
      <c r="A3381" s="21"/>
      <c r="B3381" s="21"/>
      <c r="D3381" s="25"/>
      <c r="E3381" s="27"/>
      <c r="F3381" s="25"/>
      <c r="G3381" s="27"/>
    </row>
    <row r="3382">
      <c r="A3382" s="21"/>
      <c r="B3382" s="21"/>
      <c r="D3382" s="25"/>
      <c r="E3382" s="27"/>
      <c r="F3382" s="25"/>
      <c r="G3382" s="27"/>
    </row>
    <row r="3383">
      <c r="A3383" s="21"/>
      <c r="B3383" s="21"/>
      <c r="D3383" s="25"/>
      <c r="E3383" s="27"/>
      <c r="F3383" s="25"/>
      <c r="G3383" s="27"/>
    </row>
    <row r="3384">
      <c r="A3384" s="21"/>
      <c r="B3384" s="21"/>
      <c r="D3384" s="25"/>
      <c r="E3384" s="27"/>
      <c r="F3384" s="25"/>
      <c r="G3384" s="27"/>
    </row>
    <row r="3385">
      <c r="A3385" s="21"/>
      <c r="B3385" s="21"/>
      <c r="D3385" s="25"/>
      <c r="E3385" s="27"/>
      <c r="F3385" s="25"/>
      <c r="G3385" s="27"/>
    </row>
    <row r="3386">
      <c r="A3386" s="21"/>
      <c r="B3386" s="21"/>
      <c r="D3386" s="25"/>
      <c r="E3386" s="27"/>
      <c r="F3386" s="25"/>
      <c r="G3386" s="27"/>
    </row>
    <row r="3387">
      <c r="A3387" s="21"/>
      <c r="B3387" s="21"/>
      <c r="D3387" s="25"/>
      <c r="E3387" s="27"/>
      <c r="F3387" s="25"/>
      <c r="G3387" s="27"/>
    </row>
    <row r="3388">
      <c r="A3388" s="21"/>
      <c r="B3388" s="21"/>
      <c r="D3388" s="25"/>
      <c r="E3388" s="27"/>
      <c r="F3388" s="25"/>
      <c r="G3388" s="27"/>
    </row>
    <row r="3389">
      <c r="A3389" s="21"/>
      <c r="B3389" s="21"/>
      <c r="D3389" s="25"/>
      <c r="E3389" s="27"/>
      <c r="F3389" s="25"/>
      <c r="G3389" s="27"/>
    </row>
    <row r="3390">
      <c r="A3390" s="21"/>
      <c r="B3390" s="21"/>
      <c r="D3390" s="25"/>
      <c r="E3390" s="27"/>
      <c r="F3390" s="25"/>
      <c r="G3390" s="27"/>
    </row>
    <row r="3391">
      <c r="A3391" s="21"/>
      <c r="B3391" s="21"/>
      <c r="D3391" s="25"/>
      <c r="E3391" s="27"/>
      <c r="F3391" s="25"/>
      <c r="G3391" s="27"/>
    </row>
    <row r="3392">
      <c r="A3392" s="21"/>
      <c r="B3392" s="21"/>
      <c r="D3392" s="25"/>
      <c r="E3392" s="27"/>
      <c r="F3392" s="25"/>
      <c r="G3392" s="27"/>
    </row>
    <row r="3393">
      <c r="A3393" s="21"/>
      <c r="B3393" s="21"/>
      <c r="D3393" s="25"/>
      <c r="E3393" s="27"/>
      <c r="F3393" s="25"/>
      <c r="G3393" s="27"/>
    </row>
    <row r="3394">
      <c r="A3394" s="21"/>
      <c r="B3394" s="21"/>
      <c r="D3394" s="25"/>
      <c r="E3394" s="27"/>
      <c r="F3394" s="25"/>
      <c r="G3394" s="27"/>
    </row>
    <row r="3395">
      <c r="A3395" s="21"/>
      <c r="B3395" s="21"/>
      <c r="D3395" s="25"/>
      <c r="E3395" s="27"/>
      <c r="F3395" s="25"/>
      <c r="G3395" s="27"/>
    </row>
    <row r="3396">
      <c r="A3396" s="21"/>
      <c r="B3396" s="21"/>
      <c r="D3396" s="25"/>
      <c r="E3396" s="27"/>
      <c r="F3396" s="25"/>
      <c r="G3396" s="27"/>
    </row>
    <row r="3397">
      <c r="A3397" s="21"/>
      <c r="B3397" s="21"/>
      <c r="D3397" s="25"/>
      <c r="E3397" s="27"/>
      <c r="F3397" s="25"/>
      <c r="G3397" s="27"/>
    </row>
    <row r="3398">
      <c r="A3398" s="21"/>
      <c r="B3398" s="21"/>
      <c r="D3398" s="25"/>
      <c r="E3398" s="27"/>
      <c r="F3398" s="25"/>
      <c r="G3398" s="27"/>
    </row>
    <row r="3399">
      <c r="A3399" s="21"/>
      <c r="B3399" s="21"/>
      <c r="D3399" s="25"/>
      <c r="E3399" s="27"/>
      <c r="F3399" s="25"/>
      <c r="G3399" s="27"/>
    </row>
    <row r="3400">
      <c r="A3400" s="21"/>
      <c r="B3400" s="21"/>
      <c r="D3400" s="25"/>
      <c r="E3400" s="27"/>
      <c r="F3400" s="25"/>
      <c r="G3400" s="27"/>
    </row>
    <row r="3401">
      <c r="A3401" s="21"/>
      <c r="B3401" s="21"/>
      <c r="D3401" s="25"/>
      <c r="E3401" s="27"/>
      <c r="F3401" s="25"/>
      <c r="G3401" s="27"/>
    </row>
    <row r="3402">
      <c r="A3402" s="21"/>
      <c r="B3402" s="21"/>
      <c r="D3402" s="25"/>
      <c r="E3402" s="27"/>
      <c r="F3402" s="25"/>
      <c r="G3402" s="27"/>
    </row>
    <row r="3403">
      <c r="A3403" s="21"/>
      <c r="B3403" s="21"/>
      <c r="D3403" s="25"/>
      <c r="E3403" s="27"/>
      <c r="F3403" s="25"/>
      <c r="G3403" s="27"/>
    </row>
    <row r="3404">
      <c r="A3404" s="21"/>
      <c r="B3404" s="21"/>
      <c r="D3404" s="25"/>
      <c r="E3404" s="27"/>
      <c r="F3404" s="25"/>
      <c r="G3404" s="27"/>
    </row>
    <row r="3405">
      <c r="A3405" s="21"/>
      <c r="B3405" s="21"/>
      <c r="D3405" s="25"/>
      <c r="E3405" s="27"/>
      <c r="F3405" s="25"/>
      <c r="G3405" s="27"/>
    </row>
    <row r="3406">
      <c r="A3406" s="21"/>
      <c r="B3406" s="21"/>
      <c r="D3406" s="25"/>
      <c r="E3406" s="27"/>
      <c r="F3406" s="25"/>
      <c r="G3406" s="27"/>
    </row>
    <row r="3407">
      <c r="A3407" s="21"/>
      <c r="B3407" s="21"/>
      <c r="D3407" s="25"/>
      <c r="E3407" s="27"/>
      <c r="F3407" s="25"/>
      <c r="G3407" s="27"/>
    </row>
    <row r="3408">
      <c r="A3408" s="21"/>
      <c r="B3408" s="21"/>
      <c r="D3408" s="25"/>
      <c r="E3408" s="27"/>
      <c r="F3408" s="25"/>
      <c r="G3408" s="27"/>
    </row>
    <row r="3409">
      <c r="A3409" s="21"/>
      <c r="B3409" s="21"/>
      <c r="D3409" s="25"/>
      <c r="E3409" s="27"/>
      <c r="F3409" s="25"/>
      <c r="G3409" s="27"/>
    </row>
    <row r="3410">
      <c r="A3410" s="21"/>
      <c r="B3410" s="21"/>
      <c r="D3410" s="25"/>
      <c r="E3410" s="27"/>
      <c r="F3410" s="25"/>
      <c r="G3410" s="27"/>
    </row>
    <row r="3411">
      <c r="A3411" s="21"/>
      <c r="B3411" s="21"/>
      <c r="D3411" s="25"/>
      <c r="E3411" s="27"/>
      <c r="F3411" s="25"/>
      <c r="G3411" s="27"/>
    </row>
    <row r="3412">
      <c r="A3412" s="21"/>
      <c r="B3412" s="21"/>
      <c r="D3412" s="25"/>
      <c r="E3412" s="27"/>
      <c r="F3412" s="25"/>
      <c r="G3412" s="27"/>
    </row>
    <row r="3413">
      <c r="A3413" s="21"/>
      <c r="B3413" s="21"/>
      <c r="D3413" s="25"/>
      <c r="E3413" s="27"/>
      <c r="F3413" s="25"/>
      <c r="G3413" s="27"/>
    </row>
    <row r="3414">
      <c r="A3414" s="21"/>
      <c r="B3414" s="21"/>
      <c r="D3414" s="25"/>
      <c r="E3414" s="27"/>
      <c r="F3414" s="25"/>
      <c r="G3414" s="27"/>
    </row>
    <row r="3415">
      <c r="A3415" s="21"/>
      <c r="B3415" s="21"/>
      <c r="D3415" s="25"/>
      <c r="E3415" s="27"/>
      <c r="F3415" s="25"/>
      <c r="G3415" s="27"/>
    </row>
    <row r="3416">
      <c r="A3416" s="21"/>
      <c r="B3416" s="21"/>
      <c r="D3416" s="25"/>
      <c r="E3416" s="27"/>
      <c r="F3416" s="25"/>
      <c r="G3416" s="27"/>
    </row>
    <row r="3417">
      <c r="A3417" s="21"/>
      <c r="B3417" s="21"/>
      <c r="D3417" s="25"/>
      <c r="E3417" s="27"/>
      <c r="F3417" s="25"/>
      <c r="G3417" s="27"/>
    </row>
    <row r="3418">
      <c r="A3418" s="21"/>
      <c r="B3418" s="21"/>
      <c r="D3418" s="25"/>
      <c r="E3418" s="27"/>
      <c r="F3418" s="25"/>
      <c r="G3418" s="27"/>
    </row>
    <row r="3419">
      <c r="A3419" s="21"/>
      <c r="B3419" s="21"/>
      <c r="D3419" s="25"/>
      <c r="E3419" s="27"/>
      <c r="F3419" s="25"/>
      <c r="G3419" s="27"/>
    </row>
    <row r="3420">
      <c r="A3420" s="21"/>
      <c r="B3420" s="21"/>
      <c r="D3420" s="25"/>
      <c r="E3420" s="27"/>
      <c r="F3420" s="25"/>
      <c r="G3420" s="27"/>
    </row>
    <row r="3421">
      <c r="A3421" s="21"/>
      <c r="B3421" s="21"/>
      <c r="D3421" s="25"/>
      <c r="E3421" s="27"/>
      <c r="F3421" s="25"/>
      <c r="G3421" s="27"/>
    </row>
    <row r="3422">
      <c r="A3422" s="21"/>
      <c r="B3422" s="21"/>
      <c r="D3422" s="25"/>
      <c r="E3422" s="27"/>
      <c r="F3422" s="25"/>
      <c r="G3422" s="27"/>
    </row>
    <row r="3423">
      <c r="A3423" s="21"/>
      <c r="B3423" s="21"/>
      <c r="D3423" s="25"/>
      <c r="E3423" s="27"/>
      <c r="F3423" s="25"/>
      <c r="G3423" s="27"/>
    </row>
    <row r="3424">
      <c r="A3424" s="21"/>
      <c r="B3424" s="21"/>
      <c r="D3424" s="25"/>
      <c r="E3424" s="27"/>
      <c r="F3424" s="25"/>
      <c r="G3424" s="27"/>
    </row>
    <row r="3425">
      <c r="A3425" s="21"/>
      <c r="B3425" s="21"/>
      <c r="D3425" s="25"/>
      <c r="E3425" s="27"/>
      <c r="F3425" s="25"/>
      <c r="G3425" s="27"/>
    </row>
    <row r="3426">
      <c r="A3426" s="21"/>
      <c r="B3426" s="21"/>
      <c r="D3426" s="25"/>
      <c r="E3426" s="27"/>
      <c r="F3426" s="25"/>
      <c r="G3426" s="27"/>
    </row>
    <row r="3427">
      <c r="A3427" s="21"/>
      <c r="B3427" s="21"/>
      <c r="D3427" s="25"/>
      <c r="E3427" s="27"/>
      <c r="F3427" s="25"/>
      <c r="G3427" s="27"/>
    </row>
    <row r="3428">
      <c r="A3428" s="21"/>
      <c r="B3428" s="21"/>
      <c r="D3428" s="25"/>
      <c r="E3428" s="27"/>
      <c r="F3428" s="25"/>
      <c r="G3428" s="27"/>
    </row>
    <row r="3429">
      <c r="A3429" s="21"/>
      <c r="B3429" s="21"/>
      <c r="D3429" s="25"/>
      <c r="E3429" s="27"/>
      <c r="F3429" s="25"/>
      <c r="G3429" s="27"/>
    </row>
    <row r="3430">
      <c r="A3430" s="21"/>
      <c r="B3430" s="21"/>
      <c r="D3430" s="25"/>
      <c r="E3430" s="27"/>
      <c r="F3430" s="25"/>
      <c r="G3430" s="27"/>
    </row>
    <row r="3431">
      <c r="A3431" s="21"/>
      <c r="B3431" s="21"/>
      <c r="D3431" s="25"/>
      <c r="E3431" s="27"/>
      <c r="F3431" s="25"/>
      <c r="G3431" s="27"/>
    </row>
    <row r="3432">
      <c r="A3432" s="21"/>
      <c r="B3432" s="21"/>
      <c r="D3432" s="25"/>
      <c r="E3432" s="27"/>
      <c r="F3432" s="25"/>
      <c r="G3432" s="27"/>
    </row>
    <row r="3433">
      <c r="A3433" s="21"/>
      <c r="B3433" s="21"/>
      <c r="D3433" s="25"/>
      <c r="E3433" s="27"/>
      <c r="F3433" s="25"/>
      <c r="G3433" s="27"/>
    </row>
    <row r="3434">
      <c r="A3434" s="21"/>
      <c r="B3434" s="21"/>
      <c r="D3434" s="25"/>
      <c r="E3434" s="27"/>
      <c r="F3434" s="25"/>
      <c r="G3434" s="27"/>
    </row>
    <row r="3435">
      <c r="A3435" s="21"/>
      <c r="B3435" s="21"/>
      <c r="D3435" s="25"/>
      <c r="E3435" s="27"/>
      <c r="F3435" s="25"/>
      <c r="G3435" s="27"/>
    </row>
    <row r="3436">
      <c r="A3436" s="21"/>
      <c r="B3436" s="21"/>
      <c r="D3436" s="25"/>
      <c r="E3436" s="27"/>
      <c r="F3436" s="25"/>
      <c r="G3436" s="27"/>
    </row>
    <row r="3437">
      <c r="A3437" s="21"/>
      <c r="B3437" s="21"/>
      <c r="D3437" s="25"/>
      <c r="E3437" s="27"/>
      <c r="F3437" s="25"/>
      <c r="G3437" s="27"/>
    </row>
    <row r="3438">
      <c r="A3438" s="21"/>
      <c r="B3438" s="21"/>
      <c r="D3438" s="25"/>
      <c r="E3438" s="27"/>
      <c r="F3438" s="25"/>
      <c r="G3438" s="27"/>
    </row>
    <row r="3439">
      <c r="A3439" s="21"/>
      <c r="B3439" s="21"/>
      <c r="D3439" s="25"/>
      <c r="E3439" s="27"/>
      <c r="F3439" s="25"/>
      <c r="G3439" s="27"/>
    </row>
    <row r="3440">
      <c r="A3440" s="21"/>
      <c r="B3440" s="21"/>
      <c r="D3440" s="25"/>
      <c r="E3440" s="27"/>
      <c r="F3440" s="25"/>
      <c r="G3440" s="27"/>
    </row>
    <row r="3441">
      <c r="A3441" s="21"/>
      <c r="B3441" s="21"/>
      <c r="D3441" s="25"/>
      <c r="E3441" s="27"/>
      <c r="F3441" s="25"/>
      <c r="G3441" s="27"/>
    </row>
    <row r="3442">
      <c r="A3442" s="21"/>
      <c r="B3442" s="21"/>
      <c r="D3442" s="25"/>
      <c r="E3442" s="27"/>
      <c r="F3442" s="25"/>
      <c r="G3442" s="27"/>
    </row>
    <row r="3443">
      <c r="A3443" s="21"/>
      <c r="B3443" s="21"/>
      <c r="D3443" s="25"/>
      <c r="E3443" s="27"/>
      <c r="F3443" s="25"/>
      <c r="G3443" s="27"/>
    </row>
    <row r="3444">
      <c r="A3444" s="21"/>
      <c r="B3444" s="21"/>
      <c r="D3444" s="25"/>
      <c r="E3444" s="27"/>
      <c r="F3444" s="25"/>
      <c r="G3444" s="27"/>
    </row>
    <row r="3445">
      <c r="A3445" s="21"/>
      <c r="B3445" s="21"/>
      <c r="D3445" s="25"/>
      <c r="E3445" s="27"/>
      <c r="F3445" s="25"/>
      <c r="G3445" s="27"/>
    </row>
    <row r="3446">
      <c r="A3446" s="21"/>
      <c r="B3446" s="21"/>
      <c r="D3446" s="25"/>
      <c r="E3446" s="27"/>
      <c r="F3446" s="25"/>
      <c r="G3446" s="27"/>
    </row>
    <row r="3447">
      <c r="A3447" s="21"/>
      <c r="B3447" s="21"/>
      <c r="D3447" s="25"/>
      <c r="E3447" s="27"/>
      <c r="F3447" s="25"/>
      <c r="G3447" s="27"/>
    </row>
    <row r="3448">
      <c r="A3448" s="21"/>
      <c r="B3448" s="21"/>
      <c r="D3448" s="25"/>
      <c r="E3448" s="27"/>
      <c r="F3448" s="25"/>
      <c r="G3448" s="27"/>
    </row>
    <row r="3449">
      <c r="A3449" s="21"/>
      <c r="B3449" s="21"/>
      <c r="D3449" s="25"/>
      <c r="E3449" s="27"/>
      <c r="F3449" s="25"/>
      <c r="G3449" s="27"/>
    </row>
    <row r="3450">
      <c r="A3450" s="21"/>
      <c r="B3450" s="21"/>
      <c r="D3450" s="25"/>
      <c r="E3450" s="27"/>
      <c r="F3450" s="25"/>
      <c r="G3450" s="27"/>
    </row>
    <row r="3451">
      <c r="A3451" s="21"/>
      <c r="B3451" s="21"/>
      <c r="D3451" s="25"/>
      <c r="E3451" s="27"/>
      <c r="F3451" s="25"/>
      <c r="G3451" s="27"/>
    </row>
    <row r="3452">
      <c r="A3452" s="21"/>
      <c r="B3452" s="21"/>
      <c r="D3452" s="25"/>
      <c r="E3452" s="27"/>
      <c r="F3452" s="25"/>
      <c r="G3452" s="27"/>
    </row>
    <row r="3453">
      <c r="A3453" s="21"/>
      <c r="B3453" s="21"/>
      <c r="D3453" s="25"/>
      <c r="E3453" s="27"/>
      <c r="F3453" s="25"/>
      <c r="G3453" s="27"/>
    </row>
    <row r="3454">
      <c r="A3454" s="21"/>
      <c r="B3454" s="21"/>
      <c r="D3454" s="25"/>
      <c r="E3454" s="27"/>
      <c r="F3454" s="25"/>
      <c r="G3454" s="27"/>
    </row>
    <row r="3455">
      <c r="A3455" s="21"/>
      <c r="B3455" s="21"/>
      <c r="D3455" s="25"/>
      <c r="E3455" s="27"/>
      <c r="F3455" s="25"/>
      <c r="G3455" s="27"/>
    </row>
    <row r="3456">
      <c r="A3456" s="21"/>
      <c r="B3456" s="21"/>
      <c r="D3456" s="25"/>
      <c r="E3456" s="27"/>
      <c r="F3456" s="25"/>
      <c r="G3456" s="27"/>
    </row>
    <row r="3457">
      <c r="A3457" s="21"/>
      <c r="B3457" s="21"/>
      <c r="D3457" s="25"/>
      <c r="E3457" s="27"/>
      <c r="F3457" s="25"/>
      <c r="G3457" s="27"/>
    </row>
    <row r="3458">
      <c r="A3458" s="21"/>
      <c r="B3458" s="21"/>
      <c r="D3458" s="25"/>
      <c r="E3458" s="27"/>
      <c r="F3458" s="25"/>
      <c r="G3458" s="27"/>
    </row>
    <row r="3459">
      <c r="A3459" s="21"/>
      <c r="B3459" s="21"/>
      <c r="D3459" s="25"/>
      <c r="E3459" s="27"/>
      <c r="F3459" s="25"/>
      <c r="G3459" s="27"/>
    </row>
    <row r="3460">
      <c r="A3460" s="21"/>
      <c r="B3460" s="21"/>
      <c r="D3460" s="25"/>
      <c r="E3460" s="27"/>
      <c r="F3460" s="25"/>
      <c r="G3460" s="27"/>
    </row>
    <row r="3461">
      <c r="A3461" s="21"/>
      <c r="B3461" s="21"/>
      <c r="D3461" s="25"/>
      <c r="E3461" s="27"/>
      <c r="F3461" s="25"/>
      <c r="G3461" s="27"/>
    </row>
    <row r="3462">
      <c r="A3462" s="21"/>
      <c r="B3462" s="21"/>
      <c r="D3462" s="25"/>
      <c r="E3462" s="27"/>
      <c r="F3462" s="25"/>
      <c r="G3462" s="27"/>
    </row>
    <row r="3463">
      <c r="A3463" s="21"/>
      <c r="B3463" s="21"/>
      <c r="D3463" s="25"/>
      <c r="E3463" s="27"/>
      <c r="F3463" s="25"/>
      <c r="G3463" s="27"/>
    </row>
    <row r="3464">
      <c r="A3464" s="21"/>
      <c r="B3464" s="21"/>
      <c r="D3464" s="25"/>
      <c r="E3464" s="27"/>
      <c r="F3464" s="25"/>
      <c r="G3464" s="27"/>
    </row>
    <row r="3465">
      <c r="A3465" s="21"/>
      <c r="B3465" s="21"/>
      <c r="D3465" s="25"/>
      <c r="E3465" s="27"/>
      <c r="F3465" s="25"/>
      <c r="G3465" s="27"/>
    </row>
    <row r="3466">
      <c r="A3466" s="21"/>
      <c r="B3466" s="21"/>
      <c r="D3466" s="25"/>
      <c r="E3466" s="27"/>
      <c r="F3466" s="25"/>
      <c r="G3466" s="27"/>
    </row>
    <row r="3467">
      <c r="A3467" s="21"/>
      <c r="B3467" s="21"/>
      <c r="D3467" s="25"/>
      <c r="E3467" s="27"/>
      <c r="F3467" s="25"/>
      <c r="G3467" s="27"/>
    </row>
    <row r="3468">
      <c r="A3468" s="21"/>
      <c r="B3468" s="21"/>
      <c r="D3468" s="25"/>
      <c r="E3468" s="27"/>
      <c r="F3468" s="25"/>
      <c r="G3468" s="27"/>
    </row>
    <row r="3469">
      <c r="A3469" s="21"/>
      <c r="B3469" s="21"/>
      <c r="D3469" s="25"/>
      <c r="E3469" s="27"/>
      <c r="F3469" s="25"/>
      <c r="G3469" s="27"/>
    </row>
    <row r="3470">
      <c r="A3470" s="21"/>
      <c r="B3470" s="21"/>
      <c r="D3470" s="25"/>
      <c r="E3470" s="27"/>
      <c r="F3470" s="25"/>
      <c r="G3470" s="27"/>
    </row>
    <row r="3471">
      <c r="A3471" s="21"/>
      <c r="B3471" s="21"/>
      <c r="D3471" s="25"/>
      <c r="E3471" s="27"/>
      <c r="F3471" s="25"/>
      <c r="G3471" s="27"/>
    </row>
    <row r="3472">
      <c r="A3472" s="21"/>
      <c r="B3472" s="21"/>
      <c r="D3472" s="25"/>
      <c r="E3472" s="27"/>
      <c r="F3472" s="25"/>
      <c r="G3472" s="27"/>
    </row>
    <row r="3473">
      <c r="A3473" s="21"/>
      <c r="B3473" s="21"/>
      <c r="D3473" s="25"/>
      <c r="E3473" s="27"/>
      <c r="F3473" s="25"/>
      <c r="G3473" s="27"/>
    </row>
    <row r="3474">
      <c r="A3474" s="21"/>
      <c r="B3474" s="21"/>
      <c r="D3474" s="25"/>
      <c r="E3474" s="27"/>
      <c r="F3474" s="25"/>
      <c r="G3474" s="27"/>
    </row>
    <row r="3475">
      <c r="A3475" s="21"/>
      <c r="B3475" s="21"/>
      <c r="D3475" s="25"/>
      <c r="E3475" s="27"/>
      <c r="F3475" s="25"/>
      <c r="G3475" s="27"/>
    </row>
    <row r="3476">
      <c r="A3476" s="21"/>
      <c r="B3476" s="21"/>
      <c r="D3476" s="25"/>
      <c r="E3476" s="27"/>
      <c r="F3476" s="25"/>
      <c r="G3476" s="27"/>
    </row>
    <row r="3477">
      <c r="A3477" s="21"/>
      <c r="B3477" s="21"/>
      <c r="D3477" s="25"/>
      <c r="E3477" s="27"/>
      <c r="F3477" s="25"/>
      <c r="G3477" s="27"/>
    </row>
    <row r="3478">
      <c r="A3478" s="21"/>
      <c r="B3478" s="21"/>
      <c r="D3478" s="25"/>
      <c r="E3478" s="27"/>
      <c r="F3478" s="25"/>
      <c r="G3478" s="27"/>
    </row>
    <row r="3479">
      <c r="A3479" s="21"/>
      <c r="B3479" s="21"/>
      <c r="D3479" s="25"/>
      <c r="E3479" s="27"/>
      <c r="F3479" s="25"/>
      <c r="G3479" s="27"/>
    </row>
    <row r="3480">
      <c r="A3480" s="21"/>
      <c r="B3480" s="21"/>
      <c r="D3480" s="25"/>
      <c r="E3480" s="27"/>
      <c r="F3480" s="25"/>
      <c r="G3480" s="27"/>
    </row>
    <row r="3481">
      <c r="A3481" s="21"/>
      <c r="B3481" s="21"/>
      <c r="D3481" s="25"/>
      <c r="E3481" s="27"/>
      <c r="F3481" s="25"/>
      <c r="G3481" s="27"/>
    </row>
    <row r="3482">
      <c r="A3482" s="21"/>
      <c r="B3482" s="21"/>
      <c r="D3482" s="25"/>
      <c r="E3482" s="27"/>
      <c r="F3482" s="25"/>
      <c r="G3482" s="27"/>
    </row>
    <row r="3483">
      <c r="A3483" s="21"/>
      <c r="B3483" s="21"/>
      <c r="D3483" s="25"/>
      <c r="E3483" s="27"/>
      <c r="F3483" s="25"/>
      <c r="G3483" s="27"/>
    </row>
    <row r="3484">
      <c r="A3484" s="21"/>
      <c r="B3484" s="21"/>
      <c r="D3484" s="25"/>
      <c r="E3484" s="27"/>
      <c r="F3484" s="25"/>
      <c r="G3484" s="27"/>
    </row>
    <row r="3485">
      <c r="A3485" s="21"/>
      <c r="B3485" s="21"/>
      <c r="D3485" s="25"/>
      <c r="E3485" s="27"/>
      <c r="F3485" s="25"/>
      <c r="G3485" s="27"/>
    </row>
    <row r="3486">
      <c r="A3486" s="21"/>
      <c r="B3486" s="21"/>
      <c r="D3486" s="25"/>
      <c r="E3486" s="27"/>
      <c r="F3486" s="25"/>
      <c r="G3486" s="27"/>
    </row>
    <row r="3487">
      <c r="A3487" s="21"/>
      <c r="B3487" s="21"/>
      <c r="D3487" s="25"/>
      <c r="E3487" s="27"/>
      <c r="F3487" s="25"/>
      <c r="G3487" s="27"/>
    </row>
    <row r="3488">
      <c r="A3488" s="21"/>
      <c r="B3488" s="21"/>
      <c r="D3488" s="25"/>
      <c r="E3488" s="27"/>
      <c r="F3488" s="25"/>
      <c r="G3488" s="27"/>
    </row>
    <row r="3489">
      <c r="A3489" s="21"/>
      <c r="B3489" s="21"/>
      <c r="D3489" s="25"/>
      <c r="E3489" s="27"/>
      <c r="F3489" s="25"/>
      <c r="G3489" s="27"/>
    </row>
    <row r="3490">
      <c r="A3490" s="21"/>
      <c r="B3490" s="21"/>
      <c r="D3490" s="25"/>
      <c r="E3490" s="27"/>
      <c r="F3490" s="25"/>
      <c r="G3490" s="27"/>
    </row>
    <row r="3491">
      <c r="A3491" s="21"/>
      <c r="B3491" s="21"/>
      <c r="D3491" s="25"/>
      <c r="E3491" s="27"/>
      <c r="F3491" s="25"/>
      <c r="G3491" s="27"/>
    </row>
    <row r="3492">
      <c r="A3492" s="21"/>
      <c r="B3492" s="21"/>
      <c r="D3492" s="25"/>
      <c r="E3492" s="27"/>
      <c r="F3492" s="25"/>
      <c r="G3492" s="27"/>
    </row>
    <row r="3493">
      <c r="A3493" s="21"/>
      <c r="B3493" s="21"/>
      <c r="D3493" s="25"/>
      <c r="E3493" s="27"/>
      <c r="F3493" s="25"/>
      <c r="G3493" s="27"/>
    </row>
    <row r="3494">
      <c r="A3494" s="21"/>
      <c r="B3494" s="21"/>
      <c r="D3494" s="25"/>
      <c r="E3494" s="27"/>
      <c r="F3494" s="25"/>
      <c r="G3494" s="27"/>
    </row>
    <row r="3495">
      <c r="A3495" s="21"/>
      <c r="B3495" s="21"/>
      <c r="D3495" s="25"/>
      <c r="E3495" s="27"/>
      <c r="F3495" s="25"/>
      <c r="G3495" s="27"/>
    </row>
    <row r="3496">
      <c r="A3496" s="21"/>
      <c r="B3496" s="21"/>
      <c r="D3496" s="25"/>
      <c r="E3496" s="27"/>
      <c r="F3496" s="25"/>
      <c r="G3496" s="27"/>
    </row>
    <row r="3497">
      <c r="A3497" s="21"/>
      <c r="B3497" s="21"/>
      <c r="D3497" s="25"/>
      <c r="E3497" s="27"/>
      <c r="F3497" s="25"/>
      <c r="G3497" s="27"/>
    </row>
    <row r="3498">
      <c r="A3498" s="21"/>
      <c r="B3498" s="21"/>
      <c r="D3498" s="25"/>
      <c r="E3498" s="27"/>
      <c r="F3498" s="25"/>
      <c r="G3498" s="27"/>
    </row>
    <row r="3499">
      <c r="A3499" s="21"/>
      <c r="B3499" s="21"/>
      <c r="D3499" s="25"/>
      <c r="E3499" s="27"/>
      <c r="F3499" s="25"/>
      <c r="G3499" s="27"/>
    </row>
    <row r="3500">
      <c r="A3500" s="21"/>
      <c r="B3500" s="21"/>
      <c r="D3500" s="25"/>
      <c r="E3500" s="27"/>
      <c r="F3500" s="25"/>
      <c r="G3500" s="27"/>
    </row>
    <row r="3501">
      <c r="A3501" s="21"/>
      <c r="B3501" s="21"/>
      <c r="D3501" s="25"/>
      <c r="E3501" s="27"/>
      <c r="F3501" s="25"/>
      <c r="G3501" s="27"/>
    </row>
    <row r="3502">
      <c r="A3502" s="21"/>
      <c r="B3502" s="21"/>
      <c r="D3502" s="25"/>
      <c r="E3502" s="27"/>
      <c r="F3502" s="25"/>
      <c r="G3502" s="27"/>
    </row>
    <row r="3503">
      <c r="A3503" s="21"/>
      <c r="B3503" s="21"/>
      <c r="D3503" s="25"/>
      <c r="E3503" s="27"/>
      <c r="F3503" s="25"/>
      <c r="G3503" s="27"/>
    </row>
    <row r="3504">
      <c r="A3504" s="21"/>
      <c r="B3504" s="21"/>
      <c r="D3504" s="25"/>
      <c r="E3504" s="27"/>
      <c r="F3504" s="25"/>
      <c r="G3504" s="27"/>
    </row>
    <row r="3505">
      <c r="A3505" s="21"/>
      <c r="B3505" s="21"/>
      <c r="D3505" s="25"/>
      <c r="E3505" s="27"/>
      <c r="F3505" s="25"/>
      <c r="G3505" s="27"/>
    </row>
    <row r="3506">
      <c r="A3506" s="21"/>
      <c r="B3506" s="21"/>
      <c r="D3506" s="25"/>
      <c r="E3506" s="27"/>
      <c r="F3506" s="25"/>
      <c r="G3506" s="27"/>
    </row>
    <row r="3507">
      <c r="A3507" s="21"/>
      <c r="B3507" s="21"/>
      <c r="D3507" s="25"/>
      <c r="E3507" s="27"/>
      <c r="F3507" s="25"/>
      <c r="G3507" s="27"/>
    </row>
    <row r="3508">
      <c r="A3508" s="21"/>
      <c r="B3508" s="21"/>
      <c r="D3508" s="25"/>
      <c r="E3508" s="27"/>
      <c r="F3508" s="25"/>
      <c r="G3508" s="27"/>
    </row>
    <row r="3509">
      <c r="A3509" s="21"/>
      <c r="B3509" s="21"/>
      <c r="D3509" s="25"/>
      <c r="E3509" s="27"/>
      <c r="F3509" s="25"/>
      <c r="G3509" s="27"/>
    </row>
    <row r="3510">
      <c r="A3510" s="21"/>
      <c r="B3510" s="21"/>
      <c r="D3510" s="25"/>
      <c r="E3510" s="27"/>
      <c r="F3510" s="25"/>
      <c r="G3510" s="27"/>
    </row>
    <row r="3511">
      <c r="A3511" s="21"/>
      <c r="B3511" s="21"/>
      <c r="D3511" s="25"/>
      <c r="E3511" s="27"/>
      <c r="F3511" s="25"/>
      <c r="G3511" s="27"/>
    </row>
    <row r="3512">
      <c r="A3512" s="21"/>
      <c r="B3512" s="21"/>
      <c r="D3512" s="25"/>
      <c r="E3512" s="27"/>
      <c r="F3512" s="25"/>
      <c r="G3512" s="27"/>
    </row>
    <row r="3513">
      <c r="A3513" s="21"/>
      <c r="B3513" s="21"/>
      <c r="D3513" s="25"/>
      <c r="E3513" s="27"/>
      <c r="F3513" s="25"/>
      <c r="G3513" s="27"/>
    </row>
    <row r="3514">
      <c r="A3514" s="21"/>
      <c r="B3514" s="21"/>
      <c r="D3514" s="25"/>
      <c r="E3514" s="27"/>
      <c r="F3514" s="25"/>
      <c r="G3514" s="27"/>
    </row>
    <row r="3515">
      <c r="A3515" s="21"/>
      <c r="B3515" s="21"/>
      <c r="D3515" s="25"/>
      <c r="E3515" s="27"/>
      <c r="F3515" s="25"/>
      <c r="G3515" s="27"/>
    </row>
    <row r="3516">
      <c r="A3516" s="21"/>
      <c r="B3516" s="21"/>
      <c r="D3516" s="25"/>
      <c r="E3516" s="27"/>
      <c r="F3516" s="25"/>
      <c r="G3516" s="27"/>
    </row>
    <row r="3517">
      <c r="A3517" s="21"/>
      <c r="B3517" s="21"/>
      <c r="D3517" s="25"/>
      <c r="E3517" s="27"/>
      <c r="F3517" s="25"/>
      <c r="G3517" s="27"/>
    </row>
    <row r="3518">
      <c r="A3518" s="21"/>
      <c r="B3518" s="21"/>
      <c r="D3518" s="25"/>
      <c r="E3518" s="27"/>
      <c r="F3518" s="25"/>
      <c r="G3518" s="27"/>
    </row>
    <row r="3519">
      <c r="A3519" s="21"/>
      <c r="B3519" s="21"/>
      <c r="D3519" s="25"/>
      <c r="E3519" s="27"/>
      <c r="F3519" s="25"/>
      <c r="G3519" s="27"/>
    </row>
    <row r="3520">
      <c r="A3520" s="21"/>
      <c r="B3520" s="21"/>
      <c r="D3520" s="25"/>
      <c r="E3520" s="27"/>
      <c r="F3520" s="25"/>
      <c r="G3520" s="27"/>
    </row>
    <row r="3521">
      <c r="A3521" s="21"/>
      <c r="B3521" s="21"/>
      <c r="D3521" s="25"/>
      <c r="E3521" s="27"/>
      <c r="F3521" s="25"/>
      <c r="G3521" s="27"/>
    </row>
    <row r="3522">
      <c r="A3522" s="21"/>
      <c r="B3522" s="21"/>
      <c r="D3522" s="25"/>
      <c r="E3522" s="27"/>
      <c r="F3522" s="25"/>
      <c r="G3522" s="27"/>
    </row>
    <row r="3523">
      <c r="A3523" s="21"/>
      <c r="B3523" s="21"/>
      <c r="D3523" s="25"/>
      <c r="E3523" s="27"/>
      <c r="F3523" s="25"/>
      <c r="G3523" s="27"/>
    </row>
    <row r="3524">
      <c r="A3524" s="21"/>
      <c r="B3524" s="21"/>
      <c r="D3524" s="25"/>
      <c r="E3524" s="27"/>
      <c r="F3524" s="25"/>
      <c r="G3524" s="27"/>
    </row>
    <row r="3525">
      <c r="A3525" s="21"/>
      <c r="B3525" s="21"/>
      <c r="D3525" s="25"/>
      <c r="E3525" s="27"/>
      <c r="F3525" s="25"/>
      <c r="G3525" s="27"/>
    </row>
    <row r="3526">
      <c r="A3526" s="21"/>
      <c r="B3526" s="21"/>
      <c r="D3526" s="25"/>
      <c r="E3526" s="27"/>
      <c r="F3526" s="25"/>
      <c r="G3526" s="27"/>
    </row>
    <row r="3527">
      <c r="A3527" s="21"/>
      <c r="B3527" s="21"/>
      <c r="D3527" s="25"/>
      <c r="E3527" s="27"/>
      <c r="F3527" s="25"/>
      <c r="G3527" s="27"/>
    </row>
    <row r="3528">
      <c r="A3528" s="21"/>
      <c r="B3528" s="21"/>
      <c r="D3528" s="25"/>
      <c r="E3528" s="27"/>
      <c r="F3528" s="25"/>
      <c r="G3528" s="27"/>
    </row>
    <row r="3529">
      <c r="A3529" s="21"/>
      <c r="B3529" s="21"/>
      <c r="D3529" s="25"/>
      <c r="E3529" s="27"/>
      <c r="F3529" s="25"/>
      <c r="G3529" s="27"/>
    </row>
    <row r="3530">
      <c r="A3530" s="21"/>
      <c r="B3530" s="21"/>
      <c r="D3530" s="25"/>
      <c r="E3530" s="27"/>
      <c r="F3530" s="25"/>
      <c r="G3530" s="27"/>
    </row>
    <row r="3531">
      <c r="A3531" s="21"/>
      <c r="B3531" s="21"/>
      <c r="D3531" s="25"/>
      <c r="E3531" s="27"/>
      <c r="F3531" s="25"/>
      <c r="G3531" s="27"/>
    </row>
    <row r="3532">
      <c r="A3532" s="21"/>
      <c r="B3532" s="21"/>
      <c r="D3532" s="25"/>
      <c r="E3532" s="27"/>
      <c r="F3532" s="25"/>
      <c r="G3532" s="27"/>
    </row>
    <row r="3533">
      <c r="A3533" s="21"/>
      <c r="B3533" s="21"/>
      <c r="D3533" s="25"/>
      <c r="E3533" s="27"/>
      <c r="F3533" s="25"/>
      <c r="G3533" s="27"/>
    </row>
    <row r="3534">
      <c r="A3534" s="21"/>
      <c r="B3534" s="21"/>
      <c r="D3534" s="25"/>
      <c r="E3534" s="27"/>
      <c r="F3534" s="25"/>
      <c r="G3534" s="27"/>
    </row>
    <row r="3535">
      <c r="A3535" s="21"/>
      <c r="B3535" s="21"/>
      <c r="D3535" s="25"/>
      <c r="E3535" s="27"/>
      <c r="F3535" s="25"/>
      <c r="G3535" s="27"/>
    </row>
    <row r="3536">
      <c r="A3536" s="21"/>
      <c r="B3536" s="21"/>
      <c r="D3536" s="25"/>
      <c r="E3536" s="27"/>
      <c r="F3536" s="25"/>
      <c r="G3536" s="27"/>
    </row>
    <row r="3537">
      <c r="A3537" s="21"/>
      <c r="B3537" s="21"/>
      <c r="D3537" s="25"/>
      <c r="E3537" s="27"/>
      <c r="F3537" s="25"/>
      <c r="G3537" s="27"/>
    </row>
    <row r="3538">
      <c r="A3538" s="21"/>
      <c r="B3538" s="21"/>
      <c r="D3538" s="25"/>
      <c r="E3538" s="27"/>
      <c r="F3538" s="25"/>
      <c r="G3538" s="27"/>
    </row>
    <row r="3539">
      <c r="A3539" s="21"/>
      <c r="B3539" s="21"/>
      <c r="D3539" s="25"/>
      <c r="E3539" s="27"/>
      <c r="F3539" s="25"/>
      <c r="G3539" s="27"/>
    </row>
    <row r="3540">
      <c r="A3540" s="21"/>
      <c r="B3540" s="21"/>
      <c r="D3540" s="25"/>
      <c r="E3540" s="27"/>
      <c r="F3540" s="25"/>
      <c r="G3540" s="27"/>
    </row>
    <row r="3541">
      <c r="A3541" s="21"/>
      <c r="B3541" s="21"/>
      <c r="D3541" s="25"/>
      <c r="E3541" s="27"/>
      <c r="F3541" s="25"/>
      <c r="G3541" s="27"/>
    </row>
    <row r="3542">
      <c r="A3542" s="21"/>
      <c r="B3542" s="21"/>
      <c r="D3542" s="25"/>
      <c r="E3542" s="27"/>
      <c r="F3542" s="25"/>
      <c r="G3542" s="27"/>
    </row>
    <row r="3543">
      <c r="A3543" s="21"/>
      <c r="B3543" s="21"/>
      <c r="D3543" s="25"/>
      <c r="E3543" s="27"/>
      <c r="F3543" s="25"/>
      <c r="G3543" s="27"/>
    </row>
    <row r="3544">
      <c r="A3544" s="21"/>
      <c r="B3544" s="21"/>
      <c r="D3544" s="25"/>
      <c r="E3544" s="27"/>
      <c r="F3544" s="25"/>
      <c r="G3544" s="27"/>
    </row>
    <row r="3545">
      <c r="A3545" s="21"/>
      <c r="B3545" s="21"/>
      <c r="D3545" s="25"/>
      <c r="E3545" s="27"/>
      <c r="F3545" s="25"/>
      <c r="G3545" s="27"/>
    </row>
    <row r="3546">
      <c r="A3546" s="21"/>
      <c r="B3546" s="21"/>
      <c r="D3546" s="25"/>
      <c r="E3546" s="27"/>
      <c r="F3546" s="25"/>
      <c r="G3546" s="27"/>
    </row>
    <row r="3547">
      <c r="A3547" s="21"/>
      <c r="B3547" s="21"/>
      <c r="D3547" s="25"/>
      <c r="E3547" s="27"/>
      <c r="F3547" s="25"/>
      <c r="G3547" s="27"/>
    </row>
    <row r="3548">
      <c r="A3548" s="21"/>
      <c r="B3548" s="21"/>
      <c r="D3548" s="25"/>
      <c r="E3548" s="27"/>
      <c r="F3548" s="25"/>
      <c r="G3548" s="27"/>
    </row>
    <row r="3549">
      <c r="A3549" s="21"/>
      <c r="B3549" s="21"/>
      <c r="D3549" s="25"/>
      <c r="E3549" s="27"/>
      <c r="F3549" s="25"/>
      <c r="G3549" s="27"/>
    </row>
    <row r="3550">
      <c r="A3550" s="21"/>
      <c r="B3550" s="21"/>
      <c r="D3550" s="25"/>
      <c r="E3550" s="27"/>
      <c r="F3550" s="25"/>
      <c r="G3550" s="27"/>
    </row>
    <row r="3551">
      <c r="A3551" s="21"/>
      <c r="B3551" s="21"/>
      <c r="D3551" s="25"/>
      <c r="E3551" s="27"/>
      <c r="F3551" s="25"/>
      <c r="G3551" s="27"/>
    </row>
    <row r="3552">
      <c r="A3552" s="21"/>
      <c r="B3552" s="21"/>
      <c r="D3552" s="25"/>
      <c r="E3552" s="27"/>
      <c r="F3552" s="25"/>
      <c r="G3552" s="27"/>
    </row>
    <row r="3553">
      <c r="A3553" s="21"/>
      <c r="B3553" s="21"/>
      <c r="D3553" s="25"/>
      <c r="E3553" s="27"/>
      <c r="F3553" s="25"/>
      <c r="G3553" s="27"/>
    </row>
    <row r="3554">
      <c r="A3554" s="21"/>
      <c r="B3554" s="21"/>
      <c r="D3554" s="25"/>
      <c r="E3554" s="27"/>
      <c r="F3554" s="25"/>
      <c r="G3554" s="27"/>
    </row>
    <row r="3555">
      <c r="A3555" s="21"/>
      <c r="B3555" s="21"/>
      <c r="D3555" s="25"/>
      <c r="E3555" s="27"/>
      <c r="F3555" s="25"/>
      <c r="G3555" s="27"/>
    </row>
    <row r="3556">
      <c r="A3556" s="21"/>
      <c r="B3556" s="21"/>
      <c r="D3556" s="25"/>
      <c r="E3556" s="27"/>
      <c r="F3556" s="25"/>
      <c r="G3556" s="27"/>
    </row>
    <row r="3557">
      <c r="A3557" s="21"/>
      <c r="B3557" s="21"/>
      <c r="D3557" s="25"/>
      <c r="E3557" s="27"/>
      <c r="F3557" s="25"/>
      <c r="G3557" s="27"/>
    </row>
    <row r="3558">
      <c r="A3558" s="21"/>
      <c r="B3558" s="21"/>
      <c r="D3558" s="25"/>
      <c r="E3558" s="27"/>
      <c r="F3558" s="25"/>
      <c r="G3558" s="27"/>
    </row>
    <row r="3559">
      <c r="A3559" s="21"/>
      <c r="B3559" s="21"/>
      <c r="D3559" s="25"/>
      <c r="E3559" s="27"/>
      <c r="F3559" s="25"/>
      <c r="G3559" s="27"/>
    </row>
    <row r="3560">
      <c r="A3560" s="21"/>
      <c r="B3560" s="21"/>
      <c r="D3560" s="25"/>
      <c r="E3560" s="27"/>
      <c r="F3560" s="25"/>
      <c r="G3560" s="27"/>
    </row>
    <row r="3561">
      <c r="A3561" s="21"/>
      <c r="B3561" s="21"/>
      <c r="D3561" s="25"/>
      <c r="E3561" s="27"/>
      <c r="F3561" s="25"/>
      <c r="G3561" s="27"/>
    </row>
    <row r="3562">
      <c r="A3562" s="21"/>
      <c r="B3562" s="21"/>
      <c r="D3562" s="25"/>
      <c r="E3562" s="27"/>
      <c r="F3562" s="25"/>
      <c r="G3562" s="27"/>
    </row>
    <row r="3563">
      <c r="A3563" s="21"/>
      <c r="B3563" s="21"/>
      <c r="D3563" s="25"/>
      <c r="E3563" s="27"/>
      <c r="F3563" s="25"/>
      <c r="G3563" s="27"/>
    </row>
    <row r="3564">
      <c r="A3564" s="21"/>
      <c r="B3564" s="21"/>
      <c r="D3564" s="25"/>
      <c r="E3564" s="27"/>
      <c r="F3564" s="25"/>
      <c r="G3564" s="27"/>
    </row>
    <row r="3565">
      <c r="A3565" s="21"/>
      <c r="B3565" s="21"/>
      <c r="D3565" s="25"/>
      <c r="E3565" s="27"/>
      <c r="F3565" s="25"/>
      <c r="G3565" s="27"/>
    </row>
    <row r="3566">
      <c r="A3566" s="21"/>
      <c r="B3566" s="21"/>
      <c r="D3566" s="25"/>
      <c r="E3566" s="27"/>
      <c r="F3566" s="25"/>
      <c r="G3566" s="27"/>
    </row>
    <row r="3567">
      <c r="A3567" s="21"/>
      <c r="B3567" s="21"/>
      <c r="D3567" s="25"/>
      <c r="E3567" s="27"/>
      <c r="F3567" s="25"/>
      <c r="G3567" s="27"/>
    </row>
    <row r="3568">
      <c r="A3568" s="21"/>
      <c r="B3568" s="21"/>
      <c r="D3568" s="25"/>
      <c r="E3568" s="27"/>
      <c r="F3568" s="25"/>
      <c r="G3568" s="27"/>
    </row>
    <row r="3569">
      <c r="A3569" s="21"/>
      <c r="B3569" s="21"/>
      <c r="D3569" s="25"/>
      <c r="E3569" s="27"/>
      <c r="F3569" s="25"/>
      <c r="G3569" s="27"/>
    </row>
    <row r="3570">
      <c r="A3570" s="21"/>
      <c r="B3570" s="21"/>
      <c r="D3570" s="25"/>
      <c r="E3570" s="27"/>
      <c r="F3570" s="25"/>
      <c r="G3570" s="27"/>
    </row>
    <row r="3571">
      <c r="A3571" s="21"/>
      <c r="B3571" s="21"/>
      <c r="D3571" s="25"/>
      <c r="E3571" s="27"/>
      <c r="F3571" s="25"/>
      <c r="G3571" s="27"/>
    </row>
    <row r="3572">
      <c r="A3572" s="21"/>
      <c r="B3572" s="21"/>
      <c r="D3572" s="25"/>
      <c r="E3572" s="27"/>
      <c r="F3572" s="25"/>
      <c r="G3572" s="27"/>
    </row>
    <row r="3573">
      <c r="A3573" s="21"/>
      <c r="B3573" s="21"/>
      <c r="D3573" s="25"/>
      <c r="E3573" s="27"/>
      <c r="F3573" s="25"/>
      <c r="G3573" s="27"/>
    </row>
    <row r="3574">
      <c r="A3574" s="21"/>
      <c r="B3574" s="21"/>
      <c r="D3574" s="25"/>
      <c r="E3574" s="27"/>
      <c r="F3574" s="25"/>
      <c r="G3574" s="27"/>
    </row>
    <row r="3575">
      <c r="A3575" s="21"/>
      <c r="B3575" s="21"/>
      <c r="D3575" s="25"/>
      <c r="E3575" s="27"/>
      <c r="F3575" s="25"/>
      <c r="G3575" s="27"/>
    </row>
    <row r="3576">
      <c r="A3576" s="21"/>
      <c r="B3576" s="21"/>
      <c r="D3576" s="25"/>
      <c r="E3576" s="27"/>
      <c r="F3576" s="25"/>
      <c r="G3576" s="27"/>
    </row>
    <row r="3577">
      <c r="A3577" s="21"/>
      <c r="B3577" s="21"/>
      <c r="D3577" s="25"/>
      <c r="E3577" s="27"/>
      <c r="F3577" s="25"/>
      <c r="G3577" s="27"/>
    </row>
    <row r="3578">
      <c r="A3578" s="21"/>
      <c r="B3578" s="21"/>
      <c r="D3578" s="25"/>
      <c r="E3578" s="27"/>
      <c r="F3578" s="25"/>
      <c r="G3578" s="27"/>
    </row>
    <row r="3579">
      <c r="A3579" s="21"/>
      <c r="B3579" s="21"/>
      <c r="D3579" s="25"/>
      <c r="E3579" s="27"/>
      <c r="F3579" s="25"/>
      <c r="G3579" s="27"/>
    </row>
    <row r="3580">
      <c r="A3580" s="21"/>
      <c r="B3580" s="21"/>
      <c r="D3580" s="25"/>
      <c r="E3580" s="27"/>
      <c r="F3580" s="25"/>
      <c r="G3580" s="27"/>
    </row>
    <row r="3581">
      <c r="A3581" s="21"/>
      <c r="B3581" s="21"/>
      <c r="D3581" s="25"/>
      <c r="E3581" s="27"/>
      <c r="F3581" s="25"/>
      <c r="G3581" s="27"/>
    </row>
    <row r="3582">
      <c r="A3582" s="21"/>
      <c r="B3582" s="21"/>
      <c r="D3582" s="25"/>
      <c r="E3582" s="27"/>
      <c r="F3582" s="25"/>
      <c r="G3582" s="27"/>
    </row>
    <row r="3583">
      <c r="A3583" s="21"/>
      <c r="B3583" s="21"/>
      <c r="D3583" s="25"/>
      <c r="E3583" s="27"/>
      <c r="F3583" s="25"/>
      <c r="G3583" s="27"/>
    </row>
    <row r="3584">
      <c r="A3584" s="21"/>
      <c r="B3584" s="21"/>
      <c r="D3584" s="25"/>
      <c r="E3584" s="27"/>
      <c r="F3584" s="25"/>
      <c r="G3584" s="27"/>
    </row>
    <row r="3585">
      <c r="A3585" s="21"/>
      <c r="B3585" s="21"/>
      <c r="D3585" s="25"/>
      <c r="E3585" s="27"/>
      <c r="F3585" s="25"/>
      <c r="G3585" s="27"/>
    </row>
    <row r="3586">
      <c r="A3586" s="21"/>
      <c r="B3586" s="21"/>
      <c r="D3586" s="25"/>
      <c r="E3586" s="27"/>
      <c r="F3586" s="25"/>
      <c r="G3586" s="27"/>
    </row>
    <row r="3587">
      <c r="A3587" s="21"/>
      <c r="B3587" s="21"/>
      <c r="D3587" s="25"/>
      <c r="E3587" s="27"/>
      <c r="F3587" s="25"/>
      <c r="G3587" s="27"/>
    </row>
    <row r="3588">
      <c r="A3588" s="21"/>
      <c r="B3588" s="21"/>
      <c r="D3588" s="25"/>
      <c r="E3588" s="27"/>
      <c r="F3588" s="25"/>
      <c r="G3588" s="27"/>
    </row>
    <row r="3589">
      <c r="A3589" s="21"/>
      <c r="B3589" s="21"/>
      <c r="D3589" s="25"/>
      <c r="E3589" s="27"/>
      <c r="F3589" s="25"/>
      <c r="G3589" s="27"/>
    </row>
    <row r="3590">
      <c r="A3590" s="21"/>
      <c r="B3590" s="21"/>
      <c r="D3590" s="25"/>
      <c r="E3590" s="27"/>
      <c r="F3590" s="25"/>
      <c r="G3590" s="27"/>
    </row>
    <row r="3591">
      <c r="A3591" s="21"/>
      <c r="B3591" s="21"/>
      <c r="D3591" s="25"/>
      <c r="E3591" s="27"/>
      <c r="F3591" s="25"/>
      <c r="G3591" s="27"/>
    </row>
    <row r="3592">
      <c r="A3592" s="21"/>
      <c r="B3592" s="21"/>
      <c r="D3592" s="25"/>
      <c r="E3592" s="27"/>
      <c r="F3592" s="25"/>
      <c r="G3592" s="27"/>
    </row>
    <row r="3593">
      <c r="A3593" s="21"/>
      <c r="B3593" s="21"/>
      <c r="D3593" s="25"/>
      <c r="E3593" s="27"/>
      <c r="F3593" s="25"/>
      <c r="G3593" s="27"/>
    </row>
    <row r="3594">
      <c r="A3594" s="21"/>
      <c r="B3594" s="21"/>
      <c r="D3594" s="25"/>
      <c r="E3594" s="27"/>
      <c r="F3594" s="25"/>
      <c r="G3594" s="27"/>
    </row>
    <row r="3595">
      <c r="A3595" s="21"/>
      <c r="B3595" s="21"/>
      <c r="D3595" s="25"/>
      <c r="E3595" s="27"/>
      <c r="F3595" s="25"/>
      <c r="G3595" s="27"/>
    </row>
    <row r="3596">
      <c r="A3596" s="21"/>
      <c r="B3596" s="21"/>
      <c r="D3596" s="25"/>
      <c r="E3596" s="27"/>
      <c r="F3596" s="25"/>
      <c r="G3596" s="27"/>
    </row>
    <row r="3597">
      <c r="A3597" s="21"/>
      <c r="B3597" s="21"/>
      <c r="D3597" s="25"/>
      <c r="E3597" s="27"/>
      <c r="F3597" s="25"/>
      <c r="G3597" s="27"/>
    </row>
    <row r="3598">
      <c r="A3598" s="21"/>
      <c r="B3598" s="21"/>
      <c r="D3598" s="25"/>
      <c r="E3598" s="27"/>
      <c r="F3598" s="25"/>
      <c r="G3598" s="27"/>
    </row>
    <row r="3599">
      <c r="A3599" s="21"/>
      <c r="B3599" s="21"/>
      <c r="D3599" s="25"/>
      <c r="E3599" s="27"/>
      <c r="F3599" s="25"/>
      <c r="G3599" s="27"/>
    </row>
    <row r="3600">
      <c r="A3600" s="21"/>
      <c r="B3600" s="21"/>
      <c r="D3600" s="25"/>
      <c r="E3600" s="27"/>
      <c r="F3600" s="25"/>
      <c r="G3600" s="27"/>
    </row>
    <row r="3601">
      <c r="A3601" s="21"/>
      <c r="B3601" s="21"/>
      <c r="D3601" s="25"/>
      <c r="E3601" s="27"/>
      <c r="F3601" s="25"/>
      <c r="G3601" s="27"/>
    </row>
    <row r="3602">
      <c r="A3602" s="21"/>
      <c r="B3602" s="21"/>
      <c r="D3602" s="25"/>
      <c r="E3602" s="27"/>
      <c r="F3602" s="25"/>
      <c r="G3602" s="27"/>
    </row>
    <row r="3603">
      <c r="A3603" s="21"/>
      <c r="B3603" s="21"/>
      <c r="D3603" s="25"/>
      <c r="E3603" s="27"/>
      <c r="F3603" s="25"/>
      <c r="G3603" s="27"/>
    </row>
    <row r="3604">
      <c r="A3604" s="21"/>
      <c r="B3604" s="21"/>
      <c r="D3604" s="25"/>
      <c r="E3604" s="27"/>
      <c r="F3604" s="25"/>
      <c r="G3604" s="27"/>
    </row>
    <row r="3605">
      <c r="A3605" s="21"/>
      <c r="B3605" s="21"/>
      <c r="D3605" s="25"/>
      <c r="E3605" s="27"/>
      <c r="F3605" s="25"/>
      <c r="G3605" s="27"/>
    </row>
    <row r="3606">
      <c r="A3606" s="21"/>
      <c r="B3606" s="21"/>
      <c r="D3606" s="25"/>
      <c r="E3606" s="27"/>
      <c r="F3606" s="25"/>
      <c r="G3606" s="27"/>
    </row>
    <row r="3607">
      <c r="A3607" s="21"/>
      <c r="B3607" s="21"/>
      <c r="D3607" s="25"/>
      <c r="E3607" s="27"/>
      <c r="F3607" s="25"/>
      <c r="G3607" s="27"/>
    </row>
    <row r="3608">
      <c r="A3608" s="21"/>
      <c r="B3608" s="21"/>
      <c r="D3608" s="25"/>
      <c r="E3608" s="27"/>
      <c r="F3608" s="25"/>
      <c r="G3608" s="27"/>
    </row>
    <row r="3609">
      <c r="A3609" s="21"/>
      <c r="B3609" s="21"/>
      <c r="D3609" s="25"/>
      <c r="E3609" s="27"/>
      <c r="F3609" s="25"/>
      <c r="G3609" s="27"/>
    </row>
    <row r="3610">
      <c r="A3610" s="21"/>
      <c r="B3610" s="21"/>
      <c r="D3610" s="25"/>
      <c r="E3610" s="27"/>
      <c r="F3610" s="25"/>
      <c r="G3610" s="27"/>
    </row>
    <row r="3611">
      <c r="A3611" s="21"/>
      <c r="B3611" s="21"/>
      <c r="D3611" s="25"/>
      <c r="E3611" s="27"/>
      <c r="F3611" s="25"/>
      <c r="G3611" s="27"/>
    </row>
    <row r="3612">
      <c r="A3612" s="21"/>
      <c r="B3612" s="21"/>
      <c r="D3612" s="25"/>
      <c r="E3612" s="27"/>
      <c r="F3612" s="25"/>
      <c r="G3612" s="27"/>
    </row>
    <row r="3613">
      <c r="A3613" s="21"/>
      <c r="B3613" s="21"/>
      <c r="D3613" s="25"/>
      <c r="E3613" s="27"/>
      <c r="F3613" s="25"/>
      <c r="G3613" s="27"/>
    </row>
    <row r="3614">
      <c r="A3614" s="21"/>
      <c r="B3614" s="21"/>
      <c r="D3614" s="25"/>
      <c r="E3614" s="27"/>
      <c r="F3614" s="25"/>
      <c r="G3614" s="27"/>
    </row>
    <row r="3615">
      <c r="A3615" s="21"/>
      <c r="B3615" s="21"/>
      <c r="D3615" s="25"/>
      <c r="E3615" s="27"/>
      <c r="F3615" s="25"/>
      <c r="G3615" s="27"/>
    </row>
    <row r="3616">
      <c r="A3616" s="21"/>
      <c r="B3616" s="21"/>
      <c r="D3616" s="25"/>
      <c r="E3616" s="27"/>
      <c r="F3616" s="25"/>
      <c r="G3616" s="27"/>
    </row>
    <row r="3617">
      <c r="A3617" s="21"/>
      <c r="B3617" s="21"/>
      <c r="D3617" s="25"/>
      <c r="E3617" s="27"/>
      <c r="F3617" s="25"/>
      <c r="G3617" s="27"/>
    </row>
    <row r="3618">
      <c r="A3618" s="21"/>
      <c r="B3618" s="21"/>
      <c r="D3618" s="25"/>
      <c r="E3618" s="27"/>
      <c r="F3618" s="25"/>
      <c r="G3618" s="27"/>
    </row>
    <row r="3619">
      <c r="A3619" s="21"/>
      <c r="B3619" s="21"/>
      <c r="D3619" s="25"/>
      <c r="E3619" s="27"/>
      <c r="F3619" s="25"/>
      <c r="G3619" s="27"/>
    </row>
    <row r="3620">
      <c r="A3620" s="21"/>
      <c r="B3620" s="21"/>
      <c r="D3620" s="25"/>
      <c r="E3620" s="27"/>
      <c r="F3620" s="25"/>
      <c r="G3620" s="27"/>
    </row>
    <row r="3621">
      <c r="A3621" s="21"/>
      <c r="B3621" s="21"/>
      <c r="D3621" s="25"/>
      <c r="E3621" s="27"/>
      <c r="F3621" s="25"/>
      <c r="G3621" s="27"/>
    </row>
    <row r="3622">
      <c r="A3622" s="21"/>
      <c r="B3622" s="21"/>
      <c r="D3622" s="25"/>
      <c r="E3622" s="27"/>
      <c r="F3622" s="25"/>
      <c r="G3622" s="27"/>
    </row>
    <row r="3623">
      <c r="A3623" s="21"/>
      <c r="B3623" s="21"/>
      <c r="D3623" s="25"/>
      <c r="E3623" s="27"/>
      <c r="F3623" s="25"/>
      <c r="G3623" s="27"/>
    </row>
    <row r="3624">
      <c r="A3624" s="21"/>
      <c r="B3624" s="21"/>
      <c r="D3624" s="25"/>
      <c r="E3624" s="27"/>
      <c r="F3624" s="25"/>
      <c r="G3624" s="27"/>
    </row>
    <row r="3625">
      <c r="A3625" s="21"/>
      <c r="B3625" s="21"/>
      <c r="D3625" s="25"/>
      <c r="E3625" s="27"/>
      <c r="F3625" s="25"/>
      <c r="G3625" s="27"/>
    </row>
    <row r="3626">
      <c r="A3626" s="21"/>
      <c r="B3626" s="21"/>
      <c r="D3626" s="25"/>
      <c r="E3626" s="27"/>
      <c r="F3626" s="25"/>
      <c r="G3626" s="27"/>
    </row>
    <row r="3627">
      <c r="A3627" s="21"/>
      <c r="B3627" s="21"/>
      <c r="D3627" s="25"/>
      <c r="E3627" s="27"/>
      <c r="F3627" s="25"/>
      <c r="G3627" s="27"/>
    </row>
    <row r="3628">
      <c r="A3628" s="21"/>
      <c r="B3628" s="21"/>
      <c r="D3628" s="25"/>
      <c r="E3628" s="27"/>
      <c r="F3628" s="25"/>
      <c r="G3628" s="27"/>
    </row>
    <row r="3629">
      <c r="A3629" s="21"/>
      <c r="B3629" s="21"/>
      <c r="D3629" s="25"/>
      <c r="E3629" s="27"/>
      <c r="F3629" s="25"/>
      <c r="G3629" s="27"/>
    </row>
    <row r="3630">
      <c r="A3630" s="21"/>
      <c r="B3630" s="21"/>
      <c r="D3630" s="25"/>
      <c r="E3630" s="27"/>
      <c r="F3630" s="25"/>
      <c r="G3630" s="27"/>
    </row>
    <row r="3631">
      <c r="A3631" s="21"/>
      <c r="B3631" s="21"/>
      <c r="D3631" s="25"/>
      <c r="E3631" s="27"/>
      <c r="F3631" s="25"/>
      <c r="G3631" s="27"/>
    </row>
    <row r="3632">
      <c r="A3632" s="21"/>
      <c r="B3632" s="21"/>
      <c r="D3632" s="25"/>
      <c r="E3632" s="27"/>
      <c r="F3632" s="25"/>
      <c r="G3632" s="27"/>
    </row>
    <row r="3633">
      <c r="A3633" s="21"/>
      <c r="B3633" s="21"/>
      <c r="D3633" s="25"/>
      <c r="E3633" s="27"/>
      <c r="F3633" s="25"/>
      <c r="G3633" s="27"/>
    </row>
    <row r="3634">
      <c r="A3634" s="21"/>
      <c r="B3634" s="21"/>
      <c r="D3634" s="25"/>
      <c r="E3634" s="27"/>
      <c r="F3634" s="25"/>
      <c r="G3634" s="27"/>
    </row>
    <row r="3635">
      <c r="A3635" s="21"/>
      <c r="B3635" s="21"/>
      <c r="D3635" s="25"/>
      <c r="E3635" s="27"/>
      <c r="F3635" s="25"/>
      <c r="G3635" s="27"/>
    </row>
    <row r="3636">
      <c r="A3636" s="21"/>
      <c r="B3636" s="21"/>
      <c r="D3636" s="25"/>
      <c r="E3636" s="27"/>
      <c r="F3636" s="25"/>
      <c r="G3636" s="27"/>
    </row>
    <row r="3637">
      <c r="A3637" s="21"/>
      <c r="B3637" s="21"/>
      <c r="D3637" s="25"/>
      <c r="E3637" s="27"/>
      <c r="F3637" s="25"/>
      <c r="G3637" s="27"/>
    </row>
    <row r="3638">
      <c r="A3638" s="21"/>
      <c r="B3638" s="21"/>
      <c r="D3638" s="25"/>
      <c r="E3638" s="27"/>
      <c r="F3638" s="25"/>
      <c r="G3638" s="27"/>
    </row>
    <row r="3639">
      <c r="A3639" s="21"/>
      <c r="B3639" s="21"/>
      <c r="D3639" s="25"/>
      <c r="E3639" s="27"/>
      <c r="F3639" s="25"/>
      <c r="G3639" s="27"/>
    </row>
    <row r="3640">
      <c r="A3640" s="21"/>
      <c r="B3640" s="21"/>
      <c r="D3640" s="25"/>
      <c r="E3640" s="27"/>
      <c r="F3640" s="25"/>
      <c r="G3640" s="27"/>
    </row>
    <row r="3641">
      <c r="A3641" s="21"/>
      <c r="B3641" s="21"/>
      <c r="D3641" s="25"/>
      <c r="E3641" s="27"/>
      <c r="F3641" s="25"/>
      <c r="G3641" s="27"/>
    </row>
    <row r="3642">
      <c r="A3642" s="21"/>
      <c r="B3642" s="21"/>
      <c r="D3642" s="25"/>
      <c r="E3642" s="27"/>
      <c r="F3642" s="25"/>
      <c r="G3642" s="27"/>
    </row>
    <row r="3643">
      <c r="A3643" s="21"/>
      <c r="B3643" s="21"/>
      <c r="D3643" s="25"/>
      <c r="E3643" s="27"/>
      <c r="F3643" s="25"/>
      <c r="G3643" s="27"/>
    </row>
    <row r="3644">
      <c r="A3644" s="21"/>
      <c r="B3644" s="21"/>
      <c r="D3644" s="25"/>
      <c r="E3644" s="27"/>
      <c r="F3644" s="25"/>
      <c r="G3644" s="27"/>
    </row>
    <row r="3645">
      <c r="A3645" s="21"/>
      <c r="B3645" s="21"/>
      <c r="D3645" s="25"/>
      <c r="E3645" s="27"/>
      <c r="F3645" s="25"/>
      <c r="G3645" s="27"/>
    </row>
    <row r="3646">
      <c r="A3646" s="21"/>
      <c r="B3646" s="21"/>
      <c r="D3646" s="25"/>
      <c r="E3646" s="27"/>
      <c r="F3646" s="25"/>
      <c r="G3646" s="27"/>
    </row>
    <row r="3647">
      <c r="A3647" s="21"/>
      <c r="B3647" s="21"/>
      <c r="D3647" s="25"/>
      <c r="E3647" s="27"/>
      <c r="F3647" s="25"/>
      <c r="G3647" s="27"/>
    </row>
    <row r="3648">
      <c r="A3648" s="21"/>
      <c r="B3648" s="21"/>
      <c r="D3648" s="25"/>
      <c r="E3648" s="27"/>
      <c r="F3648" s="25"/>
      <c r="G3648" s="27"/>
    </row>
    <row r="3649">
      <c r="A3649" s="21"/>
      <c r="B3649" s="21"/>
      <c r="D3649" s="25"/>
      <c r="E3649" s="27"/>
      <c r="F3649" s="25"/>
      <c r="G3649" s="27"/>
    </row>
    <row r="3650">
      <c r="A3650" s="21"/>
      <c r="B3650" s="21"/>
      <c r="D3650" s="25"/>
      <c r="E3650" s="27"/>
      <c r="F3650" s="25"/>
      <c r="G3650" s="27"/>
    </row>
    <row r="3651">
      <c r="A3651" s="21"/>
      <c r="B3651" s="21"/>
      <c r="D3651" s="25"/>
      <c r="E3651" s="27"/>
      <c r="F3651" s="25"/>
      <c r="G3651" s="27"/>
    </row>
    <row r="3652">
      <c r="A3652" s="21"/>
      <c r="B3652" s="21"/>
      <c r="D3652" s="25"/>
      <c r="E3652" s="27"/>
      <c r="F3652" s="25"/>
      <c r="G3652" s="27"/>
    </row>
    <row r="3653">
      <c r="A3653" s="21"/>
      <c r="B3653" s="21"/>
      <c r="D3653" s="25"/>
      <c r="E3653" s="27"/>
      <c r="F3653" s="25"/>
      <c r="G3653" s="27"/>
    </row>
    <row r="3654">
      <c r="A3654" s="21"/>
      <c r="B3654" s="21"/>
      <c r="D3654" s="25"/>
      <c r="E3654" s="27"/>
      <c r="F3654" s="25"/>
      <c r="G3654" s="27"/>
    </row>
    <row r="3655">
      <c r="A3655" s="21"/>
      <c r="B3655" s="21"/>
      <c r="D3655" s="25"/>
      <c r="E3655" s="27"/>
      <c r="F3655" s="25"/>
      <c r="G3655" s="27"/>
    </row>
    <row r="3656">
      <c r="A3656" s="21"/>
      <c r="B3656" s="21"/>
      <c r="D3656" s="25"/>
      <c r="E3656" s="27"/>
      <c r="F3656" s="25"/>
      <c r="G3656" s="27"/>
    </row>
    <row r="3657">
      <c r="A3657" s="21"/>
      <c r="B3657" s="21"/>
      <c r="D3657" s="25"/>
      <c r="E3657" s="27"/>
      <c r="F3657" s="25"/>
      <c r="G3657" s="27"/>
    </row>
    <row r="3658">
      <c r="A3658" s="21"/>
      <c r="B3658" s="21"/>
      <c r="D3658" s="25"/>
      <c r="E3658" s="27"/>
      <c r="F3658" s="25"/>
      <c r="G3658" s="27"/>
    </row>
    <row r="3659">
      <c r="A3659" s="21"/>
      <c r="B3659" s="21"/>
      <c r="D3659" s="25"/>
      <c r="E3659" s="27"/>
      <c r="F3659" s="25"/>
      <c r="G3659" s="27"/>
    </row>
    <row r="3660">
      <c r="A3660" s="21"/>
      <c r="B3660" s="21"/>
      <c r="D3660" s="25"/>
      <c r="E3660" s="27"/>
      <c r="F3660" s="25"/>
      <c r="G3660" s="27"/>
    </row>
    <row r="3661">
      <c r="A3661" s="21"/>
      <c r="B3661" s="21"/>
      <c r="D3661" s="25"/>
      <c r="E3661" s="27"/>
      <c r="F3661" s="25"/>
      <c r="G3661" s="27"/>
    </row>
    <row r="3662">
      <c r="A3662" s="21"/>
      <c r="B3662" s="21"/>
      <c r="D3662" s="25"/>
      <c r="E3662" s="27"/>
      <c r="F3662" s="25"/>
      <c r="G3662" s="27"/>
    </row>
    <row r="3663">
      <c r="A3663" s="21"/>
      <c r="B3663" s="21"/>
      <c r="D3663" s="25"/>
      <c r="E3663" s="27"/>
      <c r="F3663" s="25"/>
      <c r="G3663" s="27"/>
    </row>
    <row r="3664">
      <c r="A3664" s="21"/>
      <c r="B3664" s="21"/>
      <c r="D3664" s="25"/>
      <c r="E3664" s="27"/>
      <c r="F3664" s="25"/>
      <c r="G3664" s="27"/>
    </row>
    <row r="3665">
      <c r="A3665" s="21"/>
      <c r="B3665" s="21"/>
      <c r="D3665" s="25"/>
      <c r="E3665" s="27"/>
      <c r="F3665" s="25"/>
      <c r="G3665" s="27"/>
    </row>
    <row r="3666">
      <c r="A3666" s="21"/>
      <c r="B3666" s="21"/>
      <c r="D3666" s="25"/>
      <c r="E3666" s="27"/>
      <c r="F3666" s="25"/>
      <c r="G3666" s="27"/>
    </row>
    <row r="3667">
      <c r="A3667" s="21"/>
      <c r="B3667" s="21"/>
      <c r="D3667" s="25"/>
      <c r="E3667" s="27"/>
      <c r="F3667" s="25"/>
      <c r="G3667" s="27"/>
    </row>
    <row r="3668">
      <c r="A3668" s="21"/>
      <c r="B3668" s="21"/>
      <c r="D3668" s="25"/>
      <c r="E3668" s="27"/>
      <c r="F3668" s="25"/>
      <c r="G3668" s="27"/>
    </row>
    <row r="3669">
      <c r="A3669" s="21"/>
      <c r="B3669" s="21"/>
      <c r="D3669" s="25"/>
      <c r="E3669" s="27"/>
      <c r="F3669" s="25"/>
      <c r="G3669" s="27"/>
    </row>
    <row r="3670">
      <c r="A3670" s="21"/>
      <c r="B3670" s="21"/>
      <c r="D3670" s="25"/>
      <c r="E3670" s="27"/>
      <c r="F3670" s="25"/>
      <c r="G3670" s="27"/>
    </row>
    <row r="3671">
      <c r="A3671" s="21"/>
      <c r="B3671" s="21"/>
      <c r="D3671" s="25"/>
      <c r="E3671" s="27"/>
      <c r="F3671" s="25"/>
      <c r="G3671" s="27"/>
    </row>
    <row r="3672">
      <c r="A3672" s="21"/>
      <c r="B3672" s="21"/>
      <c r="D3672" s="25"/>
      <c r="E3672" s="27"/>
      <c r="F3672" s="25"/>
      <c r="G3672" s="27"/>
    </row>
    <row r="3673">
      <c r="A3673" s="21"/>
      <c r="B3673" s="21"/>
      <c r="D3673" s="25"/>
      <c r="E3673" s="27"/>
      <c r="F3673" s="25"/>
      <c r="G3673" s="27"/>
    </row>
    <row r="3674">
      <c r="A3674" s="21"/>
      <c r="B3674" s="21"/>
      <c r="D3674" s="25"/>
      <c r="E3674" s="27"/>
      <c r="F3674" s="25"/>
      <c r="G3674" s="27"/>
    </row>
    <row r="3675">
      <c r="A3675" s="21"/>
      <c r="B3675" s="21"/>
      <c r="D3675" s="25"/>
      <c r="E3675" s="27"/>
      <c r="F3675" s="25"/>
      <c r="G3675" s="27"/>
    </row>
    <row r="3676">
      <c r="A3676" s="21"/>
      <c r="B3676" s="21"/>
      <c r="D3676" s="25"/>
      <c r="E3676" s="27"/>
      <c r="F3676" s="25"/>
      <c r="G3676" s="27"/>
    </row>
    <row r="3677">
      <c r="A3677" s="21"/>
      <c r="B3677" s="21"/>
      <c r="D3677" s="25"/>
      <c r="E3677" s="27"/>
      <c r="F3677" s="25"/>
      <c r="G3677" s="27"/>
    </row>
    <row r="3678">
      <c r="A3678" s="21"/>
      <c r="B3678" s="21"/>
      <c r="D3678" s="25"/>
      <c r="E3678" s="27"/>
      <c r="F3678" s="25"/>
      <c r="G3678" s="27"/>
    </row>
    <row r="3679">
      <c r="A3679" s="21"/>
      <c r="B3679" s="21"/>
      <c r="D3679" s="25"/>
      <c r="E3679" s="27"/>
      <c r="F3679" s="25"/>
      <c r="G3679" s="27"/>
    </row>
    <row r="3680">
      <c r="A3680" s="21"/>
      <c r="B3680" s="21"/>
      <c r="D3680" s="25"/>
      <c r="E3680" s="27"/>
      <c r="F3680" s="25"/>
      <c r="G3680" s="27"/>
    </row>
    <row r="3681">
      <c r="A3681" s="21"/>
      <c r="B3681" s="21"/>
      <c r="D3681" s="25"/>
      <c r="E3681" s="27"/>
      <c r="F3681" s="25"/>
      <c r="G3681" s="27"/>
    </row>
    <row r="3682">
      <c r="A3682" s="21"/>
      <c r="B3682" s="21"/>
      <c r="D3682" s="25"/>
      <c r="E3682" s="27"/>
      <c r="F3682" s="25"/>
      <c r="G3682" s="27"/>
    </row>
    <row r="3683">
      <c r="A3683" s="21"/>
      <c r="B3683" s="21"/>
      <c r="D3683" s="25"/>
      <c r="E3683" s="27"/>
      <c r="F3683" s="25"/>
      <c r="G3683" s="27"/>
    </row>
    <row r="3684">
      <c r="A3684" s="21"/>
      <c r="B3684" s="21"/>
      <c r="D3684" s="25"/>
      <c r="E3684" s="27"/>
      <c r="F3684" s="25"/>
      <c r="G3684" s="27"/>
    </row>
    <row r="3685">
      <c r="A3685" s="21"/>
      <c r="B3685" s="21"/>
      <c r="D3685" s="25"/>
      <c r="E3685" s="27"/>
      <c r="F3685" s="25"/>
      <c r="G3685" s="27"/>
    </row>
    <row r="3686">
      <c r="A3686" s="21"/>
      <c r="B3686" s="21"/>
      <c r="D3686" s="25"/>
      <c r="E3686" s="27"/>
      <c r="F3686" s="25"/>
      <c r="G3686" s="27"/>
    </row>
    <row r="3687">
      <c r="A3687" s="21"/>
      <c r="B3687" s="21"/>
      <c r="D3687" s="25"/>
      <c r="E3687" s="27"/>
      <c r="F3687" s="25"/>
      <c r="G3687" s="27"/>
    </row>
    <row r="3688">
      <c r="A3688" s="21"/>
      <c r="B3688" s="21"/>
      <c r="D3688" s="25"/>
      <c r="E3688" s="27"/>
      <c r="F3688" s="25"/>
      <c r="G3688" s="27"/>
    </row>
    <row r="3689">
      <c r="A3689" s="21"/>
      <c r="B3689" s="21"/>
      <c r="D3689" s="25"/>
      <c r="E3689" s="27"/>
      <c r="F3689" s="25"/>
      <c r="G3689" s="27"/>
    </row>
    <row r="3690">
      <c r="A3690" s="21"/>
      <c r="B3690" s="21"/>
      <c r="D3690" s="25"/>
      <c r="E3690" s="27"/>
      <c r="F3690" s="25"/>
      <c r="G3690" s="27"/>
    </row>
    <row r="3691">
      <c r="A3691" s="21"/>
      <c r="B3691" s="21"/>
      <c r="D3691" s="25"/>
      <c r="E3691" s="27"/>
      <c r="F3691" s="25"/>
      <c r="G3691" s="27"/>
    </row>
    <row r="3692">
      <c r="A3692" s="21"/>
      <c r="B3692" s="21"/>
      <c r="D3692" s="25"/>
      <c r="E3692" s="27"/>
      <c r="F3692" s="25"/>
      <c r="G3692" s="27"/>
    </row>
    <row r="3693">
      <c r="A3693" s="21"/>
      <c r="B3693" s="21"/>
      <c r="D3693" s="25"/>
      <c r="E3693" s="27"/>
      <c r="F3693" s="25"/>
      <c r="G3693" s="27"/>
    </row>
    <row r="3694">
      <c r="A3694" s="21"/>
      <c r="B3694" s="21"/>
      <c r="D3694" s="25"/>
      <c r="E3694" s="27"/>
      <c r="F3694" s="25"/>
      <c r="G3694" s="27"/>
    </row>
    <row r="3695">
      <c r="A3695" s="21"/>
      <c r="B3695" s="21"/>
      <c r="D3695" s="25"/>
      <c r="E3695" s="27"/>
      <c r="F3695" s="25"/>
      <c r="G3695" s="27"/>
    </row>
    <row r="3696">
      <c r="A3696" s="21"/>
      <c r="B3696" s="21"/>
      <c r="D3696" s="25"/>
      <c r="E3696" s="27"/>
      <c r="F3696" s="25"/>
      <c r="G3696" s="27"/>
    </row>
    <row r="3697">
      <c r="A3697" s="21"/>
      <c r="B3697" s="21"/>
      <c r="D3697" s="25"/>
      <c r="E3697" s="27"/>
      <c r="F3697" s="25"/>
      <c r="G3697" s="27"/>
    </row>
    <row r="3698">
      <c r="A3698" s="21"/>
      <c r="B3698" s="21"/>
      <c r="D3698" s="25"/>
      <c r="E3698" s="27"/>
      <c r="F3698" s="25"/>
      <c r="G3698" s="27"/>
    </row>
    <row r="3699">
      <c r="A3699" s="21"/>
      <c r="B3699" s="21"/>
      <c r="D3699" s="25"/>
      <c r="E3699" s="27"/>
      <c r="F3699" s="25"/>
      <c r="G3699" s="27"/>
    </row>
    <row r="3700">
      <c r="A3700" s="21"/>
      <c r="B3700" s="21"/>
      <c r="D3700" s="25"/>
      <c r="E3700" s="27"/>
      <c r="F3700" s="25"/>
      <c r="G3700" s="27"/>
    </row>
    <row r="3701">
      <c r="A3701" s="21"/>
      <c r="B3701" s="21"/>
      <c r="D3701" s="25"/>
      <c r="E3701" s="27"/>
      <c r="F3701" s="25"/>
      <c r="G3701" s="27"/>
    </row>
    <row r="3702">
      <c r="A3702" s="21"/>
      <c r="B3702" s="21"/>
      <c r="D3702" s="25"/>
      <c r="E3702" s="27"/>
      <c r="F3702" s="25"/>
      <c r="G3702" s="27"/>
    </row>
    <row r="3703">
      <c r="A3703" s="21"/>
      <c r="B3703" s="21"/>
      <c r="D3703" s="25"/>
      <c r="E3703" s="27"/>
      <c r="F3703" s="25"/>
      <c r="G3703" s="27"/>
    </row>
    <row r="3704">
      <c r="A3704" s="21"/>
      <c r="B3704" s="21"/>
      <c r="D3704" s="25"/>
      <c r="E3704" s="27"/>
      <c r="F3704" s="25"/>
      <c r="G3704" s="27"/>
    </row>
    <row r="3705">
      <c r="A3705" s="21"/>
      <c r="B3705" s="21"/>
      <c r="D3705" s="25"/>
      <c r="E3705" s="27"/>
      <c r="F3705" s="25"/>
      <c r="G3705" s="27"/>
    </row>
    <row r="3706">
      <c r="A3706" s="21"/>
      <c r="B3706" s="21"/>
      <c r="D3706" s="25"/>
      <c r="E3706" s="27"/>
      <c r="F3706" s="25"/>
      <c r="G3706" s="27"/>
    </row>
    <row r="3707">
      <c r="A3707" s="21"/>
      <c r="B3707" s="21"/>
      <c r="D3707" s="25"/>
      <c r="E3707" s="27"/>
      <c r="F3707" s="25"/>
      <c r="G3707" s="27"/>
    </row>
    <row r="3708">
      <c r="A3708" s="21"/>
      <c r="B3708" s="21"/>
      <c r="D3708" s="25"/>
      <c r="E3708" s="27"/>
      <c r="F3708" s="25"/>
      <c r="G3708" s="27"/>
    </row>
    <row r="3709">
      <c r="A3709" s="21"/>
      <c r="B3709" s="21"/>
      <c r="D3709" s="25"/>
      <c r="E3709" s="27"/>
      <c r="F3709" s="25"/>
      <c r="G3709" s="27"/>
    </row>
    <row r="3710">
      <c r="A3710" s="21"/>
      <c r="B3710" s="21"/>
      <c r="D3710" s="25"/>
      <c r="E3710" s="27"/>
      <c r="F3710" s="25"/>
      <c r="G3710" s="27"/>
    </row>
    <row r="3711">
      <c r="A3711" s="21"/>
      <c r="B3711" s="21"/>
      <c r="D3711" s="25"/>
      <c r="E3711" s="27"/>
      <c r="F3711" s="25"/>
      <c r="G3711" s="27"/>
    </row>
    <row r="3712">
      <c r="A3712" s="21"/>
      <c r="B3712" s="21"/>
      <c r="D3712" s="25"/>
      <c r="E3712" s="27"/>
      <c r="F3712" s="25"/>
      <c r="G3712" s="27"/>
    </row>
    <row r="3713">
      <c r="A3713" s="21"/>
      <c r="B3713" s="21"/>
      <c r="D3713" s="25"/>
      <c r="E3713" s="27"/>
      <c r="F3713" s="25"/>
      <c r="G3713" s="27"/>
    </row>
    <row r="3714">
      <c r="A3714" s="21"/>
      <c r="B3714" s="21"/>
      <c r="D3714" s="25"/>
      <c r="E3714" s="27"/>
      <c r="F3714" s="25"/>
      <c r="G3714" s="27"/>
    </row>
    <row r="3715">
      <c r="A3715" s="21"/>
      <c r="B3715" s="21"/>
      <c r="D3715" s="25"/>
      <c r="E3715" s="27"/>
      <c r="F3715" s="25"/>
      <c r="G3715" s="27"/>
    </row>
    <row r="3716">
      <c r="A3716" s="21"/>
      <c r="B3716" s="21"/>
      <c r="D3716" s="25"/>
      <c r="E3716" s="27"/>
      <c r="F3716" s="25"/>
      <c r="G3716" s="27"/>
    </row>
    <row r="3717">
      <c r="A3717" s="21"/>
      <c r="B3717" s="21"/>
      <c r="D3717" s="25"/>
      <c r="E3717" s="27"/>
      <c r="F3717" s="25"/>
      <c r="G3717" s="27"/>
    </row>
    <row r="3718">
      <c r="A3718" s="21"/>
      <c r="B3718" s="21"/>
      <c r="D3718" s="25"/>
      <c r="E3718" s="27"/>
      <c r="F3718" s="25"/>
      <c r="G3718" s="27"/>
    </row>
    <row r="3719">
      <c r="A3719" s="21"/>
      <c r="B3719" s="21"/>
      <c r="D3719" s="25"/>
      <c r="E3719" s="27"/>
      <c r="F3719" s="25"/>
      <c r="G3719" s="27"/>
    </row>
    <row r="3720">
      <c r="A3720" s="21"/>
      <c r="B3720" s="21"/>
      <c r="D3720" s="25"/>
      <c r="E3720" s="27"/>
      <c r="F3720" s="25"/>
      <c r="G3720" s="27"/>
    </row>
    <row r="3721">
      <c r="A3721" s="21"/>
      <c r="B3721" s="21"/>
      <c r="D3721" s="25"/>
      <c r="E3721" s="27"/>
      <c r="F3721" s="25"/>
      <c r="G3721" s="27"/>
    </row>
    <row r="3722">
      <c r="A3722" s="21"/>
      <c r="B3722" s="21"/>
      <c r="D3722" s="25"/>
      <c r="E3722" s="27"/>
      <c r="F3722" s="25"/>
      <c r="G3722" s="27"/>
    </row>
    <row r="3723">
      <c r="A3723" s="21"/>
      <c r="B3723" s="21"/>
      <c r="D3723" s="25"/>
      <c r="E3723" s="27"/>
      <c r="F3723" s="25"/>
      <c r="G3723" s="27"/>
    </row>
    <row r="3724">
      <c r="A3724" s="21"/>
      <c r="B3724" s="21"/>
      <c r="D3724" s="25"/>
      <c r="E3724" s="27"/>
      <c r="F3724" s="25"/>
      <c r="G3724" s="27"/>
    </row>
    <row r="3725">
      <c r="A3725" s="21"/>
      <c r="B3725" s="21"/>
      <c r="D3725" s="25"/>
      <c r="E3725" s="27"/>
      <c r="F3725" s="25"/>
      <c r="G3725" s="27"/>
    </row>
    <row r="3726">
      <c r="A3726" s="21"/>
      <c r="B3726" s="21"/>
      <c r="D3726" s="25"/>
      <c r="E3726" s="27"/>
      <c r="F3726" s="25"/>
      <c r="G3726" s="27"/>
    </row>
    <row r="3727">
      <c r="A3727" s="21"/>
      <c r="B3727" s="21"/>
      <c r="D3727" s="25"/>
      <c r="E3727" s="27"/>
      <c r="F3727" s="25"/>
      <c r="G3727" s="27"/>
    </row>
    <row r="3728">
      <c r="A3728" s="21"/>
      <c r="B3728" s="21"/>
      <c r="D3728" s="25"/>
      <c r="E3728" s="27"/>
      <c r="F3728" s="25"/>
      <c r="G3728" s="27"/>
    </row>
    <row r="3729">
      <c r="A3729" s="21"/>
      <c r="B3729" s="21"/>
      <c r="D3729" s="25"/>
      <c r="E3729" s="27"/>
      <c r="F3729" s="25"/>
      <c r="G3729" s="27"/>
    </row>
    <row r="3730">
      <c r="A3730" s="21"/>
      <c r="B3730" s="21"/>
      <c r="D3730" s="25"/>
      <c r="E3730" s="27"/>
      <c r="F3730" s="25"/>
      <c r="G3730" s="27"/>
    </row>
    <row r="3731">
      <c r="A3731" s="21"/>
      <c r="B3731" s="21"/>
      <c r="D3731" s="25"/>
      <c r="E3731" s="27"/>
      <c r="F3731" s="25"/>
      <c r="G3731" s="27"/>
    </row>
    <row r="3732">
      <c r="A3732" s="21"/>
      <c r="B3732" s="21"/>
      <c r="D3732" s="25"/>
      <c r="E3732" s="27"/>
      <c r="F3732" s="25"/>
      <c r="G3732" s="27"/>
    </row>
    <row r="3733">
      <c r="A3733" s="21"/>
      <c r="B3733" s="21"/>
      <c r="D3733" s="25"/>
      <c r="E3733" s="27"/>
      <c r="F3733" s="25"/>
      <c r="G3733" s="27"/>
    </row>
    <row r="3734">
      <c r="A3734" s="21"/>
      <c r="B3734" s="21"/>
      <c r="D3734" s="25"/>
      <c r="E3734" s="27"/>
      <c r="F3734" s="25"/>
      <c r="G3734" s="27"/>
    </row>
    <row r="3735">
      <c r="A3735" s="21"/>
      <c r="B3735" s="21"/>
      <c r="D3735" s="25"/>
      <c r="E3735" s="27"/>
      <c r="F3735" s="25"/>
      <c r="G3735" s="27"/>
    </row>
    <row r="3736">
      <c r="A3736" s="21"/>
      <c r="B3736" s="21"/>
      <c r="D3736" s="25"/>
      <c r="E3736" s="27"/>
      <c r="F3736" s="25"/>
      <c r="G3736" s="27"/>
    </row>
    <row r="3737">
      <c r="A3737" s="21"/>
      <c r="B3737" s="21"/>
      <c r="D3737" s="25"/>
      <c r="E3737" s="27"/>
      <c r="F3737" s="25"/>
      <c r="G3737" s="27"/>
    </row>
    <row r="3738">
      <c r="A3738" s="21"/>
      <c r="B3738" s="21"/>
      <c r="D3738" s="25"/>
      <c r="E3738" s="27"/>
      <c r="F3738" s="25"/>
      <c r="G3738" s="27"/>
    </row>
    <row r="3739">
      <c r="A3739" s="21"/>
      <c r="B3739" s="21"/>
      <c r="D3739" s="25"/>
      <c r="E3739" s="27"/>
      <c r="F3739" s="25"/>
      <c r="G3739" s="27"/>
    </row>
    <row r="3740">
      <c r="A3740" s="21"/>
      <c r="B3740" s="21"/>
      <c r="D3740" s="25"/>
      <c r="E3740" s="27"/>
      <c r="F3740" s="25"/>
      <c r="G3740" s="27"/>
    </row>
    <row r="3741">
      <c r="A3741" s="21"/>
      <c r="B3741" s="21"/>
      <c r="D3741" s="25"/>
      <c r="E3741" s="27"/>
      <c r="F3741" s="25"/>
      <c r="G3741" s="27"/>
    </row>
    <row r="3742">
      <c r="A3742" s="21"/>
      <c r="B3742" s="21"/>
      <c r="D3742" s="25"/>
      <c r="E3742" s="27"/>
      <c r="F3742" s="25"/>
      <c r="G3742" s="27"/>
    </row>
    <row r="3743">
      <c r="A3743" s="21"/>
      <c r="B3743" s="21"/>
      <c r="D3743" s="25"/>
      <c r="E3743" s="27"/>
      <c r="F3743" s="25"/>
      <c r="G3743" s="27"/>
    </row>
    <row r="3744">
      <c r="A3744" s="21"/>
      <c r="B3744" s="21"/>
      <c r="D3744" s="25"/>
      <c r="E3744" s="27"/>
      <c r="F3744" s="25"/>
      <c r="G3744" s="27"/>
    </row>
    <row r="3745">
      <c r="A3745" s="21"/>
      <c r="B3745" s="21"/>
      <c r="D3745" s="25"/>
      <c r="E3745" s="27"/>
      <c r="F3745" s="25"/>
      <c r="G3745" s="27"/>
    </row>
    <row r="3746">
      <c r="A3746" s="21"/>
      <c r="B3746" s="21"/>
      <c r="D3746" s="25"/>
      <c r="E3746" s="27"/>
      <c r="F3746" s="25"/>
      <c r="G3746" s="27"/>
    </row>
    <row r="3747">
      <c r="A3747" s="21"/>
      <c r="B3747" s="21"/>
      <c r="D3747" s="25"/>
      <c r="E3747" s="27"/>
      <c r="F3747" s="25"/>
      <c r="G3747" s="27"/>
    </row>
    <row r="3748">
      <c r="A3748" s="21"/>
      <c r="B3748" s="21"/>
      <c r="D3748" s="25"/>
      <c r="E3748" s="27"/>
      <c r="F3748" s="25"/>
      <c r="G3748" s="27"/>
    </row>
    <row r="3749">
      <c r="A3749" s="21"/>
      <c r="B3749" s="21"/>
      <c r="D3749" s="25"/>
      <c r="E3749" s="27"/>
      <c r="F3749" s="25"/>
      <c r="G3749" s="27"/>
    </row>
    <row r="3750">
      <c r="A3750" s="21"/>
      <c r="B3750" s="21"/>
      <c r="D3750" s="25"/>
      <c r="E3750" s="27"/>
      <c r="F3750" s="25"/>
      <c r="G3750" s="27"/>
    </row>
    <row r="3751">
      <c r="A3751" s="21"/>
      <c r="B3751" s="21"/>
      <c r="D3751" s="25"/>
      <c r="E3751" s="27"/>
      <c r="F3751" s="25"/>
      <c r="G3751" s="27"/>
    </row>
    <row r="3752">
      <c r="A3752" s="21"/>
      <c r="B3752" s="21"/>
      <c r="D3752" s="25"/>
      <c r="E3752" s="27"/>
      <c r="F3752" s="25"/>
      <c r="G3752" s="27"/>
    </row>
    <row r="3753">
      <c r="A3753" s="21"/>
      <c r="B3753" s="21"/>
      <c r="D3753" s="25"/>
      <c r="E3753" s="27"/>
      <c r="F3753" s="25"/>
      <c r="G3753" s="27"/>
    </row>
    <row r="3754">
      <c r="A3754" s="21"/>
      <c r="B3754" s="21"/>
      <c r="D3754" s="25"/>
      <c r="E3754" s="27"/>
      <c r="F3754" s="25"/>
      <c r="G3754" s="27"/>
    </row>
    <row r="3755">
      <c r="A3755" s="21"/>
      <c r="B3755" s="21"/>
      <c r="D3755" s="25"/>
      <c r="E3755" s="27"/>
      <c r="F3755" s="25"/>
      <c r="G3755" s="27"/>
    </row>
    <row r="3756">
      <c r="A3756" s="21"/>
      <c r="B3756" s="21"/>
      <c r="D3756" s="25"/>
      <c r="E3756" s="27"/>
      <c r="F3756" s="25"/>
      <c r="G3756" s="27"/>
    </row>
    <row r="3757">
      <c r="A3757" s="21"/>
      <c r="B3757" s="21"/>
      <c r="D3757" s="25"/>
      <c r="E3757" s="27"/>
      <c r="F3757" s="25"/>
      <c r="G3757" s="27"/>
    </row>
    <row r="3758">
      <c r="A3758" s="21"/>
      <c r="B3758" s="21"/>
      <c r="D3758" s="25"/>
      <c r="E3758" s="27"/>
      <c r="F3758" s="25"/>
      <c r="G3758" s="27"/>
    </row>
    <row r="3759">
      <c r="A3759" s="21"/>
      <c r="B3759" s="21"/>
      <c r="D3759" s="25"/>
      <c r="E3759" s="27"/>
      <c r="F3759" s="25"/>
      <c r="G3759" s="27"/>
    </row>
    <row r="3760">
      <c r="A3760" s="21"/>
      <c r="B3760" s="21"/>
      <c r="D3760" s="25"/>
      <c r="E3760" s="27"/>
      <c r="F3760" s="25"/>
      <c r="G3760" s="27"/>
    </row>
    <row r="3761">
      <c r="A3761" s="21"/>
      <c r="B3761" s="21"/>
      <c r="D3761" s="25"/>
      <c r="E3761" s="27"/>
      <c r="F3761" s="25"/>
      <c r="G3761" s="27"/>
    </row>
    <row r="3762">
      <c r="A3762" s="21"/>
      <c r="B3762" s="21"/>
      <c r="D3762" s="25"/>
      <c r="E3762" s="27"/>
      <c r="F3762" s="25"/>
      <c r="G3762" s="27"/>
    </row>
    <row r="3763">
      <c r="A3763" s="21"/>
      <c r="B3763" s="21"/>
      <c r="D3763" s="25"/>
      <c r="E3763" s="27"/>
      <c r="F3763" s="25"/>
      <c r="G3763" s="27"/>
    </row>
    <row r="3764">
      <c r="A3764" s="21"/>
      <c r="B3764" s="21"/>
      <c r="D3764" s="25"/>
      <c r="E3764" s="27"/>
      <c r="F3764" s="25"/>
      <c r="G3764" s="27"/>
    </row>
    <row r="3765">
      <c r="A3765" s="21"/>
      <c r="B3765" s="21"/>
      <c r="D3765" s="25"/>
      <c r="E3765" s="27"/>
      <c r="F3765" s="25"/>
      <c r="G3765" s="27"/>
    </row>
    <row r="3766">
      <c r="A3766" s="21"/>
      <c r="B3766" s="21"/>
      <c r="D3766" s="25"/>
      <c r="E3766" s="27"/>
      <c r="F3766" s="25"/>
      <c r="G3766" s="27"/>
    </row>
    <row r="3767">
      <c r="A3767" s="21"/>
      <c r="B3767" s="21"/>
      <c r="D3767" s="25"/>
      <c r="E3767" s="27"/>
      <c r="F3767" s="25"/>
      <c r="G3767" s="27"/>
    </row>
    <row r="3768">
      <c r="A3768" s="21"/>
      <c r="B3768" s="21"/>
      <c r="D3768" s="25"/>
      <c r="E3768" s="27"/>
      <c r="F3768" s="25"/>
      <c r="G3768" s="27"/>
    </row>
    <row r="3769">
      <c r="A3769" s="21"/>
      <c r="B3769" s="21"/>
      <c r="D3769" s="25"/>
      <c r="E3769" s="27"/>
      <c r="F3769" s="25"/>
      <c r="G3769" s="27"/>
    </row>
    <row r="3770">
      <c r="A3770" s="21"/>
      <c r="B3770" s="21"/>
      <c r="D3770" s="25"/>
      <c r="E3770" s="27"/>
      <c r="F3770" s="25"/>
      <c r="G3770" s="27"/>
    </row>
    <row r="3771">
      <c r="A3771" s="21"/>
      <c r="B3771" s="21"/>
      <c r="D3771" s="25"/>
      <c r="E3771" s="27"/>
      <c r="F3771" s="25"/>
      <c r="G3771" s="27"/>
    </row>
    <row r="3772">
      <c r="A3772" s="21"/>
      <c r="B3772" s="21"/>
      <c r="D3772" s="25"/>
      <c r="E3772" s="27"/>
      <c r="F3772" s="25"/>
      <c r="G3772" s="27"/>
    </row>
    <row r="3773">
      <c r="A3773" s="21"/>
      <c r="B3773" s="21"/>
      <c r="D3773" s="25"/>
      <c r="E3773" s="27"/>
      <c r="F3773" s="25"/>
      <c r="G3773" s="27"/>
    </row>
    <row r="3774">
      <c r="A3774" s="21"/>
      <c r="B3774" s="21"/>
      <c r="D3774" s="25"/>
      <c r="E3774" s="27"/>
      <c r="F3774" s="25"/>
      <c r="G3774" s="27"/>
    </row>
    <row r="3775">
      <c r="A3775" s="21"/>
      <c r="B3775" s="21"/>
      <c r="D3775" s="25"/>
      <c r="E3775" s="27"/>
      <c r="F3775" s="25"/>
      <c r="G3775" s="27"/>
    </row>
    <row r="3776">
      <c r="A3776" s="21"/>
      <c r="B3776" s="21"/>
      <c r="D3776" s="25"/>
      <c r="E3776" s="27"/>
      <c r="F3776" s="25"/>
      <c r="G3776" s="27"/>
    </row>
    <row r="3777">
      <c r="A3777" s="21"/>
      <c r="B3777" s="21"/>
      <c r="D3777" s="25"/>
      <c r="E3777" s="27"/>
      <c r="F3777" s="25"/>
      <c r="G3777" s="27"/>
    </row>
    <row r="3778">
      <c r="A3778" s="21"/>
      <c r="B3778" s="21"/>
      <c r="D3778" s="25"/>
      <c r="E3778" s="27"/>
      <c r="F3778" s="25"/>
      <c r="G3778" s="27"/>
    </row>
    <row r="3779">
      <c r="A3779" s="21"/>
      <c r="B3779" s="21"/>
      <c r="D3779" s="25"/>
      <c r="E3779" s="27"/>
      <c r="F3779" s="25"/>
      <c r="G3779" s="27"/>
    </row>
    <row r="3780">
      <c r="A3780" s="21"/>
      <c r="B3780" s="21"/>
      <c r="D3780" s="25"/>
      <c r="E3780" s="27"/>
      <c r="F3780" s="25"/>
      <c r="G3780" s="27"/>
    </row>
    <row r="3781">
      <c r="A3781" s="21"/>
      <c r="B3781" s="21"/>
      <c r="D3781" s="25"/>
      <c r="E3781" s="27"/>
      <c r="F3781" s="25"/>
      <c r="G3781" s="27"/>
    </row>
    <row r="3782">
      <c r="A3782" s="21"/>
      <c r="B3782" s="21"/>
      <c r="D3782" s="25"/>
      <c r="E3782" s="27"/>
      <c r="F3782" s="25"/>
      <c r="G3782" s="27"/>
    </row>
    <row r="3783">
      <c r="A3783" s="21"/>
      <c r="B3783" s="21"/>
      <c r="D3783" s="25"/>
      <c r="E3783" s="27"/>
      <c r="F3783" s="25"/>
      <c r="G3783" s="27"/>
    </row>
    <row r="3784">
      <c r="A3784" s="21"/>
      <c r="B3784" s="21"/>
      <c r="D3784" s="25"/>
      <c r="E3784" s="27"/>
      <c r="F3784" s="25"/>
      <c r="G3784" s="27"/>
    </row>
    <row r="3785">
      <c r="A3785" s="21"/>
      <c r="B3785" s="21"/>
      <c r="D3785" s="25"/>
      <c r="E3785" s="27"/>
      <c r="F3785" s="25"/>
      <c r="G3785" s="27"/>
    </row>
    <row r="3786">
      <c r="A3786" s="21"/>
      <c r="B3786" s="21"/>
      <c r="D3786" s="25"/>
      <c r="E3786" s="27"/>
      <c r="F3786" s="25"/>
      <c r="G3786" s="27"/>
    </row>
    <row r="3787">
      <c r="A3787" s="21"/>
      <c r="B3787" s="21"/>
      <c r="D3787" s="25"/>
      <c r="E3787" s="27"/>
      <c r="F3787" s="25"/>
      <c r="G3787" s="27"/>
    </row>
    <row r="3788">
      <c r="A3788" s="21"/>
      <c r="B3788" s="21"/>
      <c r="D3788" s="25"/>
      <c r="E3788" s="27"/>
      <c r="F3788" s="25"/>
      <c r="G3788" s="27"/>
    </row>
    <row r="3789">
      <c r="A3789" s="21"/>
      <c r="B3789" s="21"/>
      <c r="D3789" s="25"/>
      <c r="E3789" s="27"/>
      <c r="F3789" s="25"/>
      <c r="G3789" s="27"/>
    </row>
    <row r="3790">
      <c r="A3790" s="21"/>
      <c r="B3790" s="21"/>
      <c r="D3790" s="25"/>
      <c r="E3790" s="27"/>
      <c r="F3790" s="25"/>
      <c r="G3790" s="27"/>
    </row>
    <row r="3791">
      <c r="A3791" s="21"/>
      <c r="B3791" s="21"/>
      <c r="D3791" s="25"/>
      <c r="E3791" s="27"/>
      <c r="F3791" s="25"/>
      <c r="G3791" s="27"/>
    </row>
    <row r="3792">
      <c r="A3792" s="21"/>
      <c r="B3792" s="21"/>
      <c r="D3792" s="25"/>
      <c r="E3792" s="27"/>
      <c r="F3792" s="25"/>
      <c r="G3792" s="27"/>
    </row>
    <row r="3793">
      <c r="A3793" s="21"/>
      <c r="B3793" s="21"/>
      <c r="D3793" s="25"/>
      <c r="E3793" s="27"/>
      <c r="F3793" s="25"/>
      <c r="G3793" s="27"/>
    </row>
    <row r="3794">
      <c r="A3794" s="21"/>
      <c r="B3794" s="21"/>
      <c r="D3794" s="25"/>
      <c r="E3794" s="27"/>
      <c r="F3794" s="25"/>
      <c r="G3794" s="27"/>
    </row>
    <row r="3795">
      <c r="A3795" s="21"/>
      <c r="B3795" s="21"/>
      <c r="D3795" s="25"/>
      <c r="E3795" s="27"/>
      <c r="F3795" s="25"/>
      <c r="G3795" s="27"/>
    </row>
    <row r="3796">
      <c r="A3796" s="21"/>
      <c r="B3796" s="21"/>
      <c r="D3796" s="25"/>
      <c r="E3796" s="27"/>
      <c r="F3796" s="25"/>
      <c r="G3796" s="27"/>
    </row>
    <row r="3797">
      <c r="A3797" s="21"/>
      <c r="B3797" s="21"/>
      <c r="D3797" s="25"/>
      <c r="E3797" s="27"/>
      <c r="F3797" s="25"/>
      <c r="G3797" s="27"/>
    </row>
    <row r="3798">
      <c r="A3798" s="21"/>
      <c r="B3798" s="21"/>
      <c r="D3798" s="25"/>
      <c r="E3798" s="27"/>
      <c r="F3798" s="25"/>
      <c r="G3798" s="27"/>
    </row>
    <row r="3799">
      <c r="A3799" s="21"/>
      <c r="B3799" s="21"/>
      <c r="D3799" s="25"/>
      <c r="E3799" s="27"/>
      <c r="F3799" s="25"/>
      <c r="G3799" s="27"/>
    </row>
    <row r="3800">
      <c r="A3800" s="21"/>
      <c r="B3800" s="21"/>
      <c r="D3800" s="25"/>
      <c r="E3800" s="27"/>
      <c r="F3800" s="25"/>
      <c r="G3800" s="27"/>
    </row>
    <row r="3801">
      <c r="A3801" s="21"/>
      <c r="B3801" s="21"/>
      <c r="D3801" s="25"/>
      <c r="E3801" s="27"/>
      <c r="F3801" s="25"/>
      <c r="G3801" s="27"/>
    </row>
    <row r="3802">
      <c r="A3802" s="21"/>
      <c r="B3802" s="21"/>
      <c r="D3802" s="25"/>
      <c r="E3802" s="27"/>
      <c r="F3802" s="25"/>
      <c r="G3802" s="27"/>
    </row>
    <row r="3803">
      <c r="A3803" s="21"/>
      <c r="B3803" s="21"/>
      <c r="D3803" s="25"/>
      <c r="E3803" s="27"/>
      <c r="F3803" s="25"/>
      <c r="G3803" s="27"/>
    </row>
    <row r="3804">
      <c r="A3804" s="21"/>
      <c r="B3804" s="21"/>
      <c r="D3804" s="25"/>
      <c r="E3804" s="27"/>
      <c r="F3804" s="25"/>
      <c r="G3804" s="27"/>
    </row>
    <row r="3805">
      <c r="A3805" s="21"/>
      <c r="B3805" s="21"/>
      <c r="D3805" s="25"/>
      <c r="E3805" s="27"/>
      <c r="F3805" s="25"/>
      <c r="G3805" s="27"/>
    </row>
    <row r="3806">
      <c r="A3806" s="21"/>
      <c r="B3806" s="21"/>
      <c r="D3806" s="25"/>
      <c r="E3806" s="27"/>
      <c r="F3806" s="25"/>
      <c r="G3806" s="27"/>
    </row>
    <row r="3807">
      <c r="A3807" s="21"/>
      <c r="B3807" s="21"/>
      <c r="D3807" s="25"/>
      <c r="E3807" s="27"/>
      <c r="F3807" s="25"/>
      <c r="G3807" s="27"/>
    </row>
    <row r="3808">
      <c r="A3808" s="21"/>
      <c r="B3808" s="21"/>
      <c r="D3808" s="25"/>
      <c r="E3808" s="27"/>
      <c r="F3808" s="25"/>
      <c r="G3808" s="27"/>
    </row>
    <row r="3809">
      <c r="A3809" s="21"/>
      <c r="B3809" s="21"/>
      <c r="D3809" s="25"/>
      <c r="E3809" s="27"/>
      <c r="F3809" s="25"/>
      <c r="G3809" s="27"/>
    </row>
    <row r="3810">
      <c r="A3810" s="21"/>
      <c r="B3810" s="21"/>
      <c r="D3810" s="25"/>
      <c r="E3810" s="27"/>
      <c r="F3810" s="25"/>
      <c r="G3810" s="27"/>
    </row>
    <row r="3811">
      <c r="A3811" s="21"/>
      <c r="B3811" s="21"/>
      <c r="D3811" s="25"/>
      <c r="E3811" s="27"/>
      <c r="F3811" s="25"/>
      <c r="G3811" s="27"/>
    </row>
    <row r="3812">
      <c r="A3812" s="21"/>
      <c r="B3812" s="21"/>
      <c r="D3812" s="25"/>
      <c r="E3812" s="27"/>
      <c r="F3812" s="25"/>
      <c r="G3812" s="27"/>
    </row>
    <row r="3813">
      <c r="A3813" s="21"/>
      <c r="B3813" s="21"/>
      <c r="D3813" s="25"/>
      <c r="E3813" s="27"/>
      <c r="F3813" s="25"/>
      <c r="G3813" s="27"/>
    </row>
    <row r="3814">
      <c r="A3814" s="21"/>
      <c r="B3814" s="21"/>
      <c r="D3814" s="25"/>
      <c r="E3814" s="27"/>
      <c r="F3814" s="25"/>
      <c r="G3814" s="27"/>
    </row>
    <row r="3815">
      <c r="A3815" s="21"/>
      <c r="B3815" s="21"/>
      <c r="D3815" s="25"/>
      <c r="E3815" s="27"/>
      <c r="F3815" s="25"/>
      <c r="G3815" s="27"/>
    </row>
    <row r="3816">
      <c r="A3816" s="21"/>
      <c r="B3816" s="21"/>
      <c r="D3816" s="25"/>
      <c r="E3816" s="27"/>
      <c r="F3816" s="25"/>
      <c r="G3816" s="27"/>
    </row>
    <row r="3817">
      <c r="A3817" s="21"/>
      <c r="B3817" s="21"/>
      <c r="D3817" s="25"/>
      <c r="E3817" s="27"/>
      <c r="F3817" s="25"/>
      <c r="G3817" s="27"/>
    </row>
    <row r="3818">
      <c r="A3818" s="21"/>
      <c r="B3818" s="21"/>
      <c r="D3818" s="25"/>
      <c r="E3818" s="27"/>
      <c r="F3818" s="25"/>
      <c r="G3818" s="27"/>
    </row>
    <row r="3819">
      <c r="A3819" s="21"/>
      <c r="B3819" s="21"/>
      <c r="D3819" s="25"/>
      <c r="E3819" s="27"/>
      <c r="F3819" s="25"/>
      <c r="G3819" s="27"/>
    </row>
    <row r="3820">
      <c r="A3820" s="21"/>
      <c r="B3820" s="21"/>
      <c r="D3820" s="25"/>
      <c r="E3820" s="27"/>
      <c r="F3820" s="25"/>
      <c r="G3820" s="27"/>
    </row>
    <row r="3821">
      <c r="A3821" s="21"/>
      <c r="B3821" s="21"/>
      <c r="D3821" s="25"/>
      <c r="E3821" s="27"/>
      <c r="F3821" s="25"/>
      <c r="G3821" s="27"/>
    </row>
    <row r="3822">
      <c r="A3822" s="21"/>
      <c r="B3822" s="21"/>
      <c r="D3822" s="25"/>
      <c r="E3822" s="27"/>
      <c r="F3822" s="25"/>
      <c r="G3822" s="27"/>
    </row>
    <row r="3823">
      <c r="A3823" s="21"/>
      <c r="B3823" s="21"/>
      <c r="D3823" s="25"/>
      <c r="E3823" s="27"/>
      <c r="F3823" s="25"/>
      <c r="G3823" s="27"/>
    </row>
    <row r="3824">
      <c r="A3824" s="21"/>
      <c r="B3824" s="21"/>
      <c r="D3824" s="25"/>
      <c r="E3824" s="27"/>
      <c r="F3824" s="25"/>
      <c r="G3824" s="27"/>
    </row>
    <row r="3825">
      <c r="A3825" s="21"/>
      <c r="B3825" s="21"/>
      <c r="D3825" s="25"/>
      <c r="E3825" s="27"/>
      <c r="F3825" s="25"/>
      <c r="G3825" s="27"/>
    </row>
    <row r="3826">
      <c r="A3826" s="21"/>
      <c r="B3826" s="21"/>
      <c r="D3826" s="25"/>
      <c r="E3826" s="27"/>
      <c r="F3826" s="25"/>
      <c r="G3826" s="27"/>
    </row>
    <row r="3827">
      <c r="A3827" s="21"/>
      <c r="B3827" s="21"/>
      <c r="D3827" s="25"/>
      <c r="E3827" s="27"/>
      <c r="F3827" s="25"/>
      <c r="G3827" s="27"/>
    </row>
    <row r="3828">
      <c r="A3828" s="21"/>
      <c r="B3828" s="21"/>
      <c r="D3828" s="25"/>
      <c r="E3828" s="27"/>
      <c r="F3828" s="25"/>
      <c r="G3828" s="27"/>
    </row>
    <row r="3829">
      <c r="A3829" s="21"/>
      <c r="B3829" s="21"/>
      <c r="D3829" s="25"/>
      <c r="E3829" s="27"/>
      <c r="F3829" s="25"/>
      <c r="G3829" s="27"/>
    </row>
    <row r="3830">
      <c r="A3830" s="21"/>
      <c r="B3830" s="21"/>
      <c r="D3830" s="25"/>
      <c r="E3830" s="27"/>
      <c r="F3830" s="25"/>
      <c r="G3830" s="27"/>
    </row>
    <row r="3831">
      <c r="A3831" s="21"/>
      <c r="B3831" s="21"/>
      <c r="D3831" s="25"/>
      <c r="E3831" s="27"/>
      <c r="F3831" s="25"/>
      <c r="G3831" s="27"/>
    </row>
    <row r="3832">
      <c r="A3832" s="21"/>
      <c r="B3832" s="21"/>
      <c r="D3832" s="25"/>
      <c r="E3832" s="27"/>
      <c r="F3832" s="25"/>
      <c r="G3832" s="27"/>
    </row>
    <row r="3833">
      <c r="A3833" s="21"/>
      <c r="B3833" s="21"/>
      <c r="D3833" s="25"/>
      <c r="E3833" s="27"/>
      <c r="F3833" s="25"/>
      <c r="G3833" s="27"/>
    </row>
    <row r="3834">
      <c r="A3834" s="21"/>
      <c r="B3834" s="21"/>
      <c r="D3834" s="25"/>
      <c r="E3834" s="27"/>
      <c r="F3834" s="25"/>
      <c r="G3834" s="27"/>
    </row>
    <row r="3835">
      <c r="A3835" s="21"/>
      <c r="B3835" s="21"/>
      <c r="D3835" s="25"/>
      <c r="E3835" s="27"/>
      <c r="F3835" s="25"/>
      <c r="G3835" s="27"/>
    </row>
    <row r="3836">
      <c r="A3836" s="21"/>
      <c r="B3836" s="21"/>
      <c r="D3836" s="25"/>
      <c r="E3836" s="27"/>
      <c r="F3836" s="25"/>
      <c r="G3836" s="27"/>
    </row>
    <row r="3837">
      <c r="A3837" s="21"/>
      <c r="B3837" s="21"/>
      <c r="D3837" s="25"/>
      <c r="E3837" s="27"/>
      <c r="F3837" s="25"/>
      <c r="G3837" s="27"/>
    </row>
    <row r="3838">
      <c r="A3838" s="21"/>
      <c r="B3838" s="21"/>
      <c r="D3838" s="25"/>
      <c r="E3838" s="27"/>
      <c r="F3838" s="25"/>
      <c r="G3838" s="27"/>
    </row>
    <row r="3839">
      <c r="A3839" s="21"/>
      <c r="B3839" s="21"/>
      <c r="D3839" s="25"/>
      <c r="E3839" s="27"/>
      <c r="F3839" s="25"/>
      <c r="G3839" s="27"/>
    </row>
    <row r="3840">
      <c r="A3840" s="21"/>
      <c r="B3840" s="21"/>
      <c r="D3840" s="25"/>
      <c r="E3840" s="27"/>
      <c r="F3840" s="25"/>
      <c r="G3840" s="27"/>
    </row>
    <row r="3841">
      <c r="A3841" s="21"/>
      <c r="B3841" s="21"/>
      <c r="D3841" s="25"/>
      <c r="E3841" s="27"/>
      <c r="F3841" s="25"/>
      <c r="G3841" s="27"/>
    </row>
    <row r="3842">
      <c r="A3842" s="21"/>
      <c r="B3842" s="21"/>
      <c r="D3842" s="25"/>
      <c r="E3842" s="27"/>
      <c r="F3842" s="25"/>
      <c r="G3842" s="27"/>
    </row>
    <row r="3843">
      <c r="A3843" s="21"/>
      <c r="B3843" s="21"/>
      <c r="D3843" s="25"/>
      <c r="E3843" s="27"/>
      <c r="F3843" s="25"/>
      <c r="G3843" s="27"/>
    </row>
    <row r="3844">
      <c r="A3844" s="21"/>
      <c r="B3844" s="21"/>
      <c r="D3844" s="25"/>
      <c r="E3844" s="27"/>
      <c r="F3844" s="25"/>
      <c r="G3844" s="27"/>
    </row>
    <row r="3845">
      <c r="A3845" s="21"/>
      <c r="B3845" s="21"/>
      <c r="D3845" s="25"/>
      <c r="E3845" s="27"/>
      <c r="F3845" s="25"/>
      <c r="G3845" s="27"/>
    </row>
    <row r="3846">
      <c r="A3846" s="21"/>
      <c r="B3846" s="21"/>
      <c r="D3846" s="25"/>
      <c r="E3846" s="27"/>
      <c r="F3846" s="25"/>
      <c r="G3846" s="27"/>
    </row>
    <row r="3847">
      <c r="A3847" s="21"/>
      <c r="B3847" s="21"/>
      <c r="D3847" s="25"/>
      <c r="E3847" s="27"/>
      <c r="F3847" s="25"/>
      <c r="G3847" s="27"/>
    </row>
    <row r="3848">
      <c r="A3848" s="21"/>
      <c r="B3848" s="21"/>
      <c r="D3848" s="25"/>
      <c r="E3848" s="27"/>
      <c r="F3848" s="25"/>
      <c r="G3848" s="27"/>
    </row>
    <row r="3849">
      <c r="A3849" s="21"/>
      <c r="B3849" s="21"/>
      <c r="D3849" s="25"/>
      <c r="E3849" s="27"/>
      <c r="F3849" s="25"/>
      <c r="G3849" s="27"/>
    </row>
    <row r="3850">
      <c r="A3850" s="21"/>
      <c r="B3850" s="21"/>
      <c r="D3850" s="25"/>
      <c r="E3850" s="27"/>
      <c r="F3850" s="25"/>
      <c r="G3850" s="27"/>
    </row>
    <row r="3851">
      <c r="A3851" s="21"/>
      <c r="B3851" s="21"/>
      <c r="D3851" s="25"/>
      <c r="E3851" s="27"/>
      <c r="F3851" s="25"/>
      <c r="G3851" s="27"/>
    </row>
    <row r="3852">
      <c r="A3852" s="21"/>
      <c r="B3852" s="21"/>
      <c r="D3852" s="25"/>
      <c r="E3852" s="27"/>
      <c r="F3852" s="25"/>
      <c r="G3852" s="27"/>
    </row>
    <row r="3853">
      <c r="A3853" s="21"/>
      <c r="B3853" s="21"/>
      <c r="D3853" s="25"/>
      <c r="E3853" s="27"/>
      <c r="F3853" s="25"/>
      <c r="G3853" s="27"/>
    </row>
    <row r="3854">
      <c r="A3854" s="21"/>
      <c r="B3854" s="21"/>
      <c r="D3854" s="25"/>
      <c r="E3854" s="27"/>
      <c r="F3854" s="25"/>
      <c r="G3854" s="27"/>
    </row>
    <row r="3855">
      <c r="A3855" s="21"/>
      <c r="B3855" s="21"/>
      <c r="D3855" s="25"/>
      <c r="E3855" s="27"/>
      <c r="F3855" s="25"/>
      <c r="G3855" s="27"/>
    </row>
    <row r="3856">
      <c r="A3856" s="21"/>
      <c r="B3856" s="21"/>
      <c r="D3856" s="25"/>
      <c r="E3856" s="27"/>
      <c r="F3856" s="25"/>
      <c r="G3856" s="27"/>
    </row>
    <row r="3857">
      <c r="A3857" s="21"/>
      <c r="B3857" s="21"/>
      <c r="D3857" s="25"/>
      <c r="E3857" s="27"/>
      <c r="F3857" s="25"/>
      <c r="G3857" s="27"/>
    </row>
    <row r="3858">
      <c r="A3858" s="21"/>
      <c r="B3858" s="21"/>
      <c r="D3858" s="25"/>
      <c r="E3858" s="27"/>
      <c r="F3858" s="25"/>
      <c r="G3858" s="27"/>
    </row>
    <row r="3859">
      <c r="A3859" s="21"/>
      <c r="B3859" s="21"/>
      <c r="D3859" s="25"/>
      <c r="E3859" s="27"/>
      <c r="F3859" s="25"/>
      <c r="G3859" s="27"/>
    </row>
    <row r="3860">
      <c r="A3860" s="21"/>
      <c r="B3860" s="21"/>
      <c r="D3860" s="25"/>
      <c r="E3860" s="27"/>
      <c r="F3860" s="25"/>
      <c r="G3860" s="27"/>
    </row>
    <row r="3861">
      <c r="A3861" s="21"/>
      <c r="B3861" s="21"/>
      <c r="D3861" s="25"/>
      <c r="E3861" s="27"/>
      <c r="F3861" s="25"/>
      <c r="G3861" s="27"/>
    </row>
    <row r="3862">
      <c r="A3862" s="21"/>
      <c r="B3862" s="21"/>
      <c r="D3862" s="25"/>
      <c r="E3862" s="27"/>
      <c r="F3862" s="25"/>
      <c r="G3862" s="27"/>
    </row>
    <row r="3863">
      <c r="A3863" s="21"/>
      <c r="B3863" s="21"/>
      <c r="D3863" s="25"/>
      <c r="E3863" s="27"/>
      <c r="F3863" s="25"/>
      <c r="G3863" s="27"/>
    </row>
    <row r="3864">
      <c r="A3864" s="21"/>
      <c r="B3864" s="21"/>
      <c r="D3864" s="25"/>
      <c r="E3864" s="27"/>
      <c r="F3864" s="25"/>
      <c r="G3864" s="27"/>
    </row>
    <row r="3865">
      <c r="A3865" s="21"/>
      <c r="B3865" s="21"/>
      <c r="D3865" s="25"/>
      <c r="E3865" s="27"/>
      <c r="F3865" s="25"/>
      <c r="G3865" s="27"/>
    </row>
    <row r="3866">
      <c r="A3866" s="21"/>
      <c r="B3866" s="21"/>
      <c r="D3866" s="25"/>
      <c r="E3866" s="27"/>
      <c r="F3866" s="25"/>
      <c r="G3866" s="27"/>
    </row>
    <row r="3867">
      <c r="A3867" s="21"/>
      <c r="B3867" s="21"/>
      <c r="D3867" s="25"/>
      <c r="E3867" s="27"/>
      <c r="F3867" s="25"/>
      <c r="G3867" s="27"/>
    </row>
    <row r="3868">
      <c r="A3868" s="21"/>
      <c r="B3868" s="21"/>
      <c r="D3868" s="25"/>
      <c r="E3868" s="27"/>
      <c r="F3868" s="25"/>
      <c r="G3868" s="27"/>
    </row>
    <row r="3869">
      <c r="A3869" s="21"/>
      <c r="B3869" s="21"/>
      <c r="D3869" s="25"/>
      <c r="E3869" s="27"/>
      <c r="F3869" s="25"/>
      <c r="G3869" s="27"/>
    </row>
    <row r="3870">
      <c r="A3870" s="21"/>
      <c r="B3870" s="21"/>
      <c r="D3870" s="25"/>
      <c r="E3870" s="27"/>
      <c r="F3870" s="25"/>
      <c r="G3870" s="27"/>
    </row>
    <row r="3871">
      <c r="A3871" s="21"/>
      <c r="B3871" s="21"/>
      <c r="D3871" s="25"/>
      <c r="E3871" s="27"/>
      <c r="F3871" s="25"/>
      <c r="G3871" s="27"/>
    </row>
    <row r="3872">
      <c r="A3872" s="21"/>
      <c r="B3872" s="21"/>
      <c r="D3872" s="25"/>
      <c r="E3872" s="27"/>
      <c r="F3872" s="25"/>
      <c r="G3872" s="27"/>
    </row>
    <row r="3873">
      <c r="A3873" s="21"/>
      <c r="B3873" s="21"/>
      <c r="D3873" s="25"/>
      <c r="E3873" s="27"/>
      <c r="F3873" s="25"/>
      <c r="G3873" s="27"/>
    </row>
    <row r="3874">
      <c r="A3874" s="21"/>
      <c r="B3874" s="21"/>
      <c r="D3874" s="25"/>
      <c r="E3874" s="27"/>
      <c r="F3874" s="25"/>
      <c r="G3874" s="27"/>
    </row>
    <row r="3875">
      <c r="A3875" s="21"/>
      <c r="B3875" s="21"/>
      <c r="D3875" s="25"/>
      <c r="E3875" s="27"/>
      <c r="F3875" s="25"/>
      <c r="G3875" s="27"/>
    </row>
    <row r="3876">
      <c r="A3876" s="21"/>
      <c r="B3876" s="21"/>
      <c r="D3876" s="25"/>
      <c r="E3876" s="27"/>
      <c r="F3876" s="25"/>
      <c r="G3876" s="27"/>
    </row>
    <row r="3877">
      <c r="A3877" s="21"/>
      <c r="B3877" s="21"/>
      <c r="D3877" s="25"/>
      <c r="E3877" s="27"/>
      <c r="F3877" s="25"/>
      <c r="G3877" s="27"/>
    </row>
    <row r="3878">
      <c r="A3878" s="21"/>
      <c r="B3878" s="21"/>
      <c r="D3878" s="25"/>
      <c r="E3878" s="27"/>
      <c r="F3878" s="25"/>
      <c r="G3878" s="27"/>
    </row>
    <row r="3879">
      <c r="A3879" s="21"/>
      <c r="B3879" s="21"/>
      <c r="D3879" s="25"/>
      <c r="E3879" s="27"/>
      <c r="F3879" s="25"/>
      <c r="G3879" s="27"/>
    </row>
    <row r="3880">
      <c r="A3880" s="21"/>
      <c r="B3880" s="21"/>
      <c r="D3880" s="25"/>
      <c r="E3880" s="27"/>
      <c r="F3880" s="25"/>
      <c r="G3880" s="27"/>
    </row>
    <row r="3881">
      <c r="A3881" s="21"/>
      <c r="B3881" s="21"/>
      <c r="D3881" s="25"/>
      <c r="E3881" s="27"/>
      <c r="F3881" s="25"/>
      <c r="G3881" s="27"/>
    </row>
    <row r="3882">
      <c r="A3882" s="21"/>
      <c r="B3882" s="21"/>
      <c r="D3882" s="25"/>
      <c r="E3882" s="27"/>
      <c r="F3882" s="25"/>
      <c r="G3882" s="27"/>
    </row>
    <row r="3883">
      <c r="A3883" s="21"/>
      <c r="B3883" s="21"/>
      <c r="D3883" s="25"/>
      <c r="E3883" s="27"/>
      <c r="F3883" s="25"/>
      <c r="G3883" s="27"/>
    </row>
    <row r="3884">
      <c r="A3884" s="21"/>
      <c r="B3884" s="21"/>
      <c r="D3884" s="25"/>
      <c r="E3884" s="27"/>
      <c r="F3884" s="25"/>
      <c r="G3884" s="27"/>
    </row>
    <row r="3885">
      <c r="A3885" s="21"/>
      <c r="B3885" s="21"/>
      <c r="D3885" s="25"/>
      <c r="E3885" s="27"/>
      <c r="F3885" s="25"/>
      <c r="G3885" s="27"/>
    </row>
    <row r="3886">
      <c r="A3886" s="21"/>
      <c r="B3886" s="21"/>
      <c r="D3886" s="25"/>
      <c r="E3886" s="27"/>
      <c r="F3886" s="25"/>
      <c r="G3886" s="27"/>
    </row>
    <row r="3887">
      <c r="A3887" s="21"/>
      <c r="B3887" s="21"/>
      <c r="D3887" s="25"/>
      <c r="E3887" s="27"/>
      <c r="F3887" s="25"/>
      <c r="G3887" s="27"/>
    </row>
    <row r="3888">
      <c r="A3888" s="21"/>
      <c r="B3888" s="21"/>
      <c r="D3888" s="25"/>
      <c r="E3888" s="27"/>
      <c r="F3888" s="25"/>
      <c r="G3888" s="27"/>
    </row>
    <row r="3889">
      <c r="A3889" s="21"/>
      <c r="B3889" s="21"/>
      <c r="D3889" s="25"/>
      <c r="E3889" s="27"/>
      <c r="F3889" s="25"/>
      <c r="G3889" s="27"/>
    </row>
    <row r="3890">
      <c r="A3890" s="21"/>
      <c r="B3890" s="21"/>
      <c r="D3890" s="25"/>
      <c r="E3890" s="27"/>
      <c r="F3890" s="25"/>
      <c r="G3890" s="27"/>
    </row>
    <row r="3891">
      <c r="A3891" s="21"/>
      <c r="B3891" s="21"/>
      <c r="D3891" s="25"/>
      <c r="E3891" s="27"/>
      <c r="F3891" s="25"/>
      <c r="G3891" s="27"/>
    </row>
    <row r="3892">
      <c r="A3892" s="21"/>
      <c r="B3892" s="21"/>
      <c r="D3892" s="25"/>
      <c r="E3892" s="27"/>
      <c r="F3892" s="25"/>
      <c r="G3892" s="27"/>
    </row>
    <row r="3893">
      <c r="A3893" s="21"/>
      <c r="B3893" s="21"/>
      <c r="D3893" s="25"/>
      <c r="E3893" s="27"/>
      <c r="F3893" s="25"/>
      <c r="G3893" s="27"/>
    </row>
    <row r="3894">
      <c r="A3894" s="21"/>
      <c r="B3894" s="21"/>
      <c r="D3894" s="25"/>
      <c r="E3894" s="27"/>
      <c r="F3894" s="25"/>
      <c r="G3894" s="27"/>
    </row>
    <row r="3895">
      <c r="A3895" s="21"/>
      <c r="B3895" s="21"/>
      <c r="D3895" s="25"/>
      <c r="E3895" s="27"/>
      <c r="F3895" s="25"/>
      <c r="G3895" s="27"/>
    </row>
    <row r="3896">
      <c r="A3896" s="21"/>
      <c r="B3896" s="21"/>
      <c r="D3896" s="25"/>
      <c r="E3896" s="27"/>
      <c r="F3896" s="25"/>
      <c r="G3896" s="27"/>
    </row>
    <row r="3897">
      <c r="A3897" s="21"/>
      <c r="B3897" s="21"/>
      <c r="D3897" s="25"/>
      <c r="E3897" s="27"/>
      <c r="F3897" s="25"/>
      <c r="G3897" s="27"/>
    </row>
    <row r="3898">
      <c r="A3898" s="21"/>
      <c r="B3898" s="21"/>
      <c r="D3898" s="25"/>
      <c r="E3898" s="27"/>
      <c r="F3898" s="25"/>
      <c r="G3898" s="27"/>
    </row>
    <row r="3899">
      <c r="A3899" s="21"/>
      <c r="B3899" s="21"/>
      <c r="D3899" s="25"/>
      <c r="E3899" s="27"/>
      <c r="F3899" s="25"/>
      <c r="G3899" s="27"/>
    </row>
    <row r="3900">
      <c r="A3900" s="21"/>
      <c r="B3900" s="21"/>
      <c r="D3900" s="25"/>
      <c r="E3900" s="27"/>
      <c r="F3900" s="25"/>
      <c r="G3900" s="27"/>
    </row>
    <row r="3901">
      <c r="A3901" s="21"/>
      <c r="B3901" s="21"/>
      <c r="D3901" s="25"/>
      <c r="E3901" s="27"/>
      <c r="F3901" s="25"/>
      <c r="G3901" s="27"/>
    </row>
    <row r="3902">
      <c r="A3902" s="21"/>
      <c r="B3902" s="21"/>
      <c r="D3902" s="25"/>
      <c r="E3902" s="27"/>
      <c r="F3902" s="25"/>
      <c r="G3902" s="27"/>
    </row>
    <row r="3903">
      <c r="A3903" s="21"/>
      <c r="B3903" s="21"/>
      <c r="D3903" s="25"/>
      <c r="E3903" s="27"/>
      <c r="F3903" s="25"/>
      <c r="G3903" s="27"/>
    </row>
    <row r="3904">
      <c r="A3904" s="21"/>
      <c r="B3904" s="21"/>
      <c r="D3904" s="25"/>
      <c r="E3904" s="27"/>
      <c r="F3904" s="25"/>
      <c r="G3904" s="27"/>
    </row>
    <row r="3905">
      <c r="A3905" s="21"/>
      <c r="B3905" s="21"/>
      <c r="D3905" s="25"/>
      <c r="E3905" s="27"/>
      <c r="F3905" s="25"/>
      <c r="G3905" s="27"/>
    </row>
    <row r="3906">
      <c r="A3906" s="21"/>
      <c r="B3906" s="21"/>
      <c r="D3906" s="25"/>
      <c r="E3906" s="27"/>
      <c r="F3906" s="25"/>
      <c r="G3906" s="27"/>
    </row>
    <row r="3907">
      <c r="A3907" s="21"/>
      <c r="B3907" s="21"/>
      <c r="D3907" s="25"/>
      <c r="E3907" s="27"/>
      <c r="F3907" s="25"/>
      <c r="G3907" s="27"/>
    </row>
    <row r="3908">
      <c r="A3908" s="21"/>
      <c r="B3908" s="21"/>
      <c r="D3908" s="25"/>
      <c r="E3908" s="27"/>
      <c r="F3908" s="25"/>
      <c r="G3908" s="27"/>
    </row>
    <row r="3909">
      <c r="A3909" s="21"/>
      <c r="B3909" s="21"/>
      <c r="D3909" s="25"/>
      <c r="E3909" s="27"/>
      <c r="F3909" s="25"/>
      <c r="G3909" s="27"/>
    </row>
    <row r="3910">
      <c r="A3910" s="21"/>
      <c r="B3910" s="21"/>
      <c r="D3910" s="25"/>
      <c r="E3910" s="27"/>
      <c r="F3910" s="25"/>
      <c r="G3910" s="27"/>
    </row>
    <row r="3911">
      <c r="A3911" s="21"/>
      <c r="B3911" s="21"/>
      <c r="D3911" s="25"/>
      <c r="E3911" s="27"/>
      <c r="F3911" s="25"/>
      <c r="G3911" s="27"/>
    </row>
    <row r="3912">
      <c r="A3912" s="21"/>
      <c r="B3912" s="21"/>
      <c r="D3912" s="25"/>
      <c r="E3912" s="27"/>
      <c r="F3912" s="25"/>
      <c r="G3912" s="27"/>
    </row>
    <row r="3913">
      <c r="A3913" s="21"/>
      <c r="B3913" s="21"/>
      <c r="D3913" s="25"/>
      <c r="E3913" s="27"/>
      <c r="F3913" s="25"/>
      <c r="G3913" s="27"/>
    </row>
    <row r="3914">
      <c r="A3914" s="21"/>
      <c r="B3914" s="21"/>
      <c r="D3914" s="25"/>
      <c r="E3914" s="27"/>
      <c r="F3914" s="25"/>
      <c r="G3914" s="27"/>
    </row>
    <row r="3915">
      <c r="A3915" s="21"/>
      <c r="B3915" s="21"/>
      <c r="D3915" s="25"/>
      <c r="E3915" s="27"/>
      <c r="F3915" s="25"/>
      <c r="G3915" s="27"/>
    </row>
    <row r="3916">
      <c r="A3916" s="21"/>
      <c r="B3916" s="21"/>
      <c r="D3916" s="25"/>
      <c r="E3916" s="27"/>
      <c r="F3916" s="25"/>
      <c r="G3916" s="27"/>
    </row>
    <row r="3917">
      <c r="A3917" s="21"/>
      <c r="B3917" s="21"/>
      <c r="D3917" s="25"/>
      <c r="E3917" s="27"/>
      <c r="F3917" s="25"/>
      <c r="G3917" s="27"/>
    </row>
    <row r="3918">
      <c r="A3918" s="21"/>
      <c r="B3918" s="21"/>
      <c r="D3918" s="25"/>
      <c r="E3918" s="27"/>
      <c r="F3918" s="25"/>
      <c r="G3918" s="27"/>
    </row>
    <row r="3919">
      <c r="A3919" s="21"/>
      <c r="B3919" s="21"/>
      <c r="D3919" s="25"/>
      <c r="E3919" s="27"/>
      <c r="F3919" s="25"/>
      <c r="G3919" s="27"/>
    </row>
    <row r="3920">
      <c r="A3920" s="21"/>
      <c r="B3920" s="21"/>
      <c r="D3920" s="25"/>
      <c r="E3920" s="27"/>
      <c r="F3920" s="25"/>
      <c r="G3920" s="27"/>
    </row>
    <row r="3921">
      <c r="A3921" s="21"/>
      <c r="B3921" s="21"/>
      <c r="D3921" s="25"/>
      <c r="E3921" s="27"/>
      <c r="F3921" s="25"/>
      <c r="G3921" s="27"/>
    </row>
    <row r="3922">
      <c r="A3922" s="21"/>
      <c r="B3922" s="21"/>
      <c r="D3922" s="25"/>
      <c r="E3922" s="27"/>
      <c r="F3922" s="25"/>
      <c r="G3922" s="27"/>
    </row>
    <row r="3923">
      <c r="A3923" s="21"/>
      <c r="B3923" s="21"/>
      <c r="D3923" s="25"/>
      <c r="E3923" s="27"/>
      <c r="F3923" s="25"/>
      <c r="G3923" s="27"/>
    </row>
    <row r="3924">
      <c r="A3924" s="21"/>
      <c r="B3924" s="21"/>
      <c r="D3924" s="25"/>
      <c r="E3924" s="27"/>
      <c r="F3924" s="25"/>
      <c r="G3924" s="27"/>
    </row>
    <row r="3925">
      <c r="A3925" s="21"/>
      <c r="B3925" s="21"/>
      <c r="D3925" s="25"/>
      <c r="E3925" s="27"/>
      <c r="F3925" s="25"/>
      <c r="G3925" s="27"/>
    </row>
    <row r="3926">
      <c r="A3926" s="21"/>
      <c r="B3926" s="21"/>
      <c r="D3926" s="25"/>
      <c r="E3926" s="27"/>
      <c r="F3926" s="25"/>
      <c r="G3926" s="27"/>
    </row>
    <row r="3927">
      <c r="A3927" s="21"/>
      <c r="B3927" s="21"/>
      <c r="D3927" s="25"/>
      <c r="E3927" s="27"/>
      <c r="F3927" s="25"/>
      <c r="G3927" s="27"/>
    </row>
    <row r="3928">
      <c r="A3928" s="21"/>
      <c r="B3928" s="21"/>
      <c r="D3928" s="25"/>
      <c r="E3928" s="27"/>
      <c r="F3928" s="25"/>
      <c r="G3928" s="27"/>
    </row>
    <row r="3929">
      <c r="A3929" s="21"/>
      <c r="B3929" s="21"/>
      <c r="D3929" s="25"/>
      <c r="E3929" s="27"/>
      <c r="F3929" s="25"/>
      <c r="G3929" s="27"/>
    </row>
    <row r="3930">
      <c r="A3930" s="21"/>
      <c r="B3930" s="21"/>
      <c r="D3930" s="25"/>
      <c r="E3930" s="27"/>
      <c r="F3930" s="25"/>
      <c r="G3930" s="27"/>
    </row>
    <row r="3931">
      <c r="A3931" s="21"/>
      <c r="B3931" s="21"/>
      <c r="D3931" s="25"/>
      <c r="E3931" s="27"/>
      <c r="F3931" s="25"/>
      <c r="G3931" s="27"/>
    </row>
    <row r="3932">
      <c r="A3932" s="21"/>
      <c r="B3932" s="21"/>
      <c r="D3932" s="25"/>
      <c r="E3932" s="27"/>
      <c r="F3932" s="25"/>
      <c r="G3932" s="27"/>
    </row>
    <row r="3933">
      <c r="A3933" s="21"/>
      <c r="B3933" s="21"/>
      <c r="D3933" s="25"/>
      <c r="E3933" s="27"/>
      <c r="F3933" s="25"/>
      <c r="G3933" s="27"/>
    </row>
    <row r="3934">
      <c r="A3934" s="21"/>
      <c r="B3934" s="21"/>
      <c r="D3934" s="25"/>
      <c r="E3934" s="27"/>
      <c r="F3934" s="25"/>
      <c r="G3934" s="27"/>
    </row>
    <row r="3935">
      <c r="A3935" s="21"/>
      <c r="B3935" s="21"/>
      <c r="D3935" s="25"/>
      <c r="E3935" s="27"/>
      <c r="F3935" s="25"/>
      <c r="G3935" s="27"/>
    </row>
    <row r="3936">
      <c r="A3936" s="21"/>
      <c r="B3936" s="21"/>
      <c r="D3936" s="25"/>
      <c r="E3936" s="27"/>
      <c r="F3936" s="25"/>
      <c r="G3936" s="27"/>
    </row>
    <row r="3937">
      <c r="A3937" s="21"/>
      <c r="B3937" s="21"/>
      <c r="D3937" s="25"/>
      <c r="E3937" s="27"/>
      <c r="F3937" s="25"/>
      <c r="G3937" s="27"/>
    </row>
    <row r="3938">
      <c r="A3938" s="21"/>
      <c r="B3938" s="21"/>
      <c r="D3938" s="25"/>
      <c r="E3938" s="27"/>
      <c r="F3938" s="25"/>
      <c r="G3938" s="27"/>
    </row>
    <row r="3939">
      <c r="A3939" s="21"/>
      <c r="B3939" s="21"/>
      <c r="D3939" s="25"/>
      <c r="E3939" s="27"/>
      <c r="F3939" s="25"/>
      <c r="G3939" s="27"/>
    </row>
    <row r="3940">
      <c r="A3940" s="21"/>
      <c r="B3940" s="21"/>
      <c r="D3940" s="25"/>
      <c r="E3940" s="27"/>
      <c r="F3940" s="25"/>
      <c r="G3940" s="27"/>
    </row>
    <row r="3941">
      <c r="A3941" s="21"/>
      <c r="B3941" s="21"/>
      <c r="D3941" s="25"/>
      <c r="E3941" s="27"/>
      <c r="F3941" s="25"/>
      <c r="G3941" s="27"/>
    </row>
    <row r="3942">
      <c r="A3942" s="21"/>
      <c r="B3942" s="21"/>
      <c r="D3942" s="25"/>
      <c r="E3942" s="27"/>
      <c r="F3942" s="25"/>
      <c r="G3942" s="27"/>
    </row>
    <row r="3943">
      <c r="A3943" s="21"/>
      <c r="B3943" s="21"/>
      <c r="D3943" s="25"/>
      <c r="E3943" s="27"/>
      <c r="F3943" s="25"/>
      <c r="G3943" s="27"/>
    </row>
    <row r="3944">
      <c r="A3944" s="21"/>
      <c r="B3944" s="21"/>
      <c r="D3944" s="25"/>
      <c r="E3944" s="27"/>
      <c r="F3944" s="25"/>
      <c r="G3944" s="27"/>
    </row>
    <row r="3945">
      <c r="A3945" s="21"/>
      <c r="B3945" s="21"/>
      <c r="D3945" s="25"/>
      <c r="E3945" s="27"/>
      <c r="F3945" s="25"/>
      <c r="G3945" s="27"/>
    </row>
    <row r="3946">
      <c r="A3946" s="21"/>
      <c r="B3946" s="21"/>
      <c r="D3946" s="25"/>
      <c r="E3946" s="27"/>
      <c r="F3946" s="25"/>
      <c r="G3946" s="27"/>
    </row>
    <row r="3947">
      <c r="A3947" s="21"/>
      <c r="B3947" s="21"/>
      <c r="D3947" s="25"/>
      <c r="E3947" s="27"/>
      <c r="F3947" s="25"/>
      <c r="G3947" s="27"/>
    </row>
    <row r="3948">
      <c r="A3948" s="21"/>
      <c r="B3948" s="21"/>
      <c r="D3948" s="25"/>
      <c r="E3948" s="27"/>
      <c r="F3948" s="25"/>
      <c r="G3948" s="27"/>
    </row>
    <row r="3949">
      <c r="A3949" s="21"/>
      <c r="B3949" s="21"/>
      <c r="D3949" s="25"/>
      <c r="E3949" s="27"/>
      <c r="F3949" s="25"/>
      <c r="G3949" s="27"/>
    </row>
    <row r="3950">
      <c r="A3950" s="21"/>
      <c r="B3950" s="21"/>
      <c r="D3950" s="25"/>
      <c r="E3950" s="27"/>
      <c r="F3950" s="25"/>
      <c r="G3950" s="27"/>
    </row>
    <row r="3951">
      <c r="A3951" s="21"/>
      <c r="B3951" s="21"/>
      <c r="D3951" s="25"/>
      <c r="E3951" s="27"/>
      <c r="F3951" s="25"/>
      <c r="G3951" s="27"/>
    </row>
    <row r="3952">
      <c r="A3952" s="21"/>
      <c r="B3952" s="21"/>
      <c r="D3952" s="25"/>
      <c r="E3952" s="27"/>
      <c r="F3952" s="25"/>
      <c r="G3952" s="27"/>
    </row>
    <row r="3953">
      <c r="A3953" s="21"/>
      <c r="B3953" s="21"/>
      <c r="D3953" s="25"/>
      <c r="E3953" s="27"/>
      <c r="F3953" s="25"/>
      <c r="G3953" s="27"/>
    </row>
    <row r="3954">
      <c r="A3954" s="21"/>
      <c r="B3954" s="21"/>
      <c r="D3954" s="25"/>
      <c r="E3954" s="27"/>
      <c r="F3954" s="25"/>
      <c r="G3954" s="27"/>
    </row>
    <row r="3955">
      <c r="A3955" s="21"/>
      <c r="B3955" s="21"/>
      <c r="D3955" s="25"/>
      <c r="E3955" s="27"/>
      <c r="F3955" s="25"/>
      <c r="G3955" s="27"/>
    </row>
    <row r="3956">
      <c r="A3956" s="21"/>
      <c r="B3956" s="21"/>
      <c r="D3956" s="25"/>
      <c r="E3956" s="27"/>
      <c r="F3956" s="25"/>
      <c r="G3956" s="27"/>
    </row>
    <row r="3957">
      <c r="A3957" s="21"/>
      <c r="B3957" s="21"/>
      <c r="D3957" s="25"/>
      <c r="E3957" s="27"/>
      <c r="F3957" s="25"/>
      <c r="G3957" s="27"/>
    </row>
    <row r="3958">
      <c r="A3958" s="21"/>
      <c r="B3958" s="21"/>
      <c r="D3958" s="25"/>
      <c r="E3958" s="27"/>
      <c r="F3958" s="25"/>
      <c r="G3958" s="27"/>
    </row>
    <row r="3959">
      <c r="A3959" s="21"/>
      <c r="B3959" s="21"/>
      <c r="D3959" s="25"/>
      <c r="E3959" s="27"/>
      <c r="F3959" s="25"/>
      <c r="G3959" s="27"/>
    </row>
    <row r="3960">
      <c r="A3960" s="21"/>
      <c r="B3960" s="21"/>
      <c r="D3960" s="25"/>
      <c r="E3960" s="27"/>
      <c r="F3960" s="25"/>
      <c r="G3960" s="27"/>
    </row>
    <row r="3961">
      <c r="A3961" s="21"/>
      <c r="B3961" s="21"/>
      <c r="D3961" s="25"/>
      <c r="E3961" s="27"/>
      <c r="F3961" s="25"/>
      <c r="G3961" s="27"/>
    </row>
    <row r="3962">
      <c r="A3962" s="21"/>
      <c r="B3962" s="21"/>
      <c r="D3962" s="25"/>
      <c r="E3962" s="27"/>
      <c r="F3962" s="25"/>
      <c r="G3962" s="27"/>
    </row>
    <row r="3963">
      <c r="A3963" s="21"/>
      <c r="B3963" s="21"/>
      <c r="D3963" s="25"/>
      <c r="E3963" s="27"/>
      <c r="F3963" s="25"/>
      <c r="G3963" s="27"/>
    </row>
    <row r="3964">
      <c r="A3964" s="21"/>
      <c r="B3964" s="21"/>
      <c r="D3964" s="25"/>
      <c r="E3964" s="27"/>
      <c r="F3964" s="25"/>
      <c r="G3964" s="27"/>
    </row>
    <row r="3965">
      <c r="A3965" s="21"/>
      <c r="B3965" s="21"/>
      <c r="D3965" s="25"/>
      <c r="E3965" s="27"/>
      <c r="F3965" s="25"/>
      <c r="G3965" s="27"/>
    </row>
    <row r="3966">
      <c r="A3966" s="21"/>
      <c r="B3966" s="21"/>
      <c r="D3966" s="25"/>
      <c r="E3966" s="27"/>
      <c r="F3966" s="25"/>
      <c r="G3966" s="27"/>
    </row>
    <row r="3967">
      <c r="A3967" s="21"/>
      <c r="B3967" s="21"/>
      <c r="D3967" s="25"/>
      <c r="E3967" s="27"/>
      <c r="F3967" s="25"/>
      <c r="G3967" s="27"/>
    </row>
    <row r="3968">
      <c r="A3968" s="21"/>
      <c r="B3968" s="21"/>
      <c r="D3968" s="25"/>
      <c r="E3968" s="27"/>
      <c r="F3968" s="25"/>
      <c r="G3968" s="27"/>
    </row>
    <row r="3969">
      <c r="A3969" s="21"/>
      <c r="B3969" s="21"/>
      <c r="D3969" s="25"/>
      <c r="E3969" s="27"/>
      <c r="F3969" s="25"/>
      <c r="G3969" s="27"/>
    </row>
    <row r="3970">
      <c r="A3970" s="21"/>
      <c r="B3970" s="21"/>
      <c r="D3970" s="25"/>
      <c r="E3970" s="27"/>
      <c r="F3970" s="25"/>
      <c r="G3970" s="27"/>
    </row>
    <row r="3971">
      <c r="A3971" s="21"/>
      <c r="B3971" s="21"/>
      <c r="D3971" s="25"/>
      <c r="E3971" s="27"/>
      <c r="F3971" s="25"/>
      <c r="G3971" s="27"/>
    </row>
    <row r="3972">
      <c r="A3972" s="21"/>
      <c r="B3972" s="21"/>
      <c r="D3972" s="25"/>
      <c r="E3972" s="27"/>
      <c r="F3972" s="25"/>
      <c r="G3972" s="27"/>
    </row>
    <row r="3973">
      <c r="A3973" s="21"/>
      <c r="B3973" s="21"/>
      <c r="D3973" s="25"/>
      <c r="E3973" s="27"/>
      <c r="F3973" s="25"/>
      <c r="G3973" s="27"/>
    </row>
    <row r="3974">
      <c r="A3974" s="21"/>
      <c r="B3974" s="21"/>
      <c r="D3974" s="25"/>
      <c r="E3974" s="27"/>
      <c r="F3974" s="25"/>
      <c r="G3974" s="27"/>
    </row>
    <row r="3975">
      <c r="A3975" s="21"/>
      <c r="B3975" s="21"/>
      <c r="D3975" s="25"/>
      <c r="E3975" s="27"/>
      <c r="F3975" s="25"/>
      <c r="G3975" s="27"/>
    </row>
    <row r="3976">
      <c r="A3976" s="21"/>
      <c r="B3976" s="21"/>
      <c r="D3976" s="25"/>
      <c r="E3976" s="27"/>
      <c r="F3976" s="25"/>
      <c r="G3976" s="27"/>
    </row>
    <row r="3977">
      <c r="A3977" s="21"/>
      <c r="B3977" s="21"/>
      <c r="D3977" s="25"/>
      <c r="E3977" s="27"/>
      <c r="F3977" s="25"/>
      <c r="G3977" s="27"/>
    </row>
    <row r="3978">
      <c r="A3978" s="21"/>
      <c r="B3978" s="21"/>
      <c r="D3978" s="25"/>
      <c r="E3978" s="27"/>
      <c r="F3978" s="25"/>
      <c r="G3978" s="27"/>
    </row>
    <row r="3979">
      <c r="A3979" s="21"/>
      <c r="B3979" s="21"/>
      <c r="D3979" s="25"/>
      <c r="E3979" s="27"/>
      <c r="F3979" s="25"/>
      <c r="G3979" s="27"/>
    </row>
    <row r="3980">
      <c r="A3980" s="21"/>
      <c r="B3980" s="21"/>
      <c r="D3980" s="25"/>
      <c r="E3980" s="27"/>
      <c r="F3980" s="25"/>
      <c r="G3980" s="27"/>
    </row>
    <row r="3981">
      <c r="A3981" s="21"/>
      <c r="B3981" s="21"/>
      <c r="D3981" s="25"/>
      <c r="E3981" s="27"/>
      <c r="F3981" s="25"/>
      <c r="G3981" s="27"/>
    </row>
    <row r="3982">
      <c r="A3982" s="21"/>
      <c r="B3982" s="21"/>
      <c r="D3982" s="25"/>
      <c r="E3982" s="27"/>
      <c r="F3982" s="25"/>
      <c r="G3982" s="27"/>
    </row>
    <row r="3983">
      <c r="A3983" s="21"/>
      <c r="B3983" s="21"/>
      <c r="D3983" s="25"/>
      <c r="E3983" s="27"/>
      <c r="F3983" s="25"/>
      <c r="G3983" s="27"/>
    </row>
    <row r="3984">
      <c r="A3984" s="21"/>
      <c r="B3984" s="21"/>
      <c r="D3984" s="25"/>
      <c r="E3984" s="27"/>
      <c r="F3984" s="25"/>
      <c r="G3984" s="27"/>
    </row>
    <row r="3985">
      <c r="A3985" s="21"/>
      <c r="B3985" s="21"/>
      <c r="D3985" s="25"/>
      <c r="E3985" s="27"/>
      <c r="F3985" s="25"/>
      <c r="G3985" s="27"/>
    </row>
    <row r="3986">
      <c r="A3986" s="21"/>
      <c r="B3986" s="21"/>
      <c r="D3986" s="25"/>
      <c r="E3986" s="27"/>
      <c r="F3986" s="25"/>
      <c r="G3986" s="27"/>
    </row>
    <row r="3987">
      <c r="A3987" s="21"/>
      <c r="B3987" s="21"/>
      <c r="D3987" s="25"/>
      <c r="E3987" s="27"/>
      <c r="F3987" s="25"/>
      <c r="G3987" s="27"/>
    </row>
    <row r="3988">
      <c r="A3988" s="21"/>
      <c r="B3988" s="21"/>
      <c r="D3988" s="25"/>
      <c r="E3988" s="27"/>
      <c r="F3988" s="25"/>
      <c r="G3988" s="27"/>
    </row>
    <row r="3989">
      <c r="A3989" s="21"/>
      <c r="B3989" s="21"/>
      <c r="D3989" s="25"/>
      <c r="E3989" s="27"/>
      <c r="F3989" s="25"/>
      <c r="G3989" s="27"/>
    </row>
    <row r="3990">
      <c r="A3990" s="21"/>
      <c r="B3990" s="21"/>
      <c r="D3990" s="25"/>
      <c r="E3990" s="27"/>
      <c r="F3990" s="25"/>
      <c r="G3990" s="27"/>
    </row>
    <row r="3991">
      <c r="A3991" s="21"/>
      <c r="B3991" s="21"/>
      <c r="D3991" s="25"/>
      <c r="E3991" s="27"/>
      <c r="F3991" s="25"/>
      <c r="G3991" s="27"/>
    </row>
    <row r="3992">
      <c r="A3992" s="21"/>
      <c r="B3992" s="21"/>
      <c r="D3992" s="25"/>
      <c r="E3992" s="27"/>
      <c r="F3992" s="25"/>
      <c r="G3992" s="27"/>
    </row>
    <row r="3993">
      <c r="A3993" s="21"/>
      <c r="B3993" s="21"/>
      <c r="D3993" s="25"/>
      <c r="E3993" s="27"/>
      <c r="F3993" s="25"/>
      <c r="G3993" s="27"/>
    </row>
    <row r="3994">
      <c r="A3994" s="21"/>
      <c r="B3994" s="21"/>
      <c r="D3994" s="25"/>
      <c r="E3994" s="27"/>
      <c r="F3994" s="25"/>
      <c r="G3994" s="27"/>
    </row>
    <row r="3995">
      <c r="A3995" s="21"/>
      <c r="B3995" s="21"/>
      <c r="D3995" s="25"/>
      <c r="E3995" s="27"/>
      <c r="F3995" s="25"/>
      <c r="G3995" s="27"/>
    </row>
    <row r="3996">
      <c r="A3996" s="21"/>
      <c r="B3996" s="21"/>
      <c r="D3996" s="25"/>
      <c r="E3996" s="27"/>
      <c r="F3996" s="25"/>
      <c r="G3996" s="27"/>
    </row>
    <row r="3997">
      <c r="A3997" s="21"/>
      <c r="B3997" s="21"/>
      <c r="D3997" s="25"/>
      <c r="E3997" s="27"/>
      <c r="F3997" s="25"/>
      <c r="G3997" s="27"/>
    </row>
    <row r="3998">
      <c r="A3998" s="21"/>
      <c r="B3998" s="21"/>
      <c r="D3998" s="25"/>
      <c r="E3998" s="27"/>
      <c r="F3998" s="25"/>
      <c r="G3998" s="27"/>
    </row>
    <row r="3999">
      <c r="A3999" s="21"/>
      <c r="B3999" s="21"/>
      <c r="D3999" s="25"/>
      <c r="E3999" s="27"/>
      <c r="F3999" s="25"/>
      <c r="G3999" s="27"/>
    </row>
    <row r="4000">
      <c r="A4000" s="21"/>
      <c r="B4000" s="21"/>
      <c r="D4000" s="25"/>
      <c r="E4000" s="27"/>
      <c r="F4000" s="25"/>
      <c r="G4000" s="27"/>
    </row>
    <row r="4001">
      <c r="A4001" s="21"/>
      <c r="B4001" s="21"/>
      <c r="D4001" s="25"/>
      <c r="E4001" s="27"/>
      <c r="F4001" s="25"/>
      <c r="G4001" s="27"/>
    </row>
    <row r="4002">
      <c r="A4002" s="21"/>
      <c r="B4002" s="21"/>
      <c r="D4002" s="25"/>
      <c r="E4002" s="27"/>
      <c r="F4002" s="25"/>
      <c r="G4002" s="27"/>
    </row>
    <row r="4003">
      <c r="A4003" s="21"/>
      <c r="B4003" s="21"/>
      <c r="D4003" s="25"/>
      <c r="E4003" s="27"/>
      <c r="F4003" s="25"/>
      <c r="G4003" s="27"/>
    </row>
    <row r="4004">
      <c r="A4004" s="21"/>
      <c r="B4004" s="21"/>
      <c r="D4004" s="25"/>
      <c r="E4004" s="27"/>
      <c r="F4004" s="25"/>
      <c r="G4004" s="27"/>
    </row>
    <row r="4005">
      <c r="A4005" s="21"/>
      <c r="B4005" s="21"/>
      <c r="D4005" s="25"/>
      <c r="E4005" s="27"/>
      <c r="F4005" s="25"/>
      <c r="G4005" s="27"/>
    </row>
    <row r="4006">
      <c r="A4006" s="21"/>
      <c r="B4006" s="21"/>
      <c r="D4006" s="25"/>
      <c r="E4006" s="27"/>
      <c r="F4006" s="25"/>
      <c r="G4006" s="27"/>
    </row>
    <row r="4007">
      <c r="A4007" s="21"/>
      <c r="B4007" s="21"/>
      <c r="D4007" s="25"/>
      <c r="E4007" s="27"/>
      <c r="F4007" s="25"/>
      <c r="G4007" s="27"/>
    </row>
    <row r="4008">
      <c r="A4008" s="21"/>
      <c r="B4008" s="21"/>
      <c r="D4008" s="25"/>
      <c r="E4008" s="27"/>
      <c r="F4008" s="25"/>
      <c r="G4008" s="27"/>
    </row>
    <row r="4009">
      <c r="A4009" s="21"/>
      <c r="B4009" s="21"/>
      <c r="D4009" s="25"/>
      <c r="E4009" s="27"/>
      <c r="F4009" s="25"/>
      <c r="G4009" s="27"/>
    </row>
    <row r="4010">
      <c r="A4010" s="21"/>
      <c r="B4010" s="21"/>
      <c r="D4010" s="25"/>
      <c r="E4010" s="27"/>
      <c r="F4010" s="25"/>
      <c r="G4010" s="27"/>
    </row>
    <row r="4011">
      <c r="A4011" s="21"/>
      <c r="B4011" s="21"/>
      <c r="D4011" s="25"/>
      <c r="E4011" s="27"/>
      <c r="F4011" s="25"/>
      <c r="G4011" s="27"/>
    </row>
    <row r="4012">
      <c r="A4012" s="21"/>
      <c r="B4012" s="21"/>
      <c r="D4012" s="25"/>
      <c r="E4012" s="27"/>
      <c r="F4012" s="25"/>
      <c r="G4012" s="27"/>
    </row>
    <row r="4013">
      <c r="A4013" s="21"/>
      <c r="B4013" s="21"/>
      <c r="D4013" s="25"/>
      <c r="E4013" s="27"/>
      <c r="F4013" s="25"/>
      <c r="G4013" s="27"/>
    </row>
    <row r="4014">
      <c r="A4014" s="21"/>
      <c r="B4014" s="21"/>
      <c r="D4014" s="25"/>
      <c r="E4014" s="27"/>
      <c r="F4014" s="25"/>
      <c r="G4014" s="27"/>
    </row>
    <row r="4015">
      <c r="A4015" s="21"/>
      <c r="B4015" s="21"/>
      <c r="D4015" s="25"/>
      <c r="E4015" s="27"/>
      <c r="F4015" s="25"/>
      <c r="G4015" s="27"/>
    </row>
    <row r="4016">
      <c r="A4016" s="21"/>
      <c r="B4016" s="21"/>
      <c r="D4016" s="25"/>
      <c r="E4016" s="27"/>
      <c r="F4016" s="25"/>
      <c r="G4016" s="27"/>
    </row>
    <row r="4017">
      <c r="A4017" s="21"/>
      <c r="B4017" s="21"/>
      <c r="D4017" s="25"/>
      <c r="E4017" s="27"/>
      <c r="F4017" s="25"/>
      <c r="G4017" s="27"/>
    </row>
    <row r="4018">
      <c r="A4018" s="21"/>
      <c r="B4018" s="21"/>
      <c r="D4018" s="25"/>
      <c r="E4018" s="27"/>
      <c r="F4018" s="25"/>
      <c r="G4018" s="27"/>
    </row>
    <row r="4019">
      <c r="A4019" s="21"/>
      <c r="B4019" s="21"/>
      <c r="D4019" s="25"/>
      <c r="E4019" s="27"/>
      <c r="F4019" s="25"/>
      <c r="G4019" s="27"/>
    </row>
    <row r="4020">
      <c r="A4020" s="21"/>
      <c r="B4020" s="21"/>
      <c r="D4020" s="25"/>
      <c r="E4020" s="27"/>
      <c r="F4020" s="25"/>
      <c r="G4020" s="27"/>
    </row>
    <row r="4021">
      <c r="A4021" s="21"/>
      <c r="B4021" s="21"/>
      <c r="D4021" s="25"/>
      <c r="E4021" s="27"/>
      <c r="F4021" s="25"/>
      <c r="G4021" s="27"/>
    </row>
    <row r="4022">
      <c r="A4022" s="21"/>
      <c r="B4022" s="21"/>
      <c r="D4022" s="25"/>
      <c r="E4022" s="27"/>
      <c r="F4022" s="25"/>
      <c r="G4022" s="27"/>
    </row>
    <row r="4023">
      <c r="A4023" s="21"/>
      <c r="B4023" s="21"/>
      <c r="D4023" s="25"/>
      <c r="E4023" s="27"/>
      <c r="F4023" s="25"/>
      <c r="G4023" s="27"/>
    </row>
    <row r="4024">
      <c r="A4024" s="21"/>
      <c r="B4024" s="21"/>
      <c r="D4024" s="25"/>
      <c r="E4024" s="27"/>
      <c r="F4024" s="25"/>
      <c r="G4024" s="27"/>
    </row>
    <row r="4025">
      <c r="A4025" s="21"/>
      <c r="B4025" s="21"/>
      <c r="D4025" s="25"/>
      <c r="E4025" s="27"/>
      <c r="F4025" s="25"/>
      <c r="G4025" s="27"/>
    </row>
    <row r="4026">
      <c r="A4026" s="21"/>
      <c r="B4026" s="21"/>
      <c r="D4026" s="25"/>
      <c r="E4026" s="27"/>
      <c r="F4026" s="25"/>
      <c r="G4026" s="27"/>
    </row>
    <row r="4027">
      <c r="A4027" s="21"/>
      <c r="B4027" s="21"/>
      <c r="D4027" s="25"/>
      <c r="E4027" s="27"/>
      <c r="F4027" s="25"/>
      <c r="G4027" s="27"/>
    </row>
    <row r="4028">
      <c r="A4028" s="21"/>
      <c r="B4028" s="21"/>
      <c r="D4028" s="25"/>
      <c r="E4028" s="27"/>
      <c r="F4028" s="25"/>
      <c r="G4028" s="27"/>
    </row>
    <row r="4029">
      <c r="A4029" s="21"/>
      <c r="B4029" s="21"/>
      <c r="D4029" s="25"/>
      <c r="E4029" s="27"/>
      <c r="F4029" s="25"/>
      <c r="G4029" s="27"/>
    </row>
    <row r="4030">
      <c r="A4030" s="21"/>
      <c r="B4030" s="21"/>
      <c r="D4030" s="25"/>
      <c r="E4030" s="27"/>
      <c r="F4030" s="25"/>
      <c r="G4030" s="27"/>
    </row>
    <row r="4031">
      <c r="A4031" s="21"/>
      <c r="B4031" s="21"/>
      <c r="D4031" s="25"/>
      <c r="E4031" s="27"/>
      <c r="F4031" s="25"/>
      <c r="G4031" s="27"/>
    </row>
    <row r="4032">
      <c r="A4032" s="21"/>
      <c r="B4032" s="21"/>
      <c r="D4032" s="25"/>
      <c r="E4032" s="27"/>
      <c r="F4032" s="25"/>
      <c r="G4032" s="27"/>
    </row>
    <row r="4033">
      <c r="A4033" s="21"/>
      <c r="B4033" s="21"/>
      <c r="D4033" s="25"/>
      <c r="E4033" s="27"/>
      <c r="F4033" s="25"/>
      <c r="G4033" s="27"/>
    </row>
    <row r="4034">
      <c r="A4034" s="21"/>
      <c r="B4034" s="21"/>
      <c r="D4034" s="25"/>
      <c r="E4034" s="27"/>
      <c r="F4034" s="25"/>
      <c r="G4034" s="27"/>
    </row>
    <row r="4035">
      <c r="A4035" s="21"/>
      <c r="B4035" s="21"/>
      <c r="D4035" s="25"/>
      <c r="E4035" s="27"/>
      <c r="F4035" s="25"/>
      <c r="G4035" s="27"/>
    </row>
    <row r="4036">
      <c r="A4036" s="21"/>
      <c r="B4036" s="21"/>
      <c r="D4036" s="25"/>
      <c r="E4036" s="27"/>
      <c r="F4036" s="25"/>
      <c r="G4036" s="27"/>
    </row>
    <row r="4037">
      <c r="A4037" s="21"/>
      <c r="B4037" s="21"/>
      <c r="D4037" s="25"/>
      <c r="E4037" s="27"/>
      <c r="F4037" s="25"/>
      <c r="G4037" s="27"/>
    </row>
    <row r="4038">
      <c r="A4038" s="21"/>
      <c r="B4038" s="21"/>
      <c r="D4038" s="25"/>
      <c r="E4038" s="27"/>
      <c r="F4038" s="25"/>
      <c r="G4038" s="27"/>
    </row>
    <row r="4039">
      <c r="A4039" s="21"/>
      <c r="B4039" s="21"/>
      <c r="D4039" s="25"/>
      <c r="E4039" s="27"/>
      <c r="F4039" s="25"/>
      <c r="G4039" s="27"/>
    </row>
    <row r="4040">
      <c r="A4040" s="21"/>
      <c r="B4040" s="21"/>
      <c r="D4040" s="25"/>
      <c r="E4040" s="27"/>
      <c r="F4040" s="25"/>
      <c r="G4040" s="27"/>
    </row>
    <row r="4041">
      <c r="A4041" s="21"/>
      <c r="B4041" s="21"/>
      <c r="D4041" s="25"/>
      <c r="E4041" s="27"/>
      <c r="F4041" s="25"/>
      <c r="G4041" s="27"/>
    </row>
    <row r="4042">
      <c r="A4042" s="21"/>
      <c r="B4042" s="21"/>
      <c r="D4042" s="25"/>
      <c r="E4042" s="27"/>
      <c r="F4042" s="25"/>
      <c r="G4042" s="27"/>
    </row>
    <row r="4043">
      <c r="A4043" s="21"/>
      <c r="B4043" s="21"/>
      <c r="D4043" s="25"/>
      <c r="E4043" s="27"/>
      <c r="F4043" s="25"/>
      <c r="G4043" s="27"/>
    </row>
    <row r="4044">
      <c r="A4044" s="21"/>
      <c r="B4044" s="21"/>
      <c r="D4044" s="25"/>
      <c r="E4044" s="27"/>
      <c r="F4044" s="25"/>
      <c r="G4044" s="27"/>
    </row>
    <row r="4045">
      <c r="A4045" s="21"/>
      <c r="B4045" s="21"/>
      <c r="D4045" s="25"/>
      <c r="E4045" s="27"/>
      <c r="F4045" s="25"/>
      <c r="G4045" s="27"/>
    </row>
    <row r="4046">
      <c r="A4046" s="21"/>
      <c r="B4046" s="21"/>
      <c r="D4046" s="25"/>
      <c r="E4046" s="27"/>
      <c r="F4046" s="25"/>
      <c r="G4046" s="27"/>
    </row>
    <row r="4047">
      <c r="A4047" s="21"/>
      <c r="B4047" s="21"/>
      <c r="D4047" s="25"/>
      <c r="E4047" s="27"/>
      <c r="F4047" s="25"/>
      <c r="G4047" s="27"/>
    </row>
    <row r="4048">
      <c r="A4048" s="21"/>
      <c r="B4048" s="21"/>
      <c r="D4048" s="25"/>
      <c r="E4048" s="27"/>
      <c r="F4048" s="25"/>
      <c r="G4048" s="27"/>
    </row>
    <row r="4049">
      <c r="A4049" s="21"/>
      <c r="B4049" s="21"/>
      <c r="D4049" s="25"/>
      <c r="E4049" s="27"/>
      <c r="F4049" s="25"/>
      <c r="G4049" s="27"/>
    </row>
    <row r="4050">
      <c r="A4050" s="21"/>
      <c r="B4050" s="21"/>
      <c r="D4050" s="25"/>
      <c r="E4050" s="27"/>
      <c r="F4050" s="25"/>
      <c r="G4050" s="27"/>
    </row>
    <row r="4051">
      <c r="A4051" s="21"/>
      <c r="B4051" s="21"/>
      <c r="D4051" s="25"/>
      <c r="E4051" s="27"/>
      <c r="F4051" s="25"/>
      <c r="G4051" s="27"/>
    </row>
    <row r="4052">
      <c r="A4052" s="21"/>
      <c r="B4052" s="21"/>
      <c r="D4052" s="25"/>
      <c r="E4052" s="27"/>
      <c r="F4052" s="25"/>
      <c r="G4052" s="27"/>
    </row>
    <row r="4053">
      <c r="A4053" s="21"/>
      <c r="B4053" s="21"/>
      <c r="D4053" s="25"/>
      <c r="E4053" s="27"/>
      <c r="F4053" s="25"/>
      <c r="G4053" s="27"/>
    </row>
    <row r="4054">
      <c r="A4054" s="21"/>
      <c r="B4054" s="21"/>
      <c r="D4054" s="25"/>
      <c r="E4054" s="27"/>
      <c r="F4054" s="25"/>
      <c r="G4054" s="27"/>
    </row>
    <row r="4055">
      <c r="A4055" s="21"/>
      <c r="B4055" s="21"/>
      <c r="D4055" s="25"/>
      <c r="E4055" s="27"/>
      <c r="F4055" s="25"/>
      <c r="G4055" s="27"/>
    </row>
    <row r="4056">
      <c r="A4056" s="21"/>
      <c r="B4056" s="21"/>
      <c r="D4056" s="25"/>
      <c r="E4056" s="27"/>
      <c r="F4056" s="25"/>
      <c r="G4056" s="27"/>
    </row>
    <row r="4057">
      <c r="A4057" s="21"/>
      <c r="B4057" s="21"/>
      <c r="D4057" s="25"/>
      <c r="E4057" s="27"/>
      <c r="F4057" s="25"/>
      <c r="G4057" s="27"/>
    </row>
    <row r="4058">
      <c r="A4058" s="21"/>
      <c r="B4058" s="21"/>
      <c r="D4058" s="25"/>
      <c r="E4058" s="27"/>
      <c r="F4058" s="25"/>
      <c r="G4058" s="27"/>
    </row>
    <row r="4059">
      <c r="A4059" s="21"/>
      <c r="B4059" s="21"/>
      <c r="D4059" s="25"/>
      <c r="E4059" s="27"/>
      <c r="F4059" s="25"/>
      <c r="G4059" s="27"/>
    </row>
    <row r="4060">
      <c r="A4060" s="21"/>
      <c r="B4060" s="21"/>
      <c r="D4060" s="25"/>
      <c r="E4060" s="27"/>
      <c r="F4060" s="25"/>
      <c r="G4060" s="27"/>
    </row>
    <row r="4061">
      <c r="A4061" s="21"/>
      <c r="B4061" s="21"/>
      <c r="D4061" s="25"/>
      <c r="E4061" s="27"/>
      <c r="F4061" s="25"/>
      <c r="G4061" s="27"/>
    </row>
    <row r="4062">
      <c r="A4062" s="21"/>
      <c r="B4062" s="21"/>
      <c r="D4062" s="25"/>
      <c r="E4062" s="27"/>
      <c r="F4062" s="25"/>
      <c r="G4062" s="27"/>
    </row>
    <row r="4063">
      <c r="A4063" s="21"/>
      <c r="B4063" s="21"/>
      <c r="D4063" s="25"/>
      <c r="E4063" s="27"/>
      <c r="F4063" s="25"/>
      <c r="G4063" s="27"/>
    </row>
    <row r="4064">
      <c r="A4064" s="21"/>
      <c r="B4064" s="21"/>
      <c r="D4064" s="25"/>
      <c r="E4064" s="27"/>
      <c r="F4064" s="25"/>
      <c r="G4064" s="27"/>
    </row>
    <row r="4065">
      <c r="A4065" s="21"/>
      <c r="B4065" s="21"/>
      <c r="D4065" s="25"/>
      <c r="E4065" s="27"/>
      <c r="F4065" s="25"/>
      <c r="G4065" s="27"/>
    </row>
    <row r="4066">
      <c r="A4066" s="21"/>
      <c r="B4066" s="21"/>
      <c r="D4066" s="25"/>
      <c r="E4066" s="27"/>
      <c r="F4066" s="25"/>
      <c r="G4066" s="27"/>
    </row>
    <row r="4067">
      <c r="A4067" s="21"/>
      <c r="B4067" s="21"/>
      <c r="D4067" s="25"/>
      <c r="E4067" s="27"/>
      <c r="F4067" s="25"/>
      <c r="G4067" s="27"/>
    </row>
    <row r="4068">
      <c r="A4068" s="21"/>
      <c r="B4068" s="21"/>
      <c r="D4068" s="25"/>
      <c r="E4068" s="27"/>
      <c r="F4068" s="25"/>
      <c r="G4068" s="27"/>
    </row>
    <row r="4069">
      <c r="A4069" s="21"/>
      <c r="B4069" s="21"/>
      <c r="D4069" s="25"/>
      <c r="E4069" s="27"/>
      <c r="F4069" s="25"/>
      <c r="G4069" s="27"/>
    </row>
    <row r="4070">
      <c r="A4070" s="21"/>
      <c r="B4070" s="21"/>
      <c r="D4070" s="25"/>
      <c r="E4070" s="27"/>
      <c r="F4070" s="25"/>
      <c r="G4070" s="27"/>
    </row>
    <row r="4071">
      <c r="A4071" s="21"/>
      <c r="B4071" s="21"/>
      <c r="D4071" s="25"/>
      <c r="E4071" s="27"/>
      <c r="F4071" s="25"/>
      <c r="G4071" s="27"/>
    </row>
    <row r="4072">
      <c r="A4072" s="21"/>
      <c r="B4072" s="21"/>
      <c r="D4072" s="25"/>
      <c r="E4072" s="27"/>
      <c r="F4072" s="25"/>
      <c r="G4072" s="27"/>
    </row>
    <row r="4073">
      <c r="A4073" s="21"/>
      <c r="B4073" s="21"/>
      <c r="D4073" s="25"/>
      <c r="E4073" s="27"/>
      <c r="F4073" s="25"/>
      <c r="G4073" s="27"/>
    </row>
    <row r="4074">
      <c r="A4074" s="21"/>
      <c r="B4074" s="21"/>
      <c r="D4074" s="25"/>
      <c r="E4074" s="27"/>
      <c r="F4074" s="25"/>
      <c r="G4074" s="27"/>
    </row>
    <row r="4075">
      <c r="A4075" s="21"/>
      <c r="B4075" s="21"/>
      <c r="D4075" s="25"/>
      <c r="E4075" s="27"/>
      <c r="F4075" s="25"/>
      <c r="G4075" s="27"/>
    </row>
    <row r="4076">
      <c r="A4076" s="21"/>
      <c r="B4076" s="21"/>
      <c r="D4076" s="25"/>
      <c r="E4076" s="27"/>
      <c r="F4076" s="25"/>
      <c r="G4076" s="27"/>
    </row>
    <row r="4077">
      <c r="A4077" s="21"/>
      <c r="B4077" s="21"/>
      <c r="D4077" s="25"/>
      <c r="E4077" s="27"/>
      <c r="F4077" s="25"/>
      <c r="G4077" s="27"/>
    </row>
    <row r="4078">
      <c r="A4078" s="21"/>
      <c r="B4078" s="21"/>
      <c r="D4078" s="25"/>
      <c r="E4078" s="27"/>
      <c r="F4078" s="25"/>
      <c r="G4078" s="27"/>
    </row>
    <row r="4079">
      <c r="A4079" s="21"/>
      <c r="B4079" s="21"/>
      <c r="D4079" s="25"/>
      <c r="E4079" s="27"/>
      <c r="F4079" s="25"/>
      <c r="G4079" s="27"/>
    </row>
    <row r="4080">
      <c r="A4080" s="21"/>
      <c r="B4080" s="21"/>
      <c r="D4080" s="25"/>
      <c r="E4080" s="27"/>
      <c r="F4080" s="25"/>
      <c r="G4080" s="27"/>
    </row>
    <row r="4081">
      <c r="A4081" s="21"/>
      <c r="B4081" s="21"/>
      <c r="D4081" s="25"/>
      <c r="E4081" s="27"/>
      <c r="F4081" s="25"/>
      <c r="G4081" s="27"/>
    </row>
    <row r="4082">
      <c r="A4082" s="21"/>
      <c r="B4082" s="21"/>
      <c r="D4082" s="25"/>
      <c r="E4082" s="27"/>
      <c r="F4082" s="25"/>
      <c r="G4082" s="27"/>
    </row>
    <row r="4083">
      <c r="A4083" s="21"/>
      <c r="B4083" s="21"/>
      <c r="D4083" s="25"/>
      <c r="E4083" s="27"/>
      <c r="F4083" s="25"/>
      <c r="G4083" s="27"/>
    </row>
    <row r="4084">
      <c r="A4084" s="21"/>
      <c r="B4084" s="21"/>
      <c r="D4084" s="25"/>
      <c r="E4084" s="27"/>
      <c r="F4084" s="25"/>
      <c r="G4084" s="27"/>
    </row>
    <row r="4085">
      <c r="A4085" s="21"/>
      <c r="B4085" s="21"/>
      <c r="D4085" s="25"/>
      <c r="E4085" s="27"/>
      <c r="F4085" s="25"/>
      <c r="G4085" s="27"/>
    </row>
    <row r="4086">
      <c r="A4086" s="21"/>
      <c r="B4086" s="21"/>
      <c r="D4086" s="25"/>
      <c r="E4086" s="27"/>
      <c r="F4086" s="25"/>
      <c r="G4086" s="27"/>
    </row>
    <row r="4087">
      <c r="A4087" s="21"/>
      <c r="B4087" s="21"/>
      <c r="D4087" s="25"/>
      <c r="E4087" s="27"/>
      <c r="F4087" s="25"/>
      <c r="G4087" s="27"/>
    </row>
    <row r="4088">
      <c r="A4088" s="21"/>
      <c r="B4088" s="21"/>
      <c r="D4088" s="25"/>
      <c r="E4088" s="27"/>
      <c r="F4088" s="25"/>
      <c r="G4088" s="27"/>
    </row>
    <row r="4089">
      <c r="A4089" s="21"/>
      <c r="B4089" s="21"/>
      <c r="D4089" s="25"/>
      <c r="E4089" s="27"/>
      <c r="F4089" s="25"/>
      <c r="G4089" s="27"/>
    </row>
    <row r="4090">
      <c r="A4090" s="21"/>
      <c r="B4090" s="21"/>
      <c r="D4090" s="25"/>
      <c r="E4090" s="27"/>
      <c r="F4090" s="25"/>
      <c r="G4090" s="27"/>
    </row>
    <row r="4091">
      <c r="A4091" s="21"/>
      <c r="B4091" s="21"/>
      <c r="D4091" s="25"/>
      <c r="E4091" s="27"/>
      <c r="F4091" s="25"/>
      <c r="G4091" s="27"/>
    </row>
    <row r="4092">
      <c r="A4092" s="21"/>
      <c r="B4092" s="21"/>
      <c r="D4092" s="25"/>
      <c r="E4092" s="27"/>
      <c r="F4092" s="25"/>
      <c r="G4092" s="27"/>
    </row>
    <row r="4093">
      <c r="A4093" s="21"/>
      <c r="B4093" s="21"/>
      <c r="D4093" s="25"/>
      <c r="E4093" s="27"/>
      <c r="F4093" s="25"/>
      <c r="G4093" s="27"/>
    </row>
    <row r="4094">
      <c r="A4094" s="21"/>
      <c r="B4094" s="21"/>
      <c r="D4094" s="25"/>
      <c r="E4094" s="27"/>
      <c r="F4094" s="25"/>
      <c r="G4094" s="27"/>
    </row>
    <row r="4095">
      <c r="A4095" s="21"/>
      <c r="B4095" s="21"/>
      <c r="D4095" s="25"/>
      <c r="E4095" s="27"/>
      <c r="F4095" s="25"/>
      <c r="G4095" s="27"/>
    </row>
    <row r="4096">
      <c r="A4096" s="21"/>
      <c r="B4096" s="21"/>
      <c r="D4096" s="25"/>
      <c r="E4096" s="27"/>
      <c r="F4096" s="25"/>
      <c r="G4096" s="27"/>
    </row>
    <row r="4097">
      <c r="A4097" s="21"/>
      <c r="B4097" s="21"/>
      <c r="D4097" s="25"/>
      <c r="E4097" s="27"/>
      <c r="F4097" s="25"/>
      <c r="G4097" s="27"/>
    </row>
    <row r="4098">
      <c r="A4098" s="21"/>
      <c r="B4098" s="21"/>
      <c r="D4098" s="25"/>
      <c r="E4098" s="27"/>
      <c r="F4098" s="25"/>
      <c r="G4098" s="27"/>
    </row>
    <row r="4099">
      <c r="A4099" s="21"/>
      <c r="B4099" s="21"/>
      <c r="D4099" s="25"/>
      <c r="E4099" s="27"/>
      <c r="F4099" s="25"/>
      <c r="G4099" s="27"/>
    </row>
    <row r="4100">
      <c r="A4100" s="21"/>
      <c r="B4100" s="21"/>
      <c r="D4100" s="25"/>
      <c r="E4100" s="27"/>
      <c r="F4100" s="25"/>
      <c r="G4100" s="27"/>
    </row>
    <row r="4101">
      <c r="A4101" s="21"/>
      <c r="B4101" s="21"/>
      <c r="D4101" s="25"/>
      <c r="E4101" s="27"/>
      <c r="F4101" s="25"/>
      <c r="G4101" s="27"/>
    </row>
    <row r="4102">
      <c r="A4102" s="21"/>
      <c r="B4102" s="21"/>
      <c r="D4102" s="25"/>
      <c r="E4102" s="27"/>
      <c r="F4102" s="25"/>
      <c r="G4102" s="27"/>
    </row>
    <row r="4103">
      <c r="A4103" s="21"/>
      <c r="B4103" s="21"/>
      <c r="D4103" s="25"/>
      <c r="E4103" s="27"/>
      <c r="F4103" s="25"/>
      <c r="G4103" s="27"/>
    </row>
    <row r="4104">
      <c r="A4104" s="21"/>
      <c r="B4104" s="21"/>
      <c r="D4104" s="25"/>
      <c r="E4104" s="27"/>
      <c r="F4104" s="25"/>
      <c r="G4104" s="27"/>
    </row>
    <row r="4105">
      <c r="A4105" s="21"/>
      <c r="B4105" s="21"/>
      <c r="D4105" s="25"/>
      <c r="E4105" s="27"/>
      <c r="F4105" s="25"/>
      <c r="G4105" s="27"/>
    </row>
    <row r="4106">
      <c r="A4106" s="21"/>
      <c r="B4106" s="21"/>
      <c r="D4106" s="25"/>
      <c r="E4106" s="27"/>
      <c r="F4106" s="25"/>
      <c r="G4106" s="27"/>
    </row>
    <row r="4107">
      <c r="A4107" s="21"/>
      <c r="B4107" s="21"/>
      <c r="D4107" s="25"/>
      <c r="E4107" s="27"/>
      <c r="F4107" s="25"/>
      <c r="G4107" s="27"/>
    </row>
    <row r="4108">
      <c r="A4108" s="21"/>
      <c r="B4108" s="21"/>
      <c r="D4108" s="25"/>
      <c r="E4108" s="27"/>
      <c r="F4108" s="25"/>
      <c r="G4108" s="27"/>
    </row>
    <row r="4109">
      <c r="A4109" s="21"/>
      <c r="B4109" s="21"/>
      <c r="D4109" s="25"/>
      <c r="E4109" s="27"/>
      <c r="F4109" s="25"/>
      <c r="G4109" s="27"/>
    </row>
    <row r="4110">
      <c r="A4110" s="21"/>
      <c r="B4110" s="21"/>
      <c r="D4110" s="25"/>
      <c r="E4110" s="27"/>
      <c r="F4110" s="25"/>
      <c r="G4110" s="27"/>
    </row>
    <row r="4111">
      <c r="A4111" s="21"/>
      <c r="B4111" s="21"/>
      <c r="D4111" s="25"/>
      <c r="E4111" s="27"/>
      <c r="F4111" s="25"/>
      <c r="G4111" s="27"/>
    </row>
    <row r="4112">
      <c r="A4112" s="21"/>
      <c r="B4112" s="21"/>
      <c r="D4112" s="25"/>
      <c r="E4112" s="27"/>
      <c r="F4112" s="25"/>
      <c r="G4112" s="27"/>
    </row>
    <row r="4113">
      <c r="A4113" s="21"/>
      <c r="B4113" s="21"/>
      <c r="D4113" s="25"/>
      <c r="E4113" s="27"/>
      <c r="F4113" s="25"/>
      <c r="G4113" s="27"/>
    </row>
    <row r="4114">
      <c r="A4114" s="21"/>
      <c r="B4114" s="21"/>
      <c r="D4114" s="25"/>
      <c r="E4114" s="27"/>
      <c r="F4114" s="25"/>
      <c r="G4114" s="27"/>
    </row>
    <row r="4115">
      <c r="A4115" s="21"/>
      <c r="B4115" s="21"/>
      <c r="D4115" s="25"/>
      <c r="E4115" s="27"/>
      <c r="F4115" s="25"/>
      <c r="G4115" s="27"/>
    </row>
    <row r="4116">
      <c r="A4116" s="21"/>
      <c r="B4116" s="21"/>
      <c r="D4116" s="25"/>
      <c r="E4116" s="27"/>
      <c r="F4116" s="25"/>
      <c r="G4116" s="27"/>
    </row>
    <row r="4117">
      <c r="A4117" s="21"/>
      <c r="B4117" s="21"/>
      <c r="D4117" s="25"/>
      <c r="E4117" s="27"/>
      <c r="F4117" s="25"/>
      <c r="G4117" s="27"/>
    </row>
    <row r="4118">
      <c r="A4118" s="21"/>
      <c r="B4118" s="21"/>
      <c r="D4118" s="25"/>
      <c r="E4118" s="27"/>
      <c r="F4118" s="25"/>
      <c r="G4118" s="27"/>
    </row>
    <row r="4119">
      <c r="A4119" s="21"/>
      <c r="B4119" s="21"/>
      <c r="D4119" s="25"/>
      <c r="E4119" s="27"/>
      <c r="F4119" s="25"/>
      <c r="G4119" s="27"/>
    </row>
    <row r="4120">
      <c r="A4120" s="21"/>
      <c r="B4120" s="21"/>
      <c r="D4120" s="25"/>
      <c r="E4120" s="27"/>
      <c r="F4120" s="25"/>
      <c r="G4120" s="27"/>
    </row>
    <row r="4121">
      <c r="A4121" s="21"/>
      <c r="B4121" s="21"/>
      <c r="D4121" s="25"/>
      <c r="E4121" s="27"/>
      <c r="F4121" s="25"/>
      <c r="G4121" s="27"/>
    </row>
    <row r="4122">
      <c r="A4122" s="21"/>
      <c r="B4122" s="21"/>
      <c r="D4122" s="25"/>
      <c r="E4122" s="27"/>
      <c r="F4122" s="25"/>
      <c r="G4122" s="27"/>
    </row>
    <row r="4123">
      <c r="A4123" s="21"/>
      <c r="B4123" s="21"/>
      <c r="D4123" s="25"/>
      <c r="E4123" s="27"/>
      <c r="F4123" s="25"/>
      <c r="G4123" s="27"/>
    </row>
    <row r="4124">
      <c r="A4124" s="21"/>
      <c r="B4124" s="21"/>
      <c r="D4124" s="25"/>
      <c r="E4124" s="27"/>
      <c r="F4124" s="25"/>
      <c r="G4124" s="27"/>
    </row>
    <row r="4125">
      <c r="A4125" s="21"/>
      <c r="B4125" s="21"/>
      <c r="D4125" s="25"/>
      <c r="E4125" s="27"/>
      <c r="F4125" s="25"/>
      <c r="G4125" s="27"/>
    </row>
    <row r="4126">
      <c r="A4126" s="21"/>
      <c r="B4126" s="21"/>
      <c r="D4126" s="25"/>
      <c r="E4126" s="27"/>
      <c r="F4126" s="25"/>
      <c r="G4126" s="27"/>
    </row>
    <row r="4127">
      <c r="A4127" s="21"/>
      <c r="B4127" s="21"/>
      <c r="D4127" s="25"/>
      <c r="E4127" s="27"/>
      <c r="F4127" s="25"/>
      <c r="G4127" s="27"/>
    </row>
    <row r="4128">
      <c r="A4128" s="21"/>
      <c r="B4128" s="21"/>
      <c r="D4128" s="25"/>
      <c r="E4128" s="27"/>
      <c r="F4128" s="25"/>
      <c r="G4128" s="27"/>
    </row>
    <row r="4129">
      <c r="A4129" s="21"/>
      <c r="B4129" s="21"/>
      <c r="D4129" s="25"/>
      <c r="E4129" s="27"/>
      <c r="F4129" s="25"/>
      <c r="G4129" s="27"/>
    </row>
    <row r="4130">
      <c r="A4130" s="21"/>
      <c r="B4130" s="21"/>
      <c r="D4130" s="25"/>
      <c r="E4130" s="27"/>
      <c r="F4130" s="25"/>
      <c r="G4130" s="27"/>
    </row>
    <row r="4131">
      <c r="A4131" s="21"/>
      <c r="B4131" s="21"/>
      <c r="D4131" s="25"/>
      <c r="E4131" s="27"/>
      <c r="F4131" s="25"/>
      <c r="G4131" s="27"/>
    </row>
    <row r="4132">
      <c r="A4132" s="21"/>
      <c r="B4132" s="21"/>
      <c r="D4132" s="25"/>
      <c r="E4132" s="27"/>
      <c r="F4132" s="25"/>
      <c r="G4132" s="27"/>
    </row>
    <row r="4133">
      <c r="A4133" s="21"/>
      <c r="B4133" s="21"/>
      <c r="D4133" s="25"/>
      <c r="E4133" s="27"/>
      <c r="F4133" s="25"/>
      <c r="G4133" s="27"/>
    </row>
    <row r="4134">
      <c r="A4134" s="21"/>
      <c r="B4134" s="21"/>
      <c r="D4134" s="25"/>
      <c r="E4134" s="27"/>
      <c r="F4134" s="25"/>
      <c r="G4134" s="27"/>
    </row>
    <row r="4135">
      <c r="A4135" s="21"/>
      <c r="B4135" s="21"/>
      <c r="D4135" s="25"/>
      <c r="E4135" s="27"/>
      <c r="F4135" s="25"/>
      <c r="G4135" s="27"/>
    </row>
    <row r="4136">
      <c r="A4136" s="21"/>
      <c r="B4136" s="21"/>
      <c r="D4136" s="25"/>
      <c r="E4136" s="27"/>
      <c r="F4136" s="25"/>
      <c r="G4136" s="27"/>
    </row>
    <row r="4137">
      <c r="A4137" s="21"/>
      <c r="B4137" s="21"/>
      <c r="D4137" s="25"/>
      <c r="E4137" s="27"/>
      <c r="F4137" s="25"/>
      <c r="G4137" s="27"/>
    </row>
    <row r="4138">
      <c r="A4138" s="21"/>
      <c r="B4138" s="21"/>
      <c r="D4138" s="25"/>
      <c r="E4138" s="27"/>
      <c r="F4138" s="25"/>
      <c r="G4138" s="27"/>
    </row>
    <row r="4139">
      <c r="A4139" s="21"/>
      <c r="B4139" s="21"/>
      <c r="D4139" s="25"/>
      <c r="E4139" s="27"/>
      <c r="F4139" s="25"/>
      <c r="G4139" s="27"/>
    </row>
    <row r="4140">
      <c r="A4140" s="21"/>
      <c r="B4140" s="21"/>
      <c r="D4140" s="25"/>
      <c r="E4140" s="27"/>
      <c r="F4140" s="25"/>
      <c r="G4140" s="27"/>
    </row>
    <row r="4141">
      <c r="A4141" s="21"/>
      <c r="B4141" s="21"/>
      <c r="D4141" s="25"/>
      <c r="E4141" s="27"/>
      <c r="F4141" s="25"/>
      <c r="G4141" s="27"/>
    </row>
    <row r="4142">
      <c r="A4142" s="21"/>
      <c r="B4142" s="21"/>
      <c r="D4142" s="25"/>
      <c r="E4142" s="27"/>
      <c r="F4142" s="25"/>
      <c r="G4142" s="27"/>
    </row>
    <row r="4143">
      <c r="A4143" s="21"/>
      <c r="B4143" s="21"/>
      <c r="D4143" s="25"/>
      <c r="E4143" s="27"/>
      <c r="F4143" s="25"/>
      <c r="G4143" s="27"/>
    </row>
    <row r="4144">
      <c r="A4144" s="21"/>
      <c r="B4144" s="21"/>
      <c r="D4144" s="25"/>
      <c r="E4144" s="27"/>
      <c r="F4144" s="25"/>
      <c r="G4144" s="27"/>
    </row>
    <row r="4145">
      <c r="A4145" s="21"/>
      <c r="B4145" s="21"/>
      <c r="D4145" s="25"/>
      <c r="E4145" s="27"/>
      <c r="F4145" s="25"/>
      <c r="G4145" s="27"/>
    </row>
    <row r="4146">
      <c r="A4146" s="21"/>
      <c r="B4146" s="21"/>
      <c r="D4146" s="25"/>
      <c r="E4146" s="27"/>
      <c r="F4146" s="25"/>
      <c r="G4146" s="27"/>
    </row>
    <row r="4147">
      <c r="A4147" s="21"/>
      <c r="B4147" s="21"/>
      <c r="D4147" s="25"/>
      <c r="E4147" s="27"/>
      <c r="F4147" s="25"/>
      <c r="G4147" s="27"/>
    </row>
    <row r="4148">
      <c r="A4148" s="21"/>
      <c r="B4148" s="21"/>
      <c r="D4148" s="25"/>
      <c r="E4148" s="27"/>
      <c r="F4148" s="25"/>
      <c r="G4148" s="27"/>
    </row>
    <row r="4149">
      <c r="A4149" s="21"/>
      <c r="B4149" s="21"/>
      <c r="D4149" s="25"/>
      <c r="E4149" s="27"/>
      <c r="F4149" s="25"/>
      <c r="G4149" s="27"/>
    </row>
    <row r="4150">
      <c r="A4150" s="21"/>
      <c r="B4150" s="21"/>
      <c r="D4150" s="25"/>
      <c r="E4150" s="27"/>
      <c r="F4150" s="25"/>
      <c r="G4150" s="27"/>
    </row>
    <row r="4151">
      <c r="A4151" s="21"/>
      <c r="B4151" s="21"/>
      <c r="D4151" s="25"/>
      <c r="E4151" s="27"/>
      <c r="F4151" s="25"/>
      <c r="G4151" s="27"/>
    </row>
    <row r="4152">
      <c r="A4152" s="21"/>
      <c r="B4152" s="21"/>
      <c r="D4152" s="25"/>
      <c r="E4152" s="27"/>
      <c r="F4152" s="25"/>
      <c r="G4152" s="27"/>
    </row>
    <row r="4153">
      <c r="A4153" s="21"/>
      <c r="B4153" s="21"/>
      <c r="D4153" s="25"/>
      <c r="E4153" s="27"/>
      <c r="F4153" s="25"/>
      <c r="G4153" s="27"/>
    </row>
    <row r="4154">
      <c r="A4154" s="21"/>
      <c r="B4154" s="21"/>
      <c r="D4154" s="25"/>
      <c r="E4154" s="27"/>
      <c r="F4154" s="25"/>
      <c r="G4154" s="27"/>
    </row>
    <row r="4155">
      <c r="A4155" s="21"/>
      <c r="B4155" s="21"/>
      <c r="D4155" s="25"/>
      <c r="E4155" s="27"/>
      <c r="F4155" s="25"/>
      <c r="G4155" s="27"/>
    </row>
    <row r="4156">
      <c r="A4156" s="21"/>
      <c r="B4156" s="21"/>
      <c r="D4156" s="25"/>
      <c r="E4156" s="27"/>
      <c r="F4156" s="25"/>
      <c r="G4156" s="27"/>
    </row>
    <row r="4157">
      <c r="A4157" s="21"/>
      <c r="B4157" s="21"/>
      <c r="D4157" s="25"/>
      <c r="E4157" s="27"/>
      <c r="F4157" s="25"/>
      <c r="G4157" s="27"/>
    </row>
    <row r="4158">
      <c r="A4158" s="21"/>
      <c r="B4158" s="21"/>
      <c r="D4158" s="25"/>
      <c r="E4158" s="27"/>
      <c r="F4158" s="25"/>
      <c r="G4158" s="27"/>
    </row>
    <row r="4159">
      <c r="A4159" s="21"/>
      <c r="B4159" s="21"/>
      <c r="D4159" s="25"/>
      <c r="E4159" s="27"/>
      <c r="F4159" s="25"/>
      <c r="G4159" s="27"/>
    </row>
    <row r="4160">
      <c r="A4160" s="21"/>
      <c r="B4160" s="21"/>
      <c r="D4160" s="25"/>
      <c r="E4160" s="27"/>
      <c r="F4160" s="25"/>
      <c r="G4160" s="27"/>
    </row>
    <row r="4161">
      <c r="A4161" s="21"/>
      <c r="B4161" s="21"/>
      <c r="D4161" s="25"/>
      <c r="E4161" s="27"/>
      <c r="F4161" s="25"/>
      <c r="G4161" s="27"/>
    </row>
    <row r="4162">
      <c r="A4162" s="21"/>
      <c r="B4162" s="21"/>
      <c r="D4162" s="25"/>
      <c r="E4162" s="27"/>
      <c r="F4162" s="25"/>
      <c r="G4162" s="27"/>
    </row>
    <row r="4163">
      <c r="A4163" s="21"/>
      <c r="B4163" s="21"/>
      <c r="D4163" s="25"/>
      <c r="E4163" s="27"/>
      <c r="F4163" s="25"/>
      <c r="G4163" s="27"/>
    </row>
    <row r="4164">
      <c r="A4164" s="21"/>
      <c r="B4164" s="21"/>
      <c r="D4164" s="25"/>
      <c r="E4164" s="27"/>
      <c r="F4164" s="25"/>
      <c r="G4164" s="27"/>
    </row>
    <row r="4165">
      <c r="A4165" s="21"/>
      <c r="B4165" s="21"/>
      <c r="D4165" s="25"/>
      <c r="E4165" s="27"/>
      <c r="F4165" s="25"/>
      <c r="G4165" s="27"/>
    </row>
    <row r="4166">
      <c r="A4166" s="21"/>
      <c r="B4166" s="21"/>
      <c r="D4166" s="25"/>
      <c r="E4166" s="27"/>
      <c r="F4166" s="25"/>
      <c r="G4166" s="27"/>
    </row>
    <row r="4167">
      <c r="A4167" s="21"/>
      <c r="B4167" s="21"/>
      <c r="D4167" s="25"/>
      <c r="E4167" s="27"/>
      <c r="F4167" s="25"/>
      <c r="G4167" s="27"/>
    </row>
    <row r="4168">
      <c r="A4168" s="21"/>
      <c r="B4168" s="21"/>
      <c r="D4168" s="25"/>
      <c r="E4168" s="27"/>
      <c r="F4168" s="25"/>
      <c r="G4168" s="27"/>
    </row>
    <row r="4169">
      <c r="A4169" s="21"/>
      <c r="B4169" s="21"/>
      <c r="D4169" s="25"/>
      <c r="E4169" s="27"/>
      <c r="F4169" s="25"/>
      <c r="G4169" s="27"/>
    </row>
    <row r="4170">
      <c r="A4170" s="21"/>
      <c r="B4170" s="21"/>
      <c r="D4170" s="25"/>
      <c r="E4170" s="27"/>
      <c r="F4170" s="25"/>
      <c r="G4170" s="27"/>
    </row>
    <row r="4171">
      <c r="A4171" s="21"/>
      <c r="B4171" s="21"/>
      <c r="D4171" s="25"/>
      <c r="E4171" s="27"/>
      <c r="F4171" s="25"/>
      <c r="G4171" s="27"/>
    </row>
    <row r="4172">
      <c r="A4172" s="21"/>
      <c r="B4172" s="21"/>
      <c r="D4172" s="25"/>
      <c r="E4172" s="27"/>
      <c r="F4172" s="25"/>
      <c r="G4172" s="27"/>
    </row>
    <row r="4173">
      <c r="A4173" s="21"/>
      <c r="B4173" s="21"/>
      <c r="D4173" s="25"/>
      <c r="E4173" s="27"/>
      <c r="F4173" s="25"/>
      <c r="G4173" s="27"/>
    </row>
    <row r="4174">
      <c r="A4174" s="21"/>
      <c r="B4174" s="21"/>
      <c r="D4174" s="25"/>
      <c r="E4174" s="27"/>
      <c r="F4174" s="25"/>
      <c r="G4174" s="27"/>
    </row>
    <row r="4175">
      <c r="A4175" s="21"/>
      <c r="B4175" s="21"/>
      <c r="D4175" s="25"/>
      <c r="E4175" s="27"/>
      <c r="F4175" s="25"/>
      <c r="G4175" s="27"/>
    </row>
    <row r="4176">
      <c r="A4176" s="21"/>
      <c r="B4176" s="21"/>
      <c r="D4176" s="25"/>
      <c r="E4176" s="27"/>
      <c r="F4176" s="25"/>
      <c r="G4176" s="27"/>
    </row>
    <row r="4177">
      <c r="A4177" s="21"/>
      <c r="B4177" s="21"/>
      <c r="D4177" s="25"/>
      <c r="E4177" s="27"/>
      <c r="F4177" s="25"/>
      <c r="G4177" s="27"/>
    </row>
    <row r="4178">
      <c r="A4178" s="21"/>
      <c r="B4178" s="21"/>
      <c r="D4178" s="25"/>
      <c r="E4178" s="27"/>
      <c r="F4178" s="25"/>
      <c r="G4178" s="27"/>
    </row>
    <row r="4179">
      <c r="A4179" s="21"/>
      <c r="B4179" s="21"/>
      <c r="D4179" s="25"/>
      <c r="E4179" s="27"/>
      <c r="F4179" s="25"/>
      <c r="G4179" s="27"/>
    </row>
    <row r="4180">
      <c r="A4180" s="21"/>
      <c r="B4180" s="21"/>
      <c r="D4180" s="25"/>
      <c r="E4180" s="27"/>
      <c r="F4180" s="25"/>
      <c r="G4180" s="27"/>
    </row>
    <row r="4181">
      <c r="A4181" s="21"/>
      <c r="B4181" s="21"/>
      <c r="D4181" s="25"/>
      <c r="E4181" s="27"/>
      <c r="F4181" s="25"/>
      <c r="G4181" s="27"/>
    </row>
    <row r="4182">
      <c r="A4182" s="21"/>
      <c r="B4182" s="21"/>
      <c r="D4182" s="25"/>
      <c r="E4182" s="27"/>
      <c r="F4182" s="25"/>
      <c r="G4182" s="27"/>
    </row>
    <row r="4183">
      <c r="A4183" s="21"/>
      <c r="B4183" s="21"/>
      <c r="D4183" s="25"/>
      <c r="E4183" s="27"/>
      <c r="F4183" s="25"/>
      <c r="G4183" s="27"/>
    </row>
    <row r="4184">
      <c r="A4184" s="21"/>
      <c r="B4184" s="21"/>
      <c r="D4184" s="25"/>
      <c r="E4184" s="27"/>
      <c r="F4184" s="25"/>
      <c r="G4184" s="27"/>
    </row>
    <row r="4185">
      <c r="A4185" s="21"/>
      <c r="B4185" s="21"/>
      <c r="D4185" s="25"/>
      <c r="E4185" s="27"/>
      <c r="F4185" s="25"/>
      <c r="G4185" s="27"/>
    </row>
    <row r="4186">
      <c r="A4186" s="21"/>
      <c r="B4186" s="21"/>
      <c r="D4186" s="25"/>
      <c r="E4186" s="27"/>
      <c r="F4186" s="25"/>
      <c r="G4186" s="27"/>
    </row>
    <row r="4187">
      <c r="A4187" s="21"/>
      <c r="B4187" s="21"/>
      <c r="D4187" s="25"/>
      <c r="E4187" s="27"/>
      <c r="F4187" s="25"/>
      <c r="G4187" s="27"/>
    </row>
    <row r="4188">
      <c r="A4188" s="21"/>
      <c r="B4188" s="21"/>
      <c r="D4188" s="25"/>
      <c r="E4188" s="27"/>
      <c r="F4188" s="25"/>
      <c r="G4188" s="27"/>
    </row>
    <row r="4189">
      <c r="A4189" s="21"/>
      <c r="B4189" s="21"/>
      <c r="D4189" s="25"/>
      <c r="E4189" s="27"/>
      <c r="F4189" s="25"/>
      <c r="G4189" s="27"/>
    </row>
    <row r="4190">
      <c r="A4190" s="21"/>
      <c r="B4190" s="21"/>
      <c r="D4190" s="25"/>
      <c r="E4190" s="27"/>
      <c r="F4190" s="25"/>
      <c r="G4190" s="27"/>
    </row>
    <row r="4191">
      <c r="A4191" s="21"/>
      <c r="B4191" s="21"/>
      <c r="D4191" s="25"/>
      <c r="E4191" s="27"/>
      <c r="F4191" s="25"/>
      <c r="G4191" s="27"/>
    </row>
    <row r="4192">
      <c r="A4192" s="21"/>
      <c r="B4192" s="21"/>
      <c r="D4192" s="25"/>
      <c r="E4192" s="27"/>
      <c r="F4192" s="25"/>
      <c r="G4192" s="27"/>
    </row>
    <row r="4193">
      <c r="A4193" s="21"/>
      <c r="B4193" s="21"/>
      <c r="D4193" s="25"/>
      <c r="E4193" s="27"/>
      <c r="F4193" s="25"/>
      <c r="G4193" s="27"/>
    </row>
    <row r="4194">
      <c r="A4194" s="21"/>
      <c r="B4194" s="21"/>
      <c r="D4194" s="25"/>
      <c r="E4194" s="27"/>
      <c r="F4194" s="25"/>
      <c r="G4194" s="27"/>
    </row>
    <row r="4195">
      <c r="A4195" s="21"/>
      <c r="B4195" s="21"/>
      <c r="D4195" s="25"/>
      <c r="E4195" s="27"/>
      <c r="F4195" s="25"/>
      <c r="G4195" s="27"/>
    </row>
    <row r="4196">
      <c r="A4196" s="21"/>
      <c r="B4196" s="21"/>
      <c r="D4196" s="25"/>
      <c r="E4196" s="27"/>
      <c r="F4196" s="25"/>
      <c r="G4196" s="27"/>
    </row>
    <row r="4197">
      <c r="A4197" s="21"/>
      <c r="B4197" s="21"/>
      <c r="D4197" s="25"/>
      <c r="E4197" s="27"/>
      <c r="F4197" s="25"/>
      <c r="G4197" s="27"/>
    </row>
    <row r="4198">
      <c r="A4198" s="21"/>
      <c r="B4198" s="21"/>
      <c r="D4198" s="25"/>
      <c r="E4198" s="27"/>
      <c r="F4198" s="25"/>
      <c r="G4198" s="27"/>
    </row>
    <row r="4199">
      <c r="A4199" s="21"/>
      <c r="B4199" s="21"/>
      <c r="D4199" s="25"/>
      <c r="E4199" s="27"/>
      <c r="F4199" s="25"/>
      <c r="G4199" s="27"/>
    </row>
    <row r="4200">
      <c r="A4200" s="21"/>
      <c r="B4200" s="21"/>
      <c r="D4200" s="25"/>
      <c r="E4200" s="27"/>
      <c r="F4200" s="25"/>
      <c r="G4200" s="27"/>
    </row>
    <row r="4201">
      <c r="A4201" s="21"/>
      <c r="B4201" s="21"/>
      <c r="D4201" s="25"/>
      <c r="E4201" s="27"/>
      <c r="F4201" s="25"/>
      <c r="G4201" s="27"/>
    </row>
    <row r="4202">
      <c r="A4202" s="21"/>
      <c r="B4202" s="21"/>
      <c r="D4202" s="25"/>
      <c r="E4202" s="27"/>
      <c r="F4202" s="25"/>
      <c r="G4202" s="27"/>
    </row>
    <row r="4203">
      <c r="A4203" s="21"/>
      <c r="B4203" s="21"/>
      <c r="D4203" s="25"/>
      <c r="E4203" s="27"/>
      <c r="F4203" s="25"/>
      <c r="G4203" s="27"/>
    </row>
    <row r="4204">
      <c r="A4204" s="21"/>
      <c r="B4204" s="21"/>
      <c r="D4204" s="25"/>
      <c r="E4204" s="27"/>
      <c r="F4204" s="25"/>
      <c r="G4204" s="27"/>
    </row>
    <row r="4205">
      <c r="A4205" s="21"/>
      <c r="B4205" s="21"/>
      <c r="D4205" s="25"/>
      <c r="E4205" s="27"/>
      <c r="F4205" s="25"/>
      <c r="G4205" s="27"/>
    </row>
    <row r="4206">
      <c r="A4206" s="21"/>
      <c r="B4206" s="21"/>
      <c r="D4206" s="25"/>
      <c r="E4206" s="27"/>
      <c r="F4206" s="25"/>
      <c r="G4206" s="27"/>
    </row>
    <row r="4207">
      <c r="A4207" s="21"/>
      <c r="B4207" s="21"/>
      <c r="D4207" s="25"/>
      <c r="E4207" s="27"/>
      <c r="F4207" s="25"/>
      <c r="G4207" s="27"/>
    </row>
    <row r="4208">
      <c r="A4208" s="21"/>
      <c r="B4208" s="21"/>
      <c r="D4208" s="25"/>
      <c r="E4208" s="27"/>
      <c r="F4208" s="25"/>
      <c r="G4208" s="27"/>
    </row>
    <row r="4209">
      <c r="A4209" s="21"/>
      <c r="B4209" s="21"/>
      <c r="D4209" s="25"/>
      <c r="E4209" s="27"/>
      <c r="F4209" s="25"/>
      <c r="G4209" s="27"/>
    </row>
    <row r="4210">
      <c r="A4210" s="21"/>
      <c r="B4210" s="21"/>
      <c r="D4210" s="25"/>
      <c r="E4210" s="27"/>
      <c r="F4210" s="25"/>
      <c r="G4210" s="27"/>
    </row>
    <row r="4211">
      <c r="A4211" s="21"/>
      <c r="B4211" s="21"/>
      <c r="D4211" s="25"/>
      <c r="E4211" s="27"/>
      <c r="F4211" s="25"/>
      <c r="G4211" s="27"/>
    </row>
    <row r="4212">
      <c r="A4212" s="21"/>
      <c r="B4212" s="21"/>
      <c r="D4212" s="25"/>
      <c r="E4212" s="27"/>
      <c r="F4212" s="25"/>
      <c r="G4212" s="27"/>
    </row>
    <row r="4213">
      <c r="A4213" s="21"/>
      <c r="B4213" s="21"/>
      <c r="D4213" s="25"/>
      <c r="E4213" s="27"/>
      <c r="F4213" s="25"/>
      <c r="G4213" s="27"/>
    </row>
    <row r="4214">
      <c r="A4214" s="21"/>
      <c r="B4214" s="21"/>
      <c r="D4214" s="25"/>
      <c r="E4214" s="27"/>
      <c r="F4214" s="25"/>
      <c r="G4214" s="27"/>
    </row>
    <row r="4215">
      <c r="A4215" s="21"/>
      <c r="B4215" s="21"/>
      <c r="D4215" s="25"/>
      <c r="E4215" s="27"/>
      <c r="F4215" s="25"/>
      <c r="G4215" s="27"/>
    </row>
    <row r="4216">
      <c r="A4216" s="21"/>
      <c r="B4216" s="21"/>
      <c r="D4216" s="25"/>
      <c r="E4216" s="27"/>
      <c r="F4216" s="25"/>
      <c r="G4216" s="27"/>
    </row>
    <row r="4217">
      <c r="A4217" s="21"/>
      <c r="B4217" s="21"/>
      <c r="D4217" s="25"/>
      <c r="E4217" s="27"/>
      <c r="F4217" s="25"/>
      <c r="G4217" s="27"/>
    </row>
    <row r="4218">
      <c r="A4218" s="21"/>
      <c r="B4218" s="21"/>
      <c r="D4218" s="25"/>
      <c r="E4218" s="27"/>
      <c r="F4218" s="25"/>
      <c r="G4218" s="27"/>
    </row>
    <row r="4219">
      <c r="A4219" s="21"/>
      <c r="B4219" s="21"/>
      <c r="D4219" s="25"/>
      <c r="E4219" s="27"/>
      <c r="F4219" s="25"/>
      <c r="G4219" s="27"/>
    </row>
    <row r="4220">
      <c r="A4220" s="21"/>
      <c r="B4220" s="21"/>
      <c r="D4220" s="25"/>
      <c r="E4220" s="27"/>
      <c r="F4220" s="25"/>
      <c r="G4220" s="27"/>
    </row>
    <row r="4221">
      <c r="A4221" s="21"/>
      <c r="B4221" s="21"/>
      <c r="D4221" s="25"/>
      <c r="E4221" s="27"/>
      <c r="F4221" s="25"/>
      <c r="G4221" s="27"/>
    </row>
    <row r="4222">
      <c r="A4222" s="21"/>
      <c r="B4222" s="21"/>
      <c r="D4222" s="25"/>
      <c r="E4222" s="27"/>
      <c r="F4222" s="25"/>
      <c r="G4222" s="27"/>
    </row>
    <row r="4223">
      <c r="A4223" s="21"/>
      <c r="B4223" s="21"/>
      <c r="D4223" s="25"/>
      <c r="E4223" s="27"/>
      <c r="F4223" s="25"/>
      <c r="G4223" s="27"/>
    </row>
    <row r="4224">
      <c r="A4224" s="21"/>
      <c r="B4224" s="21"/>
      <c r="D4224" s="25"/>
      <c r="E4224" s="27"/>
      <c r="F4224" s="25"/>
      <c r="G4224" s="27"/>
    </row>
    <row r="4225">
      <c r="A4225" s="21"/>
      <c r="B4225" s="21"/>
      <c r="D4225" s="25"/>
      <c r="E4225" s="27"/>
      <c r="F4225" s="25"/>
      <c r="G4225" s="27"/>
    </row>
    <row r="4226">
      <c r="A4226" s="21"/>
      <c r="B4226" s="21"/>
      <c r="D4226" s="25"/>
      <c r="E4226" s="27"/>
      <c r="F4226" s="25"/>
      <c r="G4226" s="27"/>
    </row>
    <row r="4227">
      <c r="A4227" s="21"/>
      <c r="B4227" s="21"/>
      <c r="D4227" s="25"/>
      <c r="E4227" s="27"/>
      <c r="F4227" s="25"/>
      <c r="G4227" s="27"/>
    </row>
    <row r="4228">
      <c r="A4228" s="21"/>
      <c r="B4228" s="21"/>
      <c r="D4228" s="25"/>
      <c r="E4228" s="27"/>
      <c r="F4228" s="25"/>
      <c r="G4228" s="27"/>
    </row>
    <row r="4229">
      <c r="A4229" s="21"/>
      <c r="B4229" s="21"/>
      <c r="D4229" s="25"/>
      <c r="E4229" s="27"/>
      <c r="F4229" s="25"/>
      <c r="G4229" s="27"/>
    </row>
    <row r="4230">
      <c r="A4230" s="21"/>
      <c r="B4230" s="21"/>
      <c r="D4230" s="25"/>
      <c r="E4230" s="27"/>
      <c r="F4230" s="25"/>
      <c r="G4230" s="27"/>
    </row>
    <row r="4231">
      <c r="A4231" s="21"/>
      <c r="B4231" s="21"/>
      <c r="D4231" s="25"/>
      <c r="E4231" s="27"/>
      <c r="F4231" s="25"/>
      <c r="G4231" s="27"/>
    </row>
    <row r="4232">
      <c r="A4232" s="21"/>
      <c r="B4232" s="21"/>
      <c r="D4232" s="25"/>
      <c r="E4232" s="27"/>
      <c r="F4232" s="25"/>
      <c r="G4232" s="27"/>
    </row>
    <row r="4233">
      <c r="A4233" s="21"/>
      <c r="B4233" s="21"/>
      <c r="D4233" s="25"/>
      <c r="E4233" s="27"/>
      <c r="F4233" s="25"/>
      <c r="G4233" s="27"/>
    </row>
    <row r="4234">
      <c r="A4234" s="21"/>
      <c r="B4234" s="21"/>
      <c r="D4234" s="25"/>
      <c r="E4234" s="27"/>
      <c r="F4234" s="25"/>
      <c r="G4234" s="27"/>
    </row>
    <row r="4235">
      <c r="A4235" s="21"/>
      <c r="B4235" s="21"/>
      <c r="D4235" s="25"/>
      <c r="E4235" s="27"/>
      <c r="F4235" s="25"/>
      <c r="G4235" s="27"/>
    </row>
    <row r="4236">
      <c r="A4236" s="21"/>
      <c r="B4236" s="21"/>
      <c r="D4236" s="25"/>
      <c r="E4236" s="27"/>
      <c r="F4236" s="25"/>
      <c r="G4236" s="27"/>
    </row>
    <row r="4237">
      <c r="A4237" s="21"/>
      <c r="B4237" s="21"/>
      <c r="D4237" s="25"/>
      <c r="E4237" s="27"/>
      <c r="F4237" s="25"/>
      <c r="G4237" s="27"/>
    </row>
    <row r="4238">
      <c r="A4238" s="21"/>
      <c r="B4238" s="21"/>
      <c r="D4238" s="25"/>
      <c r="E4238" s="27"/>
      <c r="F4238" s="25"/>
      <c r="G4238" s="27"/>
    </row>
    <row r="4239">
      <c r="A4239" s="21"/>
      <c r="B4239" s="21"/>
      <c r="D4239" s="25"/>
      <c r="E4239" s="27"/>
      <c r="F4239" s="25"/>
      <c r="G4239" s="27"/>
    </row>
    <row r="4240">
      <c r="A4240" s="21"/>
      <c r="B4240" s="21"/>
      <c r="D4240" s="25"/>
      <c r="E4240" s="27"/>
      <c r="F4240" s="25"/>
      <c r="G4240" s="27"/>
    </row>
    <row r="4241">
      <c r="A4241" s="21"/>
      <c r="B4241" s="21"/>
      <c r="D4241" s="25"/>
      <c r="E4241" s="27"/>
      <c r="F4241" s="25"/>
      <c r="G4241" s="27"/>
    </row>
    <row r="4242">
      <c r="A4242" s="21"/>
      <c r="B4242" s="21"/>
      <c r="D4242" s="25"/>
      <c r="E4242" s="27"/>
      <c r="F4242" s="25"/>
      <c r="G4242" s="27"/>
    </row>
    <row r="4243">
      <c r="A4243" s="21"/>
      <c r="B4243" s="21"/>
      <c r="D4243" s="25"/>
      <c r="E4243" s="27"/>
      <c r="F4243" s="25"/>
      <c r="G4243" s="27"/>
    </row>
    <row r="4244">
      <c r="A4244" s="21"/>
      <c r="B4244" s="21"/>
      <c r="D4244" s="25"/>
      <c r="E4244" s="27"/>
      <c r="F4244" s="25"/>
      <c r="G4244" s="27"/>
    </row>
    <row r="4245">
      <c r="A4245" s="21"/>
      <c r="B4245" s="21"/>
      <c r="D4245" s="25"/>
      <c r="E4245" s="27"/>
      <c r="F4245" s="25"/>
      <c r="G4245" s="27"/>
    </row>
    <row r="4246">
      <c r="A4246" s="21"/>
      <c r="B4246" s="21"/>
      <c r="D4246" s="25"/>
      <c r="E4246" s="27"/>
      <c r="F4246" s="25"/>
      <c r="G4246" s="27"/>
    </row>
    <row r="4247">
      <c r="A4247" s="21"/>
      <c r="B4247" s="21"/>
      <c r="D4247" s="25"/>
      <c r="E4247" s="27"/>
      <c r="F4247" s="25"/>
      <c r="G4247" s="27"/>
    </row>
    <row r="4248">
      <c r="A4248" s="21"/>
      <c r="B4248" s="21"/>
      <c r="D4248" s="25"/>
      <c r="E4248" s="27"/>
      <c r="F4248" s="25"/>
      <c r="G4248" s="27"/>
    </row>
    <row r="4249">
      <c r="A4249" s="21"/>
      <c r="B4249" s="21"/>
      <c r="D4249" s="25"/>
      <c r="E4249" s="27"/>
      <c r="F4249" s="25"/>
      <c r="G4249" s="27"/>
    </row>
    <row r="4250">
      <c r="A4250" s="21"/>
      <c r="B4250" s="21"/>
      <c r="D4250" s="25"/>
      <c r="E4250" s="27"/>
      <c r="F4250" s="25"/>
      <c r="G4250" s="27"/>
    </row>
    <row r="4251">
      <c r="A4251" s="21"/>
      <c r="B4251" s="21"/>
      <c r="D4251" s="25"/>
      <c r="E4251" s="27"/>
      <c r="F4251" s="25"/>
      <c r="G4251" s="27"/>
    </row>
    <row r="4252">
      <c r="A4252" s="21"/>
      <c r="B4252" s="21"/>
      <c r="D4252" s="25"/>
      <c r="E4252" s="27"/>
      <c r="F4252" s="25"/>
      <c r="G4252" s="27"/>
    </row>
    <row r="4253">
      <c r="A4253" s="21"/>
      <c r="B4253" s="21"/>
      <c r="D4253" s="25"/>
      <c r="E4253" s="27"/>
      <c r="F4253" s="25"/>
      <c r="G4253" s="27"/>
    </row>
    <row r="4254">
      <c r="A4254" s="21"/>
      <c r="B4254" s="21"/>
      <c r="D4254" s="25"/>
      <c r="E4254" s="27"/>
      <c r="F4254" s="25"/>
      <c r="G4254" s="27"/>
    </row>
    <row r="4255">
      <c r="A4255" s="21"/>
      <c r="B4255" s="21"/>
      <c r="D4255" s="25"/>
      <c r="E4255" s="27"/>
      <c r="F4255" s="25"/>
      <c r="G4255" s="27"/>
    </row>
    <row r="4256">
      <c r="A4256" s="21"/>
      <c r="B4256" s="21"/>
      <c r="D4256" s="25"/>
      <c r="E4256" s="27"/>
      <c r="F4256" s="25"/>
      <c r="G4256" s="27"/>
    </row>
    <row r="4257">
      <c r="A4257" s="21"/>
      <c r="B4257" s="21"/>
      <c r="D4257" s="25"/>
      <c r="E4257" s="27"/>
      <c r="F4257" s="25"/>
      <c r="G4257" s="27"/>
    </row>
    <row r="4258">
      <c r="A4258" s="21"/>
      <c r="B4258" s="21"/>
      <c r="D4258" s="25"/>
      <c r="E4258" s="27"/>
      <c r="F4258" s="25"/>
      <c r="G4258" s="27"/>
    </row>
    <row r="4259">
      <c r="A4259" s="21"/>
      <c r="B4259" s="21"/>
      <c r="D4259" s="25"/>
      <c r="E4259" s="27"/>
      <c r="F4259" s="25"/>
      <c r="G4259" s="27"/>
    </row>
    <row r="4260">
      <c r="A4260" s="21"/>
      <c r="B4260" s="21"/>
      <c r="D4260" s="25"/>
      <c r="E4260" s="27"/>
      <c r="F4260" s="25"/>
      <c r="G4260" s="27"/>
    </row>
    <row r="4261">
      <c r="A4261" s="21"/>
      <c r="B4261" s="21"/>
      <c r="D4261" s="25"/>
      <c r="E4261" s="27"/>
      <c r="F4261" s="25"/>
      <c r="G4261" s="27"/>
    </row>
    <row r="4262">
      <c r="A4262" s="21"/>
      <c r="B4262" s="21"/>
      <c r="D4262" s="25"/>
      <c r="E4262" s="27"/>
      <c r="F4262" s="25"/>
      <c r="G4262" s="27"/>
    </row>
    <row r="4263">
      <c r="A4263" s="21"/>
      <c r="B4263" s="21"/>
      <c r="D4263" s="25"/>
      <c r="E4263" s="27"/>
      <c r="F4263" s="25"/>
      <c r="G4263" s="27"/>
    </row>
    <row r="4264">
      <c r="A4264" s="21"/>
      <c r="B4264" s="21"/>
      <c r="D4264" s="25"/>
      <c r="E4264" s="27"/>
      <c r="F4264" s="25"/>
      <c r="G4264" s="27"/>
    </row>
    <row r="4265">
      <c r="A4265" s="21"/>
      <c r="B4265" s="21"/>
      <c r="D4265" s="25"/>
      <c r="E4265" s="27"/>
      <c r="F4265" s="25"/>
      <c r="G4265" s="27"/>
    </row>
    <row r="4266">
      <c r="A4266" s="21"/>
      <c r="B4266" s="21"/>
      <c r="D4266" s="25"/>
      <c r="E4266" s="27"/>
      <c r="F4266" s="25"/>
      <c r="G4266" s="27"/>
    </row>
    <row r="4267">
      <c r="A4267" s="21"/>
      <c r="B4267" s="21"/>
      <c r="D4267" s="25"/>
      <c r="E4267" s="27"/>
      <c r="F4267" s="25"/>
      <c r="G4267" s="27"/>
    </row>
    <row r="4268">
      <c r="A4268" s="21"/>
      <c r="B4268" s="21"/>
      <c r="D4268" s="25"/>
      <c r="E4268" s="27"/>
      <c r="F4268" s="25"/>
      <c r="G4268" s="27"/>
    </row>
    <row r="4269">
      <c r="A4269" s="21"/>
      <c r="B4269" s="21"/>
      <c r="D4269" s="25"/>
      <c r="E4269" s="27"/>
      <c r="F4269" s="25"/>
      <c r="G4269" s="27"/>
    </row>
    <row r="4270">
      <c r="A4270" s="21"/>
      <c r="B4270" s="21"/>
      <c r="D4270" s="25"/>
      <c r="E4270" s="27"/>
      <c r="F4270" s="25"/>
      <c r="G4270" s="27"/>
    </row>
    <row r="4271">
      <c r="A4271" s="21"/>
      <c r="B4271" s="21"/>
      <c r="D4271" s="25"/>
      <c r="E4271" s="27"/>
      <c r="F4271" s="25"/>
      <c r="G4271" s="27"/>
    </row>
    <row r="4272">
      <c r="A4272" s="21"/>
      <c r="B4272" s="21"/>
      <c r="D4272" s="25"/>
      <c r="E4272" s="27"/>
      <c r="F4272" s="25"/>
      <c r="G4272" s="27"/>
    </row>
    <row r="4273">
      <c r="A4273" s="21"/>
      <c r="B4273" s="21"/>
      <c r="D4273" s="25"/>
      <c r="E4273" s="27"/>
      <c r="F4273" s="25"/>
      <c r="G4273" s="27"/>
    </row>
    <row r="4274">
      <c r="A4274" s="21"/>
      <c r="B4274" s="21"/>
      <c r="D4274" s="25"/>
      <c r="E4274" s="27"/>
      <c r="F4274" s="25"/>
      <c r="G4274" s="27"/>
    </row>
    <row r="4275">
      <c r="A4275" s="21"/>
      <c r="B4275" s="21"/>
      <c r="D4275" s="25"/>
      <c r="E4275" s="27"/>
      <c r="F4275" s="25"/>
      <c r="G4275" s="27"/>
    </row>
    <row r="4276">
      <c r="A4276" s="21"/>
      <c r="B4276" s="21"/>
      <c r="D4276" s="25"/>
      <c r="E4276" s="27"/>
      <c r="F4276" s="25"/>
      <c r="G4276" s="27"/>
    </row>
    <row r="4277">
      <c r="A4277" s="21"/>
      <c r="B4277" s="21"/>
      <c r="D4277" s="25"/>
      <c r="E4277" s="27"/>
      <c r="F4277" s="25"/>
      <c r="G4277" s="27"/>
    </row>
    <row r="4278">
      <c r="A4278" s="21"/>
      <c r="B4278" s="21"/>
      <c r="D4278" s="25"/>
      <c r="E4278" s="27"/>
      <c r="F4278" s="25"/>
      <c r="G4278" s="27"/>
    </row>
    <row r="4279">
      <c r="A4279" s="21"/>
      <c r="B4279" s="21"/>
      <c r="D4279" s="25"/>
      <c r="E4279" s="27"/>
      <c r="F4279" s="25"/>
      <c r="G4279" s="27"/>
    </row>
    <row r="4280">
      <c r="A4280" s="21"/>
      <c r="B4280" s="21"/>
      <c r="D4280" s="25"/>
      <c r="E4280" s="27"/>
      <c r="F4280" s="25"/>
      <c r="G4280" s="27"/>
    </row>
    <row r="4281">
      <c r="A4281" s="21"/>
      <c r="B4281" s="21"/>
      <c r="D4281" s="25"/>
      <c r="E4281" s="27"/>
      <c r="F4281" s="25"/>
      <c r="G4281" s="27"/>
    </row>
    <row r="4282">
      <c r="A4282" s="21"/>
      <c r="B4282" s="21"/>
      <c r="D4282" s="25"/>
      <c r="E4282" s="27"/>
      <c r="F4282" s="25"/>
      <c r="G4282" s="27"/>
    </row>
    <row r="4283">
      <c r="A4283" s="21"/>
      <c r="B4283" s="21"/>
      <c r="D4283" s="25"/>
      <c r="E4283" s="27"/>
      <c r="F4283" s="25"/>
      <c r="G4283" s="27"/>
    </row>
    <row r="4284">
      <c r="A4284" s="21"/>
      <c r="B4284" s="21"/>
      <c r="D4284" s="25"/>
      <c r="E4284" s="27"/>
      <c r="F4284" s="25"/>
      <c r="G4284" s="27"/>
    </row>
    <row r="4285">
      <c r="A4285" s="21"/>
      <c r="B4285" s="21"/>
      <c r="D4285" s="25"/>
      <c r="E4285" s="27"/>
      <c r="F4285" s="25"/>
      <c r="G4285" s="27"/>
    </row>
    <row r="4286">
      <c r="A4286" s="21"/>
      <c r="B4286" s="21"/>
      <c r="D4286" s="25"/>
      <c r="E4286" s="27"/>
      <c r="F4286" s="25"/>
      <c r="G4286" s="27"/>
    </row>
    <row r="4287">
      <c r="A4287" s="21"/>
      <c r="B4287" s="21"/>
      <c r="D4287" s="25"/>
      <c r="E4287" s="27"/>
      <c r="F4287" s="25"/>
      <c r="G4287" s="27"/>
    </row>
    <row r="4288">
      <c r="A4288" s="21"/>
      <c r="B4288" s="21"/>
      <c r="D4288" s="25"/>
      <c r="E4288" s="27"/>
      <c r="F4288" s="25"/>
      <c r="G4288" s="27"/>
    </row>
    <row r="4289">
      <c r="A4289" s="21"/>
      <c r="B4289" s="21"/>
      <c r="D4289" s="25"/>
      <c r="E4289" s="27"/>
      <c r="F4289" s="25"/>
      <c r="G4289" s="27"/>
    </row>
    <row r="4290">
      <c r="A4290" s="21"/>
      <c r="B4290" s="21"/>
      <c r="D4290" s="25"/>
      <c r="E4290" s="27"/>
      <c r="F4290" s="25"/>
      <c r="G4290" s="27"/>
    </row>
    <row r="4291">
      <c r="A4291" s="21"/>
      <c r="B4291" s="21"/>
      <c r="D4291" s="25"/>
      <c r="E4291" s="27"/>
      <c r="F4291" s="25"/>
      <c r="G4291" s="27"/>
    </row>
    <row r="4292">
      <c r="A4292" s="21"/>
      <c r="B4292" s="21"/>
      <c r="D4292" s="25"/>
      <c r="E4292" s="27"/>
      <c r="F4292" s="25"/>
      <c r="G4292" s="27"/>
    </row>
    <row r="4293">
      <c r="A4293" s="21"/>
      <c r="B4293" s="21"/>
      <c r="D4293" s="25"/>
      <c r="E4293" s="27"/>
      <c r="F4293" s="25"/>
      <c r="G4293" s="27"/>
    </row>
    <row r="4294">
      <c r="A4294" s="21"/>
      <c r="B4294" s="21"/>
      <c r="D4294" s="25"/>
      <c r="E4294" s="27"/>
      <c r="F4294" s="25"/>
      <c r="G4294" s="27"/>
    </row>
    <row r="4295">
      <c r="A4295" s="21"/>
      <c r="B4295" s="21"/>
      <c r="D4295" s="25"/>
      <c r="E4295" s="27"/>
      <c r="F4295" s="25"/>
      <c r="G4295" s="27"/>
    </row>
    <row r="4296">
      <c r="A4296" s="21"/>
      <c r="B4296" s="21"/>
      <c r="D4296" s="25"/>
      <c r="E4296" s="27"/>
      <c r="F4296" s="25"/>
      <c r="G4296" s="27"/>
    </row>
    <row r="4297">
      <c r="A4297" s="21"/>
      <c r="B4297" s="21"/>
      <c r="D4297" s="25"/>
      <c r="E4297" s="27"/>
      <c r="F4297" s="25"/>
      <c r="G4297" s="27"/>
    </row>
    <row r="4298">
      <c r="A4298" s="21"/>
      <c r="B4298" s="21"/>
      <c r="D4298" s="25"/>
      <c r="E4298" s="27"/>
      <c r="F4298" s="25"/>
      <c r="G4298" s="27"/>
    </row>
    <row r="4299">
      <c r="A4299" s="21"/>
      <c r="B4299" s="21"/>
      <c r="D4299" s="25"/>
      <c r="E4299" s="27"/>
      <c r="F4299" s="25"/>
      <c r="G4299" s="27"/>
    </row>
    <row r="4300">
      <c r="A4300" s="21"/>
      <c r="B4300" s="21"/>
      <c r="D4300" s="25"/>
      <c r="E4300" s="27"/>
      <c r="F4300" s="25"/>
      <c r="G4300" s="27"/>
    </row>
    <row r="4301">
      <c r="A4301" s="21"/>
      <c r="B4301" s="21"/>
      <c r="D4301" s="25"/>
      <c r="E4301" s="27"/>
      <c r="F4301" s="25"/>
      <c r="G4301" s="27"/>
    </row>
    <row r="4302">
      <c r="A4302" s="21"/>
      <c r="B4302" s="21"/>
      <c r="D4302" s="25"/>
      <c r="E4302" s="27"/>
      <c r="F4302" s="25"/>
      <c r="G4302" s="27"/>
    </row>
    <row r="4303">
      <c r="A4303" s="21"/>
      <c r="B4303" s="21"/>
      <c r="D4303" s="25"/>
      <c r="E4303" s="27"/>
      <c r="F4303" s="25"/>
      <c r="G4303" s="27"/>
    </row>
    <row r="4304">
      <c r="A4304" s="21"/>
      <c r="B4304" s="21"/>
      <c r="D4304" s="25"/>
      <c r="E4304" s="27"/>
      <c r="F4304" s="25"/>
      <c r="G4304" s="27"/>
    </row>
    <row r="4305">
      <c r="A4305" s="21"/>
      <c r="B4305" s="21"/>
      <c r="D4305" s="25"/>
      <c r="E4305" s="27"/>
      <c r="F4305" s="25"/>
      <c r="G4305" s="27"/>
    </row>
    <row r="4306">
      <c r="A4306" s="21"/>
      <c r="B4306" s="21"/>
      <c r="D4306" s="25"/>
      <c r="E4306" s="27"/>
      <c r="F4306" s="25"/>
      <c r="G4306" s="27"/>
    </row>
    <row r="4307">
      <c r="A4307" s="21"/>
      <c r="B4307" s="21"/>
      <c r="D4307" s="25"/>
      <c r="E4307" s="27"/>
      <c r="F4307" s="25"/>
      <c r="G4307" s="27"/>
    </row>
    <row r="4308">
      <c r="A4308" s="21"/>
      <c r="B4308" s="21"/>
      <c r="D4308" s="25"/>
      <c r="E4308" s="27"/>
      <c r="F4308" s="25"/>
      <c r="G4308" s="27"/>
    </row>
    <row r="4309">
      <c r="A4309" s="21"/>
      <c r="B4309" s="21"/>
      <c r="D4309" s="25"/>
      <c r="E4309" s="27"/>
      <c r="F4309" s="25"/>
      <c r="G4309" s="27"/>
    </row>
    <row r="4310">
      <c r="A4310" s="21"/>
      <c r="B4310" s="21"/>
      <c r="D4310" s="25"/>
      <c r="E4310" s="27"/>
      <c r="F4310" s="25"/>
      <c r="G4310" s="27"/>
    </row>
    <row r="4311">
      <c r="A4311" s="21"/>
      <c r="B4311" s="21"/>
      <c r="D4311" s="25"/>
      <c r="E4311" s="27"/>
      <c r="F4311" s="25"/>
      <c r="G4311" s="27"/>
    </row>
    <row r="4312">
      <c r="A4312" s="21"/>
      <c r="B4312" s="21"/>
      <c r="D4312" s="25"/>
      <c r="E4312" s="27"/>
      <c r="F4312" s="25"/>
      <c r="G4312" s="27"/>
    </row>
    <row r="4313">
      <c r="A4313" s="21"/>
      <c r="B4313" s="21"/>
      <c r="D4313" s="25"/>
      <c r="E4313" s="27"/>
      <c r="F4313" s="25"/>
      <c r="G4313" s="27"/>
    </row>
    <row r="4314">
      <c r="A4314" s="21"/>
      <c r="B4314" s="21"/>
      <c r="D4314" s="25"/>
      <c r="E4314" s="27"/>
      <c r="F4314" s="25"/>
      <c r="G4314" s="27"/>
    </row>
    <row r="4315">
      <c r="A4315" s="21"/>
      <c r="B4315" s="21"/>
      <c r="D4315" s="25"/>
      <c r="E4315" s="27"/>
      <c r="F4315" s="25"/>
      <c r="G4315" s="27"/>
    </row>
    <row r="4316">
      <c r="A4316" s="21"/>
      <c r="B4316" s="21"/>
      <c r="D4316" s="25"/>
      <c r="E4316" s="27"/>
      <c r="F4316" s="25"/>
      <c r="G4316" s="27"/>
    </row>
    <row r="4317">
      <c r="A4317" s="21"/>
      <c r="B4317" s="21"/>
      <c r="D4317" s="25"/>
      <c r="E4317" s="27"/>
      <c r="F4317" s="25"/>
      <c r="G4317" s="27"/>
    </row>
    <row r="4318">
      <c r="A4318" s="21"/>
      <c r="B4318" s="21"/>
      <c r="D4318" s="25"/>
      <c r="E4318" s="27"/>
      <c r="F4318" s="25"/>
      <c r="G4318" s="27"/>
    </row>
    <row r="4319">
      <c r="A4319" s="21"/>
      <c r="B4319" s="21"/>
      <c r="D4319" s="25"/>
      <c r="E4319" s="27"/>
      <c r="F4319" s="25"/>
      <c r="G4319" s="27"/>
    </row>
    <row r="4320">
      <c r="A4320" s="21"/>
      <c r="B4320" s="21"/>
      <c r="D4320" s="25"/>
      <c r="E4320" s="27"/>
      <c r="F4320" s="25"/>
      <c r="G4320" s="27"/>
    </row>
    <row r="4321">
      <c r="A4321" s="21"/>
      <c r="B4321" s="21"/>
      <c r="D4321" s="25"/>
      <c r="E4321" s="27"/>
      <c r="F4321" s="25"/>
      <c r="G4321" s="27"/>
    </row>
    <row r="4322">
      <c r="A4322" s="21"/>
      <c r="B4322" s="21"/>
      <c r="D4322" s="25"/>
      <c r="E4322" s="27"/>
      <c r="F4322" s="25"/>
      <c r="G4322" s="27"/>
    </row>
    <row r="4323">
      <c r="A4323" s="21"/>
      <c r="B4323" s="21"/>
      <c r="D4323" s="25"/>
      <c r="E4323" s="27"/>
      <c r="F4323" s="25"/>
      <c r="G4323" s="27"/>
    </row>
    <row r="4324">
      <c r="A4324" s="21"/>
      <c r="B4324" s="21"/>
      <c r="D4324" s="25"/>
      <c r="E4324" s="27"/>
      <c r="F4324" s="25"/>
      <c r="G4324" s="27"/>
    </row>
    <row r="4325">
      <c r="A4325" s="21"/>
      <c r="B4325" s="21"/>
      <c r="D4325" s="25"/>
      <c r="E4325" s="27"/>
      <c r="F4325" s="25"/>
      <c r="G4325" s="27"/>
    </row>
    <row r="4326">
      <c r="A4326" s="21"/>
      <c r="B4326" s="21"/>
      <c r="D4326" s="25"/>
      <c r="E4326" s="27"/>
      <c r="F4326" s="25"/>
      <c r="G4326" s="27"/>
    </row>
    <row r="4327">
      <c r="A4327" s="21"/>
      <c r="B4327" s="21"/>
      <c r="D4327" s="25"/>
      <c r="E4327" s="27"/>
      <c r="F4327" s="25"/>
      <c r="G4327" s="27"/>
    </row>
    <row r="4328">
      <c r="A4328" s="21"/>
      <c r="B4328" s="21"/>
      <c r="D4328" s="25"/>
      <c r="E4328" s="27"/>
      <c r="F4328" s="25"/>
      <c r="G4328" s="27"/>
    </row>
    <row r="4329">
      <c r="A4329" s="21"/>
      <c r="B4329" s="21"/>
      <c r="D4329" s="25"/>
      <c r="E4329" s="27"/>
      <c r="F4329" s="25"/>
      <c r="G4329" s="27"/>
    </row>
    <row r="4330">
      <c r="A4330" s="21"/>
      <c r="B4330" s="21"/>
      <c r="D4330" s="25"/>
      <c r="E4330" s="27"/>
      <c r="F4330" s="25"/>
      <c r="G4330" s="27"/>
    </row>
    <row r="4331">
      <c r="A4331" s="21"/>
      <c r="B4331" s="21"/>
      <c r="D4331" s="25"/>
      <c r="E4331" s="27"/>
      <c r="F4331" s="25"/>
      <c r="G4331" s="27"/>
    </row>
    <row r="4332">
      <c r="A4332" s="21"/>
      <c r="B4332" s="21"/>
      <c r="D4332" s="25"/>
      <c r="E4332" s="27"/>
      <c r="F4332" s="25"/>
      <c r="G4332" s="27"/>
    </row>
    <row r="4333">
      <c r="A4333" s="21"/>
      <c r="B4333" s="21"/>
      <c r="D4333" s="25"/>
      <c r="E4333" s="27"/>
      <c r="F4333" s="25"/>
      <c r="G4333" s="27"/>
    </row>
    <row r="4334">
      <c r="A4334" s="21"/>
      <c r="B4334" s="21"/>
      <c r="D4334" s="25"/>
      <c r="E4334" s="27"/>
      <c r="F4334" s="25"/>
      <c r="G4334" s="27"/>
    </row>
    <row r="4335">
      <c r="A4335" s="21"/>
      <c r="B4335" s="21"/>
      <c r="D4335" s="25"/>
      <c r="E4335" s="27"/>
      <c r="F4335" s="25"/>
      <c r="G4335" s="27"/>
    </row>
    <row r="4336">
      <c r="A4336" s="21"/>
      <c r="B4336" s="21"/>
      <c r="D4336" s="25"/>
      <c r="E4336" s="27"/>
      <c r="F4336" s="25"/>
      <c r="G4336" s="27"/>
    </row>
    <row r="4337">
      <c r="A4337" s="21"/>
      <c r="B4337" s="21"/>
      <c r="D4337" s="25"/>
      <c r="E4337" s="27"/>
      <c r="F4337" s="25"/>
      <c r="G4337" s="27"/>
    </row>
    <row r="4338">
      <c r="A4338" s="21"/>
      <c r="B4338" s="21"/>
      <c r="D4338" s="25"/>
      <c r="E4338" s="27"/>
      <c r="F4338" s="25"/>
      <c r="G4338" s="27"/>
    </row>
    <row r="4339">
      <c r="A4339" s="21"/>
      <c r="B4339" s="21"/>
      <c r="D4339" s="25"/>
      <c r="E4339" s="27"/>
      <c r="F4339" s="25"/>
      <c r="G4339" s="27"/>
    </row>
    <row r="4340">
      <c r="A4340" s="21"/>
      <c r="B4340" s="21"/>
      <c r="D4340" s="25"/>
      <c r="E4340" s="27"/>
      <c r="F4340" s="25"/>
      <c r="G4340" s="27"/>
    </row>
    <row r="4341">
      <c r="A4341" s="21"/>
      <c r="B4341" s="21"/>
      <c r="D4341" s="25"/>
      <c r="E4341" s="27"/>
      <c r="F4341" s="25"/>
      <c r="G4341" s="27"/>
    </row>
    <row r="4342">
      <c r="A4342" s="21"/>
      <c r="B4342" s="21"/>
      <c r="D4342" s="25"/>
      <c r="E4342" s="27"/>
      <c r="F4342" s="25"/>
      <c r="G4342" s="27"/>
    </row>
    <row r="4343">
      <c r="A4343" s="21"/>
      <c r="B4343" s="21"/>
      <c r="D4343" s="25"/>
      <c r="E4343" s="27"/>
      <c r="F4343" s="25"/>
      <c r="G4343" s="27"/>
    </row>
    <row r="4344">
      <c r="A4344" s="21"/>
      <c r="B4344" s="21"/>
      <c r="D4344" s="25"/>
      <c r="E4344" s="27"/>
      <c r="F4344" s="25"/>
      <c r="G4344" s="27"/>
    </row>
    <row r="4345">
      <c r="A4345" s="21"/>
      <c r="B4345" s="21"/>
      <c r="D4345" s="25"/>
      <c r="E4345" s="27"/>
      <c r="F4345" s="25"/>
      <c r="G4345" s="27"/>
    </row>
    <row r="4346">
      <c r="A4346" s="21"/>
      <c r="B4346" s="21"/>
      <c r="D4346" s="25"/>
      <c r="E4346" s="27"/>
      <c r="F4346" s="25"/>
      <c r="G4346" s="27"/>
    </row>
    <row r="4347">
      <c r="A4347" s="21"/>
      <c r="B4347" s="21"/>
      <c r="D4347" s="25"/>
      <c r="E4347" s="27"/>
      <c r="F4347" s="25"/>
      <c r="G4347" s="27"/>
    </row>
    <row r="4348">
      <c r="A4348" s="21"/>
      <c r="B4348" s="21"/>
      <c r="D4348" s="25"/>
      <c r="E4348" s="27"/>
      <c r="F4348" s="25"/>
      <c r="G4348" s="27"/>
    </row>
    <row r="4349">
      <c r="A4349" s="21"/>
      <c r="B4349" s="21"/>
      <c r="D4349" s="25"/>
      <c r="E4349" s="27"/>
      <c r="F4349" s="25"/>
      <c r="G4349" s="27"/>
    </row>
    <row r="4350">
      <c r="A4350" s="21"/>
      <c r="B4350" s="21"/>
      <c r="D4350" s="25"/>
      <c r="E4350" s="27"/>
      <c r="F4350" s="25"/>
      <c r="G4350" s="27"/>
    </row>
    <row r="4351">
      <c r="A4351" s="21"/>
      <c r="B4351" s="21"/>
      <c r="D4351" s="25"/>
      <c r="E4351" s="27"/>
      <c r="F4351" s="25"/>
      <c r="G4351" s="27"/>
    </row>
    <row r="4352">
      <c r="A4352" s="21"/>
      <c r="B4352" s="21"/>
      <c r="D4352" s="25"/>
      <c r="E4352" s="27"/>
      <c r="F4352" s="25"/>
      <c r="G4352" s="27"/>
    </row>
    <row r="4353">
      <c r="A4353" s="21"/>
      <c r="B4353" s="21"/>
      <c r="D4353" s="25"/>
      <c r="E4353" s="27"/>
      <c r="F4353" s="25"/>
      <c r="G4353" s="27"/>
    </row>
    <row r="4354">
      <c r="A4354" s="21"/>
      <c r="B4354" s="21"/>
      <c r="D4354" s="25"/>
      <c r="E4354" s="27"/>
      <c r="F4354" s="25"/>
      <c r="G4354" s="27"/>
    </row>
    <row r="4355">
      <c r="A4355" s="21"/>
      <c r="B4355" s="21"/>
      <c r="D4355" s="25"/>
      <c r="E4355" s="27"/>
      <c r="F4355" s="25"/>
      <c r="G4355" s="27"/>
    </row>
    <row r="4356">
      <c r="A4356" s="21"/>
      <c r="B4356" s="21"/>
      <c r="D4356" s="25"/>
      <c r="E4356" s="27"/>
      <c r="F4356" s="25"/>
      <c r="G4356" s="27"/>
    </row>
    <row r="4357">
      <c r="A4357" s="21"/>
      <c r="B4357" s="21"/>
      <c r="D4357" s="25"/>
      <c r="E4357" s="27"/>
      <c r="F4357" s="25"/>
      <c r="G4357" s="27"/>
    </row>
    <row r="4358">
      <c r="A4358" s="21"/>
      <c r="B4358" s="21"/>
      <c r="D4358" s="25"/>
      <c r="E4358" s="27"/>
      <c r="F4358" s="25"/>
      <c r="G4358" s="27"/>
    </row>
    <row r="4359">
      <c r="A4359" s="21"/>
      <c r="B4359" s="21"/>
      <c r="D4359" s="25"/>
      <c r="E4359" s="27"/>
      <c r="F4359" s="25"/>
      <c r="G4359" s="27"/>
    </row>
    <row r="4360">
      <c r="A4360" s="21"/>
      <c r="B4360" s="21"/>
      <c r="D4360" s="25"/>
      <c r="E4360" s="27"/>
      <c r="F4360" s="25"/>
      <c r="G4360" s="27"/>
    </row>
    <row r="4361">
      <c r="A4361" s="21"/>
      <c r="B4361" s="21"/>
      <c r="D4361" s="25"/>
      <c r="E4361" s="27"/>
      <c r="F4361" s="25"/>
      <c r="G4361" s="27"/>
    </row>
    <row r="4362">
      <c r="A4362" s="21"/>
      <c r="B4362" s="21"/>
      <c r="D4362" s="25"/>
      <c r="E4362" s="27"/>
      <c r="F4362" s="25"/>
      <c r="G4362" s="27"/>
    </row>
    <row r="4363">
      <c r="A4363" s="21"/>
      <c r="B4363" s="21"/>
      <c r="D4363" s="25"/>
      <c r="E4363" s="27"/>
      <c r="F4363" s="25"/>
      <c r="G4363" s="27"/>
    </row>
    <row r="4364">
      <c r="A4364" s="21"/>
      <c r="B4364" s="21"/>
      <c r="D4364" s="25"/>
      <c r="E4364" s="27"/>
      <c r="F4364" s="25"/>
      <c r="G4364" s="27"/>
    </row>
    <row r="4365">
      <c r="A4365" s="21"/>
      <c r="B4365" s="21"/>
      <c r="D4365" s="25"/>
      <c r="E4365" s="27"/>
      <c r="F4365" s="25"/>
      <c r="G4365" s="27"/>
    </row>
    <row r="4366">
      <c r="A4366" s="21"/>
      <c r="B4366" s="21"/>
      <c r="D4366" s="25"/>
      <c r="E4366" s="27"/>
      <c r="F4366" s="25"/>
      <c r="G4366" s="27"/>
    </row>
    <row r="4367">
      <c r="A4367" s="21"/>
      <c r="B4367" s="21"/>
      <c r="D4367" s="25"/>
      <c r="E4367" s="27"/>
      <c r="F4367" s="25"/>
      <c r="G4367" s="27"/>
    </row>
    <row r="4368">
      <c r="A4368" s="21"/>
      <c r="B4368" s="21"/>
      <c r="D4368" s="25"/>
      <c r="E4368" s="27"/>
      <c r="F4368" s="25"/>
      <c r="G4368" s="27"/>
    </row>
    <row r="4369">
      <c r="A4369" s="21"/>
      <c r="B4369" s="21"/>
      <c r="D4369" s="25"/>
      <c r="E4369" s="27"/>
      <c r="F4369" s="25"/>
      <c r="G4369" s="27"/>
    </row>
    <row r="4370">
      <c r="A4370" s="21"/>
      <c r="B4370" s="21"/>
      <c r="D4370" s="25"/>
      <c r="E4370" s="27"/>
      <c r="F4370" s="25"/>
      <c r="G4370" s="27"/>
    </row>
    <row r="4371">
      <c r="A4371" s="21"/>
      <c r="B4371" s="21"/>
      <c r="D4371" s="25"/>
      <c r="E4371" s="27"/>
      <c r="F4371" s="25"/>
      <c r="G4371" s="27"/>
    </row>
    <row r="4372">
      <c r="A4372" s="21"/>
      <c r="B4372" s="21"/>
      <c r="D4372" s="25"/>
      <c r="E4372" s="27"/>
      <c r="F4372" s="25"/>
      <c r="G4372" s="27"/>
    </row>
    <row r="4373">
      <c r="A4373" s="21"/>
      <c r="B4373" s="21"/>
      <c r="D4373" s="25"/>
      <c r="E4373" s="27"/>
      <c r="F4373" s="25"/>
      <c r="G4373" s="27"/>
    </row>
    <row r="4374">
      <c r="A4374" s="21"/>
      <c r="B4374" s="21"/>
      <c r="D4374" s="25"/>
      <c r="E4374" s="27"/>
      <c r="F4374" s="25"/>
      <c r="G4374" s="27"/>
    </row>
    <row r="4375">
      <c r="A4375" s="21"/>
      <c r="B4375" s="21"/>
      <c r="D4375" s="25"/>
      <c r="E4375" s="27"/>
      <c r="F4375" s="25"/>
      <c r="G4375" s="27"/>
    </row>
    <row r="4376">
      <c r="A4376" s="21"/>
      <c r="B4376" s="21"/>
      <c r="D4376" s="25"/>
      <c r="E4376" s="27"/>
      <c r="F4376" s="25"/>
      <c r="G4376" s="27"/>
    </row>
    <row r="4377">
      <c r="A4377" s="21"/>
      <c r="B4377" s="21"/>
      <c r="D4377" s="25"/>
      <c r="E4377" s="27"/>
      <c r="F4377" s="25"/>
      <c r="G4377" s="27"/>
    </row>
    <row r="4378">
      <c r="A4378" s="21"/>
      <c r="B4378" s="21"/>
      <c r="D4378" s="25"/>
      <c r="E4378" s="27"/>
      <c r="F4378" s="25"/>
      <c r="G4378" s="27"/>
    </row>
    <row r="4379">
      <c r="A4379" s="21"/>
      <c r="B4379" s="21"/>
      <c r="D4379" s="25"/>
      <c r="E4379" s="27"/>
      <c r="F4379" s="25"/>
      <c r="G4379" s="27"/>
    </row>
    <row r="4380">
      <c r="A4380" s="21"/>
      <c r="B4380" s="21"/>
      <c r="D4380" s="25"/>
      <c r="E4380" s="27"/>
      <c r="F4380" s="25"/>
      <c r="G4380" s="27"/>
    </row>
    <row r="4381">
      <c r="A4381" s="21"/>
      <c r="B4381" s="21"/>
      <c r="D4381" s="25"/>
      <c r="E4381" s="27"/>
      <c r="F4381" s="25"/>
      <c r="G4381" s="27"/>
    </row>
    <row r="4382">
      <c r="A4382" s="21"/>
      <c r="B4382" s="21"/>
      <c r="D4382" s="25"/>
      <c r="E4382" s="27"/>
      <c r="F4382" s="25"/>
      <c r="G4382" s="27"/>
    </row>
    <row r="4383">
      <c r="A4383" s="21"/>
      <c r="B4383" s="21"/>
      <c r="D4383" s="25"/>
      <c r="E4383" s="27"/>
      <c r="F4383" s="25"/>
      <c r="G4383" s="27"/>
    </row>
    <row r="4384">
      <c r="A4384" s="21"/>
      <c r="B4384" s="21"/>
      <c r="D4384" s="25"/>
      <c r="E4384" s="27"/>
      <c r="F4384" s="25"/>
      <c r="G4384" s="27"/>
    </row>
    <row r="4385">
      <c r="A4385" s="21"/>
      <c r="B4385" s="21"/>
      <c r="D4385" s="25"/>
      <c r="E4385" s="27"/>
      <c r="F4385" s="25"/>
      <c r="G4385" s="27"/>
    </row>
    <row r="4386">
      <c r="A4386" s="21"/>
      <c r="B4386" s="21"/>
      <c r="D4386" s="25"/>
      <c r="E4386" s="27"/>
      <c r="F4386" s="25"/>
      <c r="G4386" s="27"/>
    </row>
    <row r="4387">
      <c r="A4387" s="21"/>
      <c r="B4387" s="21"/>
      <c r="D4387" s="25"/>
      <c r="E4387" s="27"/>
      <c r="F4387" s="25"/>
      <c r="G4387" s="27"/>
    </row>
    <row r="4388">
      <c r="A4388" s="21"/>
      <c r="B4388" s="21"/>
      <c r="D4388" s="25"/>
      <c r="E4388" s="27"/>
      <c r="F4388" s="25"/>
      <c r="G4388" s="27"/>
    </row>
    <row r="4389">
      <c r="A4389" s="21"/>
      <c r="B4389" s="21"/>
      <c r="D4389" s="25"/>
      <c r="E4389" s="27"/>
      <c r="F4389" s="25"/>
      <c r="G4389" s="27"/>
    </row>
    <row r="4390">
      <c r="A4390" s="21"/>
      <c r="B4390" s="21"/>
      <c r="D4390" s="25"/>
      <c r="E4390" s="27"/>
      <c r="F4390" s="25"/>
      <c r="G4390" s="27"/>
    </row>
    <row r="4391">
      <c r="A4391" s="21"/>
      <c r="B4391" s="21"/>
      <c r="D4391" s="25"/>
      <c r="E4391" s="27"/>
      <c r="F4391" s="25"/>
      <c r="G4391" s="27"/>
    </row>
    <row r="4392">
      <c r="A4392" s="21"/>
      <c r="B4392" s="21"/>
      <c r="D4392" s="25"/>
      <c r="E4392" s="27"/>
      <c r="F4392" s="25"/>
      <c r="G4392" s="27"/>
    </row>
    <row r="4393">
      <c r="A4393" s="21"/>
      <c r="B4393" s="21"/>
      <c r="D4393" s="25"/>
      <c r="E4393" s="27"/>
      <c r="F4393" s="25"/>
      <c r="G4393" s="27"/>
    </row>
    <row r="4394">
      <c r="A4394" s="21"/>
      <c r="B4394" s="21"/>
      <c r="D4394" s="25"/>
      <c r="E4394" s="27"/>
      <c r="F4394" s="25"/>
      <c r="G4394" s="27"/>
    </row>
    <row r="4395">
      <c r="A4395" s="21"/>
      <c r="B4395" s="21"/>
      <c r="D4395" s="25"/>
      <c r="E4395" s="27"/>
      <c r="F4395" s="25"/>
      <c r="G4395" s="27"/>
    </row>
    <row r="4396">
      <c r="A4396" s="21"/>
      <c r="B4396" s="21"/>
      <c r="D4396" s="25"/>
      <c r="E4396" s="27"/>
      <c r="F4396" s="25"/>
      <c r="G4396" s="27"/>
    </row>
    <row r="4397">
      <c r="A4397" s="21"/>
      <c r="B4397" s="21"/>
      <c r="D4397" s="25"/>
      <c r="E4397" s="27"/>
      <c r="F4397" s="25"/>
      <c r="G4397" s="27"/>
    </row>
    <row r="4398">
      <c r="A4398" s="21"/>
      <c r="B4398" s="21"/>
      <c r="D4398" s="25"/>
      <c r="E4398" s="27"/>
      <c r="F4398" s="25"/>
      <c r="G4398" s="27"/>
    </row>
    <row r="4399">
      <c r="A4399" s="21"/>
      <c r="B4399" s="21"/>
      <c r="D4399" s="25"/>
      <c r="E4399" s="27"/>
      <c r="F4399" s="25"/>
      <c r="G4399" s="27"/>
    </row>
    <row r="4400">
      <c r="A4400" s="21"/>
      <c r="B4400" s="21"/>
      <c r="D4400" s="25"/>
      <c r="E4400" s="27"/>
      <c r="F4400" s="25"/>
      <c r="G4400" s="27"/>
    </row>
    <row r="4401">
      <c r="A4401" s="21"/>
      <c r="B4401" s="21"/>
      <c r="D4401" s="25"/>
      <c r="E4401" s="27"/>
      <c r="F4401" s="25"/>
      <c r="G4401" s="27"/>
    </row>
    <row r="4402">
      <c r="A4402" s="21"/>
      <c r="B4402" s="21"/>
      <c r="D4402" s="25"/>
      <c r="E4402" s="27"/>
      <c r="F4402" s="25"/>
      <c r="G4402" s="27"/>
    </row>
    <row r="4403">
      <c r="A4403" s="21"/>
      <c r="B4403" s="21"/>
      <c r="D4403" s="25"/>
      <c r="E4403" s="27"/>
      <c r="F4403" s="25"/>
      <c r="G4403" s="27"/>
    </row>
    <row r="4404">
      <c r="A4404" s="21"/>
      <c r="B4404" s="21"/>
      <c r="D4404" s="25"/>
      <c r="E4404" s="27"/>
      <c r="F4404" s="25"/>
      <c r="G4404" s="27"/>
    </row>
    <row r="4405">
      <c r="A4405" s="21"/>
      <c r="B4405" s="21"/>
      <c r="D4405" s="25"/>
      <c r="E4405" s="27"/>
      <c r="F4405" s="25"/>
      <c r="G4405" s="27"/>
    </row>
    <row r="4406">
      <c r="A4406" s="21"/>
      <c r="B4406" s="21"/>
      <c r="D4406" s="25"/>
      <c r="E4406" s="27"/>
      <c r="F4406" s="25"/>
      <c r="G4406" s="27"/>
    </row>
    <row r="4407">
      <c r="A4407" s="21"/>
      <c r="B4407" s="21"/>
      <c r="D4407" s="25"/>
      <c r="E4407" s="27"/>
      <c r="F4407" s="25"/>
      <c r="G4407" s="27"/>
    </row>
    <row r="4408">
      <c r="A4408" s="21"/>
      <c r="B4408" s="21"/>
      <c r="D4408" s="25"/>
      <c r="E4408" s="27"/>
      <c r="F4408" s="25"/>
      <c r="G4408" s="27"/>
    </row>
    <row r="4409">
      <c r="A4409" s="21"/>
      <c r="B4409" s="21"/>
      <c r="D4409" s="25"/>
      <c r="E4409" s="27"/>
      <c r="F4409" s="25"/>
      <c r="G4409" s="27"/>
    </row>
    <row r="4410">
      <c r="A4410" s="21"/>
      <c r="B4410" s="21"/>
      <c r="D4410" s="25"/>
      <c r="E4410" s="27"/>
      <c r="F4410" s="25"/>
      <c r="G4410" s="27"/>
    </row>
    <row r="4411">
      <c r="A4411" s="21"/>
      <c r="B4411" s="21"/>
      <c r="D4411" s="25"/>
      <c r="E4411" s="27"/>
      <c r="F4411" s="25"/>
      <c r="G4411" s="27"/>
    </row>
    <row r="4412">
      <c r="A4412" s="21"/>
      <c r="B4412" s="21"/>
      <c r="D4412" s="25"/>
      <c r="E4412" s="27"/>
      <c r="F4412" s="25"/>
      <c r="G4412" s="27"/>
    </row>
    <row r="4413">
      <c r="A4413" s="21"/>
      <c r="B4413" s="21"/>
      <c r="D4413" s="25"/>
      <c r="E4413" s="27"/>
      <c r="F4413" s="25"/>
      <c r="G4413" s="27"/>
    </row>
    <row r="4414">
      <c r="A4414" s="21"/>
      <c r="B4414" s="21"/>
      <c r="D4414" s="25"/>
      <c r="E4414" s="27"/>
      <c r="F4414" s="25"/>
      <c r="G4414" s="27"/>
    </row>
    <row r="4415">
      <c r="A4415" s="21"/>
      <c r="B4415" s="21"/>
      <c r="D4415" s="25"/>
      <c r="E4415" s="27"/>
      <c r="F4415" s="25"/>
      <c r="G4415" s="27"/>
    </row>
    <row r="4416">
      <c r="A4416" s="21"/>
      <c r="B4416" s="21"/>
      <c r="D4416" s="25"/>
      <c r="E4416" s="27"/>
      <c r="F4416" s="25"/>
      <c r="G4416" s="27"/>
    </row>
    <row r="4417">
      <c r="A4417" s="21"/>
      <c r="B4417" s="21"/>
      <c r="D4417" s="25"/>
      <c r="E4417" s="27"/>
      <c r="F4417" s="25"/>
      <c r="G4417" s="27"/>
    </row>
    <row r="4418">
      <c r="A4418" s="21"/>
      <c r="B4418" s="21"/>
      <c r="D4418" s="25"/>
      <c r="E4418" s="27"/>
      <c r="F4418" s="25"/>
      <c r="G4418" s="27"/>
    </row>
    <row r="4419">
      <c r="A4419" s="21"/>
      <c r="B4419" s="21"/>
      <c r="D4419" s="25"/>
      <c r="E4419" s="27"/>
      <c r="F4419" s="25"/>
      <c r="G4419" s="27"/>
    </row>
    <row r="4420">
      <c r="A4420" s="21"/>
      <c r="B4420" s="21"/>
      <c r="D4420" s="25"/>
      <c r="E4420" s="27"/>
      <c r="F4420" s="25"/>
      <c r="G4420" s="27"/>
    </row>
    <row r="4421">
      <c r="A4421" s="21"/>
      <c r="B4421" s="21"/>
      <c r="D4421" s="25"/>
      <c r="E4421" s="27"/>
      <c r="F4421" s="25"/>
      <c r="G4421" s="27"/>
    </row>
    <row r="4422">
      <c r="A4422" s="21"/>
      <c r="B4422" s="21"/>
      <c r="D4422" s="25"/>
      <c r="E4422" s="27"/>
      <c r="F4422" s="25"/>
      <c r="G4422" s="27"/>
    </row>
    <row r="4423">
      <c r="A4423" s="21"/>
      <c r="B4423" s="21"/>
      <c r="D4423" s="25"/>
      <c r="E4423" s="27"/>
      <c r="F4423" s="25"/>
      <c r="G4423" s="27"/>
    </row>
    <row r="4424">
      <c r="A4424" s="21"/>
      <c r="B4424" s="21"/>
      <c r="D4424" s="25"/>
      <c r="E4424" s="27"/>
      <c r="F4424" s="25"/>
      <c r="G4424" s="27"/>
    </row>
    <row r="4425">
      <c r="A4425" s="21"/>
      <c r="B4425" s="21"/>
      <c r="D4425" s="25"/>
      <c r="E4425" s="27"/>
      <c r="F4425" s="25"/>
      <c r="G4425" s="27"/>
    </row>
    <row r="4426">
      <c r="A4426" s="21"/>
      <c r="B4426" s="21"/>
      <c r="D4426" s="25"/>
      <c r="E4426" s="27"/>
      <c r="F4426" s="25"/>
      <c r="G4426" s="27"/>
    </row>
    <row r="4427">
      <c r="A4427" s="21"/>
      <c r="B4427" s="21"/>
      <c r="D4427" s="25"/>
      <c r="E4427" s="27"/>
      <c r="F4427" s="25"/>
      <c r="G4427" s="27"/>
    </row>
    <row r="4428">
      <c r="A4428" s="21"/>
      <c r="B4428" s="21"/>
      <c r="D4428" s="25"/>
      <c r="E4428" s="27"/>
      <c r="F4428" s="25"/>
      <c r="G4428" s="27"/>
    </row>
    <row r="4429">
      <c r="A4429" s="21"/>
      <c r="B4429" s="21"/>
      <c r="D4429" s="25"/>
      <c r="E4429" s="27"/>
      <c r="F4429" s="25"/>
      <c r="G4429" s="27"/>
    </row>
    <row r="4430">
      <c r="A4430" s="21"/>
      <c r="B4430" s="21"/>
      <c r="D4430" s="25"/>
      <c r="E4430" s="27"/>
      <c r="F4430" s="25"/>
      <c r="G4430" s="27"/>
    </row>
    <row r="4431">
      <c r="A4431" s="21"/>
      <c r="B4431" s="21"/>
      <c r="D4431" s="25"/>
      <c r="E4431" s="27"/>
      <c r="F4431" s="25"/>
      <c r="G4431" s="27"/>
    </row>
    <row r="4432">
      <c r="A4432" s="21"/>
      <c r="B4432" s="21"/>
      <c r="D4432" s="25"/>
      <c r="E4432" s="27"/>
      <c r="F4432" s="25"/>
      <c r="G4432" s="27"/>
    </row>
    <row r="4433">
      <c r="A4433" s="21"/>
      <c r="B4433" s="21"/>
      <c r="D4433" s="25"/>
      <c r="E4433" s="27"/>
      <c r="F4433" s="25"/>
      <c r="G4433" s="27"/>
    </row>
    <row r="4434">
      <c r="A4434" s="21"/>
      <c r="B4434" s="21"/>
      <c r="D4434" s="25"/>
      <c r="E4434" s="27"/>
      <c r="F4434" s="25"/>
      <c r="G4434" s="27"/>
    </row>
    <row r="4435">
      <c r="A4435" s="21"/>
      <c r="B4435" s="21"/>
      <c r="D4435" s="25"/>
      <c r="E4435" s="27"/>
      <c r="F4435" s="25"/>
      <c r="G4435" s="27"/>
    </row>
    <row r="4436">
      <c r="A4436" s="21"/>
      <c r="B4436" s="21"/>
      <c r="D4436" s="25"/>
      <c r="E4436" s="27"/>
      <c r="F4436" s="25"/>
      <c r="G4436" s="27"/>
    </row>
    <row r="4437">
      <c r="A4437" s="21"/>
      <c r="B4437" s="21"/>
      <c r="D4437" s="25"/>
      <c r="E4437" s="27"/>
      <c r="F4437" s="25"/>
      <c r="G4437" s="27"/>
    </row>
    <row r="4438">
      <c r="A4438" s="21"/>
      <c r="B4438" s="21"/>
      <c r="D4438" s="25"/>
      <c r="E4438" s="27"/>
      <c r="F4438" s="25"/>
      <c r="G4438" s="27"/>
    </row>
    <row r="4439">
      <c r="A4439" s="21"/>
      <c r="B4439" s="21"/>
      <c r="D4439" s="25"/>
      <c r="E4439" s="27"/>
      <c r="F4439" s="25"/>
      <c r="G4439" s="27"/>
    </row>
    <row r="4440">
      <c r="A4440" s="21"/>
      <c r="B4440" s="21"/>
      <c r="D4440" s="25"/>
      <c r="E4440" s="27"/>
      <c r="F4440" s="25"/>
      <c r="G4440" s="27"/>
    </row>
    <row r="4441">
      <c r="A4441" s="21"/>
      <c r="B4441" s="21"/>
      <c r="D4441" s="25"/>
      <c r="E4441" s="27"/>
      <c r="F4441" s="25"/>
      <c r="G4441" s="27"/>
    </row>
    <row r="4442">
      <c r="A4442" s="21"/>
      <c r="B4442" s="21"/>
      <c r="D4442" s="25"/>
      <c r="E4442" s="27"/>
      <c r="F4442" s="25"/>
      <c r="G4442" s="27"/>
    </row>
    <row r="4443">
      <c r="A4443" s="21"/>
      <c r="B4443" s="21"/>
      <c r="D4443" s="25"/>
      <c r="E4443" s="27"/>
      <c r="F4443" s="25"/>
      <c r="G4443" s="27"/>
    </row>
    <row r="4444">
      <c r="A4444" s="21"/>
      <c r="B4444" s="21"/>
      <c r="D4444" s="25"/>
      <c r="E4444" s="27"/>
      <c r="F4444" s="25"/>
      <c r="G4444" s="27"/>
    </row>
    <row r="4445">
      <c r="A4445" s="21"/>
      <c r="B4445" s="21"/>
      <c r="D4445" s="25"/>
      <c r="E4445" s="27"/>
      <c r="F4445" s="25"/>
      <c r="G4445" s="27"/>
    </row>
    <row r="4446">
      <c r="A4446" s="21"/>
      <c r="B4446" s="21"/>
      <c r="D4446" s="25"/>
      <c r="E4446" s="27"/>
      <c r="F4446" s="25"/>
      <c r="G4446" s="27"/>
    </row>
    <row r="4447">
      <c r="A4447" s="21"/>
      <c r="B4447" s="21"/>
      <c r="D4447" s="25"/>
      <c r="E4447" s="27"/>
      <c r="F4447" s="25"/>
      <c r="G4447" s="27"/>
    </row>
    <row r="4448">
      <c r="A4448" s="21"/>
      <c r="B4448" s="21"/>
      <c r="D4448" s="25"/>
      <c r="E4448" s="27"/>
      <c r="F4448" s="25"/>
      <c r="G4448" s="27"/>
    </row>
    <row r="4449">
      <c r="A4449" s="21"/>
      <c r="B4449" s="21"/>
      <c r="D4449" s="25"/>
      <c r="E4449" s="27"/>
      <c r="F4449" s="25"/>
      <c r="G4449" s="27"/>
    </row>
    <row r="4450">
      <c r="A4450" s="21"/>
      <c r="B4450" s="21"/>
      <c r="D4450" s="25"/>
      <c r="E4450" s="27"/>
      <c r="F4450" s="25"/>
      <c r="G4450" s="27"/>
    </row>
    <row r="4451">
      <c r="A4451" s="21"/>
      <c r="B4451" s="21"/>
      <c r="D4451" s="25"/>
      <c r="E4451" s="27"/>
      <c r="F4451" s="25"/>
      <c r="G4451" s="27"/>
    </row>
    <row r="4452">
      <c r="A4452" s="21"/>
      <c r="B4452" s="21"/>
      <c r="D4452" s="25"/>
      <c r="E4452" s="27"/>
      <c r="F4452" s="25"/>
      <c r="G4452" s="27"/>
    </row>
    <row r="4453">
      <c r="A4453" s="21"/>
      <c r="B4453" s="21"/>
      <c r="D4453" s="25"/>
      <c r="E4453" s="27"/>
      <c r="F4453" s="25"/>
      <c r="G4453" s="27"/>
    </row>
    <row r="4454">
      <c r="A4454" s="21"/>
      <c r="B4454" s="21"/>
      <c r="D4454" s="25"/>
      <c r="E4454" s="27"/>
      <c r="F4454" s="25"/>
      <c r="G4454" s="27"/>
    </row>
    <row r="4455">
      <c r="A4455" s="21"/>
      <c r="B4455" s="21"/>
      <c r="D4455" s="25"/>
      <c r="E4455" s="27"/>
      <c r="F4455" s="25"/>
      <c r="G4455" s="27"/>
    </row>
    <row r="4456">
      <c r="A4456" s="21"/>
      <c r="B4456" s="21"/>
      <c r="D4456" s="25"/>
      <c r="E4456" s="27"/>
      <c r="F4456" s="25"/>
      <c r="G4456" s="27"/>
    </row>
    <row r="4457">
      <c r="A4457" s="21"/>
      <c r="B4457" s="21"/>
      <c r="D4457" s="25"/>
      <c r="E4457" s="27"/>
      <c r="F4457" s="25"/>
      <c r="G4457" s="27"/>
    </row>
    <row r="4458">
      <c r="A4458" s="21"/>
      <c r="B4458" s="21"/>
      <c r="D4458" s="25"/>
      <c r="E4458" s="27"/>
      <c r="F4458" s="25"/>
      <c r="G4458" s="27"/>
    </row>
    <row r="4459">
      <c r="A4459" s="21"/>
      <c r="B4459" s="21"/>
      <c r="D4459" s="25"/>
      <c r="E4459" s="27"/>
      <c r="F4459" s="25"/>
      <c r="G4459" s="27"/>
    </row>
    <row r="4460">
      <c r="A4460" s="21"/>
      <c r="B4460" s="21"/>
      <c r="D4460" s="25"/>
      <c r="E4460" s="27"/>
      <c r="F4460" s="25"/>
      <c r="G4460" s="27"/>
    </row>
    <row r="4461">
      <c r="A4461" s="21"/>
      <c r="B4461" s="21"/>
      <c r="D4461" s="25"/>
      <c r="E4461" s="27"/>
      <c r="F4461" s="25"/>
      <c r="G4461" s="27"/>
    </row>
    <row r="4462">
      <c r="A4462" s="21"/>
      <c r="B4462" s="21"/>
      <c r="D4462" s="25"/>
      <c r="E4462" s="27"/>
      <c r="F4462" s="25"/>
      <c r="G4462" s="27"/>
    </row>
    <row r="4463">
      <c r="A4463" s="21"/>
      <c r="B4463" s="21"/>
      <c r="D4463" s="25"/>
      <c r="E4463" s="27"/>
      <c r="F4463" s="25"/>
      <c r="G4463" s="27"/>
    </row>
    <row r="4464">
      <c r="A4464" s="21"/>
      <c r="B4464" s="21"/>
      <c r="D4464" s="25"/>
      <c r="E4464" s="27"/>
      <c r="F4464" s="25"/>
      <c r="G4464" s="27"/>
    </row>
    <row r="4465">
      <c r="A4465" s="21"/>
      <c r="B4465" s="21"/>
      <c r="D4465" s="25"/>
      <c r="E4465" s="27"/>
      <c r="F4465" s="25"/>
      <c r="G4465" s="27"/>
    </row>
    <row r="4466">
      <c r="A4466" s="21"/>
      <c r="B4466" s="21"/>
      <c r="D4466" s="25"/>
      <c r="E4466" s="27"/>
      <c r="F4466" s="25"/>
      <c r="G4466" s="27"/>
    </row>
    <row r="4467">
      <c r="A4467" s="21"/>
      <c r="B4467" s="21"/>
      <c r="D4467" s="25"/>
      <c r="E4467" s="27"/>
      <c r="F4467" s="25"/>
      <c r="G4467" s="27"/>
    </row>
    <row r="4468">
      <c r="A4468" s="21"/>
      <c r="B4468" s="21"/>
      <c r="D4468" s="25"/>
      <c r="E4468" s="27"/>
      <c r="F4468" s="25"/>
      <c r="G4468" s="27"/>
    </row>
    <row r="4469">
      <c r="A4469" s="21"/>
      <c r="B4469" s="21"/>
      <c r="D4469" s="25"/>
      <c r="E4469" s="27"/>
      <c r="F4469" s="25"/>
      <c r="G4469" s="27"/>
    </row>
    <row r="4470">
      <c r="A4470" s="21"/>
      <c r="B4470" s="21"/>
      <c r="D4470" s="25"/>
      <c r="E4470" s="27"/>
      <c r="F4470" s="25"/>
      <c r="G4470" s="27"/>
    </row>
    <row r="4471">
      <c r="A4471" s="21"/>
      <c r="B4471" s="21"/>
      <c r="D4471" s="25"/>
      <c r="E4471" s="27"/>
      <c r="F4471" s="25"/>
      <c r="G4471" s="27"/>
    </row>
    <row r="4472">
      <c r="A4472" s="21"/>
      <c r="B4472" s="21"/>
      <c r="D4472" s="25"/>
      <c r="E4472" s="27"/>
      <c r="F4472" s="25"/>
      <c r="G4472" s="27"/>
    </row>
    <row r="4473">
      <c r="A4473" s="21"/>
      <c r="B4473" s="21"/>
      <c r="D4473" s="25"/>
      <c r="E4473" s="27"/>
      <c r="F4473" s="25"/>
      <c r="G4473" s="27"/>
    </row>
    <row r="4474">
      <c r="A4474" s="21"/>
      <c r="B4474" s="21"/>
      <c r="D4474" s="25"/>
      <c r="E4474" s="27"/>
      <c r="F4474" s="25"/>
      <c r="G4474" s="27"/>
    </row>
    <row r="4475">
      <c r="A4475" s="21"/>
      <c r="B4475" s="21"/>
      <c r="D4475" s="25"/>
      <c r="E4475" s="27"/>
      <c r="F4475" s="25"/>
      <c r="G4475" s="27"/>
    </row>
    <row r="4476">
      <c r="A4476" s="21"/>
      <c r="B4476" s="21"/>
      <c r="D4476" s="25"/>
      <c r="E4476" s="27"/>
      <c r="F4476" s="25"/>
      <c r="G4476" s="27"/>
    </row>
    <row r="4477">
      <c r="A4477" s="21"/>
      <c r="B4477" s="21"/>
      <c r="D4477" s="25"/>
      <c r="E4477" s="27"/>
      <c r="F4477" s="25"/>
      <c r="G4477" s="27"/>
    </row>
    <row r="4478">
      <c r="A4478" s="21"/>
      <c r="B4478" s="21"/>
      <c r="D4478" s="25"/>
      <c r="E4478" s="27"/>
      <c r="F4478" s="25"/>
      <c r="G4478" s="27"/>
    </row>
    <row r="4479">
      <c r="A4479" s="21"/>
      <c r="B4479" s="21"/>
      <c r="D4479" s="25"/>
      <c r="E4479" s="27"/>
      <c r="F4479" s="25"/>
      <c r="G4479" s="27"/>
    </row>
    <row r="4480">
      <c r="A4480" s="21"/>
      <c r="B4480" s="21"/>
      <c r="D4480" s="25"/>
      <c r="E4480" s="27"/>
      <c r="F4480" s="25"/>
      <c r="G4480" s="27"/>
    </row>
    <row r="4481">
      <c r="A4481" s="21"/>
      <c r="B4481" s="21"/>
      <c r="D4481" s="25"/>
      <c r="E4481" s="27"/>
      <c r="F4481" s="25"/>
      <c r="G4481" s="27"/>
    </row>
    <row r="4482">
      <c r="A4482" s="21"/>
      <c r="B4482" s="21"/>
      <c r="D4482" s="25"/>
      <c r="E4482" s="27"/>
      <c r="F4482" s="25"/>
      <c r="G4482" s="27"/>
    </row>
    <row r="4483">
      <c r="A4483" s="21"/>
      <c r="B4483" s="21"/>
      <c r="D4483" s="25"/>
      <c r="E4483" s="27"/>
      <c r="F4483" s="25"/>
      <c r="G4483" s="27"/>
    </row>
    <row r="4484">
      <c r="A4484" s="21"/>
      <c r="B4484" s="21"/>
      <c r="D4484" s="25"/>
      <c r="E4484" s="27"/>
      <c r="F4484" s="25"/>
      <c r="G4484" s="27"/>
    </row>
    <row r="4485">
      <c r="A4485" s="21"/>
      <c r="B4485" s="21"/>
      <c r="D4485" s="25"/>
      <c r="E4485" s="27"/>
      <c r="F4485" s="25"/>
      <c r="G4485" s="27"/>
    </row>
    <row r="4486">
      <c r="A4486" s="21"/>
      <c r="B4486" s="21"/>
      <c r="D4486" s="25"/>
      <c r="E4486" s="27"/>
      <c r="F4486" s="25"/>
      <c r="G4486" s="27"/>
    </row>
    <row r="4487">
      <c r="A4487" s="21"/>
      <c r="B4487" s="21"/>
      <c r="D4487" s="25"/>
      <c r="E4487" s="27"/>
      <c r="F4487" s="25"/>
      <c r="G4487" s="27"/>
    </row>
    <row r="4488">
      <c r="A4488" s="21"/>
      <c r="B4488" s="21"/>
      <c r="D4488" s="25"/>
      <c r="E4488" s="27"/>
      <c r="F4488" s="25"/>
      <c r="G4488" s="27"/>
    </row>
    <row r="4489">
      <c r="A4489" s="21"/>
      <c r="B4489" s="21"/>
      <c r="D4489" s="25"/>
      <c r="E4489" s="27"/>
      <c r="F4489" s="25"/>
      <c r="G4489" s="27"/>
    </row>
    <row r="4490">
      <c r="A4490" s="21"/>
      <c r="B4490" s="21"/>
      <c r="D4490" s="25"/>
      <c r="E4490" s="27"/>
      <c r="F4490" s="25"/>
      <c r="G4490" s="27"/>
    </row>
    <row r="4491">
      <c r="A4491" s="21"/>
      <c r="B4491" s="21"/>
      <c r="D4491" s="25"/>
      <c r="E4491" s="27"/>
      <c r="F4491" s="25"/>
      <c r="G4491" s="27"/>
    </row>
    <row r="4492">
      <c r="A4492" s="21"/>
      <c r="B4492" s="21"/>
      <c r="D4492" s="25"/>
      <c r="E4492" s="27"/>
      <c r="F4492" s="25"/>
      <c r="G4492" s="27"/>
    </row>
    <row r="4493">
      <c r="A4493" s="21"/>
      <c r="B4493" s="21"/>
      <c r="D4493" s="25"/>
      <c r="E4493" s="27"/>
      <c r="F4493" s="25"/>
      <c r="G4493" s="27"/>
    </row>
    <row r="4494">
      <c r="A4494" s="21"/>
      <c r="B4494" s="21"/>
      <c r="D4494" s="25"/>
      <c r="E4494" s="27"/>
      <c r="F4494" s="25"/>
      <c r="G4494" s="27"/>
    </row>
    <row r="4495">
      <c r="A4495" s="21"/>
      <c r="B4495" s="21"/>
      <c r="D4495" s="25"/>
      <c r="E4495" s="27"/>
      <c r="F4495" s="25"/>
      <c r="G4495" s="27"/>
    </row>
    <row r="4496">
      <c r="A4496" s="21"/>
      <c r="B4496" s="21"/>
      <c r="D4496" s="25"/>
      <c r="E4496" s="27"/>
      <c r="F4496" s="25"/>
      <c r="G4496" s="27"/>
    </row>
    <row r="4497">
      <c r="A4497" s="21"/>
      <c r="B4497" s="21"/>
      <c r="D4497" s="25"/>
      <c r="E4497" s="27"/>
      <c r="F4497" s="25"/>
      <c r="G4497" s="27"/>
    </row>
    <row r="4498">
      <c r="A4498" s="21"/>
      <c r="B4498" s="21"/>
      <c r="D4498" s="25"/>
      <c r="E4498" s="27"/>
      <c r="F4498" s="25"/>
      <c r="G4498" s="27"/>
    </row>
    <row r="4499">
      <c r="A4499" s="21"/>
      <c r="B4499" s="21"/>
      <c r="D4499" s="25"/>
      <c r="E4499" s="27"/>
      <c r="F4499" s="25"/>
      <c r="G4499" s="27"/>
    </row>
    <row r="4500">
      <c r="A4500" s="21"/>
      <c r="B4500" s="21"/>
      <c r="D4500" s="25"/>
      <c r="E4500" s="27"/>
      <c r="F4500" s="25"/>
      <c r="G4500" s="27"/>
    </row>
    <row r="4501">
      <c r="A4501" s="21"/>
      <c r="B4501" s="21"/>
      <c r="D4501" s="25"/>
      <c r="E4501" s="27"/>
      <c r="F4501" s="25"/>
      <c r="G4501" s="27"/>
    </row>
    <row r="4502">
      <c r="A4502" s="21"/>
      <c r="B4502" s="21"/>
      <c r="D4502" s="25"/>
      <c r="E4502" s="27"/>
      <c r="F4502" s="25"/>
      <c r="G4502" s="27"/>
    </row>
    <row r="4503">
      <c r="A4503" s="21"/>
      <c r="B4503" s="21"/>
      <c r="D4503" s="25"/>
      <c r="E4503" s="27"/>
      <c r="F4503" s="25"/>
      <c r="G4503" s="27"/>
    </row>
    <row r="4504">
      <c r="A4504" s="21"/>
      <c r="B4504" s="21"/>
      <c r="D4504" s="25"/>
      <c r="E4504" s="27"/>
      <c r="F4504" s="25"/>
      <c r="G4504" s="27"/>
    </row>
    <row r="4505">
      <c r="A4505" s="21"/>
      <c r="B4505" s="21"/>
      <c r="D4505" s="25"/>
      <c r="E4505" s="27"/>
      <c r="F4505" s="25"/>
      <c r="G4505" s="27"/>
    </row>
    <row r="4506">
      <c r="A4506" s="21"/>
      <c r="B4506" s="21"/>
      <c r="D4506" s="25"/>
      <c r="E4506" s="27"/>
      <c r="F4506" s="25"/>
      <c r="G4506" s="27"/>
    </row>
    <row r="4507">
      <c r="A4507" s="21"/>
      <c r="B4507" s="21"/>
      <c r="D4507" s="25"/>
      <c r="E4507" s="27"/>
      <c r="F4507" s="25"/>
      <c r="G4507" s="27"/>
    </row>
    <row r="4508">
      <c r="A4508" s="21"/>
      <c r="B4508" s="21"/>
      <c r="D4508" s="25"/>
      <c r="E4508" s="27"/>
      <c r="F4508" s="25"/>
      <c r="G4508" s="27"/>
    </row>
    <row r="4509">
      <c r="A4509" s="21"/>
      <c r="B4509" s="21"/>
      <c r="D4509" s="25"/>
      <c r="E4509" s="27"/>
      <c r="F4509" s="25"/>
      <c r="G4509" s="27"/>
    </row>
    <row r="4510">
      <c r="A4510" s="21"/>
      <c r="B4510" s="21"/>
      <c r="D4510" s="25"/>
      <c r="E4510" s="27"/>
      <c r="F4510" s="25"/>
      <c r="G4510" s="27"/>
    </row>
    <row r="4511">
      <c r="A4511" s="21"/>
      <c r="B4511" s="21"/>
      <c r="D4511" s="25"/>
      <c r="E4511" s="27"/>
      <c r="F4511" s="25"/>
      <c r="G4511" s="27"/>
    </row>
    <row r="4512">
      <c r="A4512" s="21"/>
      <c r="B4512" s="21"/>
      <c r="D4512" s="25"/>
      <c r="E4512" s="27"/>
      <c r="F4512" s="25"/>
      <c r="G4512" s="27"/>
    </row>
    <row r="4513">
      <c r="A4513" s="21"/>
      <c r="B4513" s="21"/>
      <c r="D4513" s="25"/>
      <c r="E4513" s="27"/>
      <c r="F4513" s="25"/>
      <c r="G4513" s="27"/>
    </row>
    <row r="4514">
      <c r="A4514" s="21"/>
      <c r="B4514" s="21"/>
      <c r="D4514" s="25"/>
      <c r="E4514" s="27"/>
      <c r="F4514" s="25"/>
      <c r="G4514" s="27"/>
    </row>
    <row r="4515">
      <c r="A4515" s="21"/>
      <c r="B4515" s="21"/>
      <c r="D4515" s="25"/>
      <c r="E4515" s="27"/>
      <c r="F4515" s="25"/>
      <c r="G4515" s="27"/>
    </row>
    <row r="4516">
      <c r="A4516" s="21"/>
      <c r="B4516" s="21"/>
      <c r="D4516" s="25"/>
      <c r="E4516" s="27"/>
      <c r="F4516" s="25"/>
      <c r="G4516" s="27"/>
    </row>
    <row r="4517">
      <c r="A4517" s="21"/>
      <c r="B4517" s="21"/>
      <c r="D4517" s="25"/>
      <c r="E4517" s="27"/>
      <c r="F4517" s="25"/>
      <c r="G4517" s="27"/>
    </row>
    <row r="4518">
      <c r="A4518" s="21"/>
      <c r="B4518" s="21"/>
      <c r="D4518" s="25"/>
      <c r="E4518" s="27"/>
      <c r="F4518" s="25"/>
      <c r="G4518" s="27"/>
    </row>
    <row r="4519">
      <c r="A4519" s="21"/>
      <c r="B4519" s="21"/>
      <c r="D4519" s="25"/>
      <c r="E4519" s="27"/>
      <c r="F4519" s="25"/>
      <c r="G4519" s="27"/>
    </row>
    <row r="4520">
      <c r="A4520" s="21"/>
      <c r="B4520" s="21"/>
      <c r="D4520" s="25"/>
      <c r="E4520" s="27"/>
      <c r="F4520" s="25"/>
      <c r="G4520" s="27"/>
    </row>
    <row r="4521">
      <c r="A4521" s="21"/>
      <c r="B4521" s="21"/>
      <c r="D4521" s="25"/>
      <c r="E4521" s="27"/>
      <c r="F4521" s="25"/>
      <c r="G4521" s="27"/>
    </row>
    <row r="4522">
      <c r="A4522" s="21"/>
      <c r="B4522" s="21"/>
      <c r="D4522" s="25"/>
      <c r="E4522" s="27"/>
      <c r="F4522" s="25"/>
      <c r="G4522" s="27"/>
    </row>
    <row r="4523">
      <c r="A4523" s="21"/>
      <c r="B4523" s="21"/>
      <c r="D4523" s="25"/>
      <c r="E4523" s="27"/>
      <c r="F4523" s="25"/>
      <c r="G4523" s="27"/>
    </row>
    <row r="4524">
      <c r="A4524" s="21"/>
      <c r="B4524" s="21"/>
      <c r="D4524" s="25"/>
      <c r="E4524" s="27"/>
      <c r="F4524" s="25"/>
      <c r="G4524" s="27"/>
    </row>
    <row r="4525">
      <c r="A4525" s="21"/>
      <c r="B4525" s="21"/>
      <c r="D4525" s="25"/>
      <c r="E4525" s="27"/>
      <c r="F4525" s="25"/>
      <c r="G4525" s="27"/>
    </row>
    <row r="4526">
      <c r="A4526" s="21"/>
      <c r="B4526" s="21"/>
      <c r="D4526" s="25"/>
      <c r="E4526" s="27"/>
      <c r="F4526" s="25"/>
      <c r="G4526" s="27"/>
    </row>
    <row r="4527">
      <c r="A4527" s="21"/>
      <c r="B4527" s="21"/>
      <c r="D4527" s="25"/>
      <c r="E4527" s="27"/>
      <c r="F4527" s="25"/>
      <c r="G4527" s="27"/>
    </row>
    <row r="4528">
      <c r="A4528" s="21"/>
      <c r="B4528" s="21"/>
      <c r="D4528" s="25"/>
      <c r="E4528" s="27"/>
      <c r="F4528" s="25"/>
      <c r="G4528" s="27"/>
    </row>
    <row r="4529">
      <c r="A4529" s="21"/>
      <c r="B4529" s="21"/>
      <c r="D4529" s="25"/>
      <c r="E4529" s="27"/>
      <c r="F4529" s="25"/>
      <c r="G4529" s="27"/>
    </row>
    <row r="4530">
      <c r="A4530" s="21"/>
      <c r="B4530" s="21"/>
      <c r="D4530" s="25"/>
      <c r="E4530" s="27"/>
      <c r="F4530" s="25"/>
      <c r="G4530" s="27"/>
    </row>
    <row r="4531">
      <c r="A4531" s="21"/>
      <c r="B4531" s="21"/>
      <c r="D4531" s="25"/>
      <c r="E4531" s="27"/>
      <c r="F4531" s="25"/>
      <c r="G4531" s="27"/>
    </row>
    <row r="4532">
      <c r="A4532" s="21"/>
      <c r="B4532" s="21"/>
      <c r="D4532" s="25"/>
      <c r="E4532" s="27"/>
      <c r="F4532" s="25"/>
      <c r="G4532" s="27"/>
    </row>
    <row r="4533">
      <c r="A4533" s="21"/>
      <c r="B4533" s="21"/>
      <c r="D4533" s="25"/>
      <c r="E4533" s="27"/>
      <c r="F4533" s="25"/>
      <c r="G4533" s="27"/>
    </row>
    <row r="4534">
      <c r="A4534" s="21"/>
      <c r="B4534" s="21"/>
      <c r="D4534" s="25"/>
      <c r="E4534" s="27"/>
      <c r="F4534" s="25"/>
      <c r="G4534" s="27"/>
    </row>
    <row r="4535">
      <c r="A4535" s="21"/>
      <c r="B4535" s="21"/>
      <c r="D4535" s="25"/>
      <c r="E4535" s="27"/>
      <c r="F4535" s="25"/>
      <c r="G4535" s="27"/>
    </row>
    <row r="4536">
      <c r="A4536" s="21"/>
      <c r="B4536" s="21"/>
      <c r="D4536" s="25"/>
      <c r="E4536" s="27"/>
      <c r="F4536" s="25"/>
      <c r="G4536" s="27"/>
    </row>
    <row r="4537">
      <c r="A4537" s="21"/>
      <c r="B4537" s="21"/>
      <c r="D4537" s="25"/>
      <c r="E4537" s="27"/>
      <c r="F4537" s="25"/>
      <c r="G4537" s="27"/>
    </row>
    <row r="4538">
      <c r="A4538" s="21"/>
      <c r="B4538" s="21"/>
      <c r="D4538" s="25"/>
      <c r="E4538" s="27"/>
      <c r="F4538" s="25"/>
      <c r="G4538" s="27"/>
    </row>
    <row r="4539">
      <c r="A4539" s="21"/>
      <c r="B4539" s="21"/>
      <c r="D4539" s="25"/>
      <c r="E4539" s="27"/>
      <c r="F4539" s="25"/>
      <c r="G4539" s="27"/>
    </row>
    <row r="4540">
      <c r="A4540" s="21"/>
      <c r="B4540" s="21"/>
      <c r="D4540" s="25"/>
      <c r="E4540" s="27"/>
      <c r="F4540" s="25"/>
      <c r="G4540" s="27"/>
    </row>
    <row r="4541">
      <c r="A4541" s="21"/>
      <c r="B4541" s="21"/>
      <c r="D4541" s="25"/>
      <c r="E4541" s="27"/>
      <c r="F4541" s="25"/>
      <c r="G4541" s="27"/>
    </row>
    <row r="4542">
      <c r="A4542" s="21"/>
      <c r="B4542" s="21"/>
      <c r="D4542" s="25"/>
      <c r="E4542" s="27"/>
      <c r="F4542" s="25"/>
      <c r="G4542" s="27"/>
    </row>
    <row r="4543">
      <c r="A4543" s="21"/>
      <c r="B4543" s="21"/>
      <c r="D4543" s="25"/>
      <c r="E4543" s="27"/>
      <c r="F4543" s="25"/>
      <c r="G4543" s="27"/>
    </row>
    <row r="4544">
      <c r="A4544" s="21"/>
      <c r="B4544" s="21"/>
      <c r="D4544" s="25"/>
      <c r="E4544" s="27"/>
      <c r="F4544" s="25"/>
      <c r="G4544" s="27"/>
    </row>
    <row r="4545">
      <c r="A4545" s="21"/>
      <c r="B4545" s="21"/>
      <c r="D4545" s="25"/>
      <c r="E4545" s="27"/>
      <c r="F4545" s="25"/>
      <c r="G4545" s="27"/>
    </row>
    <row r="4546">
      <c r="A4546" s="21"/>
      <c r="B4546" s="21"/>
      <c r="D4546" s="25"/>
      <c r="E4546" s="27"/>
      <c r="F4546" s="25"/>
      <c r="G4546" s="27"/>
    </row>
    <row r="4547">
      <c r="A4547" s="21"/>
      <c r="B4547" s="21"/>
      <c r="D4547" s="25"/>
      <c r="E4547" s="27"/>
      <c r="F4547" s="25"/>
      <c r="G4547" s="27"/>
    </row>
    <row r="4548">
      <c r="A4548" s="21"/>
      <c r="B4548" s="21"/>
      <c r="D4548" s="25"/>
      <c r="E4548" s="27"/>
      <c r="F4548" s="25"/>
      <c r="G4548" s="27"/>
    </row>
    <row r="4549">
      <c r="A4549" s="21"/>
      <c r="B4549" s="21"/>
      <c r="D4549" s="25"/>
      <c r="E4549" s="27"/>
      <c r="F4549" s="25"/>
      <c r="G4549" s="27"/>
    </row>
    <row r="4550">
      <c r="A4550" s="21"/>
      <c r="B4550" s="21"/>
      <c r="D4550" s="25"/>
      <c r="E4550" s="27"/>
      <c r="F4550" s="25"/>
      <c r="G4550" s="27"/>
    </row>
    <row r="4551">
      <c r="A4551" s="21"/>
      <c r="B4551" s="21"/>
      <c r="D4551" s="25"/>
      <c r="E4551" s="27"/>
      <c r="F4551" s="25"/>
      <c r="G4551" s="27"/>
    </row>
    <row r="4552">
      <c r="A4552" s="21"/>
      <c r="B4552" s="21"/>
      <c r="D4552" s="25"/>
      <c r="E4552" s="27"/>
      <c r="F4552" s="25"/>
      <c r="G4552" s="27"/>
    </row>
    <row r="4553">
      <c r="A4553" s="21"/>
      <c r="B4553" s="21"/>
      <c r="D4553" s="25"/>
      <c r="E4553" s="27"/>
      <c r="F4553" s="25"/>
      <c r="G4553" s="27"/>
    </row>
    <row r="4554">
      <c r="A4554" s="21"/>
      <c r="B4554" s="21"/>
      <c r="D4554" s="25"/>
      <c r="E4554" s="27"/>
      <c r="F4554" s="25"/>
      <c r="G4554" s="27"/>
    </row>
    <row r="4555">
      <c r="A4555" s="21"/>
      <c r="B4555" s="21"/>
      <c r="D4555" s="25"/>
      <c r="E4555" s="27"/>
      <c r="F4555" s="25"/>
      <c r="G4555" s="27"/>
    </row>
    <row r="4556">
      <c r="A4556" s="21"/>
      <c r="B4556" s="21"/>
      <c r="D4556" s="25"/>
      <c r="E4556" s="27"/>
      <c r="F4556" s="25"/>
      <c r="G4556" s="27"/>
    </row>
    <row r="4557">
      <c r="A4557" s="21"/>
      <c r="B4557" s="21"/>
      <c r="D4557" s="25"/>
      <c r="E4557" s="27"/>
      <c r="F4557" s="25"/>
      <c r="G4557" s="27"/>
    </row>
    <row r="4558">
      <c r="A4558" s="21"/>
      <c r="B4558" s="21"/>
      <c r="D4558" s="25"/>
      <c r="E4558" s="27"/>
      <c r="F4558" s="25"/>
      <c r="G4558" s="27"/>
    </row>
    <row r="4559">
      <c r="A4559" s="21"/>
      <c r="B4559" s="21"/>
      <c r="D4559" s="25"/>
      <c r="E4559" s="27"/>
      <c r="F4559" s="25"/>
      <c r="G4559" s="27"/>
    </row>
    <row r="4560">
      <c r="A4560" s="21"/>
      <c r="B4560" s="21"/>
      <c r="D4560" s="25"/>
      <c r="E4560" s="27"/>
      <c r="F4560" s="25"/>
      <c r="G4560" s="27"/>
    </row>
    <row r="4561">
      <c r="A4561" s="21"/>
      <c r="B4561" s="21"/>
      <c r="D4561" s="25"/>
      <c r="E4561" s="27"/>
      <c r="F4561" s="25"/>
      <c r="G4561" s="27"/>
    </row>
    <row r="4562">
      <c r="A4562" s="21"/>
      <c r="B4562" s="21"/>
      <c r="D4562" s="25"/>
      <c r="E4562" s="27"/>
      <c r="F4562" s="25"/>
      <c r="G4562" s="27"/>
    </row>
    <row r="4563">
      <c r="A4563" s="21"/>
      <c r="B4563" s="21"/>
      <c r="D4563" s="25"/>
      <c r="E4563" s="27"/>
      <c r="F4563" s="25"/>
      <c r="G4563" s="27"/>
    </row>
    <row r="4564">
      <c r="A4564" s="21"/>
      <c r="B4564" s="21"/>
      <c r="D4564" s="25"/>
      <c r="E4564" s="27"/>
      <c r="F4564" s="25"/>
      <c r="G4564" s="27"/>
    </row>
    <row r="4565">
      <c r="A4565" s="21"/>
      <c r="B4565" s="21"/>
      <c r="D4565" s="25"/>
      <c r="E4565" s="27"/>
      <c r="F4565" s="25"/>
      <c r="G4565" s="27"/>
    </row>
    <row r="4566">
      <c r="A4566" s="21"/>
      <c r="B4566" s="21"/>
      <c r="D4566" s="25"/>
      <c r="E4566" s="27"/>
      <c r="F4566" s="25"/>
      <c r="G4566" s="27"/>
    </row>
    <row r="4567">
      <c r="A4567" s="21"/>
      <c r="B4567" s="21"/>
      <c r="D4567" s="25"/>
      <c r="E4567" s="27"/>
      <c r="F4567" s="25"/>
      <c r="G4567" s="27"/>
    </row>
    <row r="4568">
      <c r="A4568" s="21"/>
      <c r="B4568" s="21"/>
      <c r="D4568" s="25"/>
      <c r="E4568" s="27"/>
      <c r="F4568" s="25"/>
      <c r="G4568" s="27"/>
    </row>
    <row r="4569">
      <c r="A4569" s="21"/>
      <c r="B4569" s="21"/>
      <c r="D4569" s="25"/>
      <c r="E4569" s="27"/>
      <c r="F4569" s="25"/>
      <c r="G4569" s="27"/>
    </row>
    <row r="4570">
      <c r="A4570" s="21"/>
      <c r="B4570" s="21"/>
      <c r="D4570" s="25"/>
      <c r="E4570" s="27"/>
      <c r="F4570" s="25"/>
      <c r="G4570" s="27"/>
    </row>
    <row r="4571">
      <c r="A4571" s="21"/>
      <c r="B4571" s="21"/>
      <c r="D4571" s="25"/>
      <c r="E4571" s="27"/>
      <c r="F4571" s="25"/>
      <c r="G4571" s="27"/>
    </row>
    <row r="4572">
      <c r="A4572" s="21"/>
      <c r="B4572" s="21"/>
      <c r="D4572" s="25"/>
      <c r="E4572" s="27"/>
      <c r="F4572" s="25"/>
      <c r="G4572" s="27"/>
    </row>
    <row r="4573">
      <c r="A4573" s="21"/>
      <c r="B4573" s="21"/>
      <c r="D4573" s="25"/>
      <c r="E4573" s="27"/>
      <c r="F4573" s="25"/>
      <c r="G4573" s="27"/>
    </row>
    <row r="4574">
      <c r="A4574" s="21"/>
      <c r="B4574" s="21"/>
      <c r="D4574" s="25"/>
      <c r="E4574" s="27"/>
      <c r="F4574" s="25"/>
      <c r="G4574" s="27"/>
    </row>
    <row r="4575">
      <c r="A4575" s="21"/>
      <c r="B4575" s="21"/>
      <c r="D4575" s="25"/>
      <c r="E4575" s="27"/>
      <c r="F4575" s="25"/>
      <c r="G4575" s="27"/>
    </row>
    <row r="4576">
      <c r="A4576" s="21"/>
      <c r="B4576" s="21"/>
      <c r="D4576" s="25"/>
      <c r="E4576" s="27"/>
      <c r="F4576" s="25"/>
      <c r="G4576" s="27"/>
    </row>
    <row r="4577">
      <c r="A4577" s="21"/>
      <c r="B4577" s="21"/>
      <c r="D4577" s="25"/>
      <c r="E4577" s="27"/>
      <c r="F4577" s="25"/>
      <c r="G4577" s="27"/>
    </row>
    <row r="4578">
      <c r="A4578" s="21"/>
      <c r="B4578" s="21"/>
      <c r="D4578" s="25"/>
      <c r="E4578" s="27"/>
      <c r="F4578" s="25"/>
      <c r="G4578" s="27"/>
    </row>
    <row r="4579">
      <c r="A4579" s="21"/>
      <c r="B4579" s="21"/>
      <c r="D4579" s="25"/>
      <c r="E4579" s="27"/>
      <c r="F4579" s="25"/>
      <c r="G4579" s="27"/>
    </row>
    <row r="4580">
      <c r="A4580" s="21"/>
      <c r="B4580" s="21"/>
      <c r="D4580" s="25"/>
      <c r="E4580" s="27"/>
      <c r="F4580" s="25"/>
      <c r="G4580" s="27"/>
    </row>
    <row r="4581">
      <c r="A4581" s="21"/>
      <c r="B4581" s="21"/>
      <c r="D4581" s="25"/>
      <c r="E4581" s="27"/>
      <c r="F4581" s="25"/>
      <c r="G4581" s="27"/>
    </row>
    <row r="4582">
      <c r="A4582" s="21"/>
      <c r="B4582" s="21"/>
      <c r="D4582" s="25"/>
      <c r="E4582" s="27"/>
      <c r="F4582" s="25"/>
      <c r="G4582" s="27"/>
    </row>
    <row r="4583">
      <c r="A4583" s="21"/>
      <c r="B4583" s="21"/>
      <c r="D4583" s="25"/>
      <c r="E4583" s="27"/>
      <c r="F4583" s="25"/>
      <c r="G4583" s="27"/>
    </row>
    <row r="4584">
      <c r="A4584" s="21"/>
      <c r="B4584" s="21"/>
      <c r="D4584" s="25"/>
      <c r="E4584" s="27"/>
      <c r="F4584" s="25"/>
      <c r="G4584" s="27"/>
    </row>
    <row r="4585">
      <c r="A4585" s="21"/>
      <c r="B4585" s="21"/>
      <c r="D4585" s="25"/>
      <c r="E4585" s="27"/>
      <c r="F4585" s="25"/>
      <c r="G4585" s="27"/>
    </row>
    <row r="4586">
      <c r="A4586" s="21"/>
      <c r="B4586" s="21"/>
      <c r="D4586" s="25"/>
      <c r="E4586" s="27"/>
      <c r="F4586" s="25"/>
      <c r="G4586" s="27"/>
    </row>
    <row r="4587">
      <c r="A4587" s="21"/>
      <c r="B4587" s="21"/>
      <c r="D4587" s="25"/>
      <c r="E4587" s="27"/>
      <c r="F4587" s="25"/>
      <c r="G4587" s="27"/>
    </row>
    <row r="4588">
      <c r="A4588" s="21"/>
      <c r="B4588" s="21"/>
      <c r="D4588" s="25"/>
      <c r="E4588" s="27"/>
      <c r="F4588" s="25"/>
      <c r="G4588" s="27"/>
    </row>
    <row r="4589">
      <c r="A4589" s="21"/>
      <c r="B4589" s="21"/>
      <c r="D4589" s="25"/>
      <c r="E4589" s="27"/>
      <c r="F4589" s="25"/>
      <c r="G4589" s="27"/>
    </row>
    <row r="4590">
      <c r="A4590" s="21"/>
      <c r="B4590" s="21"/>
      <c r="D4590" s="25"/>
      <c r="E4590" s="27"/>
      <c r="F4590" s="25"/>
      <c r="G4590" s="27"/>
    </row>
    <row r="4591">
      <c r="A4591" s="21"/>
      <c r="B4591" s="21"/>
      <c r="D4591" s="25"/>
      <c r="E4591" s="27"/>
      <c r="F4591" s="25"/>
      <c r="G4591" s="27"/>
    </row>
    <row r="4592">
      <c r="A4592" s="21"/>
      <c r="B4592" s="21"/>
      <c r="D4592" s="25"/>
      <c r="E4592" s="27"/>
      <c r="F4592" s="25"/>
      <c r="G4592" s="27"/>
    </row>
    <row r="4593">
      <c r="A4593" s="21"/>
      <c r="B4593" s="21"/>
      <c r="D4593" s="25"/>
      <c r="E4593" s="27"/>
      <c r="F4593" s="25"/>
      <c r="G4593" s="27"/>
    </row>
    <row r="4594">
      <c r="A4594" s="21"/>
      <c r="B4594" s="21"/>
      <c r="D4594" s="25"/>
      <c r="E4594" s="27"/>
      <c r="F4594" s="25"/>
      <c r="G4594" s="27"/>
    </row>
    <row r="4595">
      <c r="A4595" s="21"/>
      <c r="B4595" s="21"/>
      <c r="D4595" s="25"/>
      <c r="E4595" s="27"/>
      <c r="F4595" s="25"/>
      <c r="G4595" s="27"/>
    </row>
    <row r="4596">
      <c r="A4596" s="21"/>
      <c r="B4596" s="21"/>
      <c r="D4596" s="25"/>
      <c r="E4596" s="27"/>
      <c r="F4596" s="25"/>
      <c r="G4596" s="27"/>
    </row>
    <row r="4597">
      <c r="A4597" s="21"/>
      <c r="B4597" s="21"/>
      <c r="D4597" s="25"/>
      <c r="E4597" s="27"/>
      <c r="F4597" s="25"/>
      <c r="G4597" s="27"/>
    </row>
    <row r="4598">
      <c r="A4598" s="21"/>
      <c r="B4598" s="21"/>
      <c r="D4598" s="25"/>
      <c r="E4598" s="27"/>
      <c r="F4598" s="25"/>
      <c r="G4598" s="27"/>
    </row>
    <row r="4599">
      <c r="A4599" s="21"/>
      <c r="B4599" s="21"/>
      <c r="D4599" s="25"/>
      <c r="E4599" s="27"/>
      <c r="F4599" s="25"/>
      <c r="G4599" s="27"/>
    </row>
    <row r="4600">
      <c r="A4600" s="21"/>
      <c r="B4600" s="21"/>
      <c r="D4600" s="25"/>
      <c r="E4600" s="27"/>
      <c r="F4600" s="25"/>
      <c r="G4600" s="27"/>
    </row>
    <row r="4601">
      <c r="A4601" s="21"/>
      <c r="B4601" s="21"/>
      <c r="D4601" s="25"/>
      <c r="E4601" s="27"/>
      <c r="F4601" s="25"/>
      <c r="G4601" s="27"/>
    </row>
    <row r="4602">
      <c r="A4602" s="21"/>
      <c r="B4602" s="21"/>
      <c r="D4602" s="25"/>
      <c r="E4602" s="27"/>
      <c r="F4602" s="25"/>
      <c r="G4602" s="27"/>
    </row>
    <row r="4603">
      <c r="A4603" s="21"/>
      <c r="B4603" s="21"/>
      <c r="D4603" s="25"/>
      <c r="E4603" s="27"/>
      <c r="F4603" s="25"/>
      <c r="G4603" s="27"/>
    </row>
    <row r="4604">
      <c r="A4604" s="21"/>
      <c r="B4604" s="21"/>
      <c r="D4604" s="25"/>
      <c r="E4604" s="27"/>
      <c r="F4604" s="25"/>
      <c r="G4604" s="27"/>
    </row>
    <row r="4605">
      <c r="A4605" s="21"/>
      <c r="B4605" s="21"/>
      <c r="D4605" s="25"/>
      <c r="E4605" s="27"/>
      <c r="F4605" s="25"/>
      <c r="G4605" s="27"/>
    </row>
    <row r="4606">
      <c r="A4606" s="21"/>
      <c r="B4606" s="21"/>
      <c r="D4606" s="25"/>
      <c r="E4606" s="27"/>
      <c r="F4606" s="25"/>
      <c r="G4606" s="27"/>
    </row>
    <row r="4607">
      <c r="A4607" s="21"/>
      <c r="B4607" s="21"/>
      <c r="D4607" s="25"/>
      <c r="E4607" s="27"/>
      <c r="F4607" s="25"/>
      <c r="G4607" s="27"/>
    </row>
    <row r="4608">
      <c r="A4608" s="21"/>
      <c r="B4608" s="21"/>
      <c r="D4608" s="25"/>
      <c r="E4608" s="27"/>
      <c r="F4608" s="25"/>
      <c r="G4608" s="27"/>
    </row>
    <row r="4609">
      <c r="A4609" s="21"/>
      <c r="B4609" s="21"/>
      <c r="D4609" s="25"/>
      <c r="E4609" s="27"/>
      <c r="F4609" s="25"/>
      <c r="G4609" s="27"/>
    </row>
    <row r="4610">
      <c r="A4610" s="21"/>
      <c r="B4610" s="21"/>
      <c r="D4610" s="25"/>
      <c r="E4610" s="27"/>
      <c r="F4610" s="25"/>
      <c r="G4610" s="27"/>
    </row>
    <row r="4611">
      <c r="A4611" s="21"/>
      <c r="B4611" s="21"/>
      <c r="D4611" s="25"/>
      <c r="E4611" s="27"/>
      <c r="F4611" s="25"/>
      <c r="G4611" s="27"/>
    </row>
    <row r="4612">
      <c r="A4612" s="21"/>
      <c r="B4612" s="21"/>
      <c r="D4612" s="25"/>
      <c r="E4612" s="27"/>
      <c r="F4612" s="25"/>
      <c r="G4612" s="27"/>
    </row>
    <row r="4613">
      <c r="A4613" s="21"/>
      <c r="B4613" s="21"/>
      <c r="D4613" s="25"/>
      <c r="E4613" s="27"/>
      <c r="F4613" s="25"/>
      <c r="G4613" s="27"/>
    </row>
    <row r="4614">
      <c r="A4614" s="21"/>
      <c r="B4614" s="21"/>
      <c r="D4614" s="25"/>
      <c r="E4614" s="27"/>
      <c r="F4614" s="25"/>
      <c r="G4614" s="27"/>
    </row>
    <row r="4615">
      <c r="A4615" s="21"/>
      <c r="B4615" s="21"/>
      <c r="D4615" s="25"/>
      <c r="E4615" s="27"/>
      <c r="F4615" s="25"/>
      <c r="G4615" s="27"/>
    </row>
    <row r="4616">
      <c r="A4616" s="21"/>
      <c r="B4616" s="21"/>
      <c r="D4616" s="25"/>
      <c r="E4616" s="27"/>
      <c r="F4616" s="25"/>
      <c r="G4616" s="27"/>
    </row>
    <row r="4617">
      <c r="A4617" s="21"/>
      <c r="B4617" s="21"/>
      <c r="D4617" s="25"/>
      <c r="E4617" s="27"/>
      <c r="F4617" s="25"/>
      <c r="G4617" s="27"/>
    </row>
    <row r="4618">
      <c r="A4618" s="21"/>
      <c r="B4618" s="21"/>
      <c r="D4618" s="25"/>
      <c r="E4618" s="27"/>
      <c r="F4618" s="25"/>
      <c r="G4618" s="27"/>
    </row>
    <row r="4619">
      <c r="A4619" s="21"/>
      <c r="B4619" s="21"/>
      <c r="D4619" s="25"/>
      <c r="E4619" s="27"/>
      <c r="F4619" s="25"/>
      <c r="G4619" s="27"/>
    </row>
    <row r="4620">
      <c r="A4620" s="21"/>
      <c r="B4620" s="21"/>
      <c r="D4620" s="25"/>
      <c r="E4620" s="27"/>
      <c r="F4620" s="25"/>
      <c r="G4620" s="27"/>
    </row>
    <row r="4621">
      <c r="A4621" s="21"/>
      <c r="B4621" s="21"/>
      <c r="D4621" s="25"/>
      <c r="E4621" s="27"/>
      <c r="F4621" s="25"/>
      <c r="G4621" s="27"/>
    </row>
    <row r="4622">
      <c r="A4622" s="21"/>
      <c r="B4622" s="21"/>
      <c r="D4622" s="25"/>
      <c r="E4622" s="27"/>
      <c r="F4622" s="25"/>
      <c r="G4622" s="27"/>
    </row>
    <row r="4623">
      <c r="A4623" s="21"/>
      <c r="B4623" s="21"/>
      <c r="D4623" s="25"/>
      <c r="E4623" s="27"/>
      <c r="F4623" s="25"/>
      <c r="G4623" s="27"/>
    </row>
    <row r="4624">
      <c r="A4624" s="21"/>
      <c r="B4624" s="21"/>
      <c r="D4624" s="25"/>
      <c r="E4624" s="27"/>
      <c r="F4624" s="25"/>
      <c r="G4624" s="27"/>
    </row>
    <row r="4625">
      <c r="A4625" s="21"/>
      <c r="B4625" s="21"/>
      <c r="D4625" s="25"/>
      <c r="E4625" s="27"/>
      <c r="F4625" s="25"/>
      <c r="G4625" s="27"/>
    </row>
    <row r="4626">
      <c r="A4626" s="21"/>
      <c r="B4626" s="21"/>
      <c r="D4626" s="25"/>
      <c r="E4626" s="27"/>
      <c r="F4626" s="25"/>
      <c r="G4626" s="27"/>
    </row>
    <row r="4627">
      <c r="A4627" s="21"/>
      <c r="B4627" s="21"/>
      <c r="D4627" s="25"/>
      <c r="E4627" s="27"/>
      <c r="F4627" s="25"/>
      <c r="G4627" s="27"/>
    </row>
    <row r="4628">
      <c r="A4628" s="21"/>
      <c r="B4628" s="21"/>
      <c r="D4628" s="25"/>
      <c r="E4628" s="27"/>
      <c r="F4628" s="25"/>
      <c r="G4628" s="27"/>
    </row>
    <row r="4629">
      <c r="A4629" s="21"/>
      <c r="B4629" s="21"/>
      <c r="D4629" s="25"/>
      <c r="E4629" s="27"/>
      <c r="F4629" s="25"/>
      <c r="G4629" s="27"/>
    </row>
    <row r="4630">
      <c r="A4630" s="21"/>
      <c r="B4630" s="21"/>
      <c r="D4630" s="25"/>
      <c r="E4630" s="27"/>
      <c r="F4630" s="25"/>
      <c r="G4630" s="27"/>
    </row>
    <row r="4631">
      <c r="A4631" s="21"/>
      <c r="B4631" s="21"/>
      <c r="D4631" s="25"/>
      <c r="E4631" s="27"/>
      <c r="F4631" s="25"/>
      <c r="G4631" s="27"/>
    </row>
    <row r="4632">
      <c r="A4632" s="21"/>
      <c r="B4632" s="21"/>
      <c r="D4632" s="25"/>
      <c r="E4632" s="27"/>
      <c r="F4632" s="25"/>
      <c r="G4632" s="27"/>
    </row>
    <row r="4633">
      <c r="A4633" s="21"/>
      <c r="B4633" s="21"/>
      <c r="D4633" s="25"/>
      <c r="E4633" s="27"/>
      <c r="F4633" s="25"/>
      <c r="G4633" s="27"/>
    </row>
    <row r="4634">
      <c r="A4634" s="21"/>
      <c r="B4634" s="21"/>
      <c r="D4634" s="25"/>
      <c r="E4634" s="27"/>
      <c r="F4634" s="25"/>
      <c r="G4634" s="27"/>
    </row>
    <row r="4635">
      <c r="A4635" s="21"/>
      <c r="B4635" s="21"/>
      <c r="D4635" s="25"/>
      <c r="E4635" s="27"/>
      <c r="F4635" s="25"/>
      <c r="G4635" s="27"/>
    </row>
    <row r="4636">
      <c r="A4636" s="21"/>
      <c r="B4636" s="21"/>
      <c r="D4636" s="25"/>
      <c r="E4636" s="27"/>
      <c r="F4636" s="25"/>
      <c r="G4636" s="27"/>
    </row>
    <row r="4637">
      <c r="A4637" s="21"/>
      <c r="B4637" s="21"/>
      <c r="D4637" s="25"/>
      <c r="E4637" s="27"/>
      <c r="F4637" s="25"/>
      <c r="G4637" s="27"/>
    </row>
    <row r="4638">
      <c r="A4638" s="21"/>
      <c r="B4638" s="21"/>
      <c r="D4638" s="25"/>
      <c r="E4638" s="27"/>
      <c r="F4638" s="25"/>
      <c r="G4638" s="27"/>
    </row>
    <row r="4639">
      <c r="A4639" s="21"/>
      <c r="B4639" s="21"/>
      <c r="D4639" s="25"/>
      <c r="E4639" s="27"/>
      <c r="F4639" s="25"/>
      <c r="G4639" s="27"/>
    </row>
    <row r="4640">
      <c r="A4640" s="21"/>
      <c r="B4640" s="21"/>
      <c r="D4640" s="25"/>
      <c r="E4640" s="27"/>
      <c r="F4640" s="25"/>
      <c r="G4640" s="27"/>
    </row>
    <row r="4641">
      <c r="A4641" s="21"/>
      <c r="B4641" s="21"/>
      <c r="D4641" s="25"/>
      <c r="E4641" s="27"/>
      <c r="F4641" s="25"/>
      <c r="G4641" s="27"/>
    </row>
    <row r="4642">
      <c r="A4642" s="21"/>
      <c r="B4642" s="21"/>
      <c r="D4642" s="25"/>
      <c r="E4642" s="27"/>
      <c r="F4642" s="25"/>
      <c r="G4642" s="27"/>
    </row>
    <row r="4643">
      <c r="A4643" s="21"/>
      <c r="B4643" s="21"/>
      <c r="D4643" s="25"/>
      <c r="E4643" s="27"/>
      <c r="F4643" s="25"/>
      <c r="G4643" s="27"/>
    </row>
    <row r="4644">
      <c r="A4644" s="21"/>
      <c r="B4644" s="21"/>
      <c r="D4644" s="25"/>
      <c r="E4644" s="27"/>
      <c r="F4644" s="25"/>
      <c r="G4644" s="27"/>
    </row>
    <row r="4645">
      <c r="A4645" s="21"/>
      <c r="B4645" s="21"/>
      <c r="D4645" s="25"/>
      <c r="E4645" s="27"/>
      <c r="F4645" s="25"/>
      <c r="G4645" s="27"/>
    </row>
    <row r="4646">
      <c r="A4646" s="21"/>
      <c r="B4646" s="21"/>
      <c r="D4646" s="25"/>
      <c r="E4646" s="27"/>
      <c r="F4646" s="25"/>
      <c r="G4646" s="27"/>
    </row>
    <row r="4647">
      <c r="A4647" s="21"/>
      <c r="B4647" s="21"/>
      <c r="D4647" s="25"/>
      <c r="E4647" s="27"/>
      <c r="F4647" s="25"/>
      <c r="G4647" s="27"/>
    </row>
    <row r="4648">
      <c r="A4648" s="21"/>
      <c r="B4648" s="21"/>
      <c r="D4648" s="25"/>
      <c r="E4648" s="27"/>
      <c r="F4648" s="25"/>
      <c r="G4648" s="27"/>
    </row>
    <row r="4649">
      <c r="A4649" s="21"/>
      <c r="B4649" s="21"/>
      <c r="D4649" s="25"/>
      <c r="E4649" s="27"/>
      <c r="F4649" s="25"/>
      <c r="G4649" s="27"/>
    </row>
    <row r="4650">
      <c r="A4650" s="21"/>
      <c r="B4650" s="21"/>
      <c r="D4650" s="25"/>
      <c r="E4650" s="27"/>
      <c r="F4650" s="25"/>
      <c r="G4650" s="27"/>
    </row>
    <row r="4651">
      <c r="A4651" s="21"/>
      <c r="B4651" s="21"/>
      <c r="D4651" s="25"/>
      <c r="E4651" s="27"/>
      <c r="F4651" s="25"/>
      <c r="G4651" s="27"/>
    </row>
    <row r="4652">
      <c r="A4652" s="21"/>
      <c r="B4652" s="21"/>
      <c r="D4652" s="25"/>
      <c r="E4652" s="27"/>
      <c r="F4652" s="25"/>
      <c r="G4652" s="27"/>
    </row>
    <row r="4653">
      <c r="A4653" s="21"/>
      <c r="B4653" s="21"/>
      <c r="D4653" s="25"/>
      <c r="E4653" s="27"/>
      <c r="F4653" s="25"/>
      <c r="G4653" s="27"/>
    </row>
    <row r="4654">
      <c r="A4654" s="21"/>
      <c r="B4654" s="21"/>
      <c r="D4654" s="25"/>
      <c r="E4654" s="27"/>
      <c r="F4654" s="25"/>
      <c r="G4654" s="27"/>
    </row>
    <row r="4655">
      <c r="A4655" s="21"/>
      <c r="B4655" s="21"/>
      <c r="D4655" s="25"/>
      <c r="E4655" s="27"/>
      <c r="F4655" s="25"/>
      <c r="G4655" s="27"/>
    </row>
    <row r="4656">
      <c r="A4656" s="21"/>
      <c r="B4656" s="21"/>
      <c r="D4656" s="25"/>
      <c r="E4656" s="27"/>
      <c r="F4656" s="25"/>
      <c r="G4656" s="27"/>
    </row>
    <row r="4657">
      <c r="A4657" s="21"/>
      <c r="B4657" s="21"/>
      <c r="D4657" s="25"/>
      <c r="E4657" s="27"/>
      <c r="F4657" s="25"/>
      <c r="G4657" s="27"/>
    </row>
    <row r="4658">
      <c r="A4658" s="21"/>
      <c r="B4658" s="21"/>
      <c r="D4658" s="25"/>
      <c r="E4658" s="27"/>
      <c r="F4658" s="25"/>
      <c r="G4658" s="27"/>
    </row>
    <row r="4659">
      <c r="A4659" s="21"/>
      <c r="B4659" s="21"/>
      <c r="D4659" s="25"/>
      <c r="E4659" s="27"/>
      <c r="F4659" s="25"/>
      <c r="G4659" s="27"/>
    </row>
    <row r="4660">
      <c r="A4660" s="21"/>
      <c r="B4660" s="21"/>
      <c r="D4660" s="25"/>
      <c r="E4660" s="27"/>
      <c r="F4660" s="25"/>
      <c r="G4660" s="27"/>
    </row>
    <row r="4661">
      <c r="A4661" s="21"/>
      <c r="B4661" s="21"/>
      <c r="D4661" s="25"/>
      <c r="E4661" s="27"/>
      <c r="F4661" s="25"/>
      <c r="G4661" s="27"/>
    </row>
    <row r="4662">
      <c r="A4662" s="21"/>
      <c r="B4662" s="21"/>
      <c r="D4662" s="25"/>
      <c r="E4662" s="27"/>
      <c r="F4662" s="25"/>
      <c r="G4662" s="27"/>
    </row>
    <row r="4663">
      <c r="A4663" s="21"/>
      <c r="B4663" s="21"/>
      <c r="D4663" s="25"/>
      <c r="E4663" s="27"/>
      <c r="F4663" s="25"/>
      <c r="G4663" s="27"/>
    </row>
    <row r="4664">
      <c r="A4664" s="21"/>
      <c r="B4664" s="21"/>
      <c r="D4664" s="25"/>
      <c r="E4664" s="27"/>
      <c r="F4664" s="25"/>
      <c r="G4664" s="27"/>
    </row>
    <row r="4665">
      <c r="A4665" s="21"/>
      <c r="B4665" s="21"/>
      <c r="D4665" s="25"/>
      <c r="E4665" s="27"/>
      <c r="F4665" s="25"/>
      <c r="G4665" s="27"/>
    </row>
    <row r="4666">
      <c r="A4666" s="21"/>
      <c r="B4666" s="21"/>
      <c r="D4666" s="25"/>
      <c r="E4666" s="27"/>
      <c r="F4666" s="25"/>
      <c r="G4666" s="27"/>
    </row>
    <row r="4667">
      <c r="A4667" s="21"/>
      <c r="B4667" s="21"/>
      <c r="D4667" s="25"/>
      <c r="E4667" s="27"/>
      <c r="F4667" s="25"/>
      <c r="G4667" s="27"/>
    </row>
    <row r="4668">
      <c r="A4668" s="21"/>
      <c r="B4668" s="21"/>
      <c r="D4668" s="25"/>
      <c r="E4668" s="27"/>
      <c r="F4668" s="25"/>
      <c r="G4668" s="27"/>
    </row>
    <row r="4669">
      <c r="A4669" s="21"/>
      <c r="B4669" s="21"/>
      <c r="D4669" s="25"/>
      <c r="E4669" s="27"/>
      <c r="F4669" s="25"/>
      <c r="G4669" s="27"/>
    </row>
    <row r="4670">
      <c r="A4670" s="21"/>
      <c r="B4670" s="21"/>
      <c r="D4670" s="25"/>
      <c r="E4670" s="27"/>
      <c r="F4670" s="25"/>
      <c r="G4670" s="27"/>
    </row>
    <row r="4671">
      <c r="A4671" s="21"/>
      <c r="B4671" s="21"/>
      <c r="D4671" s="25"/>
      <c r="E4671" s="27"/>
      <c r="F4671" s="25"/>
      <c r="G4671" s="27"/>
    </row>
    <row r="4672">
      <c r="A4672" s="21"/>
      <c r="B4672" s="21"/>
      <c r="D4672" s="25"/>
      <c r="E4672" s="27"/>
      <c r="F4672" s="25"/>
      <c r="G4672" s="27"/>
    </row>
    <row r="4673">
      <c r="A4673" s="21"/>
      <c r="B4673" s="21"/>
      <c r="D4673" s="25"/>
      <c r="E4673" s="27"/>
      <c r="F4673" s="25"/>
      <c r="G4673" s="27"/>
    </row>
    <row r="4674">
      <c r="A4674" s="21"/>
      <c r="B4674" s="21"/>
      <c r="D4674" s="25"/>
      <c r="E4674" s="27"/>
      <c r="F4674" s="25"/>
      <c r="G4674" s="27"/>
    </row>
    <row r="4675">
      <c r="A4675" s="21"/>
      <c r="B4675" s="21"/>
      <c r="D4675" s="25"/>
      <c r="E4675" s="27"/>
      <c r="F4675" s="25"/>
      <c r="G4675" s="27"/>
    </row>
    <row r="4676">
      <c r="A4676" s="21"/>
      <c r="B4676" s="21"/>
      <c r="D4676" s="25"/>
      <c r="E4676" s="27"/>
      <c r="F4676" s="25"/>
      <c r="G4676" s="27"/>
    </row>
    <row r="4677">
      <c r="A4677" s="21"/>
      <c r="B4677" s="21"/>
      <c r="D4677" s="25"/>
      <c r="E4677" s="27"/>
      <c r="F4677" s="25"/>
      <c r="G4677" s="27"/>
    </row>
    <row r="4678">
      <c r="A4678" s="21"/>
      <c r="B4678" s="21"/>
      <c r="D4678" s="25"/>
      <c r="E4678" s="27"/>
      <c r="F4678" s="25"/>
      <c r="G4678" s="27"/>
    </row>
    <row r="4679">
      <c r="A4679" s="21"/>
      <c r="B4679" s="21"/>
      <c r="D4679" s="25"/>
      <c r="E4679" s="27"/>
      <c r="F4679" s="25"/>
      <c r="G4679" s="27"/>
    </row>
    <row r="4680">
      <c r="A4680" s="21"/>
      <c r="B4680" s="21"/>
      <c r="D4680" s="25"/>
      <c r="E4680" s="27"/>
      <c r="F4680" s="25"/>
      <c r="G4680" s="27"/>
    </row>
    <row r="4681">
      <c r="A4681" s="21"/>
      <c r="B4681" s="21"/>
      <c r="D4681" s="25"/>
      <c r="E4681" s="27"/>
      <c r="F4681" s="25"/>
      <c r="G4681" s="27"/>
    </row>
    <row r="4682">
      <c r="A4682" s="21"/>
      <c r="B4682" s="21"/>
      <c r="D4682" s="25"/>
      <c r="E4682" s="27"/>
      <c r="F4682" s="25"/>
      <c r="G4682" s="27"/>
    </row>
    <row r="4683">
      <c r="A4683" s="21"/>
      <c r="B4683" s="21"/>
      <c r="D4683" s="25"/>
      <c r="E4683" s="27"/>
      <c r="F4683" s="25"/>
      <c r="G4683" s="27"/>
    </row>
    <row r="4684">
      <c r="A4684" s="21"/>
      <c r="B4684" s="21"/>
      <c r="D4684" s="25"/>
      <c r="E4684" s="27"/>
      <c r="F4684" s="25"/>
      <c r="G4684" s="27"/>
    </row>
    <row r="4685">
      <c r="A4685" s="21"/>
      <c r="B4685" s="21"/>
      <c r="D4685" s="25"/>
      <c r="E4685" s="27"/>
      <c r="F4685" s="25"/>
      <c r="G4685" s="27"/>
    </row>
    <row r="4686">
      <c r="A4686" s="21"/>
      <c r="B4686" s="21"/>
      <c r="D4686" s="25"/>
      <c r="E4686" s="27"/>
      <c r="F4686" s="25"/>
      <c r="G4686" s="27"/>
    </row>
    <row r="4687">
      <c r="A4687" s="21"/>
      <c r="B4687" s="21"/>
      <c r="D4687" s="25"/>
      <c r="E4687" s="27"/>
      <c r="F4687" s="25"/>
      <c r="G4687" s="27"/>
    </row>
    <row r="4688">
      <c r="A4688" s="21"/>
      <c r="B4688" s="21"/>
      <c r="D4688" s="25"/>
      <c r="E4688" s="27"/>
      <c r="F4688" s="25"/>
      <c r="G4688" s="27"/>
    </row>
    <row r="4689">
      <c r="A4689" s="21"/>
      <c r="B4689" s="21"/>
      <c r="D4689" s="25"/>
      <c r="E4689" s="27"/>
      <c r="F4689" s="25"/>
      <c r="G4689" s="27"/>
    </row>
    <row r="4690">
      <c r="A4690" s="21"/>
      <c r="B4690" s="21"/>
      <c r="D4690" s="25"/>
      <c r="E4690" s="27"/>
      <c r="F4690" s="25"/>
      <c r="G4690" s="27"/>
    </row>
    <row r="4691">
      <c r="A4691" s="21"/>
      <c r="B4691" s="21"/>
      <c r="D4691" s="25"/>
      <c r="E4691" s="27"/>
      <c r="F4691" s="25"/>
      <c r="G4691" s="27"/>
    </row>
    <row r="4692">
      <c r="A4692" s="21"/>
      <c r="B4692" s="21"/>
      <c r="D4692" s="25"/>
      <c r="E4692" s="27"/>
      <c r="F4692" s="25"/>
      <c r="G4692" s="27"/>
    </row>
    <row r="4693">
      <c r="A4693" s="21"/>
      <c r="B4693" s="21"/>
      <c r="D4693" s="25"/>
      <c r="E4693" s="27"/>
      <c r="F4693" s="25"/>
      <c r="G4693" s="27"/>
    </row>
    <row r="4694">
      <c r="A4694" s="21"/>
      <c r="B4694" s="21"/>
      <c r="D4694" s="25"/>
      <c r="E4694" s="27"/>
      <c r="F4694" s="25"/>
      <c r="G4694" s="27"/>
    </row>
    <row r="4695">
      <c r="A4695" s="21"/>
      <c r="B4695" s="21"/>
      <c r="D4695" s="25"/>
      <c r="E4695" s="27"/>
      <c r="F4695" s="25"/>
      <c r="G4695" s="27"/>
    </row>
    <row r="4696">
      <c r="A4696" s="21"/>
      <c r="B4696" s="21"/>
      <c r="D4696" s="25"/>
      <c r="E4696" s="27"/>
      <c r="F4696" s="25"/>
      <c r="G4696" s="27"/>
    </row>
    <row r="4697">
      <c r="A4697" s="21"/>
      <c r="B4697" s="21"/>
      <c r="D4697" s="25"/>
      <c r="E4697" s="27"/>
      <c r="F4697" s="25"/>
      <c r="G4697" s="27"/>
    </row>
    <row r="4698">
      <c r="A4698" s="21"/>
      <c r="B4698" s="21"/>
      <c r="D4698" s="25"/>
      <c r="E4698" s="27"/>
      <c r="F4698" s="25"/>
      <c r="G4698" s="27"/>
    </row>
    <row r="4699">
      <c r="A4699" s="21"/>
      <c r="B4699" s="21"/>
      <c r="D4699" s="25"/>
      <c r="E4699" s="27"/>
      <c r="F4699" s="25"/>
      <c r="G4699" s="27"/>
    </row>
    <row r="4700">
      <c r="A4700" s="21"/>
      <c r="B4700" s="21"/>
      <c r="D4700" s="25"/>
      <c r="E4700" s="27"/>
      <c r="F4700" s="25"/>
      <c r="G4700" s="27"/>
    </row>
    <row r="4701">
      <c r="A4701" s="21"/>
      <c r="B4701" s="21"/>
      <c r="D4701" s="25"/>
      <c r="E4701" s="27"/>
      <c r="F4701" s="25"/>
      <c r="G4701" s="27"/>
    </row>
    <row r="4702">
      <c r="A4702" s="21"/>
      <c r="B4702" s="21"/>
      <c r="D4702" s="25"/>
      <c r="E4702" s="27"/>
      <c r="F4702" s="25"/>
      <c r="G4702" s="27"/>
    </row>
    <row r="4703">
      <c r="A4703" s="21"/>
      <c r="B4703" s="21"/>
      <c r="D4703" s="25"/>
      <c r="E4703" s="27"/>
      <c r="F4703" s="25"/>
      <c r="G4703" s="27"/>
    </row>
    <row r="4704">
      <c r="A4704" s="21"/>
      <c r="B4704" s="21"/>
      <c r="D4704" s="25"/>
      <c r="E4704" s="27"/>
      <c r="F4704" s="25"/>
      <c r="G4704" s="27"/>
    </row>
    <row r="4705">
      <c r="A4705" s="21"/>
      <c r="B4705" s="21"/>
      <c r="D4705" s="25"/>
      <c r="E4705" s="27"/>
      <c r="F4705" s="25"/>
      <c r="G4705" s="27"/>
    </row>
    <row r="4706">
      <c r="A4706" s="21"/>
      <c r="B4706" s="21"/>
      <c r="D4706" s="25"/>
      <c r="E4706" s="27"/>
      <c r="F4706" s="25"/>
      <c r="G4706" s="27"/>
    </row>
    <row r="4707">
      <c r="A4707" s="21"/>
      <c r="B4707" s="21"/>
      <c r="D4707" s="25"/>
      <c r="E4707" s="27"/>
      <c r="F4707" s="25"/>
      <c r="G4707" s="27"/>
    </row>
    <row r="4708">
      <c r="A4708" s="21"/>
      <c r="B4708" s="21"/>
      <c r="D4708" s="25"/>
      <c r="E4708" s="27"/>
      <c r="F4708" s="25"/>
      <c r="G4708" s="27"/>
    </row>
    <row r="4709">
      <c r="A4709" s="21"/>
      <c r="B4709" s="21"/>
      <c r="D4709" s="25"/>
      <c r="E4709" s="27"/>
      <c r="F4709" s="25"/>
      <c r="G4709" s="27"/>
    </row>
    <row r="4710">
      <c r="A4710" s="21"/>
      <c r="B4710" s="21"/>
      <c r="D4710" s="25"/>
      <c r="E4710" s="27"/>
      <c r="F4710" s="25"/>
      <c r="G4710" s="27"/>
    </row>
    <row r="4711">
      <c r="A4711" s="21"/>
      <c r="B4711" s="21"/>
      <c r="D4711" s="25"/>
      <c r="E4711" s="27"/>
      <c r="F4711" s="25"/>
      <c r="G4711" s="27"/>
    </row>
    <row r="4712">
      <c r="A4712" s="21"/>
      <c r="B4712" s="21"/>
      <c r="D4712" s="25"/>
      <c r="E4712" s="27"/>
      <c r="F4712" s="25"/>
      <c r="G4712" s="27"/>
    </row>
    <row r="4713">
      <c r="A4713" s="21"/>
      <c r="B4713" s="21"/>
      <c r="D4713" s="25"/>
      <c r="E4713" s="27"/>
      <c r="F4713" s="25"/>
      <c r="G4713" s="27"/>
    </row>
    <row r="4714">
      <c r="A4714" s="21"/>
      <c r="B4714" s="21"/>
      <c r="D4714" s="25"/>
      <c r="E4714" s="27"/>
      <c r="F4714" s="25"/>
      <c r="G4714" s="27"/>
    </row>
    <row r="4715">
      <c r="A4715" s="21"/>
      <c r="B4715" s="21"/>
      <c r="D4715" s="25"/>
      <c r="E4715" s="27"/>
      <c r="F4715" s="25"/>
      <c r="G4715" s="27"/>
    </row>
    <row r="4716">
      <c r="A4716" s="21"/>
      <c r="B4716" s="21"/>
      <c r="D4716" s="25"/>
      <c r="E4716" s="27"/>
      <c r="F4716" s="25"/>
      <c r="G4716" s="27"/>
    </row>
    <row r="4717">
      <c r="A4717" s="21"/>
      <c r="B4717" s="21"/>
      <c r="D4717" s="25"/>
      <c r="E4717" s="27"/>
      <c r="F4717" s="25"/>
      <c r="G4717" s="27"/>
    </row>
    <row r="4718">
      <c r="A4718" s="21"/>
      <c r="B4718" s="21"/>
      <c r="D4718" s="25"/>
      <c r="E4718" s="27"/>
      <c r="F4718" s="25"/>
      <c r="G4718" s="27"/>
    </row>
    <row r="4719">
      <c r="A4719" s="21"/>
      <c r="B4719" s="21"/>
      <c r="D4719" s="25"/>
      <c r="E4719" s="27"/>
      <c r="F4719" s="25"/>
      <c r="G4719" s="27"/>
    </row>
    <row r="4720">
      <c r="A4720" s="21"/>
      <c r="B4720" s="21"/>
      <c r="D4720" s="25"/>
      <c r="E4720" s="27"/>
      <c r="F4720" s="25"/>
      <c r="G4720" s="27"/>
    </row>
    <row r="4721">
      <c r="A4721" s="21"/>
      <c r="B4721" s="21"/>
      <c r="D4721" s="25"/>
      <c r="E4721" s="27"/>
      <c r="F4721" s="25"/>
      <c r="G4721" s="27"/>
    </row>
    <row r="4722">
      <c r="A4722" s="21"/>
      <c r="B4722" s="21"/>
      <c r="D4722" s="25"/>
      <c r="E4722" s="27"/>
      <c r="F4722" s="25"/>
      <c r="G4722" s="27"/>
    </row>
    <row r="4723">
      <c r="A4723" s="21"/>
      <c r="B4723" s="21"/>
      <c r="D4723" s="25"/>
      <c r="E4723" s="27"/>
      <c r="F4723" s="25"/>
      <c r="G4723" s="27"/>
    </row>
    <row r="4724">
      <c r="A4724" s="21"/>
      <c r="B4724" s="21"/>
      <c r="D4724" s="25"/>
      <c r="E4724" s="27"/>
      <c r="F4724" s="25"/>
      <c r="G4724" s="27"/>
    </row>
    <row r="4725">
      <c r="A4725" s="21"/>
      <c r="B4725" s="21"/>
      <c r="D4725" s="25"/>
      <c r="E4725" s="27"/>
      <c r="F4725" s="25"/>
      <c r="G4725" s="27"/>
    </row>
    <row r="4726">
      <c r="A4726" s="21"/>
      <c r="B4726" s="21"/>
      <c r="D4726" s="25"/>
      <c r="E4726" s="27"/>
      <c r="F4726" s="25"/>
      <c r="G4726" s="27"/>
    </row>
    <row r="4727">
      <c r="A4727" s="21"/>
      <c r="B4727" s="21"/>
      <c r="D4727" s="25"/>
      <c r="E4727" s="27"/>
      <c r="F4727" s="25"/>
      <c r="G4727" s="27"/>
    </row>
    <row r="4728">
      <c r="A4728" s="21"/>
      <c r="B4728" s="21"/>
      <c r="D4728" s="25"/>
      <c r="E4728" s="27"/>
      <c r="F4728" s="25"/>
      <c r="G4728" s="27"/>
    </row>
    <row r="4729">
      <c r="A4729" s="21"/>
      <c r="B4729" s="21"/>
      <c r="D4729" s="25"/>
      <c r="E4729" s="27"/>
      <c r="F4729" s="25"/>
      <c r="G4729" s="27"/>
    </row>
    <row r="4730">
      <c r="A4730" s="21"/>
      <c r="B4730" s="21"/>
      <c r="D4730" s="25"/>
      <c r="E4730" s="27"/>
      <c r="F4730" s="25"/>
      <c r="G4730" s="27"/>
    </row>
    <row r="4731">
      <c r="A4731" s="21"/>
      <c r="B4731" s="21"/>
      <c r="D4731" s="25"/>
      <c r="E4731" s="27"/>
      <c r="F4731" s="25"/>
      <c r="G4731" s="27"/>
    </row>
    <row r="4732">
      <c r="A4732" s="21"/>
      <c r="B4732" s="21"/>
      <c r="D4732" s="25"/>
      <c r="E4732" s="27"/>
      <c r="F4732" s="25"/>
      <c r="G4732" s="27"/>
    </row>
    <row r="4733">
      <c r="A4733" s="21"/>
      <c r="B4733" s="21"/>
      <c r="D4733" s="25"/>
      <c r="E4733" s="27"/>
      <c r="F4733" s="25"/>
      <c r="G4733" s="27"/>
    </row>
    <row r="4734">
      <c r="A4734" s="21"/>
      <c r="B4734" s="21"/>
      <c r="D4734" s="25"/>
      <c r="E4734" s="27"/>
      <c r="F4734" s="25"/>
      <c r="G4734" s="27"/>
    </row>
    <row r="4735">
      <c r="A4735" s="21"/>
      <c r="B4735" s="21"/>
      <c r="D4735" s="25"/>
      <c r="E4735" s="27"/>
      <c r="F4735" s="25"/>
      <c r="G4735" s="27"/>
    </row>
    <row r="4736">
      <c r="A4736" s="21"/>
      <c r="B4736" s="21"/>
      <c r="D4736" s="25"/>
      <c r="E4736" s="27"/>
      <c r="F4736" s="25"/>
      <c r="G4736" s="27"/>
    </row>
    <row r="4737">
      <c r="A4737" s="21"/>
      <c r="B4737" s="21"/>
      <c r="D4737" s="25"/>
      <c r="E4737" s="27"/>
      <c r="F4737" s="25"/>
      <c r="G4737" s="27"/>
    </row>
    <row r="4738">
      <c r="A4738" s="21"/>
      <c r="B4738" s="21"/>
      <c r="D4738" s="25"/>
      <c r="E4738" s="27"/>
      <c r="F4738" s="25"/>
      <c r="G4738" s="27"/>
    </row>
    <row r="4739">
      <c r="A4739" s="21"/>
      <c r="B4739" s="21"/>
      <c r="D4739" s="25"/>
      <c r="E4739" s="27"/>
      <c r="F4739" s="25"/>
      <c r="G4739" s="27"/>
    </row>
    <row r="4740">
      <c r="A4740" s="21"/>
      <c r="B4740" s="21"/>
      <c r="D4740" s="25"/>
      <c r="E4740" s="27"/>
      <c r="F4740" s="25"/>
      <c r="G4740" s="27"/>
    </row>
    <row r="4741">
      <c r="A4741" s="21"/>
      <c r="B4741" s="21"/>
      <c r="D4741" s="25"/>
      <c r="E4741" s="27"/>
      <c r="F4741" s="25"/>
      <c r="G4741" s="27"/>
    </row>
    <row r="4742">
      <c r="A4742" s="21"/>
      <c r="B4742" s="21"/>
      <c r="D4742" s="25"/>
      <c r="E4742" s="27"/>
      <c r="F4742" s="25"/>
      <c r="G4742" s="27"/>
    </row>
    <row r="4743">
      <c r="A4743" s="21"/>
      <c r="B4743" s="21"/>
      <c r="D4743" s="25"/>
      <c r="E4743" s="27"/>
      <c r="F4743" s="25"/>
      <c r="G4743" s="27"/>
    </row>
    <row r="4744">
      <c r="A4744" s="21"/>
      <c r="B4744" s="21"/>
      <c r="D4744" s="25"/>
      <c r="E4744" s="27"/>
      <c r="F4744" s="25"/>
      <c r="G4744" s="27"/>
    </row>
    <row r="4745">
      <c r="A4745" s="21"/>
      <c r="B4745" s="21"/>
      <c r="D4745" s="25"/>
      <c r="E4745" s="27"/>
      <c r="F4745" s="25"/>
      <c r="G4745" s="27"/>
    </row>
    <row r="4746">
      <c r="A4746" s="21"/>
      <c r="B4746" s="21"/>
      <c r="D4746" s="25"/>
      <c r="E4746" s="27"/>
      <c r="F4746" s="25"/>
      <c r="G4746" s="27"/>
    </row>
    <row r="4747">
      <c r="A4747" s="21"/>
      <c r="B4747" s="21"/>
      <c r="D4747" s="25"/>
      <c r="E4747" s="27"/>
      <c r="F4747" s="25"/>
      <c r="G4747" s="27"/>
    </row>
    <row r="4748">
      <c r="A4748" s="21"/>
      <c r="B4748" s="21"/>
      <c r="D4748" s="25"/>
      <c r="E4748" s="27"/>
      <c r="F4748" s="25"/>
      <c r="G4748" s="27"/>
    </row>
    <row r="4749">
      <c r="A4749" s="21"/>
      <c r="B4749" s="21"/>
      <c r="D4749" s="25"/>
      <c r="E4749" s="27"/>
      <c r="F4749" s="25"/>
      <c r="G4749" s="27"/>
    </row>
    <row r="4750">
      <c r="A4750" s="21"/>
      <c r="B4750" s="21"/>
      <c r="D4750" s="25"/>
      <c r="E4750" s="27"/>
      <c r="F4750" s="25"/>
      <c r="G4750" s="27"/>
    </row>
    <row r="4751">
      <c r="A4751" s="21"/>
      <c r="B4751" s="21"/>
      <c r="D4751" s="25"/>
      <c r="E4751" s="27"/>
      <c r="F4751" s="25"/>
      <c r="G4751" s="27"/>
    </row>
    <row r="4752">
      <c r="A4752" s="21"/>
      <c r="B4752" s="21"/>
      <c r="D4752" s="25"/>
      <c r="E4752" s="27"/>
      <c r="F4752" s="25"/>
      <c r="G4752" s="27"/>
    </row>
    <row r="4753">
      <c r="A4753" s="21"/>
      <c r="B4753" s="21"/>
      <c r="D4753" s="25"/>
      <c r="E4753" s="27"/>
      <c r="F4753" s="25"/>
      <c r="G4753" s="27"/>
    </row>
    <row r="4754">
      <c r="A4754" s="21"/>
      <c r="B4754" s="21"/>
      <c r="D4754" s="25"/>
      <c r="E4754" s="27"/>
      <c r="F4754" s="25"/>
      <c r="G4754" s="27"/>
    </row>
    <row r="4755">
      <c r="A4755" s="21"/>
      <c r="B4755" s="21"/>
      <c r="D4755" s="25"/>
      <c r="E4755" s="27"/>
      <c r="F4755" s="25"/>
      <c r="G4755" s="27"/>
    </row>
    <row r="4756">
      <c r="A4756" s="21"/>
      <c r="B4756" s="21"/>
      <c r="D4756" s="25"/>
      <c r="E4756" s="27"/>
      <c r="F4756" s="25"/>
      <c r="G4756" s="27"/>
    </row>
    <row r="4757">
      <c r="A4757" s="21"/>
      <c r="B4757" s="21"/>
      <c r="D4757" s="25"/>
      <c r="E4757" s="27"/>
      <c r="F4757" s="25"/>
      <c r="G4757" s="27"/>
    </row>
    <row r="4758">
      <c r="A4758" s="21"/>
      <c r="B4758" s="21"/>
      <c r="D4758" s="25"/>
      <c r="E4758" s="27"/>
      <c r="F4758" s="25"/>
      <c r="G4758" s="27"/>
    </row>
    <row r="4759">
      <c r="A4759" s="21"/>
      <c r="B4759" s="21"/>
      <c r="D4759" s="25"/>
      <c r="E4759" s="27"/>
      <c r="F4759" s="25"/>
      <c r="G4759" s="27"/>
    </row>
    <row r="4760">
      <c r="A4760" s="21"/>
      <c r="B4760" s="21"/>
      <c r="D4760" s="25"/>
      <c r="E4760" s="27"/>
      <c r="F4760" s="25"/>
      <c r="G4760" s="27"/>
    </row>
    <row r="4761">
      <c r="A4761" s="21"/>
      <c r="B4761" s="21"/>
      <c r="D4761" s="25"/>
      <c r="E4761" s="27"/>
      <c r="F4761" s="25"/>
      <c r="G4761" s="27"/>
    </row>
    <row r="4762">
      <c r="A4762" s="21"/>
      <c r="B4762" s="21"/>
      <c r="D4762" s="25"/>
      <c r="E4762" s="27"/>
      <c r="F4762" s="25"/>
      <c r="G4762" s="27"/>
    </row>
    <row r="4763">
      <c r="A4763" s="21"/>
      <c r="B4763" s="21"/>
      <c r="D4763" s="25"/>
      <c r="E4763" s="27"/>
      <c r="F4763" s="25"/>
      <c r="G4763" s="27"/>
    </row>
    <row r="4764">
      <c r="A4764" s="21"/>
      <c r="B4764" s="21"/>
      <c r="D4764" s="25"/>
      <c r="E4764" s="27"/>
      <c r="F4764" s="25"/>
      <c r="G4764" s="27"/>
    </row>
    <row r="4765">
      <c r="A4765" s="21"/>
      <c r="B4765" s="21"/>
      <c r="D4765" s="25"/>
      <c r="E4765" s="27"/>
      <c r="F4765" s="25"/>
      <c r="G4765" s="27"/>
    </row>
    <row r="4766">
      <c r="A4766" s="21"/>
      <c r="B4766" s="21"/>
      <c r="D4766" s="25"/>
      <c r="E4766" s="27"/>
      <c r="F4766" s="25"/>
      <c r="G4766" s="27"/>
    </row>
    <row r="4767">
      <c r="A4767" s="21"/>
      <c r="B4767" s="21"/>
      <c r="D4767" s="25"/>
      <c r="E4767" s="27"/>
      <c r="F4767" s="25"/>
      <c r="G4767" s="27"/>
    </row>
    <row r="4768">
      <c r="A4768" s="21"/>
      <c r="B4768" s="21"/>
      <c r="D4768" s="25"/>
      <c r="E4768" s="27"/>
      <c r="F4768" s="25"/>
      <c r="G4768" s="27"/>
    </row>
    <row r="4769">
      <c r="A4769" s="21"/>
      <c r="B4769" s="21"/>
      <c r="D4769" s="25"/>
      <c r="E4769" s="27"/>
      <c r="F4769" s="25"/>
      <c r="G4769" s="27"/>
    </row>
    <row r="4770">
      <c r="A4770" s="21"/>
      <c r="B4770" s="21"/>
      <c r="D4770" s="25"/>
      <c r="E4770" s="27"/>
      <c r="F4770" s="25"/>
      <c r="G4770" s="27"/>
    </row>
    <row r="4771">
      <c r="A4771" s="21"/>
      <c r="B4771" s="21"/>
      <c r="D4771" s="25"/>
      <c r="E4771" s="27"/>
      <c r="F4771" s="25"/>
      <c r="G4771" s="27"/>
    </row>
    <row r="4772">
      <c r="A4772" s="21"/>
      <c r="B4772" s="21"/>
      <c r="D4772" s="25"/>
      <c r="E4772" s="27"/>
      <c r="F4772" s="25"/>
      <c r="G4772" s="27"/>
    </row>
    <row r="4773">
      <c r="A4773" s="21"/>
      <c r="B4773" s="21"/>
      <c r="D4773" s="25"/>
      <c r="E4773" s="27"/>
      <c r="F4773" s="25"/>
      <c r="G4773" s="27"/>
    </row>
    <row r="4774">
      <c r="A4774" s="21"/>
      <c r="B4774" s="21"/>
      <c r="D4774" s="25"/>
      <c r="E4774" s="27"/>
      <c r="F4774" s="25"/>
      <c r="G4774" s="27"/>
    </row>
    <row r="4775">
      <c r="A4775" s="21"/>
      <c r="B4775" s="21"/>
      <c r="D4775" s="25"/>
      <c r="E4775" s="27"/>
      <c r="F4775" s="25"/>
      <c r="G4775" s="27"/>
    </row>
    <row r="4776">
      <c r="A4776" s="21"/>
      <c r="B4776" s="21"/>
      <c r="D4776" s="25"/>
      <c r="E4776" s="27"/>
      <c r="F4776" s="25"/>
      <c r="G4776" s="27"/>
    </row>
    <row r="4777">
      <c r="A4777" s="21"/>
      <c r="B4777" s="21"/>
      <c r="D4777" s="25"/>
      <c r="E4777" s="27"/>
      <c r="F4777" s="25"/>
      <c r="G4777" s="27"/>
    </row>
    <row r="4778">
      <c r="A4778" s="21"/>
      <c r="B4778" s="21"/>
      <c r="D4778" s="25"/>
      <c r="E4778" s="27"/>
      <c r="F4778" s="25"/>
      <c r="G4778" s="27"/>
    </row>
    <row r="4779">
      <c r="A4779" s="21"/>
      <c r="B4779" s="21"/>
      <c r="D4779" s="25"/>
      <c r="E4779" s="27"/>
      <c r="F4779" s="25"/>
      <c r="G4779" s="27"/>
    </row>
    <row r="4780">
      <c r="A4780" s="21"/>
      <c r="B4780" s="21"/>
      <c r="D4780" s="25"/>
      <c r="E4780" s="27"/>
      <c r="F4780" s="25"/>
      <c r="G4780" s="27"/>
    </row>
    <row r="4781">
      <c r="A4781" s="21"/>
      <c r="B4781" s="21"/>
      <c r="D4781" s="25"/>
      <c r="E4781" s="27"/>
      <c r="F4781" s="25"/>
      <c r="G4781" s="27"/>
    </row>
    <row r="4782">
      <c r="A4782" s="21"/>
      <c r="B4782" s="21"/>
      <c r="D4782" s="25"/>
      <c r="E4782" s="27"/>
      <c r="F4782" s="25"/>
      <c r="G4782" s="27"/>
    </row>
    <row r="4783">
      <c r="A4783" s="21"/>
      <c r="B4783" s="21"/>
      <c r="D4783" s="25"/>
      <c r="E4783" s="27"/>
      <c r="F4783" s="25"/>
      <c r="G4783" s="27"/>
    </row>
    <row r="4784">
      <c r="A4784" s="21"/>
      <c r="B4784" s="21"/>
      <c r="D4784" s="25"/>
      <c r="E4784" s="27"/>
      <c r="F4784" s="25"/>
      <c r="G4784" s="27"/>
    </row>
    <row r="4785">
      <c r="A4785" s="21"/>
      <c r="B4785" s="21"/>
      <c r="D4785" s="25"/>
      <c r="E4785" s="27"/>
      <c r="F4785" s="25"/>
      <c r="G4785" s="27"/>
    </row>
    <row r="4786">
      <c r="A4786" s="21"/>
      <c r="B4786" s="21"/>
      <c r="D4786" s="25"/>
      <c r="E4786" s="27"/>
      <c r="F4786" s="25"/>
      <c r="G4786" s="27"/>
    </row>
    <row r="4787">
      <c r="A4787" s="21"/>
      <c r="B4787" s="21"/>
      <c r="D4787" s="25"/>
      <c r="E4787" s="27"/>
      <c r="F4787" s="25"/>
      <c r="G4787" s="27"/>
    </row>
    <row r="4788">
      <c r="A4788" s="21"/>
      <c r="B4788" s="21"/>
      <c r="D4788" s="25"/>
      <c r="E4788" s="27"/>
      <c r="F4788" s="25"/>
      <c r="G4788" s="27"/>
    </row>
    <row r="4789">
      <c r="A4789" s="21"/>
      <c r="B4789" s="21"/>
      <c r="D4789" s="25"/>
      <c r="E4789" s="27"/>
      <c r="F4789" s="25"/>
      <c r="G4789" s="27"/>
    </row>
    <row r="4790">
      <c r="A4790" s="21"/>
      <c r="B4790" s="21"/>
      <c r="D4790" s="25"/>
      <c r="E4790" s="27"/>
      <c r="F4790" s="25"/>
      <c r="G4790" s="27"/>
    </row>
    <row r="4791">
      <c r="A4791" s="21"/>
      <c r="B4791" s="21"/>
      <c r="D4791" s="25"/>
      <c r="E4791" s="27"/>
      <c r="F4791" s="25"/>
      <c r="G4791" s="27"/>
    </row>
    <row r="4792">
      <c r="A4792" s="21"/>
      <c r="B4792" s="21"/>
      <c r="D4792" s="25"/>
      <c r="E4792" s="27"/>
      <c r="F4792" s="25"/>
      <c r="G4792" s="27"/>
    </row>
    <row r="4793">
      <c r="A4793" s="21"/>
      <c r="B4793" s="21"/>
      <c r="D4793" s="25"/>
      <c r="E4793" s="27"/>
      <c r="F4793" s="25"/>
      <c r="G4793" s="27"/>
    </row>
    <row r="4794">
      <c r="A4794" s="21"/>
      <c r="B4794" s="21"/>
      <c r="D4794" s="25"/>
      <c r="E4794" s="27"/>
      <c r="F4794" s="25"/>
      <c r="G4794" s="27"/>
    </row>
    <row r="4795">
      <c r="A4795" s="21"/>
      <c r="B4795" s="21"/>
      <c r="D4795" s="25"/>
      <c r="E4795" s="27"/>
      <c r="F4795" s="25"/>
      <c r="G4795" s="27"/>
    </row>
    <row r="4796">
      <c r="A4796" s="21"/>
      <c r="B4796" s="21"/>
      <c r="D4796" s="25"/>
      <c r="E4796" s="27"/>
      <c r="F4796" s="25"/>
      <c r="G4796" s="27"/>
    </row>
    <row r="4797">
      <c r="A4797" s="21"/>
      <c r="B4797" s="21"/>
      <c r="D4797" s="25"/>
      <c r="E4797" s="27"/>
      <c r="F4797" s="25"/>
      <c r="G4797" s="27"/>
    </row>
    <row r="4798">
      <c r="A4798" s="21"/>
      <c r="B4798" s="21"/>
      <c r="D4798" s="25"/>
      <c r="E4798" s="27"/>
      <c r="F4798" s="25"/>
      <c r="G4798" s="27"/>
    </row>
    <row r="4799">
      <c r="A4799" s="21"/>
      <c r="B4799" s="21"/>
      <c r="D4799" s="25"/>
      <c r="E4799" s="27"/>
      <c r="F4799" s="25"/>
      <c r="G4799" s="27"/>
    </row>
    <row r="4800">
      <c r="A4800" s="21"/>
      <c r="B4800" s="21"/>
      <c r="D4800" s="25"/>
      <c r="E4800" s="27"/>
      <c r="F4800" s="25"/>
      <c r="G4800" s="27"/>
    </row>
    <row r="4801">
      <c r="A4801" s="21"/>
      <c r="B4801" s="21"/>
      <c r="D4801" s="25"/>
      <c r="E4801" s="27"/>
      <c r="F4801" s="25"/>
      <c r="G4801" s="27"/>
    </row>
    <row r="4802">
      <c r="A4802" s="21"/>
      <c r="B4802" s="21"/>
      <c r="D4802" s="25"/>
      <c r="E4802" s="27"/>
      <c r="F4802" s="25"/>
      <c r="G4802" s="27"/>
    </row>
    <row r="4803">
      <c r="A4803" s="21"/>
      <c r="B4803" s="21"/>
      <c r="D4803" s="25"/>
      <c r="E4803" s="27"/>
      <c r="F4803" s="25"/>
      <c r="G4803" s="27"/>
    </row>
    <row r="4804">
      <c r="A4804" s="21"/>
      <c r="B4804" s="21"/>
      <c r="D4804" s="25"/>
      <c r="E4804" s="27"/>
      <c r="F4804" s="25"/>
      <c r="G4804" s="27"/>
    </row>
    <row r="4805">
      <c r="A4805" s="21"/>
      <c r="B4805" s="21"/>
      <c r="D4805" s="25"/>
      <c r="E4805" s="27"/>
      <c r="F4805" s="25"/>
      <c r="G4805" s="27"/>
    </row>
    <row r="4806">
      <c r="A4806" s="21"/>
      <c r="B4806" s="21"/>
      <c r="D4806" s="25"/>
      <c r="E4806" s="27"/>
      <c r="F4806" s="25"/>
      <c r="G4806" s="27"/>
    </row>
    <row r="4807">
      <c r="A4807" s="21"/>
      <c r="B4807" s="21"/>
      <c r="D4807" s="25"/>
      <c r="E4807" s="27"/>
      <c r="F4807" s="25"/>
      <c r="G4807" s="27"/>
    </row>
    <row r="4808">
      <c r="A4808" s="21"/>
      <c r="B4808" s="21"/>
      <c r="D4808" s="25"/>
      <c r="E4808" s="27"/>
      <c r="F4808" s="25"/>
      <c r="G4808" s="27"/>
    </row>
    <row r="4809">
      <c r="A4809" s="21"/>
      <c r="B4809" s="21"/>
      <c r="D4809" s="25"/>
      <c r="E4809" s="27"/>
      <c r="F4809" s="25"/>
      <c r="G4809" s="27"/>
    </row>
    <row r="4810">
      <c r="A4810" s="21"/>
      <c r="B4810" s="21"/>
      <c r="D4810" s="25"/>
      <c r="E4810" s="27"/>
      <c r="F4810" s="25"/>
      <c r="G4810" s="27"/>
    </row>
    <row r="4811">
      <c r="A4811" s="21"/>
      <c r="B4811" s="21"/>
      <c r="D4811" s="25"/>
      <c r="E4811" s="27"/>
      <c r="F4811" s="25"/>
      <c r="G4811" s="27"/>
    </row>
    <row r="4812">
      <c r="A4812" s="21"/>
      <c r="B4812" s="21"/>
      <c r="D4812" s="25"/>
      <c r="E4812" s="27"/>
      <c r="F4812" s="25"/>
      <c r="G4812" s="27"/>
    </row>
    <row r="4813">
      <c r="A4813" s="21"/>
      <c r="B4813" s="21"/>
      <c r="D4813" s="25"/>
      <c r="E4813" s="27"/>
      <c r="F4813" s="25"/>
      <c r="G4813" s="27"/>
    </row>
    <row r="4814">
      <c r="A4814" s="21"/>
      <c r="B4814" s="21"/>
      <c r="D4814" s="25"/>
      <c r="E4814" s="27"/>
      <c r="F4814" s="25"/>
      <c r="G4814" s="27"/>
    </row>
    <row r="4815">
      <c r="A4815" s="21"/>
      <c r="B4815" s="21"/>
      <c r="D4815" s="25"/>
      <c r="E4815" s="27"/>
      <c r="F4815" s="25"/>
      <c r="G4815" s="27"/>
    </row>
    <row r="4816">
      <c r="A4816" s="21"/>
      <c r="B4816" s="21"/>
      <c r="D4816" s="25"/>
      <c r="E4816" s="27"/>
      <c r="F4816" s="25"/>
      <c r="G4816" s="27"/>
    </row>
    <row r="4817">
      <c r="A4817" s="21"/>
      <c r="B4817" s="21"/>
      <c r="D4817" s="25"/>
      <c r="E4817" s="27"/>
      <c r="F4817" s="25"/>
      <c r="G4817" s="27"/>
    </row>
    <row r="4818">
      <c r="A4818" s="21"/>
      <c r="B4818" s="21"/>
      <c r="D4818" s="25"/>
      <c r="E4818" s="27"/>
      <c r="F4818" s="25"/>
      <c r="G4818" s="27"/>
    </row>
    <row r="4819">
      <c r="A4819" s="21"/>
      <c r="B4819" s="21"/>
      <c r="D4819" s="25"/>
      <c r="E4819" s="27"/>
      <c r="F4819" s="25"/>
      <c r="G4819" s="27"/>
    </row>
    <row r="4820">
      <c r="A4820" s="21"/>
      <c r="B4820" s="21"/>
      <c r="D4820" s="25"/>
      <c r="E4820" s="27"/>
      <c r="F4820" s="25"/>
      <c r="G4820" s="27"/>
    </row>
    <row r="4821">
      <c r="A4821" s="21"/>
      <c r="B4821" s="21"/>
      <c r="D4821" s="25"/>
      <c r="E4821" s="27"/>
      <c r="F4821" s="25"/>
      <c r="G4821" s="27"/>
    </row>
    <row r="4822">
      <c r="A4822" s="21"/>
      <c r="B4822" s="21"/>
      <c r="D4822" s="25"/>
      <c r="E4822" s="27"/>
      <c r="F4822" s="25"/>
      <c r="G4822" s="27"/>
    </row>
    <row r="4823">
      <c r="A4823" s="21"/>
      <c r="B4823" s="21"/>
      <c r="D4823" s="25"/>
      <c r="E4823" s="27"/>
      <c r="F4823" s="25"/>
      <c r="G4823" s="27"/>
    </row>
    <row r="4824">
      <c r="A4824" s="21"/>
      <c r="B4824" s="21"/>
      <c r="D4824" s="25"/>
      <c r="E4824" s="27"/>
      <c r="F4824" s="25"/>
      <c r="G4824" s="27"/>
    </row>
    <row r="4825">
      <c r="A4825" s="21"/>
      <c r="B4825" s="21"/>
      <c r="D4825" s="25"/>
      <c r="E4825" s="27"/>
      <c r="F4825" s="25"/>
      <c r="G4825" s="27"/>
    </row>
    <row r="4826">
      <c r="A4826" s="21"/>
      <c r="B4826" s="21"/>
      <c r="D4826" s="25"/>
      <c r="E4826" s="27"/>
      <c r="F4826" s="25"/>
      <c r="G4826" s="27"/>
    </row>
    <row r="4827">
      <c r="A4827" s="21"/>
      <c r="B4827" s="21"/>
      <c r="D4827" s="25"/>
      <c r="E4827" s="27"/>
      <c r="F4827" s="25"/>
      <c r="G4827" s="27"/>
    </row>
    <row r="4828">
      <c r="A4828" s="21"/>
      <c r="B4828" s="21"/>
      <c r="D4828" s="25"/>
      <c r="E4828" s="27"/>
      <c r="F4828" s="25"/>
      <c r="G4828" s="27"/>
    </row>
    <row r="4829">
      <c r="A4829" s="21"/>
      <c r="B4829" s="21"/>
      <c r="D4829" s="25"/>
      <c r="E4829" s="27"/>
      <c r="F4829" s="25"/>
      <c r="G4829" s="27"/>
    </row>
    <row r="4830">
      <c r="A4830" s="21"/>
      <c r="B4830" s="21"/>
      <c r="D4830" s="25"/>
      <c r="E4830" s="27"/>
      <c r="F4830" s="25"/>
      <c r="G4830" s="27"/>
    </row>
    <row r="4831">
      <c r="A4831" s="21"/>
      <c r="B4831" s="21"/>
      <c r="D4831" s="25"/>
      <c r="E4831" s="27"/>
      <c r="F4831" s="25"/>
      <c r="G4831" s="27"/>
    </row>
    <row r="4832">
      <c r="A4832" s="21"/>
      <c r="B4832" s="21"/>
      <c r="D4832" s="25"/>
      <c r="E4832" s="27"/>
      <c r="F4832" s="25"/>
      <c r="G4832" s="27"/>
    </row>
    <row r="4833">
      <c r="A4833" s="21"/>
      <c r="B4833" s="21"/>
      <c r="D4833" s="25"/>
      <c r="E4833" s="27"/>
      <c r="F4833" s="25"/>
      <c r="G4833" s="27"/>
    </row>
    <row r="4834">
      <c r="A4834" s="21"/>
      <c r="B4834" s="21"/>
      <c r="D4834" s="25"/>
      <c r="E4834" s="27"/>
      <c r="F4834" s="25"/>
      <c r="G4834" s="27"/>
    </row>
    <row r="4835">
      <c r="A4835" s="21"/>
      <c r="B4835" s="21"/>
      <c r="D4835" s="25"/>
      <c r="E4835" s="27"/>
      <c r="F4835" s="25"/>
      <c r="G4835" s="27"/>
    </row>
    <row r="4836">
      <c r="A4836" s="21"/>
      <c r="B4836" s="21"/>
      <c r="D4836" s="25"/>
      <c r="E4836" s="27"/>
      <c r="F4836" s="25"/>
      <c r="G4836" s="27"/>
    </row>
    <row r="4837">
      <c r="A4837" s="21"/>
      <c r="B4837" s="21"/>
      <c r="D4837" s="25"/>
      <c r="E4837" s="27"/>
      <c r="F4837" s="25"/>
      <c r="G4837" s="27"/>
    </row>
    <row r="4838">
      <c r="A4838" s="21"/>
      <c r="B4838" s="21"/>
      <c r="D4838" s="25"/>
      <c r="E4838" s="27"/>
      <c r="F4838" s="25"/>
      <c r="G4838" s="27"/>
    </row>
    <row r="4839">
      <c r="A4839" s="21"/>
      <c r="B4839" s="21"/>
      <c r="D4839" s="25"/>
      <c r="E4839" s="27"/>
      <c r="F4839" s="25"/>
      <c r="G4839" s="27"/>
    </row>
    <row r="4840">
      <c r="A4840" s="21"/>
      <c r="B4840" s="21"/>
      <c r="D4840" s="25"/>
      <c r="E4840" s="27"/>
      <c r="F4840" s="25"/>
      <c r="G4840" s="27"/>
    </row>
    <row r="4841">
      <c r="A4841" s="21"/>
      <c r="B4841" s="21"/>
      <c r="D4841" s="25"/>
      <c r="E4841" s="27"/>
      <c r="F4841" s="25"/>
      <c r="G4841" s="27"/>
    </row>
    <row r="4842">
      <c r="A4842" s="21"/>
      <c r="B4842" s="21"/>
      <c r="D4842" s="25"/>
      <c r="E4842" s="27"/>
      <c r="F4842" s="25"/>
      <c r="G4842" s="27"/>
    </row>
    <row r="4843">
      <c r="A4843" s="21"/>
      <c r="B4843" s="21"/>
      <c r="D4843" s="25"/>
      <c r="E4843" s="27"/>
      <c r="F4843" s="25"/>
      <c r="G4843" s="27"/>
    </row>
    <row r="4844">
      <c r="A4844" s="21"/>
      <c r="B4844" s="21"/>
      <c r="D4844" s="25"/>
      <c r="E4844" s="27"/>
      <c r="F4844" s="25"/>
      <c r="G4844" s="27"/>
    </row>
    <row r="4845">
      <c r="A4845" s="21"/>
      <c r="B4845" s="21"/>
      <c r="D4845" s="25"/>
      <c r="E4845" s="27"/>
      <c r="F4845" s="25"/>
      <c r="G4845" s="27"/>
    </row>
    <row r="4846">
      <c r="A4846" s="21"/>
      <c r="B4846" s="21"/>
      <c r="D4846" s="25"/>
      <c r="E4846" s="27"/>
      <c r="F4846" s="25"/>
      <c r="G4846" s="27"/>
    </row>
    <row r="4847">
      <c r="A4847" s="21"/>
      <c r="B4847" s="21"/>
      <c r="D4847" s="25"/>
      <c r="E4847" s="27"/>
      <c r="F4847" s="25"/>
      <c r="G4847" s="27"/>
    </row>
    <row r="4848">
      <c r="A4848" s="21"/>
      <c r="B4848" s="21"/>
      <c r="D4848" s="25"/>
      <c r="E4848" s="27"/>
      <c r="F4848" s="25"/>
      <c r="G4848" s="27"/>
    </row>
    <row r="4849">
      <c r="A4849" s="21"/>
      <c r="B4849" s="21"/>
      <c r="D4849" s="25"/>
      <c r="E4849" s="27"/>
      <c r="F4849" s="25"/>
      <c r="G4849" s="27"/>
    </row>
    <row r="4850">
      <c r="A4850" s="21"/>
      <c r="B4850" s="21"/>
      <c r="D4850" s="25"/>
      <c r="E4850" s="27"/>
      <c r="F4850" s="25"/>
      <c r="G4850" s="27"/>
    </row>
    <row r="4851">
      <c r="A4851" s="21"/>
      <c r="B4851" s="21"/>
      <c r="D4851" s="25"/>
      <c r="E4851" s="27"/>
      <c r="F4851" s="25"/>
      <c r="G4851" s="27"/>
    </row>
    <row r="4852">
      <c r="A4852" s="21"/>
      <c r="B4852" s="21"/>
      <c r="D4852" s="25"/>
      <c r="E4852" s="27"/>
      <c r="F4852" s="25"/>
      <c r="G4852" s="27"/>
    </row>
    <row r="4853">
      <c r="A4853" s="21"/>
      <c r="B4853" s="21"/>
      <c r="D4853" s="25"/>
      <c r="E4853" s="27"/>
      <c r="F4853" s="25"/>
      <c r="G4853" s="27"/>
    </row>
    <row r="4854">
      <c r="A4854" s="21"/>
      <c r="B4854" s="21"/>
      <c r="D4854" s="25"/>
      <c r="E4854" s="27"/>
      <c r="F4854" s="25"/>
      <c r="G4854" s="27"/>
    </row>
    <row r="4855">
      <c r="A4855" s="21"/>
      <c r="B4855" s="21"/>
      <c r="D4855" s="25"/>
      <c r="E4855" s="27"/>
      <c r="F4855" s="25"/>
      <c r="G4855" s="27"/>
    </row>
    <row r="4856">
      <c r="A4856" s="21"/>
      <c r="B4856" s="21"/>
      <c r="D4856" s="25"/>
      <c r="E4856" s="27"/>
      <c r="F4856" s="25"/>
      <c r="G4856" s="27"/>
    </row>
    <row r="4857">
      <c r="A4857" s="21"/>
      <c r="B4857" s="21"/>
      <c r="D4857" s="25"/>
      <c r="E4857" s="27"/>
      <c r="F4857" s="25"/>
      <c r="G4857" s="27"/>
    </row>
    <row r="4858">
      <c r="A4858" s="21"/>
      <c r="B4858" s="21"/>
      <c r="D4858" s="25"/>
      <c r="E4858" s="27"/>
      <c r="F4858" s="25"/>
      <c r="G4858" s="27"/>
    </row>
    <row r="4859">
      <c r="A4859" s="21"/>
      <c r="B4859" s="21"/>
      <c r="D4859" s="25"/>
      <c r="E4859" s="27"/>
      <c r="F4859" s="25"/>
      <c r="G4859" s="27"/>
    </row>
    <row r="4860">
      <c r="A4860" s="21"/>
      <c r="B4860" s="21"/>
      <c r="D4860" s="25"/>
      <c r="E4860" s="27"/>
      <c r="F4860" s="25"/>
      <c r="G4860" s="27"/>
    </row>
    <row r="4861">
      <c r="A4861" s="21"/>
      <c r="B4861" s="21"/>
      <c r="D4861" s="25"/>
      <c r="E4861" s="27"/>
      <c r="F4861" s="25"/>
      <c r="G4861" s="27"/>
    </row>
    <row r="4862">
      <c r="A4862" s="21"/>
      <c r="B4862" s="21"/>
      <c r="D4862" s="25"/>
      <c r="E4862" s="27"/>
      <c r="F4862" s="25"/>
      <c r="G4862" s="27"/>
    </row>
    <row r="4863">
      <c r="A4863" s="21"/>
      <c r="B4863" s="21"/>
      <c r="D4863" s="25"/>
      <c r="E4863" s="27"/>
      <c r="F4863" s="25"/>
      <c r="G4863" s="27"/>
    </row>
    <row r="4864">
      <c r="A4864" s="21"/>
      <c r="B4864" s="21"/>
      <c r="D4864" s="25"/>
      <c r="E4864" s="27"/>
      <c r="F4864" s="25"/>
      <c r="G4864" s="27"/>
    </row>
    <row r="4865">
      <c r="A4865" s="21"/>
      <c r="B4865" s="21"/>
      <c r="D4865" s="25"/>
      <c r="E4865" s="27"/>
      <c r="F4865" s="25"/>
      <c r="G4865" s="27"/>
    </row>
    <row r="4866">
      <c r="A4866" s="21"/>
      <c r="B4866" s="21"/>
      <c r="D4866" s="25"/>
      <c r="E4866" s="27"/>
      <c r="F4866" s="25"/>
      <c r="G4866" s="27"/>
    </row>
    <row r="4867">
      <c r="A4867" s="21"/>
      <c r="B4867" s="21"/>
      <c r="D4867" s="25"/>
      <c r="E4867" s="27"/>
      <c r="F4867" s="25"/>
      <c r="G4867" s="27"/>
    </row>
    <row r="4868">
      <c r="A4868" s="21"/>
      <c r="B4868" s="21"/>
      <c r="D4868" s="25"/>
      <c r="E4868" s="27"/>
      <c r="F4868" s="25"/>
      <c r="G4868" s="27"/>
    </row>
    <row r="4869">
      <c r="A4869" s="21"/>
      <c r="B4869" s="21"/>
      <c r="D4869" s="25"/>
      <c r="E4869" s="27"/>
      <c r="F4869" s="25"/>
      <c r="G4869" s="27"/>
    </row>
    <row r="4870">
      <c r="A4870" s="21"/>
      <c r="B4870" s="21"/>
      <c r="D4870" s="25"/>
      <c r="E4870" s="27"/>
      <c r="F4870" s="25"/>
      <c r="G4870" s="27"/>
    </row>
    <row r="4871">
      <c r="A4871" s="21"/>
      <c r="B4871" s="21"/>
      <c r="D4871" s="25"/>
      <c r="E4871" s="27"/>
      <c r="F4871" s="25"/>
      <c r="G4871" s="27"/>
    </row>
    <row r="4872">
      <c r="A4872" s="21"/>
      <c r="B4872" s="21"/>
      <c r="D4872" s="25"/>
      <c r="E4872" s="27"/>
      <c r="F4872" s="25"/>
      <c r="G4872" s="27"/>
    </row>
    <row r="4873">
      <c r="A4873" s="21"/>
      <c r="B4873" s="21"/>
      <c r="D4873" s="25"/>
      <c r="E4873" s="27"/>
      <c r="F4873" s="25"/>
      <c r="G4873" s="27"/>
    </row>
    <row r="4874">
      <c r="A4874" s="21"/>
      <c r="B4874" s="21"/>
      <c r="D4874" s="25"/>
      <c r="E4874" s="27"/>
      <c r="F4874" s="25"/>
      <c r="G4874" s="27"/>
    </row>
    <row r="4875">
      <c r="A4875" s="21"/>
      <c r="B4875" s="21"/>
      <c r="D4875" s="25"/>
      <c r="E4875" s="27"/>
      <c r="F4875" s="25"/>
      <c r="G4875" s="27"/>
    </row>
    <row r="4876">
      <c r="A4876" s="21"/>
      <c r="B4876" s="21"/>
      <c r="D4876" s="25"/>
      <c r="E4876" s="27"/>
      <c r="F4876" s="25"/>
      <c r="G4876" s="27"/>
    </row>
    <row r="4877">
      <c r="A4877" s="21"/>
      <c r="B4877" s="21"/>
      <c r="D4877" s="25"/>
      <c r="E4877" s="27"/>
      <c r="F4877" s="25"/>
      <c r="G4877" s="27"/>
    </row>
    <row r="4878">
      <c r="A4878" s="21"/>
      <c r="B4878" s="21"/>
      <c r="D4878" s="25"/>
      <c r="E4878" s="27"/>
      <c r="F4878" s="25"/>
      <c r="G4878" s="27"/>
    </row>
    <row r="4879">
      <c r="A4879" s="21"/>
      <c r="B4879" s="21"/>
      <c r="D4879" s="25"/>
      <c r="E4879" s="27"/>
      <c r="F4879" s="25"/>
      <c r="G4879" s="27"/>
    </row>
    <row r="4880">
      <c r="A4880" s="21"/>
      <c r="B4880" s="21"/>
      <c r="D4880" s="25"/>
      <c r="E4880" s="27"/>
      <c r="F4880" s="25"/>
      <c r="G4880" s="27"/>
    </row>
    <row r="4881">
      <c r="A4881" s="21"/>
      <c r="B4881" s="21"/>
      <c r="D4881" s="25"/>
      <c r="E4881" s="27"/>
      <c r="F4881" s="25"/>
      <c r="G4881" s="27"/>
    </row>
    <row r="4882">
      <c r="A4882" s="21"/>
      <c r="B4882" s="21"/>
      <c r="D4882" s="25"/>
      <c r="E4882" s="27"/>
      <c r="F4882" s="25"/>
      <c r="G4882" s="27"/>
    </row>
    <row r="4883">
      <c r="A4883" s="21"/>
      <c r="B4883" s="21"/>
      <c r="D4883" s="25"/>
      <c r="E4883" s="27"/>
      <c r="F4883" s="25"/>
      <c r="G4883" s="27"/>
    </row>
    <row r="4884">
      <c r="A4884" s="21"/>
      <c r="B4884" s="21"/>
      <c r="D4884" s="25"/>
      <c r="E4884" s="27"/>
      <c r="F4884" s="25"/>
      <c r="G4884" s="27"/>
    </row>
    <row r="4885">
      <c r="A4885" s="21"/>
      <c r="B4885" s="21"/>
      <c r="D4885" s="25"/>
      <c r="E4885" s="27"/>
      <c r="F4885" s="25"/>
      <c r="G4885" s="27"/>
    </row>
    <row r="4886">
      <c r="A4886" s="21"/>
      <c r="B4886" s="21"/>
      <c r="D4886" s="25"/>
      <c r="E4886" s="27"/>
      <c r="F4886" s="25"/>
      <c r="G4886" s="27"/>
    </row>
    <row r="4887">
      <c r="A4887" s="21"/>
      <c r="B4887" s="21"/>
      <c r="D4887" s="25"/>
      <c r="E4887" s="27"/>
      <c r="F4887" s="25"/>
      <c r="G4887" s="27"/>
    </row>
    <row r="4888">
      <c r="A4888" s="21"/>
      <c r="B4888" s="21"/>
      <c r="D4888" s="25"/>
      <c r="E4888" s="27"/>
      <c r="F4888" s="25"/>
      <c r="G4888" s="27"/>
    </row>
    <row r="4889">
      <c r="A4889" s="21"/>
      <c r="B4889" s="21"/>
      <c r="D4889" s="25"/>
      <c r="E4889" s="27"/>
      <c r="F4889" s="25"/>
      <c r="G4889" s="27"/>
    </row>
    <row r="4890">
      <c r="A4890" s="21"/>
      <c r="B4890" s="21"/>
      <c r="D4890" s="25"/>
      <c r="E4890" s="27"/>
      <c r="F4890" s="25"/>
      <c r="G4890" s="27"/>
    </row>
    <row r="4891">
      <c r="A4891" s="21"/>
      <c r="B4891" s="21"/>
      <c r="D4891" s="25"/>
      <c r="E4891" s="27"/>
      <c r="F4891" s="25"/>
      <c r="G4891" s="27"/>
    </row>
    <row r="4892">
      <c r="A4892" s="21"/>
      <c r="B4892" s="21"/>
      <c r="D4892" s="25"/>
      <c r="E4892" s="27"/>
      <c r="F4892" s="25"/>
      <c r="G4892" s="27"/>
    </row>
    <row r="4893">
      <c r="A4893" s="21"/>
      <c r="B4893" s="21"/>
      <c r="D4893" s="25"/>
      <c r="E4893" s="27"/>
      <c r="F4893" s="25"/>
      <c r="G4893" s="27"/>
    </row>
    <row r="4894">
      <c r="A4894" s="21"/>
      <c r="B4894" s="21"/>
      <c r="D4894" s="25"/>
      <c r="E4894" s="27"/>
      <c r="F4894" s="25"/>
      <c r="G4894" s="27"/>
    </row>
    <row r="4895">
      <c r="A4895" s="21"/>
      <c r="B4895" s="21"/>
      <c r="D4895" s="25"/>
      <c r="E4895" s="27"/>
      <c r="F4895" s="25"/>
      <c r="G4895" s="27"/>
    </row>
    <row r="4896">
      <c r="A4896" s="21"/>
      <c r="B4896" s="21"/>
      <c r="D4896" s="25"/>
      <c r="E4896" s="27"/>
      <c r="F4896" s="25"/>
      <c r="G4896" s="27"/>
    </row>
    <row r="4897">
      <c r="A4897" s="21"/>
      <c r="B4897" s="21"/>
      <c r="D4897" s="25"/>
      <c r="E4897" s="27"/>
      <c r="F4897" s="25"/>
      <c r="G4897" s="27"/>
    </row>
    <row r="4898">
      <c r="A4898" s="21"/>
      <c r="B4898" s="21"/>
      <c r="D4898" s="25"/>
      <c r="E4898" s="27"/>
      <c r="F4898" s="25"/>
      <c r="G4898" s="27"/>
    </row>
    <row r="4899">
      <c r="A4899" s="21"/>
      <c r="B4899" s="21"/>
      <c r="D4899" s="25"/>
      <c r="E4899" s="27"/>
      <c r="F4899" s="25"/>
      <c r="G4899" s="27"/>
    </row>
    <row r="4900">
      <c r="A4900" s="21"/>
      <c r="B4900" s="21"/>
      <c r="D4900" s="25"/>
      <c r="E4900" s="27"/>
      <c r="F4900" s="25"/>
      <c r="G4900" s="27"/>
    </row>
    <row r="4901">
      <c r="A4901" s="21"/>
      <c r="B4901" s="21"/>
      <c r="D4901" s="25"/>
      <c r="E4901" s="27"/>
      <c r="F4901" s="25"/>
      <c r="G4901" s="27"/>
    </row>
    <row r="4902">
      <c r="A4902" s="21"/>
      <c r="B4902" s="21"/>
      <c r="D4902" s="25"/>
      <c r="E4902" s="27"/>
      <c r="F4902" s="25"/>
      <c r="G4902" s="27"/>
    </row>
    <row r="4903">
      <c r="A4903" s="21"/>
      <c r="B4903" s="21"/>
      <c r="D4903" s="25"/>
      <c r="E4903" s="27"/>
      <c r="F4903" s="25"/>
      <c r="G4903" s="27"/>
    </row>
    <row r="4904">
      <c r="A4904" s="21"/>
      <c r="B4904" s="21"/>
      <c r="D4904" s="25"/>
      <c r="E4904" s="27"/>
      <c r="F4904" s="25"/>
      <c r="G4904" s="27"/>
    </row>
    <row r="4905">
      <c r="A4905" s="21"/>
      <c r="B4905" s="21"/>
      <c r="D4905" s="25"/>
      <c r="E4905" s="27"/>
      <c r="F4905" s="25"/>
      <c r="G4905" s="27"/>
    </row>
    <row r="4906">
      <c r="A4906" s="21"/>
      <c r="B4906" s="21"/>
      <c r="D4906" s="25"/>
      <c r="E4906" s="27"/>
      <c r="F4906" s="25"/>
      <c r="G4906" s="27"/>
    </row>
    <row r="4907">
      <c r="A4907" s="21"/>
      <c r="B4907" s="21"/>
      <c r="D4907" s="25"/>
      <c r="E4907" s="27"/>
      <c r="F4907" s="25"/>
      <c r="G4907" s="27"/>
    </row>
    <row r="4908">
      <c r="A4908" s="21"/>
      <c r="B4908" s="21"/>
      <c r="D4908" s="25"/>
      <c r="E4908" s="27"/>
      <c r="F4908" s="25"/>
      <c r="G4908" s="27"/>
    </row>
    <row r="4909">
      <c r="A4909" s="21"/>
      <c r="B4909" s="21"/>
      <c r="D4909" s="25"/>
      <c r="E4909" s="27"/>
      <c r="F4909" s="25"/>
      <c r="G4909" s="27"/>
    </row>
    <row r="4910">
      <c r="A4910" s="21"/>
      <c r="B4910" s="21"/>
      <c r="D4910" s="25"/>
      <c r="E4910" s="27"/>
      <c r="F4910" s="25"/>
      <c r="G4910" s="27"/>
    </row>
    <row r="4911">
      <c r="A4911" s="21"/>
      <c r="B4911" s="21"/>
      <c r="D4911" s="25"/>
      <c r="E4911" s="27"/>
      <c r="F4911" s="25"/>
      <c r="G4911" s="27"/>
    </row>
    <row r="4912">
      <c r="A4912" s="21"/>
      <c r="B4912" s="21"/>
      <c r="D4912" s="25"/>
      <c r="E4912" s="27"/>
      <c r="F4912" s="25"/>
      <c r="G4912" s="27"/>
    </row>
    <row r="4913">
      <c r="A4913" s="21"/>
      <c r="B4913" s="21"/>
      <c r="D4913" s="25"/>
      <c r="E4913" s="27"/>
      <c r="F4913" s="25"/>
      <c r="G4913" s="27"/>
    </row>
    <row r="4914">
      <c r="A4914" s="21"/>
      <c r="B4914" s="21"/>
      <c r="D4914" s="25"/>
      <c r="E4914" s="27"/>
      <c r="F4914" s="25"/>
      <c r="G4914" s="27"/>
    </row>
    <row r="4915">
      <c r="A4915" s="21"/>
      <c r="B4915" s="21"/>
      <c r="D4915" s="25"/>
      <c r="E4915" s="27"/>
      <c r="F4915" s="25"/>
      <c r="G4915" s="27"/>
    </row>
    <row r="4916">
      <c r="A4916" s="21"/>
      <c r="B4916" s="21"/>
      <c r="D4916" s="25"/>
      <c r="E4916" s="27"/>
      <c r="F4916" s="25"/>
      <c r="G4916" s="27"/>
    </row>
    <row r="4917">
      <c r="A4917" s="21"/>
      <c r="B4917" s="21"/>
      <c r="D4917" s="25"/>
      <c r="E4917" s="27"/>
      <c r="F4917" s="25"/>
      <c r="G4917" s="27"/>
    </row>
    <row r="4918">
      <c r="A4918" s="21"/>
      <c r="B4918" s="21"/>
      <c r="D4918" s="25"/>
      <c r="E4918" s="27"/>
      <c r="F4918" s="25"/>
      <c r="G4918" s="27"/>
    </row>
    <row r="4919">
      <c r="A4919" s="21"/>
      <c r="B4919" s="21"/>
      <c r="D4919" s="25"/>
      <c r="E4919" s="27"/>
      <c r="F4919" s="25"/>
      <c r="G4919" s="27"/>
    </row>
    <row r="4920">
      <c r="A4920" s="21"/>
      <c r="B4920" s="21"/>
      <c r="D4920" s="25"/>
      <c r="E4920" s="27"/>
      <c r="F4920" s="25"/>
      <c r="G4920" s="27"/>
    </row>
    <row r="4921">
      <c r="A4921" s="21"/>
      <c r="B4921" s="21"/>
      <c r="D4921" s="25"/>
      <c r="E4921" s="27"/>
      <c r="F4921" s="25"/>
      <c r="G4921" s="27"/>
    </row>
    <row r="4922">
      <c r="A4922" s="21"/>
      <c r="B4922" s="21"/>
      <c r="D4922" s="25"/>
      <c r="E4922" s="27"/>
      <c r="F4922" s="25"/>
      <c r="G4922" s="27"/>
    </row>
    <row r="4923">
      <c r="A4923" s="21"/>
      <c r="B4923" s="21"/>
      <c r="D4923" s="25"/>
      <c r="E4923" s="27"/>
      <c r="F4923" s="25"/>
      <c r="G4923" s="27"/>
    </row>
    <row r="4924">
      <c r="A4924" s="21"/>
      <c r="B4924" s="21"/>
      <c r="D4924" s="25"/>
      <c r="E4924" s="27"/>
      <c r="F4924" s="25"/>
      <c r="G4924" s="27"/>
    </row>
    <row r="4925">
      <c r="A4925" s="21"/>
      <c r="B4925" s="21"/>
      <c r="D4925" s="25"/>
      <c r="E4925" s="27"/>
      <c r="F4925" s="25"/>
      <c r="G4925" s="27"/>
    </row>
    <row r="4926">
      <c r="A4926" s="21"/>
      <c r="B4926" s="21"/>
      <c r="D4926" s="25"/>
      <c r="E4926" s="27"/>
      <c r="F4926" s="25"/>
      <c r="G4926" s="27"/>
    </row>
    <row r="4927">
      <c r="A4927" s="21"/>
      <c r="B4927" s="21"/>
      <c r="D4927" s="25"/>
      <c r="E4927" s="27"/>
      <c r="F4927" s="25"/>
      <c r="G4927" s="27"/>
    </row>
    <row r="4928">
      <c r="A4928" s="21"/>
      <c r="B4928" s="21"/>
      <c r="D4928" s="25"/>
      <c r="E4928" s="27"/>
      <c r="F4928" s="25"/>
      <c r="G4928" s="27"/>
    </row>
    <row r="4929">
      <c r="A4929" s="21"/>
      <c r="B4929" s="21"/>
      <c r="D4929" s="25"/>
      <c r="E4929" s="27"/>
      <c r="F4929" s="25"/>
      <c r="G4929" s="27"/>
    </row>
    <row r="4930">
      <c r="A4930" s="21"/>
      <c r="B4930" s="21"/>
      <c r="D4930" s="25"/>
      <c r="E4930" s="27"/>
      <c r="F4930" s="25"/>
      <c r="G4930" s="27"/>
    </row>
    <row r="4931">
      <c r="A4931" s="21"/>
      <c r="B4931" s="21"/>
      <c r="D4931" s="25"/>
      <c r="E4931" s="27"/>
      <c r="F4931" s="25"/>
      <c r="G4931" s="27"/>
    </row>
    <row r="4932">
      <c r="A4932" s="21"/>
      <c r="B4932" s="21"/>
      <c r="D4932" s="25"/>
      <c r="E4932" s="27"/>
      <c r="F4932" s="25"/>
      <c r="G4932" s="27"/>
    </row>
    <row r="4933">
      <c r="A4933" s="21"/>
      <c r="B4933" s="21"/>
      <c r="D4933" s="25"/>
      <c r="E4933" s="27"/>
      <c r="F4933" s="25"/>
      <c r="G4933" s="27"/>
    </row>
    <row r="4934">
      <c r="A4934" s="21"/>
      <c r="B4934" s="21"/>
      <c r="D4934" s="25"/>
      <c r="E4934" s="27"/>
      <c r="F4934" s="25"/>
      <c r="G4934" s="27"/>
    </row>
    <row r="4935">
      <c r="A4935" s="21"/>
      <c r="B4935" s="21"/>
      <c r="D4935" s="25"/>
      <c r="E4935" s="27"/>
      <c r="F4935" s="25"/>
      <c r="G4935" s="27"/>
    </row>
    <row r="4936">
      <c r="A4936" s="21"/>
      <c r="B4936" s="21"/>
      <c r="D4936" s="25"/>
      <c r="E4936" s="27"/>
      <c r="F4936" s="25"/>
      <c r="G4936" s="27"/>
    </row>
    <row r="4937">
      <c r="A4937" s="21"/>
      <c r="B4937" s="21"/>
      <c r="D4937" s="25"/>
      <c r="E4937" s="27"/>
      <c r="F4937" s="25"/>
      <c r="G4937" s="27"/>
    </row>
    <row r="4938">
      <c r="A4938" s="21"/>
      <c r="B4938" s="21"/>
      <c r="D4938" s="25"/>
      <c r="E4938" s="27"/>
      <c r="F4938" s="25"/>
      <c r="G4938" s="27"/>
    </row>
    <row r="4939">
      <c r="A4939" s="21"/>
      <c r="B4939" s="21"/>
      <c r="D4939" s="25"/>
      <c r="E4939" s="27"/>
      <c r="F4939" s="25"/>
      <c r="G4939" s="27"/>
    </row>
    <row r="4940">
      <c r="A4940" s="21"/>
      <c r="B4940" s="21"/>
      <c r="D4940" s="25"/>
      <c r="E4940" s="27"/>
      <c r="F4940" s="25"/>
      <c r="G4940" s="27"/>
    </row>
    <row r="4941">
      <c r="A4941" s="21"/>
      <c r="B4941" s="21"/>
      <c r="D4941" s="25"/>
      <c r="E4941" s="27"/>
      <c r="F4941" s="25"/>
      <c r="G4941" s="27"/>
    </row>
    <row r="4942">
      <c r="A4942" s="21"/>
      <c r="B4942" s="21"/>
      <c r="D4942" s="25"/>
      <c r="E4942" s="27"/>
      <c r="F4942" s="25"/>
      <c r="G4942" s="27"/>
    </row>
    <row r="4943">
      <c r="A4943" s="21"/>
      <c r="B4943" s="21"/>
      <c r="D4943" s="25"/>
      <c r="E4943" s="27"/>
      <c r="F4943" s="25"/>
      <c r="G4943" s="27"/>
    </row>
    <row r="4944">
      <c r="A4944" s="21"/>
      <c r="B4944" s="21"/>
      <c r="D4944" s="25"/>
      <c r="E4944" s="27"/>
      <c r="F4944" s="25"/>
      <c r="G4944" s="27"/>
    </row>
    <row r="4945">
      <c r="A4945" s="21"/>
      <c r="B4945" s="21"/>
      <c r="D4945" s="25"/>
      <c r="E4945" s="27"/>
      <c r="F4945" s="25"/>
      <c r="G4945" s="27"/>
    </row>
    <row r="4946">
      <c r="A4946" s="21"/>
      <c r="B4946" s="21"/>
      <c r="D4946" s="25"/>
      <c r="E4946" s="27"/>
      <c r="F4946" s="25"/>
      <c r="G4946" s="27"/>
    </row>
    <row r="4947">
      <c r="A4947" s="21"/>
      <c r="B4947" s="21"/>
      <c r="D4947" s="25"/>
      <c r="E4947" s="27"/>
      <c r="F4947" s="25"/>
      <c r="G4947" s="27"/>
    </row>
    <row r="4948">
      <c r="A4948" s="21"/>
      <c r="B4948" s="21"/>
      <c r="D4948" s="25"/>
      <c r="E4948" s="27"/>
      <c r="F4948" s="25"/>
      <c r="G4948" s="27"/>
    </row>
    <row r="4949">
      <c r="A4949" s="21"/>
      <c r="B4949" s="21"/>
      <c r="D4949" s="25"/>
      <c r="E4949" s="27"/>
      <c r="F4949" s="25"/>
      <c r="G4949" s="27"/>
    </row>
    <row r="4950">
      <c r="A4950" s="21"/>
      <c r="B4950" s="21"/>
      <c r="D4950" s="25"/>
      <c r="E4950" s="27"/>
      <c r="F4950" s="25"/>
      <c r="G4950" s="27"/>
    </row>
    <row r="4951">
      <c r="A4951" s="21"/>
      <c r="B4951" s="21"/>
      <c r="D4951" s="25"/>
      <c r="E4951" s="27"/>
      <c r="F4951" s="25"/>
      <c r="G4951" s="27"/>
    </row>
    <row r="4952">
      <c r="A4952" s="21"/>
      <c r="B4952" s="21"/>
      <c r="D4952" s="25"/>
      <c r="E4952" s="27"/>
      <c r="F4952" s="25"/>
      <c r="G4952" s="27"/>
    </row>
    <row r="4953">
      <c r="A4953" s="21"/>
      <c r="B4953" s="21"/>
      <c r="D4953" s="25"/>
      <c r="E4953" s="27"/>
      <c r="F4953" s="25"/>
      <c r="G4953" s="27"/>
    </row>
    <row r="4954">
      <c r="A4954" s="21"/>
      <c r="B4954" s="21"/>
      <c r="D4954" s="25"/>
      <c r="E4954" s="27"/>
      <c r="F4954" s="25"/>
      <c r="G4954" s="27"/>
    </row>
    <row r="4955">
      <c r="A4955" s="21"/>
      <c r="B4955" s="21"/>
      <c r="D4955" s="25"/>
      <c r="E4955" s="27"/>
      <c r="F4955" s="25"/>
      <c r="G4955" s="27"/>
    </row>
    <row r="4956">
      <c r="A4956" s="21"/>
      <c r="B4956" s="21"/>
      <c r="D4956" s="25"/>
      <c r="E4956" s="27"/>
      <c r="F4956" s="25"/>
      <c r="G4956" s="27"/>
    </row>
    <row r="4957">
      <c r="A4957" s="21"/>
      <c r="B4957" s="21"/>
      <c r="D4957" s="25"/>
      <c r="E4957" s="27"/>
      <c r="F4957" s="25"/>
      <c r="G4957" s="27"/>
    </row>
    <row r="4958">
      <c r="A4958" s="21"/>
      <c r="B4958" s="21"/>
      <c r="D4958" s="25"/>
      <c r="E4958" s="27"/>
      <c r="F4958" s="25"/>
      <c r="G4958" s="27"/>
    </row>
    <row r="4959">
      <c r="A4959" s="21"/>
      <c r="B4959" s="21"/>
      <c r="D4959" s="25"/>
      <c r="E4959" s="27"/>
      <c r="F4959" s="25"/>
      <c r="G4959" s="27"/>
    </row>
    <row r="4960">
      <c r="A4960" s="21"/>
      <c r="B4960" s="21"/>
      <c r="D4960" s="25"/>
      <c r="E4960" s="27"/>
      <c r="F4960" s="25"/>
      <c r="G4960" s="27"/>
    </row>
    <row r="4961">
      <c r="A4961" s="21"/>
      <c r="B4961" s="21"/>
      <c r="D4961" s="25"/>
      <c r="E4961" s="27"/>
      <c r="F4961" s="25"/>
      <c r="G4961" s="27"/>
    </row>
    <row r="4962">
      <c r="A4962" s="21"/>
      <c r="B4962" s="21"/>
      <c r="D4962" s="25"/>
      <c r="E4962" s="27"/>
      <c r="F4962" s="25"/>
      <c r="G4962" s="27"/>
    </row>
    <row r="4963">
      <c r="A4963" s="21"/>
      <c r="B4963" s="21"/>
      <c r="D4963" s="25"/>
      <c r="E4963" s="27"/>
      <c r="F4963" s="25"/>
      <c r="G4963" s="27"/>
    </row>
    <row r="4964">
      <c r="A4964" s="21"/>
      <c r="B4964" s="21"/>
      <c r="D4964" s="25"/>
      <c r="E4964" s="27"/>
      <c r="F4964" s="25"/>
      <c r="G4964" s="27"/>
    </row>
    <row r="4965">
      <c r="A4965" s="21"/>
      <c r="B4965" s="21"/>
      <c r="D4965" s="25"/>
      <c r="E4965" s="27"/>
      <c r="F4965" s="25"/>
      <c r="G4965" s="27"/>
    </row>
    <row r="4966">
      <c r="A4966" s="21"/>
      <c r="B4966" s="21"/>
      <c r="D4966" s="25"/>
      <c r="E4966" s="27"/>
      <c r="F4966" s="25"/>
      <c r="G4966" s="27"/>
    </row>
    <row r="4967">
      <c r="A4967" s="21"/>
      <c r="B4967" s="21"/>
      <c r="D4967" s="25"/>
      <c r="E4967" s="27"/>
      <c r="F4967" s="25"/>
      <c r="G4967" s="27"/>
    </row>
    <row r="4968">
      <c r="A4968" s="21"/>
      <c r="B4968" s="21"/>
      <c r="D4968" s="25"/>
      <c r="E4968" s="27"/>
      <c r="F4968" s="25"/>
      <c r="G4968" s="27"/>
    </row>
    <row r="4969">
      <c r="A4969" s="21"/>
      <c r="B4969" s="21"/>
      <c r="D4969" s="25"/>
      <c r="E4969" s="27"/>
      <c r="F4969" s="25"/>
      <c r="G4969" s="27"/>
    </row>
    <row r="4970">
      <c r="A4970" s="21"/>
      <c r="B4970" s="21"/>
      <c r="D4970" s="25"/>
      <c r="E4970" s="27"/>
      <c r="F4970" s="25"/>
      <c r="G4970" s="27"/>
    </row>
    <row r="4971">
      <c r="A4971" s="21"/>
      <c r="B4971" s="21"/>
      <c r="D4971" s="25"/>
      <c r="E4971" s="27"/>
      <c r="F4971" s="25"/>
      <c r="G4971" s="27"/>
    </row>
    <row r="4972">
      <c r="A4972" s="21"/>
      <c r="B4972" s="21"/>
      <c r="D4972" s="25"/>
      <c r="E4972" s="27"/>
      <c r="F4972" s="25"/>
      <c r="G4972" s="27"/>
    </row>
    <row r="4973">
      <c r="A4973" s="21"/>
      <c r="B4973" s="21"/>
      <c r="D4973" s="25"/>
      <c r="E4973" s="27"/>
      <c r="F4973" s="25"/>
      <c r="G4973" s="27"/>
    </row>
    <row r="4974">
      <c r="A4974" s="21"/>
      <c r="B4974" s="21"/>
      <c r="D4974" s="25"/>
      <c r="E4974" s="27"/>
      <c r="F4974" s="25"/>
      <c r="G4974" s="27"/>
    </row>
    <row r="4975">
      <c r="A4975" s="21"/>
      <c r="B4975" s="21"/>
      <c r="D4975" s="25"/>
      <c r="E4975" s="27"/>
      <c r="F4975" s="25"/>
      <c r="G4975" s="27"/>
    </row>
    <row r="4976">
      <c r="A4976" s="21"/>
      <c r="B4976" s="21"/>
      <c r="D4976" s="25"/>
      <c r="E4976" s="27"/>
      <c r="F4976" s="25"/>
      <c r="G4976" s="27"/>
    </row>
    <row r="4977">
      <c r="A4977" s="21"/>
      <c r="B4977" s="21"/>
      <c r="D4977" s="25"/>
      <c r="E4977" s="27"/>
      <c r="F4977" s="25"/>
      <c r="G4977" s="27"/>
    </row>
    <row r="4978">
      <c r="A4978" s="21"/>
      <c r="B4978" s="21"/>
      <c r="D4978" s="25"/>
      <c r="E4978" s="27"/>
      <c r="F4978" s="25"/>
      <c r="G4978" s="27"/>
    </row>
    <row r="4979">
      <c r="A4979" s="21"/>
      <c r="B4979" s="21"/>
      <c r="D4979" s="25"/>
      <c r="E4979" s="27"/>
      <c r="F4979" s="25"/>
      <c r="G4979" s="27"/>
    </row>
    <row r="4980">
      <c r="A4980" s="21"/>
      <c r="B4980" s="21"/>
      <c r="D4980" s="25"/>
      <c r="E4980" s="27"/>
      <c r="F4980" s="25"/>
      <c r="G4980" s="27"/>
    </row>
    <row r="4981">
      <c r="A4981" s="21"/>
      <c r="B4981" s="21"/>
      <c r="D4981" s="25"/>
      <c r="E4981" s="27"/>
      <c r="F4981" s="25"/>
      <c r="G4981" s="27"/>
    </row>
    <row r="4982">
      <c r="A4982" s="21"/>
      <c r="B4982" s="21"/>
      <c r="D4982" s="25"/>
      <c r="E4982" s="27"/>
      <c r="F4982" s="25"/>
      <c r="G4982" s="27"/>
    </row>
    <row r="4983">
      <c r="A4983" s="21"/>
      <c r="B4983" s="21"/>
      <c r="D4983" s="25"/>
      <c r="E4983" s="27"/>
      <c r="F4983" s="25"/>
      <c r="G4983" s="27"/>
    </row>
    <row r="4984">
      <c r="A4984" s="21"/>
      <c r="B4984" s="21"/>
      <c r="D4984" s="25"/>
      <c r="E4984" s="27"/>
      <c r="F4984" s="25"/>
      <c r="G4984" s="27"/>
    </row>
    <row r="4985">
      <c r="A4985" s="21"/>
      <c r="B4985" s="21"/>
      <c r="D4985" s="25"/>
      <c r="E4985" s="27"/>
      <c r="F4985" s="25"/>
      <c r="G4985" s="27"/>
    </row>
    <row r="4986">
      <c r="A4986" s="21"/>
      <c r="B4986" s="21"/>
      <c r="D4986" s="25"/>
      <c r="E4986" s="27"/>
      <c r="F4986" s="25"/>
      <c r="G4986" s="27"/>
    </row>
    <row r="4987">
      <c r="A4987" s="21"/>
      <c r="B4987" s="21"/>
      <c r="D4987" s="25"/>
      <c r="E4987" s="27"/>
      <c r="F4987" s="25"/>
      <c r="G4987" s="27"/>
    </row>
    <row r="4988">
      <c r="A4988" s="21"/>
      <c r="B4988" s="21"/>
      <c r="D4988" s="25"/>
      <c r="E4988" s="27"/>
      <c r="F4988" s="25"/>
      <c r="G4988" s="27"/>
    </row>
    <row r="4989">
      <c r="A4989" s="21"/>
      <c r="B4989" s="21"/>
      <c r="D4989" s="25"/>
      <c r="E4989" s="27"/>
      <c r="F4989" s="25"/>
      <c r="G4989" s="27"/>
    </row>
    <row r="4990">
      <c r="A4990" s="21"/>
      <c r="B4990" s="21"/>
      <c r="D4990" s="25"/>
      <c r="E4990" s="27"/>
      <c r="F4990" s="25"/>
      <c r="G4990" s="27"/>
    </row>
    <row r="4991">
      <c r="A4991" s="21"/>
      <c r="B4991" s="21"/>
      <c r="D4991" s="25"/>
      <c r="E4991" s="27"/>
      <c r="F4991" s="25"/>
      <c r="G4991" s="27"/>
    </row>
    <row r="4992">
      <c r="A4992" s="21"/>
      <c r="B4992" s="21"/>
      <c r="D4992" s="25"/>
      <c r="E4992" s="27"/>
      <c r="F4992" s="25"/>
      <c r="G4992" s="27"/>
    </row>
    <row r="4993">
      <c r="A4993" s="21"/>
      <c r="B4993" s="21"/>
      <c r="D4993" s="25"/>
      <c r="E4993" s="27"/>
      <c r="F4993" s="25"/>
      <c r="G4993" s="27"/>
    </row>
    <row r="4994">
      <c r="A4994" s="21"/>
      <c r="B4994" s="21"/>
      <c r="D4994" s="25"/>
      <c r="E4994" s="27"/>
      <c r="F4994" s="25"/>
      <c r="G4994" s="27"/>
    </row>
    <row r="4995">
      <c r="A4995" s="21"/>
      <c r="B4995" s="21"/>
      <c r="D4995" s="25"/>
      <c r="E4995" s="27"/>
      <c r="F4995" s="25"/>
      <c r="G4995" s="27"/>
    </row>
    <row r="4996">
      <c r="A4996" s="21"/>
      <c r="B4996" s="21"/>
      <c r="D4996" s="25"/>
      <c r="E4996" s="27"/>
      <c r="F4996" s="25"/>
      <c r="G4996" s="27"/>
    </row>
    <row r="4997">
      <c r="A4997" s="21"/>
      <c r="B4997" s="21"/>
      <c r="D4997" s="25"/>
      <c r="E4997" s="27"/>
      <c r="F4997" s="25"/>
      <c r="G4997" s="27"/>
    </row>
    <row r="4998">
      <c r="A4998" s="21"/>
      <c r="B4998" s="21"/>
      <c r="D4998" s="25"/>
      <c r="E4998" s="27"/>
      <c r="F4998" s="25"/>
      <c r="G4998" s="27"/>
    </row>
    <row r="4999">
      <c r="A4999" s="21"/>
      <c r="B4999" s="21"/>
      <c r="D4999" s="25"/>
      <c r="E4999" s="27"/>
      <c r="F4999" s="25"/>
      <c r="G4999" s="27"/>
    </row>
    <row r="5000">
      <c r="A5000" s="21"/>
      <c r="B5000" s="21"/>
      <c r="D5000" s="25"/>
      <c r="E5000" s="27"/>
      <c r="F5000" s="25"/>
      <c r="G5000" s="27"/>
    </row>
    <row r="5001">
      <c r="A5001" s="21"/>
      <c r="B5001" s="21"/>
      <c r="D5001" s="25"/>
      <c r="E5001" s="27"/>
      <c r="F5001" s="25"/>
      <c r="G5001" s="27"/>
    </row>
    <row r="5002">
      <c r="A5002" s="21"/>
      <c r="B5002" s="21"/>
      <c r="D5002" s="25"/>
      <c r="E5002" s="27"/>
      <c r="F5002" s="25"/>
      <c r="G5002" s="27"/>
    </row>
    <row r="5003">
      <c r="A5003" s="21"/>
      <c r="B5003" s="21"/>
      <c r="D5003" s="25"/>
      <c r="E5003" s="27"/>
      <c r="F5003" s="25"/>
      <c r="G5003" s="27"/>
    </row>
    <row r="5004">
      <c r="A5004" s="21"/>
      <c r="B5004" s="21"/>
      <c r="D5004" s="25"/>
      <c r="E5004" s="27"/>
      <c r="F5004" s="25"/>
      <c r="G5004" s="27"/>
    </row>
    <row r="5005">
      <c r="A5005" s="21"/>
      <c r="B5005" s="21"/>
      <c r="D5005" s="25"/>
      <c r="E5005" s="27"/>
      <c r="F5005" s="25"/>
      <c r="G5005" s="27"/>
    </row>
    <row r="5006">
      <c r="A5006" s="21"/>
      <c r="B5006" s="21"/>
      <c r="D5006" s="25"/>
      <c r="E5006" s="27"/>
      <c r="F5006" s="25"/>
      <c r="G5006" s="27"/>
    </row>
    <row r="5007">
      <c r="A5007" s="21"/>
      <c r="B5007" s="21"/>
      <c r="D5007" s="25"/>
      <c r="E5007" s="27"/>
      <c r="F5007" s="25"/>
      <c r="G5007" s="27"/>
    </row>
    <row r="5008">
      <c r="A5008" s="21"/>
      <c r="B5008" s="21"/>
      <c r="D5008" s="25"/>
      <c r="E5008" s="27"/>
      <c r="F5008" s="25"/>
      <c r="G5008" s="27"/>
    </row>
    <row r="5009">
      <c r="A5009" s="21"/>
      <c r="B5009" s="21"/>
      <c r="D5009" s="25"/>
      <c r="E5009" s="27"/>
      <c r="F5009" s="25"/>
      <c r="G5009" s="27"/>
    </row>
    <row r="5010">
      <c r="A5010" s="21"/>
      <c r="B5010" s="21"/>
      <c r="D5010" s="25"/>
      <c r="E5010" s="27"/>
      <c r="F5010" s="25"/>
      <c r="G5010" s="27"/>
    </row>
    <row r="5011">
      <c r="A5011" s="21"/>
      <c r="B5011" s="21"/>
      <c r="D5011" s="25"/>
      <c r="E5011" s="27"/>
      <c r="F5011" s="25"/>
      <c r="G5011" s="27"/>
    </row>
    <row r="5012">
      <c r="A5012" s="21"/>
      <c r="B5012" s="21"/>
      <c r="D5012" s="25"/>
      <c r="E5012" s="27"/>
      <c r="F5012" s="25"/>
      <c r="G5012" s="27"/>
    </row>
    <row r="5013">
      <c r="A5013" s="21"/>
      <c r="B5013" s="21"/>
      <c r="D5013" s="25"/>
      <c r="E5013" s="27"/>
      <c r="F5013" s="25"/>
      <c r="G5013" s="27"/>
    </row>
    <row r="5014">
      <c r="A5014" s="21"/>
      <c r="B5014" s="21"/>
      <c r="D5014" s="25"/>
      <c r="E5014" s="27"/>
      <c r="F5014" s="25"/>
      <c r="G5014" s="27"/>
    </row>
    <row r="5015">
      <c r="A5015" s="21"/>
      <c r="B5015" s="21"/>
      <c r="D5015" s="25"/>
      <c r="E5015" s="27"/>
      <c r="F5015" s="25"/>
      <c r="G5015" s="27"/>
    </row>
    <row r="5016">
      <c r="A5016" s="21"/>
      <c r="B5016" s="21"/>
      <c r="D5016" s="25"/>
      <c r="E5016" s="27"/>
      <c r="F5016" s="25"/>
      <c r="G5016" s="27"/>
    </row>
    <row r="5017">
      <c r="A5017" s="21"/>
      <c r="B5017" s="21"/>
      <c r="D5017" s="25"/>
      <c r="E5017" s="27"/>
      <c r="F5017" s="25"/>
      <c r="G5017" s="27"/>
    </row>
    <row r="5018">
      <c r="A5018" s="21"/>
      <c r="B5018" s="21"/>
      <c r="D5018" s="25"/>
      <c r="E5018" s="27"/>
      <c r="F5018" s="25"/>
      <c r="G5018" s="27"/>
    </row>
    <row r="5019">
      <c r="A5019" s="21"/>
      <c r="B5019" s="21"/>
      <c r="D5019" s="25"/>
      <c r="E5019" s="27"/>
      <c r="F5019" s="25"/>
      <c r="G5019" s="27"/>
    </row>
    <row r="5020">
      <c r="A5020" s="21"/>
      <c r="B5020" s="21"/>
      <c r="D5020" s="25"/>
      <c r="E5020" s="27"/>
      <c r="F5020" s="25"/>
      <c r="G5020" s="27"/>
    </row>
    <row r="5021">
      <c r="A5021" s="21"/>
      <c r="B5021" s="21"/>
      <c r="D5021" s="25"/>
      <c r="E5021" s="27"/>
      <c r="F5021" s="25"/>
      <c r="G5021" s="27"/>
    </row>
    <row r="5022">
      <c r="A5022" s="21"/>
      <c r="B5022" s="21"/>
      <c r="D5022" s="25"/>
      <c r="E5022" s="27"/>
      <c r="F5022" s="25"/>
      <c r="G5022" s="27"/>
    </row>
    <row r="5023">
      <c r="A5023" s="21"/>
      <c r="B5023" s="21"/>
      <c r="D5023" s="25"/>
      <c r="E5023" s="27"/>
      <c r="F5023" s="25"/>
      <c r="G5023" s="27"/>
    </row>
    <row r="5024">
      <c r="A5024" s="21"/>
      <c r="B5024" s="21"/>
      <c r="D5024" s="25"/>
      <c r="E5024" s="27"/>
      <c r="F5024" s="25"/>
      <c r="G5024" s="27"/>
    </row>
    <row r="5025">
      <c r="A5025" s="21"/>
      <c r="B5025" s="21"/>
      <c r="D5025" s="25"/>
      <c r="E5025" s="27"/>
      <c r="F5025" s="25"/>
      <c r="G5025" s="27"/>
    </row>
    <row r="5026">
      <c r="A5026" s="21"/>
      <c r="B5026" s="21"/>
      <c r="D5026" s="25"/>
      <c r="E5026" s="27"/>
      <c r="F5026" s="25"/>
      <c r="G5026" s="27"/>
    </row>
    <row r="5027">
      <c r="A5027" s="21"/>
      <c r="B5027" s="21"/>
      <c r="D5027" s="25"/>
      <c r="E5027" s="27"/>
      <c r="F5027" s="25"/>
      <c r="G5027" s="27"/>
    </row>
    <row r="5028">
      <c r="A5028" s="21"/>
      <c r="B5028" s="21"/>
      <c r="D5028" s="25"/>
      <c r="E5028" s="27"/>
      <c r="F5028" s="25"/>
      <c r="G5028" s="27"/>
    </row>
    <row r="5029">
      <c r="A5029" s="21"/>
      <c r="B5029" s="21"/>
      <c r="D5029" s="25"/>
      <c r="E5029" s="27"/>
      <c r="F5029" s="25"/>
      <c r="G5029" s="27"/>
    </row>
    <row r="5030">
      <c r="A5030" s="21"/>
      <c r="B5030" s="21"/>
      <c r="D5030" s="25"/>
      <c r="E5030" s="27"/>
      <c r="F5030" s="25"/>
      <c r="G5030" s="27"/>
    </row>
    <row r="5031">
      <c r="A5031" s="21"/>
      <c r="B5031" s="21"/>
      <c r="D5031" s="25"/>
      <c r="E5031" s="27"/>
      <c r="F5031" s="25"/>
      <c r="G5031" s="27"/>
    </row>
    <row r="5032">
      <c r="A5032" s="21"/>
      <c r="B5032" s="21"/>
      <c r="D5032" s="25"/>
      <c r="E5032" s="27"/>
      <c r="F5032" s="25"/>
      <c r="G5032" s="27"/>
    </row>
    <row r="5033">
      <c r="A5033" s="21"/>
      <c r="B5033" s="21"/>
      <c r="D5033" s="25"/>
      <c r="E5033" s="27"/>
      <c r="F5033" s="25"/>
      <c r="G5033" s="27"/>
    </row>
    <row r="5034">
      <c r="A5034" s="21"/>
      <c r="B5034" s="21"/>
      <c r="D5034" s="25"/>
      <c r="E5034" s="27"/>
      <c r="F5034" s="25"/>
      <c r="G5034" s="27"/>
    </row>
    <row r="5035">
      <c r="A5035" s="21"/>
      <c r="B5035" s="21"/>
      <c r="D5035" s="25"/>
      <c r="E5035" s="27"/>
      <c r="F5035" s="25"/>
      <c r="G5035" s="27"/>
    </row>
    <row r="5036">
      <c r="A5036" s="21"/>
      <c r="B5036" s="21"/>
      <c r="D5036" s="25"/>
      <c r="E5036" s="27"/>
      <c r="F5036" s="25"/>
      <c r="G5036" s="27"/>
    </row>
    <row r="5037">
      <c r="A5037" s="21"/>
      <c r="B5037" s="21"/>
      <c r="D5037" s="25"/>
      <c r="E5037" s="27"/>
      <c r="F5037" s="25"/>
      <c r="G5037" s="27"/>
    </row>
    <row r="5038">
      <c r="A5038" s="21"/>
      <c r="B5038" s="21"/>
      <c r="D5038" s="25"/>
      <c r="E5038" s="27"/>
      <c r="F5038" s="25"/>
      <c r="G5038" s="27"/>
    </row>
    <row r="5039">
      <c r="A5039" s="21"/>
      <c r="B5039" s="21"/>
      <c r="D5039" s="25"/>
      <c r="E5039" s="27"/>
      <c r="F5039" s="25"/>
      <c r="G5039" s="27"/>
    </row>
    <row r="5040">
      <c r="A5040" s="21"/>
      <c r="B5040" s="21"/>
      <c r="D5040" s="25"/>
      <c r="E5040" s="27"/>
      <c r="F5040" s="25"/>
      <c r="G5040" s="27"/>
    </row>
    <row r="5041">
      <c r="A5041" s="21"/>
      <c r="B5041" s="21"/>
      <c r="D5041" s="25"/>
      <c r="E5041" s="27"/>
      <c r="F5041" s="25"/>
      <c r="G5041" s="27"/>
    </row>
    <row r="5042">
      <c r="A5042" s="21"/>
      <c r="B5042" s="21"/>
      <c r="D5042" s="25"/>
      <c r="E5042" s="27"/>
      <c r="F5042" s="25"/>
      <c r="G5042" s="27"/>
    </row>
    <row r="5043">
      <c r="A5043" s="21"/>
      <c r="B5043" s="21"/>
      <c r="D5043" s="25"/>
      <c r="E5043" s="27"/>
      <c r="F5043" s="25"/>
      <c r="G5043" s="27"/>
    </row>
    <row r="5044">
      <c r="A5044" s="21"/>
      <c r="B5044" s="21"/>
      <c r="D5044" s="25"/>
      <c r="E5044" s="27"/>
      <c r="F5044" s="25"/>
      <c r="G5044" s="27"/>
    </row>
    <row r="5045">
      <c r="A5045" s="21"/>
      <c r="B5045" s="21"/>
      <c r="D5045" s="25"/>
      <c r="E5045" s="27"/>
      <c r="F5045" s="25"/>
      <c r="G5045" s="27"/>
    </row>
    <row r="5046">
      <c r="A5046" s="21"/>
      <c r="B5046" s="21"/>
      <c r="D5046" s="25"/>
      <c r="E5046" s="27"/>
      <c r="F5046" s="25"/>
      <c r="G5046" s="27"/>
    </row>
    <row r="5047">
      <c r="A5047" s="21"/>
      <c r="B5047" s="21"/>
      <c r="D5047" s="25"/>
      <c r="E5047" s="27"/>
      <c r="F5047" s="25"/>
      <c r="G5047" s="27"/>
    </row>
    <row r="5048">
      <c r="A5048" s="21"/>
      <c r="B5048" s="21"/>
      <c r="D5048" s="25"/>
      <c r="E5048" s="27"/>
      <c r="F5048" s="25"/>
      <c r="G5048" s="27"/>
    </row>
    <row r="5049">
      <c r="A5049" s="21"/>
      <c r="B5049" s="21"/>
      <c r="D5049" s="25"/>
      <c r="E5049" s="27"/>
      <c r="F5049" s="25"/>
      <c r="G5049" s="27"/>
    </row>
    <row r="5050">
      <c r="A5050" s="21"/>
      <c r="B5050" s="21"/>
      <c r="D5050" s="25"/>
      <c r="E5050" s="27"/>
      <c r="F5050" s="25"/>
      <c r="G5050" s="27"/>
    </row>
    <row r="5051">
      <c r="A5051" s="21"/>
      <c r="B5051" s="21"/>
      <c r="D5051" s="25"/>
      <c r="E5051" s="27"/>
      <c r="F5051" s="25"/>
      <c r="G5051" s="27"/>
    </row>
    <row r="5052">
      <c r="A5052" s="21"/>
      <c r="B5052" s="21"/>
      <c r="D5052" s="25"/>
      <c r="E5052" s="27"/>
      <c r="F5052" s="25"/>
      <c r="G5052" s="27"/>
    </row>
    <row r="5053">
      <c r="A5053" s="21"/>
      <c r="B5053" s="21"/>
      <c r="D5053" s="25"/>
      <c r="E5053" s="27"/>
      <c r="F5053" s="25"/>
      <c r="G5053" s="27"/>
    </row>
    <row r="5054">
      <c r="A5054" s="21"/>
      <c r="B5054" s="21"/>
      <c r="D5054" s="25"/>
      <c r="E5054" s="27"/>
      <c r="F5054" s="25"/>
      <c r="G5054" s="27"/>
    </row>
    <row r="5055">
      <c r="A5055" s="21"/>
      <c r="B5055" s="21"/>
      <c r="D5055" s="25"/>
      <c r="E5055" s="27"/>
      <c r="F5055" s="25"/>
      <c r="G5055" s="27"/>
    </row>
    <row r="5056">
      <c r="A5056" s="21"/>
      <c r="B5056" s="21"/>
      <c r="D5056" s="25"/>
      <c r="E5056" s="27"/>
      <c r="F5056" s="25"/>
      <c r="G5056" s="27"/>
    </row>
    <row r="5057">
      <c r="A5057" s="21"/>
      <c r="B5057" s="21"/>
      <c r="D5057" s="25"/>
      <c r="E5057" s="27"/>
      <c r="F5057" s="25"/>
      <c r="G5057" s="27"/>
    </row>
    <row r="5058">
      <c r="A5058" s="21"/>
      <c r="B5058" s="21"/>
      <c r="D5058" s="25"/>
      <c r="E5058" s="27"/>
      <c r="F5058" s="25"/>
      <c r="G5058" s="27"/>
    </row>
    <row r="5059">
      <c r="A5059" s="21"/>
      <c r="B5059" s="21"/>
      <c r="D5059" s="25"/>
      <c r="E5059" s="27"/>
      <c r="F5059" s="25"/>
      <c r="G5059" s="27"/>
    </row>
    <row r="5060">
      <c r="A5060" s="21"/>
      <c r="B5060" s="21"/>
      <c r="D5060" s="25"/>
      <c r="E5060" s="27"/>
      <c r="F5060" s="25"/>
      <c r="G5060" s="27"/>
    </row>
    <row r="5061">
      <c r="A5061" s="21"/>
      <c r="B5061" s="21"/>
      <c r="D5061" s="25"/>
      <c r="E5061" s="27"/>
      <c r="F5061" s="25"/>
      <c r="G5061" s="27"/>
    </row>
    <row r="5062">
      <c r="A5062" s="21"/>
      <c r="B5062" s="21"/>
      <c r="D5062" s="25"/>
      <c r="E5062" s="27"/>
      <c r="F5062" s="25"/>
      <c r="G5062" s="27"/>
    </row>
    <row r="5063">
      <c r="A5063" s="21"/>
      <c r="B5063" s="21"/>
      <c r="D5063" s="25"/>
      <c r="E5063" s="27"/>
      <c r="F5063" s="25"/>
      <c r="G5063" s="27"/>
    </row>
    <row r="5064">
      <c r="A5064" s="21"/>
      <c r="B5064" s="21"/>
      <c r="D5064" s="25"/>
      <c r="E5064" s="27"/>
      <c r="F5064" s="25"/>
      <c r="G5064" s="27"/>
    </row>
    <row r="5065">
      <c r="A5065" s="21"/>
      <c r="B5065" s="21"/>
      <c r="D5065" s="25"/>
      <c r="E5065" s="27"/>
      <c r="F5065" s="25"/>
      <c r="G5065" s="27"/>
    </row>
    <row r="5066">
      <c r="A5066" s="21"/>
      <c r="B5066" s="21"/>
      <c r="D5066" s="25"/>
      <c r="E5066" s="27"/>
      <c r="F5066" s="25"/>
      <c r="G5066" s="27"/>
    </row>
    <row r="5067">
      <c r="A5067" s="21"/>
      <c r="B5067" s="21"/>
      <c r="D5067" s="25"/>
      <c r="E5067" s="27"/>
      <c r="F5067" s="25"/>
      <c r="G5067" s="27"/>
    </row>
    <row r="5068">
      <c r="A5068" s="21"/>
      <c r="B5068" s="21"/>
      <c r="D5068" s="25"/>
      <c r="E5068" s="27"/>
      <c r="F5068" s="25"/>
      <c r="G5068" s="27"/>
    </row>
    <row r="5069">
      <c r="A5069" s="21"/>
      <c r="B5069" s="21"/>
      <c r="D5069" s="25"/>
      <c r="E5069" s="27"/>
      <c r="F5069" s="25"/>
      <c r="G5069" s="27"/>
    </row>
    <row r="5070">
      <c r="A5070" s="21"/>
      <c r="B5070" s="21"/>
      <c r="D5070" s="25"/>
      <c r="E5070" s="27"/>
      <c r="F5070" s="25"/>
      <c r="G5070" s="27"/>
    </row>
    <row r="5071">
      <c r="A5071" s="21"/>
      <c r="B5071" s="21"/>
      <c r="D5071" s="25"/>
      <c r="E5071" s="27"/>
      <c r="F5071" s="25"/>
      <c r="G5071" s="27"/>
    </row>
    <row r="5072">
      <c r="A5072" s="21"/>
      <c r="B5072" s="21"/>
      <c r="D5072" s="25"/>
      <c r="E5072" s="27"/>
      <c r="F5072" s="25"/>
      <c r="G5072" s="27"/>
    </row>
    <row r="5073">
      <c r="A5073" s="21"/>
      <c r="B5073" s="21"/>
      <c r="D5073" s="25"/>
      <c r="E5073" s="27"/>
      <c r="F5073" s="25"/>
      <c r="G5073" s="27"/>
    </row>
    <row r="5074">
      <c r="A5074" s="21"/>
      <c r="B5074" s="21"/>
      <c r="D5074" s="25"/>
      <c r="E5074" s="27"/>
      <c r="F5074" s="25"/>
      <c r="G5074" s="27"/>
    </row>
    <row r="5075">
      <c r="A5075" s="21"/>
      <c r="B5075" s="21"/>
      <c r="D5075" s="25"/>
      <c r="E5075" s="27"/>
      <c r="F5075" s="25"/>
      <c r="G5075" s="27"/>
    </row>
    <row r="5076">
      <c r="A5076" s="21"/>
      <c r="B5076" s="21"/>
      <c r="D5076" s="25"/>
      <c r="E5076" s="27"/>
      <c r="F5076" s="25"/>
      <c r="G5076" s="27"/>
    </row>
    <row r="5077">
      <c r="A5077" s="21"/>
      <c r="B5077" s="21"/>
      <c r="D5077" s="25"/>
      <c r="E5077" s="27"/>
      <c r="F5077" s="25"/>
      <c r="G5077" s="27"/>
    </row>
    <row r="5078">
      <c r="A5078" s="21"/>
      <c r="B5078" s="21"/>
      <c r="D5078" s="25"/>
      <c r="E5078" s="27"/>
      <c r="F5078" s="25"/>
      <c r="G5078" s="27"/>
    </row>
    <row r="5079">
      <c r="A5079" s="21"/>
      <c r="B5079" s="21"/>
      <c r="D5079" s="25"/>
      <c r="E5079" s="27"/>
      <c r="F5079" s="25"/>
      <c r="G5079" s="27"/>
    </row>
    <row r="5080">
      <c r="A5080" s="21"/>
      <c r="B5080" s="21"/>
      <c r="D5080" s="25"/>
      <c r="E5080" s="27"/>
      <c r="F5080" s="25"/>
      <c r="G5080" s="27"/>
    </row>
    <row r="5081">
      <c r="A5081" s="21"/>
      <c r="B5081" s="21"/>
      <c r="D5081" s="25"/>
      <c r="E5081" s="27"/>
      <c r="F5081" s="25"/>
      <c r="G5081" s="27"/>
    </row>
    <row r="5082">
      <c r="A5082" s="21"/>
      <c r="B5082" s="21"/>
      <c r="D5082" s="25"/>
      <c r="E5082" s="27"/>
      <c r="F5082" s="25"/>
      <c r="G5082" s="27"/>
    </row>
    <row r="5083">
      <c r="A5083" s="21"/>
      <c r="B5083" s="21"/>
      <c r="D5083" s="25"/>
      <c r="E5083" s="27"/>
      <c r="F5083" s="25"/>
      <c r="G5083" s="27"/>
    </row>
    <row r="5084">
      <c r="A5084" s="21"/>
      <c r="B5084" s="21"/>
      <c r="D5084" s="25"/>
      <c r="E5084" s="27"/>
      <c r="F5084" s="25"/>
      <c r="G5084" s="27"/>
    </row>
    <row r="5085">
      <c r="A5085" s="21"/>
      <c r="B5085" s="21"/>
      <c r="D5085" s="25"/>
      <c r="E5085" s="27"/>
      <c r="F5085" s="25"/>
      <c r="G5085" s="27"/>
    </row>
    <row r="5086">
      <c r="A5086" s="21"/>
      <c r="B5086" s="21"/>
      <c r="D5086" s="25"/>
      <c r="E5086" s="27"/>
      <c r="F5086" s="25"/>
      <c r="G5086" s="27"/>
    </row>
    <row r="5087">
      <c r="A5087" s="21"/>
      <c r="B5087" s="21"/>
      <c r="D5087" s="25"/>
      <c r="E5087" s="27"/>
      <c r="F5087" s="25"/>
      <c r="G5087" s="27"/>
    </row>
    <row r="5088">
      <c r="A5088" s="21"/>
      <c r="B5088" s="21"/>
      <c r="D5088" s="25"/>
      <c r="E5088" s="27"/>
      <c r="F5088" s="25"/>
      <c r="G5088" s="27"/>
    </row>
    <row r="5089">
      <c r="A5089" s="21"/>
      <c r="B5089" s="21"/>
      <c r="D5089" s="25"/>
      <c r="E5089" s="27"/>
      <c r="F5089" s="25"/>
      <c r="G5089" s="27"/>
    </row>
    <row r="5090">
      <c r="A5090" s="21"/>
      <c r="B5090" s="21"/>
      <c r="D5090" s="25"/>
      <c r="E5090" s="27"/>
      <c r="F5090" s="25"/>
      <c r="G5090" s="27"/>
    </row>
    <row r="5091">
      <c r="A5091" s="21"/>
      <c r="B5091" s="21"/>
      <c r="D5091" s="25"/>
      <c r="E5091" s="27"/>
      <c r="F5091" s="25"/>
      <c r="G5091" s="27"/>
    </row>
    <row r="5092">
      <c r="A5092" s="21"/>
      <c r="B5092" s="21"/>
      <c r="D5092" s="25"/>
      <c r="E5092" s="27"/>
      <c r="F5092" s="25"/>
      <c r="G5092" s="27"/>
    </row>
    <row r="5093">
      <c r="A5093" s="21"/>
      <c r="B5093" s="21"/>
      <c r="D5093" s="25"/>
      <c r="E5093" s="27"/>
      <c r="F5093" s="25"/>
      <c r="G5093" s="27"/>
    </row>
    <row r="5094">
      <c r="A5094" s="21"/>
      <c r="B5094" s="21"/>
      <c r="D5094" s="25"/>
      <c r="E5094" s="27"/>
      <c r="F5094" s="25"/>
      <c r="G5094" s="27"/>
    </row>
    <row r="5095">
      <c r="A5095" s="21"/>
      <c r="B5095" s="21"/>
      <c r="D5095" s="25"/>
      <c r="E5095" s="27"/>
      <c r="F5095" s="25"/>
      <c r="G5095" s="27"/>
    </row>
    <row r="5096">
      <c r="A5096" s="21"/>
      <c r="B5096" s="21"/>
      <c r="D5096" s="25"/>
      <c r="E5096" s="27"/>
      <c r="F5096" s="25"/>
      <c r="G5096" s="27"/>
    </row>
    <row r="5097">
      <c r="A5097" s="21"/>
      <c r="B5097" s="21"/>
      <c r="D5097" s="25"/>
      <c r="E5097" s="27"/>
      <c r="F5097" s="25"/>
      <c r="G5097" s="27"/>
    </row>
    <row r="5098">
      <c r="A5098" s="21"/>
      <c r="B5098" s="21"/>
      <c r="D5098" s="25"/>
      <c r="E5098" s="27"/>
      <c r="F5098" s="25"/>
      <c r="G5098" s="27"/>
    </row>
    <row r="5099">
      <c r="A5099" s="21"/>
      <c r="B5099" s="21"/>
      <c r="D5099" s="25"/>
      <c r="E5099" s="27"/>
      <c r="F5099" s="25"/>
      <c r="G5099" s="27"/>
    </row>
    <row r="5100">
      <c r="A5100" s="21"/>
      <c r="B5100" s="21"/>
      <c r="D5100" s="25"/>
      <c r="E5100" s="27"/>
      <c r="F5100" s="25"/>
      <c r="G5100" s="27"/>
    </row>
    <row r="5101">
      <c r="A5101" s="21"/>
      <c r="B5101" s="21"/>
      <c r="D5101" s="25"/>
      <c r="E5101" s="27"/>
      <c r="F5101" s="25"/>
      <c r="G5101" s="27"/>
    </row>
    <row r="5102">
      <c r="A5102" s="21"/>
      <c r="B5102" s="21"/>
      <c r="D5102" s="25"/>
      <c r="E5102" s="27"/>
      <c r="F5102" s="25"/>
      <c r="G5102" s="27"/>
    </row>
    <row r="5103">
      <c r="A5103" s="21"/>
      <c r="B5103" s="21"/>
      <c r="D5103" s="25"/>
      <c r="E5103" s="27"/>
      <c r="F5103" s="25"/>
      <c r="G5103" s="27"/>
    </row>
    <row r="5104">
      <c r="A5104" s="21"/>
      <c r="B5104" s="21"/>
      <c r="D5104" s="25"/>
      <c r="E5104" s="27"/>
      <c r="F5104" s="25"/>
      <c r="G5104" s="27"/>
    </row>
    <row r="5105">
      <c r="A5105" s="21"/>
      <c r="B5105" s="21"/>
      <c r="D5105" s="25"/>
      <c r="E5105" s="27"/>
      <c r="F5105" s="25"/>
      <c r="G5105" s="27"/>
    </row>
    <row r="5106">
      <c r="A5106" s="21"/>
      <c r="B5106" s="21"/>
      <c r="D5106" s="25"/>
      <c r="E5106" s="27"/>
      <c r="F5106" s="25"/>
      <c r="G5106" s="27"/>
    </row>
    <row r="5107">
      <c r="A5107" s="21"/>
      <c r="B5107" s="21"/>
      <c r="D5107" s="25"/>
      <c r="E5107" s="27"/>
      <c r="F5107" s="25"/>
      <c r="G5107" s="27"/>
    </row>
    <row r="5108">
      <c r="A5108" s="21"/>
      <c r="B5108" s="21"/>
      <c r="D5108" s="25"/>
      <c r="E5108" s="27"/>
      <c r="F5108" s="25"/>
      <c r="G5108" s="27"/>
    </row>
    <row r="5109">
      <c r="A5109" s="21"/>
      <c r="B5109" s="21"/>
      <c r="D5109" s="25"/>
      <c r="E5109" s="27"/>
      <c r="F5109" s="25"/>
      <c r="G5109" s="27"/>
    </row>
    <row r="5110">
      <c r="A5110" s="21"/>
      <c r="B5110" s="21"/>
      <c r="D5110" s="25"/>
      <c r="E5110" s="27"/>
      <c r="F5110" s="25"/>
      <c r="G5110" s="27"/>
    </row>
    <row r="5111">
      <c r="A5111" s="21"/>
      <c r="B5111" s="21"/>
      <c r="D5111" s="25"/>
      <c r="E5111" s="27"/>
      <c r="F5111" s="25"/>
      <c r="G5111" s="27"/>
    </row>
    <row r="5112">
      <c r="A5112" s="21"/>
      <c r="B5112" s="21"/>
      <c r="D5112" s="25"/>
      <c r="E5112" s="27"/>
      <c r="F5112" s="25"/>
      <c r="G5112" s="27"/>
    </row>
    <row r="5113">
      <c r="A5113" s="21"/>
      <c r="B5113" s="21"/>
      <c r="D5113" s="25"/>
      <c r="E5113" s="27"/>
      <c r="F5113" s="25"/>
      <c r="G5113" s="27"/>
    </row>
    <row r="5114">
      <c r="A5114" s="21"/>
      <c r="B5114" s="21"/>
      <c r="D5114" s="25"/>
      <c r="E5114" s="27"/>
      <c r="F5114" s="25"/>
      <c r="G5114" s="27"/>
    </row>
    <row r="5115">
      <c r="A5115" s="21"/>
      <c r="B5115" s="21"/>
      <c r="D5115" s="25"/>
      <c r="E5115" s="27"/>
      <c r="F5115" s="25"/>
      <c r="G5115" s="27"/>
    </row>
    <row r="5116">
      <c r="A5116" s="21"/>
      <c r="B5116" s="21"/>
      <c r="D5116" s="25"/>
      <c r="E5116" s="27"/>
      <c r="F5116" s="25"/>
      <c r="G5116" s="27"/>
    </row>
    <row r="5117">
      <c r="A5117" s="21"/>
      <c r="B5117" s="21"/>
      <c r="D5117" s="25"/>
      <c r="E5117" s="27"/>
      <c r="F5117" s="25"/>
      <c r="G5117" s="27"/>
    </row>
    <row r="5118">
      <c r="A5118" s="21"/>
      <c r="B5118" s="21"/>
      <c r="D5118" s="25"/>
      <c r="E5118" s="27"/>
      <c r="F5118" s="25"/>
      <c r="G5118" s="27"/>
    </row>
    <row r="5119">
      <c r="A5119" s="21"/>
      <c r="B5119" s="21"/>
      <c r="D5119" s="25"/>
      <c r="E5119" s="27"/>
      <c r="F5119" s="25"/>
      <c r="G5119" s="27"/>
    </row>
    <row r="5120">
      <c r="A5120" s="21"/>
      <c r="B5120" s="21"/>
      <c r="D5120" s="25"/>
      <c r="E5120" s="27"/>
      <c r="F5120" s="25"/>
      <c r="G5120" s="27"/>
    </row>
    <row r="5121">
      <c r="A5121" s="21"/>
      <c r="B5121" s="21"/>
      <c r="D5121" s="25"/>
      <c r="E5121" s="27"/>
      <c r="F5121" s="25"/>
      <c r="G5121" s="27"/>
    </row>
    <row r="5122">
      <c r="A5122" s="21"/>
      <c r="B5122" s="21"/>
      <c r="D5122" s="25"/>
      <c r="E5122" s="27"/>
      <c r="F5122" s="25"/>
      <c r="G5122" s="27"/>
    </row>
    <row r="5123">
      <c r="A5123" s="21"/>
      <c r="B5123" s="21"/>
      <c r="D5123" s="25"/>
      <c r="E5123" s="27"/>
      <c r="F5123" s="25"/>
      <c r="G5123" s="27"/>
    </row>
    <row r="5124">
      <c r="A5124" s="21"/>
      <c r="B5124" s="21"/>
      <c r="D5124" s="25"/>
      <c r="E5124" s="27"/>
      <c r="F5124" s="25"/>
      <c r="G5124" s="27"/>
    </row>
    <row r="5125">
      <c r="A5125" s="21"/>
      <c r="B5125" s="21"/>
      <c r="D5125" s="25"/>
      <c r="E5125" s="27"/>
      <c r="F5125" s="25"/>
      <c r="G5125" s="27"/>
    </row>
    <row r="5126">
      <c r="A5126" s="21"/>
      <c r="B5126" s="21"/>
      <c r="D5126" s="25"/>
      <c r="E5126" s="27"/>
      <c r="F5126" s="25"/>
      <c r="G5126" s="27"/>
    </row>
    <row r="5127">
      <c r="A5127" s="21"/>
      <c r="B5127" s="21"/>
      <c r="D5127" s="25"/>
      <c r="E5127" s="27"/>
      <c r="F5127" s="25"/>
      <c r="G5127" s="27"/>
    </row>
    <row r="5128">
      <c r="A5128" s="21"/>
      <c r="B5128" s="21"/>
      <c r="D5128" s="25"/>
      <c r="E5128" s="27"/>
      <c r="F5128" s="25"/>
      <c r="G5128" s="27"/>
    </row>
    <row r="5129">
      <c r="A5129" s="21"/>
      <c r="B5129" s="21"/>
      <c r="D5129" s="25"/>
      <c r="E5129" s="27"/>
      <c r="F5129" s="25"/>
      <c r="G5129" s="27"/>
    </row>
    <row r="5130">
      <c r="A5130" s="21"/>
      <c r="B5130" s="21"/>
      <c r="D5130" s="25"/>
      <c r="E5130" s="27"/>
      <c r="F5130" s="25"/>
      <c r="G5130" s="27"/>
    </row>
    <row r="5131">
      <c r="A5131" s="21"/>
      <c r="B5131" s="21"/>
      <c r="D5131" s="25"/>
      <c r="E5131" s="27"/>
      <c r="F5131" s="25"/>
      <c r="G5131" s="27"/>
    </row>
    <row r="5132">
      <c r="A5132" s="21"/>
      <c r="B5132" s="21"/>
      <c r="D5132" s="25"/>
      <c r="E5132" s="27"/>
      <c r="F5132" s="25"/>
      <c r="G5132" s="27"/>
    </row>
    <row r="5133">
      <c r="A5133" s="21"/>
      <c r="B5133" s="21"/>
      <c r="D5133" s="25"/>
      <c r="E5133" s="27"/>
      <c r="F5133" s="25"/>
      <c r="G5133" s="27"/>
    </row>
    <row r="5134">
      <c r="A5134" s="21"/>
      <c r="B5134" s="21"/>
      <c r="D5134" s="25"/>
      <c r="E5134" s="27"/>
      <c r="F5134" s="25"/>
      <c r="G5134" s="27"/>
    </row>
    <row r="5135">
      <c r="A5135" s="21"/>
      <c r="B5135" s="21"/>
      <c r="D5135" s="25"/>
      <c r="E5135" s="27"/>
      <c r="F5135" s="25"/>
      <c r="G5135" s="27"/>
    </row>
    <row r="5136">
      <c r="A5136" s="21"/>
      <c r="B5136" s="21"/>
      <c r="D5136" s="25"/>
      <c r="E5136" s="27"/>
      <c r="F5136" s="25"/>
      <c r="G5136" s="27"/>
    </row>
    <row r="5137">
      <c r="A5137" s="21"/>
      <c r="B5137" s="21"/>
      <c r="D5137" s="25"/>
      <c r="E5137" s="27"/>
      <c r="F5137" s="25"/>
      <c r="G5137" s="27"/>
    </row>
    <row r="5138">
      <c r="A5138" s="21"/>
      <c r="B5138" s="21"/>
      <c r="D5138" s="25"/>
      <c r="E5138" s="27"/>
      <c r="F5138" s="25"/>
      <c r="G5138" s="27"/>
    </row>
    <row r="5139">
      <c r="A5139" s="21"/>
      <c r="B5139" s="21"/>
      <c r="D5139" s="25"/>
      <c r="E5139" s="27"/>
      <c r="F5139" s="25"/>
      <c r="G5139" s="27"/>
    </row>
    <row r="5140">
      <c r="A5140" s="21"/>
      <c r="B5140" s="21"/>
      <c r="D5140" s="25"/>
      <c r="E5140" s="27"/>
      <c r="F5140" s="25"/>
      <c r="G5140" s="27"/>
    </row>
    <row r="5141">
      <c r="A5141" s="21"/>
      <c r="B5141" s="21"/>
      <c r="D5141" s="25"/>
      <c r="E5141" s="27"/>
      <c r="F5141" s="25"/>
      <c r="G5141" s="27"/>
    </row>
    <row r="5142">
      <c r="A5142" s="21"/>
      <c r="B5142" s="21"/>
      <c r="D5142" s="25"/>
      <c r="E5142" s="27"/>
      <c r="F5142" s="25"/>
      <c r="G5142" s="27"/>
    </row>
    <row r="5143">
      <c r="A5143" s="21"/>
      <c r="B5143" s="21"/>
      <c r="D5143" s="25"/>
      <c r="E5143" s="27"/>
      <c r="F5143" s="25"/>
      <c r="G5143" s="27"/>
    </row>
    <row r="5144">
      <c r="A5144" s="21"/>
      <c r="B5144" s="21"/>
      <c r="D5144" s="25"/>
      <c r="E5144" s="27"/>
      <c r="F5144" s="25"/>
      <c r="G5144" s="27"/>
    </row>
    <row r="5145">
      <c r="A5145" s="21"/>
      <c r="B5145" s="21"/>
      <c r="D5145" s="25"/>
      <c r="E5145" s="27"/>
      <c r="F5145" s="25"/>
      <c r="G5145" s="27"/>
    </row>
    <row r="5146">
      <c r="A5146" s="21"/>
      <c r="B5146" s="21"/>
      <c r="D5146" s="25"/>
      <c r="E5146" s="27"/>
      <c r="F5146" s="25"/>
      <c r="G5146" s="27"/>
    </row>
    <row r="5147">
      <c r="A5147" s="21"/>
      <c r="B5147" s="21"/>
      <c r="D5147" s="25"/>
      <c r="E5147" s="27"/>
      <c r="F5147" s="25"/>
      <c r="G5147" s="27"/>
    </row>
    <row r="5148">
      <c r="A5148" s="21"/>
      <c r="B5148" s="21"/>
      <c r="D5148" s="25"/>
      <c r="E5148" s="27"/>
      <c r="F5148" s="25"/>
      <c r="G5148" s="27"/>
    </row>
    <row r="5149">
      <c r="A5149" s="21"/>
      <c r="B5149" s="21"/>
      <c r="D5149" s="25"/>
      <c r="E5149" s="27"/>
      <c r="F5149" s="25"/>
      <c r="G5149" s="27"/>
    </row>
    <row r="5150">
      <c r="A5150" s="21"/>
      <c r="B5150" s="21"/>
      <c r="D5150" s="25"/>
      <c r="E5150" s="27"/>
      <c r="F5150" s="25"/>
      <c r="G5150" s="27"/>
    </row>
    <row r="5151">
      <c r="A5151" s="21"/>
      <c r="B5151" s="21"/>
      <c r="D5151" s="25"/>
      <c r="E5151" s="27"/>
      <c r="F5151" s="25"/>
      <c r="G5151" s="27"/>
    </row>
    <row r="5152">
      <c r="A5152" s="21"/>
      <c r="B5152" s="21"/>
      <c r="D5152" s="25"/>
      <c r="E5152" s="27"/>
      <c r="F5152" s="25"/>
      <c r="G5152" s="27"/>
    </row>
    <row r="5153">
      <c r="A5153" s="21"/>
      <c r="B5153" s="21"/>
      <c r="D5153" s="25"/>
      <c r="E5153" s="27"/>
      <c r="F5153" s="25"/>
      <c r="G5153" s="27"/>
    </row>
    <row r="5154">
      <c r="A5154" s="21"/>
      <c r="B5154" s="21"/>
      <c r="D5154" s="25"/>
      <c r="E5154" s="27"/>
      <c r="F5154" s="25"/>
      <c r="G5154" s="27"/>
    </row>
    <row r="5155">
      <c r="A5155" s="21"/>
      <c r="B5155" s="21"/>
      <c r="D5155" s="25"/>
      <c r="E5155" s="27"/>
      <c r="F5155" s="25"/>
      <c r="G5155" s="27"/>
    </row>
    <row r="5156">
      <c r="A5156" s="21"/>
      <c r="B5156" s="21"/>
      <c r="D5156" s="25"/>
      <c r="E5156" s="27"/>
      <c r="F5156" s="25"/>
      <c r="G5156" s="27"/>
    </row>
    <row r="5157">
      <c r="A5157" s="21"/>
      <c r="B5157" s="21"/>
      <c r="D5157" s="25"/>
      <c r="E5157" s="27"/>
      <c r="F5157" s="25"/>
      <c r="G5157" s="27"/>
    </row>
    <row r="5158">
      <c r="A5158" s="21"/>
      <c r="B5158" s="21"/>
      <c r="D5158" s="25"/>
      <c r="E5158" s="27"/>
      <c r="F5158" s="25"/>
      <c r="G5158" s="27"/>
    </row>
    <row r="5159">
      <c r="A5159" s="21"/>
      <c r="B5159" s="21"/>
      <c r="D5159" s="25"/>
      <c r="E5159" s="27"/>
      <c r="F5159" s="25"/>
      <c r="G5159" s="27"/>
    </row>
    <row r="5160">
      <c r="A5160" s="21"/>
      <c r="B5160" s="21"/>
      <c r="D5160" s="25"/>
      <c r="E5160" s="27"/>
      <c r="F5160" s="25"/>
      <c r="G5160" s="27"/>
    </row>
    <row r="5161">
      <c r="A5161" s="21"/>
      <c r="B5161" s="21"/>
      <c r="D5161" s="25"/>
      <c r="E5161" s="27"/>
      <c r="F5161" s="25"/>
      <c r="G5161" s="27"/>
    </row>
    <row r="5162">
      <c r="A5162" s="21"/>
      <c r="B5162" s="21"/>
      <c r="D5162" s="25"/>
      <c r="E5162" s="27"/>
      <c r="F5162" s="25"/>
      <c r="G5162" s="27"/>
    </row>
    <row r="5163">
      <c r="A5163" s="21"/>
      <c r="B5163" s="21"/>
      <c r="D5163" s="25"/>
      <c r="E5163" s="27"/>
      <c r="F5163" s="25"/>
      <c r="G5163" s="27"/>
    </row>
    <row r="5164">
      <c r="A5164" s="21"/>
      <c r="B5164" s="21"/>
      <c r="D5164" s="25"/>
      <c r="E5164" s="27"/>
      <c r="F5164" s="25"/>
      <c r="G5164" s="27"/>
    </row>
    <row r="5165">
      <c r="A5165" s="21"/>
      <c r="B5165" s="21"/>
      <c r="D5165" s="25"/>
      <c r="E5165" s="27"/>
      <c r="F5165" s="25"/>
      <c r="G5165" s="27"/>
    </row>
    <row r="5166">
      <c r="A5166" s="21"/>
      <c r="B5166" s="21"/>
      <c r="D5166" s="25"/>
      <c r="E5166" s="27"/>
      <c r="F5166" s="25"/>
      <c r="G5166" s="27"/>
    </row>
    <row r="5167">
      <c r="A5167" s="21"/>
      <c r="B5167" s="21"/>
      <c r="D5167" s="25"/>
      <c r="E5167" s="27"/>
      <c r="F5167" s="25"/>
      <c r="G5167" s="27"/>
    </row>
    <row r="5168">
      <c r="A5168" s="21"/>
      <c r="B5168" s="21"/>
      <c r="D5168" s="25"/>
      <c r="E5168" s="27"/>
      <c r="F5168" s="25"/>
      <c r="G5168" s="27"/>
    </row>
    <row r="5169">
      <c r="A5169" s="21"/>
      <c r="B5169" s="21"/>
      <c r="D5169" s="25"/>
      <c r="E5169" s="27"/>
      <c r="F5169" s="25"/>
      <c r="G5169" s="27"/>
    </row>
    <row r="5170">
      <c r="A5170" s="21"/>
      <c r="B5170" s="21"/>
      <c r="D5170" s="25"/>
      <c r="E5170" s="27"/>
      <c r="F5170" s="25"/>
      <c r="G5170" s="27"/>
    </row>
    <row r="5171">
      <c r="A5171" s="21"/>
      <c r="B5171" s="21"/>
      <c r="D5171" s="25"/>
      <c r="E5171" s="27"/>
      <c r="F5171" s="25"/>
      <c r="G5171" s="27"/>
    </row>
    <row r="5172">
      <c r="A5172" s="21"/>
      <c r="B5172" s="21"/>
      <c r="D5172" s="25"/>
      <c r="E5172" s="27"/>
      <c r="F5172" s="25"/>
      <c r="G5172" s="27"/>
    </row>
    <row r="5173">
      <c r="A5173" s="21"/>
      <c r="B5173" s="21"/>
      <c r="D5173" s="25"/>
      <c r="E5173" s="27"/>
      <c r="F5173" s="25"/>
      <c r="G5173" s="27"/>
    </row>
    <row r="5174">
      <c r="A5174" s="21"/>
      <c r="B5174" s="21"/>
      <c r="D5174" s="25"/>
      <c r="E5174" s="27"/>
      <c r="F5174" s="25"/>
      <c r="G5174" s="27"/>
    </row>
    <row r="5175">
      <c r="A5175" s="21"/>
      <c r="B5175" s="21"/>
      <c r="D5175" s="25"/>
      <c r="E5175" s="27"/>
      <c r="F5175" s="25"/>
      <c r="G5175" s="27"/>
    </row>
    <row r="5176">
      <c r="A5176" s="21"/>
      <c r="B5176" s="21"/>
      <c r="D5176" s="25"/>
      <c r="E5176" s="27"/>
      <c r="F5176" s="25"/>
      <c r="G5176" s="27"/>
    </row>
    <row r="5177">
      <c r="A5177" s="21"/>
      <c r="B5177" s="21"/>
      <c r="D5177" s="25"/>
      <c r="E5177" s="27"/>
      <c r="F5177" s="25"/>
      <c r="G5177" s="27"/>
    </row>
    <row r="5178">
      <c r="A5178" s="21"/>
      <c r="B5178" s="21"/>
      <c r="D5178" s="25"/>
      <c r="E5178" s="27"/>
      <c r="F5178" s="25"/>
      <c r="G5178" s="27"/>
    </row>
    <row r="5179">
      <c r="A5179" s="21"/>
      <c r="B5179" s="21"/>
      <c r="D5179" s="25"/>
      <c r="E5179" s="27"/>
      <c r="F5179" s="25"/>
      <c r="G5179" s="27"/>
    </row>
    <row r="5180">
      <c r="A5180" s="21"/>
      <c r="B5180" s="21"/>
      <c r="D5180" s="25"/>
      <c r="E5180" s="27"/>
      <c r="F5180" s="25"/>
      <c r="G5180" s="27"/>
    </row>
    <row r="5181">
      <c r="A5181" s="21"/>
      <c r="B5181" s="21"/>
      <c r="D5181" s="25"/>
      <c r="E5181" s="27"/>
      <c r="F5181" s="25"/>
      <c r="G5181" s="27"/>
    </row>
    <row r="5182">
      <c r="A5182" s="21"/>
      <c r="B5182" s="21"/>
      <c r="D5182" s="25"/>
      <c r="E5182" s="27"/>
      <c r="F5182" s="25"/>
      <c r="G5182" s="27"/>
    </row>
    <row r="5183">
      <c r="A5183" s="21"/>
      <c r="B5183" s="21"/>
      <c r="D5183" s="25"/>
      <c r="E5183" s="27"/>
      <c r="F5183" s="25"/>
      <c r="G5183" s="27"/>
    </row>
    <row r="5184">
      <c r="A5184" s="21"/>
      <c r="B5184" s="21"/>
      <c r="D5184" s="25"/>
      <c r="E5184" s="27"/>
      <c r="F5184" s="25"/>
      <c r="G5184" s="27"/>
    </row>
    <row r="5185">
      <c r="A5185" s="21"/>
      <c r="B5185" s="21"/>
      <c r="D5185" s="25"/>
      <c r="E5185" s="27"/>
      <c r="F5185" s="25"/>
      <c r="G5185" s="27"/>
    </row>
    <row r="5186">
      <c r="A5186" s="21"/>
      <c r="B5186" s="21"/>
      <c r="D5186" s="25"/>
      <c r="E5186" s="27"/>
      <c r="F5186" s="25"/>
      <c r="G5186" s="27"/>
    </row>
    <row r="5187">
      <c r="A5187" s="21"/>
      <c r="B5187" s="21"/>
      <c r="D5187" s="25"/>
      <c r="E5187" s="27"/>
      <c r="F5187" s="25"/>
      <c r="G5187" s="27"/>
    </row>
    <row r="5188">
      <c r="A5188" s="21"/>
      <c r="B5188" s="21"/>
      <c r="D5188" s="25"/>
      <c r="E5188" s="27"/>
      <c r="F5188" s="25"/>
      <c r="G5188" s="27"/>
    </row>
    <row r="5189">
      <c r="A5189" s="21"/>
      <c r="B5189" s="21"/>
      <c r="D5189" s="25"/>
      <c r="E5189" s="27"/>
      <c r="F5189" s="25"/>
      <c r="G5189" s="27"/>
    </row>
    <row r="5190">
      <c r="A5190" s="21"/>
      <c r="B5190" s="21"/>
      <c r="D5190" s="25"/>
      <c r="E5190" s="27"/>
      <c r="F5190" s="25"/>
      <c r="G5190" s="27"/>
    </row>
    <row r="5191">
      <c r="A5191" s="21"/>
      <c r="B5191" s="21"/>
      <c r="D5191" s="25"/>
      <c r="E5191" s="27"/>
      <c r="F5191" s="25"/>
      <c r="G5191" s="27"/>
    </row>
    <row r="5192">
      <c r="A5192" s="21"/>
      <c r="B5192" s="21"/>
      <c r="D5192" s="25"/>
      <c r="E5192" s="27"/>
      <c r="F5192" s="25"/>
      <c r="G5192" s="27"/>
    </row>
    <row r="5193">
      <c r="A5193" s="21"/>
      <c r="B5193" s="21"/>
      <c r="D5193" s="25"/>
      <c r="E5193" s="27"/>
      <c r="F5193" s="25"/>
      <c r="G5193" s="27"/>
    </row>
    <row r="5194">
      <c r="A5194" s="21"/>
      <c r="B5194" s="21"/>
      <c r="D5194" s="25"/>
      <c r="E5194" s="27"/>
      <c r="F5194" s="25"/>
      <c r="G5194" s="27"/>
    </row>
    <row r="5195">
      <c r="A5195" s="21"/>
      <c r="B5195" s="21"/>
      <c r="D5195" s="25"/>
      <c r="E5195" s="27"/>
      <c r="F5195" s="25"/>
      <c r="G5195" s="27"/>
    </row>
    <row r="5196">
      <c r="A5196" s="21"/>
      <c r="B5196" s="21"/>
      <c r="D5196" s="25"/>
      <c r="E5196" s="27"/>
      <c r="F5196" s="25"/>
      <c r="G5196" s="27"/>
    </row>
    <row r="5197">
      <c r="A5197" s="21"/>
      <c r="B5197" s="21"/>
      <c r="D5197" s="25"/>
      <c r="E5197" s="27"/>
      <c r="F5197" s="25"/>
      <c r="G5197" s="27"/>
    </row>
    <row r="5198">
      <c r="A5198" s="21"/>
      <c r="B5198" s="21"/>
      <c r="D5198" s="25"/>
      <c r="E5198" s="27"/>
      <c r="F5198" s="25"/>
      <c r="G5198" s="27"/>
    </row>
    <row r="5199">
      <c r="A5199" s="21"/>
      <c r="B5199" s="21"/>
      <c r="D5199" s="25"/>
      <c r="E5199" s="27"/>
      <c r="F5199" s="25"/>
      <c r="G5199" s="27"/>
    </row>
    <row r="5200">
      <c r="A5200" s="21"/>
      <c r="B5200" s="21"/>
      <c r="D5200" s="25"/>
      <c r="E5200" s="27"/>
      <c r="F5200" s="25"/>
      <c r="G5200" s="27"/>
    </row>
    <row r="5201">
      <c r="A5201" s="21"/>
      <c r="B5201" s="21"/>
      <c r="D5201" s="25"/>
      <c r="E5201" s="27"/>
      <c r="F5201" s="25"/>
      <c r="G5201" s="27"/>
    </row>
    <row r="5202">
      <c r="A5202" s="21"/>
      <c r="B5202" s="21"/>
      <c r="D5202" s="25"/>
      <c r="E5202" s="27"/>
      <c r="F5202" s="25"/>
      <c r="G5202" s="27"/>
    </row>
    <row r="5203">
      <c r="A5203" s="21"/>
      <c r="B5203" s="21"/>
      <c r="D5203" s="25"/>
      <c r="E5203" s="27"/>
      <c r="F5203" s="25"/>
      <c r="G5203" s="27"/>
    </row>
    <row r="5204">
      <c r="A5204" s="21"/>
      <c r="B5204" s="21"/>
      <c r="D5204" s="25"/>
      <c r="E5204" s="27"/>
      <c r="F5204" s="25"/>
      <c r="G5204" s="27"/>
    </row>
    <row r="5205">
      <c r="A5205" s="21"/>
      <c r="B5205" s="21"/>
      <c r="D5205" s="25"/>
      <c r="E5205" s="27"/>
      <c r="F5205" s="25"/>
      <c r="G5205" s="27"/>
    </row>
    <row r="5206">
      <c r="A5206" s="21"/>
      <c r="B5206" s="21"/>
      <c r="D5206" s="25"/>
      <c r="E5206" s="27"/>
      <c r="F5206" s="25"/>
      <c r="G5206" s="27"/>
    </row>
    <row r="5207">
      <c r="A5207" s="21"/>
      <c r="B5207" s="21"/>
      <c r="D5207" s="25"/>
      <c r="E5207" s="27"/>
      <c r="F5207" s="25"/>
      <c r="G5207" s="27"/>
    </row>
    <row r="5208">
      <c r="A5208" s="21"/>
      <c r="B5208" s="21"/>
      <c r="D5208" s="25"/>
      <c r="E5208" s="27"/>
      <c r="F5208" s="25"/>
      <c r="G5208" s="27"/>
    </row>
    <row r="5209">
      <c r="A5209" s="21"/>
      <c r="B5209" s="21"/>
      <c r="D5209" s="25"/>
      <c r="E5209" s="27"/>
      <c r="F5209" s="25"/>
      <c r="G5209" s="27"/>
    </row>
    <row r="5210">
      <c r="A5210" s="21"/>
      <c r="B5210" s="21"/>
      <c r="D5210" s="25"/>
      <c r="E5210" s="27"/>
      <c r="F5210" s="25"/>
      <c r="G5210" s="27"/>
    </row>
    <row r="5211">
      <c r="A5211" s="21"/>
      <c r="B5211" s="21"/>
      <c r="D5211" s="25"/>
      <c r="E5211" s="27"/>
      <c r="F5211" s="25"/>
      <c r="G5211" s="27"/>
    </row>
    <row r="5212">
      <c r="A5212" s="21"/>
      <c r="B5212" s="21"/>
      <c r="D5212" s="25"/>
      <c r="E5212" s="27"/>
      <c r="F5212" s="25"/>
      <c r="G5212" s="27"/>
    </row>
    <row r="5213">
      <c r="A5213" s="21"/>
      <c r="B5213" s="21"/>
      <c r="D5213" s="25"/>
      <c r="E5213" s="27"/>
      <c r="F5213" s="25"/>
      <c r="G5213" s="27"/>
    </row>
    <row r="5214">
      <c r="A5214" s="21"/>
      <c r="B5214" s="21"/>
      <c r="D5214" s="25"/>
      <c r="E5214" s="27"/>
      <c r="F5214" s="25"/>
      <c r="G5214" s="27"/>
    </row>
    <row r="5215">
      <c r="A5215" s="21"/>
      <c r="B5215" s="21"/>
      <c r="D5215" s="25"/>
      <c r="E5215" s="27"/>
      <c r="F5215" s="25"/>
      <c r="G5215" s="27"/>
    </row>
    <row r="5216">
      <c r="A5216" s="21"/>
      <c r="B5216" s="21"/>
      <c r="D5216" s="25"/>
      <c r="E5216" s="27"/>
      <c r="F5216" s="25"/>
      <c r="G5216" s="27"/>
    </row>
    <row r="5217">
      <c r="A5217" s="21"/>
      <c r="B5217" s="21"/>
      <c r="D5217" s="25"/>
      <c r="E5217" s="27"/>
      <c r="F5217" s="25"/>
      <c r="G5217" s="27"/>
    </row>
    <row r="5218">
      <c r="A5218" s="21"/>
      <c r="B5218" s="21"/>
      <c r="D5218" s="25"/>
      <c r="E5218" s="27"/>
      <c r="F5218" s="25"/>
      <c r="G5218" s="27"/>
    </row>
    <row r="5219">
      <c r="A5219" s="21"/>
      <c r="B5219" s="21"/>
      <c r="D5219" s="25"/>
      <c r="E5219" s="27"/>
      <c r="F5219" s="25"/>
      <c r="G5219" s="27"/>
    </row>
    <row r="5220">
      <c r="A5220" s="21"/>
      <c r="B5220" s="21"/>
      <c r="D5220" s="25"/>
      <c r="E5220" s="27"/>
      <c r="F5220" s="25"/>
      <c r="G5220" s="27"/>
    </row>
    <row r="5221">
      <c r="A5221" s="21"/>
      <c r="B5221" s="21"/>
      <c r="D5221" s="25"/>
      <c r="E5221" s="27"/>
      <c r="F5221" s="25"/>
      <c r="G5221" s="27"/>
    </row>
    <row r="5222">
      <c r="A5222" s="21"/>
      <c r="B5222" s="21"/>
      <c r="D5222" s="25"/>
      <c r="E5222" s="27"/>
      <c r="F5222" s="25"/>
      <c r="G5222" s="27"/>
    </row>
    <row r="5223">
      <c r="A5223" s="21"/>
      <c r="B5223" s="21"/>
      <c r="D5223" s="25"/>
      <c r="E5223" s="27"/>
      <c r="F5223" s="25"/>
      <c r="G5223" s="27"/>
    </row>
    <row r="5224">
      <c r="A5224" s="21"/>
      <c r="B5224" s="21"/>
      <c r="D5224" s="25"/>
      <c r="E5224" s="27"/>
      <c r="F5224" s="25"/>
      <c r="G5224" s="27"/>
    </row>
    <row r="5225">
      <c r="A5225" s="21"/>
      <c r="B5225" s="21"/>
      <c r="D5225" s="25"/>
      <c r="E5225" s="27"/>
      <c r="F5225" s="25"/>
      <c r="G5225" s="27"/>
    </row>
    <row r="5226">
      <c r="A5226" s="21"/>
      <c r="B5226" s="21"/>
      <c r="D5226" s="25"/>
      <c r="E5226" s="27"/>
      <c r="F5226" s="25"/>
      <c r="G5226" s="27"/>
    </row>
    <row r="5227">
      <c r="A5227" s="21"/>
      <c r="B5227" s="21"/>
      <c r="D5227" s="25"/>
      <c r="E5227" s="27"/>
      <c r="F5227" s="25"/>
      <c r="G5227" s="27"/>
    </row>
    <row r="5228">
      <c r="A5228" s="21"/>
      <c r="B5228" s="21"/>
      <c r="D5228" s="25"/>
      <c r="E5228" s="27"/>
      <c r="F5228" s="25"/>
      <c r="G5228" s="27"/>
    </row>
    <row r="5229">
      <c r="A5229" s="21"/>
      <c r="B5229" s="21"/>
      <c r="D5229" s="25"/>
      <c r="E5229" s="27"/>
      <c r="F5229" s="25"/>
      <c r="G5229" s="27"/>
    </row>
    <row r="5230">
      <c r="A5230" s="21"/>
      <c r="B5230" s="21"/>
      <c r="D5230" s="25"/>
      <c r="E5230" s="27"/>
      <c r="F5230" s="25"/>
      <c r="G5230" s="27"/>
    </row>
    <row r="5231">
      <c r="A5231" s="21"/>
      <c r="B5231" s="21"/>
      <c r="D5231" s="25"/>
      <c r="E5231" s="27"/>
      <c r="F5231" s="25"/>
      <c r="G5231" s="27"/>
    </row>
    <row r="5232">
      <c r="A5232" s="21"/>
      <c r="B5232" s="21"/>
      <c r="D5232" s="25"/>
      <c r="E5232" s="27"/>
      <c r="F5232" s="25"/>
      <c r="G5232" s="27"/>
    </row>
    <row r="5233">
      <c r="A5233" s="21"/>
      <c r="B5233" s="21"/>
      <c r="D5233" s="25"/>
      <c r="E5233" s="27"/>
      <c r="F5233" s="25"/>
      <c r="G5233" s="27"/>
    </row>
    <row r="5234">
      <c r="A5234" s="21"/>
      <c r="B5234" s="21"/>
      <c r="D5234" s="25"/>
      <c r="E5234" s="27"/>
      <c r="F5234" s="25"/>
      <c r="G5234" s="27"/>
    </row>
    <row r="5235">
      <c r="A5235" s="21"/>
      <c r="B5235" s="21"/>
      <c r="D5235" s="25"/>
      <c r="E5235" s="27"/>
      <c r="F5235" s="25"/>
      <c r="G5235" s="27"/>
    </row>
    <row r="5236">
      <c r="A5236" s="21"/>
      <c r="B5236" s="21"/>
      <c r="D5236" s="25"/>
      <c r="E5236" s="27"/>
      <c r="F5236" s="25"/>
      <c r="G5236" s="27"/>
    </row>
    <row r="5237">
      <c r="A5237" s="21"/>
      <c r="B5237" s="21"/>
      <c r="D5237" s="25"/>
      <c r="E5237" s="27"/>
      <c r="F5237" s="25"/>
      <c r="G5237" s="27"/>
    </row>
    <row r="5238">
      <c r="A5238" s="21"/>
      <c r="B5238" s="21"/>
      <c r="D5238" s="25"/>
      <c r="E5238" s="27"/>
      <c r="F5238" s="25"/>
      <c r="G5238" s="27"/>
    </row>
    <row r="5239">
      <c r="A5239" s="21"/>
      <c r="B5239" s="21"/>
      <c r="D5239" s="25"/>
      <c r="E5239" s="27"/>
      <c r="F5239" s="25"/>
      <c r="G5239" s="27"/>
    </row>
    <row r="5240">
      <c r="A5240" s="21"/>
      <c r="B5240" s="21"/>
      <c r="D5240" s="25"/>
      <c r="E5240" s="27"/>
      <c r="F5240" s="25"/>
      <c r="G5240" s="27"/>
    </row>
    <row r="5241">
      <c r="A5241" s="21"/>
      <c r="B5241" s="21"/>
      <c r="D5241" s="25"/>
      <c r="E5241" s="27"/>
      <c r="F5241" s="25"/>
      <c r="G5241" s="27"/>
    </row>
    <row r="5242">
      <c r="A5242" s="21"/>
      <c r="B5242" s="21"/>
      <c r="D5242" s="25"/>
      <c r="E5242" s="27"/>
      <c r="F5242" s="25"/>
      <c r="G5242" s="27"/>
    </row>
    <row r="5243">
      <c r="A5243" s="21"/>
      <c r="B5243" s="21"/>
      <c r="D5243" s="25"/>
      <c r="E5243" s="27"/>
      <c r="F5243" s="25"/>
      <c r="G5243" s="27"/>
    </row>
    <row r="5244">
      <c r="A5244" s="21"/>
      <c r="B5244" s="21"/>
      <c r="D5244" s="25"/>
      <c r="E5244" s="27"/>
      <c r="F5244" s="25"/>
      <c r="G5244" s="27"/>
    </row>
    <row r="5245">
      <c r="A5245" s="21"/>
      <c r="B5245" s="21"/>
      <c r="D5245" s="25"/>
      <c r="E5245" s="27"/>
      <c r="F5245" s="25"/>
      <c r="G5245" s="27"/>
    </row>
    <row r="5246">
      <c r="A5246" s="21"/>
      <c r="B5246" s="21"/>
      <c r="D5246" s="25"/>
      <c r="E5246" s="27"/>
      <c r="F5246" s="25"/>
      <c r="G5246" s="27"/>
    </row>
    <row r="5247">
      <c r="A5247" s="21"/>
      <c r="B5247" s="21"/>
      <c r="D5247" s="25"/>
      <c r="E5247" s="27"/>
      <c r="F5247" s="25"/>
      <c r="G5247" s="27"/>
    </row>
    <row r="5248">
      <c r="A5248" s="21"/>
      <c r="B5248" s="21"/>
      <c r="D5248" s="25"/>
      <c r="E5248" s="27"/>
      <c r="F5248" s="25"/>
      <c r="G5248" s="27"/>
    </row>
    <row r="5249">
      <c r="A5249" s="21"/>
      <c r="B5249" s="21"/>
      <c r="D5249" s="25"/>
      <c r="E5249" s="27"/>
      <c r="F5249" s="25"/>
      <c r="G5249" s="27"/>
    </row>
    <row r="5250">
      <c r="A5250" s="21"/>
      <c r="B5250" s="21"/>
      <c r="D5250" s="25"/>
      <c r="E5250" s="27"/>
      <c r="F5250" s="25"/>
      <c r="G5250" s="27"/>
    </row>
    <row r="5251">
      <c r="A5251" s="21"/>
      <c r="B5251" s="21"/>
      <c r="D5251" s="25"/>
      <c r="E5251" s="27"/>
      <c r="F5251" s="25"/>
      <c r="G5251" s="27"/>
    </row>
    <row r="5252">
      <c r="A5252" s="21"/>
      <c r="B5252" s="21"/>
      <c r="D5252" s="25"/>
      <c r="E5252" s="27"/>
      <c r="F5252" s="25"/>
      <c r="G5252" s="27"/>
    </row>
    <row r="5253">
      <c r="A5253" s="21"/>
      <c r="B5253" s="21"/>
      <c r="D5253" s="25"/>
      <c r="E5253" s="27"/>
      <c r="F5253" s="25"/>
      <c r="G5253" s="27"/>
    </row>
    <row r="5254">
      <c r="A5254" s="21"/>
      <c r="B5254" s="21"/>
      <c r="D5254" s="25"/>
      <c r="E5254" s="27"/>
      <c r="F5254" s="25"/>
      <c r="G5254" s="27"/>
    </row>
    <row r="5255">
      <c r="A5255" s="21"/>
      <c r="B5255" s="21"/>
      <c r="D5255" s="25"/>
      <c r="E5255" s="27"/>
      <c r="F5255" s="25"/>
      <c r="G5255" s="27"/>
    </row>
    <row r="5256">
      <c r="A5256" s="21"/>
      <c r="B5256" s="21"/>
      <c r="D5256" s="25"/>
      <c r="E5256" s="27"/>
      <c r="F5256" s="25"/>
      <c r="G5256" s="27"/>
    </row>
    <row r="5257">
      <c r="A5257" s="21"/>
      <c r="B5257" s="21"/>
      <c r="D5257" s="25"/>
      <c r="E5257" s="27"/>
      <c r="F5257" s="25"/>
      <c r="G5257" s="27"/>
    </row>
    <row r="5258">
      <c r="A5258" s="21"/>
      <c r="B5258" s="21"/>
      <c r="D5258" s="25"/>
      <c r="E5258" s="27"/>
      <c r="F5258" s="25"/>
      <c r="G5258" s="27"/>
    </row>
    <row r="5259">
      <c r="A5259" s="21"/>
      <c r="B5259" s="21"/>
      <c r="D5259" s="25"/>
      <c r="E5259" s="27"/>
      <c r="F5259" s="25"/>
      <c r="G5259" s="27"/>
    </row>
    <row r="5260">
      <c r="A5260" s="21"/>
      <c r="B5260" s="21"/>
      <c r="D5260" s="25"/>
      <c r="E5260" s="27"/>
      <c r="F5260" s="25"/>
      <c r="G5260" s="27"/>
    </row>
    <row r="5261">
      <c r="A5261" s="21"/>
      <c r="B5261" s="21"/>
      <c r="D5261" s="25"/>
      <c r="E5261" s="27"/>
      <c r="F5261" s="25"/>
      <c r="G5261" s="27"/>
    </row>
    <row r="5262">
      <c r="A5262" s="21"/>
      <c r="B5262" s="21"/>
      <c r="D5262" s="25"/>
      <c r="E5262" s="27"/>
      <c r="F5262" s="25"/>
      <c r="G5262" s="27"/>
    </row>
    <row r="5263">
      <c r="A5263" s="21"/>
      <c r="B5263" s="21"/>
      <c r="D5263" s="25"/>
      <c r="E5263" s="27"/>
      <c r="F5263" s="25"/>
      <c r="G5263" s="27"/>
    </row>
    <row r="5264">
      <c r="A5264" s="21"/>
      <c r="B5264" s="21"/>
      <c r="D5264" s="25"/>
      <c r="E5264" s="27"/>
      <c r="F5264" s="25"/>
      <c r="G5264" s="27"/>
    </row>
    <row r="5265">
      <c r="A5265" s="21"/>
      <c r="B5265" s="21"/>
      <c r="D5265" s="25"/>
      <c r="E5265" s="27"/>
      <c r="F5265" s="25"/>
      <c r="G5265" s="27"/>
    </row>
    <row r="5266">
      <c r="A5266" s="21"/>
      <c r="B5266" s="21"/>
      <c r="D5266" s="25"/>
      <c r="E5266" s="27"/>
      <c r="F5266" s="25"/>
      <c r="G5266" s="27"/>
    </row>
    <row r="5267">
      <c r="A5267" s="21"/>
      <c r="B5267" s="21"/>
      <c r="D5267" s="25"/>
      <c r="E5267" s="27"/>
      <c r="F5267" s="25"/>
      <c r="G5267" s="27"/>
    </row>
    <row r="5268">
      <c r="A5268" s="21"/>
      <c r="B5268" s="21"/>
      <c r="D5268" s="25"/>
      <c r="E5268" s="27"/>
      <c r="F5268" s="25"/>
      <c r="G5268" s="27"/>
    </row>
    <row r="5269">
      <c r="A5269" s="21"/>
      <c r="B5269" s="21"/>
      <c r="D5269" s="25"/>
      <c r="E5269" s="27"/>
      <c r="F5269" s="25"/>
      <c r="G5269" s="27"/>
    </row>
    <row r="5270">
      <c r="A5270" s="21"/>
      <c r="B5270" s="21"/>
      <c r="D5270" s="25"/>
      <c r="E5270" s="27"/>
      <c r="F5270" s="25"/>
      <c r="G5270" s="27"/>
    </row>
    <row r="5271">
      <c r="A5271" s="21"/>
      <c r="B5271" s="21"/>
      <c r="D5271" s="25"/>
      <c r="E5271" s="27"/>
      <c r="F5271" s="25"/>
      <c r="G5271" s="27"/>
    </row>
    <row r="5272">
      <c r="A5272" s="21"/>
      <c r="B5272" s="21"/>
      <c r="D5272" s="25"/>
      <c r="E5272" s="27"/>
      <c r="F5272" s="25"/>
      <c r="G5272" s="27"/>
    </row>
    <row r="5273">
      <c r="A5273" s="21"/>
      <c r="B5273" s="21"/>
      <c r="D5273" s="25"/>
      <c r="E5273" s="27"/>
      <c r="F5273" s="25"/>
      <c r="G5273" s="27"/>
    </row>
    <row r="5274">
      <c r="A5274" s="21"/>
      <c r="B5274" s="21"/>
      <c r="D5274" s="25"/>
      <c r="E5274" s="27"/>
      <c r="F5274" s="25"/>
      <c r="G5274" s="27"/>
    </row>
    <row r="5275">
      <c r="A5275" s="21"/>
      <c r="B5275" s="21"/>
      <c r="D5275" s="25"/>
      <c r="E5275" s="27"/>
      <c r="F5275" s="25"/>
      <c r="G5275" s="27"/>
    </row>
    <row r="5276">
      <c r="A5276" s="21"/>
      <c r="B5276" s="21"/>
      <c r="D5276" s="25"/>
      <c r="E5276" s="27"/>
      <c r="F5276" s="25"/>
      <c r="G5276" s="27"/>
    </row>
    <row r="5277">
      <c r="A5277" s="21"/>
      <c r="B5277" s="21"/>
      <c r="D5277" s="25"/>
      <c r="E5277" s="27"/>
      <c r="F5277" s="25"/>
      <c r="G5277" s="27"/>
    </row>
    <row r="5278">
      <c r="A5278" s="21"/>
      <c r="B5278" s="21"/>
      <c r="D5278" s="25"/>
      <c r="E5278" s="27"/>
      <c r="F5278" s="25"/>
      <c r="G5278" s="27"/>
    </row>
    <row r="5279">
      <c r="A5279" s="21"/>
      <c r="B5279" s="21"/>
      <c r="D5279" s="25"/>
      <c r="E5279" s="27"/>
      <c r="F5279" s="25"/>
      <c r="G5279" s="27"/>
    </row>
    <row r="5280">
      <c r="A5280" s="21"/>
      <c r="B5280" s="21"/>
      <c r="D5280" s="25"/>
      <c r="E5280" s="27"/>
      <c r="F5280" s="25"/>
      <c r="G5280" s="27"/>
    </row>
    <row r="5281">
      <c r="A5281" s="21"/>
      <c r="B5281" s="21"/>
      <c r="D5281" s="25"/>
      <c r="E5281" s="27"/>
      <c r="F5281" s="25"/>
      <c r="G5281" s="27"/>
    </row>
    <row r="5282">
      <c r="A5282" s="21"/>
      <c r="B5282" s="21"/>
      <c r="D5282" s="25"/>
      <c r="E5282" s="27"/>
      <c r="F5282" s="25"/>
      <c r="G5282" s="27"/>
    </row>
    <row r="5283">
      <c r="A5283" s="21"/>
      <c r="B5283" s="21"/>
      <c r="D5283" s="25"/>
      <c r="E5283" s="27"/>
      <c r="F5283" s="25"/>
      <c r="G5283" s="27"/>
    </row>
    <row r="5284">
      <c r="A5284" s="21"/>
      <c r="B5284" s="21"/>
      <c r="D5284" s="25"/>
      <c r="E5284" s="27"/>
      <c r="F5284" s="25"/>
      <c r="G5284" s="27"/>
    </row>
    <row r="5285">
      <c r="A5285" s="21"/>
      <c r="B5285" s="21"/>
      <c r="D5285" s="25"/>
      <c r="E5285" s="27"/>
      <c r="F5285" s="25"/>
      <c r="G5285" s="27"/>
    </row>
    <row r="5286">
      <c r="A5286" s="21"/>
      <c r="B5286" s="21"/>
      <c r="D5286" s="25"/>
      <c r="E5286" s="27"/>
      <c r="F5286" s="25"/>
      <c r="G5286" s="27"/>
    </row>
    <row r="5287">
      <c r="A5287" s="21"/>
      <c r="B5287" s="21"/>
      <c r="D5287" s="25"/>
      <c r="E5287" s="27"/>
      <c r="F5287" s="25"/>
      <c r="G5287" s="27"/>
    </row>
    <row r="5288">
      <c r="A5288" s="21"/>
      <c r="B5288" s="21"/>
      <c r="D5288" s="25"/>
      <c r="E5288" s="27"/>
      <c r="F5288" s="25"/>
      <c r="G5288" s="27"/>
    </row>
    <row r="5289">
      <c r="A5289" s="21"/>
      <c r="B5289" s="21"/>
      <c r="D5289" s="25"/>
      <c r="E5289" s="27"/>
      <c r="F5289" s="25"/>
      <c r="G5289" s="27"/>
    </row>
    <row r="5290">
      <c r="A5290" s="21"/>
      <c r="B5290" s="21"/>
      <c r="D5290" s="25"/>
      <c r="E5290" s="27"/>
      <c r="F5290" s="25"/>
      <c r="G5290" s="27"/>
    </row>
    <row r="5291">
      <c r="A5291" s="21"/>
      <c r="B5291" s="21"/>
      <c r="D5291" s="25"/>
      <c r="E5291" s="27"/>
      <c r="F5291" s="25"/>
      <c r="G5291" s="27"/>
    </row>
    <row r="5292">
      <c r="A5292" s="21"/>
      <c r="B5292" s="21"/>
      <c r="D5292" s="25"/>
      <c r="E5292" s="27"/>
      <c r="F5292" s="25"/>
      <c r="G5292" s="27"/>
    </row>
    <row r="5293">
      <c r="A5293" s="21"/>
      <c r="B5293" s="21"/>
      <c r="D5293" s="25"/>
      <c r="E5293" s="27"/>
      <c r="F5293" s="25"/>
      <c r="G5293" s="27"/>
    </row>
    <row r="5294">
      <c r="A5294" s="21"/>
      <c r="B5294" s="21"/>
      <c r="D5294" s="25"/>
      <c r="E5294" s="27"/>
      <c r="F5294" s="25"/>
      <c r="G5294" s="27"/>
    </row>
    <row r="5295">
      <c r="A5295" s="21"/>
      <c r="B5295" s="21"/>
      <c r="D5295" s="25"/>
      <c r="E5295" s="27"/>
      <c r="F5295" s="25"/>
      <c r="G5295" s="27"/>
    </row>
    <row r="5296">
      <c r="A5296" s="21"/>
      <c r="B5296" s="21"/>
      <c r="D5296" s="25"/>
      <c r="E5296" s="27"/>
      <c r="F5296" s="25"/>
      <c r="G5296" s="27"/>
    </row>
    <row r="5297">
      <c r="A5297" s="21"/>
      <c r="B5297" s="21"/>
      <c r="D5297" s="25"/>
      <c r="E5297" s="27"/>
      <c r="F5297" s="25"/>
      <c r="G5297" s="27"/>
    </row>
    <row r="5298">
      <c r="A5298" s="21"/>
      <c r="B5298" s="21"/>
      <c r="D5298" s="25"/>
      <c r="E5298" s="27"/>
      <c r="F5298" s="25"/>
      <c r="G5298" s="27"/>
    </row>
    <row r="5299">
      <c r="A5299" s="21"/>
      <c r="B5299" s="21"/>
      <c r="D5299" s="25"/>
      <c r="E5299" s="27"/>
      <c r="F5299" s="25"/>
      <c r="G5299" s="27"/>
    </row>
    <row r="5300">
      <c r="A5300" s="21"/>
      <c r="B5300" s="21"/>
      <c r="D5300" s="25"/>
      <c r="E5300" s="27"/>
      <c r="F5300" s="25"/>
      <c r="G5300" s="27"/>
    </row>
    <row r="5301">
      <c r="A5301" s="21"/>
      <c r="B5301" s="21"/>
      <c r="D5301" s="25"/>
      <c r="E5301" s="27"/>
      <c r="F5301" s="25"/>
      <c r="G5301" s="27"/>
    </row>
    <row r="5302">
      <c r="A5302" s="21"/>
      <c r="B5302" s="21"/>
      <c r="D5302" s="25"/>
      <c r="E5302" s="27"/>
      <c r="F5302" s="25"/>
      <c r="G5302" s="27"/>
    </row>
    <row r="5303">
      <c r="A5303" s="21"/>
      <c r="B5303" s="21"/>
      <c r="D5303" s="25"/>
      <c r="E5303" s="27"/>
      <c r="F5303" s="25"/>
      <c r="G5303" s="27"/>
    </row>
    <row r="5304">
      <c r="A5304" s="21"/>
      <c r="B5304" s="21"/>
      <c r="D5304" s="25"/>
      <c r="E5304" s="27"/>
      <c r="F5304" s="25"/>
      <c r="G5304" s="27"/>
    </row>
    <row r="5305">
      <c r="A5305" s="21"/>
      <c r="B5305" s="21"/>
      <c r="D5305" s="25"/>
      <c r="E5305" s="27"/>
      <c r="F5305" s="25"/>
      <c r="G5305" s="27"/>
    </row>
    <row r="5306">
      <c r="A5306" s="21"/>
      <c r="B5306" s="21"/>
      <c r="D5306" s="25"/>
      <c r="E5306" s="27"/>
      <c r="F5306" s="25"/>
      <c r="G5306" s="27"/>
    </row>
    <row r="5307">
      <c r="A5307" s="21"/>
      <c r="B5307" s="21"/>
      <c r="D5307" s="25"/>
      <c r="E5307" s="27"/>
      <c r="F5307" s="25"/>
      <c r="G5307" s="27"/>
    </row>
    <row r="5308">
      <c r="A5308" s="21"/>
      <c r="B5308" s="21"/>
      <c r="D5308" s="25"/>
      <c r="E5308" s="27"/>
      <c r="F5308" s="25"/>
      <c r="G5308" s="27"/>
    </row>
    <row r="5309">
      <c r="A5309" s="21"/>
      <c r="B5309" s="21"/>
      <c r="D5309" s="25"/>
      <c r="E5309" s="27"/>
      <c r="F5309" s="25"/>
      <c r="G5309" s="27"/>
    </row>
    <row r="5310">
      <c r="A5310" s="21"/>
      <c r="B5310" s="21"/>
      <c r="D5310" s="25"/>
      <c r="E5310" s="27"/>
      <c r="F5310" s="25"/>
      <c r="G5310" s="27"/>
    </row>
    <row r="5311">
      <c r="A5311" s="21"/>
      <c r="B5311" s="21"/>
      <c r="D5311" s="25"/>
      <c r="E5311" s="27"/>
      <c r="F5311" s="25"/>
      <c r="G5311" s="27"/>
    </row>
    <row r="5312">
      <c r="A5312" s="21"/>
      <c r="B5312" s="21"/>
      <c r="D5312" s="25"/>
      <c r="E5312" s="27"/>
      <c r="F5312" s="25"/>
      <c r="G5312" s="27"/>
    </row>
    <row r="5313">
      <c r="A5313" s="21"/>
      <c r="B5313" s="21"/>
      <c r="D5313" s="25"/>
      <c r="E5313" s="27"/>
      <c r="F5313" s="25"/>
      <c r="G5313" s="27"/>
    </row>
    <row r="5314">
      <c r="A5314" s="21"/>
      <c r="B5314" s="21"/>
      <c r="D5314" s="25"/>
      <c r="E5314" s="27"/>
      <c r="F5314" s="25"/>
      <c r="G5314" s="27"/>
    </row>
    <row r="5315">
      <c r="A5315" s="21"/>
      <c r="B5315" s="21"/>
      <c r="D5315" s="25"/>
      <c r="E5315" s="27"/>
      <c r="F5315" s="25"/>
      <c r="G5315" s="27"/>
    </row>
    <row r="5316">
      <c r="A5316" s="21"/>
      <c r="B5316" s="21"/>
      <c r="D5316" s="25"/>
      <c r="E5316" s="27"/>
      <c r="F5316" s="25"/>
      <c r="G5316" s="27"/>
    </row>
    <row r="5317">
      <c r="A5317" s="21"/>
      <c r="B5317" s="21"/>
      <c r="D5317" s="25"/>
      <c r="E5317" s="27"/>
      <c r="F5317" s="25"/>
      <c r="G5317" s="27"/>
    </row>
    <row r="5318">
      <c r="A5318" s="21"/>
      <c r="B5318" s="21"/>
      <c r="D5318" s="25"/>
      <c r="E5318" s="27"/>
      <c r="F5318" s="25"/>
      <c r="G5318" s="27"/>
    </row>
    <row r="5319">
      <c r="A5319" s="21"/>
      <c r="B5319" s="21"/>
      <c r="D5319" s="25"/>
      <c r="E5319" s="27"/>
      <c r="F5319" s="25"/>
      <c r="G5319" s="27"/>
    </row>
    <row r="5320">
      <c r="A5320" s="21"/>
      <c r="B5320" s="21"/>
      <c r="D5320" s="25"/>
      <c r="E5320" s="27"/>
      <c r="F5320" s="25"/>
      <c r="G5320" s="27"/>
    </row>
    <row r="5321">
      <c r="A5321" s="21"/>
      <c r="B5321" s="21"/>
      <c r="D5321" s="25"/>
      <c r="E5321" s="27"/>
      <c r="F5321" s="25"/>
      <c r="G5321" s="27"/>
    </row>
    <row r="5322">
      <c r="A5322" s="21"/>
      <c r="B5322" s="21"/>
      <c r="D5322" s="25"/>
      <c r="E5322" s="27"/>
      <c r="F5322" s="25"/>
      <c r="G5322" s="27"/>
    </row>
    <row r="5323">
      <c r="A5323" s="21"/>
      <c r="B5323" s="21"/>
      <c r="D5323" s="25"/>
      <c r="E5323" s="27"/>
      <c r="F5323" s="25"/>
      <c r="G5323" s="27"/>
    </row>
    <row r="5324">
      <c r="A5324" s="21"/>
      <c r="B5324" s="21"/>
      <c r="D5324" s="25"/>
      <c r="E5324" s="27"/>
      <c r="F5324" s="25"/>
      <c r="G5324" s="27"/>
    </row>
    <row r="5325">
      <c r="A5325" s="21"/>
      <c r="B5325" s="21"/>
      <c r="D5325" s="25"/>
      <c r="E5325" s="27"/>
      <c r="F5325" s="25"/>
      <c r="G5325" s="27"/>
    </row>
    <row r="5326">
      <c r="A5326" s="21"/>
      <c r="B5326" s="21"/>
      <c r="D5326" s="25"/>
      <c r="E5326" s="27"/>
      <c r="F5326" s="25"/>
      <c r="G5326" s="27"/>
    </row>
    <row r="5327">
      <c r="A5327" s="21"/>
      <c r="B5327" s="21"/>
      <c r="D5327" s="25"/>
      <c r="E5327" s="27"/>
      <c r="F5327" s="25"/>
      <c r="G5327" s="27"/>
    </row>
    <row r="5328">
      <c r="A5328" s="21"/>
      <c r="B5328" s="21"/>
      <c r="D5328" s="25"/>
      <c r="E5328" s="27"/>
      <c r="F5328" s="25"/>
      <c r="G5328" s="27"/>
    </row>
    <row r="5329">
      <c r="A5329" s="21"/>
      <c r="B5329" s="21"/>
      <c r="D5329" s="25"/>
      <c r="E5329" s="27"/>
      <c r="F5329" s="25"/>
      <c r="G5329" s="27"/>
    </row>
    <row r="5330">
      <c r="A5330" s="21"/>
      <c r="B5330" s="21"/>
      <c r="D5330" s="25"/>
      <c r="E5330" s="27"/>
      <c r="F5330" s="25"/>
      <c r="G5330" s="27"/>
    </row>
    <row r="5331">
      <c r="A5331" s="21"/>
      <c r="B5331" s="21"/>
      <c r="D5331" s="25"/>
      <c r="E5331" s="27"/>
      <c r="F5331" s="25"/>
      <c r="G5331" s="27"/>
    </row>
    <row r="5332">
      <c r="A5332" s="21"/>
      <c r="B5332" s="21"/>
      <c r="D5332" s="25"/>
      <c r="E5332" s="27"/>
      <c r="F5332" s="25"/>
      <c r="G5332" s="27"/>
    </row>
    <row r="5333">
      <c r="A5333" s="21"/>
      <c r="B5333" s="21"/>
      <c r="D5333" s="25"/>
      <c r="E5333" s="27"/>
      <c r="F5333" s="25"/>
      <c r="G5333" s="27"/>
    </row>
    <row r="5334">
      <c r="A5334" s="21"/>
      <c r="B5334" s="21"/>
      <c r="D5334" s="25"/>
      <c r="E5334" s="27"/>
      <c r="F5334" s="25"/>
      <c r="G5334" s="27"/>
    </row>
    <row r="5335">
      <c r="A5335" s="21"/>
      <c r="B5335" s="21"/>
      <c r="D5335" s="25"/>
      <c r="E5335" s="27"/>
      <c r="F5335" s="25"/>
      <c r="G5335" s="27"/>
    </row>
    <row r="5336">
      <c r="A5336" s="21"/>
      <c r="B5336" s="21"/>
      <c r="D5336" s="25"/>
      <c r="E5336" s="27"/>
      <c r="F5336" s="25"/>
      <c r="G5336" s="27"/>
    </row>
    <row r="5337">
      <c r="A5337" s="21"/>
      <c r="B5337" s="21"/>
      <c r="D5337" s="25"/>
      <c r="E5337" s="27"/>
      <c r="F5337" s="25"/>
      <c r="G5337" s="27"/>
    </row>
    <row r="5338">
      <c r="A5338" s="21"/>
      <c r="B5338" s="21"/>
      <c r="D5338" s="25"/>
      <c r="E5338" s="27"/>
      <c r="F5338" s="25"/>
      <c r="G5338" s="27"/>
    </row>
    <row r="5339">
      <c r="A5339" s="21"/>
      <c r="B5339" s="21"/>
      <c r="D5339" s="25"/>
      <c r="E5339" s="27"/>
      <c r="F5339" s="25"/>
      <c r="G5339" s="27"/>
    </row>
    <row r="5340">
      <c r="A5340" s="21"/>
      <c r="B5340" s="21"/>
      <c r="D5340" s="25"/>
      <c r="E5340" s="27"/>
      <c r="F5340" s="25"/>
      <c r="G5340" s="27"/>
    </row>
    <row r="5341">
      <c r="A5341" s="21"/>
      <c r="B5341" s="21"/>
      <c r="D5341" s="25"/>
      <c r="E5341" s="27"/>
      <c r="F5341" s="25"/>
      <c r="G5341" s="27"/>
    </row>
    <row r="5342">
      <c r="A5342" s="21"/>
      <c r="B5342" s="21"/>
      <c r="D5342" s="25"/>
      <c r="E5342" s="27"/>
      <c r="F5342" s="25"/>
      <c r="G5342" s="27"/>
    </row>
    <row r="5343">
      <c r="A5343" s="21"/>
      <c r="B5343" s="21"/>
      <c r="D5343" s="25"/>
      <c r="E5343" s="27"/>
      <c r="F5343" s="25"/>
      <c r="G5343" s="27"/>
    </row>
    <row r="5344">
      <c r="A5344" s="21"/>
      <c r="B5344" s="21"/>
      <c r="D5344" s="25"/>
      <c r="E5344" s="27"/>
      <c r="F5344" s="25"/>
      <c r="G5344" s="27"/>
    </row>
    <row r="5345">
      <c r="A5345" s="21"/>
      <c r="B5345" s="21"/>
      <c r="D5345" s="25"/>
      <c r="E5345" s="27"/>
      <c r="F5345" s="25"/>
      <c r="G5345" s="27"/>
    </row>
    <row r="5346">
      <c r="A5346" s="21"/>
      <c r="B5346" s="21"/>
      <c r="D5346" s="25"/>
      <c r="E5346" s="27"/>
      <c r="F5346" s="25"/>
      <c r="G5346" s="27"/>
    </row>
    <row r="5347">
      <c r="A5347" s="21"/>
      <c r="B5347" s="21"/>
      <c r="D5347" s="25"/>
      <c r="E5347" s="27"/>
      <c r="F5347" s="25"/>
      <c r="G5347" s="27"/>
    </row>
    <row r="5348">
      <c r="A5348" s="21"/>
      <c r="B5348" s="21"/>
      <c r="D5348" s="25"/>
      <c r="E5348" s="27"/>
      <c r="F5348" s="25"/>
      <c r="G5348" s="27"/>
    </row>
    <row r="5349">
      <c r="A5349" s="21"/>
      <c r="B5349" s="21"/>
      <c r="D5349" s="25"/>
      <c r="E5349" s="27"/>
      <c r="F5349" s="25"/>
      <c r="G5349" s="27"/>
    </row>
    <row r="5350">
      <c r="A5350" s="21"/>
      <c r="B5350" s="21"/>
      <c r="D5350" s="25"/>
      <c r="E5350" s="27"/>
      <c r="F5350" s="25"/>
      <c r="G5350" s="27"/>
    </row>
    <row r="5351">
      <c r="A5351" s="21"/>
      <c r="B5351" s="21"/>
      <c r="D5351" s="25"/>
      <c r="E5351" s="27"/>
      <c r="F5351" s="25"/>
      <c r="G5351" s="27"/>
    </row>
    <row r="5352">
      <c r="A5352" s="21"/>
      <c r="B5352" s="21"/>
      <c r="D5352" s="25"/>
      <c r="E5352" s="27"/>
      <c r="F5352" s="25"/>
      <c r="G5352" s="27"/>
    </row>
    <row r="5353">
      <c r="A5353" s="21"/>
      <c r="B5353" s="21"/>
      <c r="D5353" s="25"/>
      <c r="E5353" s="27"/>
      <c r="F5353" s="25"/>
      <c r="G5353" s="27"/>
    </row>
    <row r="5354">
      <c r="A5354" s="21"/>
      <c r="B5354" s="21"/>
      <c r="D5354" s="25"/>
      <c r="E5354" s="27"/>
      <c r="F5354" s="25"/>
      <c r="G5354" s="27"/>
    </row>
    <row r="5355">
      <c r="A5355" s="21"/>
      <c r="B5355" s="21"/>
      <c r="D5355" s="25"/>
      <c r="E5355" s="27"/>
      <c r="F5355" s="25"/>
      <c r="G5355" s="27"/>
    </row>
    <row r="5356">
      <c r="A5356" s="21"/>
      <c r="B5356" s="21"/>
      <c r="D5356" s="25"/>
      <c r="E5356" s="27"/>
      <c r="F5356" s="25"/>
      <c r="G5356" s="27"/>
    </row>
    <row r="5357">
      <c r="A5357" s="21"/>
      <c r="B5357" s="21"/>
      <c r="D5357" s="25"/>
      <c r="E5357" s="27"/>
      <c r="F5357" s="25"/>
      <c r="G5357" s="27"/>
    </row>
    <row r="5358">
      <c r="A5358" s="21"/>
      <c r="B5358" s="21"/>
      <c r="D5358" s="25"/>
      <c r="E5358" s="27"/>
      <c r="F5358" s="25"/>
      <c r="G5358" s="27"/>
    </row>
    <row r="5359">
      <c r="A5359" s="21"/>
      <c r="B5359" s="21"/>
      <c r="D5359" s="25"/>
      <c r="E5359" s="27"/>
      <c r="F5359" s="25"/>
      <c r="G5359" s="27"/>
    </row>
    <row r="5360">
      <c r="A5360" s="21"/>
      <c r="B5360" s="21"/>
      <c r="D5360" s="25"/>
      <c r="E5360" s="27"/>
      <c r="F5360" s="25"/>
      <c r="G5360" s="27"/>
    </row>
    <row r="5361">
      <c r="A5361" s="21"/>
      <c r="B5361" s="21"/>
      <c r="D5361" s="25"/>
      <c r="E5361" s="27"/>
      <c r="F5361" s="25"/>
      <c r="G5361" s="27"/>
    </row>
    <row r="5362">
      <c r="A5362" s="21"/>
      <c r="B5362" s="21"/>
      <c r="D5362" s="25"/>
      <c r="E5362" s="27"/>
      <c r="F5362" s="25"/>
      <c r="G5362" s="27"/>
    </row>
    <row r="5363">
      <c r="A5363" s="21"/>
      <c r="B5363" s="21"/>
      <c r="D5363" s="25"/>
      <c r="E5363" s="27"/>
      <c r="F5363" s="25"/>
      <c r="G5363" s="27"/>
    </row>
    <row r="5364">
      <c r="A5364" s="21"/>
      <c r="B5364" s="21"/>
      <c r="D5364" s="25"/>
      <c r="E5364" s="27"/>
      <c r="F5364" s="25"/>
      <c r="G5364" s="27"/>
    </row>
    <row r="5365">
      <c r="A5365" s="21"/>
      <c r="B5365" s="21"/>
      <c r="D5365" s="25"/>
      <c r="E5365" s="27"/>
      <c r="F5365" s="25"/>
      <c r="G5365" s="27"/>
    </row>
    <row r="5366">
      <c r="A5366" s="21"/>
      <c r="B5366" s="21"/>
      <c r="D5366" s="25"/>
      <c r="E5366" s="27"/>
      <c r="F5366" s="25"/>
      <c r="G5366" s="27"/>
    </row>
    <row r="5367">
      <c r="A5367" s="21"/>
      <c r="B5367" s="21"/>
      <c r="D5367" s="25"/>
      <c r="E5367" s="27"/>
      <c r="F5367" s="25"/>
      <c r="G5367" s="27"/>
    </row>
  </sheetData>
  <autoFilter ref="$A$2:$H$5367"/>
  <mergeCells count="4923">
    <mergeCell ref="B2846:C2846"/>
    <mergeCell ref="B2847:C2847"/>
    <mergeCell ref="B2848:C2848"/>
    <mergeCell ref="B2849:C2849"/>
    <mergeCell ref="B2850:C2850"/>
    <mergeCell ref="B2851:C2851"/>
    <mergeCell ref="B2852:C2852"/>
    <mergeCell ref="B2853:C2853"/>
    <mergeCell ref="B2854:C2854"/>
    <mergeCell ref="B2855:C2855"/>
    <mergeCell ref="B2856:C2856"/>
    <mergeCell ref="B2857:C2857"/>
    <mergeCell ref="B2858:C2858"/>
    <mergeCell ref="B2859:C2859"/>
    <mergeCell ref="B2860:C2860"/>
    <mergeCell ref="B2861:C2861"/>
    <mergeCell ref="B2862:C2862"/>
    <mergeCell ref="B2863:C2863"/>
    <mergeCell ref="B2864:C2864"/>
    <mergeCell ref="B2865:C2865"/>
    <mergeCell ref="B2866:C2866"/>
    <mergeCell ref="B2867:C2867"/>
    <mergeCell ref="B2868:C2868"/>
    <mergeCell ref="B2869:C2869"/>
    <mergeCell ref="B2870:C2870"/>
    <mergeCell ref="B2871:C2871"/>
    <mergeCell ref="B2872:C2872"/>
    <mergeCell ref="B2873:C2873"/>
    <mergeCell ref="B2874:C2874"/>
    <mergeCell ref="B2875:C2875"/>
    <mergeCell ref="B2876:C2876"/>
    <mergeCell ref="B2877:C2877"/>
    <mergeCell ref="B2878:C2878"/>
    <mergeCell ref="B2879:C2879"/>
    <mergeCell ref="B2880:C2880"/>
    <mergeCell ref="B2881:C2881"/>
    <mergeCell ref="B2882:C2882"/>
    <mergeCell ref="B2883:C2883"/>
    <mergeCell ref="B2884:C2884"/>
    <mergeCell ref="B2885:C2885"/>
    <mergeCell ref="B2886:C2886"/>
    <mergeCell ref="B2887:C2887"/>
    <mergeCell ref="B2888:C2888"/>
    <mergeCell ref="B2889:C2889"/>
    <mergeCell ref="B2890:C2890"/>
    <mergeCell ref="B2891:C2891"/>
    <mergeCell ref="B2892:C2892"/>
    <mergeCell ref="B2893:C2893"/>
    <mergeCell ref="B2894:C2894"/>
    <mergeCell ref="B2895:C2895"/>
    <mergeCell ref="B2896:C2896"/>
    <mergeCell ref="B2897:C2897"/>
    <mergeCell ref="B2898:C2898"/>
    <mergeCell ref="B2899:C2899"/>
    <mergeCell ref="B2900:C2900"/>
    <mergeCell ref="B2901:C2901"/>
    <mergeCell ref="B2902:C2902"/>
    <mergeCell ref="B2903:C2903"/>
    <mergeCell ref="B2904:C2904"/>
    <mergeCell ref="B2905:C2905"/>
    <mergeCell ref="B2906:C2906"/>
    <mergeCell ref="B2907:C2907"/>
    <mergeCell ref="B2908:C2908"/>
    <mergeCell ref="B2909:C2909"/>
    <mergeCell ref="B2910:C2910"/>
    <mergeCell ref="B2911:C2911"/>
    <mergeCell ref="B2912:C2912"/>
    <mergeCell ref="B2913:C2913"/>
    <mergeCell ref="B2914:C2914"/>
    <mergeCell ref="B2915:C2915"/>
    <mergeCell ref="B2916:C2916"/>
    <mergeCell ref="B2917:C2917"/>
    <mergeCell ref="B2918:C2918"/>
    <mergeCell ref="B2919:C2919"/>
    <mergeCell ref="B2920:C2920"/>
    <mergeCell ref="B2921:C2921"/>
    <mergeCell ref="B2922:C2922"/>
    <mergeCell ref="B2923:C2923"/>
    <mergeCell ref="B2924:C2924"/>
    <mergeCell ref="B2925:C2925"/>
    <mergeCell ref="B2926:C2926"/>
    <mergeCell ref="B2927:C2927"/>
    <mergeCell ref="B2928:C2928"/>
    <mergeCell ref="B2929:C2929"/>
    <mergeCell ref="B2930:C2930"/>
    <mergeCell ref="B2931:C2931"/>
    <mergeCell ref="B2932:C2932"/>
    <mergeCell ref="B2933:C2933"/>
    <mergeCell ref="B2934:C2934"/>
    <mergeCell ref="B2935:C2935"/>
    <mergeCell ref="B2936:C2936"/>
    <mergeCell ref="B2937:C2937"/>
    <mergeCell ref="B2938:C2938"/>
    <mergeCell ref="B2939:C2939"/>
    <mergeCell ref="B2940:C2940"/>
    <mergeCell ref="B2941:C2941"/>
    <mergeCell ref="B2942:C2942"/>
    <mergeCell ref="B2943:C2943"/>
    <mergeCell ref="B2944:C2944"/>
    <mergeCell ref="B2945:C2945"/>
    <mergeCell ref="B2946:C2946"/>
    <mergeCell ref="B2947:C2947"/>
    <mergeCell ref="B2948:C2948"/>
    <mergeCell ref="B2949:C2949"/>
    <mergeCell ref="B2950:C2950"/>
    <mergeCell ref="B2951:C2951"/>
    <mergeCell ref="B2952:C2952"/>
    <mergeCell ref="B2953:C2953"/>
    <mergeCell ref="B2954:C2954"/>
    <mergeCell ref="B2955:C2955"/>
    <mergeCell ref="B2956:C2956"/>
    <mergeCell ref="B2957:C2957"/>
    <mergeCell ref="B2958:C2958"/>
    <mergeCell ref="B2959:C2959"/>
    <mergeCell ref="B2960:C2960"/>
    <mergeCell ref="B2961:C2961"/>
    <mergeCell ref="B2962:C2962"/>
    <mergeCell ref="B2963:C2963"/>
    <mergeCell ref="B2964:C2964"/>
    <mergeCell ref="B2965:C2965"/>
    <mergeCell ref="B2966:C2966"/>
    <mergeCell ref="B2967:C2967"/>
    <mergeCell ref="B2968:C2968"/>
    <mergeCell ref="B2969:C2969"/>
    <mergeCell ref="B2970:C2970"/>
    <mergeCell ref="B2971:C2971"/>
    <mergeCell ref="B2972:C2972"/>
    <mergeCell ref="B2973:C2973"/>
    <mergeCell ref="B2974:C2974"/>
    <mergeCell ref="B2975:C2975"/>
    <mergeCell ref="B2976:C2976"/>
    <mergeCell ref="B2977:C2977"/>
    <mergeCell ref="B2978:C2978"/>
    <mergeCell ref="B2979:C2979"/>
    <mergeCell ref="B2980:C2980"/>
    <mergeCell ref="B2981:C2981"/>
    <mergeCell ref="B2982:C2982"/>
    <mergeCell ref="B2983:C2983"/>
    <mergeCell ref="B2984:C2984"/>
    <mergeCell ref="B2985:C2985"/>
    <mergeCell ref="B2986:C2986"/>
    <mergeCell ref="B2987:C2987"/>
    <mergeCell ref="B2988:C2988"/>
    <mergeCell ref="B2989:C2989"/>
    <mergeCell ref="B2990:C2990"/>
    <mergeCell ref="B2991:C2991"/>
    <mergeCell ref="B2992:C2992"/>
    <mergeCell ref="B2993:C2993"/>
    <mergeCell ref="B2994:C2994"/>
    <mergeCell ref="B2995:C2995"/>
    <mergeCell ref="B2996:C2996"/>
    <mergeCell ref="B2997:C2997"/>
    <mergeCell ref="B2998:C2998"/>
    <mergeCell ref="B2999:C2999"/>
    <mergeCell ref="B3000:C3000"/>
    <mergeCell ref="B3001:C3001"/>
    <mergeCell ref="B3002:C3002"/>
    <mergeCell ref="B3003:C3003"/>
    <mergeCell ref="B3004:C3004"/>
    <mergeCell ref="B3005:C3005"/>
    <mergeCell ref="B3006:C3006"/>
    <mergeCell ref="B3007:C3007"/>
    <mergeCell ref="B3008:C3008"/>
    <mergeCell ref="B3009:C3009"/>
    <mergeCell ref="B3010:C3010"/>
    <mergeCell ref="B3011:C3011"/>
    <mergeCell ref="B3012:C3012"/>
    <mergeCell ref="B3013:C3013"/>
    <mergeCell ref="B3014:C3014"/>
    <mergeCell ref="B3015:C3015"/>
    <mergeCell ref="B3016:C3016"/>
    <mergeCell ref="B3017:C3017"/>
    <mergeCell ref="B3018:C3018"/>
    <mergeCell ref="B3019:C3019"/>
    <mergeCell ref="B3020:C3020"/>
    <mergeCell ref="B3021:C3021"/>
    <mergeCell ref="B3022:C3022"/>
    <mergeCell ref="B3023:C3023"/>
    <mergeCell ref="B3024:C3024"/>
    <mergeCell ref="B3025:C3025"/>
    <mergeCell ref="B3026:C3026"/>
    <mergeCell ref="B3027:C3027"/>
    <mergeCell ref="B3028:C3028"/>
    <mergeCell ref="B3029:C3029"/>
    <mergeCell ref="B3030:C3030"/>
    <mergeCell ref="B3031:C3031"/>
    <mergeCell ref="B3032:C3032"/>
    <mergeCell ref="B3033:C3033"/>
    <mergeCell ref="B3034:C3034"/>
    <mergeCell ref="B3035:C3035"/>
    <mergeCell ref="B3036:C3036"/>
    <mergeCell ref="B3037:C3037"/>
    <mergeCell ref="B3038:C3038"/>
    <mergeCell ref="B3039:C3039"/>
    <mergeCell ref="B3040:C3040"/>
    <mergeCell ref="B3041:C3041"/>
    <mergeCell ref="B3042:C3042"/>
    <mergeCell ref="B3043:C3043"/>
    <mergeCell ref="B3044:C3044"/>
    <mergeCell ref="B3045:C3045"/>
    <mergeCell ref="B3046:C3046"/>
    <mergeCell ref="B3047:C3047"/>
    <mergeCell ref="B3048:C3048"/>
    <mergeCell ref="B3049:C3049"/>
    <mergeCell ref="B3050:C3050"/>
    <mergeCell ref="B3051:C3051"/>
    <mergeCell ref="B3052:C3052"/>
    <mergeCell ref="B3053:C3053"/>
    <mergeCell ref="B3054:C3054"/>
    <mergeCell ref="B3055:C3055"/>
    <mergeCell ref="B3056:C3056"/>
    <mergeCell ref="B3057:C3057"/>
    <mergeCell ref="B3058:C3058"/>
    <mergeCell ref="B3059:C3059"/>
    <mergeCell ref="B3060:C3060"/>
    <mergeCell ref="B3061:C3061"/>
    <mergeCell ref="B3062:C3062"/>
    <mergeCell ref="B3063:C3063"/>
    <mergeCell ref="B3064:C3064"/>
    <mergeCell ref="B3065:C3065"/>
    <mergeCell ref="B3066:C3066"/>
    <mergeCell ref="B3067:C3067"/>
    <mergeCell ref="B3068:C3068"/>
    <mergeCell ref="B3069:C3069"/>
    <mergeCell ref="B3070:C3070"/>
    <mergeCell ref="B3071:C3071"/>
    <mergeCell ref="B3072:C3072"/>
    <mergeCell ref="B3073:C3073"/>
    <mergeCell ref="B3074:C3074"/>
    <mergeCell ref="B3075:C3075"/>
    <mergeCell ref="B3076:C3076"/>
    <mergeCell ref="B3077:C3077"/>
    <mergeCell ref="B3078:C3078"/>
    <mergeCell ref="B3079:C3079"/>
    <mergeCell ref="B3080:C3080"/>
    <mergeCell ref="B3081:C3081"/>
    <mergeCell ref="B3082:C3082"/>
    <mergeCell ref="B3083:C3083"/>
    <mergeCell ref="B3084:C3084"/>
    <mergeCell ref="B3085:C3085"/>
    <mergeCell ref="B3086:C3086"/>
    <mergeCell ref="B3087:C3087"/>
    <mergeCell ref="B3088:C3088"/>
    <mergeCell ref="B3089:C3089"/>
    <mergeCell ref="B3090:C3090"/>
    <mergeCell ref="B3091:C3091"/>
    <mergeCell ref="B3092:C3092"/>
    <mergeCell ref="B3093:C3093"/>
    <mergeCell ref="B3094:C3094"/>
    <mergeCell ref="B3095:C3095"/>
    <mergeCell ref="B3096:C3096"/>
    <mergeCell ref="B3097:C3097"/>
    <mergeCell ref="B3098:C3098"/>
    <mergeCell ref="B3099:C3099"/>
    <mergeCell ref="B3100:C3100"/>
    <mergeCell ref="B3101:C3101"/>
    <mergeCell ref="B3102:C3102"/>
    <mergeCell ref="B3103:C3103"/>
    <mergeCell ref="B3104:C3104"/>
    <mergeCell ref="B3105:C3105"/>
    <mergeCell ref="B3106:C3106"/>
    <mergeCell ref="B3107:C3107"/>
    <mergeCell ref="B3108:C3108"/>
    <mergeCell ref="B3109:C3109"/>
    <mergeCell ref="B3110:C3110"/>
    <mergeCell ref="B3111:C3111"/>
    <mergeCell ref="B3112:C3112"/>
    <mergeCell ref="B3113:C3113"/>
    <mergeCell ref="B3114:C3114"/>
    <mergeCell ref="B3115:C3115"/>
    <mergeCell ref="B3116:C3116"/>
    <mergeCell ref="B3117:C3117"/>
    <mergeCell ref="B3118:C3118"/>
    <mergeCell ref="B3119:C3119"/>
    <mergeCell ref="B3120:C3120"/>
    <mergeCell ref="B3121:C3121"/>
    <mergeCell ref="B3122:C3122"/>
    <mergeCell ref="B3123:C3123"/>
    <mergeCell ref="B3124:C3124"/>
    <mergeCell ref="B3125:C3125"/>
    <mergeCell ref="B3126:C3126"/>
    <mergeCell ref="B3127:C3127"/>
    <mergeCell ref="B3128:C3128"/>
    <mergeCell ref="B3129:C3129"/>
    <mergeCell ref="B3130:C3130"/>
    <mergeCell ref="B3131:C3131"/>
    <mergeCell ref="B3132:C3132"/>
    <mergeCell ref="B3133:C3133"/>
    <mergeCell ref="B3134:C3134"/>
    <mergeCell ref="B3135:C3135"/>
    <mergeCell ref="B3136:C3136"/>
    <mergeCell ref="B3137:C3137"/>
    <mergeCell ref="B3138:C3138"/>
    <mergeCell ref="B3139:C3139"/>
    <mergeCell ref="B3140:C3140"/>
    <mergeCell ref="B3141:C3141"/>
    <mergeCell ref="B3142:C3142"/>
    <mergeCell ref="B3143:C3143"/>
    <mergeCell ref="B3144:C3144"/>
    <mergeCell ref="B3145:C3145"/>
    <mergeCell ref="B3146:C3146"/>
    <mergeCell ref="B3147:C3147"/>
    <mergeCell ref="B3148:C3148"/>
    <mergeCell ref="B3149:C3149"/>
    <mergeCell ref="B3150:C3150"/>
    <mergeCell ref="B3151:C3151"/>
    <mergeCell ref="B3152:C3152"/>
    <mergeCell ref="B3153:C3153"/>
    <mergeCell ref="B3154:C3154"/>
    <mergeCell ref="B3155:C3155"/>
    <mergeCell ref="B3156:C3156"/>
    <mergeCell ref="B3157:C3157"/>
    <mergeCell ref="B3158:C3158"/>
    <mergeCell ref="B3159:C3159"/>
    <mergeCell ref="B3160:C3160"/>
    <mergeCell ref="B3161:C3161"/>
    <mergeCell ref="B3162:C3162"/>
    <mergeCell ref="B3163:C3163"/>
    <mergeCell ref="B3164:C3164"/>
    <mergeCell ref="B3165:C3165"/>
    <mergeCell ref="B3166:C3166"/>
    <mergeCell ref="B3167:C3167"/>
    <mergeCell ref="B3168:C3168"/>
    <mergeCell ref="B3169:C3169"/>
    <mergeCell ref="B3170:C3170"/>
    <mergeCell ref="B3171:C3171"/>
    <mergeCell ref="B3172:C3172"/>
    <mergeCell ref="B3173:C3173"/>
    <mergeCell ref="B3174:C3174"/>
    <mergeCell ref="B3175:C3175"/>
    <mergeCell ref="B3176:C3176"/>
    <mergeCell ref="B3177:C3177"/>
    <mergeCell ref="B3178:C3178"/>
    <mergeCell ref="B3179:C3179"/>
    <mergeCell ref="B3180:C3180"/>
    <mergeCell ref="B3181:C3181"/>
    <mergeCell ref="B3182:C3182"/>
    <mergeCell ref="B3183:C3183"/>
    <mergeCell ref="B3184:C3184"/>
    <mergeCell ref="B3185:C3185"/>
    <mergeCell ref="B3186:C3186"/>
    <mergeCell ref="B3187:C3187"/>
    <mergeCell ref="B3188:C3188"/>
    <mergeCell ref="B3189:C3189"/>
    <mergeCell ref="B3190:C3190"/>
    <mergeCell ref="B3191:C3191"/>
    <mergeCell ref="B3192:C3192"/>
    <mergeCell ref="B3193:C3193"/>
    <mergeCell ref="B3194:C3194"/>
    <mergeCell ref="B3195:C3195"/>
    <mergeCell ref="B3196:C3196"/>
    <mergeCell ref="B3197:C3197"/>
    <mergeCell ref="B3198:C3198"/>
    <mergeCell ref="B3199:C3199"/>
    <mergeCell ref="B3200:C3200"/>
    <mergeCell ref="B3201:C3201"/>
    <mergeCell ref="B3202:C3202"/>
    <mergeCell ref="B3203:C3203"/>
    <mergeCell ref="B3204:C3204"/>
    <mergeCell ref="B3205:C3205"/>
    <mergeCell ref="B3206:C3206"/>
    <mergeCell ref="B3207:C3207"/>
    <mergeCell ref="B3208:C3208"/>
    <mergeCell ref="B3209:C3209"/>
    <mergeCell ref="B3210:C3210"/>
    <mergeCell ref="B3211:C3211"/>
    <mergeCell ref="B3212:C3212"/>
    <mergeCell ref="B3213:C3213"/>
    <mergeCell ref="B3214:C3214"/>
    <mergeCell ref="B3215:C3215"/>
    <mergeCell ref="B3216:C3216"/>
    <mergeCell ref="B3217:C3217"/>
    <mergeCell ref="B3218:C3218"/>
    <mergeCell ref="B3219:C3219"/>
    <mergeCell ref="B3220:C3220"/>
    <mergeCell ref="B3221:C3221"/>
    <mergeCell ref="B3222:C3222"/>
    <mergeCell ref="B3223:C3223"/>
    <mergeCell ref="B3224:C3224"/>
    <mergeCell ref="B3225:C3225"/>
    <mergeCell ref="B3226:C3226"/>
    <mergeCell ref="B3227:C3227"/>
    <mergeCell ref="B3228:C3228"/>
    <mergeCell ref="B3229:C3229"/>
    <mergeCell ref="B3230:C3230"/>
    <mergeCell ref="B3231:C3231"/>
    <mergeCell ref="B3232:C3232"/>
    <mergeCell ref="B3233:C3233"/>
    <mergeCell ref="B3234:C3234"/>
    <mergeCell ref="B3235:C3235"/>
    <mergeCell ref="B3236:C3236"/>
    <mergeCell ref="B3237:C3237"/>
    <mergeCell ref="B3238:C3238"/>
    <mergeCell ref="B3239:C3239"/>
    <mergeCell ref="B3240:C3240"/>
    <mergeCell ref="B3241:C3241"/>
    <mergeCell ref="B3242:C3242"/>
    <mergeCell ref="B3243:C3243"/>
    <mergeCell ref="B3244:C3244"/>
    <mergeCell ref="B3245:C3245"/>
    <mergeCell ref="B3246:C3246"/>
    <mergeCell ref="B3247:C3247"/>
    <mergeCell ref="B3248:C3248"/>
    <mergeCell ref="B3249:C3249"/>
    <mergeCell ref="B3250:C3250"/>
    <mergeCell ref="B3251:C3251"/>
    <mergeCell ref="B3252:C3252"/>
    <mergeCell ref="B3253:C3253"/>
    <mergeCell ref="B3254:C3254"/>
    <mergeCell ref="B3255:C3255"/>
    <mergeCell ref="B3256:C3256"/>
    <mergeCell ref="B3257:C3257"/>
    <mergeCell ref="B3258:C3258"/>
    <mergeCell ref="B3259:C3259"/>
    <mergeCell ref="B3260:C3260"/>
    <mergeCell ref="B3261:C3261"/>
    <mergeCell ref="B3262:C3262"/>
    <mergeCell ref="B3263:C3263"/>
    <mergeCell ref="B3264:C3264"/>
    <mergeCell ref="B3265:C3265"/>
    <mergeCell ref="B3266:C3266"/>
    <mergeCell ref="B3267:C3267"/>
    <mergeCell ref="B3268:C3268"/>
    <mergeCell ref="B3269:C3269"/>
    <mergeCell ref="B3270:C3270"/>
    <mergeCell ref="B3271:C3271"/>
    <mergeCell ref="B3272:C3272"/>
    <mergeCell ref="B3273:C3273"/>
    <mergeCell ref="B3274:C3274"/>
    <mergeCell ref="B3275:C3275"/>
    <mergeCell ref="B3276:C3276"/>
    <mergeCell ref="B3277:C3277"/>
    <mergeCell ref="B3278:C3278"/>
    <mergeCell ref="B3279:C3279"/>
    <mergeCell ref="B3280:C3280"/>
    <mergeCell ref="B3281:C3281"/>
    <mergeCell ref="B3282:C3282"/>
    <mergeCell ref="B3283:C3283"/>
    <mergeCell ref="B3284:C3284"/>
    <mergeCell ref="B3285:C3285"/>
    <mergeCell ref="B3286:C3286"/>
    <mergeCell ref="B3287:C3287"/>
    <mergeCell ref="B3288:C3288"/>
    <mergeCell ref="B3289:C3289"/>
    <mergeCell ref="B3290:C3290"/>
    <mergeCell ref="B3291:C3291"/>
    <mergeCell ref="B3292:C3292"/>
    <mergeCell ref="B3293:C3293"/>
    <mergeCell ref="B3294:C3294"/>
    <mergeCell ref="B3295:C3295"/>
    <mergeCell ref="B3296:C3296"/>
    <mergeCell ref="B3297:C3297"/>
    <mergeCell ref="B3298:C3298"/>
    <mergeCell ref="B3299:C3299"/>
    <mergeCell ref="B3300:C3300"/>
    <mergeCell ref="B3301:C3301"/>
    <mergeCell ref="B3302:C3302"/>
    <mergeCell ref="B3303:C3303"/>
    <mergeCell ref="B3304:C3304"/>
    <mergeCell ref="B3305:C3305"/>
    <mergeCell ref="B3306:C3306"/>
    <mergeCell ref="B3307:C3307"/>
    <mergeCell ref="B3308:C3308"/>
    <mergeCell ref="B3309:C3309"/>
    <mergeCell ref="B3310:C3310"/>
    <mergeCell ref="B3311:C3311"/>
    <mergeCell ref="B3312:C3312"/>
    <mergeCell ref="B3313:C3313"/>
    <mergeCell ref="B3314:C3314"/>
    <mergeCell ref="B3315:C3315"/>
    <mergeCell ref="B3316:C3316"/>
    <mergeCell ref="B3317:C3317"/>
    <mergeCell ref="B3318:C3318"/>
    <mergeCell ref="B3319:C3319"/>
    <mergeCell ref="B3320:C3320"/>
    <mergeCell ref="B3321:C3321"/>
    <mergeCell ref="B3322:C3322"/>
    <mergeCell ref="B3323:C3323"/>
    <mergeCell ref="B3324:C3324"/>
    <mergeCell ref="B3325:C3325"/>
    <mergeCell ref="B3326:C3326"/>
    <mergeCell ref="B3327:C3327"/>
    <mergeCell ref="B3328:C3328"/>
    <mergeCell ref="B3329:C3329"/>
    <mergeCell ref="B3330:C3330"/>
    <mergeCell ref="B3331:C3331"/>
    <mergeCell ref="B3332:C3332"/>
    <mergeCell ref="B3333:C3333"/>
    <mergeCell ref="B3334:C3334"/>
    <mergeCell ref="B3335:C3335"/>
    <mergeCell ref="B3336:C3336"/>
    <mergeCell ref="B3337:C3337"/>
    <mergeCell ref="B3338:C3338"/>
    <mergeCell ref="B3339:C3339"/>
    <mergeCell ref="B3340:C3340"/>
    <mergeCell ref="B3341:C3341"/>
    <mergeCell ref="B3342:C3342"/>
    <mergeCell ref="B3343:C3343"/>
    <mergeCell ref="B3344:C3344"/>
    <mergeCell ref="B3345:C3345"/>
    <mergeCell ref="B3346:C3346"/>
    <mergeCell ref="B3347:C3347"/>
    <mergeCell ref="B3348:C3348"/>
    <mergeCell ref="B3349:C3349"/>
    <mergeCell ref="B3350:C3350"/>
    <mergeCell ref="B3351:C3351"/>
    <mergeCell ref="B3352:C3352"/>
    <mergeCell ref="B3353:C3353"/>
    <mergeCell ref="B3354:C3354"/>
    <mergeCell ref="B3355:C3355"/>
    <mergeCell ref="B3356:C3356"/>
    <mergeCell ref="B3357:C3357"/>
    <mergeCell ref="B3358:C3358"/>
    <mergeCell ref="B3359:C3359"/>
    <mergeCell ref="B3360:C3360"/>
    <mergeCell ref="B3361:C3361"/>
    <mergeCell ref="B3362:C3362"/>
    <mergeCell ref="B3363:C3363"/>
    <mergeCell ref="B3364:C3364"/>
    <mergeCell ref="B3365:C3365"/>
    <mergeCell ref="B3366:C3366"/>
    <mergeCell ref="B3367:C3367"/>
    <mergeCell ref="B3368:C3368"/>
    <mergeCell ref="B3369:C3369"/>
    <mergeCell ref="B3370:C3370"/>
    <mergeCell ref="B3371:C3371"/>
    <mergeCell ref="B3372:C3372"/>
    <mergeCell ref="B3373:C3373"/>
    <mergeCell ref="B3374:C3374"/>
    <mergeCell ref="B3375:C3375"/>
    <mergeCell ref="B3376:C3376"/>
    <mergeCell ref="B3377:C3377"/>
    <mergeCell ref="B3378:C3378"/>
    <mergeCell ref="B3379:C3379"/>
    <mergeCell ref="B3380:C3380"/>
    <mergeCell ref="B3381:C3381"/>
    <mergeCell ref="B3382:C3382"/>
    <mergeCell ref="B3383:C3383"/>
    <mergeCell ref="B3384:C3384"/>
    <mergeCell ref="B3385:C3385"/>
    <mergeCell ref="B3386:C3386"/>
    <mergeCell ref="B3387:C3387"/>
    <mergeCell ref="B3388:C3388"/>
    <mergeCell ref="B3389:C3389"/>
    <mergeCell ref="B3390:C3390"/>
    <mergeCell ref="B3391:C3391"/>
    <mergeCell ref="B3392:C3392"/>
    <mergeCell ref="B3393:C3393"/>
    <mergeCell ref="B3394:C3394"/>
    <mergeCell ref="B3395:C3395"/>
    <mergeCell ref="B3396:C3396"/>
    <mergeCell ref="B3397:C3397"/>
    <mergeCell ref="B3398:C3398"/>
    <mergeCell ref="B3399:C3399"/>
    <mergeCell ref="B3400:C3400"/>
    <mergeCell ref="B3401:C3401"/>
    <mergeCell ref="B3402:C3402"/>
    <mergeCell ref="B3403:C3403"/>
    <mergeCell ref="B3404:C3404"/>
    <mergeCell ref="B3405:C3405"/>
    <mergeCell ref="B3406:C3406"/>
    <mergeCell ref="B3407:C3407"/>
    <mergeCell ref="B3408:C3408"/>
    <mergeCell ref="B3409:C3409"/>
    <mergeCell ref="B3410:C3410"/>
    <mergeCell ref="B3411:C3411"/>
    <mergeCell ref="B3412:C3412"/>
    <mergeCell ref="B3413:C3413"/>
    <mergeCell ref="B3414:C3414"/>
    <mergeCell ref="B3415:C3415"/>
    <mergeCell ref="B3416:C3416"/>
    <mergeCell ref="B3417:C3417"/>
    <mergeCell ref="B3418:C3418"/>
    <mergeCell ref="B3419:C3419"/>
    <mergeCell ref="B3420:C3420"/>
    <mergeCell ref="B3421:C3421"/>
    <mergeCell ref="B3422:C3422"/>
    <mergeCell ref="B3423:C3423"/>
    <mergeCell ref="B3424:C3424"/>
    <mergeCell ref="B3425:C3425"/>
    <mergeCell ref="B3426:C3426"/>
    <mergeCell ref="B3427:C3427"/>
    <mergeCell ref="B3428:C3428"/>
    <mergeCell ref="B3429:C3429"/>
    <mergeCell ref="B3430:C3430"/>
    <mergeCell ref="B3431:C3431"/>
    <mergeCell ref="B3432:C3432"/>
    <mergeCell ref="B3433:C3433"/>
    <mergeCell ref="B3434:C3434"/>
    <mergeCell ref="B3435:C3435"/>
    <mergeCell ref="B3436:C3436"/>
    <mergeCell ref="B3437:C3437"/>
    <mergeCell ref="B3438:C3438"/>
    <mergeCell ref="B3439:C3439"/>
    <mergeCell ref="B3440:C3440"/>
    <mergeCell ref="B3441:C3441"/>
    <mergeCell ref="B3442:C3442"/>
    <mergeCell ref="B3443:C3443"/>
    <mergeCell ref="B3444:C3444"/>
    <mergeCell ref="B3445:C3445"/>
    <mergeCell ref="B3446:C3446"/>
    <mergeCell ref="B3447:C3447"/>
    <mergeCell ref="B3448:C3448"/>
    <mergeCell ref="B3449:C3449"/>
    <mergeCell ref="B3450:C3450"/>
    <mergeCell ref="B3451:C3451"/>
    <mergeCell ref="B3452:C3452"/>
    <mergeCell ref="B3453:C3453"/>
    <mergeCell ref="B3454:C3454"/>
    <mergeCell ref="B3455:C3455"/>
    <mergeCell ref="B3456:C3456"/>
    <mergeCell ref="B3457:C3457"/>
    <mergeCell ref="B3458:C3458"/>
    <mergeCell ref="B3459:C3459"/>
    <mergeCell ref="B3460:C3460"/>
    <mergeCell ref="B3461:C3461"/>
    <mergeCell ref="B3462:C3462"/>
    <mergeCell ref="B3463:C3463"/>
    <mergeCell ref="B3464:C3464"/>
    <mergeCell ref="B3465:C3465"/>
    <mergeCell ref="B3466:C3466"/>
    <mergeCell ref="B3467:C3467"/>
    <mergeCell ref="B3468:C3468"/>
    <mergeCell ref="B3469:C3469"/>
    <mergeCell ref="B3470:C3470"/>
    <mergeCell ref="B3471:C3471"/>
    <mergeCell ref="B3472:C3472"/>
    <mergeCell ref="B3473:C3473"/>
    <mergeCell ref="B3474:C3474"/>
    <mergeCell ref="B3475:C3475"/>
    <mergeCell ref="B3476:C3476"/>
    <mergeCell ref="B3477:C3477"/>
    <mergeCell ref="B3478:C3478"/>
    <mergeCell ref="B3479:C3479"/>
    <mergeCell ref="B3480:C3480"/>
    <mergeCell ref="B3481:C3481"/>
    <mergeCell ref="B3482:C3482"/>
    <mergeCell ref="B3483:C3483"/>
    <mergeCell ref="B3484:C3484"/>
    <mergeCell ref="B3485:C3485"/>
    <mergeCell ref="B3486:C3486"/>
    <mergeCell ref="B3487:C3487"/>
    <mergeCell ref="B3488:C3488"/>
    <mergeCell ref="B3489:C3489"/>
    <mergeCell ref="B3490:C3490"/>
    <mergeCell ref="B3491:C3491"/>
    <mergeCell ref="B3492:C3492"/>
    <mergeCell ref="B3493:C3493"/>
    <mergeCell ref="B3494:C3494"/>
    <mergeCell ref="B3495:C3495"/>
    <mergeCell ref="B3496:C3496"/>
    <mergeCell ref="B3497:C3497"/>
    <mergeCell ref="B3498:C3498"/>
    <mergeCell ref="B3499:C3499"/>
    <mergeCell ref="B3500:C3500"/>
    <mergeCell ref="B3501:C3501"/>
    <mergeCell ref="B3502:C3502"/>
    <mergeCell ref="B3503:C3503"/>
    <mergeCell ref="B3504:C3504"/>
    <mergeCell ref="B3505:C3505"/>
    <mergeCell ref="B3506:C3506"/>
    <mergeCell ref="B3507:C3507"/>
    <mergeCell ref="B3508:C3508"/>
    <mergeCell ref="B3509:C3509"/>
    <mergeCell ref="B3510:C3510"/>
    <mergeCell ref="B3511:C3511"/>
    <mergeCell ref="B3512:C3512"/>
    <mergeCell ref="B3513:C3513"/>
    <mergeCell ref="B3514:C3514"/>
    <mergeCell ref="B3515:C3515"/>
    <mergeCell ref="B3516:C3516"/>
    <mergeCell ref="B3517:C3517"/>
    <mergeCell ref="B3518:C3518"/>
    <mergeCell ref="B3519:C3519"/>
    <mergeCell ref="B3520:C3520"/>
    <mergeCell ref="B3521:C3521"/>
    <mergeCell ref="B3522:C3522"/>
    <mergeCell ref="B3523:C3523"/>
    <mergeCell ref="B3524:C3524"/>
    <mergeCell ref="B3525:C3525"/>
    <mergeCell ref="B3526:C3526"/>
    <mergeCell ref="B3527:C3527"/>
    <mergeCell ref="B3528:C3528"/>
    <mergeCell ref="B3529:C3529"/>
    <mergeCell ref="B3530:C3530"/>
    <mergeCell ref="B3531:C3531"/>
    <mergeCell ref="B3532:C3532"/>
    <mergeCell ref="B3533:C3533"/>
    <mergeCell ref="B3534:C3534"/>
    <mergeCell ref="B3535:C3535"/>
    <mergeCell ref="B3536:C3536"/>
    <mergeCell ref="B3537:C3537"/>
    <mergeCell ref="B3538:C3538"/>
    <mergeCell ref="B3539:C3539"/>
    <mergeCell ref="B3540:C3540"/>
    <mergeCell ref="B3541:C3541"/>
    <mergeCell ref="B3542:C3542"/>
    <mergeCell ref="B3543:C3543"/>
    <mergeCell ref="B3544:C3544"/>
    <mergeCell ref="B3545:C3545"/>
    <mergeCell ref="B3546:C3546"/>
    <mergeCell ref="B3547:C3547"/>
    <mergeCell ref="B3548:C3548"/>
    <mergeCell ref="B3549:C3549"/>
    <mergeCell ref="B3550:C3550"/>
    <mergeCell ref="B3551:C3551"/>
    <mergeCell ref="B3552:C3552"/>
    <mergeCell ref="B3553:C3553"/>
    <mergeCell ref="B3554:C3554"/>
    <mergeCell ref="B3555:C3555"/>
    <mergeCell ref="B3556:C3556"/>
    <mergeCell ref="B3557:C3557"/>
    <mergeCell ref="B3558:C3558"/>
    <mergeCell ref="B3559:C3559"/>
    <mergeCell ref="B3560:C3560"/>
    <mergeCell ref="B3561:C3561"/>
    <mergeCell ref="B3562:C3562"/>
    <mergeCell ref="B3563:C3563"/>
    <mergeCell ref="B3564:C3564"/>
    <mergeCell ref="B3565:C3565"/>
    <mergeCell ref="B3566:C3566"/>
    <mergeCell ref="B3567:C3567"/>
    <mergeCell ref="B3568:C3568"/>
    <mergeCell ref="B3569:C3569"/>
    <mergeCell ref="B3570:C3570"/>
    <mergeCell ref="B3571:C3571"/>
    <mergeCell ref="B3572:C3572"/>
    <mergeCell ref="B3573:C3573"/>
    <mergeCell ref="B3574:C3574"/>
    <mergeCell ref="B3575:C3575"/>
    <mergeCell ref="B3576:C3576"/>
    <mergeCell ref="B3577:C3577"/>
    <mergeCell ref="B3578:C3578"/>
    <mergeCell ref="B3579:C3579"/>
    <mergeCell ref="B3580:C3580"/>
    <mergeCell ref="B3581:C3581"/>
    <mergeCell ref="B3582:C3582"/>
    <mergeCell ref="B3583:C3583"/>
    <mergeCell ref="B3584:C3584"/>
    <mergeCell ref="B3585:C3585"/>
    <mergeCell ref="B3586:C3586"/>
    <mergeCell ref="B3587:C3587"/>
    <mergeCell ref="B3588:C3588"/>
    <mergeCell ref="B3589:C3589"/>
    <mergeCell ref="B3590:C3590"/>
    <mergeCell ref="B3591:C3591"/>
    <mergeCell ref="B3592:C3592"/>
    <mergeCell ref="B3593:C3593"/>
    <mergeCell ref="B3594:C3594"/>
    <mergeCell ref="B3595:C3595"/>
    <mergeCell ref="B3596:C3596"/>
    <mergeCell ref="B3597:C3597"/>
    <mergeCell ref="B3598:C3598"/>
    <mergeCell ref="B3599:C3599"/>
    <mergeCell ref="B3600:C3600"/>
    <mergeCell ref="B3601:C3601"/>
    <mergeCell ref="B3602:C3602"/>
    <mergeCell ref="B3603:C3603"/>
    <mergeCell ref="B3604:C3604"/>
    <mergeCell ref="B3605:C3605"/>
    <mergeCell ref="B3606:C3606"/>
    <mergeCell ref="B3607:C3607"/>
    <mergeCell ref="B3608:C3608"/>
    <mergeCell ref="B3609:C3609"/>
    <mergeCell ref="B3610:C3610"/>
    <mergeCell ref="B3611:C3611"/>
    <mergeCell ref="B3612:C3612"/>
    <mergeCell ref="B3613:C3613"/>
    <mergeCell ref="B3614:C3614"/>
    <mergeCell ref="B3615:C3615"/>
    <mergeCell ref="B3616:C3616"/>
    <mergeCell ref="B3617:C3617"/>
    <mergeCell ref="B3618:C3618"/>
    <mergeCell ref="B3619:C3619"/>
    <mergeCell ref="B3620:C3620"/>
    <mergeCell ref="B3621:C3621"/>
    <mergeCell ref="B3622:C3622"/>
    <mergeCell ref="B3623:C3623"/>
    <mergeCell ref="B3624:C3624"/>
    <mergeCell ref="B3625:C3625"/>
    <mergeCell ref="B3626:C3626"/>
    <mergeCell ref="B3627:C3627"/>
    <mergeCell ref="B3628:C3628"/>
    <mergeCell ref="B3629:C3629"/>
    <mergeCell ref="B3630:C3630"/>
    <mergeCell ref="B3631:C3631"/>
    <mergeCell ref="B3632:C3632"/>
    <mergeCell ref="B3633:C3633"/>
    <mergeCell ref="B3634:C3634"/>
    <mergeCell ref="B3635:C3635"/>
    <mergeCell ref="B3636:C3636"/>
    <mergeCell ref="B3637:C3637"/>
    <mergeCell ref="B3638:C3638"/>
    <mergeCell ref="B3639:C3639"/>
    <mergeCell ref="B3640:C3640"/>
    <mergeCell ref="B3641:C3641"/>
    <mergeCell ref="B3642:C3642"/>
    <mergeCell ref="B3643:C3643"/>
    <mergeCell ref="B3644:C3644"/>
    <mergeCell ref="B3645:C3645"/>
    <mergeCell ref="B3646:C3646"/>
    <mergeCell ref="B3647:C3647"/>
    <mergeCell ref="B3648:C3648"/>
    <mergeCell ref="B3649:C3649"/>
    <mergeCell ref="B3650:C3650"/>
    <mergeCell ref="B3651:C3651"/>
    <mergeCell ref="B3652:C3652"/>
    <mergeCell ref="B3653:C3653"/>
    <mergeCell ref="B3654:C3654"/>
    <mergeCell ref="B3655:C3655"/>
    <mergeCell ref="B3656:C3656"/>
    <mergeCell ref="B3657:C3657"/>
    <mergeCell ref="B3658:C3658"/>
    <mergeCell ref="B3659:C3659"/>
    <mergeCell ref="B3660:C3660"/>
    <mergeCell ref="B3661:C3661"/>
    <mergeCell ref="B3662:C3662"/>
    <mergeCell ref="B3663:C3663"/>
    <mergeCell ref="B3664:C3664"/>
    <mergeCell ref="B3665:C3665"/>
    <mergeCell ref="B3666:C3666"/>
    <mergeCell ref="B3667:C3667"/>
    <mergeCell ref="B3668:C3668"/>
    <mergeCell ref="B3669:C3669"/>
    <mergeCell ref="B3670:C3670"/>
    <mergeCell ref="B3671:C3671"/>
    <mergeCell ref="B3672:C3672"/>
    <mergeCell ref="B3673:C3673"/>
    <mergeCell ref="B3674:C3674"/>
    <mergeCell ref="B3675:C3675"/>
    <mergeCell ref="B3676:C3676"/>
    <mergeCell ref="B3677:C3677"/>
    <mergeCell ref="B3678:C3678"/>
    <mergeCell ref="B3679:C3679"/>
    <mergeCell ref="B3680:C3680"/>
    <mergeCell ref="B3681:C3681"/>
    <mergeCell ref="B3682:C3682"/>
    <mergeCell ref="B3683:C3683"/>
    <mergeCell ref="B3684:C3684"/>
    <mergeCell ref="B3685:C3685"/>
    <mergeCell ref="B3686:C3686"/>
    <mergeCell ref="B3687:C3687"/>
    <mergeCell ref="B3688:C3688"/>
    <mergeCell ref="B3689:C3689"/>
    <mergeCell ref="B3690:C3690"/>
    <mergeCell ref="B3691:C3691"/>
    <mergeCell ref="B3692:C3692"/>
    <mergeCell ref="B3693:C3693"/>
    <mergeCell ref="B3694:C3694"/>
    <mergeCell ref="B3695:C3695"/>
    <mergeCell ref="B3696:C3696"/>
    <mergeCell ref="B3697:C3697"/>
    <mergeCell ref="B3698:C3698"/>
    <mergeCell ref="B3699:C3699"/>
    <mergeCell ref="B3700:C3700"/>
    <mergeCell ref="B3701:C3701"/>
    <mergeCell ref="B3702:C3702"/>
    <mergeCell ref="B3703:C3703"/>
    <mergeCell ref="B3704:C3704"/>
    <mergeCell ref="B3705:C3705"/>
    <mergeCell ref="B3706:C3706"/>
    <mergeCell ref="B3707:C3707"/>
    <mergeCell ref="B3708:C3708"/>
    <mergeCell ref="B3709:C3709"/>
    <mergeCell ref="B3710:C3710"/>
    <mergeCell ref="B3711:C3711"/>
    <mergeCell ref="B3712:C3712"/>
    <mergeCell ref="B3713:C3713"/>
    <mergeCell ref="B3714:C3714"/>
    <mergeCell ref="B3715:C3715"/>
    <mergeCell ref="B3716:C3716"/>
    <mergeCell ref="B3717:C3717"/>
    <mergeCell ref="B3718:C3718"/>
    <mergeCell ref="B3719:C3719"/>
    <mergeCell ref="B3720:C3720"/>
    <mergeCell ref="B3721:C3721"/>
    <mergeCell ref="B3722:C3722"/>
    <mergeCell ref="B3723:C3723"/>
    <mergeCell ref="B3724:C3724"/>
    <mergeCell ref="B3725:C3725"/>
    <mergeCell ref="B3726:C3726"/>
    <mergeCell ref="B3727:C3727"/>
    <mergeCell ref="B3728:C3728"/>
    <mergeCell ref="B3729:C3729"/>
    <mergeCell ref="B3730:C3730"/>
    <mergeCell ref="B3731:C3731"/>
    <mergeCell ref="B3732:C3732"/>
    <mergeCell ref="B3733:C3733"/>
    <mergeCell ref="B3734:C3734"/>
    <mergeCell ref="B3735:C3735"/>
    <mergeCell ref="B3736:C3736"/>
    <mergeCell ref="B3737:C3737"/>
    <mergeCell ref="B3738:C3738"/>
    <mergeCell ref="B3739:C3739"/>
    <mergeCell ref="B3740:C3740"/>
    <mergeCell ref="B3741:C3741"/>
    <mergeCell ref="B3742:C3742"/>
    <mergeCell ref="B3743:C3743"/>
    <mergeCell ref="B3744:C3744"/>
    <mergeCell ref="B3745:C3745"/>
    <mergeCell ref="B3746:C3746"/>
    <mergeCell ref="B3747:C3747"/>
    <mergeCell ref="B3748:C3748"/>
    <mergeCell ref="B3749:C3749"/>
    <mergeCell ref="B3750:C3750"/>
    <mergeCell ref="B3751:C3751"/>
    <mergeCell ref="B3752:C3752"/>
    <mergeCell ref="B3753:C3753"/>
    <mergeCell ref="B3754:C3754"/>
    <mergeCell ref="B3755:C3755"/>
    <mergeCell ref="B3756:C3756"/>
    <mergeCell ref="B3757:C3757"/>
    <mergeCell ref="B3758:C3758"/>
    <mergeCell ref="B3759:C3759"/>
    <mergeCell ref="B3760:C3760"/>
    <mergeCell ref="B3761:C3761"/>
    <mergeCell ref="B3762:C3762"/>
    <mergeCell ref="B3763:C3763"/>
    <mergeCell ref="B3764:C3764"/>
    <mergeCell ref="B3765:C3765"/>
    <mergeCell ref="B3766:C3766"/>
    <mergeCell ref="B3767:C3767"/>
    <mergeCell ref="B3768:C3768"/>
    <mergeCell ref="B3769:C3769"/>
    <mergeCell ref="B3770:C3770"/>
    <mergeCell ref="B3771:C3771"/>
    <mergeCell ref="B3772:C3772"/>
    <mergeCell ref="B3773:C3773"/>
    <mergeCell ref="B3774:C3774"/>
    <mergeCell ref="B3775:C3775"/>
    <mergeCell ref="B3776:C3776"/>
    <mergeCell ref="B3777:C3777"/>
    <mergeCell ref="B3778:C3778"/>
    <mergeCell ref="B3779:C3779"/>
    <mergeCell ref="B3780:C3780"/>
    <mergeCell ref="B3781:C3781"/>
    <mergeCell ref="B3782:C3782"/>
    <mergeCell ref="B3783:C3783"/>
    <mergeCell ref="B3784:C3784"/>
    <mergeCell ref="B3785:C3785"/>
    <mergeCell ref="B3786:C3786"/>
    <mergeCell ref="B3787:C3787"/>
    <mergeCell ref="B3788:C3788"/>
    <mergeCell ref="B3789:C3789"/>
    <mergeCell ref="B3790:C3790"/>
    <mergeCell ref="B3791:C3791"/>
    <mergeCell ref="B3792:C3792"/>
    <mergeCell ref="B3793:C3793"/>
    <mergeCell ref="B3794:C3794"/>
    <mergeCell ref="B3795:C3795"/>
    <mergeCell ref="B3796:C3796"/>
    <mergeCell ref="B3797:C3797"/>
    <mergeCell ref="B3798:C3798"/>
    <mergeCell ref="B3799:C3799"/>
    <mergeCell ref="B3800:C3800"/>
    <mergeCell ref="B3801:C3801"/>
    <mergeCell ref="B3802:C3802"/>
    <mergeCell ref="B3803:C3803"/>
    <mergeCell ref="B3804:C3804"/>
    <mergeCell ref="B3805:C3805"/>
    <mergeCell ref="B3806:C3806"/>
    <mergeCell ref="B3807:C3807"/>
    <mergeCell ref="B3808:C3808"/>
    <mergeCell ref="B3809:C3809"/>
    <mergeCell ref="B3810:C3810"/>
    <mergeCell ref="B3811:C3811"/>
    <mergeCell ref="B3812:C3812"/>
    <mergeCell ref="B3813:C3813"/>
    <mergeCell ref="B3814:C3814"/>
    <mergeCell ref="B3815:C3815"/>
    <mergeCell ref="B3816:C3816"/>
    <mergeCell ref="B3817:C3817"/>
    <mergeCell ref="B3818:C3818"/>
    <mergeCell ref="B3819:C3819"/>
    <mergeCell ref="B3820:C3820"/>
    <mergeCell ref="B3821:C3821"/>
    <mergeCell ref="B3822:C3822"/>
    <mergeCell ref="B3823:C3823"/>
    <mergeCell ref="B3824:C3824"/>
    <mergeCell ref="B3825:C3825"/>
    <mergeCell ref="B3826:C3826"/>
    <mergeCell ref="B3827:C3827"/>
    <mergeCell ref="B3828:C3828"/>
    <mergeCell ref="B3829:C3829"/>
    <mergeCell ref="B3830:C3830"/>
    <mergeCell ref="B3831:C3831"/>
    <mergeCell ref="B3832:C3832"/>
    <mergeCell ref="B3833:C3833"/>
    <mergeCell ref="B3834:C3834"/>
    <mergeCell ref="B3835:C3835"/>
    <mergeCell ref="B3836:C3836"/>
    <mergeCell ref="B3837:C3837"/>
    <mergeCell ref="B3838:C3838"/>
    <mergeCell ref="B3839:C3839"/>
    <mergeCell ref="B3840:C3840"/>
    <mergeCell ref="B3841:C3841"/>
    <mergeCell ref="B3842:C3842"/>
    <mergeCell ref="B3843:C3843"/>
    <mergeCell ref="B3844:C3844"/>
    <mergeCell ref="B3845:C3845"/>
    <mergeCell ref="B3846:C3846"/>
    <mergeCell ref="B3847:C3847"/>
    <mergeCell ref="B3848:C3848"/>
    <mergeCell ref="B3849:C3849"/>
    <mergeCell ref="B3850:C3850"/>
    <mergeCell ref="B3851:C3851"/>
    <mergeCell ref="B3852:C3852"/>
    <mergeCell ref="B3853:C3853"/>
    <mergeCell ref="B3854:C3854"/>
    <mergeCell ref="B3855:C3855"/>
    <mergeCell ref="B3856:C3856"/>
    <mergeCell ref="B3857:C3857"/>
    <mergeCell ref="B3858:C3858"/>
    <mergeCell ref="B3859:C3859"/>
    <mergeCell ref="B3860:C3860"/>
    <mergeCell ref="B3861:C3861"/>
    <mergeCell ref="B3862:C3862"/>
    <mergeCell ref="B3863:C3863"/>
    <mergeCell ref="B3864:C3864"/>
    <mergeCell ref="B3865:C3865"/>
    <mergeCell ref="B3866:C3866"/>
    <mergeCell ref="B3867:C3867"/>
    <mergeCell ref="B3868:C3868"/>
    <mergeCell ref="B3869:C3869"/>
    <mergeCell ref="B3870:C3870"/>
    <mergeCell ref="B3871:C3871"/>
    <mergeCell ref="B3872:C3872"/>
    <mergeCell ref="B3873:C3873"/>
    <mergeCell ref="B3874:C3874"/>
    <mergeCell ref="B3875:C3875"/>
    <mergeCell ref="B3876:C3876"/>
    <mergeCell ref="B3877:C3877"/>
    <mergeCell ref="B3878:C3878"/>
    <mergeCell ref="B3879:C3879"/>
    <mergeCell ref="B3880:C3880"/>
    <mergeCell ref="B3881:C3881"/>
    <mergeCell ref="B3882:C3882"/>
    <mergeCell ref="B3883:C3883"/>
    <mergeCell ref="B3884:C3884"/>
    <mergeCell ref="B3885:C3885"/>
    <mergeCell ref="B3886:C3886"/>
    <mergeCell ref="B3887:C3887"/>
    <mergeCell ref="B3888:C3888"/>
    <mergeCell ref="B3889:C3889"/>
    <mergeCell ref="B3890:C3890"/>
    <mergeCell ref="B3891:C3891"/>
    <mergeCell ref="B3892:C3892"/>
    <mergeCell ref="B3893:C3893"/>
    <mergeCell ref="B3894:C3894"/>
    <mergeCell ref="B3895:C3895"/>
    <mergeCell ref="B3896:C3896"/>
    <mergeCell ref="B3897:C3897"/>
    <mergeCell ref="B3898:C3898"/>
    <mergeCell ref="B3899:C3899"/>
    <mergeCell ref="B3900:C3900"/>
    <mergeCell ref="B3901:C3901"/>
    <mergeCell ref="B3902:C3902"/>
    <mergeCell ref="B3903:C3903"/>
    <mergeCell ref="B3904:C3904"/>
    <mergeCell ref="B3905:C3905"/>
    <mergeCell ref="B3906:C3906"/>
    <mergeCell ref="B3907:C3907"/>
    <mergeCell ref="B3908:C3908"/>
    <mergeCell ref="B3909:C3909"/>
    <mergeCell ref="B3910:C3910"/>
    <mergeCell ref="B3911:C3911"/>
    <mergeCell ref="B3912:C3912"/>
    <mergeCell ref="B3913:C3913"/>
    <mergeCell ref="B3914:C3914"/>
    <mergeCell ref="B3915:C3915"/>
    <mergeCell ref="B3916:C3916"/>
    <mergeCell ref="B3917:C3917"/>
    <mergeCell ref="B3918:C3918"/>
    <mergeCell ref="B3919:C3919"/>
    <mergeCell ref="B3920:C3920"/>
    <mergeCell ref="B3921:C3921"/>
    <mergeCell ref="B3922:C3922"/>
    <mergeCell ref="B3923:C3923"/>
    <mergeCell ref="B3924:C3924"/>
    <mergeCell ref="B3925:C3925"/>
    <mergeCell ref="B3926:C3926"/>
    <mergeCell ref="B3927:C3927"/>
    <mergeCell ref="B3928:C3928"/>
    <mergeCell ref="B3929:C3929"/>
    <mergeCell ref="B3930:C3930"/>
    <mergeCell ref="B3931:C3931"/>
    <mergeCell ref="B3932:C3932"/>
    <mergeCell ref="B3933:C3933"/>
    <mergeCell ref="B3934:C3934"/>
    <mergeCell ref="B3935:C3935"/>
    <mergeCell ref="B3936:C3936"/>
    <mergeCell ref="B3937:C3937"/>
    <mergeCell ref="B3938:C3938"/>
    <mergeCell ref="B3939:C3939"/>
    <mergeCell ref="B3940:C3940"/>
    <mergeCell ref="B3941:C3941"/>
    <mergeCell ref="B3942:C3942"/>
    <mergeCell ref="B3943:C3943"/>
    <mergeCell ref="B3944:C3944"/>
    <mergeCell ref="B3945:C3945"/>
    <mergeCell ref="B3946:C3946"/>
    <mergeCell ref="B3947:C3947"/>
    <mergeCell ref="B3948:C3948"/>
    <mergeCell ref="B3949:C3949"/>
    <mergeCell ref="B3950:C3950"/>
    <mergeCell ref="B3951:C3951"/>
    <mergeCell ref="B3952:C3952"/>
    <mergeCell ref="B3953:C3953"/>
    <mergeCell ref="B3954:C3954"/>
    <mergeCell ref="B3955:C3955"/>
    <mergeCell ref="B3956:C3956"/>
    <mergeCell ref="B3957:C3957"/>
    <mergeCell ref="B3958:C3958"/>
    <mergeCell ref="B3959:C3959"/>
    <mergeCell ref="B3960:C3960"/>
    <mergeCell ref="B3961:C3961"/>
    <mergeCell ref="B3962:C3962"/>
    <mergeCell ref="B3963:C3963"/>
    <mergeCell ref="B3964:C3964"/>
    <mergeCell ref="B3965:C3965"/>
    <mergeCell ref="B3966:C3966"/>
    <mergeCell ref="B3967:C3967"/>
    <mergeCell ref="B3968:C3968"/>
    <mergeCell ref="B3969:C3969"/>
    <mergeCell ref="B3970:C3970"/>
    <mergeCell ref="B3971:C3971"/>
    <mergeCell ref="B3972:C3972"/>
    <mergeCell ref="B3973:C3973"/>
    <mergeCell ref="B3974:C3974"/>
    <mergeCell ref="B3975:C3975"/>
    <mergeCell ref="B3976:C3976"/>
    <mergeCell ref="B3977:C3977"/>
    <mergeCell ref="B3978:C3978"/>
    <mergeCell ref="B3979:C3979"/>
    <mergeCell ref="B3980:C3980"/>
    <mergeCell ref="B3981:C3981"/>
    <mergeCell ref="B3982:C3982"/>
    <mergeCell ref="B3983:C3983"/>
    <mergeCell ref="B3984:C3984"/>
    <mergeCell ref="B3985:C3985"/>
    <mergeCell ref="B3986:C3986"/>
    <mergeCell ref="B3987:C3987"/>
    <mergeCell ref="B3988:C3988"/>
    <mergeCell ref="B3989:C3989"/>
    <mergeCell ref="B3990:C3990"/>
    <mergeCell ref="B3991:C3991"/>
    <mergeCell ref="B3992:C3992"/>
    <mergeCell ref="B3993:C3993"/>
    <mergeCell ref="B3994:C3994"/>
    <mergeCell ref="B3995:C3995"/>
    <mergeCell ref="B3996:C3996"/>
    <mergeCell ref="B3997:C3997"/>
    <mergeCell ref="B3998:C3998"/>
    <mergeCell ref="B3999:C3999"/>
    <mergeCell ref="B4000:C4000"/>
    <mergeCell ref="B4001:C4001"/>
    <mergeCell ref="B4002:C4002"/>
    <mergeCell ref="B4003:C4003"/>
    <mergeCell ref="B4004:C4004"/>
    <mergeCell ref="B4005:C4005"/>
    <mergeCell ref="B4006:C4006"/>
    <mergeCell ref="B4007:C4007"/>
    <mergeCell ref="B4008:C4008"/>
    <mergeCell ref="B4009:C4009"/>
    <mergeCell ref="B4010:C4010"/>
    <mergeCell ref="B4011:C4011"/>
    <mergeCell ref="B4012:C4012"/>
    <mergeCell ref="B4013:C4013"/>
    <mergeCell ref="B4014:C4014"/>
    <mergeCell ref="B4015:C4015"/>
    <mergeCell ref="B4016:C4016"/>
    <mergeCell ref="B4017:C4017"/>
    <mergeCell ref="B4018:C4018"/>
    <mergeCell ref="B4019:C4019"/>
    <mergeCell ref="B4020:C4020"/>
    <mergeCell ref="B4021:C4021"/>
    <mergeCell ref="B4022:C4022"/>
    <mergeCell ref="B4023:C4023"/>
    <mergeCell ref="B4024:C4024"/>
    <mergeCell ref="B4025:C4025"/>
    <mergeCell ref="B4026:C4026"/>
    <mergeCell ref="B4027:C4027"/>
    <mergeCell ref="B4028:C4028"/>
    <mergeCell ref="B4029:C4029"/>
    <mergeCell ref="B4030:C4030"/>
    <mergeCell ref="B4031:C4031"/>
    <mergeCell ref="B4032:C4032"/>
    <mergeCell ref="B4033:C4033"/>
    <mergeCell ref="B4034:C4034"/>
    <mergeCell ref="B4035:C4035"/>
    <mergeCell ref="B4036:C4036"/>
    <mergeCell ref="B4037:C4037"/>
    <mergeCell ref="B4038:C4038"/>
    <mergeCell ref="B4039:C4039"/>
    <mergeCell ref="B4040:C4040"/>
    <mergeCell ref="B4041:C4041"/>
    <mergeCell ref="B4042:C4042"/>
    <mergeCell ref="B4043:C4043"/>
    <mergeCell ref="B4044:C4044"/>
    <mergeCell ref="B4045:C4045"/>
    <mergeCell ref="B4046:C4046"/>
    <mergeCell ref="B4047:C4047"/>
    <mergeCell ref="B4048:C4048"/>
    <mergeCell ref="B4049:C4049"/>
    <mergeCell ref="B4050:C4050"/>
    <mergeCell ref="B4051:C4051"/>
    <mergeCell ref="B4052:C4052"/>
    <mergeCell ref="B4053:C4053"/>
    <mergeCell ref="B4054:C4054"/>
    <mergeCell ref="B4055:C4055"/>
    <mergeCell ref="B4056:C4056"/>
    <mergeCell ref="B4057:C4057"/>
    <mergeCell ref="B4058:C4058"/>
    <mergeCell ref="B4059:C4059"/>
    <mergeCell ref="B4060:C4060"/>
    <mergeCell ref="B4061:C4061"/>
    <mergeCell ref="B4062:C4062"/>
    <mergeCell ref="B4063:C4063"/>
    <mergeCell ref="B4064:C4064"/>
    <mergeCell ref="B4065:C4065"/>
    <mergeCell ref="B4066:C4066"/>
    <mergeCell ref="B4067:C4067"/>
    <mergeCell ref="B4068:C4068"/>
    <mergeCell ref="B4069:C4069"/>
    <mergeCell ref="B4070:C4070"/>
    <mergeCell ref="B4071:C4071"/>
    <mergeCell ref="B4072:C4072"/>
    <mergeCell ref="B4073:C4073"/>
    <mergeCell ref="B4074:C4074"/>
    <mergeCell ref="B4075:C4075"/>
    <mergeCell ref="B4076:C4076"/>
    <mergeCell ref="B4077:C4077"/>
    <mergeCell ref="B4078:C4078"/>
    <mergeCell ref="B4079:C4079"/>
    <mergeCell ref="B4080:C4080"/>
    <mergeCell ref="B4081:C4081"/>
    <mergeCell ref="B4082:C4082"/>
    <mergeCell ref="B4083:C4083"/>
    <mergeCell ref="B4084:C4084"/>
    <mergeCell ref="B4085:C4085"/>
    <mergeCell ref="B4086:C4086"/>
    <mergeCell ref="B4087:C4087"/>
    <mergeCell ref="B4088:C4088"/>
    <mergeCell ref="B4089:C4089"/>
    <mergeCell ref="B4090:C4090"/>
    <mergeCell ref="B4091:C4091"/>
    <mergeCell ref="B4092:C4092"/>
    <mergeCell ref="B4093:C4093"/>
    <mergeCell ref="B4094:C4094"/>
    <mergeCell ref="B4095:C4095"/>
    <mergeCell ref="B4096:C4096"/>
    <mergeCell ref="B4097:C4097"/>
    <mergeCell ref="B4098:C4098"/>
    <mergeCell ref="B4099:C4099"/>
    <mergeCell ref="B4100:C4100"/>
    <mergeCell ref="B4101:C4101"/>
    <mergeCell ref="B4102:C4102"/>
    <mergeCell ref="B4103:C4103"/>
    <mergeCell ref="B4104:C4104"/>
    <mergeCell ref="B4105:C4105"/>
    <mergeCell ref="B4106:C4106"/>
    <mergeCell ref="B4107:C4107"/>
    <mergeCell ref="B4108:C4108"/>
    <mergeCell ref="B4109:C4109"/>
    <mergeCell ref="B4110:C4110"/>
    <mergeCell ref="B4111:C4111"/>
    <mergeCell ref="B4112:C4112"/>
    <mergeCell ref="B4113:C4113"/>
    <mergeCell ref="B4114:C4114"/>
    <mergeCell ref="B4115:C4115"/>
    <mergeCell ref="B4116:C4116"/>
    <mergeCell ref="B4117:C4117"/>
    <mergeCell ref="B4118:C4118"/>
    <mergeCell ref="B4119:C4119"/>
    <mergeCell ref="B4120:C4120"/>
    <mergeCell ref="B4121:C4121"/>
    <mergeCell ref="B4122:C4122"/>
    <mergeCell ref="B4123:C4123"/>
    <mergeCell ref="B4124:C4124"/>
    <mergeCell ref="B4125:C4125"/>
    <mergeCell ref="B4126:C4126"/>
    <mergeCell ref="B4127:C4127"/>
    <mergeCell ref="B4128:C4128"/>
    <mergeCell ref="B4129:C4129"/>
    <mergeCell ref="B4130:C4130"/>
    <mergeCell ref="B4131:C4131"/>
    <mergeCell ref="B4132:C4132"/>
    <mergeCell ref="B4133:C4133"/>
    <mergeCell ref="B4134:C4134"/>
    <mergeCell ref="B4135:C4135"/>
    <mergeCell ref="B4136:C4136"/>
    <mergeCell ref="B4137:C4137"/>
    <mergeCell ref="B4138:C4138"/>
    <mergeCell ref="B4139:C4139"/>
    <mergeCell ref="B4140:C4140"/>
    <mergeCell ref="B4141:C4141"/>
    <mergeCell ref="B4142:C4142"/>
    <mergeCell ref="B4143:C4143"/>
    <mergeCell ref="B4144:C4144"/>
    <mergeCell ref="B4145:C4145"/>
    <mergeCell ref="B4146:C4146"/>
    <mergeCell ref="B4147:C4147"/>
    <mergeCell ref="B4148:C4148"/>
    <mergeCell ref="B4149:C4149"/>
    <mergeCell ref="B4150:C4150"/>
    <mergeCell ref="B4151:C4151"/>
    <mergeCell ref="B4152:C4152"/>
    <mergeCell ref="B4153:C4153"/>
    <mergeCell ref="B4154:C4154"/>
    <mergeCell ref="B4155:C4155"/>
    <mergeCell ref="B4156:C4156"/>
    <mergeCell ref="B4157:C4157"/>
    <mergeCell ref="B4158:C4158"/>
    <mergeCell ref="B4159:C4159"/>
    <mergeCell ref="B4160:C4160"/>
    <mergeCell ref="B4161:C4161"/>
    <mergeCell ref="B4162:C4162"/>
    <mergeCell ref="B4163:C4163"/>
    <mergeCell ref="B4164:C4164"/>
    <mergeCell ref="B4165:C4165"/>
    <mergeCell ref="B4166:C4166"/>
    <mergeCell ref="B4167:C4167"/>
    <mergeCell ref="B4168:C4168"/>
    <mergeCell ref="B4169:C4169"/>
    <mergeCell ref="B4170:C4170"/>
    <mergeCell ref="B4171:C4171"/>
    <mergeCell ref="B4172:C4172"/>
    <mergeCell ref="B4173:C4173"/>
    <mergeCell ref="B4174:C4174"/>
    <mergeCell ref="B4175:C4175"/>
    <mergeCell ref="B4176:C4176"/>
    <mergeCell ref="B4177:C4177"/>
    <mergeCell ref="B4178:C4178"/>
    <mergeCell ref="B4179:C4179"/>
    <mergeCell ref="B4180:C4180"/>
    <mergeCell ref="B4181:C4181"/>
    <mergeCell ref="B4182:C4182"/>
    <mergeCell ref="B4183:C4183"/>
    <mergeCell ref="B4184:C4184"/>
    <mergeCell ref="B4185:C4185"/>
    <mergeCell ref="B4186:C4186"/>
    <mergeCell ref="B4187:C4187"/>
    <mergeCell ref="B4188:C4188"/>
    <mergeCell ref="B4189:C4189"/>
    <mergeCell ref="B4190:C4190"/>
    <mergeCell ref="B4191:C4191"/>
    <mergeCell ref="B4192:C4192"/>
    <mergeCell ref="B4193:C4193"/>
    <mergeCell ref="B4194:C4194"/>
    <mergeCell ref="B4195:C4195"/>
    <mergeCell ref="B4196:C4196"/>
    <mergeCell ref="B4197:C4197"/>
    <mergeCell ref="B4198:C4198"/>
    <mergeCell ref="B4199:C4199"/>
    <mergeCell ref="B4200:C4200"/>
    <mergeCell ref="B4201:C4201"/>
    <mergeCell ref="B4202:C4202"/>
    <mergeCell ref="B4203:C4203"/>
    <mergeCell ref="B4204:C4204"/>
    <mergeCell ref="B4205:C4205"/>
    <mergeCell ref="B4206:C4206"/>
    <mergeCell ref="B4207:C4207"/>
    <mergeCell ref="B4208:C4208"/>
    <mergeCell ref="B4209:C4209"/>
    <mergeCell ref="B4210:C4210"/>
    <mergeCell ref="B4211:C4211"/>
    <mergeCell ref="B4212:C4212"/>
    <mergeCell ref="B4213:C4213"/>
    <mergeCell ref="B4214:C4214"/>
    <mergeCell ref="B4215:C4215"/>
    <mergeCell ref="B4216:C4216"/>
    <mergeCell ref="B4217:C4217"/>
    <mergeCell ref="B4218:C4218"/>
    <mergeCell ref="B4219:C4219"/>
    <mergeCell ref="B4220:C4220"/>
    <mergeCell ref="B4221:C4221"/>
    <mergeCell ref="B4222:C4222"/>
    <mergeCell ref="B4223:C4223"/>
    <mergeCell ref="B4224:C4224"/>
    <mergeCell ref="B4225:C4225"/>
    <mergeCell ref="B4226:C4226"/>
    <mergeCell ref="B4227:C4227"/>
    <mergeCell ref="B4228:C4228"/>
    <mergeCell ref="B4229:C4229"/>
    <mergeCell ref="B4230:C4230"/>
    <mergeCell ref="B4231:C4231"/>
    <mergeCell ref="B4232:C4232"/>
    <mergeCell ref="B4233:C4233"/>
    <mergeCell ref="B4234:C4234"/>
    <mergeCell ref="B4235:C4235"/>
    <mergeCell ref="B4236:C4236"/>
    <mergeCell ref="B4237:C4237"/>
    <mergeCell ref="B4238:C4238"/>
    <mergeCell ref="B4239:C4239"/>
    <mergeCell ref="B4240:C4240"/>
    <mergeCell ref="B4241:C4241"/>
    <mergeCell ref="B4242:C4242"/>
    <mergeCell ref="B4243:C4243"/>
    <mergeCell ref="B4244:C4244"/>
    <mergeCell ref="B4245:C4245"/>
    <mergeCell ref="B4246:C4246"/>
    <mergeCell ref="B4247:C4247"/>
    <mergeCell ref="B4248:C4248"/>
    <mergeCell ref="B4249:C4249"/>
    <mergeCell ref="B4250:C4250"/>
    <mergeCell ref="B4251:C4251"/>
    <mergeCell ref="B4252:C4252"/>
    <mergeCell ref="B4253:C4253"/>
    <mergeCell ref="B4254:C4254"/>
    <mergeCell ref="B4255:C4255"/>
    <mergeCell ref="B4256:C4256"/>
    <mergeCell ref="B4257:C4257"/>
    <mergeCell ref="B4258:C4258"/>
    <mergeCell ref="B4259:C4259"/>
    <mergeCell ref="B4260:C4260"/>
    <mergeCell ref="B4261:C4261"/>
    <mergeCell ref="B4262:C4262"/>
    <mergeCell ref="B4263:C4263"/>
    <mergeCell ref="B4264:C4264"/>
    <mergeCell ref="B4265:C4265"/>
    <mergeCell ref="B4266:C4266"/>
    <mergeCell ref="B4267:C4267"/>
    <mergeCell ref="B4268:C4268"/>
    <mergeCell ref="B4269:C4269"/>
    <mergeCell ref="B4270:C4270"/>
    <mergeCell ref="B4271:C4271"/>
    <mergeCell ref="B4272:C4272"/>
    <mergeCell ref="B4273:C4273"/>
    <mergeCell ref="B4274:C4274"/>
    <mergeCell ref="B4275:C4275"/>
    <mergeCell ref="B4276:C4276"/>
    <mergeCell ref="B4277:C4277"/>
    <mergeCell ref="B4278:C4278"/>
    <mergeCell ref="B4279:C4279"/>
    <mergeCell ref="B4280:C4280"/>
    <mergeCell ref="B4281:C4281"/>
    <mergeCell ref="B4282:C4282"/>
    <mergeCell ref="B4283:C4283"/>
    <mergeCell ref="B4284:C4284"/>
    <mergeCell ref="B4285:C4285"/>
    <mergeCell ref="B4286:C4286"/>
    <mergeCell ref="B4287:C4287"/>
    <mergeCell ref="B4288:C4288"/>
    <mergeCell ref="B4289:C4289"/>
    <mergeCell ref="B4290:C4290"/>
    <mergeCell ref="B4291:C4291"/>
    <mergeCell ref="B4292:C4292"/>
    <mergeCell ref="B4293:C4293"/>
    <mergeCell ref="B4294:C4294"/>
    <mergeCell ref="B4295:C4295"/>
    <mergeCell ref="B4296:C4296"/>
    <mergeCell ref="B4297:C4297"/>
    <mergeCell ref="B4298:C4298"/>
    <mergeCell ref="B4299:C4299"/>
    <mergeCell ref="B4300:C4300"/>
    <mergeCell ref="B4301:C4301"/>
    <mergeCell ref="B4302:C4302"/>
    <mergeCell ref="B4303:C4303"/>
    <mergeCell ref="B4304:C4304"/>
    <mergeCell ref="B4305:C4305"/>
    <mergeCell ref="B4306:C4306"/>
    <mergeCell ref="B4307:C4307"/>
    <mergeCell ref="B4308:C4308"/>
    <mergeCell ref="B4309:C4309"/>
    <mergeCell ref="B4310:C4310"/>
    <mergeCell ref="B4311:C4311"/>
    <mergeCell ref="B4312:C4312"/>
    <mergeCell ref="B4313:C4313"/>
    <mergeCell ref="B4314:C4314"/>
    <mergeCell ref="B4315:C4315"/>
    <mergeCell ref="B4316:C4316"/>
    <mergeCell ref="B4317:C4317"/>
    <mergeCell ref="B4318:C4318"/>
    <mergeCell ref="B4319:C4319"/>
    <mergeCell ref="B4320:C4320"/>
    <mergeCell ref="B4321:C4321"/>
    <mergeCell ref="B4322:C4322"/>
    <mergeCell ref="B4323:C4323"/>
    <mergeCell ref="B4324:C4324"/>
    <mergeCell ref="B4325:C4325"/>
    <mergeCell ref="B4326:C4326"/>
    <mergeCell ref="B4327:C4327"/>
    <mergeCell ref="B4328:C4328"/>
    <mergeCell ref="B4329:C4329"/>
    <mergeCell ref="B4330:C4330"/>
    <mergeCell ref="B4331:C4331"/>
    <mergeCell ref="B4332:C4332"/>
    <mergeCell ref="B4333:C4333"/>
    <mergeCell ref="B4334:C4334"/>
    <mergeCell ref="B4335:C4335"/>
    <mergeCell ref="B4336:C4336"/>
    <mergeCell ref="B4337:C4337"/>
    <mergeCell ref="B4338:C4338"/>
    <mergeCell ref="B4339:C4339"/>
    <mergeCell ref="B4340:C4340"/>
    <mergeCell ref="B4341:C4341"/>
    <mergeCell ref="B4342:C4342"/>
    <mergeCell ref="B4343:C4343"/>
    <mergeCell ref="B4344:C4344"/>
    <mergeCell ref="B4345:C4345"/>
    <mergeCell ref="B4346:C4346"/>
    <mergeCell ref="B4347:C4347"/>
    <mergeCell ref="B4348:C4348"/>
    <mergeCell ref="B4349:C4349"/>
    <mergeCell ref="B4350:C4350"/>
    <mergeCell ref="B4351:C4351"/>
    <mergeCell ref="B4352:C4352"/>
    <mergeCell ref="B4353:C4353"/>
    <mergeCell ref="B4354:C4354"/>
    <mergeCell ref="B4355:C4355"/>
    <mergeCell ref="B4356:C4356"/>
    <mergeCell ref="B4357:C4357"/>
    <mergeCell ref="B4358:C4358"/>
    <mergeCell ref="B4359:C4359"/>
    <mergeCell ref="B4360:C4360"/>
    <mergeCell ref="B4361:C4361"/>
    <mergeCell ref="B4362:C4362"/>
    <mergeCell ref="B4363:C4363"/>
    <mergeCell ref="B4364:C4364"/>
    <mergeCell ref="B4365:C4365"/>
    <mergeCell ref="B4366:C4366"/>
    <mergeCell ref="B4367:C4367"/>
    <mergeCell ref="B4368:C4368"/>
    <mergeCell ref="B4369:C4369"/>
    <mergeCell ref="B4370:C4370"/>
    <mergeCell ref="B4371:C4371"/>
    <mergeCell ref="B4372:C4372"/>
    <mergeCell ref="B4373:C4373"/>
    <mergeCell ref="B4374:C4374"/>
    <mergeCell ref="B4375:C4375"/>
    <mergeCell ref="B4376:C4376"/>
    <mergeCell ref="B4377:C4377"/>
    <mergeCell ref="B4378:C4378"/>
    <mergeCell ref="B4379:C4379"/>
    <mergeCell ref="B4380:C4380"/>
    <mergeCell ref="B4381:C4381"/>
    <mergeCell ref="B4382:C4382"/>
    <mergeCell ref="B4383:C4383"/>
    <mergeCell ref="B4384:C4384"/>
    <mergeCell ref="B4385:C4385"/>
    <mergeCell ref="B4386:C4386"/>
    <mergeCell ref="B4387:C4387"/>
    <mergeCell ref="B4388:C4388"/>
    <mergeCell ref="B4389:C4389"/>
    <mergeCell ref="B4390:C4390"/>
    <mergeCell ref="B4391:C4391"/>
    <mergeCell ref="B4392:C4392"/>
    <mergeCell ref="B4393:C4393"/>
    <mergeCell ref="B4394:C4394"/>
    <mergeCell ref="B4395:C4395"/>
    <mergeCell ref="B4396:C4396"/>
    <mergeCell ref="B4397:C4397"/>
    <mergeCell ref="B4398:C4398"/>
    <mergeCell ref="B4399:C4399"/>
    <mergeCell ref="B4400:C4400"/>
    <mergeCell ref="B4401:C4401"/>
    <mergeCell ref="B4402:C4402"/>
    <mergeCell ref="B4403:C4403"/>
    <mergeCell ref="B4404:C4404"/>
    <mergeCell ref="B4405:C4405"/>
    <mergeCell ref="B4406:C4406"/>
    <mergeCell ref="B4407:C4407"/>
    <mergeCell ref="B4408:C4408"/>
    <mergeCell ref="B4409:C4409"/>
    <mergeCell ref="B4410:C4410"/>
    <mergeCell ref="B4411:C4411"/>
    <mergeCell ref="B4412:C4412"/>
    <mergeCell ref="B4413:C4413"/>
    <mergeCell ref="B4414:C4414"/>
    <mergeCell ref="B4415:C4415"/>
    <mergeCell ref="B4416:C4416"/>
    <mergeCell ref="B4417:C4417"/>
    <mergeCell ref="B4418:C4418"/>
    <mergeCell ref="B4419:C4419"/>
    <mergeCell ref="B4420:C4420"/>
    <mergeCell ref="B4421:C4421"/>
    <mergeCell ref="B4422:C4422"/>
    <mergeCell ref="B4423:C4423"/>
    <mergeCell ref="B4424:C4424"/>
    <mergeCell ref="B4425:C4425"/>
    <mergeCell ref="B4426:C4426"/>
    <mergeCell ref="B4427:C4427"/>
    <mergeCell ref="B4428:C4428"/>
    <mergeCell ref="B4429:C4429"/>
    <mergeCell ref="B4430:C4430"/>
    <mergeCell ref="B4431:C4431"/>
    <mergeCell ref="B4432:C4432"/>
    <mergeCell ref="B4433:C4433"/>
    <mergeCell ref="B4434:C4434"/>
    <mergeCell ref="B4435:C4435"/>
    <mergeCell ref="B4436:C4436"/>
    <mergeCell ref="B4437:C4437"/>
    <mergeCell ref="B4438:C4438"/>
    <mergeCell ref="B4439:C4439"/>
    <mergeCell ref="B4440:C4440"/>
    <mergeCell ref="B4441:C4441"/>
    <mergeCell ref="B4442:C4442"/>
    <mergeCell ref="B4443:C4443"/>
    <mergeCell ref="B4444:C4444"/>
    <mergeCell ref="B4445:C4445"/>
    <mergeCell ref="B4446:C4446"/>
    <mergeCell ref="B4447:C4447"/>
    <mergeCell ref="B4448:C4448"/>
    <mergeCell ref="B4449:C4449"/>
    <mergeCell ref="B4450:C4450"/>
    <mergeCell ref="B4451:C4451"/>
    <mergeCell ref="B4452:C4452"/>
    <mergeCell ref="B4453:C4453"/>
    <mergeCell ref="B4454:C4454"/>
    <mergeCell ref="B4455:C4455"/>
    <mergeCell ref="B4456:C4456"/>
    <mergeCell ref="B4457:C4457"/>
    <mergeCell ref="B4458:C4458"/>
    <mergeCell ref="B4459:C4459"/>
    <mergeCell ref="B4460:C4460"/>
    <mergeCell ref="B4461:C4461"/>
    <mergeCell ref="B4462:C4462"/>
    <mergeCell ref="B4463:C4463"/>
    <mergeCell ref="B4464:C4464"/>
    <mergeCell ref="B4465:C4465"/>
    <mergeCell ref="B4466:C4466"/>
    <mergeCell ref="B4467:C4467"/>
    <mergeCell ref="B4468:C4468"/>
    <mergeCell ref="B4469:C4469"/>
    <mergeCell ref="B4470:C4470"/>
    <mergeCell ref="B4471:C4471"/>
    <mergeCell ref="B4472:C4472"/>
    <mergeCell ref="B4473:C4473"/>
    <mergeCell ref="B4474:C4474"/>
    <mergeCell ref="B4475:C4475"/>
    <mergeCell ref="B4476:C4476"/>
    <mergeCell ref="B4477:C4477"/>
    <mergeCell ref="B4478:C4478"/>
    <mergeCell ref="B4479:C4479"/>
    <mergeCell ref="B4480:C4480"/>
    <mergeCell ref="B4481:C4481"/>
    <mergeCell ref="B4482:C4482"/>
    <mergeCell ref="B4483:C4483"/>
    <mergeCell ref="B4484:C4484"/>
    <mergeCell ref="B4485:C4485"/>
    <mergeCell ref="B4486:C4486"/>
    <mergeCell ref="B4487:C4487"/>
    <mergeCell ref="B4488:C4488"/>
    <mergeCell ref="B4489:C4489"/>
    <mergeCell ref="B4490:C4490"/>
    <mergeCell ref="B4491:C4491"/>
    <mergeCell ref="B4492:C4492"/>
    <mergeCell ref="B4493:C4493"/>
    <mergeCell ref="B4494:C4494"/>
    <mergeCell ref="B4495:C4495"/>
    <mergeCell ref="B4496:C4496"/>
    <mergeCell ref="B4497:C4497"/>
    <mergeCell ref="B4498:C4498"/>
    <mergeCell ref="B4499:C4499"/>
    <mergeCell ref="B4500:C4500"/>
    <mergeCell ref="B4501:C4501"/>
    <mergeCell ref="B4502:C4502"/>
    <mergeCell ref="B4503:C4503"/>
    <mergeCell ref="B4504:C4504"/>
    <mergeCell ref="B4505:C4505"/>
    <mergeCell ref="B4506:C4506"/>
    <mergeCell ref="B4507:C4507"/>
    <mergeCell ref="B4508:C4508"/>
    <mergeCell ref="B4509:C4509"/>
    <mergeCell ref="B4510:C4510"/>
    <mergeCell ref="B4511:C4511"/>
    <mergeCell ref="B4512:C4512"/>
    <mergeCell ref="B4513:C4513"/>
    <mergeCell ref="B4514:C4514"/>
    <mergeCell ref="B4515:C4515"/>
    <mergeCell ref="B4516:C4516"/>
    <mergeCell ref="B4517:C4517"/>
    <mergeCell ref="B4518:C4518"/>
    <mergeCell ref="B4519:C4519"/>
    <mergeCell ref="B4520:C4520"/>
    <mergeCell ref="B4521:C4521"/>
    <mergeCell ref="B4522:C4522"/>
    <mergeCell ref="B4523:C4523"/>
    <mergeCell ref="B4524:C4524"/>
    <mergeCell ref="B4525:C4525"/>
    <mergeCell ref="B4526:C4526"/>
    <mergeCell ref="B4527:C4527"/>
    <mergeCell ref="B4528:C4528"/>
    <mergeCell ref="B4529:C4529"/>
    <mergeCell ref="B4530:C4530"/>
    <mergeCell ref="B4531:C4531"/>
    <mergeCell ref="B4532:C4532"/>
    <mergeCell ref="B4533:C4533"/>
    <mergeCell ref="B4534:C4534"/>
    <mergeCell ref="B4535:C4535"/>
    <mergeCell ref="B4536:C4536"/>
    <mergeCell ref="B4537:C4537"/>
    <mergeCell ref="B4538:C4538"/>
    <mergeCell ref="B4539:C4539"/>
    <mergeCell ref="B4540:C4540"/>
    <mergeCell ref="B4541:C4541"/>
    <mergeCell ref="B4542:C4542"/>
    <mergeCell ref="B4543:C4543"/>
    <mergeCell ref="B4544:C4544"/>
    <mergeCell ref="B4545:C4545"/>
    <mergeCell ref="B4546:C4546"/>
    <mergeCell ref="B4547:C4547"/>
    <mergeCell ref="B4548:C4548"/>
    <mergeCell ref="B4549:C4549"/>
    <mergeCell ref="B4550:C4550"/>
    <mergeCell ref="B4551:C4551"/>
    <mergeCell ref="B4552:C4552"/>
    <mergeCell ref="B4553:C4553"/>
    <mergeCell ref="B4554:C4554"/>
    <mergeCell ref="B4555:C4555"/>
    <mergeCell ref="B4556:C4556"/>
    <mergeCell ref="B4557:C4557"/>
    <mergeCell ref="B4558:C4558"/>
    <mergeCell ref="B4559:C4559"/>
    <mergeCell ref="B4560:C4560"/>
    <mergeCell ref="B4561:C4561"/>
    <mergeCell ref="B4562:C4562"/>
    <mergeCell ref="B4563:C4563"/>
    <mergeCell ref="B4564:C4564"/>
    <mergeCell ref="B4565:C4565"/>
    <mergeCell ref="B4566:C4566"/>
    <mergeCell ref="B4567:C4567"/>
    <mergeCell ref="B4568:C4568"/>
    <mergeCell ref="B4569:C4569"/>
    <mergeCell ref="B4570:C4570"/>
    <mergeCell ref="B4571:C4571"/>
    <mergeCell ref="B4572:C4572"/>
    <mergeCell ref="B4573:C4573"/>
    <mergeCell ref="B4574:C4574"/>
    <mergeCell ref="B4575:C4575"/>
    <mergeCell ref="B4576:C4576"/>
    <mergeCell ref="B4577:C4577"/>
    <mergeCell ref="B4578:C4578"/>
    <mergeCell ref="B4579:C4579"/>
    <mergeCell ref="B4580:C4580"/>
    <mergeCell ref="B4581:C4581"/>
    <mergeCell ref="B4582:C4582"/>
    <mergeCell ref="B4583:C4583"/>
    <mergeCell ref="B4584:C4584"/>
    <mergeCell ref="B4585:C4585"/>
    <mergeCell ref="B4586:C4586"/>
    <mergeCell ref="B4587:C4587"/>
    <mergeCell ref="B4588:C4588"/>
    <mergeCell ref="B4589:C4589"/>
    <mergeCell ref="B4590:C4590"/>
    <mergeCell ref="B4591:C4591"/>
    <mergeCell ref="B4592:C4592"/>
    <mergeCell ref="B4593:C4593"/>
    <mergeCell ref="B4594:C4594"/>
    <mergeCell ref="B4595:C4595"/>
    <mergeCell ref="B4596:C4596"/>
    <mergeCell ref="B4597:C4597"/>
    <mergeCell ref="B4598:C4598"/>
    <mergeCell ref="B4599:C4599"/>
    <mergeCell ref="B4600:C4600"/>
    <mergeCell ref="B4601:C4601"/>
    <mergeCell ref="B4602:C4602"/>
    <mergeCell ref="B4603:C4603"/>
    <mergeCell ref="B4604:C4604"/>
    <mergeCell ref="B4605:C4605"/>
    <mergeCell ref="B4606:C4606"/>
    <mergeCell ref="B4607:C4607"/>
    <mergeCell ref="B4608:C4608"/>
    <mergeCell ref="B4609:C4609"/>
    <mergeCell ref="B4610:C4610"/>
    <mergeCell ref="B4611:C4611"/>
    <mergeCell ref="B4612:C4612"/>
    <mergeCell ref="B4613:C4613"/>
    <mergeCell ref="B4614:C4614"/>
    <mergeCell ref="B4615:C4615"/>
    <mergeCell ref="B4616:C4616"/>
    <mergeCell ref="B4617:C4617"/>
    <mergeCell ref="B4618:C4618"/>
    <mergeCell ref="B4619:C4619"/>
    <mergeCell ref="B4620:C4620"/>
    <mergeCell ref="B4621:C4621"/>
    <mergeCell ref="B4622:C4622"/>
    <mergeCell ref="B4623:C4623"/>
    <mergeCell ref="B4624:C4624"/>
    <mergeCell ref="B4625:C4625"/>
    <mergeCell ref="B4626:C4626"/>
    <mergeCell ref="B4627:C4627"/>
    <mergeCell ref="B4628:C4628"/>
    <mergeCell ref="B4629:C4629"/>
    <mergeCell ref="B4630:C4630"/>
    <mergeCell ref="B4631:C4631"/>
    <mergeCell ref="B4632:C4632"/>
    <mergeCell ref="B4633:C4633"/>
    <mergeCell ref="B4634:C4634"/>
    <mergeCell ref="B4635:C4635"/>
    <mergeCell ref="B4636:C4636"/>
    <mergeCell ref="B4637:C4637"/>
    <mergeCell ref="B4638:C4638"/>
    <mergeCell ref="B4639:C4639"/>
    <mergeCell ref="B4640:C4640"/>
    <mergeCell ref="B4641:C4641"/>
    <mergeCell ref="B4642:C4642"/>
    <mergeCell ref="B4643:C4643"/>
    <mergeCell ref="B4644:C4644"/>
    <mergeCell ref="B4645:C4645"/>
    <mergeCell ref="B4646:C4646"/>
    <mergeCell ref="B4647:C4647"/>
    <mergeCell ref="B4648:C4648"/>
    <mergeCell ref="B4649:C4649"/>
    <mergeCell ref="B4650:C4650"/>
    <mergeCell ref="B4651:C4651"/>
    <mergeCell ref="B4652:C4652"/>
    <mergeCell ref="B4653:C4653"/>
    <mergeCell ref="B4654:C4654"/>
    <mergeCell ref="B4655:C4655"/>
    <mergeCell ref="B4656:C4656"/>
    <mergeCell ref="B4657:C4657"/>
    <mergeCell ref="B4658:C4658"/>
    <mergeCell ref="B4659:C4659"/>
    <mergeCell ref="B4660:C4660"/>
    <mergeCell ref="B4661:C4661"/>
    <mergeCell ref="B4662:C4662"/>
    <mergeCell ref="B4663:C4663"/>
    <mergeCell ref="B4664:C4664"/>
    <mergeCell ref="B4665:C4665"/>
    <mergeCell ref="B4666:C4666"/>
    <mergeCell ref="B4667:C4667"/>
    <mergeCell ref="B4668:C4668"/>
    <mergeCell ref="B4669:C4669"/>
    <mergeCell ref="B4670:C4670"/>
    <mergeCell ref="B4671:C4671"/>
    <mergeCell ref="B4672:C4672"/>
    <mergeCell ref="B4673:C4673"/>
    <mergeCell ref="B4674:C4674"/>
    <mergeCell ref="B4675:C4675"/>
    <mergeCell ref="B4676:C4676"/>
    <mergeCell ref="B4677:C4677"/>
    <mergeCell ref="B4678:C4678"/>
    <mergeCell ref="B4679:C4679"/>
    <mergeCell ref="B4680:C4680"/>
    <mergeCell ref="B4681:C4681"/>
    <mergeCell ref="B4682:C4682"/>
    <mergeCell ref="B4683:C4683"/>
    <mergeCell ref="B4684:C4684"/>
    <mergeCell ref="B4685:C4685"/>
    <mergeCell ref="B4686:C4686"/>
    <mergeCell ref="B4687:C4687"/>
    <mergeCell ref="B4688:C4688"/>
    <mergeCell ref="B4689:C4689"/>
    <mergeCell ref="B4690:C4690"/>
    <mergeCell ref="B4691:C4691"/>
    <mergeCell ref="B4692:C4692"/>
    <mergeCell ref="B4693:C4693"/>
    <mergeCell ref="B4694:C4694"/>
    <mergeCell ref="B4695:C4695"/>
    <mergeCell ref="B4696:C4696"/>
    <mergeCell ref="B4697:C4697"/>
    <mergeCell ref="B4698:C4698"/>
    <mergeCell ref="B4699:C4699"/>
    <mergeCell ref="B4700:C4700"/>
    <mergeCell ref="B4701:C4701"/>
    <mergeCell ref="B4702:C4702"/>
    <mergeCell ref="B4703:C4703"/>
    <mergeCell ref="B4704:C4704"/>
    <mergeCell ref="B4705:C4705"/>
    <mergeCell ref="B4706:C4706"/>
    <mergeCell ref="B4707:C4707"/>
    <mergeCell ref="B4708:C4708"/>
    <mergeCell ref="B4709:C4709"/>
    <mergeCell ref="B4710:C4710"/>
    <mergeCell ref="B4711:C4711"/>
    <mergeCell ref="B4712:C4712"/>
    <mergeCell ref="B4713:C4713"/>
    <mergeCell ref="B4714:C4714"/>
    <mergeCell ref="B4715:C4715"/>
    <mergeCell ref="B4716:C4716"/>
    <mergeCell ref="B4717:C4717"/>
    <mergeCell ref="B4718:C4718"/>
    <mergeCell ref="B4719:C4719"/>
    <mergeCell ref="B4720:C4720"/>
    <mergeCell ref="B4721:C4721"/>
    <mergeCell ref="B4722:C4722"/>
    <mergeCell ref="B4723:C4723"/>
    <mergeCell ref="B4724:C4724"/>
    <mergeCell ref="B4725:C4725"/>
    <mergeCell ref="B4726:C4726"/>
    <mergeCell ref="B4727:C4727"/>
    <mergeCell ref="B4728:C4728"/>
    <mergeCell ref="B4729:C4729"/>
    <mergeCell ref="B4730:C4730"/>
    <mergeCell ref="B4731:C4731"/>
    <mergeCell ref="B4732:C4732"/>
    <mergeCell ref="B4733:C4733"/>
    <mergeCell ref="B4734:C4734"/>
    <mergeCell ref="B4735:C4735"/>
    <mergeCell ref="B4736:C4736"/>
    <mergeCell ref="B4737:C4737"/>
    <mergeCell ref="B4738:C4738"/>
    <mergeCell ref="B4739:C4739"/>
    <mergeCell ref="B4740:C4740"/>
    <mergeCell ref="B4741:C4741"/>
    <mergeCell ref="B4742:C4742"/>
    <mergeCell ref="B4743:C4743"/>
    <mergeCell ref="B4744:C4744"/>
    <mergeCell ref="B4745:C4745"/>
    <mergeCell ref="B4746:C4746"/>
    <mergeCell ref="B4747:C4747"/>
    <mergeCell ref="B4748:C4748"/>
    <mergeCell ref="B4749:C4749"/>
    <mergeCell ref="B4750:C4750"/>
    <mergeCell ref="B4751:C4751"/>
    <mergeCell ref="B4752:C4752"/>
    <mergeCell ref="B4753:C4753"/>
    <mergeCell ref="B4754:C4754"/>
    <mergeCell ref="B4755:C4755"/>
    <mergeCell ref="B4756:C4756"/>
    <mergeCell ref="B4757:C4757"/>
    <mergeCell ref="B4758:C4758"/>
    <mergeCell ref="B4759:C4759"/>
    <mergeCell ref="B4760:C4760"/>
    <mergeCell ref="B4761:C4761"/>
    <mergeCell ref="B4762:C4762"/>
    <mergeCell ref="B4763:C4763"/>
    <mergeCell ref="B4764:C4764"/>
    <mergeCell ref="B4765:C4765"/>
    <mergeCell ref="B4766:C4766"/>
    <mergeCell ref="B4767:C4767"/>
    <mergeCell ref="B4768:C4768"/>
    <mergeCell ref="B4769:C4769"/>
    <mergeCell ref="B4770:C4770"/>
    <mergeCell ref="B4771:C4771"/>
    <mergeCell ref="B4772:C4772"/>
    <mergeCell ref="B4773:C4773"/>
    <mergeCell ref="B4774:C4774"/>
    <mergeCell ref="B4775:C4775"/>
    <mergeCell ref="B4776:C4776"/>
    <mergeCell ref="B4777:C4777"/>
    <mergeCell ref="B4778:C4778"/>
    <mergeCell ref="B4779:C4779"/>
    <mergeCell ref="B4780:C4780"/>
    <mergeCell ref="B4781:C4781"/>
    <mergeCell ref="B4782:C4782"/>
    <mergeCell ref="B4783:C4783"/>
    <mergeCell ref="B4784:C4784"/>
    <mergeCell ref="B4785:C4785"/>
    <mergeCell ref="B4786:C4786"/>
    <mergeCell ref="B4787:C4787"/>
    <mergeCell ref="B4788:C4788"/>
    <mergeCell ref="B4789:C4789"/>
    <mergeCell ref="B4790:C4790"/>
    <mergeCell ref="B4791:C4791"/>
    <mergeCell ref="B4792:C4792"/>
    <mergeCell ref="B4793:C4793"/>
    <mergeCell ref="B4794:C4794"/>
    <mergeCell ref="B4795:C4795"/>
    <mergeCell ref="B4796:C4796"/>
    <mergeCell ref="B4797:C4797"/>
    <mergeCell ref="B4798:C4798"/>
    <mergeCell ref="B4799:C4799"/>
    <mergeCell ref="B4800:C4800"/>
    <mergeCell ref="B4801:C4801"/>
    <mergeCell ref="B4802:C4802"/>
    <mergeCell ref="B4803:C4803"/>
    <mergeCell ref="B4804:C4804"/>
    <mergeCell ref="B4805:C4805"/>
    <mergeCell ref="B4806:C4806"/>
    <mergeCell ref="B4807:C4807"/>
    <mergeCell ref="B4808:C4808"/>
    <mergeCell ref="B4809:C4809"/>
    <mergeCell ref="B4810:C4810"/>
    <mergeCell ref="B4811:C4811"/>
    <mergeCell ref="B4812:C4812"/>
    <mergeCell ref="B4813:C4813"/>
    <mergeCell ref="B4814:C4814"/>
    <mergeCell ref="B4815:C4815"/>
    <mergeCell ref="B4816:C4816"/>
    <mergeCell ref="B4817:C4817"/>
    <mergeCell ref="B4818:C4818"/>
    <mergeCell ref="B4819:C4819"/>
    <mergeCell ref="B4820:C4820"/>
    <mergeCell ref="B4821:C4821"/>
    <mergeCell ref="B4822:C4822"/>
    <mergeCell ref="B4823:C4823"/>
    <mergeCell ref="B4824:C4824"/>
    <mergeCell ref="B4825:C4825"/>
    <mergeCell ref="B4826:C4826"/>
    <mergeCell ref="B4827:C4827"/>
    <mergeCell ref="B4828:C4828"/>
    <mergeCell ref="B4829:C4829"/>
    <mergeCell ref="B4830:C4830"/>
    <mergeCell ref="B4831:C4831"/>
    <mergeCell ref="B4832:C4832"/>
    <mergeCell ref="B4833:C4833"/>
    <mergeCell ref="B4834:C4834"/>
    <mergeCell ref="B4835:C4835"/>
    <mergeCell ref="B4836:C4836"/>
    <mergeCell ref="B4837:C4837"/>
    <mergeCell ref="B4838:C4838"/>
    <mergeCell ref="B4839:C4839"/>
    <mergeCell ref="B4840:C4840"/>
    <mergeCell ref="B4841:C4841"/>
    <mergeCell ref="B4842:C4842"/>
    <mergeCell ref="B4843:C4843"/>
    <mergeCell ref="B4844:C4844"/>
    <mergeCell ref="B4845:C4845"/>
    <mergeCell ref="B4846:C4846"/>
    <mergeCell ref="B4847:C4847"/>
    <mergeCell ref="B4848:C4848"/>
    <mergeCell ref="B4849:C4849"/>
    <mergeCell ref="B4850:C4850"/>
    <mergeCell ref="B4851:C4851"/>
    <mergeCell ref="B4852:C4852"/>
    <mergeCell ref="B4853:C4853"/>
    <mergeCell ref="B4854:C4854"/>
    <mergeCell ref="B4855:C4855"/>
    <mergeCell ref="B4856:C4856"/>
    <mergeCell ref="B4857:C4857"/>
    <mergeCell ref="B4858:C4858"/>
    <mergeCell ref="B4859:C4859"/>
    <mergeCell ref="B4860:C4860"/>
    <mergeCell ref="B4861:C4861"/>
    <mergeCell ref="B4862:C4862"/>
    <mergeCell ref="B4863:C4863"/>
    <mergeCell ref="B4864:C4864"/>
    <mergeCell ref="B4865:C4865"/>
    <mergeCell ref="B4866:C4866"/>
    <mergeCell ref="B4867:C4867"/>
    <mergeCell ref="B4868:C4868"/>
    <mergeCell ref="B4869:C4869"/>
    <mergeCell ref="B4870:C4870"/>
    <mergeCell ref="B4871:C4871"/>
    <mergeCell ref="B4872:C4872"/>
    <mergeCell ref="B4873:C4873"/>
    <mergeCell ref="B4874:C4874"/>
    <mergeCell ref="B4875:C4875"/>
    <mergeCell ref="B4876:C4876"/>
    <mergeCell ref="B4877:C4877"/>
    <mergeCell ref="B4878:C4878"/>
    <mergeCell ref="B4879:C4879"/>
    <mergeCell ref="B4880:C4880"/>
    <mergeCell ref="B4881:C4881"/>
    <mergeCell ref="B4882:C4882"/>
    <mergeCell ref="B4883:C4883"/>
    <mergeCell ref="B4884:C4884"/>
    <mergeCell ref="B4885:C4885"/>
    <mergeCell ref="B4886:C4886"/>
    <mergeCell ref="B4887:C4887"/>
    <mergeCell ref="B4888:C4888"/>
    <mergeCell ref="B4889:C4889"/>
    <mergeCell ref="B4890:C4890"/>
    <mergeCell ref="B4891:C4891"/>
    <mergeCell ref="B4892:C4892"/>
    <mergeCell ref="B4893:C4893"/>
    <mergeCell ref="B4894:C4894"/>
    <mergeCell ref="B4895:C4895"/>
    <mergeCell ref="B4896:C4896"/>
    <mergeCell ref="B4897:C4897"/>
    <mergeCell ref="B4898:C4898"/>
    <mergeCell ref="B4899:C4899"/>
    <mergeCell ref="B4900:C4900"/>
    <mergeCell ref="B4901:C4901"/>
    <mergeCell ref="B4902:C4902"/>
    <mergeCell ref="B4903:C4903"/>
    <mergeCell ref="B5247:C5247"/>
    <mergeCell ref="B5248:C5248"/>
    <mergeCell ref="B5249:C5249"/>
    <mergeCell ref="B5250:C5250"/>
    <mergeCell ref="B5251:C5251"/>
    <mergeCell ref="B5252:C5252"/>
    <mergeCell ref="B5253:C5253"/>
    <mergeCell ref="B5254:C5254"/>
    <mergeCell ref="B5255:C5255"/>
    <mergeCell ref="B5256:C5256"/>
    <mergeCell ref="B5257:C5257"/>
    <mergeCell ref="B5258:C5258"/>
    <mergeCell ref="B5259:C5259"/>
    <mergeCell ref="B5260:C5260"/>
    <mergeCell ref="B5261:C5261"/>
    <mergeCell ref="B5262:C5262"/>
    <mergeCell ref="B5263:C5263"/>
    <mergeCell ref="B5264:C5264"/>
    <mergeCell ref="B5265:C5265"/>
    <mergeCell ref="B5266:C5266"/>
    <mergeCell ref="B5267:C5267"/>
    <mergeCell ref="B5268:C5268"/>
    <mergeCell ref="B5269:C5269"/>
    <mergeCell ref="B5270:C5270"/>
    <mergeCell ref="B5271:C5271"/>
    <mergeCell ref="B5272:C5272"/>
    <mergeCell ref="B5273:C5273"/>
    <mergeCell ref="B5274:C5274"/>
    <mergeCell ref="B5275:C5275"/>
    <mergeCell ref="B5276:C5276"/>
    <mergeCell ref="B5277:C5277"/>
    <mergeCell ref="B5278:C5278"/>
    <mergeCell ref="B5279:C5279"/>
    <mergeCell ref="B5280:C5280"/>
    <mergeCell ref="B5281:C5281"/>
    <mergeCell ref="B5282:C5282"/>
    <mergeCell ref="B5283:C5283"/>
    <mergeCell ref="B5284:C5284"/>
    <mergeCell ref="B5285:C5285"/>
    <mergeCell ref="B5286:C5286"/>
    <mergeCell ref="B5287:C5287"/>
    <mergeCell ref="B5288:C5288"/>
    <mergeCell ref="B5289:C5289"/>
    <mergeCell ref="B5290:C5290"/>
    <mergeCell ref="B5291:C5291"/>
    <mergeCell ref="B5292:C5292"/>
    <mergeCell ref="B5293:C5293"/>
    <mergeCell ref="B5294:C5294"/>
    <mergeCell ref="B5295:C5295"/>
    <mergeCell ref="B5345:C5345"/>
    <mergeCell ref="B5346:C5346"/>
    <mergeCell ref="B5347:C5347"/>
    <mergeCell ref="B5348:C5348"/>
    <mergeCell ref="B5349:C5349"/>
    <mergeCell ref="B5350:C5350"/>
    <mergeCell ref="B5351:C5351"/>
    <mergeCell ref="B5352:C5352"/>
    <mergeCell ref="B5353:C5353"/>
    <mergeCell ref="B5354:C5354"/>
    <mergeCell ref="B5355:C5355"/>
    <mergeCell ref="B5356:C5356"/>
    <mergeCell ref="B5357:C5357"/>
    <mergeCell ref="B5358:C5358"/>
    <mergeCell ref="B5366:C5366"/>
    <mergeCell ref="B5367:C5367"/>
    <mergeCell ref="B5359:C5359"/>
    <mergeCell ref="B5360:C5360"/>
    <mergeCell ref="B5361:C5361"/>
    <mergeCell ref="B5362:C5362"/>
    <mergeCell ref="B5363:C5363"/>
    <mergeCell ref="B5364:C5364"/>
    <mergeCell ref="B5365:C5365"/>
    <mergeCell ref="B5296:C5296"/>
    <mergeCell ref="B5297:C5297"/>
    <mergeCell ref="B5298:C5298"/>
    <mergeCell ref="B5299:C5299"/>
    <mergeCell ref="B5300:C5300"/>
    <mergeCell ref="B5301:C5301"/>
    <mergeCell ref="B5302:C5302"/>
    <mergeCell ref="B5303:C5303"/>
    <mergeCell ref="B5304:C5304"/>
    <mergeCell ref="B5305:C5305"/>
    <mergeCell ref="B5306:C5306"/>
    <mergeCell ref="B5307:C5307"/>
    <mergeCell ref="B5308:C5308"/>
    <mergeCell ref="B5309:C5309"/>
    <mergeCell ref="B5310:C5310"/>
    <mergeCell ref="B5311:C5311"/>
    <mergeCell ref="B5312:C5312"/>
    <mergeCell ref="B5313:C5313"/>
    <mergeCell ref="B5314:C5314"/>
    <mergeCell ref="B5315:C5315"/>
    <mergeCell ref="B5316:C5316"/>
    <mergeCell ref="B5317:C5317"/>
    <mergeCell ref="B5318:C5318"/>
    <mergeCell ref="B5319:C5319"/>
    <mergeCell ref="B5320:C5320"/>
    <mergeCell ref="B5321:C5321"/>
    <mergeCell ref="B5322:C5322"/>
    <mergeCell ref="B5323:C5323"/>
    <mergeCell ref="B5324:C5324"/>
    <mergeCell ref="B5325:C5325"/>
    <mergeCell ref="B5326:C5326"/>
    <mergeCell ref="B5327:C5327"/>
    <mergeCell ref="B5328:C5328"/>
    <mergeCell ref="B5329:C5329"/>
    <mergeCell ref="B5330:C5330"/>
    <mergeCell ref="B5331:C5331"/>
    <mergeCell ref="B5332:C5332"/>
    <mergeCell ref="B5333:C5333"/>
    <mergeCell ref="B5334:C5334"/>
    <mergeCell ref="B5335:C5335"/>
    <mergeCell ref="B5336:C5336"/>
    <mergeCell ref="B5337:C5337"/>
    <mergeCell ref="B5338:C5338"/>
    <mergeCell ref="B5339:C5339"/>
    <mergeCell ref="B5340:C5340"/>
    <mergeCell ref="B5341:C5341"/>
    <mergeCell ref="B5342:C5342"/>
    <mergeCell ref="B5343:C5343"/>
    <mergeCell ref="B5344:C5344"/>
    <mergeCell ref="B4904:C4904"/>
    <mergeCell ref="B4905:C4905"/>
    <mergeCell ref="B4906:C4906"/>
    <mergeCell ref="B4907:C4907"/>
    <mergeCell ref="B4908:C4908"/>
    <mergeCell ref="B4909:C4909"/>
    <mergeCell ref="B4910:C4910"/>
    <mergeCell ref="B4911:C4911"/>
    <mergeCell ref="B4912:C4912"/>
    <mergeCell ref="B4913:C4913"/>
    <mergeCell ref="B4914:C4914"/>
    <mergeCell ref="B4915:C4915"/>
    <mergeCell ref="B4916:C4916"/>
    <mergeCell ref="B4917:C4917"/>
    <mergeCell ref="B4918:C4918"/>
    <mergeCell ref="B4919:C4919"/>
    <mergeCell ref="B4920:C4920"/>
    <mergeCell ref="B4921:C4921"/>
    <mergeCell ref="B4922:C4922"/>
    <mergeCell ref="B4923:C4923"/>
    <mergeCell ref="B4924:C4924"/>
    <mergeCell ref="B4925:C4925"/>
    <mergeCell ref="B4926:C4926"/>
    <mergeCell ref="B4927:C4927"/>
    <mergeCell ref="B4928:C4928"/>
    <mergeCell ref="B4929:C4929"/>
    <mergeCell ref="B4930:C4930"/>
    <mergeCell ref="B4931:C4931"/>
    <mergeCell ref="B4932:C4932"/>
    <mergeCell ref="B4933:C4933"/>
    <mergeCell ref="B4934:C4934"/>
    <mergeCell ref="B4935:C4935"/>
    <mergeCell ref="B4936:C4936"/>
    <mergeCell ref="B4937:C4937"/>
    <mergeCell ref="B4938:C4938"/>
    <mergeCell ref="B4939:C4939"/>
    <mergeCell ref="B4940:C4940"/>
    <mergeCell ref="B4941:C4941"/>
    <mergeCell ref="B4942:C4942"/>
    <mergeCell ref="B4943:C4943"/>
    <mergeCell ref="B4944:C4944"/>
    <mergeCell ref="B4945:C4945"/>
    <mergeCell ref="B4946:C4946"/>
    <mergeCell ref="B4947:C4947"/>
    <mergeCell ref="B4948:C4948"/>
    <mergeCell ref="B4949:C4949"/>
    <mergeCell ref="B4950:C4950"/>
    <mergeCell ref="B4951:C4951"/>
    <mergeCell ref="B4952:C4952"/>
    <mergeCell ref="B4953:C4953"/>
    <mergeCell ref="B4954:C4954"/>
    <mergeCell ref="B4955:C4955"/>
    <mergeCell ref="B4956:C4956"/>
    <mergeCell ref="B4957:C4957"/>
    <mergeCell ref="B4958:C4958"/>
    <mergeCell ref="B4959:C4959"/>
    <mergeCell ref="B4960:C4960"/>
    <mergeCell ref="B4961:C4961"/>
    <mergeCell ref="B4962:C4962"/>
    <mergeCell ref="B4963:C4963"/>
    <mergeCell ref="B4964:C4964"/>
    <mergeCell ref="B4965:C4965"/>
    <mergeCell ref="B4966:C4966"/>
    <mergeCell ref="B4967:C4967"/>
    <mergeCell ref="B4968:C4968"/>
    <mergeCell ref="B4969:C4969"/>
    <mergeCell ref="B4970:C4970"/>
    <mergeCell ref="B4971:C4971"/>
    <mergeCell ref="B4972:C4972"/>
    <mergeCell ref="B4973:C4973"/>
    <mergeCell ref="B4974:C4974"/>
    <mergeCell ref="B4975:C4975"/>
    <mergeCell ref="B4976:C4976"/>
    <mergeCell ref="B4977:C4977"/>
    <mergeCell ref="B4978:C4978"/>
    <mergeCell ref="B4979:C4979"/>
    <mergeCell ref="B4980:C4980"/>
    <mergeCell ref="B4981:C4981"/>
    <mergeCell ref="B4982:C4982"/>
    <mergeCell ref="B4983:C4983"/>
    <mergeCell ref="B4984:C4984"/>
    <mergeCell ref="B4985:C4985"/>
    <mergeCell ref="B4986:C4986"/>
    <mergeCell ref="B4987:C4987"/>
    <mergeCell ref="B4988:C4988"/>
    <mergeCell ref="B4989:C4989"/>
    <mergeCell ref="B4990:C4990"/>
    <mergeCell ref="B4991:C4991"/>
    <mergeCell ref="B4992:C4992"/>
    <mergeCell ref="B4993:C4993"/>
    <mergeCell ref="B4994:C4994"/>
    <mergeCell ref="B4995:C4995"/>
    <mergeCell ref="B4996:C4996"/>
    <mergeCell ref="B4997:C4997"/>
    <mergeCell ref="B4998:C4998"/>
    <mergeCell ref="B4999:C4999"/>
    <mergeCell ref="B5000:C5000"/>
    <mergeCell ref="B5001:C5001"/>
    <mergeCell ref="B5002:C5002"/>
    <mergeCell ref="B5003:C5003"/>
    <mergeCell ref="B5004:C5004"/>
    <mergeCell ref="B5005:C5005"/>
    <mergeCell ref="B5006:C5006"/>
    <mergeCell ref="B5007:C5007"/>
    <mergeCell ref="B5008:C5008"/>
    <mergeCell ref="B5009:C5009"/>
    <mergeCell ref="B5010:C5010"/>
    <mergeCell ref="B5011:C5011"/>
    <mergeCell ref="B5012:C5012"/>
    <mergeCell ref="B5013:C5013"/>
    <mergeCell ref="B5014:C5014"/>
    <mergeCell ref="B5015:C5015"/>
    <mergeCell ref="B5016:C5016"/>
    <mergeCell ref="B5017:C5017"/>
    <mergeCell ref="B5018:C5018"/>
    <mergeCell ref="B5019:C5019"/>
    <mergeCell ref="B5020:C5020"/>
    <mergeCell ref="B5021:C5021"/>
    <mergeCell ref="B5022:C5022"/>
    <mergeCell ref="B5023:C5023"/>
    <mergeCell ref="B5024:C5024"/>
    <mergeCell ref="B5025:C5025"/>
    <mergeCell ref="B5026:C5026"/>
    <mergeCell ref="B5027:C5027"/>
    <mergeCell ref="B5028:C5028"/>
    <mergeCell ref="B5029:C5029"/>
    <mergeCell ref="B5030:C5030"/>
    <mergeCell ref="B5031:C5031"/>
    <mergeCell ref="B5032:C5032"/>
    <mergeCell ref="B5033:C5033"/>
    <mergeCell ref="B5034:C5034"/>
    <mergeCell ref="B5035:C5035"/>
    <mergeCell ref="B5036:C5036"/>
    <mergeCell ref="B5037:C5037"/>
    <mergeCell ref="B5038:C5038"/>
    <mergeCell ref="B5039:C5039"/>
    <mergeCell ref="B5040:C5040"/>
    <mergeCell ref="B5041:C5041"/>
    <mergeCell ref="B5042:C5042"/>
    <mergeCell ref="B5043:C5043"/>
    <mergeCell ref="B5044:C5044"/>
    <mergeCell ref="B5045:C5045"/>
    <mergeCell ref="B5046:C5046"/>
    <mergeCell ref="B5047:C5047"/>
    <mergeCell ref="B5048:C5048"/>
    <mergeCell ref="B5049:C5049"/>
    <mergeCell ref="B5050:C5050"/>
    <mergeCell ref="B5051:C5051"/>
    <mergeCell ref="B5052:C5052"/>
    <mergeCell ref="B5053:C5053"/>
    <mergeCell ref="B5054:C5054"/>
    <mergeCell ref="B5055:C5055"/>
    <mergeCell ref="B5056:C5056"/>
    <mergeCell ref="B5057:C5057"/>
    <mergeCell ref="B5058:C5058"/>
    <mergeCell ref="B5059:C5059"/>
    <mergeCell ref="B5060:C5060"/>
    <mergeCell ref="B5061:C5061"/>
    <mergeCell ref="B5062:C5062"/>
    <mergeCell ref="B5063:C5063"/>
    <mergeCell ref="B5064:C5064"/>
    <mergeCell ref="B5065:C5065"/>
    <mergeCell ref="B5066:C5066"/>
    <mergeCell ref="B5067:C5067"/>
    <mergeCell ref="B5068:C5068"/>
    <mergeCell ref="B5069:C5069"/>
    <mergeCell ref="B5070:C5070"/>
    <mergeCell ref="B5071:C5071"/>
    <mergeCell ref="B5072:C5072"/>
    <mergeCell ref="B5073:C5073"/>
    <mergeCell ref="B5074:C5074"/>
    <mergeCell ref="B5075:C5075"/>
    <mergeCell ref="B5076:C5076"/>
    <mergeCell ref="B5077:C5077"/>
    <mergeCell ref="B5078:C5078"/>
    <mergeCell ref="B5079:C5079"/>
    <mergeCell ref="B5080:C5080"/>
    <mergeCell ref="B5081:C5081"/>
    <mergeCell ref="B5082:C5082"/>
    <mergeCell ref="B5083:C5083"/>
    <mergeCell ref="B5084:C5084"/>
    <mergeCell ref="B5085:C5085"/>
    <mergeCell ref="B5086:C5086"/>
    <mergeCell ref="B5087:C5087"/>
    <mergeCell ref="B5088:C5088"/>
    <mergeCell ref="B5089:C5089"/>
    <mergeCell ref="B5090:C5090"/>
    <mergeCell ref="B5091:C5091"/>
    <mergeCell ref="B5092:C5092"/>
    <mergeCell ref="B5093:C5093"/>
    <mergeCell ref="B5094:C5094"/>
    <mergeCell ref="B5095:C5095"/>
    <mergeCell ref="B5096:C5096"/>
    <mergeCell ref="B5097:C5097"/>
    <mergeCell ref="B5098:C5098"/>
    <mergeCell ref="B5099:C5099"/>
    <mergeCell ref="B5100:C5100"/>
    <mergeCell ref="B5101:C5101"/>
    <mergeCell ref="B5102:C5102"/>
    <mergeCell ref="B5103:C5103"/>
    <mergeCell ref="B5104:C5104"/>
    <mergeCell ref="B5105:C5105"/>
    <mergeCell ref="B5106:C5106"/>
    <mergeCell ref="B5107:C5107"/>
    <mergeCell ref="B5108:C5108"/>
    <mergeCell ref="B5109:C5109"/>
    <mergeCell ref="B5110:C5110"/>
    <mergeCell ref="B5111:C5111"/>
    <mergeCell ref="B5112:C5112"/>
    <mergeCell ref="B5113:C5113"/>
    <mergeCell ref="B5114:C5114"/>
    <mergeCell ref="B5115:C5115"/>
    <mergeCell ref="B5116:C5116"/>
    <mergeCell ref="B5117:C5117"/>
    <mergeCell ref="B5118:C5118"/>
    <mergeCell ref="B5119:C5119"/>
    <mergeCell ref="B5120:C5120"/>
    <mergeCell ref="B5121:C5121"/>
    <mergeCell ref="B5122:C5122"/>
    <mergeCell ref="B5123:C5123"/>
    <mergeCell ref="B5124:C5124"/>
    <mergeCell ref="B5125:C5125"/>
    <mergeCell ref="B5126:C5126"/>
    <mergeCell ref="B5127:C5127"/>
    <mergeCell ref="B5128:C5128"/>
    <mergeCell ref="B5129:C5129"/>
    <mergeCell ref="B5130:C5130"/>
    <mergeCell ref="B5131:C5131"/>
    <mergeCell ref="B5132:C5132"/>
    <mergeCell ref="B5133:C5133"/>
    <mergeCell ref="B5134:C5134"/>
    <mergeCell ref="B5135:C5135"/>
    <mergeCell ref="B5136:C5136"/>
    <mergeCell ref="B5137:C5137"/>
    <mergeCell ref="B5138:C5138"/>
    <mergeCell ref="B5139:C5139"/>
    <mergeCell ref="B5140:C5140"/>
    <mergeCell ref="B5141:C5141"/>
    <mergeCell ref="B5142:C5142"/>
    <mergeCell ref="B5143:C5143"/>
    <mergeCell ref="B5144:C5144"/>
    <mergeCell ref="B5145:C5145"/>
    <mergeCell ref="B5146:C5146"/>
    <mergeCell ref="B5147:C5147"/>
    <mergeCell ref="B5148:C5148"/>
    <mergeCell ref="B5149:C5149"/>
    <mergeCell ref="B5150:C5150"/>
    <mergeCell ref="B5151:C5151"/>
    <mergeCell ref="B5152:C5152"/>
    <mergeCell ref="B5153:C5153"/>
    <mergeCell ref="B5154:C5154"/>
    <mergeCell ref="B5155:C5155"/>
    <mergeCell ref="B5156:C5156"/>
    <mergeCell ref="B5157:C5157"/>
    <mergeCell ref="B5158:C5158"/>
    <mergeCell ref="B5159:C5159"/>
    <mergeCell ref="B5160:C5160"/>
    <mergeCell ref="B5161:C5161"/>
    <mergeCell ref="B5162:C5162"/>
    <mergeCell ref="B5163:C5163"/>
    <mergeCell ref="B5164:C5164"/>
    <mergeCell ref="B5165:C5165"/>
    <mergeCell ref="B5166:C5166"/>
    <mergeCell ref="B5167:C5167"/>
    <mergeCell ref="B5168:C5168"/>
    <mergeCell ref="B5169:C5169"/>
    <mergeCell ref="B5170:C5170"/>
    <mergeCell ref="B5171:C5171"/>
    <mergeCell ref="B5172:C5172"/>
    <mergeCell ref="B5173:C5173"/>
    <mergeCell ref="B5174:C5174"/>
    <mergeCell ref="B5175:C5175"/>
    <mergeCell ref="B5176:C5176"/>
    <mergeCell ref="B5177:C5177"/>
    <mergeCell ref="B5178:C5178"/>
    <mergeCell ref="B5179:C5179"/>
    <mergeCell ref="B5180:C5180"/>
    <mergeCell ref="B5181:C5181"/>
    <mergeCell ref="B5182:C5182"/>
    <mergeCell ref="B5183:C5183"/>
    <mergeCell ref="B5184:C5184"/>
    <mergeCell ref="B5185:C5185"/>
    <mergeCell ref="B5186:C5186"/>
    <mergeCell ref="B5187:C5187"/>
    <mergeCell ref="B5188:C5188"/>
    <mergeCell ref="B5189:C5189"/>
    <mergeCell ref="B5190:C5190"/>
    <mergeCell ref="B5191:C5191"/>
    <mergeCell ref="B5192:C5192"/>
    <mergeCell ref="B5193:C5193"/>
    <mergeCell ref="B5194:C5194"/>
    <mergeCell ref="B5195:C5195"/>
    <mergeCell ref="B5196:C5196"/>
    <mergeCell ref="B5197:C5197"/>
    <mergeCell ref="B5198:C5198"/>
    <mergeCell ref="B5199:C5199"/>
    <mergeCell ref="B5200:C5200"/>
    <mergeCell ref="B5201:C5201"/>
    <mergeCell ref="B5202:C5202"/>
    <mergeCell ref="B5203:C5203"/>
    <mergeCell ref="B5204:C5204"/>
    <mergeCell ref="B5205:C5205"/>
    <mergeCell ref="B5206:C5206"/>
    <mergeCell ref="B5207:C5207"/>
    <mergeCell ref="B5208:C5208"/>
    <mergeCell ref="B5209:C5209"/>
    <mergeCell ref="B5210:C5210"/>
    <mergeCell ref="B5211:C5211"/>
    <mergeCell ref="B5212:C5212"/>
    <mergeCell ref="B5213:C5213"/>
    <mergeCell ref="B5214:C5214"/>
    <mergeCell ref="B5215:C5215"/>
    <mergeCell ref="B5216:C5216"/>
    <mergeCell ref="B5217:C5217"/>
    <mergeCell ref="B5218:C5218"/>
    <mergeCell ref="B5219:C5219"/>
    <mergeCell ref="B5220:C5220"/>
    <mergeCell ref="B5221:C5221"/>
    <mergeCell ref="B5222:C5222"/>
    <mergeCell ref="B5223:C5223"/>
    <mergeCell ref="B5224:C5224"/>
    <mergeCell ref="B5225:C5225"/>
    <mergeCell ref="B5226:C5226"/>
    <mergeCell ref="B5227:C5227"/>
    <mergeCell ref="B5228:C5228"/>
    <mergeCell ref="B5229:C5229"/>
    <mergeCell ref="B5230:C5230"/>
    <mergeCell ref="B5231:C5231"/>
    <mergeCell ref="B5232:C5232"/>
    <mergeCell ref="B5233:C5233"/>
    <mergeCell ref="B5234:C5234"/>
    <mergeCell ref="B5235:C5235"/>
    <mergeCell ref="B5236:C5236"/>
    <mergeCell ref="B5237:C5237"/>
    <mergeCell ref="B5238:C5238"/>
    <mergeCell ref="B5239:C5239"/>
    <mergeCell ref="B5240:C5240"/>
    <mergeCell ref="B5241:C5241"/>
    <mergeCell ref="B5242:C5242"/>
    <mergeCell ref="B5243:C5243"/>
    <mergeCell ref="B5244:C5244"/>
    <mergeCell ref="B5245:C5245"/>
    <mergeCell ref="B5246:C5246"/>
    <mergeCell ref="B22:C22"/>
    <mergeCell ref="B23:C23"/>
    <mergeCell ref="B57:C57"/>
    <mergeCell ref="B61:C61"/>
    <mergeCell ref="B65:C65"/>
    <mergeCell ref="B66:C66"/>
    <mergeCell ref="B87:C87"/>
    <mergeCell ref="B304:C304"/>
    <mergeCell ref="B316:C316"/>
    <mergeCell ref="B325:C325"/>
    <mergeCell ref="B344:C344"/>
    <mergeCell ref="B350:C350"/>
    <mergeCell ref="B353:C353"/>
    <mergeCell ref="B361:C361"/>
    <mergeCell ref="B365:C365"/>
    <mergeCell ref="B367:C367"/>
    <mergeCell ref="B369:C369"/>
    <mergeCell ref="B373:C373"/>
    <mergeCell ref="B388:C388"/>
    <mergeCell ref="B396:C396"/>
    <mergeCell ref="B398:C398"/>
    <mergeCell ref="B400:C400"/>
    <mergeCell ref="B402:C402"/>
    <mergeCell ref="B405:C405"/>
    <mergeCell ref="B406:C406"/>
    <mergeCell ref="B407:C407"/>
    <mergeCell ref="B408:C408"/>
    <mergeCell ref="B409:C409"/>
    <mergeCell ref="B417:C417"/>
    <mergeCell ref="B425:C425"/>
    <mergeCell ref="B426:C426"/>
    <mergeCell ref="B430:C430"/>
    <mergeCell ref="B434:C434"/>
    <mergeCell ref="B435:C435"/>
    <mergeCell ref="B438:C438"/>
    <mergeCell ref="B441:C441"/>
    <mergeCell ref="B443:C443"/>
    <mergeCell ref="B444:C444"/>
    <mergeCell ref="B445:C445"/>
    <mergeCell ref="B447:C447"/>
    <mergeCell ref="B449:C449"/>
    <mergeCell ref="B450:C450"/>
    <mergeCell ref="B451:C451"/>
    <mergeCell ref="B452:C452"/>
    <mergeCell ref="B454:C454"/>
    <mergeCell ref="B455:C455"/>
    <mergeCell ref="B456:C456"/>
    <mergeCell ref="B459:C459"/>
    <mergeCell ref="B461:C461"/>
    <mergeCell ref="B465:C465"/>
    <mergeCell ref="B466:C466"/>
    <mergeCell ref="B467:C467"/>
    <mergeCell ref="B474:C474"/>
    <mergeCell ref="B475:C475"/>
    <mergeCell ref="B477:C477"/>
    <mergeCell ref="B479:C479"/>
    <mergeCell ref="B480:C480"/>
    <mergeCell ref="B481:C481"/>
    <mergeCell ref="B482:C482"/>
    <mergeCell ref="B485:C485"/>
    <mergeCell ref="B486:C486"/>
    <mergeCell ref="B487:C487"/>
    <mergeCell ref="B489:C489"/>
    <mergeCell ref="B490:C490"/>
    <mergeCell ref="B493:C493"/>
    <mergeCell ref="B496:C496"/>
    <mergeCell ref="B497:C497"/>
    <mergeCell ref="B498:C498"/>
    <mergeCell ref="B499:C499"/>
    <mergeCell ref="B500:C500"/>
    <mergeCell ref="B503:C503"/>
    <mergeCell ref="B504:C504"/>
    <mergeCell ref="B505:C505"/>
    <mergeCell ref="B506:C506"/>
    <mergeCell ref="B507:C507"/>
    <mergeCell ref="B510:C510"/>
    <mergeCell ref="B512:C512"/>
    <mergeCell ref="B513:C513"/>
    <mergeCell ref="B514:C514"/>
    <mergeCell ref="B516:C516"/>
    <mergeCell ref="B517:C517"/>
    <mergeCell ref="B518:C518"/>
    <mergeCell ref="B519:C519"/>
    <mergeCell ref="B522:C522"/>
    <mergeCell ref="B523:C523"/>
    <mergeCell ref="B524:C524"/>
    <mergeCell ref="B525:C525"/>
    <mergeCell ref="B526:C526"/>
    <mergeCell ref="B527:C527"/>
    <mergeCell ref="B528:C528"/>
    <mergeCell ref="B529:C529"/>
    <mergeCell ref="B530:C530"/>
    <mergeCell ref="B531:C531"/>
    <mergeCell ref="B532:C532"/>
    <mergeCell ref="B533:C533"/>
    <mergeCell ref="B534:C534"/>
    <mergeCell ref="B535:C535"/>
    <mergeCell ref="B536:C536"/>
    <mergeCell ref="B537:C537"/>
    <mergeCell ref="B538:C538"/>
    <mergeCell ref="B539:C539"/>
    <mergeCell ref="B540:C540"/>
    <mergeCell ref="B541:C541"/>
    <mergeCell ref="B542:C542"/>
    <mergeCell ref="B543:C543"/>
    <mergeCell ref="B544:C544"/>
    <mergeCell ref="B545:C545"/>
    <mergeCell ref="B546:C546"/>
    <mergeCell ref="B547:C547"/>
    <mergeCell ref="B548:C548"/>
    <mergeCell ref="B549:C549"/>
    <mergeCell ref="B550:C550"/>
    <mergeCell ref="B551:C551"/>
    <mergeCell ref="B552:C552"/>
    <mergeCell ref="B553:C553"/>
    <mergeCell ref="B554:C554"/>
    <mergeCell ref="B555:C555"/>
    <mergeCell ref="B556:C556"/>
    <mergeCell ref="B557:C557"/>
    <mergeCell ref="B558:C558"/>
    <mergeCell ref="B559:C559"/>
    <mergeCell ref="B560:C560"/>
    <mergeCell ref="B561:C561"/>
    <mergeCell ref="B562:C562"/>
    <mergeCell ref="B563:C563"/>
    <mergeCell ref="B564:C564"/>
    <mergeCell ref="B565:C565"/>
    <mergeCell ref="B566:C566"/>
    <mergeCell ref="B567:C567"/>
    <mergeCell ref="B568:C568"/>
    <mergeCell ref="B569:C569"/>
    <mergeCell ref="B570:C570"/>
    <mergeCell ref="B571:C571"/>
    <mergeCell ref="B572:C572"/>
    <mergeCell ref="B573:C573"/>
    <mergeCell ref="B574:C574"/>
    <mergeCell ref="B575:C575"/>
    <mergeCell ref="B576:C576"/>
    <mergeCell ref="B577:C577"/>
    <mergeCell ref="B578:C578"/>
    <mergeCell ref="B579:C579"/>
    <mergeCell ref="B580:C580"/>
    <mergeCell ref="B581:C581"/>
    <mergeCell ref="B582:C582"/>
    <mergeCell ref="B583:C583"/>
    <mergeCell ref="B584:C584"/>
    <mergeCell ref="B585:C585"/>
    <mergeCell ref="B586:C586"/>
    <mergeCell ref="B587:C587"/>
    <mergeCell ref="B588:C588"/>
    <mergeCell ref="B589:C589"/>
    <mergeCell ref="B590:C590"/>
    <mergeCell ref="B591:C591"/>
    <mergeCell ref="B592:C592"/>
    <mergeCell ref="B593:C593"/>
    <mergeCell ref="B594:C594"/>
    <mergeCell ref="B595:C595"/>
    <mergeCell ref="B596:C596"/>
    <mergeCell ref="B597:C597"/>
    <mergeCell ref="B598:C598"/>
    <mergeCell ref="B599:C599"/>
    <mergeCell ref="B600:C600"/>
    <mergeCell ref="B601:C601"/>
    <mergeCell ref="B602:C602"/>
    <mergeCell ref="B603:C603"/>
    <mergeCell ref="B604:C604"/>
    <mergeCell ref="B605:C605"/>
    <mergeCell ref="B606:C606"/>
    <mergeCell ref="B607:C607"/>
    <mergeCell ref="B608:C608"/>
    <mergeCell ref="B609:C609"/>
    <mergeCell ref="B610:C610"/>
    <mergeCell ref="B611:C611"/>
    <mergeCell ref="B612:C612"/>
    <mergeCell ref="B613:C613"/>
    <mergeCell ref="B614:C614"/>
    <mergeCell ref="B615:C615"/>
    <mergeCell ref="B616:C616"/>
    <mergeCell ref="B617:C617"/>
    <mergeCell ref="B618:C618"/>
    <mergeCell ref="B619:C619"/>
    <mergeCell ref="B620:C620"/>
    <mergeCell ref="B621:C621"/>
    <mergeCell ref="B622:C622"/>
    <mergeCell ref="B623:C623"/>
    <mergeCell ref="B624:C624"/>
    <mergeCell ref="B625:C625"/>
    <mergeCell ref="B626:C626"/>
    <mergeCell ref="B627:C627"/>
    <mergeCell ref="B628:C628"/>
    <mergeCell ref="B629:C629"/>
    <mergeCell ref="B630:C630"/>
    <mergeCell ref="B631:C631"/>
    <mergeCell ref="B632:C632"/>
    <mergeCell ref="B633:C633"/>
    <mergeCell ref="B634:C634"/>
    <mergeCell ref="B635:C635"/>
    <mergeCell ref="B636:C636"/>
    <mergeCell ref="B637:C637"/>
    <mergeCell ref="B638:C638"/>
    <mergeCell ref="B639:C639"/>
    <mergeCell ref="B640:C640"/>
    <mergeCell ref="B641:C641"/>
    <mergeCell ref="B642:C642"/>
    <mergeCell ref="B643:C643"/>
    <mergeCell ref="B644:C644"/>
    <mergeCell ref="B645:C645"/>
    <mergeCell ref="B646:C646"/>
    <mergeCell ref="B647:C647"/>
    <mergeCell ref="B648:C648"/>
    <mergeCell ref="B649:C649"/>
    <mergeCell ref="B650:C650"/>
    <mergeCell ref="B651:C651"/>
    <mergeCell ref="B652:C652"/>
    <mergeCell ref="B653:C653"/>
    <mergeCell ref="B654:C654"/>
    <mergeCell ref="B655:C655"/>
    <mergeCell ref="B656:C656"/>
    <mergeCell ref="B657:C657"/>
    <mergeCell ref="B658:C658"/>
    <mergeCell ref="B659:C659"/>
    <mergeCell ref="B660:C660"/>
    <mergeCell ref="B661:C661"/>
    <mergeCell ref="B662:C662"/>
    <mergeCell ref="B663:C663"/>
    <mergeCell ref="B664:C664"/>
    <mergeCell ref="B665:C665"/>
    <mergeCell ref="B666:C666"/>
    <mergeCell ref="B667:C667"/>
    <mergeCell ref="B668:C668"/>
    <mergeCell ref="B669:C669"/>
    <mergeCell ref="B670:C670"/>
    <mergeCell ref="B671:C671"/>
    <mergeCell ref="B672:C672"/>
    <mergeCell ref="B673:C673"/>
    <mergeCell ref="B674:C674"/>
    <mergeCell ref="B675:C675"/>
    <mergeCell ref="B676:C676"/>
    <mergeCell ref="B677:C677"/>
    <mergeCell ref="B678:C678"/>
    <mergeCell ref="B679:C679"/>
    <mergeCell ref="B680:C680"/>
    <mergeCell ref="B681:C681"/>
    <mergeCell ref="B682:C682"/>
    <mergeCell ref="B683:C683"/>
    <mergeCell ref="B684:C684"/>
    <mergeCell ref="B685:C685"/>
    <mergeCell ref="B686:C686"/>
    <mergeCell ref="B687:C687"/>
    <mergeCell ref="B688:C688"/>
    <mergeCell ref="B689:C689"/>
    <mergeCell ref="B690:C690"/>
    <mergeCell ref="B691:C691"/>
    <mergeCell ref="B692:C692"/>
    <mergeCell ref="B693:C693"/>
    <mergeCell ref="B694:C694"/>
    <mergeCell ref="B695:C695"/>
    <mergeCell ref="B696:C696"/>
    <mergeCell ref="B697:C697"/>
    <mergeCell ref="B698:C698"/>
    <mergeCell ref="B699:C699"/>
    <mergeCell ref="B700:C700"/>
    <mergeCell ref="B701:C701"/>
    <mergeCell ref="B702:C702"/>
    <mergeCell ref="B703:C703"/>
    <mergeCell ref="B704:C704"/>
    <mergeCell ref="B705:C705"/>
    <mergeCell ref="B706:C706"/>
    <mergeCell ref="B707:C707"/>
    <mergeCell ref="B708:C708"/>
    <mergeCell ref="B709:C709"/>
    <mergeCell ref="B710:C710"/>
    <mergeCell ref="B711:C711"/>
    <mergeCell ref="B712:C712"/>
    <mergeCell ref="B713:C713"/>
    <mergeCell ref="B714:C714"/>
    <mergeCell ref="B715:C715"/>
    <mergeCell ref="B716:C716"/>
    <mergeCell ref="B717:C717"/>
    <mergeCell ref="B718:C718"/>
    <mergeCell ref="B719:C719"/>
    <mergeCell ref="B720:C720"/>
    <mergeCell ref="B721:C721"/>
    <mergeCell ref="B722:C722"/>
    <mergeCell ref="B723:C723"/>
    <mergeCell ref="B724:C724"/>
    <mergeCell ref="B725:C725"/>
    <mergeCell ref="B726:C726"/>
    <mergeCell ref="B727:C727"/>
    <mergeCell ref="B728:C728"/>
    <mergeCell ref="B729:C729"/>
    <mergeCell ref="B730:C730"/>
    <mergeCell ref="B731:C731"/>
    <mergeCell ref="B732:C732"/>
    <mergeCell ref="B733:C733"/>
    <mergeCell ref="B734:C734"/>
    <mergeCell ref="B735:C735"/>
    <mergeCell ref="B736:C736"/>
    <mergeCell ref="B737:C737"/>
    <mergeCell ref="B738:C738"/>
    <mergeCell ref="B739:C739"/>
    <mergeCell ref="B740:C740"/>
    <mergeCell ref="B741:C741"/>
    <mergeCell ref="B742:C742"/>
    <mergeCell ref="B743:C743"/>
    <mergeCell ref="B744:C744"/>
    <mergeCell ref="B745:C745"/>
    <mergeCell ref="B746:C746"/>
    <mergeCell ref="B747:C747"/>
    <mergeCell ref="B748:C748"/>
    <mergeCell ref="B749:C749"/>
    <mergeCell ref="B750:C750"/>
    <mergeCell ref="B751:C751"/>
    <mergeCell ref="B752:C752"/>
    <mergeCell ref="B753:C753"/>
    <mergeCell ref="B754:C754"/>
    <mergeCell ref="B755:C755"/>
    <mergeCell ref="B756:C756"/>
    <mergeCell ref="B757:C757"/>
    <mergeCell ref="B758:C758"/>
    <mergeCell ref="B759:C759"/>
    <mergeCell ref="B760:C760"/>
    <mergeCell ref="B761:C761"/>
    <mergeCell ref="B762:C762"/>
    <mergeCell ref="B763:C763"/>
    <mergeCell ref="B764:C764"/>
    <mergeCell ref="B765:C765"/>
    <mergeCell ref="B766:C766"/>
    <mergeCell ref="B767:C767"/>
    <mergeCell ref="B768:C768"/>
    <mergeCell ref="B769:C769"/>
    <mergeCell ref="B770:C770"/>
    <mergeCell ref="B771:C771"/>
    <mergeCell ref="B772:C772"/>
    <mergeCell ref="B773:C773"/>
    <mergeCell ref="B774:C774"/>
    <mergeCell ref="B775:C775"/>
    <mergeCell ref="B776:C776"/>
    <mergeCell ref="B777:C777"/>
    <mergeCell ref="B778:C778"/>
    <mergeCell ref="B779:C779"/>
    <mergeCell ref="B780:C780"/>
    <mergeCell ref="B781:C781"/>
    <mergeCell ref="B782:C782"/>
    <mergeCell ref="B783:C783"/>
    <mergeCell ref="B784:C784"/>
    <mergeCell ref="B785:C785"/>
    <mergeCell ref="B786:C786"/>
    <mergeCell ref="B787:C787"/>
    <mergeCell ref="B788:C788"/>
    <mergeCell ref="B789:C789"/>
    <mergeCell ref="B790:C790"/>
    <mergeCell ref="B791:C791"/>
    <mergeCell ref="B792:C792"/>
    <mergeCell ref="B793:C793"/>
    <mergeCell ref="B794:C794"/>
    <mergeCell ref="B795:C795"/>
    <mergeCell ref="B796:C796"/>
    <mergeCell ref="B797:C797"/>
    <mergeCell ref="B798:C798"/>
    <mergeCell ref="B799:C799"/>
    <mergeCell ref="B800:C800"/>
    <mergeCell ref="B801:C801"/>
    <mergeCell ref="B802:C802"/>
    <mergeCell ref="B803:C803"/>
    <mergeCell ref="B804:C804"/>
    <mergeCell ref="B805:C805"/>
    <mergeCell ref="B806:C806"/>
    <mergeCell ref="B807:C807"/>
    <mergeCell ref="B808:C808"/>
    <mergeCell ref="B809:C809"/>
    <mergeCell ref="B810:C810"/>
    <mergeCell ref="B811:C811"/>
    <mergeCell ref="B812:C812"/>
    <mergeCell ref="B813:C813"/>
    <mergeCell ref="B814:C814"/>
    <mergeCell ref="B815:C815"/>
    <mergeCell ref="B816:C816"/>
    <mergeCell ref="B817:C817"/>
    <mergeCell ref="B818:C818"/>
    <mergeCell ref="B819:C819"/>
    <mergeCell ref="B820:C820"/>
    <mergeCell ref="B821:C821"/>
    <mergeCell ref="B822:C822"/>
    <mergeCell ref="B823:C823"/>
    <mergeCell ref="B824:C824"/>
    <mergeCell ref="B825:C825"/>
    <mergeCell ref="B826:C826"/>
    <mergeCell ref="B827:C827"/>
    <mergeCell ref="B828:C828"/>
    <mergeCell ref="B829:C829"/>
    <mergeCell ref="B830:C830"/>
    <mergeCell ref="B831:C831"/>
    <mergeCell ref="B832:C832"/>
    <mergeCell ref="B833:C833"/>
    <mergeCell ref="B834:C834"/>
    <mergeCell ref="B835:C835"/>
    <mergeCell ref="B836:C836"/>
    <mergeCell ref="B837:C837"/>
    <mergeCell ref="B838:C838"/>
    <mergeCell ref="B839:C839"/>
    <mergeCell ref="B840:C840"/>
    <mergeCell ref="B841:C841"/>
    <mergeCell ref="B842:C842"/>
    <mergeCell ref="B843:C843"/>
    <mergeCell ref="B844:C844"/>
    <mergeCell ref="B845:C845"/>
    <mergeCell ref="B846:C846"/>
    <mergeCell ref="B847:C847"/>
    <mergeCell ref="B848:C848"/>
    <mergeCell ref="B849:C849"/>
    <mergeCell ref="B850:C850"/>
    <mergeCell ref="B851:C851"/>
    <mergeCell ref="B852:C852"/>
    <mergeCell ref="B853:C853"/>
    <mergeCell ref="B854:C854"/>
    <mergeCell ref="B855:C855"/>
    <mergeCell ref="B856:C856"/>
    <mergeCell ref="B857:C857"/>
    <mergeCell ref="B858:C858"/>
    <mergeCell ref="B859:C859"/>
    <mergeCell ref="B860:C860"/>
    <mergeCell ref="B861:C861"/>
    <mergeCell ref="B862:C862"/>
    <mergeCell ref="B863:C863"/>
    <mergeCell ref="B864:C864"/>
    <mergeCell ref="B865:C865"/>
    <mergeCell ref="B866:C866"/>
    <mergeCell ref="B867:C867"/>
    <mergeCell ref="B868:C868"/>
    <mergeCell ref="B869:C869"/>
    <mergeCell ref="B870:C870"/>
    <mergeCell ref="B871:C871"/>
    <mergeCell ref="B872:C872"/>
    <mergeCell ref="B873:C873"/>
    <mergeCell ref="B874:C874"/>
    <mergeCell ref="B875:C875"/>
    <mergeCell ref="B876:C876"/>
    <mergeCell ref="B877:C877"/>
    <mergeCell ref="B878:C878"/>
    <mergeCell ref="B879:C879"/>
    <mergeCell ref="B880:C880"/>
    <mergeCell ref="B881:C881"/>
    <mergeCell ref="B882:C882"/>
    <mergeCell ref="B883:C883"/>
    <mergeCell ref="B884:C884"/>
    <mergeCell ref="B885:C885"/>
    <mergeCell ref="B886:C886"/>
    <mergeCell ref="B887:C887"/>
    <mergeCell ref="B888:C888"/>
    <mergeCell ref="B889:C889"/>
    <mergeCell ref="B890:C890"/>
    <mergeCell ref="B891:C891"/>
    <mergeCell ref="B892:C892"/>
    <mergeCell ref="B893:C893"/>
    <mergeCell ref="B894:C894"/>
    <mergeCell ref="B895:C895"/>
    <mergeCell ref="B896:C896"/>
    <mergeCell ref="B897:C897"/>
    <mergeCell ref="B898:C898"/>
    <mergeCell ref="B899:C899"/>
    <mergeCell ref="B900:C900"/>
    <mergeCell ref="B901:C901"/>
    <mergeCell ref="B902:C902"/>
    <mergeCell ref="B903:C903"/>
    <mergeCell ref="B904:C904"/>
    <mergeCell ref="B905:C905"/>
    <mergeCell ref="B906:C906"/>
    <mergeCell ref="B907:C907"/>
    <mergeCell ref="B908:C908"/>
    <mergeCell ref="B909:C909"/>
    <mergeCell ref="B910:C910"/>
    <mergeCell ref="B911:C911"/>
    <mergeCell ref="B912:C912"/>
    <mergeCell ref="B913:C913"/>
    <mergeCell ref="B914:C914"/>
    <mergeCell ref="B915:C915"/>
    <mergeCell ref="B916:C916"/>
    <mergeCell ref="B917:C917"/>
    <mergeCell ref="B918:C918"/>
    <mergeCell ref="B919:C919"/>
    <mergeCell ref="B920:C920"/>
    <mergeCell ref="B921:C921"/>
    <mergeCell ref="B922:C922"/>
    <mergeCell ref="B923:C923"/>
    <mergeCell ref="B924:C924"/>
    <mergeCell ref="B925:C925"/>
    <mergeCell ref="B926:C926"/>
    <mergeCell ref="B927:C927"/>
    <mergeCell ref="B928:C928"/>
    <mergeCell ref="B929:C929"/>
    <mergeCell ref="B930:C930"/>
    <mergeCell ref="B931:C931"/>
    <mergeCell ref="B932:C932"/>
    <mergeCell ref="B933:C933"/>
    <mergeCell ref="B934:C934"/>
    <mergeCell ref="B935:C935"/>
    <mergeCell ref="B936:C936"/>
    <mergeCell ref="B937:C937"/>
    <mergeCell ref="B938:C938"/>
    <mergeCell ref="B939:C939"/>
    <mergeCell ref="B940:C940"/>
    <mergeCell ref="B941:C941"/>
    <mergeCell ref="B942:C942"/>
    <mergeCell ref="B943:C943"/>
    <mergeCell ref="B944:C944"/>
    <mergeCell ref="B945:C945"/>
    <mergeCell ref="B946:C946"/>
    <mergeCell ref="B947:C947"/>
    <mergeCell ref="B948:C948"/>
    <mergeCell ref="B949:C949"/>
    <mergeCell ref="B950:C950"/>
    <mergeCell ref="B951:C951"/>
    <mergeCell ref="B952:C952"/>
    <mergeCell ref="B953:C953"/>
    <mergeCell ref="B954:C954"/>
    <mergeCell ref="B955:C955"/>
    <mergeCell ref="B956:C956"/>
    <mergeCell ref="B957:C957"/>
    <mergeCell ref="B958:C958"/>
    <mergeCell ref="B959:C959"/>
    <mergeCell ref="B960:C960"/>
    <mergeCell ref="B961:C961"/>
    <mergeCell ref="B962:C962"/>
    <mergeCell ref="B963:C963"/>
    <mergeCell ref="B964:C964"/>
    <mergeCell ref="B965:C965"/>
    <mergeCell ref="B966:C966"/>
    <mergeCell ref="B967:C967"/>
    <mergeCell ref="B968:C968"/>
    <mergeCell ref="B969:C969"/>
    <mergeCell ref="B970:C970"/>
    <mergeCell ref="B971:C971"/>
    <mergeCell ref="B972:C972"/>
    <mergeCell ref="B973:C973"/>
    <mergeCell ref="B974:C974"/>
    <mergeCell ref="B975:C975"/>
    <mergeCell ref="B976:C976"/>
    <mergeCell ref="B977:C977"/>
    <mergeCell ref="B978:C978"/>
    <mergeCell ref="B979:C979"/>
    <mergeCell ref="B980:C980"/>
    <mergeCell ref="B981:C981"/>
    <mergeCell ref="B982:C982"/>
    <mergeCell ref="B983:C983"/>
    <mergeCell ref="B984:C984"/>
    <mergeCell ref="B985:C985"/>
    <mergeCell ref="B986:C986"/>
    <mergeCell ref="B987:C987"/>
    <mergeCell ref="B988:C988"/>
    <mergeCell ref="B989:C989"/>
    <mergeCell ref="B990:C990"/>
    <mergeCell ref="B991:C991"/>
    <mergeCell ref="B992:C992"/>
    <mergeCell ref="B993:C993"/>
    <mergeCell ref="B994:C994"/>
    <mergeCell ref="B995:C995"/>
    <mergeCell ref="B996:C996"/>
    <mergeCell ref="B997:C997"/>
    <mergeCell ref="B998:C998"/>
    <mergeCell ref="B999:C999"/>
    <mergeCell ref="B1000:C1000"/>
    <mergeCell ref="B1001:C1001"/>
    <mergeCell ref="B1002:C1002"/>
    <mergeCell ref="B1003:C1003"/>
    <mergeCell ref="B1004:C1004"/>
    <mergeCell ref="B1005:C1005"/>
    <mergeCell ref="B1006:C1006"/>
    <mergeCell ref="B1007:C1007"/>
    <mergeCell ref="B1008:C1008"/>
    <mergeCell ref="B1009:C1009"/>
    <mergeCell ref="B1010:C1010"/>
    <mergeCell ref="B1011:C1011"/>
    <mergeCell ref="B1012:C1012"/>
    <mergeCell ref="B1013:C1013"/>
    <mergeCell ref="B1014:C1014"/>
    <mergeCell ref="B1015:C1015"/>
    <mergeCell ref="B1016:C1016"/>
    <mergeCell ref="B1017:C1017"/>
    <mergeCell ref="B1018:C1018"/>
    <mergeCell ref="B1019:C1019"/>
    <mergeCell ref="B1020:C1020"/>
    <mergeCell ref="B1021:C1021"/>
    <mergeCell ref="B1022:C1022"/>
    <mergeCell ref="B1023:C1023"/>
    <mergeCell ref="B1024:C1024"/>
    <mergeCell ref="B1025:C1025"/>
    <mergeCell ref="B1026:C1026"/>
    <mergeCell ref="B1027:C1027"/>
    <mergeCell ref="B1028:C1028"/>
    <mergeCell ref="B1029:C1029"/>
    <mergeCell ref="B1030:C1030"/>
    <mergeCell ref="B1031:C1031"/>
    <mergeCell ref="B1032:C1032"/>
    <mergeCell ref="B1033:C1033"/>
    <mergeCell ref="B1034:C1034"/>
    <mergeCell ref="B1035:C1035"/>
    <mergeCell ref="B1036:C1036"/>
    <mergeCell ref="B1037:C1037"/>
    <mergeCell ref="B1038:C1038"/>
    <mergeCell ref="B1039:C1039"/>
    <mergeCell ref="B1040:C1040"/>
    <mergeCell ref="B1041:C1041"/>
    <mergeCell ref="B1042:C1042"/>
    <mergeCell ref="B1043:C1043"/>
    <mergeCell ref="B1044:C1044"/>
    <mergeCell ref="B1045:C1045"/>
    <mergeCell ref="B1046:C1046"/>
    <mergeCell ref="B1047:C1047"/>
    <mergeCell ref="B1048:C1048"/>
    <mergeCell ref="B1049:C1049"/>
    <mergeCell ref="B1050:C1050"/>
    <mergeCell ref="B1051:C1051"/>
    <mergeCell ref="B1052:C1052"/>
    <mergeCell ref="B1053:C1053"/>
    <mergeCell ref="B1054:C1054"/>
    <mergeCell ref="B1055:C1055"/>
    <mergeCell ref="B1056:C1056"/>
    <mergeCell ref="B1057:C1057"/>
    <mergeCell ref="B1058:C1058"/>
    <mergeCell ref="B1059:C1059"/>
    <mergeCell ref="B1060:C1060"/>
    <mergeCell ref="B1061:C1061"/>
    <mergeCell ref="B1062:C1062"/>
    <mergeCell ref="B1063:C1063"/>
    <mergeCell ref="B1064:C1064"/>
    <mergeCell ref="B1065:C1065"/>
    <mergeCell ref="B1066:C1066"/>
    <mergeCell ref="B1067:C1067"/>
    <mergeCell ref="B1068:C1068"/>
    <mergeCell ref="B1069:C1069"/>
    <mergeCell ref="B1070:C1070"/>
    <mergeCell ref="B1071:C1071"/>
    <mergeCell ref="B1072:C1072"/>
    <mergeCell ref="B1073:C1073"/>
    <mergeCell ref="B1074:C1074"/>
    <mergeCell ref="B1075:C1075"/>
    <mergeCell ref="B1076:C1076"/>
    <mergeCell ref="B1077:C1077"/>
    <mergeCell ref="B1078:C1078"/>
    <mergeCell ref="B1079:C1079"/>
    <mergeCell ref="B1080:C1080"/>
    <mergeCell ref="B1081:C1081"/>
    <mergeCell ref="B1082:C1082"/>
    <mergeCell ref="B1083:C1083"/>
    <mergeCell ref="B1084:C1084"/>
    <mergeCell ref="B1085:C1085"/>
    <mergeCell ref="B1086:C1086"/>
    <mergeCell ref="B1087:C1087"/>
    <mergeCell ref="B1088:C1088"/>
    <mergeCell ref="B1089:C1089"/>
    <mergeCell ref="B1090:C1090"/>
    <mergeCell ref="B1091:C1091"/>
    <mergeCell ref="B1092:C1092"/>
    <mergeCell ref="B1093:C1093"/>
    <mergeCell ref="B1094:C1094"/>
    <mergeCell ref="B1095:C1095"/>
    <mergeCell ref="B1096:C1096"/>
    <mergeCell ref="B1097:C1097"/>
    <mergeCell ref="B1098:C1098"/>
    <mergeCell ref="B1099:C1099"/>
    <mergeCell ref="B1100:C1100"/>
    <mergeCell ref="B1101:C1101"/>
    <mergeCell ref="B1102:C1102"/>
    <mergeCell ref="B1103:C1103"/>
    <mergeCell ref="B1104:C1104"/>
    <mergeCell ref="B1105:C1105"/>
    <mergeCell ref="B1106:C1106"/>
    <mergeCell ref="B1107:C1107"/>
    <mergeCell ref="B1108:C1108"/>
    <mergeCell ref="B1109:C1109"/>
    <mergeCell ref="B1110:C1110"/>
    <mergeCell ref="B1111:C1111"/>
    <mergeCell ref="B1112:C1112"/>
    <mergeCell ref="B1113:C1113"/>
    <mergeCell ref="B1114:C1114"/>
    <mergeCell ref="B1115:C1115"/>
    <mergeCell ref="B1116:C1116"/>
    <mergeCell ref="B1117:C1117"/>
    <mergeCell ref="B1118:C1118"/>
    <mergeCell ref="B1119:C1119"/>
    <mergeCell ref="B1120:C1120"/>
    <mergeCell ref="B1121:C1121"/>
    <mergeCell ref="B1122:C1122"/>
    <mergeCell ref="B1123:C1123"/>
    <mergeCell ref="B1124:C1124"/>
    <mergeCell ref="B1125:C1125"/>
    <mergeCell ref="B1126:C1126"/>
    <mergeCell ref="B1127:C1127"/>
    <mergeCell ref="B1128:C1128"/>
    <mergeCell ref="B1129:C1129"/>
    <mergeCell ref="B1130:C1130"/>
    <mergeCell ref="B1131:C1131"/>
    <mergeCell ref="B1132:C1132"/>
    <mergeCell ref="B1133:C1133"/>
    <mergeCell ref="B1134:C1134"/>
    <mergeCell ref="B1135:C1135"/>
    <mergeCell ref="B1136:C1136"/>
    <mergeCell ref="B1137:C1137"/>
    <mergeCell ref="B1138:C1138"/>
    <mergeCell ref="B1139:C1139"/>
    <mergeCell ref="B1140:C1140"/>
    <mergeCell ref="B1141:C1141"/>
    <mergeCell ref="B1142:C1142"/>
    <mergeCell ref="B1143:C1143"/>
    <mergeCell ref="B1144:C1144"/>
    <mergeCell ref="B1145:C1145"/>
    <mergeCell ref="B1146:C1146"/>
    <mergeCell ref="B1147:C1147"/>
    <mergeCell ref="B1148:C1148"/>
    <mergeCell ref="B1149:C1149"/>
    <mergeCell ref="B1150:C1150"/>
    <mergeCell ref="B1151:C1151"/>
    <mergeCell ref="B1152:C1152"/>
    <mergeCell ref="B1153:C1153"/>
    <mergeCell ref="B1154:C1154"/>
    <mergeCell ref="B1155:C1155"/>
    <mergeCell ref="B1156:C1156"/>
    <mergeCell ref="B1157:C1157"/>
    <mergeCell ref="B1158:C1158"/>
    <mergeCell ref="B1159:C1159"/>
    <mergeCell ref="B1160:C1160"/>
    <mergeCell ref="B1161:C1161"/>
    <mergeCell ref="B1162:C1162"/>
    <mergeCell ref="B1163:C1163"/>
    <mergeCell ref="B1164:C1164"/>
    <mergeCell ref="B1165:C1165"/>
    <mergeCell ref="B1166:C1166"/>
    <mergeCell ref="B1167:C1167"/>
    <mergeCell ref="B1168:C1168"/>
    <mergeCell ref="B1169:C1169"/>
    <mergeCell ref="B1170:C1170"/>
    <mergeCell ref="B1171:C1171"/>
    <mergeCell ref="B1172:C1172"/>
    <mergeCell ref="B1173:C1173"/>
    <mergeCell ref="B1174:C1174"/>
    <mergeCell ref="B1175:C1175"/>
    <mergeCell ref="B1176:C1176"/>
    <mergeCell ref="B1177:C1177"/>
    <mergeCell ref="B1178:C1178"/>
    <mergeCell ref="B1179:C1179"/>
    <mergeCell ref="B1180:C1180"/>
    <mergeCell ref="B1181:C1181"/>
    <mergeCell ref="B1182:C1182"/>
    <mergeCell ref="B1183:C1183"/>
    <mergeCell ref="B1184:C1184"/>
    <mergeCell ref="B1185:C1185"/>
    <mergeCell ref="B1186:C1186"/>
    <mergeCell ref="B1187:C1187"/>
    <mergeCell ref="B1188:C1188"/>
    <mergeCell ref="B1189:C1189"/>
    <mergeCell ref="B1190:C1190"/>
    <mergeCell ref="B1191:C1191"/>
    <mergeCell ref="B1192:C1192"/>
    <mergeCell ref="B1193:C1193"/>
    <mergeCell ref="B1194:C1194"/>
    <mergeCell ref="B1195:C1195"/>
    <mergeCell ref="B1196:C1196"/>
    <mergeCell ref="B1197:C1197"/>
    <mergeCell ref="B1198:C1198"/>
    <mergeCell ref="B1199:C1199"/>
    <mergeCell ref="B1200:C1200"/>
    <mergeCell ref="B1201:C1201"/>
    <mergeCell ref="B1202:C1202"/>
    <mergeCell ref="B1203:C1203"/>
    <mergeCell ref="B1204:C1204"/>
    <mergeCell ref="B1205:C1205"/>
    <mergeCell ref="B1206:C1206"/>
    <mergeCell ref="B1207:C1207"/>
    <mergeCell ref="B1208:C1208"/>
    <mergeCell ref="B1209:C1209"/>
    <mergeCell ref="B1210:C1210"/>
    <mergeCell ref="B1211:C1211"/>
    <mergeCell ref="B1212:C1212"/>
    <mergeCell ref="B1213:C1213"/>
    <mergeCell ref="B1214:C1214"/>
    <mergeCell ref="B1215:C1215"/>
    <mergeCell ref="B1216:C1216"/>
    <mergeCell ref="B1217:C1217"/>
    <mergeCell ref="B1218:C1218"/>
    <mergeCell ref="B1219:C1219"/>
    <mergeCell ref="B1220:C1220"/>
    <mergeCell ref="B1221:C1221"/>
    <mergeCell ref="B1222:C1222"/>
    <mergeCell ref="B1223:C1223"/>
    <mergeCell ref="B1224:C1224"/>
    <mergeCell ref="B1225:C1225"/>
    <mergeCell ref="B1226:C1226"/>
    <mergeCell ref="B1227:C1227"/>
    <mergeCell ref="B1228:C1228"/>
    <mergeCell ref="B1229:C1229"/>
    <mergeCell ref="B1230:C1230"/>
    <mergeCell ref="B1231:C1231"/>
    <mergeCell ref="B1232:C1232"/>
    <mergeCell ref="B1233:C1233"/>
    <mergeCell ref="B1234:C1234"/>
    <mergeCell ref="B1235:C1235"/>
    <mergeCell ref="B1236:C1236"/>
    <mergeCell ref="B1237:C1237"/>
    <mergeCell ref="B1238:C1238"/>
    <mergeCell ref="B1239:C1239"/>
    <mergeCell ref="B1240:C1240"/>
    <mergeCell ref="B1241:C1241"/>
    <mergeCell ref="B1242:C1242"/>
    <mergeCell ref="B1243:C1243"/>
    <mergeCell ref="B1244:C1244"/>
    <mergeCell ref="B1245:C1245"/>
    <mergeCell ref="B1246:C1246"/>
    <mergeCell ref="B1247:C1247"/>
    <mergeCell ref="B1248:C1248"/>
    <mergeCell ref="B1249:C1249"/>
    <mergeCell ref="B1250:C1250"/>
    <mergeCell ref="B1251:C1251"/>
    <mergeCell ref="B1252:C1252"/>
    <mergeCell ref="B1253:C1253"/>
    <mergeCell ref="B1254:C1254"/>
    <mergeCell ref="B1255:C1255"/>
    <mergeCell ref="B1256:C1256"/>
    <mergeCell ref="B1257:C1257"/>
    <mergeCell ref="B1258:C1258"/>
    <mergeCell ref="B1259:C1259"/>
    <mergeCell ref="B1260:C1260"/>
    <mergeCell ref="B1261:C1261"/>
    <mergeCell ref="B1262:C1262"/>
    <mergeCell ref="B1263:C1263"/>
    <mergeCell ref="B1264:C1264"/>
    <mergeCell ref="B1265:C1265"/>
    <mergeCell ref="B1266:C1266"/>
    <mergeCell ref="B1267:C1267"/>
    <mergeCell ref="B1268:C1268"/>
    <mergeCell ref="B1269:C1269"/>
    <mergeCell ref="B1270:C1270"/>
    <mergeCell ref="B1271:C1271"/>
    <mergeCell ref="B1272:C1272"/>
    <mergeCell ref="B1273:C1273"/>
    <mergeCell ref="B1274:C1274"/>
    <mergeCell ref="B1275:C1275"/>
    <mergeCell ref="B1276:C1276"/>
    <mergeCell ref="B1277:C1277"/>
    <mergeCell ref="B1278:C1278"/>
    <mergeCell ref="B1279:C1279"/>
    <mergeCell ref="B1280:C1280"/>
    <mergeCell ref="B1281:C1281"/>
    <mergeCell ref="B1282:C1282"/>
    <mergeCell ref="B1283:C1283"/>
    <mergeCell ref="B1284:C1284"/>
    <mergeCell ref="B1285:C1285"/>
    <mergeCell ref="B1286:C1286"/>
    <mergeCell ref="B1287:C1287"/>
    <mergeCell ref="B1288:C1288"/>
    <mergeCell ref="B1289:C1289"/>
    <mergeCell ref="B1290:C1290"/>
    <mergeCell ref="B1291:C1291"/>
    <mergeCell ref="B1292:C1292"/>
    <mergeCell ref="B1293:C1293"/>
    <mergeCell ref="B1294:C1294"/>
    <mergeCell ref="B1295:C1295"/>
    <mergeCell ref="B1296:C1296"/>
    <mergeCell ref="B1297:C1297"/>
    <mergeCell ref="B1298:C1298"/>
    <mergeCell ref="B1299:C1299"/>
    <mergeCell ref="B1300:C1300"/>
    <mergeCell ref="B1301:C1301"/>
    <mergeCell ref="B1302:C1302"/>
    <mergeCell ref="B1303:C1303"/>
    <mergeCell ref="B1304:C1304"/>
    <mergeCell ref="B1305:C1305"/>
    <mergeCell ref="B1306:C1306"/>
    <mergeCell ref="B1307:C1307"/>
    <mergeCell ref="B1308:C1308"/>
    <mergeCell ref="B1309:C1309"/>
    <mergeCell ref="B1310:C1310"/>
    <mergeCell ref="B1311:C1311"/>
    <mergeCell ref="B1312:C1312"/>
    <mergeCell ref="B1313:C1313"/>
    <mergeCell ref="B1314:C1314"/>
    <mergeCell ref="B1315:C1315"/>
    <mergeCell ref="B1316:C1316"/>
    <mergeCell ref="B1317:C1317"/>
    <mergeCell ref="B1318:C1318"/>
    <mergeCell ref="B1319:C1319"/>
    <mergeCell ref="B1320:C1320"/>
    <mergeCell ref="B1321:C1321"/>
    <mergeCell ref="B1322:C1322"/>
    <mergeCell ref="B1323:C1323"/>
    <mergeCell ref="B1324:C1324"/>
    <mergeCell ref="B1325:C1325"/>
    <mergeCell ref="B1326:C1326"/>
    <mergeCell ref="B1327:C1327"/>
    <mergeCell ref="B1328:C1328"/>
    <mergeCell ref="B1329:C1329"/>
    <mergeCell ref="B1330:C1330"/>
    <mergeCell ref="B1331:C1331"/>
    <mergeCell ref="B1332:C1332"/>
    <mergeCell ref="B1333:C1333"/>
    <mergeCell ref="B1334:C1334"/>
    <mergeCell ref="B1335:C1335"/>
    <mergeCell ref="B1336:C1336"/>
    <mergeCell ref="B1337:C1337"/>
    <mergeCell ref="B1338:C1338"/>
    <mergeCell ref="B1339:C1339"/>
    <mergeCell ref="B1340:C1340"/>
    <mergeCell ref="B1341:C1341"/>
    <mergeCell ref="B1342:C1342"/>
    <mergeCell ref="B1343:C1343"/>
    <mergeCell ref="B1344:C1344"/>
    <mergeCell ref="B1345:C1345"/>
    <mergeCell ref="B1346:C1346"/>
    <mergeCell ref="B1347:C1347"/>
    <mergeCell ref="B1348:C1348"/>
    <mergeCell ref="B1349:C1349"/>
    <mergeCell ref="B1350:C1350"/>
    <mergeCell ref="B1351:C1351"/>
    <mergeCell ref="B1352:C1352"/>
    <mergeCell ref="B1353:C1353"/>
    <mergeCell ref="B1354:C1354"/>
    <mergeCell ref="B1355:C1355"/>
    <mergeCell ref="B1356:C1356"/>
    <mergeCell ref="B1357:C1357"/>
    <mergeCell ref="B1358:C1358"/>
    <mergeCell ref="B1359:C1359"/>
    <mergeCell ref="B1360:C1360"/>
    <mergeCell ref="B1361:C1361"/>
    <mergeCell ref="B1362:C1362"/>
    <mergeCell ref="B1363:C1363"/>
    <mergeCell ref="B1364:C1364"/>
    <mergeCell ref="B1365:C1365"/>
    <mergeCell ref="B1366:C1366"/>
    <mergeCell ref="B1367:C1367"/>
    <mergeCell ref="B1368:C1368"/>
    <mergeCell ref="B1369:C1369"/>
    <mergeCell ref="B1370:C1370"/>
    <mergeCell ref="B1371:C1371"/>
    <mergeCell ref="B1372:C1372"/>
    <mergeCell ref="B1373:C1373"/>
    <mergeCell ref="B1374:C1374"/>
    <mergeCell ref="B1375:C1375"/>
    <mergeCell ref="B1376:C1376"/>
    <mergeCell ref="B1377:C1377"/>
    <mergeCell ref="B1378:C1378"/>
    <mergeCell ref="B1379:C1379"/>
    <mergeCell ref="B1380:C1380"/>
    <mergeCell ref="B1381:C1381"/>
    <mergeCell ref="B1382:C1382"/>
    <mergeCell ref="B1383:C1383"/>
    <mergeCell ref="B1384:C1384"/>
    <mergeCell ref="B1385:C1385"/>
    <mergeCell ref="B1386:C1386"/>
    <mergeCell ref="B1387:C1387"/>
    <mergeCell ref="B1388:C1388"/>
    <mergeCell ref="B1389:C1389"/>
    <mergeCell ref="B1390:C1390"/>
    <mergeCell ref="B1391:C1391"/>
    <mergeCell ref="B1392:C1392"/>
    <mergeCell ref="B1393:C1393"/>
    <mergeCell ref="B1394:C1394"/>
    <mergeCell ref="B1395:C1395"/>
    <mergeCell ref="B1396:C1396"/>
    <mergeCell ref="B1397:C1397"/>
    <mergeCell ref="B1398:C1398"/>
    <mergeCell ref="B1399:C1399"/>
    <mergeCell ref="B1400:C1400"/>
    <mergeCell ref="B1401:C1401"/>
    <mergeCell ref="B1402:C1402"/>
    <mergeCell ref="B1403:C1403"/>
    <mergeCell ref="B1404:C1404"/>
    <mergeCell ref="B1405:C1405"/>
    <mergeCell ref="B1406:C1406"/>
    <mergeCell ref="B1407:C1407"/>
    <mergeCell ref="B1408:C1408"/>
    <mergeCell ref="B1409:C1409"/>
    <mergeCell ref="B1410:C1410"/>
    <mergeCell ref="B1411:C1411"/>
    <mergeCell ref="B1412:C1412"/>
    <mergeCell ref="B1413:C1413"/>
    <mergeCell ref="B1414:C1414"/>
    <mergeCell ref="B1415:C1415"/>
    <mergeCell ref="B1416:C1416"/>
    <mergeCell ref="B1417:C1417"/>
    <mergeCell ref="B1418:C1418"/>
    <mergeCell ref="B1419:C1419"/>
    <mergeCell ref="B1420:C1420"/>
    <mergeCell ref="B1421:C1421"/>
    <mergeCell ref="B1422:C1422"/>
    <mergeCell ref="B1423:C1423"/>
    <mergeCell ref="B1424:C1424"/>
    <mergeCell ref="B1425:C1425"/>
    <mergeCell ref="B1426:C1426"/>
    <mergeCell ref="B1427:C1427"/>
    <mergeCell ref="B1428:C1428"/>
    <mergeCell ref="B1429:C1429"/>
    <mergeCell ref="B1430:C1430"/>
    <mergeCell ref="B1431:C1431"/>
    <mergeCell ref="B1432:C1432"/>
    <mergeCell ref="B1433:C1433"/>
    <mergeCell ref="B1434:C1434"/>
    <mergeCell ref="B1435:C1435"/>
    <mergeCell ref="B1436:C1436"/>
    <mergeCell ref="B1437:C1437"/>
    <mergeCell ref="B1438:C1438"/>
    <mergeCell ref="B1439:C1439"/>
    <mergeCell ref="B1440:C1440"/>
    <mergeCell ref="B1441:C1441"/>
    <mergeCell ref="B1442:C1442"/>
    <mergeCell ref="B1443:C1443"/>
    <mergeCell ref="B1444:C1444"/>
    <mergeCell ref="B1445:C1445"/>
    <mergeCell ref="B1446:C1446"/>
    <mergeCell ref="B1447:C1447"/>
    <mergeCell ref="B1448:C1448"/>
    <mergeCell ref="B1449:C1449"/>
    <mergeCell ref="B1450:C1450"/>
    <mergeCell ref="B1451:C1451"/>
    <mergeCell ref="B1452:C1452"/>
    <mergeCell ref="B1453:C1453"/>
    <mergeCell ref="B1454:C1454"/>
    <mergeCell ref="B1455:C1455"/>
    <mergeCell ref="B1456:C1456"/>
    <mergeCell ref="B1457:C1457"/>
    <mergeCell ref="B1458:C1458"/>
    <mergeCell ref="B1459:C1459"/>
    <mergeCell ref="B1460:C1460"/>
    <mergeCell ref="B1461:C1461"/>
    <mergeCell ref="B1462:C1462"/>
    <mergeCell ref="B1463:C1463"/>
    <mergeCell ref="B1464:C1464"/>
    <mergeCell ref="B1465:C1465"/>
    <mergeCell ref="B1466:C1466"/>
    <mergeCell ref="B1467:C1467"/>
    <mergeCell ref="B1468:C1468"/>
    <mergeCell ref="B1469:C1469"/>
    <mergeCell ref="B1470:C1470"/>
    <mergeCell ref="B1471:C1471"/>
    <mergeCell ref="B1472:C1472"/>
    <mergeCell ref="B1473:C1473"/>
    <mergeCell ref="B1474:C1474"/>
    <mergeCell ref="B1475:C1475"/>
    <mergeCell ref="B1476:C1476"/>
    <mergeCell ref="B1477:C1477"/>
    <mergeCell ref="B1478:C1478"/>
    <mergeCell ref="B1479:C1479"/>
    <mergeCell ref="B1480:C1480"/>
    <mergeCell ref="B1481:C1481"/>
    <mergeCell ref="B1482:C1482"/>
    <mergeCell ref="B1483:C1483"/>
    <mergeCell ref="B1484:C1484"/>
    <mergeCell ref="B1485:C1485"/>
    <mergeCell ref="B1486:C1486"/>
    <mergeCell ref="B1487:C1487"/>
    <mergeCell ref="B1488:C1488"/>
    <mergeCell ref="B1489:C1489"/>
    <mergeCell ref="B1490:C1490"/>
    <mergeCell ref="B1491:C1491"/>
    <mergeCell ref="B1492:C1492"/>
    <mergeCell ref="B1493:C1493"/>
    <mergeCell ref="B1494:C1494"/>
    <mergeCell ref="B1495:C1495"/>
    <mergeCell ref="B1496:C1496"/>
    <mergeCell ref="B1497:C1497"/>
    <mergeCell ref="B1498:C1498"/>
    <mergeCell ref="B1499:C1499"/>
    <mergeCell ref="B1500:C1500"/>
    <mergeCell ref="B1501:C1501"/>
    <mergeCell ref="B1502:C1502"/>
    <mergeCell ref="B1503:C1503"/>
    <mergeCell ref="B1504:C1504"/>
    <mergeCell ref="B1505:C1505"/>
    <mergeCell ref="B1506:C1506"/>
    <mergeCell ref="B1507:C1507"/>
    <mergeCell ref="B1508:C1508"/>
    <mergeCell ref="B1509:C1509"/>
    <mergeCell ref="B1510:C1510"/>
    <mergeCell ref="B1511:C1511"/>
    <mergeCell ref="B1512:C1512"/>
    <mergeCell ref="B1513:C1513"/>
    <mergeCell ref="B1514:C1514"/>
    <mergeCell ref="B1515:C1515"/>
    <mergeCell ref="B1516:C1516"/>
    <mergeCell ref="B1517:C1517"/>
    <mergeCell ref="B1518:C1518"/>
    <mergeCell ref="B1519:C1519"/>
    <mergeCell ref="B1520:C1520"/>
    <mergeCell ref="B1521:C1521"/>
    <mergeCell ref="B1522:C1522"/>
    <mergeCell ref="B1523:C1523"/>
    <mergeCell ref="B1524:C1524"/>
    <mergeCell ref="B1525:C1525"/>
    <mergeCell ref="B1526:C1526"/>
    <mergeCell ref="B1527:C1527"/>
    <mergeCell ref="B1528:C1528"/>
    <mergeCell ref="B1529:C1529"/>
    <mergeCell ref="B1530:C1530"/>
    <mergeCell ref="B1531:C1531"/>
    <mergeCell ref="B1532:C1532"/>
    <mergeCell ref="B1533:C1533"/>
    <mergeCell ref="B1534:C1534"/>
    <mergeCell ref="B1535:C1535"/>
    <mergeCell ref="B1536:C1536"/>
    <mergeCell ref="B1537:C1537"/>
    <mergeCell ref="B1538:C1538"/>
    <mergeCell ref="B1539:C1539"/>
    <mergeCell ref="B1540:C1540"/>
    <mergeCell ref="B1541:C1541"/>
    <mergeCell ref="B1542:C1542"/>
    <mergeCell ref="B1543:C1543"/>
    <mergeCell ref="B1544:C1544"/>
    <mergeCell ref="B1545:C1545"/>
    <mergeCell ref="B1546:C1546"/>
    <mergeCell ref="B1547:C1547"/>
    <mergeCell ref="B1548:C1548"/>
    <mergeCell ref="B1549:C1549"/>
    <mergeCell ref="B1550:C1550"/>
    <mergeCell ref="B1551:C1551"/>
    <mergeCell ref="B1552:C1552"/>
    <mergeCell ref="B1553:C1553"/>
    <mergeCell ref="B1554:C1554"/>
    <mergeCell ref="B1555:C1555"/>
    <mergeCell ref="B1556:C1556"/>
    <mergeCell ref="B1557:C1557"/>
    <mergeCell ref="B1558:C1558"/>
    <mergeCell ref="B1559:C1559"/>
    <mergeCell ref="B1560:C1560"/>
    <mergeCell ref="B1561:C1561"/>
    <mergeCell ref="B1562:C1562"/>
    <mergeCell ref="B1563:C1563"/>
    <mergeCell ref="B1564:C1564"/>
    <mergeCell ref="B1565:C1565"/>
    <mergeCell ref="B1566:C1566"/>
    <mergeCell ref="B1567:C1567"/>
    <mergeCell ref="B1568:C1568"/>
    <mergeCell ref="B1569:C1569"/>
    <mergeCell ref="B1570:C1570"/>
    <mergeCell ref="B1571:C1571"/>
    <mergeCell ref="B1572:C1572"/>
    <mergeCell ref="B1573:C1573"/>
    <mergeCell ref="B1574:C1574"/>
    <mergeCell ref="B1575:C1575"/>
    <mergeCell ref="B1576:C1576"/>
    <mergeCell ref="B1577:C1577"/>
    <mergeCell ref="B1578:C1578"/>
    <mergeCell ref="B1579:C1579"/>
    <mergeCell ref="B1580:C1580"/>
    <mergeCell ref="B1581:C1581"/>
    <mergeCell ref="B1582:C1582"/>
    <mergeCell ref="B1583:C1583"/>
    <mergeCell ref="B1584:C1584"/>
    <mergeCell ref="B1585:C1585"/>
    <mergeCell ref="B1586:C1586"/>
    <mergeCell ref="B1587:C1587"/>
    <mergeCell ref="B1588:C1588"/>
    <mergeCell ref="B1589:C1589"/>
    <mergeCell ref="B1590:C1590"/>
    <mergeCell ref="B1591:C1591"/>
    <mergeCell ref="B1592:C1592"/>
    <mergeCell ref="B1593:C1593"/>
    <mergeCell ref="B1594:C1594"/>
    <mergeCell ref="B1595:C1595"/>
    <mergeCell ref="B1596:C1596"/>
    <mergeCell ref="B1597:C1597"/>
    <mergeCell ref="B1598:C1598"/>
    <mergeCell ref="B1599:C1599"/>
    <mergeCell ref="B1600:C1600"/>
    <mergeCell ref="B1601:C1601"/>
    <mergeCell ref="B1602:C1602"/>
    <mergeCell ref="B1603:C1603"/>
    <mergeCell ref="B1604:C1604"/>
    <mergeCell ref="B1605:C1605"/>
    <mergeCell ref="B1606:C1606"/>
    <mergeCell ref="B1607:C1607"/>
    <mergeCell ref="B1608:C1608"/>
    <mergeCell ref="B1609:C1609"/>
    <mergeCell ref="B1610:C1610"/>
    <mergeCell ref="B1611:C1611"/>
    <mergeCell ref="B1612:C1612"/>
    <mergeCell ref="B1613:C1613"/>
    <mergeCell ref="B1614:C1614"/>
    <mergeCell ref="B1615:C1615"/>
    <mergeCell ref="B1616:C1616"/>
    <mergeCell ref="B1617:C1617"/>
    <mergeCell ref="B1618:C1618"/>
    <mergeCell ref="B1619:C1619"/>
    <mergeCell ref="B1620:C1620"/>
    <mergeCell ref="B1621:C1621"/>
    <mergeCell ref="B1622:C1622"/>
    <mergeCell ref="B1623:C1623"/>
    <mergeCell ref="B1624:C1624"/>
    <mergeCell ref="B1625:C1625"/>
    <mergeCell ref="B1626:C1626"/>
    <mergeCell ref="B1627:C1627"/>
    <mergeCell ref="B1628:C1628"/>
    <mergeCell ref="B1629:C1629"/>
    <mergeCell ref="B1630:C1630"/>
    <mergeCell ref="B1631:C1631"/>
    <mergeCell ref="B1632:C1632"/>
    <mergeCell ref="B1633:C1633"/>
    <mergeCell ref="B1634:C1634"/>
    <mergeCell ref="B1635:C1635"/>
    <mergeCell ref="B1636:C1636"/>
    <mergeCell ref="B1637:C1637"/>
    <mergeCell ref="B1638:C1638"/>
    <mergeCell ref="B1639:C1639"/>
    <mergeCell ref="B1640:C1640"/>
    <mergeCell ref="B1641:C1641"/>
    <mergeCell ref="B1642:C1642"/>
    <mergeCell ref="B1643:C1643"/>
    <mergeCell ref="B1644:C1644"/>
    <mergeCell ref="B1645:C1645"/>
    <mergeCell ref="B1646:C1646"/>
    <mergeCell ref="B1647:C1647"/>
    <mergeCell ref="B1648:C1648"/>
    <mergeCell ref="B1649:C1649"/>
    <mergeCell ref="B1650:C1650"/>
    <mergeCell ref="B1651:C1651"/>
    <mergeCell ref="B1652:C1652"/>
    <mergeCell ref="B1653:C1653"/>
    <mergeCell ref="B1654:C1654"/>
    <mergeCell ref="B1655:C1655"/>
    <mergeCell ref="B1656:C1656"/>
    <mergeCell ref="B1657:C1657"/>
    <mergeCell ref="B1658:C1658"/>
    <mergeCell ref="B1659:C1659"/>
    <mergeCell ref="B1660:C1660"/>
    <mergeCell ref="B1661:C1661"/>
    <mergeCell ref="B1662:C1662"/>
    <mergeCell ref="B1663:C1663"/>
    <mergeCell ref="B1664:C1664"/>
    <mergeCell ref="B1665:C1665"/>
    <mergeCell ref="B1666:C1666"/>
    <mergeCell ref="B1667:C1667"/>
    <mergeCell ref="B1668:C1668"/>
    <mergeCell ref="B1669:C1669"/>
    <mergeCell ref="B1670:C1670"/>
    <mergeCell ref="B1671:C1671"/>
    <mergeCell ref="B1672:C1672"/>
    <mergeCell ref="B1673:C1673"/>
    <mergeCell ref="B1674:C1674"/>
    <mergeCell ref="B1675:C1675"/>
    <mergeCell ref="B1676:C1676"/>
    <mergeCell ref="B1677:C1677"/>
    <mergeCell ref="B1678:C1678"/>
    <mergeCell ref="B1679:C1679"/>
    <mergeCell ref="B1680:C1680"/>
    <mergeCell ref="B1681:C1681"/>
    <mergeCell ref="B1682:C1682"/>
    <mergeCell ref="B1683:C1683"/>
    <mergeCell ref="B1684:C1684"/>
    <mergeCell ref="B1685:C1685"/>
    <mergeCell ref="B1686:C1686"/>
    <mergeCell ref="B1687:C1687"/>
    <mergeCell ref="B1688:C1688"/>
    <mergeCell ref="B1689:C1689"/>
    <mergeCell ref="B1690:C1690"/>
    <mergeCell ref="B1691:C1691"/>
    <mergeCell ref="B1692:C1692"/>
    <mergeCell ref="B1693:C1693"/>
    <mergeCell ref="B1694:C1694"/>
    <mergeCell ref="B1695:C1695"/>
    <mergeCell ref="B1696:C1696"/>
    <mergeCell ref="B1697:C1697"/>
    <mergeCell ref="B1698:C1698"/>
    <mergeCell ref="B1699:C1699"/>
    <mergeCell ref="B1700:C1700"/>
    <mergeCell ref="B1701:C1701"/>
    <mergeCell ref="B1702:C1702"/>
    <mergeCell ref="B1703:C1703"/>
    <mergeCell ref="B1704:C1704"/>
    <mergeCell ref="B1705:C1705"/>
    <mergeCell ref="B1706:C1706"/>
    <mergeCell ref="B1707:C1707"/>
    <mergeCell ref="B1708:C1708"/>
    <mergeCell ref="B1709:C1709"/>
    <mergeCell ref="B1710:C1710"/>
    <mergeCell ref="B1711:C1711"/>
    <mergeCell ref="B1712:C1712"/>
    <mergeCell ref="B1713:C1713"/>
    <mergeCell ref="B1714:C1714"/>
    <mergeCell ref="B1715:C1715"/>
    <mergeCell ref="B1716:C1716"/>
    <mergeCell ref="B1717:C1717"/>
    <mergeCell ref="B1718:C1718"/>
    <mergeCell ref="B1719:C1719"/>
    <mergeCell ref="B1720:C1720"/>
    <mergeCell ref="B1721:C1721"/>
    <mergeCell ref="B1722:C1722"/>
    <mergeCell ref="B1723:C1723"/>
    <mergeCell ref="B1724:C1724"/>
    <mergeCell ref="B1725:C1725"/>
    <mergeCell ref="B1726:C1726"/>
    <mergeCell ref="B1727:C1727"/>
    <mergeCell ref="B1728:C1728"/>
    <mergeCell ref="B1729:C1729"/>
    <mergeCell ref="B1730:C1730"/>
    <mergeCell ref="B1731:C1731"/>
    <mergeCell ref="B1732:C1732"/>
    <mergeCell ref="B1733:C1733"/>
    <mergeCell ref="B1734:C1734"/>
    <mergeCell ref="B1735:C1735"/>
    <mergeCell ref="B1736:C1736"/>
    <mergeCell ref="B1737:C1737"/>
    <mergeCell ref="B1738:C1738"/>
    <mergeCell ref="B1739:C1739"/>
    <mergeCell ref="B1740:C1740"/>
    <mergeCell ref="B1741:C1741"/>
    <mergeCell ref="B1742:C1742"/>
    <mergeCell ref="B1743:C1743"/>
    <mergeCell ref="B1744:C1744"/>
    <mergeCell ref="B1745:C1745"/>
    <mergeCell ref="B1746:C1746"/>
    <mergeCell ref="B1747:C1747"/>
    <mergeCell ref="B1748:C1748"/>
    <mergeCell ref="B1749:C1749"/>
    <mergeCell ref="B1750:C1750"/>
    <mergeCell ref="B1751:C1751"/>
    <mergeCell ref="B1752:C1752"/>
    <mergeCell ref="B1753:C1753"/>
    <mergeCell ref="B1754:C1754"/>
    <mergeCell ref="B1755:C1755"/>
    <mergeCell ref="B1756:C1756"/>
    <mergeCell ref="B1757:C1757"/>
    <mergeCell ref="B1758:C1758"/>
    <mergeCell ref="B1759:C1759"/>
    <mergeCell ref="B1760:C1760"/>
    <mergeCell ref="B1761:C1761"/>
    <mergeCell ref="B1762:C1762"/>
    <mergeCell ref="B1763:C1763"/>
    <mergeCell ref="B1764:C1764"/>
    <mergeCell ref="B1765:C1765"/>
    <mergeCell ref="B1766:C1766"/>
    <mergeCell ref="B1767:C1767"/>
    <mergeCell ref="B1768:C1768"/>
    <mergeCell ref="B1769:C1769"/>
    <mergeCell ref="B1770:C1770"/>
    <mergeCell ref="B1771:C1771"/>
    <mergeCell ref="B1772:C1772"/>
    <mergeCell ref="B1773:C1773"/>
    <mergeCell ref="B1774:C1774"/>
    <mergeCell ref="B1775:C1775"/>
    <mergeCell ref="B1776:C1776"/>
    <mergeCell ref="B1777:C1777"/>
    <mergeCell ref="B1778:C1778"/>
    <mergeCell ref="B1779:C1779"/>
    <mergeCell ref="B1780:C1780"/>
    <mergeCell ref="B1781:C1781"/>
    <mergeCell ref="B1782:C1782"/>
    <mergeCell ref="B1783:C1783"/>
    <mergeCell ref="B1784:C1784"/>
    <mergeCell ref="B1785:C1785"/>
    <mergeCell ref="B1786:C1786"/>
    <mergeCell ref="B1787:C1787"/>
    <mergeCell ref="B1788:C1788"/>
    <mergeCell ref="B1789:C1789"/>
    <mergeCell ref="B1790:C1790"/>
    <mergeCell ref="B1791:C1791"/>
    <mergeCell ref="B1792:C1792"/>
    <mergeCell ref="B1793:C1793"/>
    <mergeCell ref="B1794:C1794"/>
    <mergeCell ref="B1795:C1795"/>
    <mergeCell ref="B1796:C1796"/>
    <mergeCell ref="B1797:C1797"/>
    <mergeCell ref="B1798:C1798"/>
    <mergeCell ref="B1799:C1799"/>
    <mergeCell ref="B1800:C1800"/>
    <mergeCell ref="B1801:C1801"/>
    <mergeCell ref="B1802:C1802"/>
    <mergeCell ref="B1803:C1803"/>
    <mergeCell ref="B1804:C1804"/>
    <mergeCell ref="B1805:C1805"/>
    <mergeCell ref="B1812:C1812"/>
    <mergeCell ref="B1813:C1813"/>
    <mergeCell ref="B1814:C1814"/>
    <mergeCell ref="B1815:C1815"/>
    <mergeCell ref="B1816:C1816"/>
    <mergeCell ref="B1817:C1817"/>
    <mergeCell ref="B1818:C1818"/>
    <mergeCell ref="B1819:C1819"/>
    <mergeCell ref="B1820:C1820"/>
    <mergeCell ref="B1821:C1821"/>
    <mergeCell ref="B1822:C1822"/>
    <mergeCell ref="B1823:C1823"/>
    <mergeCell ref="B1824:C1824"/>
    <mergeCell ref="B1825:C1825"/>
    <mergeCell ref="B1826:C1826"/>
    <mergeCell ref="B1827:C1827"/>
    <mergeCell ref="B1828:C1828"/>
    <mergeCell ref="B1829:C1829"/>
    <mergeCell ref="B1830:C1830"/>
    <mergeCell ref="B1831:C1831"/>
    <mergeCell ref="B1832:C1832"/>
    <mergeCell ref="B1833:C1833"/>
    <mergeCell ref="B1834:C1834"/>
    <mergeCell ref="B1835:C1835"/>
    <mergeCell ref="B1836:C1836"/>
    <mergeCell ref="B1837:C1837"/>
    <mergeCell ref="B1838:C1838"/>
    <mergeCell ref="B1839:C1839"/>
    <mergeCell ref="B1840:C1840"/>
    <mergeCell ref="B1841:C1841"/>
    <mergeCell ref="B1842:C1842"/>
    <mergeCell ref="B1843:C1843"/>
    <mergeCell ref="B1844:C1844"/>
    <mergeCell ref="B1845:C1845"/>
    <mergeCell ref="B1846:C1846"/>
    <mergeCell ref="B1847:C1847"/>
    <mergeCell ref="B1848:C1848"/>
    <mergeCell ref="B1849:C1849"/>
    <mergeCell ref="B1850:C1850"/>
    <mergeCell ref="B1851:C1851"/>
    <mergeCell ref="B1852:C1852"/>
    <mergeCell ref="B1853:C1853"/>
    <mergeCell ref="B1854:C1854"/>
    <mergeCell ref="B1855:C1855"/>
    <mergeCell ref="B1856:C1856"/>
    <mergeCell ref="B1857:C1857"/>
    <mergeCell ref="B1858:C1858"/>
    <mergeCell ref="B1859:C1859"/>
    <mergeCell ref="B1860:C1860"/>
    <mergeCell ref="B1861:C1861"/>
    <mergeCell ref="B1862:C1862"/>
    <mergeCell ref="B1863:C1863"/>
    <mergeCell ref="B1864:C1864"/>
    <mergeCell ref="B1865:C1865"/>
    <mergeCell ref="B1866:C1866"/>
    <mergeCell ref="B1867:C1867"/>
    <mergeCell ref="B1868:C1868"/>
    <mergeCell ref="B1869:C1869"/>
    <mergeCell ref="B1870:C1870"/>
    <mergeCell ref="B1871:C1871"/>
    <mergeCell ref="B1872:C1872"/>
    <mergeCell ref="B1873:C1873"/>
    <mergeCell ref="B1874:C1874"/>
    <mergeCell ref="B1875:C1875"/>
    <mergeCell ref="B1876:C1876"/>
    <mergeCell ref="B1877:C1877"/>
    <mergeCell ref="B1878:C1878"/>
    <mergeCell ref="B1879:C1879"/>
    <mergeCell ref="B1880:C1880"/>
    <mergeCell ref="B1881:C1881"/>
    <mergeCell ref="B1882:C1882"/>
    <mergeCell ref="B1883:C1883"/>
    <mergeCell ref="B1884:C1884"/>
    <mergeCell ref="B1885:C1885"/>
    <mergeCell ref="B1886:C1886"/>
    <mergeCell ref="B1887:C1887"/>
    <mergeCell ref="B1888:C1888"/>
    <mergeCell ref="B1889:C1889"/>
    <mergeCell ref="B1890:C1890"/>
    <mergeCell ref="B1891:C1891"/>
    <mergeCell ref="B1892:C1892"/>
    <mergeCell ref="B1893:C1893"/>
    <mergeCell ref="B1894:C1894"/>
    <mergeCell ref="B1895:C1895"/>
    <mergeCell ref="B1896:C1896"/>
    <mergeCell ref="B1897:C1897"/>
    <mergeCell ref="B1898:C1898"/>
    <mergeCell ref="B1899:C1899"/>
    <mergeCell ref="B1900:C1900"/>
    <mergeCell ref="B1901:C1901"/>
    <mergeCell ref="B1902:C1902"/>
    <mergeCell ref="B1903:C1903"/>
    <mergeCell ref="B1904:C1904"/>
    <mergeCell ref="B1905:C1905"/>
    <mergeCell ref="B1906:C1906"/>
    <mergeCell ref="B1907:C1907"/>
    <mergeCell ref="B1908:C1908"/>
    <mergeCell ref="B1909:C1909"/>
    <mergeCell ref="B1910:C1910"/>
    <mergeCell ref="B1911:C1911"/>
    <mergeCell ref="B1912:C1912"/>
    <mergeCell ref="B1913:C1913"/>
    <mergeCell ref="B1914:C1914"/>
    <mergeCell ref="B1915:C1915"/>
    <mergeCell ref="B1916:C1916"/>
    <mergeCell ref="B1917:C1917"/>
    <mergeCell ref="B1918:C1918"/>
    <mergeCell ref="B1919:C1919"/>
    <mergeCell ref="B1920:C1920"/>
    <mergeCell ref="B1921:C1921"/>
    <mergeCell ref="B1922:C1922"/>
    <mergeCell ref="B1923:C1923"/>
    <mergeCell ref="B1924:C1924"/>
    <mergeCell ref="B1925:C1925"/>
    <mergeCell ref="B1926:C1926"/>
    <mergeCell ref="B1927:C1927"/>
    <mergeCell ref="B1928:C1928"/>
    <mergeCell ref="B1929:C1929"/>
    <mergeCell ref="B1930:C1930"/>
    <mergeCell ref="B1931:C1931"/>
    <mergeCell ref="B1932:C1932"/>
    <mergeCell ref="B1933:C1933"/>
    <mergeCell ref="B1934:C1934"/>
    <mergeCell ref="B1935:C1935"/>
    <mergeCell ref="B1936:C1936"/>
    <mergeCell ref="B1937:C1937"/>
    <mergeCell ref="B1938:C1938"/>
    <mergeCell ref="B1939:C1939"/>
    <mergeCell ref="B1940:C1940"/>
    <mergeCell ref="B1941:C1941"/>
    <mergeCell ref="B1942:C1942"/>
    <mergeCell ref="B1943:C1943"/>
    <mergeCell ref="B1944:C1944"/>
    <mergeCell ref="B1945:C1945"/>
    <mergeCell ref="B1946:C1946"/>
    <mergeCell ref="B1947:C1947"/>
    <mergeCell ref="B1948:C1948"/>
    <mergeCell ref="B1949:C1949"/>
    <mergeCell ref="B1950:C1950"/>
    <mergeCell ref="B1951:C1951"/>
    <mergeCell ref="B1952:C1952"/>
    <mergeCell ref="B1953:C1953"/>
    <mergeCell ref="B1954:C1954"/>
    <mergeCell ref="B1955:C1955"/>
    <mergeCell ref="B1956:C1956"/>
    <mergeCell ref="B1957:C1957"/>
    <mergeCell ref="B1958:C1958"/>
    <mergeCell ref="B1959:C1959"/>
    <mergeCell ref="B1960:C1960"/>
    <mergeCell ref="B1961:C1961"/>
    <mergeCell ref="B1962:C1962"/>
    <mergeCell ref="B1963:C1963"/>
    <mergeCell ref="B1964:C1964"/>
    <mergeCell ref="B1965:C1965"/>
    <mergeCell ref="B1966:C1966"/>
    <mergeCell ref="B1967:C1967"/>
    <mergeCell ref="B1968:C1968"/>
    <mergeCell ref="B1969:C1969"/>
    <mergeCell ref="B1970:C1970"/>
    <mergeCell ref="B1971:C1971"/>
    <mergeCell ref="B1972:C1972"/>
    <mergeCell ref="B1973:C1973"/>
    <mergeCell ref="B1974:C1974"/>
    <mergeCell ref="B1975:C1975"/>
    <mergeCell ref="B1976:C1976"/>
    <mergeCell ref="B1977:C1977"/>
    <mergeCell ref="B1978:C1978"/>
    <mergeCell ref="B1979:C1979"/>
    <mergeCell ref="B1980:C1980"/>
    <mergeCell ref="B1981:C1981"/>
    <mergeCell ref="B1982:C1982"/>
    <mergeCell ref="B1983:C1983"/>
    <mergeCell ref="B1984:C1984"/>
    <mergeCell ref="B1985:C1985"/>
    <mergeCell ref="B1986:C1986"/>
    <mergeCell ref="B1987:C1987"/>
    <mergeCell ref="B1988:C1988"/>
    <mergeCell ref="B1989:C1989"/>
    <mergeCell ref="B1990:C1990"/>
    <mergeCell ref="B1991:C1991"/>
    <mergeCell ref="B1992:C1992"/>
    <mergeCell ref="B1993:C1993"/>
    <mergeCell ref="B1994:C1994"/>
    <mergeCell ref="B1995:C1995"/>
    <mergeCell ref="B1996:C1996"/>
    <mergeCell ref="B1997:C1997"/>
    <mergeCell ref="B1998:C1998"/>
    <mergeCell ref="B1999:C1999"/>
    <mergeCell ref="B2000:C2000"/>
    <mergeCell ref="B2001:C2001"/>
    <mergeCell ref="B2002:C2002"/>
    <mergeCell ref="B2003:C2003"/>
    <mergeCell ref="B2004:C2004"/>
    <mergeCell ref="B2005:C2005"/>
    <mergeCell ref="B2006:C2006"/>
    <mergeCell ref="B2007:C2007"/>
    <mergeCell ref="B2008:C2008"/>
    <mergeCell ref="B2009:C2009"/>
    <mergeCell ref="B2010:C2010"/>
    <mergeCell ref="B2011:C2011"/>
    <mergeCell ref="B2012:C2012"/>
    <mergeCell ref="B2013:C2013"/>
    <mergeCell ref="B2014:C2014"/>
    <mergeCell ref="B2015:C2015"/>
    <mergeCell ref="B2016:C2016"/>
    <mergeCell ref="B2017:C2017"/>
    <mergeCell ref="B2018:C2018"/>
    <mergeCell ref="B2019:C2019"/>
    <mergeCell ref="B2020:C2020"/>
    <mergeCell ref="B2021:C2021"/>
    <mergeCell ref="B2022:C2022"/>
    <mergeCell ref="B2023:C2023"/>
    <mergeCell ref="B2024:C2024"/>
    <mergeCell ref="B2025:C2025"/>
    <mergeCell ref="B2026:C2026"/>
    <mergeCell ref="B2027:C2027"/>
    <mergeCell ref="B2028:C2028"/>
    <mergeCell ref="B2029:C2029"/>
    <mergeCell ref="B2030:C2030"/>
    <mergeCell ref="B2031:C2031"/>
    <mergeCell ref="B2032:C2032"/>
    <mergeCell ref="B2033:C2033"/>
    <mergeCell ref="B2034:C2034"/>
    <mergeCell ref="B2035:C2035"/>
    <mergeCell ref="B2036:C2036"/>
    <mergeCell ref="B2037:C2037"/>
    <mergeCell ref="B2038:C2038"/>
    <mergeCell ref="B2039:C2039"/>
    <mergeCell ref="B2040:C2040"/>
    <mergeCell ref="B2041:C2041"/>
    <mergeCell ref="B2042:C2042"/>
    <mergeCell ref="B2043:C2043"/>
    <mergeCell ref="B2044:C2044"/>
    <mergeCell ref="B2045:C2045"/>
    <mergeCell ref="B2046:C2046"/>
    <mergeCell ref="B2047:C2047"/>
    <mergeCell ref="B2048:C2048"/>
    <mergeCell ref="B2049:C2049"/>
    <mergeCell ref="B2050:C2050"/>
    <mergeCell ref="B2051:C2051"/>
    <mergeCell ref="B2052:C2052"/>
    <mergeCell ref="B2053:C2053"/>
    <mergeCell ref="B2054:C2054"/>
    <mergeCell ref="B2055:C2055"/>
    <mergeCell ref="B2056:C2056"/>
    <mergeCell ref="B2057:C2057"/>
    <mergeCell ref="B2058:C2058"/>
    <mergeCell ref="B2059:C2059"/>
    <mergeCell ref="B2060:C2060"/>
    <mergeCell ref="B2061:C2061"/>
    <mergeCell ref="B2062:C2062"/>
    <mergeCell ref="B2063:C2063"/>
    <mergeCell ref="B2064:C2064"/>
    <mergeCell ref="B2065:C2065"/>
    <mergeCell ref="B2066:C2066"/>
    <mergeCell ref="B2067:C2067"/>
    <mergeCell ref="B2068:C2068"/>
    <mergeCell ref="B2069:C2069"/>
    <mergeCell ref="B2070:C2070"/>
    <mergeCell ref="B2071:C2071"/>
    <mergeCell ref="B2072:C2072"/>
    <mergeCell ref="B2073:C2073"/>
    <mergeCell ref="B2074:C2074"/>
    <mergeCell ref="B2075:C2075"/>
    <mergeCell ref="B2076:C2076"/>
    <mergeCell ref="B2077:C2077"/>
    <mergeCell ref="B2078:C2078"/>
    <mergeCell ref="B2079:C2079"/>
    <mergeCell ref="B2080:C2080"/>
    <mergeCell ref="B2081:C2081"/>
    <mergeCell ref="B2082:C2082"/>
    <mergeCell ref="B2083:C2083"/>
    <mergeCell ref="B2084:C2084"/>
    <mergeCell ref="B2085:C2085"/>
    <mergeCell ref="B2086:C2086"/>
    <mergeCell ref="B2087:C2087"/>
    <mergeCell ref="B2088:C2088"/>
    <mergeCell ref="B2089:C2089"/>
    <mergeCell ref="B2090:C2090"/>
    <mergeCell ref="B2091:C2091"/>
    <mergeCell ref="B2092:C2092"/>
    <mergeCell ref="B2093:C2093"/>
    <mergeCell ref="B2094:C2094"/>
    <mergeCell ref="B2095:C2095"/>
    <mergeCell ref="B2096:C2096"/>
    <mergeCell ref="B2097:C2097"/>
    <mergeCell ref="B2098:C2098"/>
    <mergeCell ref="B2099:C2099"/>
    <mergeCell ref="B2100:C2100"/>
    <mergeCell ref="B2101:C2101"/>
    <mergeCell ref="B2102:C2102"/>
    <mergeCell ref="B2103:C2103"/>
    <mergeCell ref="B2104:C2104"/>
    <mergeCell ref="B2105:C2105"/>
    <mergeCell ref="B2106:C2106"/>
    <mergeCell ref="B2107:C2107"/>
    <mergeCell ref="B2108:C2108"/>
    <mergeCell ref="B2109:C2109"/>
    <mergeCell ref="B2110:C2110"/>
    <mergeCell ref="B2111:C2111"/>
    <mergeCell ref="B2112:C2112"/>
    <mergeCell ref="B2113:C2113"/>
    <mergeCell ref="B2114:C2114"/>
    <mergeCell ref="B2115:C2115"/>
    <mergeCell ref="B2116:C2116"/>
    <mergeCell ref="B2117:C2117"/>
    <mergeCell ref="B2118:C2118"/>
    <mergeCell ref="B2119:C2119"/>
    <mergeCell ref="B2120:C2120"/>
    <mergeCell ref="B2121:C2121"/>
    <mergeCell ref="B2122:C2122"/>
    <mergeCell ref="B2123:C2123"/>
    <mergeCell ref="B2124:C2124"/>
    <mergeCell ref="B2125:C2125"/>
    <mergeCell ref="B2126:C2126"/>
    <mergeCell ref="B2127:C2127"/>
    <mergeCell ref="B2128:C2128"/>
    <mergeCell ref="B2129:C2129"/>
    <mergeCell ref="B2130:C2130"/>
    <mergeCell ref="B2131:C2131"/>
    <mergeCell ref="B2132:C2132"/>
    <mergeCell ref="B2133:C2133"/>
    <mergeCell ref="B2134:C2134"/>
    <mergeCell ref="B2135:C2135"/>
    <mergeCell ref="B2136:C2136"/>
    <mergeCell ref="B2137:C2137"/>
    <mergeCell ref="B2138:C2138"/>
    <mergeCell ref="B2139:C2139"/>
    <mergeCell ref="B2140:C2140"/>
    <mergeCell ref="B2141:C2141"/>
    <mergeCell ref="B2142:C2142"/>
    <mergeCell ref="B2143:C2143"/>
    <mergeCell ref="B2144:C2144"/>
    <mergeCell ref="B2145:C2145"/>
    <mergeCell ref="B2146:C2146"/>
    <mergeCell ref="B2147:C2147"/>
    <mergeCell ref="B2148:C2148"/>
    <mergeCell ref="B2149:C2149"/>
    <mergeCell ref="B2150:C2150"/>
    <mergeCell ref="B2151:C2151"/>
    <mergeCell ref="B2152:C2152"/>
    <mergeCell ref="B2153:C2153"/>
    <mergeCell ref="B2154:C2154"/>
    <mergeCell ref="B2155:C2155"/>
    <mergeCell ref="B2156:C2156"/>
    <mergeCell ref="B2157:C2157"/>
    <mergeCell ref="B2158:C2158"/>
    <mergeCell ref="B2159:C2159"/>
    <mergeCell ref="B2160:C2160"/>
    <mergeCell ref="B2161:C2161"/>
    <mergeCell ref="B2162:C2162"/>
    <mergeCell ref="B2163:C2163"/>
    <mergeCell ref="B2164:C2164"/>
    <mergeCell ref="B2165:C2165"/>
    <mergeCell ref="B2166:C2166"/>
    <mergeCell ref="B2167:C2167"/>
    <mergeCell ref="B2168:C2168"/>
    <mergeCell ref="B2169:C2169"/>
    <mergeCell ref="B2170:C2170"/>
    <mergeCell ref="B2171:C2171"/>
    <mergeCell ref="B2172:C2172"/>
    <mergeCell ref="B2173:C2173"/>
    <mergeCell ref="B2174:C2174"/>
    <mergeCell ref="B2175:C2175"/>
    <mergeCell ref="B2176:C2176"/>
    <mergeCell ref="B2177:C2177"/>
    <mergeCell ref="B2178:C2178"/>
    <mergeCell ref="B2179:C2179"/>
    <mergeCell ref="B2180:C2180"/>
    <mergeCell ref="B2181:C2181"/>
    <mergeCell ref="B2182:C2182"/>
    <mergeCell ref="B2183:C2183"/>
    <mergeCell ref="B2184:C2184"/>
    <mergeCell ref="B2185:C2185"/>
    <mergeCell ref="B2186:C2186"/>
    <mergeCell ref="B2187:C2187"/>
    <mergeCell ref="B2188:C2188"/>
    <mergeCell ref="B2189:C2189"/>
    <mergeCell ref="B2190:C2190"/>
    <mergeCell ref="B2191:C2191"/>
    <mergeCell ref="B2192:C2192"/>
    <mergeCell ref="B2193:C2193"/>
    <mergeCell ref="B2194:C2194"/>
    <mergeCell ref="B2195:C2195"/>
    <mergeCell ref="B2196:C2196"/>
    <mergeCell ref="B2197:C2197"/>
    <mergeCell ref="B2198:C2198"/>
    <mergeCell ref="B2199:C2199"/>
    <mergeCell ref="B2200:C2200"/>
    <mergeCell ref="B2201:C2201"/>
    <mergeCell ref="B2202:C2202"/>
    <mergeCell ref="B2203:C2203"/>
    <mergeCell ref="B2204:C2204"/>
    <mergeCell ref="B2205:C2205"/>
    <mergeCell ref="B2206:C2206"/>
    <mergeCell ref="B2207:C2207"/>
    <mergeCell ref="B2208:C2208"/>
    <mergeCell ref="B2209:C2209"/>
    <mergeCell ref="B2210:C2210"/>
    <mergeCell ref="B2211:C2211"/>
    <mergeCell ref="B2212:C2212"/>
    <mergeCell ref="B2213:C2213"/>
    <mergeCell ref="B2214:C2214"/>
    <mergeCell ref="B2215:C2215"/>
    <mergeCell ref="B2216:C2216"/>
    <mergeCell ref="B2217:C2217"/>
    <mergeCell ref="B2218:C2218"/>
    <mergeCell ref="B2219:C2219"/>
    <mergeCell ref="B2220:C2220"/>
    <mergeCell ref="B2221:C2221"/>
    <mergeCell ref="B2222:C2222"/>
    <mergeCell ref="B2223:C2223"/>
    <mergeCell ref="B2224:C2224"/>
    <mergeCell ref="B2225:C2225"/>
    <mergeCell ref="B2226:C2226"/>
    <mergeCell ref="B2227:C2227"/>
    <mergeCell ref="B2228:C2228"/>
    <mergeCell ref="B2229:C2229"/>
    <mergeCell ref="B2230:C2230"/>
    <mergeCell ref="B2231:C2231"/>
    <mergeCell ref="B2232:C2232"/>
    <mergeCell ref="B2233:C2233"/>
    <mergeCell ref="B2234:C2234"/>
    <mergeCell ref="B2235:C2235"/>
    <mergeCell ref="B2236:C2236"/>
    <mergeCell ref="B2237:C2237"/>
    <mergeCell ref="B2238:C2238"/>
    <mergeCell ref="B2239:C2239"/>
    <mergeCell ref="B2240:C2240"/>
    <mergeCell ref="B2241:C2241"/>
    <mergeCell ref="B2242:C2242"/>
    <mergeCell ref="B2243:C2243"/>
    <mergeCell ref="B2244:C2244"/>
    <mergeCell ref="B2245:C2245"/>
    <mergeCell ref="B2246:C2246"/>
    <mergeCell ref="B2247:C2247"/>
    <mergeCell ref="B2248:C2248"/>
    <mergeCell ref="B2249:C2249"/>
    <mergeCell ref="B2250:C2250"/>
    <mergeCell ref="B2251:C2251"/>
    <mergeCell ref="B2252:C2252"/>
    <mergeCell ref="B2253:C2253"/>
    <mergeCell ref="B2254:C2254"/>
    <mergeCell ref="B2255:C2255"/>
    <mergeCell ref="B2256:C2256"/>
    <mergeCell ref="B2257:C2257"/>
    <mergeCell ref="B2258:C2258"/>
    <mergeCell ref="B2259:C2259"/>
    <mergeCell ref="B2260:C2260"/>
    <mergeCell ref="B2261:C2261"/>
    <mergeCell ref="B2262:C2262"/>
    <mergeCell ref="B2263:C2263"/>
    <mergeCell ref="B2264:C2264"/>
    <mergeCell ref="B2265:C2265"/>
    <mergeCell ref="B2266:C2266"/>
    <mergeCell ref="B2267:C2267"/>
    <mergeCell ref="B2268:C2268"/>
    <mergeCell ref="B2269:C2269"/>
    <mergeCell ref="B2270:C2270"/>
    <mergeCell ref="B2271:C2271"/>
    <mergeCell ref="B2272:C2272"/>
    <mergeCell ref="B2273:C2273"/>
    <mergeCell ref="B2274:C2274"/>
    <mergeCell ref="B2275:C2275"/>
    <mergeCell ref="B2276:C2276"/>
    <mergeCell ref="B2277:C2277"/>
    <mergeCell ref="B2278:C2278"/>
    <mergeCell ref="B2279:C2279"/>
    <mergeCell ref="B2280:C2280"/>
    <mergeCell ref="B2281:C2281"/>
    <mergeCell ref="B2282:C2282"/>
    <mergeCell ref="B2283:C2283"/>
    <mergeCell ref="B2284:C2284"/>
    <mergeCell ref="B2285:C2285"/>
    <mergeCell ref="B2286:C2286"/>
    <mergeCell ref="B2287:C2287"/>
    <mergeCell ref="B2288:C2288"/>
    <mergeCell ref="B2289:C2289"/>
    <mergeCell ref="B2290:C2290"/>
    <mergeCell ref="B2291:C2291"/>
    <mergeCell ref="B2292:C2292"/>
    <mergeCell ref="B2293:C2293"/>
    <mergeCell ref="B2294:C2294"/>
    <mergeCell ref="B2295:C2295"/>
    <mergeCell ref="B2296:C2296"/>
    <mergeCell ref="B2297:C2297"/>
    <mergeCell ref="B2298:C2298"/>
    <mergeCell ref="B2299:C2299"/>
    <mergeCell ref="B2300:C2300"/>
    <mergeCell ref="B2301:C2301"/>
    <mergeCell ref="B2302:C2302"/>
    <mergeCell ref="B2303:C2303"/>
    <mergeCell ref="B2304:C2304"/>
    <mergeCell ref="B2305:C2305"/>
    <mergeCell ref="B2306:C2306"/>
    <mergeCell ref="B2307:C2307"/>
    <mergeCell ref="B2308:C2308"/>
    <mergeCell ref="B2309:C2309"/>
    <mergeCell ref="B2310:C2310"/>
    <mergeCell ref="B2311:C2311"/>
    <mergeCell ref="B2312:C2312"/>
    <mergeCell ref="B2313:C2313"/>
    <mergeCell ref="B2314:C2314"/>
    <mergeCell ref="B2315:C2315"/>
    <mergeCell ref="B2316:C2316"/>
    <mergeCell ref="B2317:C2317"/>
    <mergeCell ref="B2318:C2318"/>
    <mergeCell ref="B2319:C2319"/>
    <mergeCell ref="B2320:C2320"/>
    <mergeCell ref="B2321:C2321"/>
    <mergeCell ref="B2322:C2322"/>
    <mergeCell ref="B2323:C2323"/>
    <mergeCell ref="B2324:C2324"/>
    <mergeCell ref="B2325:C2325"/>
    <mergeCell ref="B2326:C2326"/>
    <mergeCell ref="B2327:C2327"/>
    <mergeCell ref="B2328:C2328"/>
    <mergeCell ref="B2329:C2329"/>
    <mergeCell ref="B2330:C2330"/>
    <mergeCell ref="B2331:C2331"/>
    <mergeCell ref="B2332:C2332"/>
    <mergeCell ref="B2333:C2333"/>
    <mergeCell ref="B2334:C2334"/>
    <mergeCell ref="B2335:C2335"/>
    <mergeCell ref="B2336:C2336"/>
    <mergeCell ref="B2337:C2337"/>
    <mergeCell ref="B2338:C2338"/>
    <mergeCell ref="B2339:C2339"/>
    <mergeCell ref="B2340:C2340"/>
    <mergeCell ref="B2341:C2341"/>
    <mergeCell ref="B2342:C2342"/>
    <mergeCell ref="B2343:C2343"/>
    <mergeCell ref="B2344:C2344"/>
    <mergeCell ref="B2345:C2345"/>
    <mergeCell ref="B2346:C2346"/>
    <mergeCell ref="B2347:C2347"/>
    <mergeCell ref="B2348:C2348"/>
    <mergeCell ref="B2349:C2349"/>
    <mergeCell ref="B2350:C2350"/>
    <mergeCell ref="B2351:C2351"/>
    <mergeCell ref="B2352:C2352"/>
    <mergeCell ref="B2353:C2353"/>
    <mergeCell ref="B2354:C2354"/>
    <mergeCell ref="B2355:C2355"/>
    <mergeCell ref="B2356:C2356"/>
    <mergeCell ref="B2357:C2357"/>
    <mergeCell ref="B2358:C2358"/>
    <mergeCell ref="B2359:C2359"/>
    <mergeCell ref="B2360:C2360"/>
    <mergeCell ref="B2361:C2361"/>
    <mergeCell ref="B2362:C2362"/>
    <mergeCell ref="B2363:C2363"/>
    <mergeCell ref="B2364:C2364"/>
    <mergeCell ref="B2365:C2365"/>
    <mergeCell ref="B2366:C2366"/>
    <mergeCell ref="B2367:C2367"/>
    <mergeCell ref="B2368:C2368"/>
    <mergeCell ref="B2369:C2369"/>
    <mergeCell ref="B2370:C2370"/>
    <mergeCell ref="B2371:C2371"/>
    <mergeCell ref="B2372:C2372"/>
    <mergeCell ref="B2373:C2373"/>
    <mergeCell ref="B2374:C2374"/>
    <mergeCell ref="B2375:C2375"/>
    <mergeCell ref="B2376:C2376"/>
    <mergeCell ref="B2377:C2377"/>
    <mergeCell ref="B2378:C2378"/>
    <mergeCell ref="B2379:C2379"/>
    <mergeCell ref="B2380:C2380"/>
    <mergeCell ref="B2381:C2381"/>
    <mergeCell ref="B2382:C2382"/>
    <mergeCell ref="B2383:C2383"/>
    <mergeCell ref="B2384:C2384"/>
    <mergeCell ref="B2385:C2385"/>
    <mergeCell ref="B2386:C2386"/>
    <mergeCell ref="B2387:C2387"/>
    <mergeCell ref="B2388:C2388"/>
    <mergeCell ref="B2389:C2389"/>
    <mergeCell ref="B2390:C2390"/>
    <mergeCell ref="B2391:C2391"/>
    <mergeCell ref="B2392:C2392"/>
    <mergeCell ref="B2393:C2393"/>
    <mergeCell ref="B2394:C2394"/>
    <mergeCell ref="B2395:C2395"/>
    <mergeCell ref="B2396:C2396"/>
    <mergeCell ref="B2397:C2397"/>
    <mergeCell ref="B2398:C2398"/>
    <mergeCell ref="B2399:C2399"/>
    <mergeCell ref="B2400:C2400"/>
    <mergeCell ref="B2401:C2401"/>
    <mergeCell ref="B2402:C2402"/>
    <mergeCell ref="B2403:C2403"/>
    <mergeCell ref="B2404:C2404"/>
    <mergeCell ref="B2405:C2405"/>
    <mergeCell ref="B2406:C2406"/>
    <mergeCell ref="B2407:C2407"/>
    <mergeCell ref="B2408:C2408"/>
    <mergeCell ref="B2409:C2409"/>
    <mergeCell ref="B2410:C2410"/>
    <mergeCell ref="B2411:C2411"/>
    <mergeCell ref="B2412:C2412"/>
    <mergeCell ref="B2413:C2413"/>
    <mergeCell ref="B2414:C2414"/>
    <mergeCell ref="B2415:C2415"/>
    <mergeCell ref="B2416:C2416"/>
    <mergeCell ref="B2417:C2417"/>
    <mergeCell ref="B2418:C2418"/>
    <mergeCell ref="B2419:C2419"/>
    <mergeCell ref="B2420:C2420"/>
    <mergeCell ref="B2421:C2421"/>
    <mergeCell ref="B2422:C2422"/>
    <mergeCell ref="B2423:C2423"/>
    <mergeCell ref="B2424:C2424"/>
    <mergeCell ref="B2425:C2425"/>
    <mergeCell ref="B2426:C2426"/>
    <mergeCell ref="B2427:C2427"/>
    <mergeCell ref="B2428:C2428"/>
    <mergeCell ref="B2429:C2429"/>
    <mergeCell ref="B2430:C2430"/>
    <mergeCell ref="B2431:C2431"/>
    <mergeCell ref="B2432:C2432"/>
    <mergeCell ref="B2433:C2433"/>
    <mergeCell ref="B2434:C2434"/>
    <mergeCell ref="B2435:C2435"/>
    <mergeCell ref="B2436:C2436"/>
    <mergeCell ref="B2437:C2437"/>
    <mergeCell ref="B2438:C2438"/>
    <mergeCell ref="B2439:C2439"/>
    <mergeCell ref="B2440:C2440"/>
    <mergeCell ref="B2441:C2441"/>
    <mergeCell ref="B2442:C2442"/>
    <mergeCell ref="B2443:C2443"/>
    <mergeCell ref="B2444:C2444"/>
    <mergeCell ref="B2445:C2445"/>
    <mergeCell ref="B2446:C2446"/>
    <mergeCell ref="B2447:C2447"/>
    <mergeCell ref="B2448:C2448"/>
    <mergeCell ref="B2449:C2449"/>
    <mergeCell ref="B2450:C2450"/>
    <mergeCell ref="B2451:C2451"/>
    <mergeCell ref="B2452:C2452"/>
    <mergeCell ref="B2453:C2453"/>
    <mergeCell ref="B2454:C2454"/>
    <mergeCell ref="B2455:C2455"/>
    <mergeCell ref="B2456:C2456"/>
    <mergeCell ref="B2457:C2457"/>
    <mergeCell ref="B2458:C2458"/>
    <mergeCell ref="B2459:C2459"/>
    <mergeCell ref="B2460:C2460"/>
    <mergeCell ref="B2461:C2461"/>
    <mergeCell ref="B2462:C2462"/>
    <mergeCell ref="B2463:C2463"/>
    <mergeCell ref="B2464:C2464"/>
    <mergeCell ref="B2465:C2465"/>
    <mergeCell ref="B2466:C2466"/>
    <mergeCell ref="B2467:C2467"/>
    <mergeCell ref="B2468:C2468"/>
    <mergeCell ref="B2469:C2469"/>
    <mergeCell ref="B2470:C2470"/>
    <mergeCell ref="B2471:C2471"/>
    <mergeCell ref="B2472:C2472"/>
    <mergeCell ref="B2473:C2473"/>
    <mergeCell ref="B2474:C2474"/>
    <mergeCell ref="B2475:C2475"/>
    <mergeCell ref="B2476:C2476"/>
    <mergeCell ref="B2477:C2477"/>
    <mergeCell ref="B2478:C2478"/>
    <mergeCell ref="B2479:C2479"/>
    <mergeCell ref="B2480:C2480"/>
    <mergeCell ref="B2481:C2481"/>
    <mergeCell ref="B2482:C2482"/>
    <mergeCell ref="B2483:C2483"/>
    <mergeCell ref="B2484:C2484"/>
    <mergeCell ref="B2485:C2485"/>
    <mergeCell ref="B2486:C2486"/>
    <mergeCell ref="B2487:C2487"/>
    <mergeCell ref="B2488:C2488"/>
    <mergeCell ref="B2489:C2489"/>
    <mergeCell ref="B2490:C2490"/>
    <mergeCell ref="B2491:C2491"/>
    <mergeCell ref="B2492:C2492"/>
    <mergeCell ref="B2493:C2493"/>
    <mergeCell ref="B2494:C2494"/>
    <mergeCell ref="B2495:C2495"/>
    <mergeCell ref="B2496:C2496"/>
    <mergeCell ref="B2497:C2497"/>
    <mergeCell ref="B2498:C2498"/>
    <mergeCell ref="B2499:C2499"/>
    <mergeCell ref="B2500:C2500"/>
    <mergeCell ref="B2501:C2501"/>
    <mergeCell ref="B2502:C2502"/>
    <mergeCell ref="B2503:C2503"/>
    <mergeCell ref="B2504:C2504"/>
    <mergeCell ref="B2505:C2505"/>
    <mergeCell ref="B2506:C2506"/>
    <mergeCell ref="B2507:C2507"/>
    <mergeCell ref="B2508:C2508"/>
    <mergeCell ref="B2509:C2509"/>
    <mergeCell ref="B2510:C2510"/>
    <mergeCell ref="B2511:C2511"/>
    <mergeCell ref="B2512:C2512"/>
    <mergeCell ref="B2513:C2513"/>
    <mergeCell ref="B2514:C2514"/>
    <mergeCell ref="B2515:C2515"/>
    <mergeCell ref="B2516:C2516"/>
    <mergeCell ref="B2517:C2517"/>
    <mergeCell ref="B2518:C2518"/>
    <mergeCell ref="B2519:C2519"/>
    <mergeCell ref="B2520:C2520"/>
    <mergeCell ref="B2521:C2521"/>
    <mergeCell ref="B2522:C2522"/>
    <mergeCell ref="B2523:C2523"/>
    <mergeCell ref="B2524:C2524"/>
    <mergeCell ref="B2525:C2525"/>
    <mergeCell ref="B2526:C2526"/>
    <mergeCell ref="B2527:C2527"/>
    <mergeCell ref="B2528:C2528"/>
    <mergeCell ref="B2529:C2529"/>
    <mergeCell ref="B2530:C2530"/>
    <mergeCell ref="B2531:C2531"/>
    <mergeCell ref="B2532:C2532"/>
    <mergeCell ref="B2533:C2533"/>
    <mergeCell ref="B2534:C2534"/>
    <mergeCell ref="B2535:C2535"/>
    <mergeCell ref="B2536:C2536"/>
    <mergeCell ref="B2537:C2537"/>
    <mergeCell ref="B2538:C2538"/>
    <mergeCell ref="B2539:C2539"/>
    <mergeCell ref="B2540:C2540"/>
    <mergeCell ref="B2541:C2541"/>
    <mergeCell ref="B2542:C2542"/>
    <mergeCell ref="B2543:C2543"/>
    <mergeCell ref="B2544:C2544"/>
    <mergeCell ref="B2545:C2545"/>
    <mergeCell ref="B2546:C2546"/>
    <mergeCell ref="B2547:C2547"/>
    <mergeCell ref="B2548:C2548"/>
    <mergeCell ref="B2549:C2549"/>
    <mergeCell ref="B2550:C2550"/>
    <mergeCell ref="B2551:C2551"/>
    <mergeCell ref="B2552:C2552"/>
    <mergeCell ref="B2553:C2553"/>
    <mergeCell ref="B2554:C2554"/>
    <mergeCell ref="B2555:C2555"/>
    <mergeCell ref="B2556:C2556"/>
    <mergeCell ref="B2557:C2557"/>
    <mergeCell ref="B2558:C2558"/>
    <mergeCell ref="B2559:C2559"/>
    <mergeCell ref="B2560:C2560"/>
    <mergeCell ref="B2561:C2561"/>
    <mergeCell ref="B2562:C2562"/>
    <mergeCell ref="B2563:C2563"/>
    <mergeCell ref="B2564:C2564"/>
    <mergeCell ref="B2565:C2565"/>
    <mergeCell ref="B2566:C2566"/>
    <mergeCell ref="B2567:C2567"/>
    <mergeCell ref="B2568:C2568"/>
    <mergeCell ref="B2569:C2569"/>
    <mergeCell ref="B2570:C2570"/>
    <mergeCell ref="B2571:C2571"/>
    <mergeCell ref="B2572:C2572"/>
    <mergeCell ref="B2573:C2573"/>
    <mergeCell ref="B2574:C2574"/>
    <mergeCell ref="B2575:C2575"/>
    <mergeCell ref="B2576:C2576"/>
    <mergeCell ref="B2577:C2577"/>
    <mergeCell ref="B2578:C2578"/>
    <mergeCell ref="B2579:C2579"/>
    <mergeCell ref="B2580:C2580"/>
    <mergeCell ref="B2581:C2581"/>
    <mergeCell ref="B2582:C2582"/>
    <mergeCell ref="B2583:C2583"/>
    <mergeCell ref="B2584:C2584"/>
    <mergeCell ref="B2585:C2585"/>
    <mergeCell ref="B2586:C2586"/>
    <mergeCell ref="B2587:C2587"/>
    <mergeCell ref="B2588:C2588"/>
    <mergeCell ref="B2589:C2589"/>
    <mergeCell ref="B2590:C2590"/>
    <mergeCell ref="B2591:C2591"/>
    <mergeCell ref="B2592:C2592"/>
    <mergeCell ref="B2593:C2593"/>
    <mergeCell ref="B2594:C2594"/>
    <mergeCell ref="B2595:C2595"/>
    <mergeCell ref="B2596:C2596"/>
    <mergeCell ref="B2597:C2597"/>
    <mergeCell ref="B2598:C2598"/>
    <mergeCell ref="B2599:C2599"/>
    <mergeCell ref="B2600:C2600"/>
    <mergeCell ref="B2601:C2601"/>
    <mergeCell ref="B2602:C2602"/>
    <mergeCell ref="B2603:C2603"/>
    <mergeCell ref="B2604:C2604"/>
    <mergeCell ref="B2605:C2605"/>
    <mergeCell ref="B2606:C2606"/>
    <mergeCell ref="B2607:C2607"/>
    <mergeCell ref="B2608:C2608"/>
    <mergeCell ref="B2609:C2609"/>
    <mergeCell ref="B2610:C2610"/>
    <mergeCell ref="B2611:C2611"/>
    <mergeCell ref="B2612:C2612"/>
    <mergeCell ref="B2613:C2613"/>
    <mergeCell ref="B2614:C2614"/>
    <mergeCell ref="B2615:C2615"/>
    <mergeCell ref="B2616:C2616"/>
    <mergeCell ref="B2617:C2617"/>
    <mergeCell ref="B2618:C2618"/>
    <mergeCell ref="B2619:C2619"/>
    <mergeCell ref="B2620:C2620"/>
    <mergeCell ref="B2621:C2621"/>
    <mergeCell ref="B2622:C2622"/>
    <mergeCell ref="B2623:C2623"/>
    <mergeCell ref="B2624:C2624"/>
    <mergeCell ref="B2625:C2625"/>
    <mergeCell ref="B2626:C2626"/>
    <mergeCell ref="B2627:C2627"/>
    <mergeCell ref="B2628:C2628"/>
    <mergeCell ref="B2629:C2629"/>
    <mergeCell ref="B2630:C2630"/>
    <mergeCell ref="B2631:C2631"/>
    <mergeCell ref="B2632:C2632"/>
    <mergeCell ref="B2633:C2633"/>
    <mergeCell ref="B2634:C2634"/>
    <mergeCell ref="B2635:C2635"/>
    <mergeCell ref="B2636:C2636"/>
    <mergeCell ref="B2637:C2637"/>
    <mergeCell ref="B2638:C2638"/>
    <mergeCell ref="B2639:C2639"/>
    <mergeCell ref="B2640:C2640"/>
    <mergeCell ref="B2641:C2641"/>
    <mergeCell ref="B2642:C2642"/>
    <mergeCell ref="B2643:C2643"/>
    <mergeCell ref="B2644:C2644"/>
    <mergeCell ref="B2645:C2645"/>
    <mergeCell ref="B2646:C2646"/>
    <mergeCell ref="B2647:C2647"/>
    <mergeCell ref="B2648:C2648"/>
    <mergeCell ref="B2649:C2649"/>
    <mergeCell ref="B2650:C2650"/>
    <mergeCell ref="B2651:C2651"/>
    <mergeCell ref="B2652:C2652"/>
    <mergeCell ref="B2653:C2653"/>
    <mergeCell ref="B2654:C2654"/>
    <mergeCell ref="B2655:C2655"/>
    <mergeCell ref="B2656:C2656"/>
    <mergeCell ref="B2657:C2657"/>
    <mergeCell ref="B2658:C2658"/>
    <mergeCell ref="B2659:C2659"/>
    <mergeCell ref="B2660:C2660"/>
    <mergeCell ref="B2661:C2661"/>
    <mergeCell ref="B2662:C2662"/>
    <mergeCell ref="B2663:C2663"/>
    <mergeCell ref="B2664:C2664"/>
    <mergeCell ref="B2665:C2665"/>
    <mergeCell ref="B2666:C2666"/>
    <mergeCell ref="B2667:C2667"/>
    <mergeCell ref="B2668:C2668"/>
    <mergeCell ref="B2669:C2669"/>
    <mergeCell ref="B2670:C2670"/>
    <mergeCell ref="B2671:C2671"/>
    <mergeCell ref="B2672:C2672"/>
    <mergeCell ref="B2673:C2673"/>
    <mergeCell ref="B2674:C2674"/>
    <mergeCell ref="B2675:C2675"/>
    <mergeCell ref="B2676:C2676"/>
    <mergeCell ref="B2677:C2677"/>
    <mergeCell ref="B2678:C2678"/>
    <mergeCell ref="B2679:C2679"/>
    <mergeCell ref="B2680:C2680"/>
    <mergeCell ref="B2681:C2681"/>
    <mergeCell ref="B2682:C2682"/>
    <mergeCell ref="B2683:C2683"/>
    <mergeCell ref="B2684:C2684"/>
    <mergeCell ref="B2685:C2685"/>
    <mergeCell ref="B2686:C2686"/>
    <mergeCell ref="B2687:C2687"/>
    <mergeCell ref="B2688:C2688"/>
    <mergeCell ref="B2689:C2689"/>
    <mergeCell ref="B2690:C2690"/>
    <mergeCell ref="B2691:C2691"/>
    <mergeCell ref="B2692:C2692"/>
    <mergeCell ref="B2693:C2693"/>
    <mergeCell ref="B2694:C2694"/>
    <mergeCell ref="B2695:C2695"/>
    <mergeCell ref="B2696:C2696"/>
    <mergeCell ref="B2697:C2697"/>
    <mergeCell ref="B2698:C2698"/>
    <mergeCell ref="B2699:C2699"/>
    <mergeCell ref="B2700:C2700"/>
    <mergeCell ref="B2701:C2701"/>
    <mergeCell ref="B2702:C2702"/>
    <mergeCell ref="B2703:C2703"/>
    <mergeCell ref="B2704:C2704"/>
    <mergeCell ref="B2705:C2705"/>
    <mergeCell ref="B2706:C2706"/>
    <mergeCell ref="B2707:C2707"/>
    <mergeCell ref="B2708:C2708"/>
    <mergeCell ref="B2709:C2709"/>
    <mergeCell ref="B2710:C2710"/>
    <mergeCell ref="B2711:C2711"/>
    <mergeCell ref="B2712:C2712"/>
    <mergeCell ref="B2713:C2713"/>
    <mergeCell ref="B2714:C2714"/>
    <mergeCell ref="B2715:C2715"/>
    <mergeCell ref="B2716:C2716"/>
    <mergeCell ref="B2717:C2717"/>
    <mergeCell ref="B2718:C2718"/>
    <mergeCell ref="B2719:C2719"/>
    <mergeCell ref="B2720:C2720"/>
    <mergeCell ref="B2721:C2721"/>
    <mergeCell ref="B2722:C2722"/>
    <mergeCell ref="B2723:C2723"/>
    <mergeCell ref="B2724:C2724"/>
    <mergeCell ref="B2725:C2725"/>
    <mergeCell ref="B2726:C2726"/>
    <mergeCell ref="B2727:C2727"/>
    <mergeCell ref="B2728:C2728"/>
    <mergeCell ref="B2729:C2729"/>
    <mergeCell ref="B2730:C2730"/>
    <mergeCell ref="B2731:C2731"/>
    <mergeCell ref="B2732:C2732"/>
    <mergeCell ref="B2733:C2733"/>
    <mergeCell ref="B2734:C2734"/>
    <mergeCell ref="B2735:C2735"/>
    <mergeCell ref="B2736:C2736"/>
    <mergeCell ref="B2737:C2737"/>
    <mergeCell ref="B2738:C2738"/>
    <mergeCell ref="B2739:C2739"/>
    <mergeCell ref="B2740:C2740"/>
    <mergeCell ref="B2741:C2741"/>
    <mergeCell ref="B2742:C2742"/>
    <mergeCell ref="B2743:C2743"/>
    <mergeCell ref="B2744:C2744"/>
    <mergeCell ref="B2745:C2745"/>
    <mergeCell ref="B2746:C2746"/>
    <mergeCell ref="B2747:C2747"/>
    <mergeCell ref="B2748:C2748"/>
    <mergeCell ref="B2749:C2749"/>
    <mergeCell ref="B2750:C2750"/>
    <mergeCell ref="B2751:C2751"/>
    <mergeCell ref="B2752:C2752"/>
    <mergeCell ref="B2753:C2753"/>
    <mergeCell ref="B2754:C2754"/>
    <mergeCell ref="B2755:C2755"/>
    <mergeCell ref="B2756:C2756"/>
    <mergeCell ref="B2757:C2757"/>
    <mergeCell ref="B2758:C2758"/>
    <mergeCell ref="B2759:C2759"/>
    <mergeCell ref="B2760:C2760"/>
    <mergeCell ref="B2761:C2761"/>
    <mergeCell ref="B2762:C2762"/>
    <mergeCell ref="B2763:C2763"/>
    <mergeCell ref="B2764:C2764"/>
    <mergeCell ref="B2765:C2765"/>
    <mergeCell ref="B2766:C2766"/>
    <mergeCell ref="B2767:C2767"/>
    <mergeCell ref="B2768:C2768"/>
    <mergeCell ref="B2769:C2769"/>
    <mergeCell ref="B2770:C2770"/>
    <mergeCell ref="B2771:C2771"/>
    <mergeCell ref="B2772:C2772"/>
    <mergeCell ref="B2773:C2773"/>
    <mergeCell ref="B2774:C2774"/>
    <mergeCell ref="B2775:C2775"/>
    <mergeCell ref="B2776:C2776"/>
    <mergeCell ref="B2777:C2777"/>
    <mergeCell ref="B2778:C2778"/>
    <mergeCell ref="B2779:C2779"/>
    <mergeCell ref="B2780:C2780"/>
    <mergeCell ref="B2781:C2781"/>
    <mergeCell ref="B2782:C2782"/>
    <mergeCell ref="B2783:C2783"/>
    <mergeCell ref="B2784:C2784"/>
    <mergeCell ref="B2785:C2785"/>
    <mergeCell ref="B2786:C2786"/>
    <mergeCell ref="B2787:C2787"/>
    <mergeCell ref="B2788:C2788"/>
    <mergeCell ref="B2789:C2789"/>
    <mergeCell ref="B2790:C2790"/>
    <mergeCell ref="B2791:C2791"/>
    <mergeCell ref="B2792:C2792"/>
    <mergeCell ref="B2793:C2793"/>
    <mergeCell ref="B2794:C2794"/>
    <mergeCell ref="B2795:C2795"/>
    <mergeCell ref="B2796:C2796"/>
    <mergeCell ref="B2797:C2797"/>
    <mergeCell ref="B2798:C2798"/>
    <mergeCell ref="B2799:C2799"/>
    <mergeCell ref="B2800:C2800"/>
    <mergeCell ref="B2801:C2801"/>
    <mergeCell ref="B2802:C2802"/>
    <mergeCell ref="B2803:C2803"/>
    <mergeCell ref="B2804:C2804"/>
    <mergeCell ref="B2805:C2805"/>
    <mergeCell ref="B2806:C2806"/>
    <mergeCell ref="B2807:C2807"/>
    <mergeCell ref="B2808:C2808"/>
    <mergeCell ref="B2809:C2809"/>
    <mergeCell ref="B2810:C2810"/>
    <mergeCell ref="B2811:C2811"/>
    <mergeCell ref="B2812:C2812"/>
    <mergeCell ref="B2813:C2813"/>
    <mergeCell ref="B2814:C2814"/>
    <mergeCell ref="B2815:C2815"/>
    <mergeCell ref="B2816:C2816"/>
    <mergeCell ref="B2817:C2817"/>
    <mergeCell ref="B2818:C2818"/>
    <mergeCell ref="B2819:C2819"/>
    <mergeCell ref="B2820:C2820"/>
    <mergeCell ref="B2821:C2821"/>
    <mergeCell ref="B2822:C2822"/>
    <mergeCell ref="B2823:C2823"/>
    <mergeCell ref="B2824:C2824"/>
    <mergeCell ref="B2825:C2825"/>
    <mergeCell ref="B2826:C2826"/>
    <mergeCell ref="B2827:C2827"/>
    <mergeCell ref="B2828:C2828"/>
    <mergeCell ref="B2829:C2829"/>
    <mergeCell ref="B2830:C2830"/>
    <mergeCell ref="B2831:C2831"/>
    <mergeCell ref="B2832:C2832"/>
    <mergeCell ref="B2833:C2833"/>
    <mergeCell ref="B2834:C2834"/>
    <mergeCell ref="B2835:C2835"/>
    <mergeCell ref="B2836:C2836"/>
    <mergeCell ref="B2837:C2837"/>
    <mergeCell ref="B2838:C2838"/>
    <mergeCell ref="B2839:C2839"/>
    <mergeCell ref="B2840:C2840"/>
    <mergeCell ref="B2841:C2841"/>
    <mergeCell ref="B2842:C2842"/>
    <mergeCell ref="B2843:C2843"/>
    <mergeCell ref="B2844:C2844"/>
    <mergeCell ref="B2845:C2845"/>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72.88"/>
    <col customWidth="1" min="3" max="3" width="25.63"/>
    <col customWidth="1" min="4" max="4" width="7.63"/>
    <col customWidth="1" min="5" max="5" width="16.88"/>
    <col customWidth="1" min="6" max="6" width="11.38"/>
    <col customWidth="1" min="7" max="7" width="159.0"/>
  </cols>
  <sheetData>
    <row r="1">
      <c r="B1" s="1" t="s">
        <v>6073</v>
      </c>
    </row>
    <row r="2">
      <c r="A2" s="1" t="s">
        <v>266</v>
      </c>
      <c r="B2" s="21" t="s">
        <v>1</v>
      </c>
      <c r="C2" s="21" t="s">
        <v>79</v>
      </c>
      <c r="D2" s="21" t="s">
        <v>80</v>
      </c>
      <c r="E2" s="21" t="s">
        <v>82</v>
      </c>
      <c r="F2" s="21" t="s">
        <v>83</v>
      </c>
      <c r="G2" s="21" t="s">
        <v>84</v>
      </c>
    </row>
    <row r="3">
      <c r="A3" s="30" t="s">
        <v>277</v>
      </c>
      <c r="B3" s="22" t="s">
        <v>5</v>
      </c>
      <c r="C3" s="22" t="s">
        <v>87</v>
      </c>
      <c r="D3" s="23">
        <v>6600.0</v>
      </c>
      <c r="E3" s="23">
        <v>43.0</v>
      </c>
      <c r="F3" s="23">
        <v>4.22</v>
      </c>
      <c r="G3" s="22" t="s">
        <v>88</v>
      </c>
    </row>
    <row r="4">
      <c r="A4" s="28" t="s">
        <v>277</v>
      </c>
      <c r="B4" s="21" t="s">
        <v>12</v>
      </c>
      <c r="C4" s="21" t="s">
        <v>90</v>
      </c>
      <c r="D4" s="25">
        <v>6600.0</v>
      </c>
      <c r="E4" s="25">
        <v>35.0</v>
      </c>
      <c r="F4" s="25">
        <v>5.85</v>
      </c>
      <c r="G4" s="21" t="s">
        <v>91</v>
      </c>
    </row>
    <row r="5">
      <c r="A5" s="28" t="s">
        <v>277</v>
      </c>
      <c r="B5" s="21" t="s">
        <v>93</v>
      </c>
      <c r="C5" s="21" t="s">
        <v>87</v>
      </c>
      <c r="D5" s="25">
        <v>3600.0</v>
      </c>
      <c r="E5" s="25">
        <v>34.0</v>
      </c>
      <c r="F5" s="25">
        <v>4.19</v>
      </c>
      <c r="G5" s="21" t="s">
        <v>94</v>
      </c>
      <c r="H5" s="17">
        <f>F5*100</f>
        <v>419</v>
      </c>
      <c r="I5" s="1">
        <v>100.0</v>
      </c>
      <c r="J5" s="1">
        <v>3.0</v>
      </c>
      <c r="K5" s="17">
        <f>J5*400</f>
        <v>1200</v>
      </c>
      <c r="L5" s="17">
        <f>H5/J5</f>
        <v>139.6666667</v>
      </c>
    </row>
    <row r="6">
      <c r="A6" s="28" t="s">
        <v>277</v>
      </c>
      <c r="B6" s="21" t="s">
        <v>9</v>
      </c>
      <c r="C6" s="21" t="s">
        <v>87</v>
      </c>
      <c r="D6" s="25">
        <v>3600.0</v>
      </c>
      <c r="E6" s="25">
        <v>41.0</v>
      </c>
      <c r="F6" s="25">
        <v>4.67</v>
      </c>
      <c r="G6" s="21" t="s">
        <v>96</v>
      </c>
    </row>
    <row r="7">
      <c r="A7" s="28" t="s">
        <v>277</v>
      </c>
      <c r="B7" s="21" t="s">
        <v>19</v>
      </c>
      <c r="C7" s="21" t="s">
        <v>90</v>
      </c>
      <c r="D7" s="25">
        <v>3600.0</v>
      </c>
      <c r="E7" s="25">
        <v>42.0</v>
      </c>
      <c r="F7" s="25">
        <v>5.85</v>
      </c>
      <c r="G7" s="21" t="s">
        <v>97</v>
      </c>
    </row>
    <row r="8">
      <c r="A8" s="29"/>
      <c r="B8" s="29" t="s">
        <v>8</v>
      </c>
      <c r="C8" s="29" t="s">
        <v>117</v>
      </c>
      <c r="D8" s="33">
        <v>1900.0</v>
      </c>
      <c r="E8" s="33">
        <v>9.0</v>
      </c>
      <c r="F8" s="33">
        <v>3.7</v>
      </c>
      <c r="G8" s="29" t="s">
        <v>1111</v>
      </c>
    </row>
    <row r="9">
      <c r="A9" s="35" t="s">
        <v>277</v>
      </c>
      <c r="B9" s="36" t="s">
        <v>31</v>
      </c>
      <c r="C9" s="36" t="s">
        <v>99</v>
      </c>
      <c r="D9" s="37">
        <v>1900.0</v>
      </c>
      <c r="E9" s="37">
        <v>23.0</v>
      </c>
      <c r="F9" s="37">
        <v>1.07</v>
      </c>
      <c r="G9" s="36" t="s">
        <v>100</v>
      </c>
    </row>
    <row r="10">
      <c r="A10" s="28" t="s">
        <v>277</v>
      </c>
      <c r="B10" s="21" t="s">
        <v>159</v>
      </c>
      <c r="C10" s="21" t="s">
        <v>160</v>
      </c>
      <c r="D10" s="25">
        <v>1900.0</v>
      </c>
      <c r="E10" s="25">
        <v>38.0</v>
      </c>
      <c r="F10" s="25">
        <v>4.22</v>
      </c>
      <c r="G10" s="21" t="s">
        <v>161</v>
      </c>
    </row>
    <row r="11">
      <c r="A11" s="28" t="s">
        <v>267</v>
      </c>
      <c r="B11" s="21" t="s">
        <v>17</v>
      </c>
      <c r="C11" s="21" t="s">
        <v>87</v>
      </c>
      <c r="D11" s="25">
        <v>1900.0</v>
      </c>
      <c r="E11" s="25">
        <v>37.0</v>
      </c>
      <c r="F11" s="25">
        <v>4.22</v>
      </c>
      <c r="G11" s="21" t="s">
        <v>162</v>
      </c>
    </row>
    <row r="12">
      <c r="A12" s="29"/>
      <c r="B12" s="29" t="s">
        <v>120</v>
      </c>
      <c r="C12" s="29" t="s">
        <v>87</v>
      </c>
      <c r="D12" s="33">
        <v>1600.0</v>
      </c>
      <c r="E12" s="33">
        <v>29.0</v>
      </c>
      <c r="F12" s="33">
        <v>3.89</v>
      </c>
      <c r="G12" s="29" t="s">
        <v>121</v>
      </c>
    </row>
    <row r="13">
      <c r="A13" s="28" t="s">
        <v>277</v>
      </c>
      <c r="B13" s="21" t="s">
        <v>102</v>
      </c>
      <c r="C13" s="21" t="s">
        <v>90</v>
      </c>
      <c r="D13" s="25">
        <v>1600.0</v>
      </c>
      <c r="E13" s="25">
        <v>28.0</v>
      </c>
      <c r="F13" s="25">
        <v>5.56</v>
      </c>
      <c r="G13" s="21" t="s">
        <v>103</v>
      </c>
    </row>
    <row r="14">
      <c r="A14" s="21"/>
      <c r="B14" s="21" t="s">
        <v>6074</v>
      </c>
      <c r="C14" s="21" t="s">
        <v>117</v>
      </c>
      <c r="D14" s="25">
        <v>1300.0</v>
      </c>
      <c r="E14" s="25">
        <v>16.0</v>
      </c>
      <c r="F14" s="25">
        <v>3.41</v>
      </c>
      <c r="G14" s="21" t="s">
        <v>130</v>
      </c>
    </row>
    <row r="15">
      <c r="A15" s="21"/>
      <c r="B15" s="21" t="s">
        <v>15</v>
      </c>
      <c r="C15" s="21" t="s">
        <v>87</v>
      </c>
      <c r="D15" s="25">
        <v>1300.0</v>
      </c>
      <c r="E15" s="25">
        <v>35.0</v>
      </c>
      <c r="F15" s="25">
        <v>3.96</v>
      </c>
      <c r="G15" s="21" t="s">
        <v>6075</v>
      </c>
    </row>
    <row r="16">
      <c r="A16" s="29"/>
      <c r="B16" s="29" t="s">
        <v>24</v>
      </c>
      <c r="C16" s="29" t="s">
        <v>117</v>
      </c>
      <c r="D16" s="33">
        <v>1300.0</v>
      </c>
      <c r="E16" s="33">
        <v>13.0</v>
      </c>
      <c r="F16" s="33">
        <v>3.7</v>
      </c>
      <c r="G16" s="29" t="s">
        <v>893</v>
      </c>
    </row>
    <row r="17">
      <c r="A17" s="28" t="s">
        <v>277</v>
      </c>
      <c r="B17" s="21" t="s">
        <v>105</v>
      </c>
      <c r="C17" s="21" t="s">
        <v>90</v>
      </c>
      <c r="D17" s="25">
        <v>1000.0</v>
      </c>
      <c r="E17" s="25">
        <v>27.0</v>
      </c>
      <c r="F17" s="25">
        <v>5.47</v>
      </c>
      <c r="G17" s="21" t="s">
        <v>103</v>
      </c>
    </row>
    <row r="18">
      <c r="A18" s="21"/>
      <c r="B18" s="21" t="s">
        <v>6076</v>
      </c>
      <c r="C18" s="21" t="s">
        <v>87</v>
      </c>
      <c r="D18" s="25">
        <v>1000.0</v>
      </c>
      <c r="E18" s="25">
        <v>6.0</v>
      </c>
      <c r="F18" s="25">
        <v>0.0</v>
      </c>
      <c r="G18" s="21" t="s">
        <v>6077</v>
      </c>
    </row>
    <row r="19">
      <c r="A19" s="21"/>
      <c r="B19" s="21" t="s">
        <v>6078</v>
      </c>
      <c r="C19" s="21" t="s">
        <v>117</v>
      </c>
      <c r="D19" s="25">
        <v>1000.0</v>
      </c>
      <c r="E19" s="25">
        <v>33.0</v>
      </c>
      <c r="F19" s="25">
        <v>1.16</v>
      </c>
      <c r="G19" s="21" t="s">
        <v>6079</v>
      </c>
    </row>
    <row r="20">
      <c r="A20" s="21"/>
      <c r="B20" s="21" t="s">
        <v>6080</v>
      </c>
      <c r="C20" s="21" t="s">
        <v>117</v>
      </c>
      <c r="D20" s="25">
        <v>1000.0</v>
      </c>
      <c r="E20" s="25">
        <v>16.0</v>
      </c>
      <c r="F20" s="25">
        <v>3.48</v>
      </c>
      <c r="G20" s="21" t="s">
        <v>955</v>
      </c>
    </row>
    <row r="21">
      <c r="A21" s="21"/>
      <c r="B21" s="21" t="s">
        <v>18</v>
      </c>
      <c r="C21" s="21" t="s">
        <v>87</v>
      </c>
      <c r="D21" s="25">
        <v>1000.0</v>
      </c>
      <c r="E21" s="25">
        <v>40.0</v>
      </c>
      <c r="F21" s="25">
        <v>2.67</v>
      </c>
      <c r="G21" s="21" t="s">
        <v>174</v>
      </c>
    </row>
    <row r="22">
      <c r="A22" s="21"/>
      <c r="B22" s="21" t="s">
        <v>6081</v>
      </c>
      <c r="C22" s="21" t="s">
        <v>117</v>
      </c>
      <c r="D22" s="25">
        <v>880.0</v>
      </c>
      <c r="E22" s="25">
        <v>21.0</v>
      </c>
      <c r="F22" s="25">
        <v>0.99</v>
      </c>
      <c r="G22" s="21" t="s">
        <v>6082</v>
      </c>
    </row>
    <row r="23">
      <c r="A23" s="21"/>
      <c r="B23" s="21" t="s">
        <v>6083</v>
      </c>
      <c r="C23" s="21" t="s">
        <v>87</v>
      </c>
      <c r="D23" s="25">
        <v>880.0</v>
      </c>
      <c r="E23" s="25">
        <v>30.0</v>
      </c>
      <c r="F23" s="25">
        <v>1.07</v>
      </c>
      <c r="G23" s="21" t="s">
        <v>6084</v>
      </c>
    </row>
    <row r="24">
      <c r="A24" s="21"/>
      <c r="B24" s="21" t="s">
        <v>6085</v>
      </c>
      <c r="C24" s="21" t="s">
        <v>117</v>
      </c>
      <c r="D24" s="25">
        <v>720.0</v>
      </c>
      <c r="E24" s="25">
        <v>26.0</v>
      </c>
      <c r="F24" s="25">
        <v>0.99</v>
      </c>
      <c r="G24" s="21" t="s">
        <v>1039</v>
      </c>
    </row>
    <row r="25">
      <c r="A25" s="21"/>
      <c r="B25" s="21" t="s">
        <v>6086</v>
      </c>
      <c r="C25" s="21" t="s">
        <v>90</v>
      </c>
      <c r="D25" s="25">
        <v>720.0</v>
      </c>
      <c r="E25" s="25">
        <v>0.0</v>
      </c>
      <c r="F25" s="25">
        <v>0.0</v>
      </c>
      <c r="G25" s="21" t="s">
        <v>6087</v>
      </c>
    </row>
    <row r="26">
      <c r="A26" s="21"/>
      <c r="B26" s="21" t="s">
        <v>6088</v>
      </c>
      <c r="C26" s="21" t="s">
        <v>117</v>
      </c>
      <c r="D26" s="25">
        <v>720.0</v>
      </c>
      <c r="E26" s="25">
        <v>7.0</v>
      </c>
      <c r="F26" s="25">
        <v>5.3</v>
      </c>
      <c r="G26" s="21" t="s">
        <v>6089</v>
      </c>
    </row>
    <row r="27">
      <c r="A27" s="28" t="s">
        <v>277</v>
      </c>
      <c r="B27" s="21" t="s">
        <v>163</v>
      </c>
      <c r="C27" s="21" t="s">
        <v>87</v>
      </c>
      <c r="D27" s="25">
        <v>720.0</v>
      </c>
      <c r="E27" s="25">
        <v>15.0</v>
      </c>
      <c r="F27" s="25">
        <v>3.71</v>
      </c>
      <c r="G27" s="21" t="s">
        <v>164</v>
      </c>
    </row>
    <row r="28">
      <c r="A28" s="21"/>
      <c r="B28" s="21" t="s">
        <v>6090</v>
      </c>
      <c r="C28" s="21" t="s">
        <v>87</v>
      </c>
      <c r="D28" s="25">
        <v>720.0</v>
      </c>
      <c r="E28" s="25">
        <v>18.0</v>
      </c>
      <c r="F28" s="25">
        <v>0.0</v>
      </c>
      <c r="G28" s="21" t="s">
        <v>6091</v>
      </c>
    </row>
    <row r="29">
      <c r="A29" s="21"/>
      <c r="B29" s="21" t="s">
        <v>30</v>
      </c>
      <c r="C29" s="21" t="s">
        <v>90</v>
      </c>
      <c r="D29" s="25">
        <v>720.0</v>
      </c>
      <c r="E29" s="25">
        <v>17.0</v>
      </c>
      <c r="F29" s="25">
        <v>3.65</v>
      </c>
      <c r="G29" s="21" t="s">
        <v>1124</v>
      </c>
    </row>
    <row r="30">
      <c r="A30" s="21"/>
      <c r="B30" s="21" t="s">
        <v>6092</v>
      </c>
      <c r="C30" s="21" t="s">
        <v>117</v>
      </c>
      <c r="D30" s="25">
        <v>720.0</v>
      </c>
      <c r="E30" s="25">
        <v>20.0</v>
      </c>
      <c r="F30" s="25">
        <v>6.35</v>
      </c>
      <c r="G30" s="21" t="s">
        <v>6093</v>
      </c>
    </row>
    <row r="31">
      <c r="A31" s="28" t="s">
        <v>277</v>
      </c>
      <c r="B31" s="21" t="s">
        <v>165</v>
      </c>
      <c r="C31" s="21" t="s">
        <v>87</v>
      </c>
      <c r="D31" s="25">
        <v>590.0</v>
      </c>
      <c r="E31" s="25">
        <v>21.0</v>
      </c>
      <c r="F31" s="25">
        <v>3.31</v>
      </c>
      <c r="G31" s="21" t="s">
        <v>166</v>
      </c>
    </row>
    <row r="32">
      <c r="A32" s="21"/>
      <c r="B32" s="21" t="s">
        <v>6094</v>
      </c>
      <c r="C32" s="21" t="s">
        <v>87</v>
      </c>
      <c r="D32" s="25">
        <v>590.0</v>
      </c>
      <c r="E32" s="25">
        <v>26.0</v>
      </c>
      <c r="F32" s="25">
        <v>8.54</v>
      </c>
      <c r="G32" s="21" t="s">
        <v>1007</v>
      </c>
    </row>
    <row r="33">
      <c r="A33" s="21"/>
      <c r="B33" s="21" t="s">
        <v>6095</v>
      </c>
      <c r="D33" s="25">
        <v>590.0</v>
      </c>
      <c r="E33" s="25">
        <v>16.0</v>
      </c>
      <c r="F33" s="25">
        <v>3.41</v>
      </c>
      <c r="G33" s="21" t="s">
        <v>6096</v>
      </c>
    </row>
    <row r="34">
      <c r="A34" s="21"/>
      <c r="B34" s="21" t="s">
        <v>6097</v>
      </c>
      <c r="C34" s="21" t="s">
        <v>117</v>
      </c>
      <c r="D34" s="25">
        <v>590.0</v>
      </c>
      <c r="E34" s="25">
        <v>42.0</v>
      </c>
      <c r="F34" s="25">
        <v>1.07</v>
      </c>
      <c r="G34" s="21" t="s">
        <v>499</v>
      </c>
    </row>
    <row r="35">
      <c r="A35" s="21"/>
      <c r="B35" s="21" t="s">
        <v>6098</v>
      </c>
      <c r="C35" s="21" t="s">
        <v>117</v>
      </c>
      <c r="D35" s="25">
        <v>590.0</v>
      </c>
      <c r="E35" s="25">
        <v>20.0</v>
      </c>
      <c r="F35" s="25">
        <v>2.96</v>
      </c>
      <c r="G35" s="21" t="s">
        <v>6099</v>
      </c>
    </row>
    <row r="36">
      <c r="A36" s="21"/>
      <c r="B36" s="21" t="s">
        <v>6100</v>
      </c>
      <c r="C36" s="21" t="s">
        <v>117</v>
      </c>
      <c r="D36" s="25">
        <v>590.0</v>
      </c>
      <c r="E36" s="25">
        <v>15.0</v>
      </c>
      <c r="F36" s="25">
        <v>2.82</v>
      </c>
      <c r="G36" s="21" t="s">
        <v>476</v>
      </c>
    </row>
    <row r="37">
      <c r="A37" s="21"/>
      <c r="B37" s="21" t="s">
        <v>6101</v>
      </c>
      <c r="C37" s="21" t="s">
        <v>117</v>
      </c>
      <c r="D37" s="25">
        <v>590.0</v>
      </c>
      <c r="E37" s="25">
        <v>31.0</v>
      </c>
      <c r="F37" s="25">
        <v>2.53</v>
      </c>
      <c r="G37" s="21" t="s">
        <v>106</v>
      </c>
    </row>
    <row r="38">
      <c r="A38" s="21"/>
      <c r="B38" s="21" t="s">
        <v>6102</v>
      </c>
      <c r="C38" s="21" t="s">
        <v>87</v>
      </c>
      <c r="D38" s="25">
        <v>590.0</v>
      </c>
      <c r="E38" s="25">
        <v>23.0</v>
      </c>
      <c r="F38" s="25">
        <v>4.22</v>
      </c>
      <c r="G38" s="21" t="s">
        <v>6103</v>
      </c>
    </row>
    <row r="39">
      <c r="A39" s="21"/>
      <c r="B39" s="21" t="s">
        <v>25</v>
      </c>
      <c r="C39" s="21" t="s">
        <v>117</v>
      </c>
      <c r="D39" s="25">
        <v>590.0</v>
      </c>
      <c r="E39" s="25">
        <v>36.0</v>
      </c>
      <c r="F39" s="25">
        <v>2.7</v>
      </c>
      <c r="G39" s="21" t="s">
        <v>1005</v>
      </c>
    </row>
    <row r="40">
      <c r="A40" s="21"/>
      <c r="B40" s="21" t="s">
        <v>6104</v>
      </c>
      <c r="C40" s="21" t="s">
        <v>117</v>
      </c>
      <c r="D40" s="25">
        <v>590.0</v>
      </c>
      <c r="E40" s="25">
        <v>16.0</v>
      </c>
      <c r="F40" s="25">
        <v>3.7</v>
      </c>
      <c r="G40" s="21" t="s">
        <v>6105</v>
      </c>
    </row>
    <row r="41">
      <c r="A41" s="21"/>
      <c r="B41" s="21" t="s">
        <v>6106</v>
      </c>
      <c r="C41" s="21" t="s">
        <v>90</v>
      </c>
      <c r="D41" s="25">
        <v>590.0</v>
      </c>
      <c r="E41" s="25">
        <v>26.0</v>
      </c>
      <c r="F41" s="25">
        <v>5.85</v>
      </c>
      <c r="G41" s="21" t="s">
        <v>97</v>
      </c>
    </row>
    <row r="42">
      <c r="A42" s="21"/>
      <c r="B42" s="21" t="s">
        <v>16</v>
      </c>
      <c r="C42" s="21" t="s">
        <v>117</v>
      </c>
      <c r="D42" s="25">
        <v>590.0</v>
      </c>
      <c r="E42" s="25">
        <v>25.0</v>
      </c>
      <c r="F42" s="25">
        <v>5.3</v>
      </c>
      <c r="G42" s="21" t="s">
        <v>6107</v>
      </c>
    </row>
    <row r="43">
      <c r="A43" s="21"/>
      <c r="B43" s="21" t="s">
        <v>11</v>
      </c>
      <c r="C43" s="21" t="s">
        <v>87</v>
      </c>
      <c r="D43" s="25">
        <v>590.0</v>
      </c>
      <c r="E43" s="25">
        <v>46.0</v>
      </c>
      <c r="F43" s="25">
        <v>5.2</v>
      </c>
      <c r="G43" s="21" t="s">
        <v>6108</v>
      </c>
    </row>
    <row r="44">
      <c r="A44" s="21"/>
      <c r="B44" s="21" t="s">
        <v>6109</v>
      </c>
      <c r="C44" s="21" t="s">
        <v>87</v>
      </c>
      <c r="D44" s="25">
        <v>590.0</v>
      </c>
      <c r="E44" s="25">
        <v>31.0</v>
      </c>
      <c r="F44" s="25">
        <v>4.67</v>
      </c>
      <c r="G44" s="21" t="s">
        <v>6110</v>
      </c>
    </row>
    <row r="45">
      <c r="A45" s="21"/>
      <c r="B45" s="21" t="s">
        <v>29</v>
      </c>
      <c r="C45" s="21" t="s">
        <v>87</v>
      </c>
      <c r="D45" s="25">
        <v>480.0</v>
      </c>
      <c r="E45" s="25">
        <v>42.0</v>
      </c>
      <c r="F45" s="25">
        <v>3.89</v>
      </c>
      <c r="G45" s="21" t="s">
        <v>106</v>
      </c>
    </row>
    <row r="46">
      <c r="A46" s="29"/>
      <c r="B46" s="29" t="s">
        <v>6111</v>
      </c>
      <c r="C46" s="29" t="s">
        <v>160</v>
      </c>
      <c r="D46" s="33">
        <v>480.0</v>
      </c>
      <c r="E46" s="33">
        <v>6.0</v>
      </c>
      <c r="F46" s="33">
        <v>3.41</v>
      </c>
      <c r="G46" s="29" t="s">
        <v>429</v>
      </c>
    </row>
    <row r="47">
      <c r="A47" s="21"/>
      <c r="B47" s="21" t="s">
        <v>6112</v>
      </c>
      <c r="C47" s="21" t="s">
        <v>117</v>
      </c>
      <c r="D47" s="25">
        <v>480.0</v>
      </c>
      <c r="E47" s="25">
        <v>48.0</v>
      </c>
      <c r="F47" s="25">
        <v>0.95</v>
      </c>
      <c r="G47" s="21" t="s">
        <v>1005</v>
      </c>
    </row>
    <row r="48">
      <c r="A48" s="21"/>
      <c r="B48" s="21" t="s">
        <v>6113</v>
      </c>
      <c r="C48" s="21" t="s">
        <v>117</v>
      </c>
      <c r="D48" s="25">
        <v>480.0</v>
      </c>
      <c r="E48" s="25">
        <v>21.0</v>
      </c>
      <c r="F48" s="25">
        <v>2.68</v>
      </c>
      <c r="G48" s="21" t="s">
        <v>130</v>
      </c>
    </row>
    <row r="49">
      <c r="A49" s="21"/>
      <c r="B49" s="21" t="s">
        <v>6114</v>
      </c>
      <c r="C49" s="21" t="s">
        <v>117</v>
      </c>
      <c r="D49" s="25">
        <v>480.0</v>
      </c>
      <c r="E49" s="25">
        <v>19.0</v>
      </c>
      <c r="F49" s="25">
        <v>2.68</v>
      </c>
      <c r="G49" s="21" t="s">
        <v>130</v>
      </c>
    </row>
    <row r="50">
      <c r="A50" s="21"/>
      <c r="B50" s="21" t="s">
        <v>6115</v>
      </c>
      <c r="C50" s="21" t="s">
        <v>117</v>
      </c>
      <c r="D50" s="25">
        <v>480.0</v>
      </c>
      <c r="E50" s="25">
        <v>25.0</v>
      </c>
      <c r="F50" s="25">
        <v>0.99</v>
      </c>
      <c r="G50" s="21" t="s">
        <v>6116</v>
      </c>
    </row>
    <row r="51">
      <c r="A51" s="21"/>
      <c r="B51" s="21" t="s">
        <v>6117</v>
      </c>
      <c r="C51" s="21" t="s">
        <v>117</v>
      </c>
      <c r="D51" s="25">
        <v>480.0</v>
      </c>
      <c r="E51" s="25">
        <v>32.0</v>
      </c>
      <c r="F51" s="25">
        <v>3.62</v>
      </c>
      <c r="G51" s="21" t="s">
        <v>6118</v>
      </c>
    </row>
    <row r="52">
      <c r="A52" s="21"/>
      <c r="B52" s="21" t="s">
        <v>6119</v>
      </c>
      <c r="C52" s="21" t="s">
        <v>117</v>
      </c>
      <c r="D52" s="25">
        <v>480.0</v>
      </c>
      <c r="E52" s="25">
        <v>22.0</v>
      </c>
      <c r="F52" s="25">
        <v>2.97</v>
      </c>
      <c r="G52" s="21" t="s">
        <v>6120</v>
      </c>
    </row>
    <row r="53">
      <c r="A53" s="21"/>
      <c r="B53" s="21" t="s">
        <v>6121</v>
      </c>
      <c r="C53" s="21" t="s">
        <v>90</v>
      </c>
      <c r="D53" s="25">
        <v>480.0</v>
      </c>
      <c r="E53" s="25">
        <v>13.0</v>
      </c>
      <c r="F53" s="25">
        <v>3.65</v>
      </c>
      <c r="G53" s="21" t="s">
        <v>188</v>
      </c>
    </row>
    <row r="54">
      <c r="A54" s="21"/>
      <c r="B54" s="21" t="s">
        <v>6122</v>
      </c>
      <c r="C54" s="21" t="s">
        <v>87</v>
      </c>
      <c r="D54" s="25">
        <v>480.0</v>
      </c>
      <c r="E54" s="25">
        <v>36.0</v>
      </c>
      <c r="F54" s="25">
        <v>4.17</v>
      </c>
      <c r="G54" s="21" t="s">
        <v>147</v>
      </c>
    </row>
    <row r="55">
      <c r="A55" s="21"/>
      <c r="B55" s="21" t="s">
        <v>33</v>
      </c>
      <c r="C55" s="21" t="s">
        <v>90</v>
      </c>
      <c r="D55" s="25">
        <v>480.0</v>
      </c>
      <c r="E55" s="25">
        <v>21.0</v>
      </c>
      <c r="F55" s="25">
        <v>3.39</v>
      </c>
      <c r="G55" s="21" t="s">
        <v>103</v>
      </c>
    </row>
    <row r="56">
      <c r="A56" s="21"/>
      <c r="B56" s="21" t="s">
        <v>6123</v>
      </c>
      <c r="C56" s="21" t="s">
        <v>90</v>
      </c>
      <c r="D56" s="25">
        <v>480.0</v>
      </c>
      <c r="E56" s="25">
        <v>43.0</v>
      </c>
      <c r="F56" s="25">
        <v>5.83</v>
      </c>
      <c r="G56" s="21" t="s">
        <v>1106</v>
      </c>
    </row>
    <row r="57">
      <c r="A57" s="21"/>
      <c r="B57" s="21" t="s">
        <v>6124</v>
      </c>
      <c r="C57" s="21" t="s">
        <v>87</v>
      </c>
      <c r="D57" s="25">
        <v>390.0</v>
      </c>
      <c r="E57" s="25">
        <v>24.0</v>
      </c>
      <c r="F57" s="25">
        <v>4.22</v>
      </c>
      <c r="G57" s="21" t="s">
        <v>6125</v>
      </c>
    </row>
    <row r="58">
      <c r="A58" s="21"/>
      <c r="B58" s="21" t="s">
        <v>108</v>
      </c>
      <c r="C58" s="21" t="s">
        <v>87</v>
      </c>
      <c r="D58" s="25">
        <v>390.0</v>
      </c>
      <c r="E58" s="25">
        <v>38.0</v>
      </c>
      <c r="F58" s="25">
        <v>3.89</v>
      </c>
      <c r="G58" s="21" t="s">
        <v>109</v>
      </c>
    </row>
    <row r="59">
      <c r="A59" s="21"/>
      <c r="B59" s="21" t="s">
        <v>6126</v>
      </c>
      <c r="D59" s="25">
        <v>390.0</v>
      </c>
      <c r="E59" s="27"/>
      <c r="F59" s="25">
        <v>4.22</v>
      </c>
      <c r="G59" s="27"/>
    </row>
    <row r="60">
      <c r="A60" s="21"/>
      <c r="B60" s="21" t="s">
        <v>6127</v>
      </c>
      <c r="C60" s="21" t="s">
        <v>87</v>
      </c>
      <c r="D60" s="25">
        <v>390.0</v>
      </c>
      <c r="E60" s="25">
        <v>35.0</v>
      </c>
      <c r="F60" s="25">
        <v>5.94</v>
      </c>
      <c r="G60" s="21" t="s">
        <v>6128</v>
      </c>
    </row>
    <row r="61">
      <c r="A61" s="21"/>
      <c r="B61" s="21" t="s">
        <v>32</v>
      </c>
      <c r="C61" s="21" t="s">
        <v>87</v>
      </c>
      <c r="D61" s="25">
        <v>390.0</v>
      </c>
      <c r="E61" s="25">
        <v>38.0</v>
      </c>
      <c r="F61" s="25">
        <v>5.94</v>
      </c>
      <c r="G61" s="21" t="s">
        <v>1124</v>
      </c>
    </row>
    <row r="62">
      <c r="A62" s="21"/>
      <c r="B62" s="21" t="s">
        <v>6129</v>
      </c>
      <c r="C62" s="21" t="s">
        <v>87</v>
      </c>
      <c r="D62" s="25">
        <v>390.0</v>
      </c>
      <c r="E62" s="25">
        <v>27.0</v>
      </c>
      <c r="F62" s="25">
        <v>7.28</v>
      </c>
      <c r="G62" s="21" t="s">
        <v>212</v>
      </c>
    </row>
    <row r="63">
      <c r="A63" s="21"/>
      <c r="B63" s="21" t="s">
        <v>6130</v>
      </c>
      <c r="C63" s="21" t="s">
        <v>87</v>
      </c>
      <c r="D63" s="25">
        <v>390.0</v>
      </c>
      <c r="E63" s="25">
        <v>31.0</v>
      </c>
      <c r="F63" s="25">
        <v>4.51</v>
      </c>
      <c r="G63" s="21" t="s">
        <v>1413</v>
      </c>
    </row>
    <row r="64">
      <c r="A64" s="21"/>
      <c r="B64" s="21" t="s">
        <v>6131</v>
      </c>
      <c r="C64" s="21" t="s">
        <v>160</v>
      </c>
      <c r="D64" s="25">
        <v>390.0</v>
      </c>
      <c r="E64" s="25">
        <v>21.0</v>
      </c>
      <c r="F64" s="25">
        <v>4.22</v>
      </c>
      <c r="G64" s="21" t="s">
        <v>6132</v>
      </c>
    </row>
    <row r="65">
      <c r="A65" s="21"/>
      <c r="B65" s="21" t="s">
        <v>28</v>
      </c>
      <c r="C65" s="21" t="s">
        <v>90</v>
      </c>
      <c r="D65" s="25">
        <v>390.0</v>
      </c>
      <c r="E65" s="25">
        <v>20.0</v>
      </c>
      <c r="F65" s="25">
        <v>3.12</v>
      </c>
      <c r="G65" s="21" t="s">
        <v>1124</v>
      </c>
    </row>
    <row r="66">
      <c r="A66" s="21"/>
      <c r="B66" s="21" t="s">
        <v>6133</v>
      </c>
      <c r="C66" s="21" t="s">
        <v>90</v>
      </c>
      <c r="D66" s="25">
        <v>390.0</v>
      </c>
      <c r="E66" s="25">
        <v>35.0</v>
      </c>
      <c r="F66" s="25">
        <v>0.75</v>
      </c>
      <c r="G66" s="21" t="s">
        <v>186</v>
      </c>
    </row>
    <row r="67">
      <c r="A67" s="21"/>
      <c r="B67" s="21" t="s">
        <v>6134</v>
      </c>
      <c r="C67" s="21" t="s">
        <v>117</v>
      </c>
      <c r="D67" s="25">
        <v>390.0</v>
      </c>
      <c r="E67" s="25">
        <v>27.0</v>
      </c>
      <c r="F67" s="25">
        <v>0.77</v>
      </c>
      <c r="G67" s="21" t="s">
        <v>6135</v>
      </c>
    </row>
    <row r="68">
      <c r="A68" s="21"/>
      <c r="B68" s="21" t="s">
        <v>6136</v>
      </c>
      <c r="C68" s="21" t="s">
        <v>90</v>
      </c>
      <c r="D68" s="25">
        <v>390.0</v>
      </c>
      <c r="E68" s="25">
        <v>24.0</v>
      </c>
      <c r="F68" s="25">
        <v>5.85</v>
      </c>
      <c r="G68" s="21" t="s">
        <v>188</v>
      </c>
    </row>
    <row r="69">
      <c r="A69" s="21"/>
      <c r="B69" s="21" t="s">
        <v>6137</v>
      </c>
      <c r="C69" s="21" t="s">
        <v>117</v>
      </c>
      <c r="D69" s="25">
        <v>390.0</v>
      </c>
      <c r="E69" s="25">
        <v>37.0</v>
      </c>
      <c r="F69" s="25">
        <v>5.2</v>
      </c>
      <c r="G69" s="21" t="s">
        <v>6138</v>
      </c>
    </row>
    <row r="70">
      <c r="A70" s="21"/>
      <c r="B70" s="21" t="s">
        <v>6139</v>
      </c>
      <c r="C70" s="21" t="s">
        <v>117</v>
      </c>
      <c r="D70" s="25">
        <v>390.0</v>
      </c>
      <c r="E70" s="25">
        <v>20.0</v>
      </c>
      <c r="F70" s="25">
        <v>3.7</v>
      </c>
      <c r="G70" s="21" t="s">
        <v>437</v>
      </c>
    </row>
    <row r="71">
      <c r="A71" s="21"/>
      <c r="B71" s="21" t="s">
        <v>26</v>
      </c>
      <c r="C71" s="21" t="s">
        <v>117</v>
      </c>
      <c r="D71" s="25">
        <v>390.0</v>
      </c>
      <c r="E71" s="25">
        <v>45.0</v>
      </c>
      <c r="F71" s="25">
        <v>3.62</v>
      </c>
      <c r="G71" s="21" t="s">
        <v>6140</v>
      </c>
    </row>
    <row r="72">
      <c r="A72" s="21"/>
      <c r="B72" s="21" t="s">
        <v>6141</v>
      </c>
      <c r="C72" s="21" t="s">
        <v>117</v>
      </c>
      <c r="D72" s="25">
        <v>390.0</v>
      </c>
      <c r="E72" s="25">
        <v>29.0</v>
      </c>
      <c r="F72" s="25">
        <v>2.97</v>
      </c>
      <c r="G72" s="21" t="s">
        <v>6142</v>
      </c>
    </row>
    <row r="73">
      <c r="A73" s="21"/>
      <c r="B73" s="21" t="s">
        <v>6143</v>
      </c>
      <c r="C73" s="21" t="s">
        <v>87</v>
      </c>
      <c r="D73" s="25">
        <v>390.0</v>
      </c>
      <c r="E73" s="25">
        <v>32.0</v>
      </c>
      <c r="F73" s="25">
        <v>3.69</v>
      </c>
      <c r="G73" s="21" t="s">
        <v>988</v>
      </c>
    </row>
    <row r="74">
      <c r="A74" s="21"/>
      <c r="B74" s="21" t="s">
        <v>6144</v>
      </c>
      <c r="C74" s="21" t="s">
        <v>117</v>
      </c>
      <c r="D74" s="25">
        <v>390.0</v>
      </c>
      <c r="E74" s="25">
        <v>21.0</v>
      </c>
      <c r="F74" s="25">
        <v>3.31</v>
      </c>
      <c r="G74" s="21" t="s">
        <v>6145</v>
      </c>
    </row>
    <row r="75">
      <c r="A75" s="21"/>
      <c r="B75" s="21" t="s">
        <v>6146</v>
      </c>
      <c r="C75" s="21" t="s">
        <v>90</v>
      </c>
      <c r="D75" s="25">
        <v>390.0</v>
      </c>
      <c r="E75" s="25">
        <v>14.0</v>
      </c>
      <c r="F75" s="25">
        <v>5.83</v>
      </c>
      <c r="G75" s="21" t="s">
        <v>886</v>
      </c>
    </row>
    <row r="76">
      <c r="A76" s="21"/>
      <c r="B76" s="21" t="s">
        <v>6147</v>
      </c>
      <c r="C76" s="21" t="s">
        <v>87</v>
      </c>
      <c r="D76" s="25">
        <v>390.0</v>
      </c>
      <c r="E76" s="25">
        <v>46.0</v>
      </c>
      <c r="F76" s="25">
        <v>5.13</v>
      </c>
      <c r="G76" s="21" t="s">
        <v>6148</v>
      </c>
    </row>
    <row r="77">
      <c r="A77" s="21"/>
      <c r="B77" s="21" t="s">
        <v>6149</v>
      </c>
      <c r="C77" s="21" t="s">
        <v>87</v>
      </c>
      <c r="D77" s="25">
        <v>390.0</v>
      </c>
      <c r="E77" s="25">
        <v>43.0</v>
      </c>
      <c r="F77" s="25">
        <v>4.67</v>
      </c>
      <c r="G77" s="21" t="s">
        <v>259</v>
      </c>
    </row>
    <row r="78">
      <c r="A78" s="21"/>
      <c r="B78" s="21" t="s">
        <v>6150</v>
      </c>
      <c r="C78" s="21" t="s">
        <v>117</v>
      </c>
      <c r="D78" s="25">
        <v>390.0</v>
      </c>
      <c r="E78" s="25">
        <v>12.0</v>
      </c>
      <c r="F78" s="25">
        <v>6.03</v>
      </c>
      <c r="G78" s="21" t="s">
        <v>6151</v>
      </c>
    </row>
    <row r="79">
      <c r="A79" s="21"/>
      <c r="B79" s="21" t="s">
        <v>6152</v>
      </c>
      <c r="C79" s="21" t="s">
        <v>117</v>
      </c>
      <c r="D79" s="25">
        <v>320.0</v>
      </c>
      <c r="E79" s="25">
        <v>9.0</v>
      </c>
      <c r="F79" s="25">
        <v>4.66</v>
      </c>
      <c r="G79" s="21" t="s">
        <v>1274</v>
      </c>
    </row>
    <row r="80">
      <c r="A80" s="21"/>
      <c r="B80" s="21" t="s">
        <v>6153</v>
      </c>
      <c r="C80" s="21" t="s">
        <v>87</v>
      </c>
      <c r="D80" s="25">
        <v>320.0</v>
      </c>
      <c r="E80" s="25">
        <v>22.0</v>
      </c>
      <c r="F80" s="25">
        <v>0.87</v>
      </c>
      <c r="G80" s="21" t="s">
        <v>186</v>
      </c>
    </row>
    <row r="81">
      <c r="A81" s="21"/>
      <c r="B81" s="21" t="s">
        <v>6154</v>
      </c>
      <c r="C81" s="21" t="s">
        <v>117</v>
      </c>
      <c r="D81" s="25">
        <v>320.0</v>
      </c>
      <c r="E81" s="25">
        <v>15.0</v>
      </c>
      <c r="F81" s="25">
        <v>3.5</v>
      </c>
      <c r="G81" s="21" t="s">
        <v>130</v>
      </c>
    </row>
    <row r="82">
      <c r="A82" s="21"/>
      <c r="B82" s="21" t="s">
        <v>6155</v>
      </c>
      <c r="C82" s="21" t="s">
        <v>117</v>
      </c>
      <c r="D82" s="25">
        <v>320.0</v>
      </c>
      <c r="E82" s="25">
        <v>9.0</v>
      </c>
      <c r="F82" s="25">
        <v>0.1</v>
      </c>
      <c r="G82" s="21" t="s">
        <v>6156</v>
      </c>
    </row>
    <row r="83">
      <c r="A83" s="21"/>
      <c r="B83" s="21" t="s">
        <v>6157</v>
      </c>
      <c r="C83" s="21" t="s">
        <v>117</v>
      </c>
      <c r="D83" s="25">
        <v>320.0</v>
      </c>
      <c r="E83" s="25">
        <v>12.0</v>
      </c>
      <c r="F83" s="25">
        <v>2.88</v>
      </c>
      <c r="G83" s="21" t="s">
        <v>6158</v>
      </c>
    </row>
    <row r="84">
      <c r="A84" s="21"/>
      <c r="B84" s="21" t="s">
        <v>6159</v>
      </c>
      <c r="C84" s="21" t="s">
        <v>117</v>
      </c>
      <c r="D84" s="25">
        <v>320.0</v>
      </c>
      <c r="E84" s="25">
        <v>39.0</v>
      </c>
      <c r="F84" s="25">
        <v>1.07</v>
      </c>
      <c r="G84" s="21" t="s">
        <v>6160</v>
      </c>
    </row>
    <row r="85">
      <c r="A85" s="21"/>
      <c r="B85" s="21" t="s">
        <v>6161</v>
      </c>
      <c r="C85" s="21" t="s">
        <v>87</v>
      </c>
      <c r="D85" s="25">
        <v>320.0</v>
      </c>
      <c r="E85" s="25">
        <v>31.0</v>
      </c>
      <c r="F85" s="25">
        <v>3.46</v>
      </c>
      <c r="G85" s="21" t="s">
        <v>6103</v>
      </c>
    </row>
    <row r="86">
      <c r="A86" s="21"/>
      <c r="B86" s="21" t="s">
        <v>6162</v>
      </c>
      <c r="C86" s="21" t="s">
        <v>117</v>
      </c>
      <c r="D86" s="25">
        <v>320.0</v>
      </c>
      <c r="E86" s="25">
        <v>12.0</v>
      </c>
      <c r="F86" s="25">
        <v>3.41</v>
      </c>
      <c r="G86" s="21" t="s">
        <v>1039</v>
      </c>
    </row>
    <row r="87">
      <c r="A87" s="21"/>
      <c r="B87" s="21" t="s">
        <v>6163</v>
      </c>
      <c r="C87" s="21" t="s">
        <v>117</v>
      </c>
      <c r="D87" s="25">
        <v>320.0</v>
      </c>
      <c r="E87" s="25">
        <v>8.0</v>
      </c>
      <c r="F87" s="25">
        <v>1.57</v>
      </c>
      <c r="G87" s="21" t="s">
        <v>6164</v>
      </c>
    </row>
    <row r="88">
      <c r="A88" s="21"/>
      <c r="B88" s="21" t="s">
        <v>6165</v>
      </c>
      <c r="C88" s="21" t="s">
        <v>87</v>
      </c>
      <c r="D88" s="25">
        <v>320.0</v>
      </c>
      <c r="E88" s="25">
        <v>9.0</v>
      </c>
      <c r="F88" s="25">
        <v>2.72</v>
      </c>
      <c r="G88" s="21" t="s">
        <v>6166</v>
      </c>
    </row>
    <row r="89">
      <c r="A89" s="21"/>
      <c r="B89" s="21" t="s">
        <v>6167</v>
      </c>
      <c r="C89" s="21" t="s">
        <v>117</v>
      </c>
      <c r="D89" s="25">
        <v>320.0</v>
      </c>
      <c r="E89" s="25">
        <v>18.0</v>
      </c>
      <c r="F89" s="25">
        <v>5.3</v>
      </c>
      <c r="G89" s="21" t="s">
        <v>6168</v>
      </c>
    </row>
    <row r="90">
      <c r="A90" s="21"/>
      <c r="B90" s="21" t="s">
        <v>6169</v>
      </c>
      <c r="C90" s="21" t="s">
        <v>87</v>
      </c>
      <c r="D90" s="25">
        <v>320.0</v>
      </c>
      <c r="E90" s="25">
        <v>20.0</v>
      </c>
      <c r="F90" s="25">
        <v>3.23</v>
      </c>
      <c r="G90" s="21" t="s">
        <v>6170</v>
      </c>
    </row>
    <row r="91">
      <c r="A91" s="21"/>
      <c r="B91" s="21" t="s">
        <v>6171</v>
      </c>
      <c r="C91" s="21" t="s">
        <v>117</v>
      </c>
      <c r="D91" s="25">
        <v>320.0</v>
      </c>
      <c r="E91" s="25">
        <v>38.0</v>
      </c>
      <c r="F91" s="25">
        <v>3.23</v>
      </c>
      <c r="G91" s="21" t="s">
        <v>174</v>
      </c>
    </row>
    <row r="92">
      <c r="A92" s="21"/>
      <c r="B92" s="21" t="s">
        <v>6172</v>
      </c>
      <c r="C92" s="21" t="s">
        <v>160</v>
      </c>
      <c r="D92" s="25">
        <v>320.0</v>
      </c>
      <c r="E92" s="25">
        <v>21.0</v>
      </c>
      <c r="F92" s="25">
        <v>3.83</v>
      </c>
      <c r="G92" s="21" t="s">
        <v>186</v>
      </c>
    </row>
    <row r="93">
      <c r="A93" s="21"/>
      <c r="B93" s="21" t="s">
        <v>6173</v>
      </c>
      <c r="C93" s="21" t="s">
        <v>90</v>
      </c>
      <c r="D93" s="25">
        <v>320.0</v>
      </c>
      <c r="E93" s="25">
        <v>35.0</v>
      </c>
      <c r="F93" s="25">
        <v>4.22</v>
      </c>
      <c r="G93" s="21" t="s">
        <v>6174</v>
      </c>
    </row>
    <row r="94">
      <c r="A94" s="21"/>
      <c r="B94" s="21" t="s">
        <v>6175</v>
      </c>
      <c r="C94" s="21" t="s">
        <v>87</v>
      </c>
      <c r="D94" s="25">
        <v>320.0</v>
      </c>
      <c r="E94" s="25">
        <v>31.0</v>
      </c>
      <c r="F94" s="25">
        <v>5.36</v>
      </c>
      <c r="G94" s="21" t="s">
        <v>6176</v>
      </c>
    </row>
    <row r="95">
      <c r="A95" s="21"/>
      <c r="B95" s="21" t="s">
        <v>5986</v>
      </c>
      <c r="C95" s="21" t="s">
        <v>90</v>
      </c>
      <c r="D95" s="25">
        <v>260.0</v>
      </c>
      <c r="E95" s="25">
        <v>23.0</v>
      </c>
      <c r="F95" s="25">
        <v>5.56</v>
      </c>
      <c r="G95" s="21" t="s">
        <v>5987</v>
      </c>
    </row>
    <row r="96">
      <c r="A96" s="21"/>
      <c r="B96" s="21" t="s">
        <v>6177</v>
      </c>
      <c r="C96" s="21" t="s">
        <v>90</v>
      </c>
      <c r="D96" s="25">
        <v>260.0</v>
      </c>
      <c r="E96" s="25">
        <v>26.0</v>
      </c>
      <c r="F96" s="25">
        <v>7.48</v>
      </c>
      <c r="G96" s="21" t="s">
        <v>212</v>
      </c>
    </row>
    <row r="97">
      <c r="A97" s="21"/>
      <c r="B97" s="21" t="s">
        <v>6178</v>
      </c>
      <c r="C97" s="21" t="s">
        <v>87</v>
      </c>
      <c r="D97" s="25">
        <v>260.0</v>
      </c>
      <c r="E97" s="25">
        <v>39.0</v>
      </c>
      <c r="F97" s="25">
        <v>5.73</v>
      </c>
      <c r="G97" s="21" t="s">
        <v>6179</v>
      </c>
    </row>
    <row r="98">
      <c r="A98" s="21"/>
      <c r="B98" s="21" t="s">
        <v>6180</v>
      </c>
      <c r="C98" s="21" t="s">
        <v>87</v>
      </c>
      <c r="D98" s="25">
        <v>260.0</v>
      </c>
      <c r="E98" s="25">
        <v>41.0</v>
      </c>
      <c r="F98" s="25">
        <v>5.18</v>
      </c>
      <c r="G98" s="21" t="s">
        <v>6181</v>
      </c>
    </row>
    <row r="99">
      <c r="A99" s="21"/>
      <c r="B99" s="21" t="s">
        <v>6182</v>
      </c>
      <c r="C99" s="21" t="s">
        <v>87</v>
      </c>
      <c r="D99" s="25">
        <v>260.0</v>
      </c>
      <c r="E99" s="25">
        <v>12.0</v>
      </c>
      <c r="F99" s="25">
        <v>3.08</v>
      </c>
      <c r="G99" s="21" t="s">
        <v>6183</v>
      </c>
    </row>
    <row r="100">
      <c r="A100" s="21"/>
      <c r="B100" s="21" t="s">
        <v>6184</v>
      </c>
      <c r="C100" s="21" t="s">
        <v>87</v>
      </c>
      <c r="D100" s="25">
        <v>260.0</v>
      </c>
      <c r="E100" s="25">
        <v>17.0</v>
      </c>
      <c r="F100" s="25">
        <v>3.16</v>
      </c>
      <c r="G100" s="21" t="s">
        <v>6166</v>
      </c>
    </row>
    <row r="101">
      <c r="A101" s="21"/>
      <c r="B101" s="21" t="s">
        <v>6185</v>
      </c>
      <c r="C101" s="21" t="s">
        <v>160</v>
      </c>
      <c r="D101" s="25">
        <v>260.0</v>
      </c>
      <c r="E101" s="25">
        <v>20.0</v>
      </c>
      <c r="F101" s="25">
        <v>3.83</v>
      </c>
      <c r="G101" s="21" t="s">
        <v>6186</v>
      </c>
    </row>
    <row r="102">
      <c r="A102" s="21"/>
      <c r="B102" s="21" t="s">
        <v>6187</v>
      </c>
      <c r="D102" s="25">
        <v>260.0</v>
      </c>
      <c r="E102" s="25">
        <v>21.0</v>
      </c>
      <c r="F102" s="25">
        <v>3.41</v>
      </c>
      <c r="G102" s="21" t="s">
        <v>6096</v>
      </c>
    </row>
    <row r="103">
      <c r="A103" s="21"/>
      <c r="B103" s="21" t="s">
        <v>6188</v>
      </c>
      <c r="C103" s="21" t="s">
        <v>117</v>
      </c>
      <c r="D103" s="25">
        <v>260.0</v>
      </c>
      <c r="E103" s="25">
        <v>13.0</v>
      </c>
      <c r="F103" s="25">
        <v>3.83</v>
      </c>
      <c r="G103" s="21" t="s">
        <v>429</v>
      </c>
    </row>
    <row r="104">
      <c r="A104" s="21"/>
      <c r="B104" s="21" t="s">
        <v>6189</v>
      </c>
      <c r="C104" s="21" t="s">
        <v>87</v>
      </c>
      <c r="D104" s="25">
        <v>260.0</v>
      </c>
      <c r="E104" s="25">
        <v>26.0</v>
      </c>
      <c r="F104" s="25">
        <v>0.46</v>
      </c>
      <c r="G104" s="21" t="s">
        <v>1083</v>
      </c>
    </row>
    <row r="105">
      <c r="A105" s="21"/>
      <c r="B105" s="21" t="s">
        <v>6190</v>
      </c>
      <c r="C105" s="21" t="s">
        <v>117</v>
      </c>
      <c r="D105" s="25">
        <v>260.0</v>
      </c>
      <c r="E105" s="25">
        <v>37.0</v>
      </c>
      <c r="F105" s="25">
        <v>0.69</v>
      </c>
      <c r="G105" s="21" t="s">
        <v>130</v>
      </c>
    </row>
    <row r="106">
      <c r="A106" s="21"/>
      <c r="B106" s="21" t="s">
        <v>6191</v>
      </c>
      <c r="C106" s="21" t="s">
        <v>117</v>
      </c>
      <c r="D106" s="25">
        <v>260.0</v>
      </c>
      <c r="E106" s="25">
        <v>26.0</v>
      </c>
      <c r="F106" s="25">
        <v>1.97</v>
      </c>
      <c r="G106" s="21" t="s">
        <v>170</v>
      </c>
    </row>
    <row r="107">
      <c r="A107" s="21"/>
      <c r="B107" s="21" t="s">
        <v>6192</v>
      </c>
      <c r="C107" s="21" t="s">
        <v>87</v>
      </c>
      <c r="D107" s="25">
        <v>260.0</v>
      </c>
      <c r="E107" s="25">
        <v>24.0</v>
      </c>
      <c r="F107" s="25">
        <v>5.04</v>
      </c>
      <c r="G107" s="21" t="s">
        <v>97</v>
      </c>
    </row>
    <row r="108">
      <c r="A108" s="21"/>
      <c r="B108" s="21" t="s">
        <v>6193</v>
      </c>
      <c r="C108" s="21" t="s">
        <v>87</v>
      </c>
      <c r="D108" s="25">
        <v>260.0</v>
      </c>
      <c r="E108" s="25">
        <v>34.0</v>
      </c>
      <c r="F108" s="25">
        <v>4.74</v>
      </c>
      <c r="G108" s="21" t="s">
        <v>174</v>
      </c>
    </row>
    <row r="109">
      <c r="A109" s="21"/>
      <c r="B109" s="21" t="s">
        <v>6194</v>
      </c>
      <c r="C109" s="21" t="s">
        <v>87</v>
      </c>
      <c r="D109" s="25">
        <v>260.0</v>
      </c>
      <c r="E109" s="25">
        <v>23.0</v>
      </c>
      <c r="F109" s="25">
        <v>3.31</v>
      </c>
      <c r="G109" s="21" t="s">
        <v>6195</v>
      </c>
    </row>
    <row r="110">
      <c r="A110" s="21"/>
      <c r="B110" s="21" t="s">
        <v>6196</v>
      </c>
      <c r="C110" s="21" t="s">
        <v>117</v>
      </c>
      <c r="D110" s="25">
        <v>260.0</v>
      </c>
      <c r="E110" s="25">
        <v>28.0</v>
      </c>
      <c r="F110" s="25">
        <v>3.44</v>
      </c>
      <c r="G110" s="21" t="s">
        <v>6093</v>
      </c>
    </row>
    <row r="111">
      <c r="A111" s="21"/>
      <c r="B111" s="21" t="s">
        <v>6197</v>
      </c>
      <c r="C111" s="21" t="s">
        <v>117</v>
      </c>
      <c r="D111" s="25">
        <v>260.0</v>
      </c>
      <c r="E111" s="25">
        <v>0.0</v>
      </c>
      <c r="F111" s="25">
        <v>2.95</v>
      </c>
      <c r="G111" s="21" t="s">
        <v>1479</v>
      </c>
    </row>
    <row r="112">
      <c r="A112" s="21"/>
      <c r="B112" s="21" t="s">
        <v>6198</v>
      </c>
      <c r="C112" s="21" t="s">
        <v>117</v>
      </c>
      <c r="D112" s="25">
        <v>260.0</v>
      </c>
      <c r="E112" s="25">
        <v>9.0</v>
      </c>
      <c r="F112" s="25">
        <v>2.88</v>
      </c>
      <c r="G112" s="21" t="s">
        <v>6199</v>
      </c>
    </row>
    <row r="113">
      <c r="A113" s="21"/>
      <c r="B113" s="21" t="s">
        <v>6200</v>
      </c>
      <c r="C113" s="21" t="s">
        <v>160</v>
      </c>
      <c r="D113" s="25">
        <v>260.0</v>
      </c>
      <c r="E113" s="25">
        <v>0.0</v>
      </c>
      <c r="F113" s="25">
        <v>3.41</v>
      </c>
      <c r="G113" s="21" t="s">
        <v>6201</v>
      </c>
    </row>
    <row r="114">
      <c r="A114" s="21"/>
      <c r="B114" s="21" t="s">
        <v>6202</v>
      </c>
      <c r="C114" s="21" t="s">
        <v>99</v>
      </c>
      <c r="D114" s="25">
        <v>210.0</v>
      </c>
      <c r="E114" s="25">
        <v>26.0</v>
      </c>
      <c r="F114" s="25">
        <v>1.11</v>
      </c>
      <c r="G114" s="21" t="s">
        <v>1011</v>
      </c>
    </row>
    <row r="115">
      <c r="A115" s="21"/>
      <c r="B115" s="21" t="s">
        <v>6203</v>
      </c>
      <c r="C115" s="21" t="s">
        <v>90</v>
      </c>
      <c r="D115" s="25">
        <v>210.0</v>
      </c>
      <c r="E115" s="25">
        <v>31.0</v>
      </c>
      <c r="F115" s="25">
        <v>3.35</v>
      </c>
      <c r="G115" s="21" t="s">
        <v>6204</v>
      </c>
    </row>
    <row r="116">
      <c r="A116" s="21"/>
      <c r="B116" s="21" t="s">
        <v>6205</v>
      </c>
      <c r="C116" s="21" t="s">
        <v>87</v>
      </c>
      <c r="D116" s="25">
        <v>210.0</v>
      </c>
      <c r="E116" s="25">
        <v>17.0</v>
      </c>
      <c r="F116" s="25">
        <v>3.79</v>
      </c>
      <c r="G116" s="21" t="s">
        <v>6206</v>
      </c>
    </row>
    <row r="117">
      <c r="A117" s="22"/>
      <c r="B117" s="22" t="s">
        <v>37</v>
      </c>
      <c r="C117" s="22" t="s">
        <v>87</v>
      </c>
      <c r="D117" s="23">
        <v>210.0</v>
      </c>
      <c r="E117" s="23">
        <v>36.0</v>
      </c>
      <c r="F117" s="23">
        <v>4.9</v>
      </c>
      <c r="G117" s="22" t="s">
        <v>155</v>
      </c>
    </row>
    <row r="118">
      <c r="A118" s="21"/>
      <c r="B118" s="21" t="s">
        <v>6207</v>
      </c>
      <c r="C118" s="21" t="s">
        <v>99</v>
      </c>
      <c r="D118" s="25">
        <v>210.0</v>
      </c>
      <c r="E118" s="25">
        <v>28.0</v>
      </c>
      <c r="F118" s="25">
        <v>1.15</v>
      </c>
      <c r="G118" s="21" t="s">
        <v>111</v>
      </c>
    </row>
    <row r="119">
      <c r="A119" s="21"/>
      <c r="B119" s="21" t="s">
        <v>6208</v>
      </c>
      <c r="C119" s="21" t="s">
        <v>90</v>
      </c>
      <c r="D119" s="25">
        <v>210.0</v>
      </c>
      <c r="E119" s="25">
        <v>18.0</v>
      </c>
      <c r="F119" s="25">
        <v>3.83</v>
      </c>
      <c r="G119" s="21" t="s">
        <v>6209</v>
      </c>
    </row>
    <row r="120">
      <c r="A120" s="21"/>
      <c r="B120" s="21" t="s">
        <v>6210</v>
      </c>
      <c r="C120" s="21" t="s">
        <v>87</v>
      </c>
      <c r="D120" s="25">
        <v>210.0</v>
      </c>
      <c r="E120" s="25">
        <v>39.0</v>
      </c>
      <c r="F120" s="25">
        <v>5.18</v>
      </c>
      <c r="G120" s="21" t="s">
        <v>1220</v>
      </c>
    </row>
    <row r="121">
      <c r="A121" s="21"/>
      <c r="B121" s="21" t="s">
        <v>6211</v>
      </c>
      <c r="C121" s="21" t="s">
        <v>87</v>
      </c>
      <c r="D121" s="25">
        <v>210.0</v>
      </c>
      <c r="E121" s="25">
        <v>28.0</v>
      </c>
      <c r="F121" s="25">
        <v>1.24</v>
      </c>
      <c r="G121" s="21" t="s">
        <v>6212</v>
      </c>
    </row>
    <row r="122">
      <c r="A122" s="21"/>
      <c r="B122" s="21" t="s">
        <v>6213</v>
      </c>
      <c r="C122" s="21" t="s">
        <v>117</v>
      </c>
      <c r="D122" s="25">
        <v>210.0</v>
      </c>
      <c r="E122" s="25">
        <v>17.0</v>
      </c>
      <c r="F122" s="25">
        <v>2.86</v>
      </c>
      <c r="G122" s="21" t="s">
        <v>130</v>
      </c>
    </row>
    <row r="123">
      <c r="A123" s="21"/>
      <c r="B123" s="21" t="s">
        <v>6214</v>
      </c>
      <c r="C123" s="21" t="s">
        <v>117</v>
      </c>
      <c r="D123" s="25">
        <v>210.0</v>
      </c>
      <c r="E123" s="25">
        <v>17.0</v>
      </c>
      <c r="F123" s="25">
        <v>2.5</v>
      </c>
      <c r="G123" s="21" t="s">
        <v>6215</v>
      </c>
    </row>
    <row r="124">
      <c r="A124" s="21"/>
      <c r="B124" s="21" t="s">
        <v>6216</v>
      </c>
      <c r="C124" s="21" t="s">
        <v>87</v>
      </c>
      <c r="D124" s="25">
        <v>210.0</v>
      </c>
      <c r="E124" s="25">
        <v>34.0</v>
      </c>
      <c r="F124" s="25">
        <v>11.77</v>
      </c>
      <c r="G124" s="21" t="s">
        <v>155</v>
      </c>
    </row>
    <row r="125">
      <c r="A125" s="21"/>
      <c r="B125" s="21" t="s">
        <v>6217</v>
      </c>
      <c r="C125" s="21" t="s">
        <v>117</v>
      </c>
      <c r="D125" s="25">
        <v>210.0</v>
      </c>
      <c r="E125" s="25">
        <v>50.0</v>
      </c>
      <c r="F125" s="25">
        <v>0.95</v>
      </c>
      <c r="G125" s="21" t="s">
        <v>6218</v>
      </c>
    </row>
    <row r="126">
      <c r="A126" s="21"/>
      <c r="B126" s="21" t="s">
        <v>6219</v>
      </c>
      <c r="C126" s="21" t="s">
        <v>117</v>
      </c>
      <c r="D126" s="25">
        <v>210.0</v>
      </c>
      <c r="E126" s="25">
        <v>2.0</v>
      </c>
      <c r="F126" s="25">
        <v>0.1</v>
      </c>
      <c r="G126" s="21" t="s">
        <v>463</v>
      </c>
    </row>
    <row r="127">
      <c r="A127" s="21"/>
      <c r="B127" s="21" t="s">
        <v>6220</v>
      </c>
      <c r="C127" s="21" t="s">
        <v>117</v>
      </c>
      <c r="D127" s="25">
        <v>210.0</v>
      </c>
      <c r="E127" s="25">
        <v>3.0</v>
      </c>
      <c r="F127" s="25">
        <v>3.6</v>
      </c>
      <c r="G127" s="21" t="s">
        <v>1228</v>
      </c>
    </row>
    <row r="128">
      <c r="A128" s="21"/>
      <c r="B128" s="21" t="s">
        <v>6221</v>
      </c>
      <c r="C128" s="21" t="s">
        <v>117</v>
      </c>
      <c r="D128" s="25">
        <v>210.0</v>
      </c>
      <c r="E128" s="25">
        <v>18.0</v>
      </c>
      <c r="F128" s="25">
        <v>2.83</v>
      </c>
      <c r="G128" s="21" t="s">
        <v>6222</v>
      </c>
    </row>
    <row r="129">
      <c r="A129" s="21"/>
      <c r="B129" s="21" t="s">
        <v>6223</v>
      </c>
      <c r="C129" s="21" t="s">
        <v>117</v>
      </c>
      <c r="D129" s="25">
        <v>210.0</v>
      </c>
      <c r="E129" s="25">
        <v>8.0</v>
      </c>
      <c r="F129" s="25">
        <v>1.21</v>
      </c>
      <c r="G129" s="21" t="s">
        <v>6224</v>
      </c>
    </row>
    <row r="130">
      <c r="A130" s="21"/>
      <c r="B130" s="21" t="s">
        <v>6225</v>
      </c>
      <c r="C130" s="21" t="s">
        <v>87</v>
      </c>
      <c r="D130" s="25">
        <v>210.0</v>
      </c>
      <c r="E130" s="25">
        <v>28.0</v>
      </c>
      <c r="F130" s="25">
        <v>4.62</v>
      </c>
      <c r="G130" s="21" t="s">
        <v>1093</v>
      </c>
    </row>
    <row r="131">
      <c r="A131" s="21"/>
      <c r="B131" s="21" t="s">
        <v>6226</v>
      </c>
      <c r="C131" s="21" t="s">
        <v>87</v>
      </c>
      <c r="D131" s="25">
        <v>210.0</v>
      </c>
      <c r="E131" s="25">
        <v>27.0</v>
      </c>
      <c r="F131" s="25">
        <v>5.45</v>
      </c>
      <c r="G131" s="21" t="s">
        <v>6227</v>
      </c>
    </row>
    <row r="132">
      <c r="A132" s="21"/>
      <c r="B132" s="21" t="s">
        <v>6228</v>
      </c>
      <c r="C132" s="21" t="s">
        <v>117</v>
      </c>
      <c r="D132" s="25">
        <v>210.0</v>
      </c>
      <c r="E132" s="25">
        <v>15.0</v>
      </c>
      <c r="F132" s="25">
        <v>6.35</v>
      </c>
      <c r="G132" s="21" t="s">
        <v>505</v>
      </c>
    </row>
    <row r="133">
      <c r="A133" s="21"/>
      <c r="B133" s="21" t="s">
        <v>6229</v>
      </c>
      <c r="C133" s="21" t="s">
        <v>87</v>
      </c>
      <c r="D133" s="25">
        <v>210.0</v>
      </c>
      <c r="E133" s="25">
        <v>32.0</v>
      </c>
      <c r="F133" s="25">
        <v>4.62</v>
      </c>
      <c r="G133" s="21" t="s">
        <v>6230</v>
      </c>
    </row>
    <row r="134">
      <c r="A134" s="21"/>
      <c r="B134" s="21" t="s">
        <v>21</v>
      </c>
      <c r="C134" s="21" t="s">
        <v>117</v>
      </c>
      <c r="D134" s="25">
        <v>210.0</v>
      </c>
      <c r="E134" s="25">
        <v>29.0</v>
      </c>
      <c r="F134" s="25">
        <v>2.97</v>
      </c>
      <c r="G134" s="21" t="s">
        <v>147</v>
      </c>
    </row>
    <row r="135">
      <c r="A135" s="21"/>
      <c r="B135" s="21" t="s">
        <v>6231</v>
      </c>
      <c r="C135" s="21" t="s">
        <v>87</v>
      </c>
      <c r="D135" s="25">
        <v>210.0</v>
      </c>
      <c r="E135" s="25">
        <v>18.0</v>
      </c>
      <c r="F135" s="25">
        <v>2.91</v>
      </c>
      <c r="G135" s="21" t="s">
        <v>972</v>
      </c>
    </row>
    <row r="136">
      <c r="A136" s="21"/>
      <c r="B136" s="21" t="s">
        <v>6232</v>
      </c>
      <c r="C136" s="21" t="s">
        <v>117</v>
      </c>
      <c r="D136" s="25">
        <v>210.0</v>
      </c>
      <c r="E136" s="25">
        <v>0.0</v>
      </c>
      <c r="F136" s="25">
        <v>1.61</v>
      </c>
      <c r="G136" s="21" t="s">
        <v>1255</v>
      </c>
    </row>
    <row r="137">
      <c r="A137" s="21"/>
      <c r="B137" s="21" t="s">
        <v>6233</v>
      </c>
      <c r="C137" s="21" t="s">
        <v>117</v>
      </c>
      <c r="D137" s="25">
        <v>210.0</v>
      </c>
      <c r="E137" s="25">
        <v>9.0</v>
      </c>
      <c r="F137" s="25">
        <v>2.93</v>
      </c>
      <c r="G137" s="21" t="s">
        <v>955</v>
      </c>
    </row>
    <row r="138">
      <c r="A138" s="21"/>
      <c r="B138" s="21" t="s">
        <v>6234</v>
      </c>
      <c r="C138" s="21" t="s">
        <v>87</v>
      </c>
      <c r="D138" s="25">
        <v>210.0</v>
      </c>
      <c r="E138" s="25">
        <v>8.0</v>
      </c>
      <c r="F138" s="25">
        <v>6.75</v>
      </c>
      <c r="G138" s="21" t="s">
        <v>1106</v>
      </c>
    </row>
    <row r="139">
      <c r="A139" s="21"/>
      <c r="B139" s="21" t="s">
        <v>6235</v>
      </c>
      <c r="C139" s="21" t="s">
        <v>87</v>
      </c>
      <c r="D139" s="25">
        <v>210.0</v>
      </c>
      <c r="E139" s="25">
        <v>42.0</v>
      </c>
      <c r="F139" s="25">
        <v>6.9</v>
      </c>
      <c r="G139" s="21" t="s">
        <v>966</v>
      </c>
    </row>
    <row r="140">
      <c r="A140" s="21"/>
      <c r="B140" s="21" t="s">
        <v>6236</v>
      </c>
      <c r="C140" s="21" t="s">
        <v>117</v>
      </c>
      <c r="D140" s="25">
        <v>210.0</v>
      </c>
      <c r="E140" s="25">
        <v>8.0</v>
      </c>
      <c r="F140" s="25">
        <v>2.5</v>
      </c>
      <c r="G140" s="21" t="s">
        <v>6237</v>
      </c>
    </row>
    <row r="141">
      <c r="A141" s="21"/>
      <c r="B141" s="21" t="s">
        <v>6238</v>
      </c>
      <c r="C141" s="21" t="s">
        <v>90</v>
      </c>
      <c r="D141" s="25">
        <v>210.0</v>
      </c>
      <c r="E141" s="25">
        <v>11.0</v>
      </c>
      <c r="F141" s="25">
        <v>6.71</v>
      </c>
      <c r="G141" s="21" t="s">
        <v>147</v>
      </c>
    </row>
    <row r="142">
      <c r="A142" s="21"/>
      <c r="B142" s="21" t="s">
        <v>6239</v>
      </c>
      <c r="C142" s="21" t="s">
        <v>87</v>
      </c>
      <c r="D142" s="25">
        <v>170.0</v>
      </c>
      <c r="E142" s="25">
        <v>45.0</v>
      </c>
      <c r="F142" s="25">
        <v>5.92</v>
      </c>
      <c r="G142" s="21" t="s">
        <v>97</v>
      </c>
    </row>
    <row r="143">
      <c r="A143" s="21"/>
      <c r="B143" s="21" t="s">
        <v>6240</v>
      </c>
      <c r="C143" s="21" t="s">
        <v>87</v>
      </c>
      <c r="D143" s="25">
        <v>170.0</v>
      </c>
      <c r="E143" s="25">
        <v>37.0</v>
      </c>
      <c r="F143" s="25">
        <v>4.39</v>
      </c>
      <c r="G143" s="21" t="s">
        <v>155</v>
      </c>
    </row>
    <row r="144">
      <c r="A144" s="21"/>
      <c r="B144" s="21" t="s">
        <v>6241</v>
      </c>
      <c r="C144" s="21" t="s">
        <v>87</v>
      </c>
      <c r="D144" s="25">
        <v>170.0</v>
      </c>
      <c r="E144" s="25">
        <v>43.0</v>
      </c>
      <c r="F144" s="25">
        <v>4.63</v>
      </c>
      <c r="G144" s="21" t="s">
        <v>147</v>
      </c>
    </row>
    <row r="145">
      <c r="A145" s="21"/>
      <c r="B145" s="21" t="s">
        <v>6242</v>
      </c>
      <c r="C145" s="21" t="s">
        <v>99</v>
      </c>
      <c r="D145" s="25">
        <v>170.0</v>
      </c>
      <c r="E145" s="25">
        <v>5.0</v>
      </c>
      <c r="F145" s="25">
        <v>0.56</v>
      </c>
      <c r="G145" s="21" t="s">
        <v>6243</v>
      </c>
    </row>
    <row r="146">
      <c r="A146" s="21"/>
      <c r="B146" s="21" t="s">
        <v>6244</v>
      </c>
      <c r="C146" s="21" t="s">
        <v>117</v>
      </c>
      <c r="D146" s="25">
        <v>170.0</v>
      </c>
      <c r="E146" s="25">
        <v>44.0</v>
      </c>
      <c r="F146" s="25">
        <v>0.95</v>
      </c>
      <c r="G146" s="21" t="s">
        <v>6245</v>
      </c>
    </row>
    <row r="147">
      <c r="A147" s="21"/>
      <c r="B147" s="21" t="s">
        <v>6246</v>
      </c>
      <c r="C147" s="21" t="s">
        <v>87</v>
      </c>
      <c r="D147" s="25">
        <v>170.0</v>
      </c>
      <c r="E147" s="25">
        <v>49.0</v>
      </c>
      <c r="F147" s="25">
        <v>0.95</v>
      </c>
      <c r="G147" s="21" t="s">
        <v>6218</v>
      </c>
    </row>
    <row r="148">
      <c r="A148" s="21"/>
      <c r="B148" s="21" t="s">
        <v>6247</v>
      </c>
      <c r="C148" s="21" t="s">
        <v>117</v>
      </c>
      <c r="D148" s="25">
        <v>170.0</v>
      </c>
      <c r="E148" s="25">
        <v>2.0</v>
      </c>
      <c r="F148" s="25">
        <v>0.1</v>
      </c>
      <c r="G148" s="21" t="s">
        <v>6248</v>
      </c>
    </row>
    <row r="149">
      <c r="A149" s="21"/>
      <c r="B149" s="21" t="s">
        <v>6249</v>
      </c>
      <c r="C149" s="21" t="s">
        <v>117</v>
      </c>
      <c r="D149" s="25">
        <v>170.0</v>
      </c>
      <c r="E149" s="25">
        <v>0.0</v>
      </c>
      <c r="F149" s="25">
        <v>3.6</v>
      </c>
      <c r="G149" s="21" t="s">
        <v>437</v>
      </c>
    </row>
    <row r="150">
      <c r="A150" s="21"/>
      <c r="B150" s="21" t="s">
        <v>6250</v>
      </c>
      <c r="C150" s="21" t="s">
        <v>117</v>
      </c>
      <c r="D150" s="25">
        <v>170.0</v>
      </c>
      <c r="E150" s="25">
        <v>3.0</v>
      </c>
      <c r="F150" s="25">
        <v>4.02</v>
      </c>
      <c r="G150" s="21" t="s">
        <v>6251</v>
      </c>
    </row>
    <row r="151">
      <c r="A151" s="21"/>
      <c r="B151" s="21" t="s">
        <v>6252</v>
      </c>
      <c r="C151" s="21" t="s">
        <v>117</v>
      </c>
      <c r="D151" s="25">
        <v>170.0</v>
      </c>
      <c r="E151" s="25">
        <v>3.0</v>
      </c>
      <c r="F151" s="25">
        <v>0.35</v>
      </c>
      <c r="G151" s="21" t="s">
        <v>6253</v>
      </c>
    </row>
    <row r="152">
      <c r="A152" s="21"/>
      <c r="B152" s="21" t="s">
        <v>6254</v>
      </c>
      <c r="C152" s="21" t="s">
        <v>117</v>
      </c>
      <c r="D152" s="25">
        <v>170.0</v>
      </c>
      <c r="E152" s="25">
        <v>5.0</v>
      </c>
      <c r="F152" s="25">
        <v>0.1</v>
      </c>
      <c r="G152" s="21" t="s">
        <v>6255</v>
      </c>
    </row>
    <row r="153">
      <c r="A153" s="21"/>
      <c r="B153" s="21" t="s">
        <v>157</v>
      </c>
      <c r="C153" s="21" t="s">
        <v>87</v>
      </c>
      <c r="D153" s="25">
        <v>170.0</v>
      </c>
      <c r="E153" s="25">
        <v>24.0</v>
      </c>
      <c r="F153" s="25">
        <v>3.89</v>
      </c>
      <c r="G153" s="21" t="s">
        <v>158</v>
      </c>
    </row>
    <row r="154">
      <c r="A154" s="21"/>
      <c r="B154" s="21" t="s">
        <v>6256</v>
      </c>
      <c r="C154" s="21" t="s">
        <v>117</v>
      </c>
      <c r="D154" s="25">
        <v>170.0</v>
      </c>
      <c r="E154" s="25">
        <v>24.0</v>
      </c>
      <c r="F154" s="25">
        <v>3.52</v>
      </c>
      <c r="G154" s="21" t="s">
        <v>1005</v>
      </c>
    </row>
    <row r="155">
      <c r="A155" s="21"/>
      <c r="B155" s="21" t="s">
        <v>6257</v>
      </c>
      <c r="C155" s="21" t="s">
        <v>87</v>
      </c>
      <c r="D155" s="25">
        <v>170.0</v>
      </c>
      <c r="E155" s="25">
        <v>27.0</v>
      </c>
      <c r="F155" s="25">
        <v>4.51</v>
      </c>
      <c r="G155" s="21" t="s">
        <v>6258</v>
      </c>
    </row>
    <row r="156">
      <c r="A156" s="21"/>
      <c r="B156" s="21" t="s">
        <v>6259</v>
      </c>
      <c r="C156" s="21" t="s">
        <v>87</v>
      </c>
      <c r="D156" s="25">
        <v>170.0</v>
      </c>
      <c r="E156" s="25">
        <v>27.0</v>
      </c>
      <c r="F156" s="25">
        <v>3.89</v>
      </c>
      <c r="G156" s="21" t="s">
        <v>121</v>
      </c>
    </row>
    <row r="157">
      <c r="A157" s="21"/>
      <c r="B157" s="21" t="s">
        <v>6260</v>
      </c>
      <c r="C157" s="21" t="s">
        <v>90</v>
      </c>
      <c r="D157" s="25">
        <v>170.0</v>
      </c>
      <c r="E157" s="25">
        <v>26.0</v>
      </c>
      <c r="F157" s="25">
        <v>5.83</v>
      </c>
      <c r="G157" s="21" t="s">
        <v>966</v>
      </c>
    </row>
    <row r="158">
      <c r="A158" s="21"/>
      <c r="B158" s="21" t="s">
        <v>6261</v>
      </c>
      <c r="C158" s="21" t="s">
        <v>99</v>
      </c>
      <c r="D158" s="25">
        <v>170.0</v>
      </c>
      <c r="E158" s="25">
        <v>37.0</v>
      </c>
      <c r="F158" s="25">
        <v>1.11</v>
      </c>
      <c r="G158" s="21" t="s">
        <v>6212</v>
      </c>
    </row>
    <row r="159">
      <c r="A159" s="21"/>
      <c r="B159" s="21" t="s">
        <v>6262</v>
      </c>
      <c r="C159" s="21" t="s">
        <v>117</v>
      </c>
      <c r="D159" s="25">
        <v>170.0</v>
      </c>
      <c r="E159" s="25">
        <v>16.0</v>
      </c>
      <c r="F159" s="25">
        <v>2.6</v>
      </c>
      <c r="G159" s="21" t="s">
        <v>6263</v>
      </c>
    </row>
    <row r="160">
      <c r="A160" s="21"/>
      <c r="B160" s="21" t="s">
        <v>6264</v>
      </c>
      <c r="C160" s="21" t="s">
        <v>87</v>
      </c>
      <c r="D160" s="25">
        <v>170.0</v>
      </c>
      <c r="E160" s="25">
        <v>33.0</v>
      </c>
      <c r="F160" s="25">
        <v>2.39</v>
      </c>
      <c r="G160" s="21" t="s">
        <v>1332</v>
      </c>
    </row>
    <row r="161">
      <c r="A161" s="21"/>
      <c r="B161" s="21" t="s">
        <v>6265</v>
      </c>
      <c r="C161" s="21" t="s">
        <v>90</v>
      </c>
      <c r="D161" s="25">
        <v>170.0</v>
      </c>
      <c r="E161" s="25">
        <v>33.0</v>
      </c>
      <c r="F161" s="25">
        <v>0.83</v>
      </c>
      <c r="G161" s="21" t="s">
        <v>111</v>
      </c>
    </row>
    <row r="162">
      <c r="A162" s="21"/>
      <c r="B162" s="21" t="s">
        <v>6266</v>
      </c>
      <c r="C162" s="21" t="s">
        <v>117</v>
      </c>
      <c r="D162" s="25">
        <v>170.0</v>
      </c>
      <c r="E162" s="25">
        <v>10.0</v>
      </c>
      <c r="F162" s="25">
        <v>4.77</v>
      </c>
      <c r="G162" s="21" t="s">
        <v>881</v>
      </c>
    </row>
    <row r="163">
      <c r="A163" s="21"/>
      <c r="B163" s="21" t="s">
        <v>6267</v>
      </c>
      <c r="C163" s="21" t="s">
        <v>87</v>
      </c>
      <c r="D163" s="25">
        <v>170.0</v>
      </c>
      <c r="E163" s="25">
        <v>15.0</v>
      </c>
      <c r="F163" s="25">
        <v>6.75</v>
      </c>
      <c r="G163" s="21" t="s">
        <v>1021</v>
      </c>
    </row>
    <row r="164">
      <c r="A164" s="21"/>
      <c r="B164" s="21" t="s">
        <v>6268</v>
      </c>
      <c r="C164" s="21" t="s">
        <v>90</v>
      </c>
      <c r="D164" s="25">
        <v>170.0</v>
      </c>
      <c r="E164" s="25">
        <v>13.0</v>
      </c>
      <c r="F164" s="25">
        <v>3.35</v>
      </c>
      <c r="G164" s="21" t="s">
        <v>6269</v>
      </c>
    </row>
    <row r="165">
      <c r="A165" s="21"/>
      <c r="B165" s="21" t="s">
        <v>6270</v>
      </c>
      <c r="C165" s="21" t="s">
        <v>117</v>
      </c>
      <c r="D165" s="25">
        <v>170.0</v>
      </c>
      <c r="E165" s="25">
        <v>0.0</v>
      </c>
      <c r="F165" s="25">
        <v>3.06</v>
      </c>
      <c r="G165" s="21" t="s">
        <v>463</v>
      </c>
    </row>
    <row r="166">
      <c r="A166" s="21"/>
      <c r="B166" s="21" t="s">
        <v>6271</v>
      </c>
      <c r="C166" s="21" t="s">
        <v>117</v>
      </c>
      <c r="D166" s="25">
        <v>170.0</v>
      </c>
      <c r="E166" s="25">
        <v>2.0</v>
      </c>
      <c r="F166" s="25">
        <v>9.78</v>
      </c>
      <c r="G166" s="21" t="s">
        <v>6251</v>
      </c>
    </row>
    <row r="167">
      <c r="A167" s="21"/>
      <c r="B167" s="21" t="s">
        <v>6272</v>
      </c>
      <c r="C167" s="21" t="s">
        <v>117</v>
      </c>
      <c r="D167" s="25">
        <v>170.0</v>
      </c>
      <c r="E167" s="25">
        <v>6.0</v>
      </c>
      <c r="F167" s="25">
        <v>0.0</v>
      </c>
      <c r="G167" s="21" t="s">
        <v>6273</v>
      </c>
    </row>
    <row r="168">
      <c r="A168" s="21"/>
      <c r="B168" s="21" t="s">
        <v>6274</v>
      </c>
      <c r="C168" s="21" t="s">
        <v>87</v>
      </c>
      <c r="D168" s="25">
        <v>140.0</v>
      </c>
      <c r="E168" s="25">
        <v>26.0</v>
      </c>
      <c r="F168" s="25">
        <v>2.73</v>
      </c>
      <c r="G168" s="21" t="s">
        <v>6275</v>
      </c>
    </row>
    <row r="169">
      <c r="A169" s="21"/>
      <c r="B169" s="21" t="s">
        <v>6276</v>
      </c>
      <c r="C169" s="21" t="s">
        <v>117</v>
      </c>
      <c r="D169" s="25">
        <v>140.0</v>
      </c>
      <c r="E169" s="25">
        <v>26.0</v>
      </c>
      <c r="F169" s="25">
        <v>3.34</v>
      </c>
      <c r="G169" s="21" t="s">
        <v>988</v>
      </c>
    </row>
    <row r="170">
      <c r="A170" s="21"/>
      <c r="B170" s="21" t="s">
        <v>6277</v>
      </c>
      <c r="C170" s="21" t="s">
        <v>87</v>
      </c>
      <c r="D170" s="25">
        <v>140.0</v>
      </c>
      <c r="E170" s="25">
        <v>36.0</v>
      </c>
      <c r="F170" s="25">
        <v>4.39</v>
      </c>
      <c r="G170" s="21" t="s">
        <v>6278</v>
      </c>
    </row>
    <row r="171">
      <c r="A171" s="21"/>
      <c r="B171" s="21" t="s">
        <v>6279</v>
      </c>
      <c r="C171" s="21" t="s">
        <v>99</v>
      </c>
      <c r="D171" s="25">
        <v>140.0</v>
      </c>
      <c r="E171" s="25">
        <v>27.0</v>
      </c>
      <c r="F171" s="25">
        <v>1.11</v>
      </c>
      <c r="G171" s="21" t="s">
        <v>111</v>
      </c>
    </row>
    <row r="172">
      <c r="A172" s="21"/>
      <c r="B172" s="21" t="s">
        <v>6280</v>
      </c>
      <c r="C172" s="21" t="s">
        <v>87</v>
      </c>
      <c r="D172" s="25">
        <v>140.0</v>
      </c>
      <c r="E172" s="25">
        <v>31.0</v>
      </c>
      <c r="F172" s="25">
        <v>0.0</v>
      </c>
      <c r="G172" s="21" t="s">
        <v>259</v>
      </c>
    </row>
    <row r="173">
      <c r="A173" s="21"/>
      <c r="B173" s="21" t="s">
        <v>6281</v>
      </c>
      <c r="C173" s="21" t="s">
        <v>160</v>
      </c>
      <c r="D173" s="25">
        <v>140.0</v>
      </c>
      <c r="E173" s="25">
        <v>4.0</v>
      </c>
      <c r="F173" s="25">
        <v>4.9</v>
      </c>
      <c r="G173" s="21" t="s">
        <v>6105</v>
      </c>
    </row>
    <row r="174">
      <c r="A174" s="21"/>
      <c r="B174" s="21" t="s">
        <v>6282</v>
      </c>
      <c r="C174" s="21" t="s">
        <v>87</v>
      </c>
      <c r="D174" s="25">
        <v>140.0</v>
      </c>
      <c r="E174" s="25">
        <v>39.0</v>
      </c>
      <c r="F174" s="25">
        <v>5.75</v>
      </c>
      <c r="G174" s="21" t="s">
        <v>259</v>
      </c>
    </row>
    <row r="175">
      <c r="A175" s="21"/>
      <c r="B175" s="21" t="s">
        <v>6283</v>
      </c>
      <c r="C175" s="21" t="s">
        <v>87</v>
      </c>
      <c r="D175" s="25">
        <v>140.0</v>
      </c>
      <c r="E175" s="25">
        <v>43.0</v>
      </c>
      <c r="F175" s="25">
        <v>4.38</v>
      </c>
      <c r="G175" s="21" t="s">
        <v>1027</v>
      </c>
    </row>
    <row r="176">
      <c r="A176" s="21"/>
      <c r="B176" s="21" t="s">
        <v>6284</v>
      </c>
      <c r="C176" s="21" t="s">
        <v>117</v>
      </c>
      <c r="D176" s="25">
        <v>140.0</v>
      </c>
      <c r="E176" s="25">
        <v>13.0</v>
      </c>
      <c r="F176" s="25">
        <v>3.7</v>
      </c>
      <c r="G176" s="21" t="s">
        <v>6285</v>
      </c>
    </row>
    <row r="177">
      <c r="A177" s="21"/>
      <c r="B177" s="21" t="s">
        <v>6286</v>
      </c>
      <c r="C177" s="21" t="s">
        <v>160</v>
      </c>
      <c r="D177" s="25">
        <v>140.0</v>
      </c>
      <c r="E177" s="25">
        <v>32.0</v>
      </c>
      <c r="F177" s="25">
        <v>0.8</v>
      </c>
      <c r="G177" s="21" t="s">
        <v>6287</v>
      </c>
    </row>
    <row r="178">
      <c r="A178" s="21"/>
      <c r="B178" s="21" t="s">
        <v>6288</v>
      </c>
      <c r="C178" s="21" t="s">
        <v>87</v>
      </c>
      <c r="D178" s="25">
        <v>140.0</v>
      </c>
      <c r="E178" s="25">
        <v>22.0</v>
      </c>
      <c r="F178" s="25">
        <v>10.31</v>
      </c>
      <c r="G178" s="21" t="s">
        <v>97</v>
      </c>
    </row>
    <row r="179">
      <c r="A179" s="21"/>
      <c r="B179" s="21" t="s">
        <v>6289</v>
      </c>
      <c r="C179" s="21" t="s">
        <v>117</v>
      </c>
      <c r="D179" s="25">
        <v>140.0</v>
      </c>
      <c r="E179" s="25">
        <v>23.0</v>
      </c>
      <c r="F179" s="25">
        <v>0.0</v>
      </c>
      <c r="G179" s="21" t="s">
        <v>437</v>
      </c>
    </row>
    <row r="180">
      <c r="A180" s="21"/>
      <c r="B180" s="21" t="s">
        <v>6290</v>
      </c>
      <c r="C180" s="21" t="s">
        <v>87</v>
      </c>
      <c r="D180" s="25">
        <v>140.0</v>
      </c>
      <c r="E180" s="25">
        <v>20.0</v>
      </c>
      <c r="F180" s="25">
        <v>3.65</v>
      </c>
      <c r="G180" s="21" t="s">
        <v>6291</v>
      </c>
    </row>
    <row r="181">
      <c r="A181" s="21"/>
      <c r="B181" s="21" t="s">
        <v>6292</v>
      </c>
      <c r="C181" s="21" t="s">
        <v>160</v>
      </c>
      <c r="D181" s="25">
        <v>140.0</v>
      </c>
      <c r="E181" s="25">
        <v>19.0</v>
      </c>
      <c r="F181" s="25">
        <v>2.78</v>
      </c>
      <c r="G181" s="21" t="s">
        <v>6293</v>
      </c>
    </row>
    <row r="182">
      <c r="A182" s="21"/>
      <c r="B182" s="21" t="s">
        <v>6294</v>
      </c>
      <c r="C182" s="21" t="s">
        <v>117</v>
      </c>
      <c r="D182" s="25">
        <v>140.0</v>
      </c>
      <c r="E182" s="25">
        <v>16.0</v>
      </c>
      <c r="F182" s="25">
        <v>0.51</v>
      </c>
      <c r="G182" s="21" t="s">
        <v>6295</v>
      </c>
    </row>
    <row r="183">
      <c r="A183" s="21"/>
      <c r="B183" s="21" t="s">
        <v>6296</v>
      </c>
      <c r="C183" s="21" t="s">
        <v>117</v>
      </c>
      <c r="D183" s="25">
        <v>140.0</v>
      </c>
      <c r="E183" s="25">
        <v>0.0</v>
      </c>
      <c r="F183" s="25">
        <v>2.23</v>
      </c>
      <c r="G183" s="21" t="s">
        <v>476</v>
      </c>
    </row>
    <row r="184">
      <c r="A184" s="21"/>
      <c r="B184" s="21" t="s">
        <v>6297</v>
      </c>
      <c r="C184" s="21" t="s">
        <v>117</v>
      </c>
      <c r="D184" s="25">
        <v>140.0</v>
      </c>
      <c r="E184" s="25">
        <v>14.0</v>
      </c>
      <c r="F184" s="25">
        <v>2.96</v>
      </c>
      <c r="G184" s="21" t="s">
        <v>6298</v>
      </c>
    </row>
    <row r="185">
      <c r="A185" s="21"/>
      <c r="B185" s="21" t="s">
        <v>6299</v>
      </c>
      <c r="C185" s="21" t="s">
        <v>117</v>
      </c>
      <c r="D185" s="25">
        <v>140.0</v>
      </c>
      <c r="E185" s="25">
        <v>0.0</v>
      </c>
      <c r="F185" s="25">
        <v>1.09</v>
      </c>
      <c r="G185" s="21" t="s">
        <v>1479</v>
      </c>
    </row>
    <row r="186">
      <c r="A186" s="21"/>
      <c r="B186" s="21" t="s">
        <v>6300</v>
      </c>
      <c r="C186" s="21" t="s">
        <v>117</v>
      </c>
      <c r="D186" s="25">
        <v>140.0</v>
      </c>
      <c r="E186" s="25">
        <v>30.0</v>
      </c>
      <c r="F186" s="25">
        <v>1.03</v>
      </c>
      <c r="G186" s="21" t="s">
        <v>6301</v>
      </c>
    </row>
    <row r="187">
      <c r="A187" s="21"/>
      <c r="B187" s="21" t="s">
        <v>6302</v>
      </c>
      <c r="C187" s="21" t="s">
        <v>117</v>
      </c>
      <c r="D187" s="25">
        <v>140.0</v>
      </c>
      <c r="E187" s="25">
        <v>10.0</v>
      </c>
      <c r="F187" s="25">
        <v>0.97</v>
      </c>
      <c r="G187" s="21" t="s">
        <v>866</v>
      </c>
    </row>
    <row r="188">
      <c r="A188" s="21"/>
      <c r="B188" s="21" t="s">
        <v>6303</v>
      </c>
      <c r="C188" s="21" t="s">
        <v>117</v>
      </c>
      <c r="D188" s="25">
        <v>140.0</v>
      </c>
      <c r="E188" s="25">
        <v>11.0</v>
      </c>
      <c r="F188" s="25">
        <v>0.97</v>
      </c>
      <c r="G188" s="21" t="s">
        <v>6304</v>
      </c>
    </row>
    <row r="189">
      <c r="A189" s="21"/>
      <c r="B189" s="21" t="s">
        <v>6305</v>
      </c>
      <c r="C189" s="21" t="s">
        <v>117</v>
      </c>
      <c r="D189" s="25">
        <v>140.0</v>
      </c>
      <c r="E189" s="25">
        <v>19.0</v>
      </c>
      <c r="F189" s="25">
        <v>3.5</v>
      </c>
      <c r="G189" s="21" t="s">
        <v>493</v>
      </c>
    </row>
    <row r="190">
      <c r="A190" s="21"/>
      <c r="B190" s="21" t="s">
        <v>6306</v>
      </c>
      <c r="C190" s="21" t="s">
        <v>87</v>
      </c>
      <c r="D190" s="25">
        <v>140.0</v>
      </c>
      <c r="E190" s="25">
        <v>20.0</v>
      </c>
      <c r="F190" s="25">
        <v>2.61</v>
      </c>
      <c r="G190" s="21" t="s">
        <v>6307</v>
      </c>
    </row>
    <row r="191">
      <c r="A191" s="21"/>
      <c r="B191" s="21" t="s">
        <v>6308</v>
      </c>
      <c r="C191" s="21" t="s">
        <v>90</v>
      </c>
      <c r="D191" s="25">
        <v>140.0</v>
      </c>
      <c r="E191" s="25">
        <v>12.0</v>
      </c>
      <c r="F191" s="25">
        <v>3.41</v>
      </c>
      <c r="G191" s="21" t="s">
        <v>6309</v>
      </c>
    </row>
    <row r="192">
      <c r="A192" s="21"/>
      <c r="B192" s="21" t="s">
        <v>6310</v>
      </c>
      <c r="C192" s="21" t="s">
        <v>117</v>
      </c>
      <c r="D192" s="25">
        <v>140.0</v>
      </c>
      <c r="E192" s="25">
        <v>7.0</v>
      </c>
      <c r="F192" s="25">
        <v>5.54</v>
      </c>
      <c r="G192" s="21" t="s">
        <v>6311</v>
      </c>
    </row>
    <row r="193">
      <c r="A193" s="21"/>
      <c r="B193" s="21" t="s">
        <v>6312</v>
      </c>
      <c r="C193" s="21" t="s">
        <v>160</v>
      </c>
      <c r="D193" s="25">
        <v>140.0</v>
      </c>
      <c r="E193" s="25">
        <v>26.0</v>
      </c>
      <c r="F193" s="25">
        <v>3.95</v>
      </c>
      <c r="G193" s="21" t="s">
        <v>164</v>
      </c>
    </row>
    <row r="194">
      <c r="A194" s="21"/>
      <c r="B194" s="21" t="s">
        <v>6313</v>
      </c>
      <c r="C194" s="21" t="s">
        <v>90</v>
      </c>
      <c r="D194" s="25">
        <v>140.0</v>
      </c>
      <c r="E194" s="25">
        <v>24.0</v>
      </c>
      <c r="F194" s="25">
        <v>2.76</v>
      </c>
      <c r="G194" s="21" t="s">
        <v>6314</v>
      </c>
    </row>
    <row r="195">
      <c r="A195" s="21"/>
      <c r="B195" s="21" t="s">
        <v>6315</v>
      </c>
      <c r="C195" s="21" t="s">
        <v>117</v>
      </c>
      <c r="D195" s="25">
        <v>140.0</v>
      </c>
      <c r="E195" s="25">
        <v>9.0</v>
      </c>
      <c r="F195" s="25">
        <v>4.77</v>
      </c>
      <c r="G195" s="21" t="s">
        <v>6316</v>
      </c>
    </row>
    <row r="196">
      <c r="A196" s="21"/>
      <c r="B196" s="21" t="s">
        <v>6317</v>
      </c>
      <c r="C196" s="21" t="s">
        <v>87</v>
      </c>
      <c r="D196" s="25">
        <v>140.0</v>
      </c>
      <c r="E196" s="25">
        <v>28.0</v>
      </c>
      <c r="F196" s="25">
        <v>1.11</v>
      </c>
      <c r="G196" s="21" t="s">
        <v>6318</v>
      </c>
    </row>
    <row r="197">
      <c r="A197" s="21"/>
      <c r="B197" s="21" t="s">
        <v>6319</v>
      </c>
      <c r="C197" s="21" t="s">
        <v>117</v>
      </c>
      <c r="D197" s="25">
        <v>140.0</v>
      </c>
      <c r="E197" s="25">
        <v>20.0</v>
      </c>
      <c r="F197" s="25">
        <v>2.34</v>
      </c>
      <c r="G197" s="21" t="s">
        <v>6320</v>
      </c>
    </row>
    <row r="198">
      <c r="A198" s="21"/>
      <c r="B198" s="21" t="s">
        <v>6321</v>
      </c>
      <c r="C198" s="21" t="s">
        <v>117</v>
      </c>
      <c r="D198" s="25">
        <v>140.0</v>
      </c>
      <c r="E198" s="25">
        <v>16.0</v>
      </c>
      <c r="F198" s="25">
        <v>3.35</v>
      </c>
      <c r="G198" s="21" t="s">
        <v>6293</v>
      </c>
    </row>
    <row r="199">
      <c r="A199" s="21"/>
      <c r="B199" s="21" t="s">
        <v>6322</v>
      </c>
      <c r="C199" s="21" t="s">
        <v>90</v>
      </c>
      <c r="D199" s="25">
        <v>140.0</v>
      </c>
      <c r="E199" s="25">
        <v>34.0</v>
      </c>
      <c r="F199" s="25">
        <v>4.22</v>
      </c>
      <c r="G199" s="21" t="s">
        <v>147</v>
      </c>
    </row>
    <row r="200">
      <c r="A200" s="21"/>
      <c r="B200" s="21" t="s">
        <v>6323</v>
      </c>
      <c r="C200" s="21" t="s">
        <v>117</v>
      </c>
      <c r="D200" s="25">
        <v>140.0</v>
      </c>
      <c r="E200" s="25">
        <v>8.0</v>
      </c>
      <c r="F200" s="25">
        <v>3.25</v>
      </c>
      <c r="G200" s="21" t="s">
        <v>6285</v>
      </c>
    </row>
    <row r="201">
      <c r="A201" s="21"/>
      <c r="B201" s="21" t="s">
        <v>6324</v>
      </c>
      <c r="C201" s="21" t="s">
        <v>117</v>
      </c>
      <c r="D201" s="25">
        <v>140.0</v>
      </c>
      <c r="E201" s="25">
        <v>19.0</v>
      </c>
      <c r="F201" s="25">
        <v>5.18</v>
      </c>
      <c r="G201" s="21" t="s">
        <v>6325</v>
      </c>
    </row>
    <row r="202">
      <c r="A202" s="21"/>
      <c r="B202" s="21" t="s">
        <v>6326</v>
      </c>
      <c r="C202" s="21" t="s">
        <v>117</v>
      </c>
      <c r="D202" s="25">
        <v>140.0</v>
      </c>
      <c r="E202" s="25">
        <v>23.0</v>
      </c>
      <c r="F202" s="25">
        <v>2.55</v>
      </c>
      <c r="G202" s="21" t="s">
        <v>6327</v>
      </c>
    </row>
    <row r="203">
      <c r="A203" s="21"/>
      <c r="B203" s="21" t="s">
        <v>6328</v>
      </c>
      <c r="C203" s="21" t="s">
        <v>117</v>
      </c>
      <c r="D203" s="25">
        <v>140.0</v>
      </c>
      <c r="E203" s="25">
        <v>32.0</v>
      </c>
      <c r="F203" s="25">
        <v>3.69</v>
      </c>
      <c r="G203" s="21" t="s">
        <v>6218</v>
      </c>
    </row>
    <row r="204">
      <c r="A204" s="21"/>
      <c r="B204" s="21" t="s">
        <v>6329</v>
      </c>
      <c r="C204" s="21" t="s">
        <v>117</v>
      </c>
      <c r="D204" s="25">
        <v>140.0</v>
      </c>
      <c r="E204" s="25">
        <v>7.0</v>
      </c>
      <c r="F204" s="25">
        <v>4.77</v>
      </c>
      <c r="G204" s="21" t="s">
        <v>6330</v>
      </c>
    </row>
    <row r="205">
      <c r="A205" s="21"/>
      <c r="B205" s="21" t="s">
        <v>6331</v>
      </c>
      <c r="C205" s="21" t="s">
        <v>90</v>
      </c>
      <c r="D205" s="25">
        <v>140.0</v>
      </c>
      <c r="E205" s="25">
        <v>25.0</v>
      </c>
      <c r="F205" s="25">
        <v>5.96</v>
      </c>
      <c r="G205" s="21" t="s">
        <v>259</v>
      </c>
    </row>
    <row r="206">
      <c r="A206" s="21"/>
      <c r="B206" s="21" t="s">
        <v>6332</v>
      </c>
      <c r="C206" s="21" t="s">
        <v>117</v>
      </c>
      <c r="D206" s="25">
        <v>140.0</v>
      </c>
      <c r="E206" s="25">
        <v>29.0</v>
      </c>
      <c r="F206" s="25">
        <v>2.67</v>
      </c>
      <c r="G206" s="21" t="s">
        <v>6333</v>
      </c>
    </row>
    <row r="207">
      <c r="A207" s="21"/>
      <c r="B207" s="21" t="s">
        <v>6334</v>
      </c>
      <c r="C207" s="21" t="s">
        <v>1050</v>
      </c>
      <c r="D207" s="25">
        <v>140.0</v>
      </c>
      <c r="E207" s="25">
        <v>35.0</v>
      </c>
      <c r="F207" s="25">
        <v>0.86</v>
      </c>
      <c r="G207" s="21" t="s">
        <v>6318</v>
      </c>
    </row>
    <row r="208">
      <c r="A208" s="21"/>
      <c r="B208" s="21" t="s">
        <v>6335</v>
      </c>
      <c r="C208" s="21" t="s">
        <v>87</v>
      </c>
      <c r="D208" s="25">
        <v>140.0</v>
      </c>
      <c r="E208" s="25">
        <v>7.0</v>
      </c>
      <c r="F208" s="25">
        <v>4.56</v>
      </c>
      <c r="G208" s="21" t="s">
        <v>6336</v>
      </c>
    </row>
    <row r="209">
      <c r="A209" s="21"/>
      <c r="B209" s="21" t="s">
        <v>6337</v>
      </c>
      <c r="C209" s="21" t="s">
        <v>90</v>
      </c>
      <c r="D209" s="25">
        <v>110.0</v>
      </c>
      <c r="E209" s="25">
        <v>11.0</v>
      </c>
      <c r="F209" s="25">
        <v>6.44</v>
      </c>
      <c r="G209" s="21" t="s">
        <v>1106</v>
      </c>
    </row>
    <row r="210">
      <c r="A210" s="21"/>
      <c r="B210" s="21" t="s">
        <v>6338</v>
      </c>
      <c r="C210" s="21" t="s">
        <v>87</v>
      </c>
      <c r="D210" s="25">
        <v>110.0</v>
      </c>
      <c r="E210" s="25">
        <v>34.0</v>
      </c>
      <c r="F210" s="25">
        <v>6.67</v>
      </c>
      <c r="G210" s="21" t="s">
        <v>6339</v>
      </c>
    </row>
    <row r="211">
      <c r="A211" s="21"/>
      <c r="B211" s="21" t="s">
        <v>6340</v>
      </c>
      <c r="C211" s="21" t="s">
        <v>90</v>
      </c>
      <c r="D211" s="25">
        <v>110.0</v>
      </c>
      <c r="E211" s="25">
        <v>30.0</v>
      </c>
      <c r="F211" s="25">
        <v>5.85</v>
      </c>
      <c r="G211" s="21" t="s">
        <v>212</v>
      </c>
    </row>
    <row r="212">
      <c r="A212" s="21"/>
      <c r="B212" s="21" t="s">
        <v>6341</v>
      </c>
      <c r="C212" s="21" t="s">
        <v>87</v>
      </c>
      <c r="D212" s="25">
        <v>110.0</v>
      </c>
      <c r="E212" s="25">
        <v>0.0</v>
      </c>
      <c r="F212" s="25">
        <v>7.06</v>
      </c>
      <c r="G212" s="21" t="s">
        <v>934</v>
      </c>
    </row>
    <row r="213">
      <c r="A213" s="21"/>
      <c r="B213" s="21" t="s">
        <v>6342</v>
      </c>
      <c r="C213" s="21" t="s">
        <v>87</v>
      </c>
      <c r="D213" s="25">
        <v>110.0</v>
      </c>
      <c r="E213" s="25">
        <v>6.0</v>
      </c>
      <c r="F213" s="25">
        <v>6.75</v>
      </c>
      <c r="G213" s="21" t="s">
        <v>147</v>
      </c>
    </row>
    <row r="214">
      <c r="A214" s="21"/>
      <c r="B214" s="21" t="s">
        <v>6343</v>
      </c>
      <c r="C214" s="21" t="s">
        <v>87</v>
      </c>
      <c r="D214" s="25">
        <v>110.0</v>
      </c>
      <c r="E214" s="25">
        <v>15.0</v>
      </c>
      <c r="F214" s="25">
        <v>6.98</v>
      </c>
      <c r="G214" s="21" t="s">
        <v>212</v>
      </c>
    </row>
    <row r="215">
      <c r="A215" s="21"/>
      <c r="B215" s="21" t="s">
        <v>6344</v>
      </c>
      <c r="C215" s="21" t="s">
        <v>87</v>
      </c>
      <c r="D215" s="25">
        <v>110.0</v>
      </c>
      <c r="E215" s="25">
        <v>3.0</v>
      </c>
      <c r="F215" s="25">
        <v>6.98</v>
      </c>
      <c r="G215" s="21" t="s">
        <v>178</v>
      </c>
    </row>
    <row r="216">
      <c r="A216" s="21"/>
      <c r="B216" s="21" t="s">
        <v>6345</v>
      </c>
      <c r="C216" s="21" t="s">
        <v>90</v>
      </c>
      <c r="D216" s="25">
        <v>110.0</v>
      </c>
      <c r="E216" s="25">
        <v>33.0</v>
      </c>
      <c r="F216" s="25">
        <v>4.12</v>
      </c>
      <c r="G216" s="21" t="s">
        <v>6346</v>
      </c>
    </row>
    <row r="217">
      <c r="A217" s="21"/>
      <c r="B217" s="21" t="s">
        <v>6347</v>
      </c>
      <c r="C217" s="21" t="s">
        <v>99</v>
      </c>
      <c r="D217" s="25">
        <v>110.0</v>
      </c>
      <c r="E217" s="25">
        <v>36.0</v>
      </c>
      <c r="F217" s="25">
        <v>0.5</v>
      </c>
      <c r="G217" s="21" t="s">
        <v>6348</v>
      </c>
    </row>
    <row r="218">
      <c r="A218" s="21"/>
      <c r="B218" s="21" t="s">
        <v>6349</v>
      </c>
      <c r="C218" s="21" t="s">
        <v>99</v>
      </c>
      <c r="D218" s="25">
        <v>110.0</v>
      </c>
      <c r="E218" s="25">
        <v>25.0</v>
      </c>
      <c r="F218" s="25">
        <v>0.54</v>
      </c>
      <c r="G218" s="21" t="s">
        <v>6348</v>
      </c>
    </row>
    <row r="219">
      <c r="A219" s="21"/>
      <c r="B219" s="21" t="s">
        <v>6350</v>
      </c>
      <c r="C219" s="21" t="s">
        <v>87</v>
      </c>
      <c r="D219" s="25">
        <v>110.0</v>
      </c>
      <c r="E219" s="25">
        <v>6.0</v>
      </c>
      <c r="F219" s="25">
        <v>5.2</v>
      </c>
      <c r="G219" s="21" t="s">
        <v>6351</v>
      </c>
    </row>
    <row r="220">
      <c r="A220" s="21"/>
      <c r="B220" s="21" t="s">
        <v>6352</v>
      </c>
      <c r="C220" s="21" t="s">
        <v>87</v>
      </c>
      <c r="D220" s="25">
        <v>110.0</v>
      </c>
      <c r="E220" s="25">
        <v>2.0</v>
      </c>
      <c r="F220" s="25">
        <v>6.99</v>
      </c>
      <c r="G220" s="21" t="s">
        <v>259</v>
      </c>
    </row>
    <row r="221">
      <c r="A221" s="21"/>
      <c r="B221" s="21" t="s">
        <v>6353</v>
      </c>
      <c r="C221" s="21" t="s">
        <v>117</v>
      </c>
      <c r="D221" s="25">
        <v>110.0</v>
      </c>
      <c r="E221" s="25">
        <v>25.0</v>
      </c>
      <c r="F221" s="25">
        <v>2.98</v>
      </c>
      <c r="G221" s="21" t="s">
        <v>170</v>
      </c>
    </row>
    <row r="222">
      <c r="A222" s="21"/>
      <c r="B222" s="21" t="s">
        <v>6354</v>
      </c>
      <c r="C222" s="21" t="s">
        <v>90</v>
      </c>
      <c r="D222" s="25">
        <v>110.0</v>
      </c>
      <c r="E222" s="25">
        <v>21.0</v>
      </c>
      <c r="F222" s="25">
        <v>2.41</v>
      </c>
      <c r="G222" s="21" t="s">
        <v>259</v>
      </c>
    </row>
    <row r="223">
      <c r="A223" s="21"/>
      <c r="B223" s="21" t="s">
        <v>6355</v>
      </c>
      <c r="C223" s="21" t="s">
        <v>117</v>
      </c>
      <c r="D223" s="25">
        <v>110.0</v>
      </c>
      <c r="E223" s="25">
        <v>20.0</v>
      </c>
      <c r="F223" s="25">
        <v>3.83</v>
      </c>
      <c r="G223" s="21" t="s">
        <v>431</v>
      </c>
    </row>
    <row r="224">
      <c r="A224" s="21"/>
      <c r="B224" s="21" t="s">
        <v>6356</v>
      </c>
      <c r="C224" s="21" t="s">
        <v>87</v>
      </c>
      <c r="D224" s="25">
        <v>110.0</v>
      </c>
      <c r="E224" s="25">
        <v>14.0</v>
      </c>
      <c r="F224" s="25">
        <v>3.24</v>
      </c>
      <c r="G224" s="21" t="s">
        <v>6357</v>
      </c>
    </row>
    <row r="225">
      <c r="A225" s="21"/>
      <c r="B225" s="21" t="s">
        <v>6358</v>
      </c>
      <c r="C225" s="21" t="s">
        <v>117</v>
      </c>
      <c r="D225" s="25">
        <v>110.0</v>
      </c>
      <c r="E225" s="25">
        <v>0.0</v>
      </c>
      <c r="F225" s="25">
        <v>2.23</v>
      </c>
      <c r="G225" s="21" t="s">
        <v>6285</v>
      </c>
    </row>
    <row r="226">
      <c r="A226" s="21"/>
      <c r="B226" s="21" t="s">
        <v>6359</v>
      </c>
      <c r="C226" s="21" t="s">
        <v>117</v>
      </c>
      <c r="D226" s="25">
        <v>110.0</v>
      </c>
      <c r="E226" s="25">
        <v>0.0</v>
      </c>
      <c r="F226" s="25">
        <v>4.24</v>
      </c>
      <c r="G226" s="21" t="s">
        <v>6360</v>
      </c>
    </row>
    <row r="227">
      <c r="A227" s="21"/>
      <c r="B227" s="21" t="s">
        <v>6361</v>
      </c>
      <c r="C227" s="21" t="s">
        <v>117</v>
      </c>
      <c r="D227" s="25">
        <v>110.0</v>
      </c>
      <c r="E227" s="25">
        <v>0.0</v>
      </c>
      <c r="F227" s="25">
        <v>2.75</v>
      </c>
      <c r="G227" s="21" t="s">
        <v>431</v>
      </c>
    </row>
    <row r="228">
      <c r="A228" s="21"/>
      <c r="B228" s="21" t="s">
        <v>6362</v>
      </c>
      <c r="C228" s="21" t="s">
        <v>117</v>
      </c>
      <c r="D228" s="25">
        <v>110.0</v>
      </c>
      <c r="E228" s="25">
        <v>14.0</v>
      </c>
      <c r="F228" s="25">
        <v>2.88</v>
      </c>
      <c r="G228" s="21" t="s">
        <v>6363</v>
      </c>
    </row>
    <row r="229">
      <c r="A229" s="21"/>
      <c r="B229" s="21" t="s">
        <v>6364</v>
      </c>
      <c r="C229" s="21" t="s">
        <v>117</v>
      </c>
      <c r="D229" s="25">
        <v>110.0</v>
      </c>
      <c r="E229" s="25">
        <v>0.0</v>
      </c>
      <c r="F229" s="25">
        <v>0.5</v>
      </c>
      <c r="G229" s="21" t="s">
        <v>6164</v>
      </c>
    </row>
    <row r="230">
      <c r="A230" s="21"/>
      <c r="B230" s="21" t="s">
        <v>6365</v>
      </c>
      <c r="C230" s="21" t="s">
        <v>117</v>
      </c>
      <c r="D230" s="25">
        <v>110.0</v>
      </c>
      <c r="E230" s="25">
        <v>17.0</v>
      </c>
      <c r="F230" s="25">
        <v>0.54</v>
      </c>
      <c r="G230" s="21" t="s">
        <v>6251</v>
      </c>
    </row>
    <row r="231">
      <c r="A231" s="21"/>
      <c r="B231" s="21" t="s">
        <v>6366</v>
      </c>
      <c r="C231" s="21" t="s">
        <v>117</v>
      </c>
      <c r="D231" s="25">
        <v>110.0</v>
      </c>
      <c r="E231" s="25">
        <v>11.0</v>
      </c>
      <c r="F231" s="25">
        <v>0.0</v>
      </c>
      <c r="G231" s="21" t="s">
        <v>431</v>
      </c>
    </row>
    <row r="232">
      <c r="A232" s="21"/>
      <c r="B232" s="21" t="s">
        <v>6367</v>
      </c>
      <c r="C232" s="21" t="s">
        <v>117</v>
      </c>
      <c r="D232" s="25">
        <v>110.0</v>
      </c>
      <c r="E232" s="25">
        <v>24.0</v>
      </c>
      <c r="F232" s="25">
        <v>0.96</v>
      </c>
      <c r="G232" s="21" t="s">
        <v>429</v>
      </c>
    </row>
    <row r="233">
      <c r="A233" s="21"/>
      <c r="B233" s="21" t="s">
        <v>6368</v>
      </c>
      <c r="C233" s="21" t="s">
        <v>117</v>
      </c>
      <c r="D233" s="25">
        <v>110.0</v>
      </c>
      <c r="E233" s="25">
        <v>18.0</v>
      </c>
      <c r="F233" s="25">
        <v>4.02</v>
      </c>
      <c r="G233" s="21" t="s">
        <v>1351</v>
      </c>
    </row>
    <row r="234">
      <c r="A234" s="21"/>
      <c r="B234" s="21" t="s">
        <v>6369</v>
      </c>
      <c r="C234" s="21" t="s">
        <v>90</v>
      </c>
      <c r="D234" s="25">
        <v>110.0</v>
      </c>
      <c r="E234" s="25">
        <v>6.0</v>
      </c>
      <c r="F234" s="25">
        <v>2.82</v>
      </c>
      <c r="G234" s="21" t="s">
        <v>259</v>
      </c>
    </row>
    <row r="235">
      <c r="A235" s="21"/>
      <c r="B235" s="21" t="s">
        <v>6370</v>
      </c>
      <c r="C235" s="21" t="s">
        <v>87</v>
      </c>
      <c r="D235" s="25">
        <v>110.0</v>
      </c>
      <c r="E235" s="25">
        <v>20.0</v>
      </c>
      <c r="F235" s="25">
        <v>6.97</v>
      </c>
      <c r="G235" s="21" t="s">
        <v>259</v>
      </c>
    </row>
    <row r="236">
      <c r="A236" s="21"/>
      <c r="B236" s="21" t="s">
        <v>6371</v>
      </c>
      <c r="C236" s="21" t="s">
        <v>959</v>
      </c>
      <c r="D236" s="25">
        <v>110.0</v>
      </c>
      <c r="E236" s="25">
        <v>27.0</v>
      </c>
      <c r="F236" s="25">
        <v>5.68</v>
      </c>
      <c r="G236" s="21" t="s">
        <v>1124</v>
      </c>
    </row>
    <row r="237">
      <c r="A237" s="21"/>
      <c r="B237" s="21" t="s">
        <v>6372</v>
      </c>
      <c r="C237" s="21" t="s">
        <v>117</v>
      </c>
      <c r="D237" s="25">
        <v>110.0</v>
      </c>
      <c r="E237" s="25">
        <v>23.0</v>
      </c>
      <c r="F237" s="25">
        <v>3.31</v>
      </c>
      <c r="G237" s="21" t="s">
        <v>6373</v>
      </c>
    </row>
    <row r="238">
      <c r="A238" s="21"/>
      <c r="B238" s="21" t="s">
        <v>6374</v>
      </c>
      <c r="C238" s="21" t="s">
        <v>117</v>
      </c>
      <c r="D238" s="25">
        <v>110.0</v>
      </c>
      <c r="E238" s="25">
        <v>11.0</v>
      </c>
      <c r="F238" s="25">
        <v>3.44</v>
      </c>
      <c r="G238" s="21" t="s">
        <v>210</v>
      </c>
    </row>
    <row r="239">
      <c r="A239" s="21"/>
      <c r="B239" s="21" t="s">
        <v>6375</v>
      </c>
      <c r="C239" s="21" t="s">
        <v>87</v>
      </c>
      <c r="D239" s="25">
        <v>110.0</v>
      </c>
      <c r="E239" s="25">
        <v>35.0</v>
      </c>
      <c r="F239" s="25">
        <v>3.1</v>
      </c>
      <c r="G239" s="21" t="s">
        <v>147</v>
      </c>
    </row>
    <row r="240">
      <c r="A240" s="21"/>
      <c r="B240" s="21" t="s">
        <v>6376</v>
      </c>
      <c r="C240" s="21" t="s">
        <v>117</v>
      </c>
      <c r="D240" s="25">
        <v>110.0</v>
      </c>
      <c r="E240" s="25">
        <v>20.0</v>
      </c>
      <c r="F240" s="25">
        <v>4.22</v>
      </c>
      <c r="G240" s="21" t="s">
        <v>431</v>
      </c>
    </row>
    <row r="241">
      <c r="A241" s="21"/>
      <c r="B241" s="21" t="s">
        <v>6377</v>
      </c>
      <c r="C241" s="21" t="s">
        <v>160</v>
      </c>
      <c r="D241" s="25">
        <v>110.0</v>
      </c>
      <c r="E241" s="25">
        <v>11.0</v>
      </c>
      <c r="F241" s="25">
        <v>0.0</v>
      </c>
      <c r="G241" s="21" t="s">
        <v>6378</v>
      </c>
    </row>
    <row r="242">
      <c r="A242" s="21"/>
      <c r="B242" s="21" t="s">
        <v>6379</v>
      </c>
      <c r="C242" s="21" t="s">
        <v>87</v>
      </c>
      <c r="D242" s="25">
        <v>110.0</v>
      </c>
      <c r="E242" s="25">
        <v>20.0</v>
      </c>
      <c r="F242" s="25">
        <v>4.51</v>
      </c>
      <c r="G242" s="21" t="s">
        <v>6380</v>
      </c>
    </row>
    <row r="243">
      <c r="A243" s="21"/>
      <c r="B243" s="21" t="s">
        <v>6381</v>
      </c>
      <c r="C243" s="21" t="s">
        <v>117</v>
      </c>
      <c r="D243" s="25">
        <v>110.0</v>
      </c>
      <c r="E243" s="25">
        <v>46.0</v>
      </c>
      <c r="F243" s="25">
        <v>0.95</v>
      </c>
      <c r="G243" s="21" t="s">
        <v>457</v>
      </c>
    </row>
    <row r="244">
      <c r="A244" s="21"/>
      <c r="B244" s="21" t="s">
        <v>6382</v>
      </c>
      <c r="C244" s="21" t="s">
        <v>87</v>
      </c>
      <c r="D244" s="25">
        <v>110.0</v>
      </c>
      <c r="E244" s="25">
        <v>38.0</v>
      </c>
      <c r="F244" s="25">
        <v>0.0</v>
      </c>
      <c r="G244" s="21" t="s">
        <v>212</v>
      </c>
    </row>
    <row r="245">
      <c r="A245" s="21"/>
      <c r="B245" s="21" t="s">
        <v>6383</v>
      </c>
      <c r="C245" s="21" t="s">
        <v>117</v>
      </c>
      <c r="D245" s="25">
        <v>110.0</v>
      </c>
      <c r="E245" s="25">
        <v>27.0</v>
      </c>
      <c r="F245" s="25">
        <v>4.69</v>
      </c>
      <c r="G245" s="21" t="s">
        <v>1005</v>
      </c>
    </row>
    <row r="246">
      <c r="A246" s="21"/>
      <c r="B246" s="21" t="s">
        <v>6384</v>
      </c>
      <c r="C246" s="21" t="s">
        <v>117</v>
      </c>
      <c r="D246" s="25">
        <v>110.0</v>
      </c>
      <c r="E246" s="25">
        <v>8.0</v>
      </c>
      <c r="F246" s="25">
        <v>4.22</v>
      </c>
      <c r="G246" s="21" t="s">
        <v>6285</v>
      </c>
    </row>
    <row r="247">
      <c r="A247" s="21"/>
      <c r="B247" s="21" t="s">
        <v>6385</v>
      </c>
      <c r="C247" s="21" t="s">
        <v>117</v>
      </c>
      <c r="D247" s="25">
        <v>110.0</v>
      </c>
      <c r="E247" s="25">
        <v>1.0</v>
      </c>
      <c r="F247" s="25">
        <v>3.04</v>
      </c>
      <c r="G247" s="21" t="s">
        <v>429</v>
      </c>
    </row>
    <row r="248">
      <c r="A248" s="21"/>
      <c r="B248" s="21" t="s">
        <v>150</v>
      </c>
      <c r="C248" s="21" t="s">
        <v>117</v>
      </c>
      <c r="D248" s="25">
        <v>110.0</v>
      </c>
      <c r="E248" s="25">
        <v>21.0</v>
      </c>
      <c r="F248" s="25">
        <v>3.57</v>
      </c>
      <c r="G248" s="21" t="s">
        <v>6186</v>
      </c>
    </row>
    <row r="249">
      <c r="A249" s="21"/>
      <c r="B249" s="21" t="s">
        <v>6386</v>
      </c>
      <c r="C249" s="21" t="s">
        <v>87</v>
      </c>
      <c r="D249" s="25">
        <v>110.0</v>
      </c>
      <c r="E249" s="25">
        <v>15.0</v>
      </c>
      <c r="F249" s="25">
        <v>4.22</v>
      </c>
      <c r="G249" s="21" t="s">
        <v>1124</v>
      </c>
    </row>
    <row r="250">
      <c r="A250" s="21"/>
      <c r="B250" s="21" t="s">
        <v>6387</v>
      </c>
      <c r="C250" s="21" t="s">
        <v>117</v>
      </c>
      <c r="D250" s="25">
        <v>110.0</v>
      </c>
      <c r="E250" s="25">
        <v>32.0</v>
      </c>
      <c r="F250" s="25">
        <v>5.58</v>
      </c>
      <c r="G250" s="21" t="s">
        <v>6388</v>
      </c>
    </row>
    <row r="251">
      <c r="A251" s="21"/>
      <c r="B251" s="21" t="s">
        <v>6389</v>
      </c>
      <c r="C251" s="21" t="s">
        <v>117</v>
      </c>
      <c r="D251" s="25">
        <v>110.0</v>
      </c>
      <c r="E251" s="25">
        <v>15.0</v>
      </c>
      <c r="F251" s="25">
        <v>0.0</v>
      </c>
      <c r="G251" s="21" t="s">
        <v>981</v>
      </c>
    </row>
    <row r="252">
      <c r="A252" s="21"/>
      <c r="B252" s="21" t="s">
        <v>6390</v>
      </c>
      <c r="C252" s="21" t="s">
        <v>90</v>
      </c>
      <c r="D252" s="25">
        <v>110.0</v>
      </c>
      <c r="E252" s="25">
        <v>25.0</v>
      </c>
      <c r="F252" s="25">
        <v>5.9</v>
      </c>
      <c r="G252" s="21" t="s">
        <v>1217</v>
      </c>
    </row>
    <row r="253">
      <c r="A253" s="21"/>
      <c r="B253" s="21" t="s">
        <v>6391</v>
      </c>
      <c r="C253" s="21" t="s">
        <v>160</v>
      </c>
      <c r="D253" s="25">
        <v>110.0</v>
      </c>
      <c r="E253" s="25">
        <v>24.0</v>
      </c>
      <c r="F253" s="25">
        <v>0.41</v>
      </c>
      <c r="G253" s="21" t="s">
        <v>1011</v>
      </c>
    </row>
    <row r="254">
      <c r="A254" s="21"/>
      <c r="B254" s="21" t="s">
        <v>6392</v>
      </c>
      <c r="C254" s="21" t="s">
        <v>117</v>
      </c>
      <c r="D254" s="25">
        <v>110.0</v>
      </c>
      <c r="E254" s="25">
        <v>0.0</v>
      </c>
      <c r="F254" s="25">
        <v>2.65</v>
      </c>
      <c r="G254" s="21" t="s">
        <v>6079</v>
      </c>
    </row>
    <row r="255">
      <c r="A255" s="21"/>
      <c r="B255" s="21" t="s">
        <v>6393</v>
      </c>
      <c r="C255" s="21" t="s">
        <v>90</v>
      </c>
      <c r="D255" s="25">
        <v>110.0</v>
      </c>
      <c r="E255" s="25">
        <v>10.0</v>
      </c>
      <c r="F255" s="25">
        <v>5.76</v>
      </c>
      <c r="G255" s="21" t="s">
        <v>212</v>
      </c>
    </row>
    <row r="256">
      <c r="A256" s="21"/>
      <c r="B256" s="21" t="s">
        <v>6394</v>
      </c>
      <c r="C256" s="21" t="s">
        <v>87</v>
      </c>
      <c r="D256" s="25">
        <v>110.0</v>
      </c>
      <c r="E256" s="25">
        <v>44.0</v>
      </c>
      <c r="F256" s="25">
        <v>4.39</v>
      </c>
      <c r="G256" s="21" t="s">
        <v>188</v>
      </c>
    </row>
    <row r="257">
      <c r="A257" s="21"/>
      <c r="B257" s="21" t="s">
        <v>38</v>
      </c>
      <c r="C257" s="21" t="s">
        <v>87</v>
      </c>
      <c r="D257" s="25">
        <v>110.0</v>
      </c>
      <c r="E257" s="25">
        <v>23.0</v>
      </c>
      <c r="F257" s="25">
        <v>8.42</v>
      </c>
      <c r="G257" s="21" t="s">
        <v>155</v>
      </c>
    </row>
    <row r="258">
      <c r="A258" s="21"/>
      <c r="B258" s="21" t="s">
        <v>6395</v>
      </c>
      <c r="C258" s="21" t="s">
        <v>90</v>
      </c>
      <c r="D258" s="25">
        <v>90.0</v>
      </c>
      <c r="E258" s="25">
        <v>36.0</v>
      </c>
      <c r="F258" s="25">
        <v>4.43</v>
      </c>
      <c r="G258" s="21" t="s">
        <v>259</v>
      </c>
    </row>
    <row r="259">
      <c r="A259" s="21"/>
      <c r="B259" s="21" t="s">
        <v>6396</v>
      </c>
      <c r="C259" s="21" t="s">
        <v>87</v>
      </c>
      <c r="D259" s="25">
        <v>90.0</v>
      </c>
      <c r="E259" s="25">
        <v>35.0</v>
      </c>
      <c r="F259" s="25">
        <v>4.39</v>
      </c>
      <c r="G259" s="21" t="s">
        <v>1457</v>
      </c>
    </row>
    <row r="260">
      <c r="A260" s="21"/>
      <c r="B260" s="21" t="s">
        <v>6397</v>
      </c>
      <c r="C260" s="21" t="s">
        <v>87</v>
      </c>
      <c r="D260" s="25">
        <v>90.0</v>
      </c>
      <c r="E260" s="25">
        <v>25.0</v>
      </c>
      <c r="F260" s="25">
        <v>5.06</v>
      </c>
      <c r="G260" s="21" t="s">
        <v>6398</v>
      </c>
    </row>
    <row r="261">
      <c r="A261" s="21"/>
      <c r="B261" s="21" t="s">
        <v>6399</v>
      </c>
      <c r="C261" s="21" t="s">
        <v>160</v>
      </c>
      <c r="D261" s="25">
        <v>90.0</v>
      </c>
      <c r="E261" s="25">
        <v>10.0</v>
      </c>
      <c r="F261" s="25">
        <v>3.7</v>
      </c>
      <c r="G261" s="21" t="s">
        <v>6400</v>
      </c>
    </row>
    <row r="262">
      <c r="A262" s="21"/>
      <c r="B262" s="21" t="s">
        <v>6401</v>
      </c>
      <c r="C262" s="21" t="s">
        <v>87</v>
      </c>
      <c r="D262" s="25">
        <v>90.0</v>
      </c>
      <c r="E262" s="25">
        <v>24.0</v>
      </c>
      <c r="F262" s="25">
        <v>6.85</v>
      </c>
      <c r="G262" s="21" t="s">
        <v>155</v>
      </c>
    </row>
    <row r="263">
      <c r="A263" s="21"/>
      <c r="B263" s="21" t="s">
        <v>6402</v>
      </c>
      <c r="C263" s="21" t="s">
        <v>87</v>
      </c>
      <c r="D263" s="25">
        <v>90.0</v>
      </c>
      <c r="E263" s="25">
        <v>41.0</v>
      </c>
      <c r="F263" s="25">
        <v>4.05</v>
      </c>
      <c r="G263" s="21" t="s">
        <v>155</v>
      </c>
    </row>
    <row r="264">
      <c r="A264" s="21"/>
      <c r="B264" s="21" t="s">
        <v>6403</v>
      </c>
      <c r="C264" s="21" t="s">
        <v>87</v>
      </c>
      <c r="D264" s="25">
        <v>90.0</v>
      </c>
      <c r="E264" s="25">
        <v>42.0</v>
      </c>
      <c r="F264" s="25">
        <v>4.69</v>
      </c>
      <c r="G264" s="21" t="s">
        <v>155</v>
      </c>
    </row>
    <row r="265">
      <c r="A265" s="21"/>
      <c r="B265" s="21" t="s">
        <v>6404</v>
      </c>
      <c r="C265" s="21" t="s">
        <v>117</v>
      </c>
      <c r="D265" s="25">
        <v>90.0</v>
      </c>
      <c r="E265" s="25">
        <v>11.0</v>
      </c>
      <c r="F265" s="25">
        <v>4.97</v>
      </c>
      <c r="G265" s="21" t="s">
        <v>6405</v>
      </c>
    </row>
    <row r="266">
      <c r="A266" s="21"/>
      <c r="B266" s="21" t="s">
        <v>6406</v>
      </c>
      <c r="C266" s="21" t="s">
        <v>160</v>
      </c>
      <c r="D266" s="25">
        <v>90.0</v>
      </c>
      <c r="E266" s="25">
        <v>6.0</v>
      </c>
      <c r="F266" s="25">
        <v>1.66</v>
      </c>
      <c r="G266" s="21" t="s">
        <v>296</v>
      </c>
    </row>
    <row r="267">
      <c r="A267" s="21"/>
      <c r="B267" s="21" t="s">
        <v>6407</v>
      </c>
      <c r="C267" s="21" t="s">
        <v>117</v>
      </c>
      <c r="D267" s="25">
        <v>90.0</v>
      </c>
      <c r="E267" s="25">
        <v>0.0</v>
      </c>
      <c r="F267" s="25">
        <v>4.39</v>
      </c>
      <c r="G267" s="21" t="s">
        <v>478</v>
      </c>
    </row>
    <row r="268">
      <c r="A268" s="21"/>
      <c r="B268" s="21" t="s">
        <v>6408</v>
      </c>
      <c r="C268" s="21" t="s">
        <v>87</v>
      </c>
      <c r="D268" s="25">
        <v>90.0</v>
      </c>
      <c r="E268" s="25">
        <v>22.0</v>
      </c>
      <c r="F268" s="25">
        <v>4.11</v>
      </c>
      <c r="G268" s="21" t="s">
        <v>259</v>
      </c>
    </row>
    <row r="269">
      <c r="A269" s="21"/>
      <c r="B269" s="21" t="s">
        <v>6409</v>
      </c>
      <c r="C269" s="21" t="s">
        <v>87</v>
      </c>
      <c r="D269" s="25">
        <v>90.0</v>
      </c>
      <c r="E269" s="25">
        <v>8.0</v>
      </c>
      <c r="F269" s="25">
        <v>6.33</v>
      </c>
      <c r="G269" s="21" t="s">
        <v>970</v>
      </c>
    </row>
    <row r="270">
      <c r="A270" s="21"/>
      <c r="B270" s="21" t="s">
        <v>6410</v>
      </c>
      <c r="C270" s="21" t="s">
        <v>87</v>
      </c>
      <c r="D270" s="25">
        <v>90.0</v>
      </c>
      <c r="E270" s="25">
        <v>19.0</v>
      </c>
      <c r="F270" s="25">
        <v>8.09</v>
      </c>
      <c r="G270" s="21" t="s">
        <v>212</v>
      </c>
    </row>
    <row r="271">
      <c r="A271" s="21"/>
      <c r="B271" s="21" t="s">
        <v>6411</v>
      </c>
      <c r="C271" s="21" t="s">
        <v>99</v>
      </c>
      <c r="D271" s="25">
        <v>90.0</v>
      </c>
      <c r="E271" s="25">
        <v>23.0</v>
      </c>
      <c r="F271" s="25">
        <v>1.12</v>
      </c>
      <c r="G271" s="21" t="s">
        <v>6412</v>
      </c>
    </row>
    <row r="272">
      <c r="A272" s="21"/>
      <c r="B272" s="21" t="s">
        <v>6413</v>
      </c>
      <c r="C272" s="21" t="s">
        <v>87</v>
      </c>
      <c r="D272" s="25">
        <v>90.0</v>
      </c>
      <c r="E272" s="25">
        <v>0.0</v>
      </c>
      <c r="F272" s="25">
        <v>7.51</v>
      </c>
      <c r="G272" s="21" t="s">
        <v>858</v>
      </c>
    </row>
    <row r="273">
      <c r="A273" s="21"/>
      <c r="B273" s="21" t="s">
        <v>6414</v>
      </c>
      <c r="C273" s="21" t="s">
        <v>87</v>
      </c>
      <c r="D273" s="25">
        <v>90.0</v>
      </c>
      <c r="E273" s="25">
        <v>3.0</v>
      </c>
      <c r="F273" s="25">
        <v>7.28</v>
      </c>
      <c r="G273" s="21" t="s">
        <v>155</v>
      </c>
    </row>
    <row r="274">
      <c r="A274" s="21"/>
      <c r="B274" s="21" t="s">
        <v>6415</v>
      </c>
      <c r="C274" s="21" t="s">
        <v>87</v>
      </c>
      <c r="D274" s="25">
        <v>90.0</v>
      </c>
      <c r="E274" s="25">
        <v>18.0</v>
      </c>
      <c r="F274" s="25">
        <v>5.21</v>
      </c>
      <c r="G274" s="21" t="s">
        <v>147</v>
      </c>
    </row>
    <row r="275">
      <c r="A275" s="21"/>
      <c r="B275" s="21" t="s">
        <v>6416</v>
      </c>
      <c r="C275" s="21" t="s">
        <v>87</v>
      </c>
      <c r="D275" s="25">
        <v>90.0</v>
      </c>
      <c r="E275" s="25">
        <v>38.0</v>
      </c>
      <c r="F275" s="25">
        <v>5.21</v>
      </c>
      <c r="G275" s="21" t="s">
        <v>970</v>
      </c>
    </row>
    <row r="276">
      <c r="A276" s="21"/>
      <c r="B276" s="21" t="s">
        <v>6417</v>
      </c>
      <c r="C276" s="21" t="s">
        <v>117</v>
      </c>
      <c r="D276" s="25">
        <v>90.0</v>
      </c>
      <c r="E276" s="25">
        <v>16.0</v>
      </c>
      <c r="F276" s="25">
        <v>3.83</v>
      </c>
      <c r="G276" s="21" t="s">
        <v>6418</v>
      </c>
    </row>
    <row r="277">
      <c r="A277" s="21"/>
      <c r="B277" s="21" t="s">
        <v>6419</v>
      </c>
      <c r="C277" s="21" t="s">
        <v>90</v>
      </c>
      <c r="D277" s="25">
        <v>90.0</v>
      </c>
      <c r="E277" s="25">
        <v>31.0</v>
      </c>
      <c r="F277" s="25">
        <v>6.78</v>
      </c>
      <c r="G277" s="21" t="s">
        <v>188</v>
      </c>
    </row>
    <row r="278">
      <c r="A278" s="21"/>
      <c r="B278" s="21" t="s">
        <v>6420</v>
      </c>
      <c r="C278" s="21" t="s">
        <v>87</v>
      </c>
      <c r="D278" s="25">
        <v>90.0</v>
      </c>
      <c r="E278" s="25">
        <v>39.0</v>
      </c>
      <c r="F278" s="25">
        <v>4.07</v>
      </c>
      <c r="G278" s="21" t="s">
        <v>1138</v>
      </c>
    </row>
    <row r="279">
      <c r="A279" s="21"/>
      <c r="B279" s="21" t="s">
        <v>6421</v>
      </c>
      <c r="C279" s="21" t="s">
        <v>87</v>
      </c>
      <c r="D279" s="25">
        <v>90.0</v>
      </c>
      <c r="E279" s="25">
        <v>15.0</v>
      </c>
      <c r="F279" s="25">
        <v>7.34</v>
      </c>
      <c r="G279" s="21" t="s">
        <v>886</v>
      </c>
    </row>
    <row r="280">
      <c r="A280" s="21"/>
      <c r="B280" s="21" t="s">
        <v>6422</v>
      </c>
      <c r="C280" s="21" t="s">
        <v>87</v>
      </c>
      <c r="D280" s="25">
        <v>90.0</v>
      </c>
      <c r="E280" s="25">
        <v>19.0</v>
      </c>
      <c r="F280" s="25">
        <v>7.34</v>
      </c>
      <c r="G280" s="21" t="s">
        <v>970</v>
      </c>
    </row>
    <row r="281">
      <c r="A281" s="21"/>
      <c r="B281" s="21" t="s">
        <v>6423</v>
      </c>
      <c r="C281" s="21" t="s">
        <v>87</v>
      </c>
      <c r="D281" s="25">
        <v>90.0</v>
      </c>
      <c r="E281" s="25">
        <v>30.0</v>
      </c>
      <c r="F281" s="25">
        <v>5.12</v>
      </c>
      <c r="G281" s="21" t="s">
        <v>188</v>
      </c>
    </row>
    <row r="282">
      <c r="A282" s="21"/>
      <c r="B282" s="21" t="s">
        <v>6424</v>
      </c>
      <c r="C282" s="21" t="s">
        <v>117</v>
      </c>
      <c r="D282" s="25">
        <v>90.0</v>
      </c>
      <c r="E282" s="25">
        <v>22.0</v>
      </c>
      <c r="F282" s="25">
        <v>4.01</v>
      </c>
      <c r="G282" s="21" t="s">
        <v>478</v>
      </c>
    </row>
    <row r="283">
      <c r="A283" s="21"/>
      <c r="B283" s="21" t="s">
        <v>6425</v>
      </c>
      <c r="C283" s="21" t="s">
        <v>90</v>
      </c>
      <c r="D283" s="25">
        <v>90.0</v>
      </c>
      <c r="E283" s="25">
        <v>26.0</v>
      </c>
      <c r="F283" s="25">
        <v>3.74</v>
      </c>
      <c r="G283" s="21" t="s">
        <v>188</v>
      </c>
    </row>
    <row r="284">
      <c r="A284" s="21"/>
      <c r="B284" s="21" t="s">
        <v>6426</v>
      </c>
      <c r="C284" s="21" t="s">
        <v>117</v>
      </c>
      <c r="D284" s="25">
        <v>90.0</v>
      </c>
      <c r="E284" s="25">
        <v>3.0</v>
      </c>
      <c r="F284" s="25">
        <v>3.83</v>
      </c>
      <c r="G284" s="21" t="s">
        <v>899</v>
      </c>
    </row>
    <row r="285">
      <c r="A285" s="21"/>
      <c r="B285" s="21" t="s">
        <v>6427</v>
      </c>
      <c r="C285" s="21" t="s">
        <v>117</v>
      </c>
      <c r="D285" s="25">
        <v>90.0</v>
      </c>
      <c r="E285" s="25">
        <v>18.0</v>
      </c>
      <c r="F285" s="25">
        <v>3.83</v>
      </c>
      <c r="G285" s="21" t="s">
        <v>6428</v>
      </c>
    </row>
    <row r="286">
      <c r="A286" s="21"/>
      <c r="B286" s="21" t="s">
        <v>6429</v>
      </c>
      <c r="C286" s="21" t="s">
        <v>117</v>
      </c>
      <c r="D286" s="25">
        <v>90.0</v>
      </c>
      <c r="E286" s="25">
        <v>3.0</v>
      </c>
      <c r="F286" s="25">
        <v>3.45</v>
      </c>
      <c r="G286" s="21" t="s">
        <v>6430</v>
      </c>
    </row>
    <row r="287">
      <c r="A287" s="21"/>
      <c r="B287" s="21" t="s">
        <v>6431</v>
      </c>
      <c r="C287" s="21" t="s">
        <v>117</v>
      </c>
      <c r="D287" s="25">
        <v>90.0</v>
      </c>
      <c r="E287" s="25">
        <v>9.0</v>
      </c>
      <c r="F287" s="25">
        <v>3.69</v>
      </c>
      <c r="G287" s="21" t="s">
        <v>1351</v>
      </c>
    </row>
    <row r="288">
      <c r="A288" s="21"/>
      <c r="B288" s="21" t="s">
        <v>6432</v>
      </c>
      <c r="C288" s="21" t="s">
        <v>87</v>
      </c>
      <c r="D288" s="25">
        <v>90.0</v>
      </c>
      <c r="E288" s="25">
        <v>25.0</v>
      </c>
      <c r="F288" s="25">
        <v>3.93</v>
      </c>
      <c r="G288" s="21" t="s">
        <v>6433</v>
      </c>
    </row>
    <row r="289">
      <c r="A289" s="21"/>
      <c r="B289" s="21" t="s">
        <v>6434</v>
      </c>
      <c r="C289" s="21" t="s">
        <v>87</v>
      </c>
      <c r="D289" s="25">
        <v>90.0</v>
      </c>
      <c r="E289" s="25">
        <v>36.0</v>
      </c>
      <c r="F289" s="25">
        <v>5.58</v>
      </c>
      <c r="G289" s="21" t="s">
        <v>1124</v>
      </c>
    </row>
    <row r="290">
      <c r="A290" s="21"/>
      <c r="B290" s="21" t="s">
        <v>6435</v>
      </c>
      <c r="C290" s="21" t="s">
        <v>87</v>
      </c>
      <c r="D290" s="25">
        <v>90.0</v>
      </c>
      <c r="E290" s="25">
        <v>10.0</v>
      </c>
      <c r="F290" s="25">
        <v>3.34</v>
      </c>
      <c r="G290" s="21" t="s">
        <v>1332</v>
      </c>
    </row>
    <row r="291">
      <c r="A291" s="21"/>
      <c r="B291" s="21" t="s">
        <v>6436</v>
      </c>
      <c r="C291" s="21" t="s">
        <v>117</v>
      </c>
      <c r="D291" s="25">
        <v>90.0</v>
      </c>
      <c r="E291" s="25">
        <v>0.0</v>
      </c>
      <c r="F291" s="25">
        <v>0.5</v>
      </c>
      <c r="G291" s="21" t="s">
        <v>6325</v>
      </c>
    </row>
    <row r="292">
      <c r="A292" s="21"/>
      <c r="B292" s="21" t="s">
        <v>6437</v>
      </c>
      <c r="C292" s="21" t="s">
        <v>117</v>
      </c>
      <c r="D292" s="25">
        <v>90.0</v>
      </c>
      <c r="E292" s="25">
        <v>6.0</v>
      </c>
      <c r="F292" s="25">
        <v>2.74</v>
      </c>
      <c r="G292" s="21" t="s">
        <v>476</v>
      </c>
    </row>
    <row r="293">
      <c r="A293" s="21"/>
      <c r="B293" s="21" t="s">
        <v>6438</v>
      </c>
      <c r="C293" s="21" t="s">
        <v>117</v>
      </c>
      <c r="D293" s="25">
        <v>90.0</v>
      </c>
      <c r="E293" s="25">
        <v>22.0</v>
      </c>
      <c r="F293" s="25">
        <v>1.17</v>
      </c>
      <c r="G293" s="21" t="s">
        <v>6439</v>
      </c>
    </row>
    <row r="294">
      <c r="A294" s="21"/>
      <c r="B294" s="21" t="s">
        <v>6440</v>
      </c>
      <c r="C294" s="21" t="s">
        <v>117</v>
      </c>
      <c r="D294" s="25">
        <v>90.0</v>
      </c>
      <c r="E294" s="25">
        <v>15.0</v>
      </c>
      <c r="F294" s="25">
        <v>0.86</v>
      </c>
      <c r="G294" s="21" t="s">
        <v>6164</v>
      </c>
    </row>
    <row r="295">
      <c r="A295" s="21"/>
      <c r="B295" s="21" t="s">
        <v>6441</v>
      </c>
      <c r="C295" s="21" t="s">
        <v>117</v>
      </c>
      <c r="D295" s="25">
        <v>90.0</v>
      </c>
      <c r="E295" s="25">
        <v>27.0</v>
      </c>
      <c r="F295" s="25">
        <v>3.5</v>
      </c>
      <c r="G295" s="21" t="s">
        <v>6442</v>
      </c>
    </row>
    <row r="296">
      <c r="A296" s="21"/>
      <c r="B296" s="21" t="s">
        <v>6443</v>
      </c>
      <c r="C296" s="21" t="s">
        <v>87</v>
      </c>
      <c r="D296" s="25">
        <v>90.0</v>
      </c>
      <c r="E296" s="25">
        <v>29.0</v>
      </c>
      <c r="F296" s="25">
        <v>3.02</v>
      </c>
      <c r="G296" s="21" t="s">
        <v>6444</v>
      </c>
    </row>
    <row r="297">
      <c r="A297" s="21"/>
      <c r="B297" s="21" t="s">
        <v>107</v>
      </c>
      <c r="C297" s="21" t="s">
        <v>87</v>
      </c>
      <c r="D297" s="25">
        <v>90.0</v>
      </c>
      <c r="E297" s="25">
        <v>28.0</v>
      </c>
      <c r="F297" s="25">
        <v>2.45</v>
      </c>
      <c r="G297" s="21" t="s">
        <v>276</v>
      </c>
    </row>
    <row r="298">
      <c r="A298" s="21"/>
      <c r="B298" s="21" t="s">
        <v>6445</v>
      </c>
      <c r="C298" s="21" t="s">
        <v>87</v>
      </c>
      <c r="D298" s="25">
        <v>90.0</v>
      </c>
      <c r="E298" s="25">
        <v>19.0</v>
      </c>
      <c r="F298" s="25">
        <v>2.75</v>
      </c>
      <c r="G298" s="21" t="s">
        <v>1466</v>
      </c>
    </row>
    <row r="299">
      <c r="A299" s="21"/>
      <c r="B299" s="21" t="s">
        <v>6446</v>
      </c>
      <c r="C299" s="21" t="s">
        <v>87</v>
      </c>
      <c r="D299" s="25">
        <v>90.0</v>
      </c>
      <c r="E299" s="25">
        <v>22.0</v>
      </c>
      <c r="F299" s="25">
        <v>2.75</v>
      </c>
      <c r="G299" s="21" t="s">
        <v>6447</v>
      </c>
    </row>
    <row r="300">
      <c r="A300" s="21"/>
      <c r="B300" s="21" t="s">
        <v>6448</v>
      </c>
      <c r="C300" s="21" t="s">
        <v>87</v>
      </c>
      <c r="D300" s="25">
        <v>90.0</v>
      </c>
      <c r="E300" s="25">
        <v>23.0</v>
      </c>
      <c r="F300" s="25">
        <v>4.0</v>
      </c>
      <c r="G300" s="21" t="s">
        <v>6449</v>
      </c>
    </row>
    <row r="301">
      <c r="A301" s="21"/>
      <c r="B301" s="21" t="s">
        <v>6450</v>
      </c>
      <c r="C301" s="21" t="s">
        <v>117</v>
      </c>
      <c r="D301" s="25">
        <v>90.0</v>
      </c>
      <c r="E301" s="25">
        <v>2.0</v>
      </c>
      <c r="F301" s="25">
        <v>2.28</v>
      </c>
      <c r="G301" s="21" t="s">
        <v>476</v>
      </c>
    </row>
    <row r="302">
      <c r="A302" s="21"/>
      <c r="B302" s="21" t="s">
        <v>6451</v>
      </c>
      <c r="C302" s="21" t="s">
        <v>117</v>
      </c>
      <c r="D302" s="25">
        <v>90.0</v>
      </c>
      <c r="E302" s="25">
        <v>11.0</v>
      </c>
      <c r="F302" s="25">
        <v>2.93</v>
      </c>
      <c r="G302" s="21" t="s">
        <v>476</v>
      </c>
    </row>
    <row r="303">
      <c r="A303" s="21"/>
      <c r="B303" s="21" t="s">
        <v>6452</v>
      </c>
      <c r="C303" s="21" t="s">
        <v>90</v>
      </c>
      <c r="D303" s="25">
        <v>90.0</v>
      </c>
      <c r="E303" s="25">
        <v>17.0</v>
      </c>
      <c r="F303" s="25">
        <v>6.75</v>
      </c>
      <c r="G303" s="21" t="s">
        <v>6453</v>
      </c>
    </row>
    <row r="304">
      <c r="A304" s="21"/>
      <c r="B304" s="21" t="s">
        <v>6454</v>
      </c>
      <c r="C304" s="21" t="s">
        <v>117</v>
      </c>
      <c r="D304" s="25">
        <v>90.0</v>
      </c>
      <c r="E304" s="25">
        <v>14.0</v>
      </c>
      <c r="F304" s="25">
        <v>6.35</v>
      </c>
      <c r="G304" s="21" t="s">
        <v>429</v>
      </c>
    </row>
    <row r="305">
      <c r="A305" s="21"/>
      <c r="B305" s="21" t="s">
        <v>6455</v>
      </c>
      <c r="C305" s="21" t="s">
        <v>87</v>
      </c>
      <c r="D305" s="25">
        <v>90.0</v>
      </c>
      <c r="E305" s="25">
        <v>42.0</v>
      </c>
      <c r="F305" s="25">
        <v>4.17</v>
      </c>
      <c r="G305" s="21" t="s">
        <v>6456</v>
      </c>
    </row>
    <row r="306">
      <c r="A306" s="21"/>
      <c r="B306" s="21" t="s">
        <v>6457</v>
      </c>
      <c r="C306" s="21" t="s">
        <v>90</v>
      </c>
      <c r="D306" s="25">
        <v>90.0</v>
      </c>
      <c r="E306" s="25">
        <v>12.0</v>
      </c>
      <c r="F306" s="25">
        <v>5.83</v>
      </c>
      <c r="G306" s="21" t="s">
        <v>6458</v>
      </c>
    </row>
    <row r="307">
      <c r="A307" s="21"/>
      <c r="B307" s="21" t="s">
        <v>6459</v>
      </c>
      <c r="C307" s="21" t="s">
        <v>90</v>
      </c>
      <c r="D307" s="25">
        <v>90.0</v>
      </c>
      <c r="E307" s="25">
        <v>22.0</v>
      </c>
      <c r="F307" s="25">
        <v>5.85</v>
      </c>
      <c r="G307" s="21" t="s">
        <v>6460</v>
      </c>
    </row>
    <row r="308">
      <c r="A308" s="21"/>
      <c r="B308" s="21" t="s">
        <v>6461</v>
      </c>
      <c r="C308" s="21" t="s">
        <v>90</v>
      </c>
      <c r="D308" s="25">
        <v>90.0</v>
      </c>
      <c r="E308" s="25">
        <v>26.0</v>
      </c>
      <c r="F308" s="25">
        <v>3.98</v>
      </c>
      <c r="G308" s="21" t="s">
        <v>1007</v>
      </c>
    </row>
    <row r="309">
      <c r="A309" s="21"/>
      <c r="B309" s="21" t="s">
        <v>6462</v>
      </c>
      <c r="C309" s="21" t="s">
        <v>117</v>
      </c>
      <c r="D309" s="25">
        <v>90.0</v>
      </c>
      <c r="E309" s="25">
        <v>14.0</v>
      </c>
      <c r="F309" s="25">
        <v>3.32</v>
      </c>
      <c r="G309" s="21" t="s">
        <v>6463</v>
      </c>
    </row>
    <row r="310">
      <c r="A310" s="21"/>
      <c r="B310" s="21" t="s">
        <v>6464</v>
      </c>
      <c r="C310" s="21" t="s">
        <v>117</v>
      </c>
      <c r="D310" s="25">
        <v>90.0</v>
      </c>
      <c r="E310" s="25">
        <v>27.0</v>
      </c>
      <c r="F310" s="25">
        <v>3.33</v>
      </c>
      <c r="G310" s="21" t="s">
        <v>1041</v>
      </c>
    </row>
    <row r="311">
      <c r="A311" s="21"/>
      <c r="B311" s="21" t="s">
        <v>6465</v>
      </c>
      <c r="C311" s="21" t="s">
        <v>117</v>
      </c>
      <c r="D311" s="25">
        <v>90.0</v>
      </c>
      <c r="E311" s="25">
        <v>19.0</v>
      </c>
      <c r="F311" s="25">
        <v>2.96</v>
      </c>
      <c r="G311" s="21" t="s">
        <v>6466</v>
      </c>
    </row>
    <row r="312">
      <c r="A312" s="21"/>
      <c r="B312" s="21" t="s">
        <v>6467</v>
      </c>
      <c r="C312" s="21" t="s">
        <v>117</v>
      </c>
      <c r="D312" s="25">
        <v>90.0</v>
      </c>
      <c r="E312" s="25">
        <v>36.0</v>
      </c>
      <c r="F312" s="25">
        <v>5.2</v>
      </c>
      <c r="G312" s="21" t="s">
        <v>6120</v>
      </c>
    </row>
    <row r="313">
      <c r="A313" s="21"/>
      <c r="B313" s="21" t="s">
        <v>6468</v>
      </c>
      <c r="C313" s="21" t="s">
        <v>87</v>
      </c>
      <c r="D313" s="25">
        <v>90.0</v>
      </c>
      <c r="E313" s="25">
        <v>28.0</v>
      </c>
      <c r="F313" s="25">
        <v>2.97</v>
      </c>
      <c r="G313" s="21" t="s">
        <v>897</v>
      </c>
    </row>
    <row r="314">
      <c r="A314" s="21"/>
      <c r="B314" s="21" t="s">
        <v>6469</v>
      </c>
      <c r="C314" s="21" t="s">
        <v>87</v>
      </c>
      <c r="D314" s="25">
        <v>90.0</v>
      </c>
      <c r="E314" s="25">
        <v>25.0</v>
      </c>
      <c r="F314" s="25">
        <v>6.85</v>
      </c>
      <c r="G314" s="21" t="s">
        <v>1124</v>
      </c>
    </row>
    <row r="315">
      <c r="A315" s="21"/>
      <c r="B315" s="21" t="s">
        <v>6470</v>
      </c>
      <c r="C315" s="21" t="s">
        <v>90</v>
      </c>
      <c r="D315" s="25">
        <v>90.0</v>
      </c>
      <c r="E315" s="25">
        <v>29.0</v>
      </c>
      <c r="F315" s="25">
        <v>6.54</v>
      </c>
      <c r="G315" s="21" t="s">
        <v>188</v>
      </c>
    </row>
    <row r="316">
      <c r="A316" s="21"/>
      <c r="B316" s="21" t="s">
        <v>6471</v>
      </c>
      <c r="C316" s="21" t="s">
        <v>87</v>
      </c>
      <c r="D316" s="25">
        <v>90.0</v>
      </c>
      <c r="E316" s="25">
        <v>23.0</v>
      </c>
      <c r="F316" s="25">
        <v>3.93</v>
      </c>
      <c r="G316" s="21" t="s">
        <v>1212</v>
      </c>
    </row>
    <row r="317">
      <c r="A317" s="21"/>
      <c r="B317" s="21" t="s">
        <v>6472</v>
      </c>
      <c r="C317" s="21" t="s">
        <v>117</v>
      </c>
      <c r="D317" s="25">
        <v>90.0</v>
      </c>
      <c r="E317" s="25">
        <v>28.0</v>
      </c>
      <c r="F317" s="25">
        <v>1.21</v>
      </c>
      <c r="G317" s="21" t="s">
        <v>6473</v>
      </c>
    </row>
    <row r="318">
      <c r="A318" s="21"/>
      <c r="B318" s="21" t="s">
        <v>6474</v>
      </c>
      <c r="C318" s="21" t="s">
        <v>117</v>
      </c>
      <c r="D318" s="25">
        <v>90.0</v>
      </c>
      <c r="E318" s="25">
        <v>25.0</v>
      </c>
      <c r="F318" s="25">
        <v>1.59</v>
      </c>
      <c r="G318" s="21" t="s">
        <v>437</v>
      </c>
    </row>
    <row r="319">
      <c r="A319" s="21"/>
      <c r="B319" s="21" t="s">
        <v>6475</v>
      </c>
      <c r="C319" s="21" t="s">
        <v>117</v>
      </c>
      <c r="D319" s="25">
        <v>90.0</v>
      </c>
      <c r="E319" s="25">
        <v>18.0</v>
      </c>
      <c r="F319" s="25">
        <v>2.5</v>
      </c>
      <c r="G319" s="21" t="s">
        <v>6168</v>
      </c>
    </row>
    <row r="320">
      <c r="A320" s="21"/>
      <c r="B320" s="21" t="s">
        <v>6476</v>
      </c>
      <c r="C320" s="21" t="s">
        <v>117</v>
      </c>
      <c r="D320" s="25">
        <v>70.0</v>
      </c>
      <c r="E320" s="25">
        <v>26.0</v>
      </c>
      <c r="F320" s="25">
        <v>4.45</v>
      </c>
      <c r="G320" s="21" t="s">
        <v>6477</v>
      </c>
    </row>
    <row r="321">
      <c r="A321" s="21"/>
      <c r="B321" s="21" t="s">
        <v>6478</v>
      </c>
      <c r="C321" s="21" t="s">
        <v>117</v>
      </c>
      <c r="D321" s="25">
        <v>70.0</v>
      </c>
      <c r="E321" s="25">
        <v>18.0</v>
      </c>
      <c r="F321" s="25">
        <v>3.39</v>
      </c>
      <c r="G321" s="21" t="s">
        <v>6269</v>
      </c>
    </row>
    <row r="322">
      <c r="A322" s="21"/>
      <c r="B322" s="21" t="s">
        <v>6479</v>
      </c>
      <c r="C322" s="21" t="s">
        <v>117</v>
      </c>
      <c r="D322" s="25">
        <v>70.0</v>
      </c>
      <c r="E322" s="25">
        <v>18.0</v>
      </c>
      <c r="F322" s="25">
        <v>3.39</v>
      </c>
      <c r="G322" s="21" t="s">
        <v>170</v>
      </c>
    </row>
    <row r="323">
      <c r="A323" s="21"/>
      <c r="B323" s="21" t="s">
        <v>6480</v>
      </c>
      <c r="C323" s="21" t="s">
        <v>117</v>
      </c>
      <c r="D323" s="25">
        <v>70.0</v>
      </c>
      <c r="E323" s="25">
        <v>5.0</v>
      </c>
      <c r="F323" s="25">
        <v>2.75</v>
      </c>
      <c r="G323" s="21" t="s">
        <v>446</v>
      </c>
    </row>
    <row r="324">
      <c r="A324" s="21"/>
      <c r="B324" s="21" t="s">
        <v>6481</v>
      </c>
      <c r="C324" s="21" t="s">
        <v>87</v>
      </c>
      <c r="D324" s="25">
        <v>70.0</v>
      </c>
      <c r="E324" s="25">
        <v>24.0</v>
      </c>
      <c r="F324" s="25">
        <v>0.32</v>
      </c>
      <c r="G324" s="21" t="s">
        <v>6186</v>
      </c>
    </row>
    <row r="325">
      <c r="A325" s="21"/>
      <c r="B325" s="21" t="s">
        <v>6482</v>
      </c>
      <c r="C325" s="21" t="s">
        <v>87</v>
      </c>
      <c r="D325" s="25">
        <v>70.0</v>
      </c>
      <c r="E325" s="25">
        <v>15.0</v>
      </c>
      <c r="F325" s="25">
        <v>3.89</v>
      </c>
      <c r="G325" s="21" t="s">
        <v>6483</v>
      </c>
    </row>
    <row r="326">
      <c r="A326" s="21"/>
      <c r="B326" s="21" t="s">
        <v>6484</v>
      </c>
      <c r="C326" s="21" t="s">
        <v>90</v>
      </c>
      <c r="D326" s="25">
        <v>70.0</v>
      </c>
      <c r="E326" s="25">
        <v>11.0</v>
      </c>
      <c r="F326" s="25">
        <v>6.0</v>
      </c>
      <c r="G326" s="21" t="s">
        <v>6485</v>
      </c>
    </row>
    <row r="327">
      <c r="A327" s="21"/>
      <c r="B327" s="21" t="s">
        <v>6486</v>
      </c>
      <c r="C327" s="21" t="s">
        <v>117</v>
      </c>
      <c r="D327" s="25">
        <v>70.0</v>
      </c>
      <c r="E327" s="25">
        <v>27.0</v>
      </c>
      <c r="F327" s="25">
        <v>3.31</v>
      </c>
      <c r="G327" s="21" t="s">
        <v>6487</v>
      </c>
    </row>
    <row r="328">
      <c r="A328" s="21"/>
      <c r="B328" s="21" t="s">
        <v>6488</v>
      </c>
      <c r="C328" s="21" t="s">
        <v>117</v>
      </c>
      <c r="D328" s="25">
        <v>70.0</v>
      </c>
      <c r="E328" s="25">
        <v>10.0</v>
      </c>
      <c r="F328" s="25">
        <v>3.45</v>
      </c>
      <c r="G328" s="21" t="s">
        <v>476</v>
      </c>
    </row>
    <row r="329">
      <c r="A329" s="21"/>
      <c r="B329" s="21" t="s">
        <v>6489</v>
      </c>
      <c r="C329" s="21" t="s">
        <v>87</v>
      </c>
      <c r="D329" s="25">
        <v>70.0</v>
      </c>
      <c r="E329" s="25">
        <v>32.0</v>
      </c>
      <c r="F329" s="25">
        <v>7.52</v>
      </c>
      <c r="G329" s="21" t="s">
        <v>1217</v>
      </c>
    </row>
    <row r="330">
      <c r="A330" s="21"/>
      <c r="B330" s="21" t="s">
        <v>6490</v>
      </c>
      <c r="C330" s="21" t="s">
        <v>87</v>
      </c>
      <c r="D330" s="25">
        <v>70.0</v>
      </c>
      <c r="E330" s="25">
        <v>40.0</v>
      </c>
      <c r="F330" s="25">
        <v>4.57</v>
      </c>
      <c r="G330" s="21" t="s">
        <v>948</v>
      </c>
    </row>
    <row r="331">
      <c r="A331" s="21"/>
      <c r="B331" s="21" t="s">
        <v>6491</v>
      </c>
      <c r="C331" s="21" t="s">
        <v>87</v>
      </c>
      <c r="D331" s="25">
        <v>70.0</v>
      </c>
      <c r="E331" s="25">
        <v>26.0</v>
      </c>
      <c r="F331" s="25">
        <v>7.97</v>
      </c>
      <c r="G331" s="21" t="s">
        <v>259</v>
      </c>
    </row>
    <row r="332">
      <c r="A332" s="21"/>
      <c r="B332" s="21" t="s">
        <v>6492</v>
      </c>
      <c r="C332" s="21" t="s">
        <v>87</v>
      </c>
      <c r="D332" s="25">
        <v>70.0</v>
      </c>
      <c r="E332" s="25">
        <v>11.0</v>
      </c>
      <c r="F332" s="25">
        <v>5.81</v>
      </c>
      <c r="G332" s="21" t="s">
        <v>901</v>
      </c>
    </row>
    <row r="333">
      <c r="A333" s="21"/>
      <c r="B333" s="21" t="s">
        <v>6493</v>
      </c>
      <c r="C333" s="21" t="s">
        <v>87</v>
      </c>
      <c r="D333" s="25">
        <v>70.0</v>
      </c>
      <c r="E333" s="25">
        <v>29.0</v>
      </c>
      <c r="F333" s="25">
        <v>6.81</v>
      </c>
      <c r="G333" s="21" t="s">
        <v>259</v>
      </c>
    </row>
    <row r="334">
      <c r="A334" s="21"/>
      <c r="B334" s="21" t="s">
        <v>6494</v>
      </c>
      <c r="C334" s="21" t="s">
        <v>87</v>
      </c>
      <c r="D334" s="25">
        <v>70.0</v>
      </c>
      <c r="E334" s="25">
        <v>13.0</v>
      </c>
      <c r="F334" s="25">
        <v>12.26</v>
      </c>
      <c r="G334" s="21" t="s">
        <v>1197</v>
      </c>
    </row>
    <row r="335">
      <c r="A335" s="21"/>
      <c r="B335" s="21" t="s">
        <v>6495</v>
      </c>
      <c r="C335" s="21" t="s">
        <v>117</v>
      </c>
      <c r="D335" s="25">
        <v>70.0</v>
      </c>
      <c r="E335" s="25">
        <v>39.0</v>
      </c>
      <c r="F335" s="25">
        <v>3.12</v>
      </c>
      <c r="G335" s="21" t="s">
        <v>6309</v>
      </c>
    </row>
    <row r="336">
      <c r="A336" s="21"/>
      <c r="B336" s="21" t="s">
        <v>6496</v>
      </c>
      <c r="C336" s="21" t="s">
        <v>117</v>
      </c>
      <c r="D336" s="25">
        <v>70.0</v>
      </c>
      <c r="E336" s="25">
        <v>21.0</v>
      </c>
      <c r="F336" s="25">
        <v>2.95</v>
      </c>
      <c r="G336" s="21" t="s">
        <v>495</v>
      </c>
    </row>
    <row r="337">
      <c r="A337" s="21"/>
      <c r="B337" s="21" t="s">
        <v>6497</v>
      </c>
      <c r="C337" s="21" t="s">
        <v>87</v>
      </c>
      <c r="D337" s="25">
        <v>70.0</v>
      </c>
      <c r="E337" s="25">
        <v>15.0</v>
      </c>
      <c r="F337" s="25">
        <v>10.75</v>
      </c>
      <c r="G337" s="21" t="s">
        <v>147</v>
      </c>
    </row>
    <row r="338">
      <c r="A338" s="21"/>
      <c r="B338" s="21" t="s">
        <v>6498</v>
      </c>
      <c r="C338" s="21" t="s">
        <v>87</v>
      </c>
      <c r="D338" s="25">
        <v>70.0</v>
      </c>
      <c r="E338" s="25">
        <v>10.0</v>
      </c>
      <c r="F338" s="25">
        <v>10.75</v>
      </c>
      <c r="G338" s="21" t="s">
        <v>1212</v>
      </c>
    </row>
    <row r="339">
      <c r="A339" s="21"/>
      <c r="B339" s="21" t="s">
        <v>6499</v>
      </c>
      <c r="C339" s="21" t="s">
        <v>87</v>
      </c>
      <c r="D339" s="25">
        <v>70.0</v>
      </c>
      <c r="E339" s="25">
        <v>31.0</v>
      </c>
      <c r="F339" s="25">
        <v>4.31</v>
      </c>
      <c r="G339" s="21" t="s">
        <v>1191</v>
      </c>
    </row>
    <row r="340">
      <c r="A340" s="21"/>
      <c r="B340" s="21" t="s">
        <v>6500</v>
      </c>
      <c r="C340" s="21" t="s">
        <v>87</v>
      </c>
      <c r="D340" s="25">
        <v>70.0</v>
      </c>
      <c r="E340" s="25">
        <v>0.0</v>
      </c>
      <c r="F340" s="25">
        <v>5.69</v>
      </c>
      <c r="G340" s="21" t="s">
        <v>188</v>
      </c>
    </row>
    <row r="341">
      <c r="A341" s="21"/>
      <c r="B341" s="21" t="s">
        <v>6501</v>
      </c>
      <c r="C341" s="21" t="s">
        <v>87</v>
      </c>
      <c r="D341" s="25">
        <v>70.0</v>
      </c>
      <c r="E341" s="25">
        <v>3.0</v>
      </c>
      <c r="F341" s="25">
        <v>8.35</v>
      </c>
      <c r="G341" s="21" t="s">
        <v>97</v>
      </c>
    </row>
    <row r="342">
      <c r="A342" s="21"/>
      <c r="B342" s="21" t="s">
        <v>6502</v>
      </c>
      <c r="C342" s="21" t="s">
        <v>87</v>
      </c>
      <c r="D342" s="25">
        <v>70.0</v>
      </c>
      <c r="E342" s="25">
        <v>4.0</v>
      </c>
      <c r="F342" s="25">
        <v>7.51</v>
      </c>
      <c r="G342" s="21" t="s">
        <v>155</v>
      </c>
    </row>
    <row r="343">
      <c r="A343" s="21"/>
      <c r="B343" s="21" t="s">
        <v>6503</v>
      </c>
      <c r="C343" s="21" t="s">
        <v>87</v>
      </c>
      <c r="D343" s="25">
        <v>70.0</v>
      </c>
      <c r="E343" s="25">
        <v>23.0</v>
      </c>
      <c r="F343" s="25">
        <v>5.17</v>
      </c>
      <c r="G343" s="21" t="s">
        <v>972</v>
      </c>
    </row>
    <row r="344">
      <c r="A344" s="21"/>
      <c r="B344" s="21" t="s">
        <v>6504</v>
      </c>
      <c r="C344" s="21" t="s">
        <v>87</v>
      </c>
      <c r="D344" s="25">
        <v>70.0</v>
      </c>
      <c r="E344" s="25">
        <v>15.0</v>
      </c>
      <c r="F344" s="25">
        <v>4.79</v>
      </c>
      <c r="G344" s="21" t="s">
        <v>6505</v>
      </c>
    </row>
    <row r="345">
      <c r="A345" s="21"/>
      <c r="B345" s="21" t="s">
        <v>6506</v>
      </c>
      <c r="C345" s="21" t="s">
        <v>87</v>
      </c>
      <c r="D345" s="25">
        <v>70.0</v>
      </c>
      <c r="E345" s="25">
        <v>1.0</v>
      </c>
      <c r="F345" s="25">
        <v>5.41</v>
      </c>
      <c r="G345" s="21" t="s">
        <v>212</v>
      </c>
    </row>
    <row r="346">
      <c r="A346" s="21"/>
      <c r="B346" s="21" t="s">
        <v>6507</v>
      </c>
      <c r="C346" s="21" t="s">
        <v>87</v>
      </c>
      <c r="D346" s="25">
        <v>70.0</v>
      </c>
      <c r="E346" s="25">
        <v>28.0</v>
      </c>
      <c r="F346" s="25">
        <v>3.06</v>
      </c>
      <c r="G346" s="21" t="s">
        <v>6508</v>
      </c>
    </row>
    <row r="347">
      <c r="A347" s="21"/>
      <c r="B347" s="21" t="s">
        <v>6509</v>
      </c>
      <c r="C347" s="21" t="s">
        <v>117</v>
      </c>
      <c r="D347" s="25">
        <v>70.0</v>
      </c>
      <c r="E347" s="25">
        <v>22.0</v>
      </c>
      <c r="F347" s="25">
        <v>1.85</v>
      </c>
      <c r="G347" s="21" t="s">
        <v>1361</v>
      </c>
    </row>
    <row r="348">
      <c r="A348" s="21"/>
      <c r="B348" s="21" t="s">
        <v>6510</v>
      </c>
      <c r="C348" s="21" t="s">
        <v>117</v>
      </c>
      <c r="D348" s="25">
        <v>70.0</v>
      </c>
      <c r="E348" s="25">
        <v>2.0</v>
      </c>
      <c r="F348" s="25">
        <v>3.44</v>
      </c>
      <c r="G348" s="21" t="s">
        <v>6164</v>
      </c>
    </row>
    <row r="349">
      <c r="A349" s="21"/>
      <c r="B349" s="21" t="s">
        <v>6511</v>
      </c>
      <c r="C349" s="21" t="s">
        <v>117</v>
      </c>
      <c r="D349" s="25">
        <v>70.0</v>
      </c>
      <c r="E349" s="25">
        <v>29.0</v>
      </c>
      <c r="F349" s="25">
        <v>1.28</v>
      </c>
      <c r="G349" s="21" t="s">
        <v>6449</v>
      </c>
    </row>
    <row r="350">
      <c r="A350" s="21"/>
      <c r="B350" s="21" t="s">
        <v>6512</v>
      </c>
      <c r="C350" s="21" t="s">
        <v>117</v>
      </c>
      <c r="D350" s="25">
        <v>70.0</v>
      </c>
      <c r="E350" s="25">
        <v>24.0</v>
      </c>
      <c r="F350" s="25">
        <v>2.51</v>
      </c>
      <c r="G350" s="21" t="s">
        <v>218</v>
      </c>
    </row>
    <row r="351">
      <c r="A351" s="21"/>
      <c r="B351" s="21" t="s">
        <v>6513</v>
      </c>
      <c r="C351" s="21" t="s">
        <v>117</v>
      </c>
      <c r="D351" s="25">
        <v>70.0</v>
      </c>
      <c r="E351" s="25">
        <v>12.0</v>
      </c>
      <c r="F351" s="25">
        <v>2.98</v>
      </c>
      <c r="G351" s="21" t="s">
        <v>170</v>
      </c>
    </row>
    <row r="352">
      <c r="A352" s="21"/>
      <c r="B352" s="21" t="s">
        <v>6514</v>
      </c>
      <c r="C352" s="21" t="s">
        <v>117</v>
      </c>
      <c r="D352" s="25">
        <v>70.0</v>
      </c>
      <c r="E352" s="25">
        <v>23.0</v>
      </c>
      <c r="F352" s="25">
        <v>0.0</v>
      </c>
      <c r="G352" s="21" t="s">
        <v>437</v>
      </c>
    </row>
    <row r="353">
      <c r="A353" s="21"/>
      <c r="B353" s="21" t="s">
        <v>6515</v>
      </c>
      <c r="C353" s="21" t="s">
        <v>87</v>
      </c>
      <c r="D353" s="25">
        <v>70.0</v>
      </c>
      <c r="E353" s="25">
        <v>14.0</v>
      </c>
      <c r="F353" s="25">
        <v>6.92</v>
      </c>
      <c r="G353" s="21" t="s">
        <v>897</v>
      </c>
    </row>
    <row r="354">
      <c r="A354" s="21"/>
      <c r="B354" s="21" t="s">
        <v>6516</v>
      </c>
      <c r="C354" s="21" t="s">
        <v>117</v>
      </c>
      <c r="D354" s="25">
        <v>70.0</v>
      </c>
      <c r="E354" s="25">
        <v>31.0</v>
      </c>
      <c r="F354" s="25">
        <v>0.0</v>
      </c>
      <c r="G354" s="21" t="s">
        <v>1063</v>
      </c>
    </row>
    <row r="355">
      <c r="A355" s="21"/>
      <c r="B355" s="21" t="s">
        <v>6517</v>
      </c>
      <c r="C355" s="21" t="s">
        <v>160</v>
      </c>
      <c r="D355" s="25">
        <v>70.0</v>
      </c>
      <c r="E355" s="25">
        <v>31.0</v>
      </c>
      <c r="F355" s="25">
        <v>3.15</v>
      </c>
      <c r="G355" s="21" t="s">
        <v>874</v>
      </c>
    </row>
    <row r="356">
      <c r="A356" s="21"/>
      <c r="B356" s="21" t="s">
        <v>6518</v>
      </c>
      <c r="C356" s="21" t="s">
        <v>117</v>
      </c>
      <c r="D356" s="25">
        <v>70.0</v>
      </c>
      <c r="E356" s="25">
        <v>22.0</v>
      </c>
      <c r="F356" s="25">
        <v>1.94</v>
      </c>
      <c r="G356" s="21" t="s">
        <v>955</v>
      </c>
    </row>
    <row r="357">
      <c r="A357" s="21"/>
      <c r="B357" s="21" t="s">
        <v>6519</v>
      </c>
      <c r="C357" s="21" t="s">
        <v>117</v>
      </c>
      <c r="D357" s="25">
        <v>70.0</v>
      </c>
      <c r="E357" s="25">
        <v>17.0</v>
      </c>
      <c r="F357" s="25">
        <v>0.0</v>
      </c>
      <c r="G357" s="21" t="s">
        <v>476</v>
      </c>
    </row>
    <row r="358">
      <c r="A358" s="21"/>
      <c r="B358" s="21" t="s">
        <v>6520</v>
      </c>
      <c r="C358" s="21" t="s">
        <v>90</v>
      </c>
      <c r="D358" s="25">
        <v>70.0</v>
      </c>
      <c r="E358" s="25">
        <v>30.0</v>
      </c>
      <c r="F358" s="25">
        <v>2.43</v>
      </c>
      <c r="G358" s="21" t="s">
        <v>97</v>
      </c>
    </row>
    <row r="359">
      <c r="A359" s="21"/>
      <c r="B359" s="21" t="s">
        <v>6521</v>
      </c>
      <c r="C359" s="21" t="s">
        <v>117</v>
      </c>
      <c r="D359" s="25">
        <v>70.0</v>
      </c>
      <c r="E359" s="25">
        <v>12.0</v>
      </c>
      <c r="F359" s="25">
        <v>0.69</v>
      </c>
      <c r="G359" s="21" t="s">
        <v>130</v>
      </c>
    </row>
    <row r="360">
      <c r="A360" s="21"/>
      <c r="B360" s="21" t="s">
        <v>6522</v>
      </c>
      <c r="C360" s="21" t="s">
        <v>87</v>
      </c>
      <c r="D360" s="25">
        <v>70.0</v>
      </c>
      <c r="E360" s="25">
        <v>1.0</v>
      </c>
      <c r="F360" s="25">
        <v>1.55</v>
      </c>
      <c r="G360" s="21" t="s">
        <v>1138</v>
      </c>
    </row>
    <row r="361">
      <c r="A361" s="21"/>
      <c r="B361" s="21" t="s">
        <v>6523</v>
      </c>
      <c r="C361" s="21" t="s">
        <v>90</v>
      </c>
      <c r="D361" s="25">
        <v>70.0</v>
      </c>
      <c r="E361" s="25">
        <v>28.0</v>
      </c>
      <c r="F361" s="25">
        <v>3.83</v>
      </c>
      <c r="G361" s="21" t="s">
        <v>147</v>
      </c>
    </row>
    <row r="362">
      <c r="A362" s="21"/>
      <c r="B362" s="21" t="s">
        <v>6524</v>
      </c>
      <c r="C362" s="21" t="s">
        <v>117</v>
      </c>
      <c r="D362" s="25">
        <v>70.0</v>
      </c>
      <c r="E362" s="25">
        <v>24.0</v>
      </c>
      <c r="F362" s="25">
        <v>3.5</v>
      </c>
      <c r="G362" s="21" t="s">
        <v>985</v>
      </c>
    </row>
    <row r="363">
      <c r="A363" s="21"/>
      <c r="B363" s="21" t="s">
        <v>6525</v>
      </c>
      <c r="C363" s="21" t="s">
        <v>87</v>
      </c>
      <c r="D363" s="25">
        <v>70.0</v>
      </c>
      <c r="E363" s="25">
        <v>18.0</v>
      </c>
      <c r="F363" s="25">
        <v>1.33</v>
      </c>
      <c r="G363" s="21" t="s">
        <v>6526</v>
      </c>
    </row>
    <row r="364">
      <c r="A364" s="21"/>
      <c r="B364" s="21" t="s">
        <v>6527</v>
      </c>
      <c r="C364" s="21" t="s">
        <v>117</v>
      </c>
      <c r="D364" s="25">
        <v>70.0</v>
      </c>
      <c r="E364" s="25">
        <v>0.0</v>
      </c>
      <c r="F364" s="25">
        <v>0.0</v>
      </c>
      <c r="G364" s="21" t="s">
        <v>218</v>
      </c>
    </row>
    <row r="365">
      <c r="A365" s="21"/>
      <c r="B365" s="21" t="s">
        <v>6528</v>
      </c>
      <c r="C365" s="21" t="s">
        <v>117</v>
      </c>
      <c r="D365" s="25">
        <v>70.0</v>
      </c>
      <c r="E365" s="25">
        <v>16.0</v>
      </c>
      <c r="F365" s="25">
        <v>2.96</v>
      </c>
      <c r="G365" s="21" t="s">
        <v>6215</v>
      </c>
    </row>
    <row r="366">
      <c r="A366" s="21"/>
      <c r="B366" s="21" t="s">
        <v>6529</v>
      </c>
      <c r="C366" s="21" t="s">
        <v>117</v>
      </c>
      <c r="D366" s="25">
        <v>70.0</v>
      </c>
      <c r="E366" s="25">
        <v>3.0</v>
      </c>
      <c r="F366" s="25">
        <v>2.46</v>
      </c>
      <c r="G366" s="21" t="s">
        <v>476</v>
      </c>
    </row>
    <row r="367">
      <c r="A367" s="21"/>
      <c r="B367" s="21" t="s">
        <v>6530</v>
      </c>
      <c r="C367" s="21" t="s">
        <v>117</v>
      </c>
      <c r="D367" s="25">
        <v>70.0</v>
      </c>
      <c r="E367" s="25">
        <v>17.0</v>
      </c>
      <c r="F367" s="25">
        <v>0.54</v>
      </c>
      <c r="G367" s="21" t="s">
        <v>6285</v>
      </c>
    </row>
    <row r="368">
      <c r="A368" s="21"/>
      <c r="B368" s="21" t="s">
        <v>6531</v>
      </c>
      <c r="C368" s="21" t="s">
        <v>117</v>
      </c>
      <c r="D368" s="25">
        <v>70.0</v>
      </c>
      <c r="E368" s="25">
        <v>33.0</v>
      </c>
      <c r="F368" s="25">
        <v>4.06</v>
      </c>
      <c r="G368" s="21" t="s">
        <v>457</v>
      </c>
    </row>
    <row r="369">
      <c r="A369" s="21"/>
      <c r="B369" s="21" t="s">
        <v>6532</v>
      </c>
      <c r="C369" s="21" t="s">
        <v>117</v>
      </c>
      <c r="D369" s="25">
        <v>70.0</v>
      </c>
      <c r="E369" s="25">
        <v>17.0</v>
      </c>
      <c r="F369" s="25">
        <v>0.51</v>
      </c>
      <c r="G369" s="21" t="s">
        <v>420</v>
      </c>
    </row>
    <row r="370">
      <c r="A370" s="21"/>
      <c r="B370" s="21" t="s">
        <v>6533</v>
      </c>
      <c r="C370" s="21" t="s">
        <v>117</v>
      </c>
      <c r="D370" s="25">
        <v>70.0</v>
      </c>
      <c r="E370" s="25">
        <v>26.0</v>
      </c>
      <c r="F370" s="25">
        <v>0.0</v>
      </c>
      <c r="G370" s="21" t="s">
        <v>170</v>
      </c>
    </row>
    <row r="371">
      <c r="A371" s="21"/>
      <c r="B371" s="21" t="s">
        <v>6534</v>
      </c>
      <c r="C371" s="21" t="s">
        <v>117</v>
      </c>
      <c r="D371" s="25">
        <v>70.0</v>
      </c>
      <c r="E371" s="25">
        <v>20.0</v>
      </c>
      <c r="F371" s="25">
        <v>0.19</v>
      </c>
      <c r="G371" s="21" t="s">
        <v>100</v>
      </c>
    </row>
    <row r="372">
      <c r="A372" s="21"/>
      <c r="B372" s="21" t="s">
        <v>6535</v>
      </c>
      <c r="C372" s="21" t="s">
        <v>117</v>
      </c>
      <c r="D372" s="25">
        <v>70.0</v>
      </c>
      <c r="E372" s="25">
        <v>23.0</v>
      </c>
      <c r="F372" s="25">
        <v>0.19</v>
      </c>
      <c r="G372" s="21" t="s">
        <v>6164</v>
      </c>
    </row>
    <row r="373">
      <c r="A373" s="21"/>
      <c r="B373" s="21" t="s">
        <v>6536</v>
      </c>
      <c r="C373" s="21" t="s">
        <v>117</v>
      </c>
      <c r="D373" s="25">
        <v>70.0</v>
      </c>
      <c r="E373" s="25">
        <v>19.0</v>
      </c>
      <c r="F373" s="25">
        <v>0.61</v>
      </c>
      <c r="G373" s="21" t="s">
        <v>6439</v>
      </c>
    </row>
    <row r="374">
      <c r="A374" s="21"/>
      <c r="B374" s="21" t="s">
        <v>6537</v>
      </c>
      <c r="C374" s="21" t="s">
        <v>117</v>
      </c>
      <c r="D374" s="25">
        <v>70.0</v>
      </c>
      <c r="E374" s="25">
        <v>30.0</v>
      </c>
      <c r="F374" s="25">
        <v>1.07</v>
      </c>
      <c r="G374" s="21" t="s">
        <v>499</v>
      </c>
    </row>
    <row r="375">
      <c r="A375" s="21"/>
      <c r="B375" s="21" t="s">
        <v>6538</v>
      </c>
      <c r="C375" s="21" t="s">
        <v>160</v>
      </c>
      <c r="D375" s="25">
        <v>70.0</v>
      </c>
      <c r="E375" s="25">
        <v>5.0</v>
      </c>
      <c r="F375" s="25">
        <v>6.26</v>
      </c>
      <c r="G375" s="21" t="s">
        <v>476</v>
      </c>
    </row>
    <row r="376">
      <c r="A376" s="21"/>
      <c r="B376" s="21" t="s">
        <v>6539</v>
      </c>
      <c r="C376" s="21" t="s">
        <v>87</v>
      </c>
      <c r="D376" s="25">
        <v>70.0</v>
      </c>
      <c r="E376" s="25">
        <v>33.0</v>
      </c>
      <c r="F376" s="25">
        <v>3.44</v>
      </c>
      <c r="G376" s="21" t="s">
        <v>6540</v>
      </c>
    </row>
    <row r="377">
      <c r="A377" s="21"/>
      <c r="B377" s="21" t="s">
        <v>6541</v>
      </c>
      <c r="C377" s="21" t="s">
        <v>90</v>
      </c>
      <c r="D377" s="25">
        <v>70.0</v>
      </c>
      <c r="E377" s="25">
        <v>30.0</v>
      </c>
      <c r="F377" s="25">
        <v>8.52</v>
      </c>
      <c r="G377" s="21" t="s">
        <v>6346</v>
      </c>
    </row>
    <row r="378">
      <c r="A378" s="21"/>
      <c r="B378" s="21" t="s">
        <v>6542</v>
      </c>
      <c r="C378" s="21" t="s">
        <v>117</v>
      </c>
      <c r="D378" s="25">
        <v>70.0</v>
      </c>
      <c r="E378" s="25">
        <v>30.0</v>
      </c>
      <c r="F378" s="25">
        <v>0.0</v>
      </c>
      <c r="G378" s="21" t="s">
        <v>985</v>
      </c>
    </row>
    <row r="379">
      <c r="A379" s="21"/>
      <c r="B379" s="21" t="s">
        <v>6543</v>
      </c>
      <c r="C379" s="21" t="s">
        <v>87</v>
      </c>
      <c r="D379" s="25">
        <v>70.0</v>
      </c>
      <c r="E379" s="25">
        <v>3.0</v>
      </c>
      <c r="F379" s="25">
        <v>2.6</v>
      </c>
      <c r="G379" s="21" t="s">
        <v>6544</v>
      </c>
    </row>
    <row r="380">
      <c r="A380" s="21"/>
      <c r="B380" s="21" t="s">
        <v>6545</v>
      </c>
      <c r="C380" s="21" t="s">
        <v>1065</v>
      </c>
      <c r="D380" s="25">
        <v>70.0</v>
      </c>
      <c r="E380" s="25">
        <v>31.0</v>
      </c>
      <c r="F380" s="25">
        <v>3.04</v>
      </c>
      <c r="G380" s="21" t="s">
        <v>6546</v>
      </c>
    </row>
    <row r="381">
      <c r="A381" s="21"/>
      <c r="B381" s="21" t="s">
        <v>6547</v>
      </c>
      <c r="C381" s="21" t="s">
        <v>90</v>
      </c>
      <c r="D381" s="25">
        <v>70.0</v>
      </c>
      <c r="E381" s="25">
        <v>30.0</v>
      </c>
      <c r="F381" s="25">
        <v>0.54</v>
      </c>
      <c r="G381" s="21" t="s">
        <v>6548</v>
      </c>
    </row>
    <row r="382">
      <c r="A382" s="21"/>
      <c r="B382" s="21" t="s">
        <v>6549</v>
      </c>
      <c r="C382" s="21" t="s">
        <v>90</v>
      </c>
      <c r="D382" s="25">
        <v>70.0</v>
      </c>
      <c r="E382" s="25">
        <v>2.0</v>
      </c>
      <c r="F382" s="25">
        <v>2.79</v>
      </c>
      <c r="G382" s="21" t="s">
        <v>1212</v>
      </c>
    </row>
    <row r="383">
      <c r="A383" s="21"/>
      <c r="B383" s="21" t="s">
        <v>6550</v>
      </c>
      <c r="C383" s="21" t="s">
        <v>117</v>
      </c>
      <c r="D383" s="25">
        <v>70.0</v>
      </c>
      <c r="E383" s="25">
        <v>19.0</v>
      </c>
      <c r="F383" s="25">
        <v>3.41</v>
      </c>
      <c r="G383" s="21" t="s">
        <v>6551</v>
      </c>
    </row>
    <row r="384">
      <c r="A384" s="21"/>
      <c r="B384" s="21" t="s">
        <v>6552</v>
      </c>
      <c r="C384" s="21" t="s">
        <v>117</v>
      </c>
      <c r="D384" s="25">
        <v>70.0</v>
      </c>
      <c r="E384" s="25">
        <v>21.0</v>
      </c>
      <c r="F384" s="25">
        <v>2.95</v>
      </c>
      <c r="G384" s="21" t="s">
        <v>423</v>
      </c>
    </row>
    <row r="385">
      <c r="A385" s="21"/>
      <c r="B385" s="21" t="s">
        <v>6553</v>
      </c>
      <c r="C385" s="21" t="s">
        <v>87</v>
      </c>
      <c r="D385" s="25">
        <v>70.0</v>
      </c>
      <c r="E385" s="25">
        <v>40.0</v>
      </c>
      <c r="F385" s="25">
        <v>0.0</v>
      </c>
      <c r="G385" s="21" t="s">
        <v>6554</v>
      </c>
    </row>
    <row r="386">
      <c r="A386" s="21"/>
      <c r="B386" s="21" t="s">
        <v>6555</v>
      </c>
      <c r="C386" s="21" t="s">
        <v>117</v>
      </c>
      <c r="D386" s="25">
        <v>70.0</v>
      </c>
      <c r="E386" s="25">
        <v>7.0</v>
      </c>
      <c r="F386" s="25">
        <v>2.87</v>
      </c>
      <c r="G386" s="21" t="s">
        <v>170</v>
      </c>
    </row>
    <row r="387">
      <c r="A387" s="21"/>
      <c r="B387" s="21" t="s">
        <v>6556</v>
      </c>
      <c r="C387" s="21" t="s">
        <v>160</v>
      </c>
      <c r="D387" s="25">
        <v>70.0</v>
      </c>
      <c r="E387" s="25">
        <v>36.0</v>
      </c>
      <c r="F387" s="25">
        <v>3.52</v>
      </c>
      <c r="G387" s="21" t="s">
        <v>6557</v>
      </c>
    </row>
    <row r="388">
      <c r="A388" s="21"/>
      <c r="B388" s="21" t="s">
        <v>6558</v>
      </c>
      <c r="C388" s="21" t="s">
        <v>117</v>
      </c>
      <c r="D388" s="25">
        <v>70.0</v>
      </c>
      <c r="E388" s="25">
        <v>16.0</v>
      </c>
      <c r="F388" s="25">
        <v>3.07</v>
      </c>
      <c r="G388" s="21" t="s">
        <v>6559</v>
      </c>
    </row>
    <row r="389">
      <c r="A389" s="21"/>
      <c r="B389" s="21" t="s">
        <v>6560</v>
      </c>
      <c r="C389" s="21" t="s">
        <v>99</v>
      </c>
      <c r="D389" s="25">
        <v>70.0</v>
      </c>
      <c r="E389" s="25">
        <v>17.0</v>
      </c>
      <c r="F389" s="25">
        <v>1.33</v>
      </c>
      <c r="G389" s="21" t="s">
        <v>6561</v>
      </c>
    </row>
    <row r="390">
      <c r="A390" s="21"/>
      <c r="B390" s="21" t="s">
        <v>6562</v>
      </c>
      <c r="C390" s="21" t="s">
        <v>117</v>
      </c>
      <c r="D390" s="25">
        <v>70.0</v>
      </c>
      <c r="E390" s="25">
        <v>25.0</v>
      </c>
      <c r="F390" s="25">
        <v>0.0</v>
      </c>
      <c r="G390" s="21" t="s">
        <v>6563</v>
      </c>
    </row>
    <row r="391">
      <c r="A391" s="21"/>
      <c r="B391" s="21" t="s">
        <v>6564</v>
      </c>
      <c r="C391" s="21" t="s">
        <v>117</v>
      </c>
      <c r="D391" s="25">
        <v>70.0</v>
      </c>
      <c r="E391" s="25">
        <v>16.0</v>
      </c>
      <c r="F391" s="25">
        <v>5.21</v>
      </c>
      <c r="G391" s="21" t="s">
        <v>470</v>
      </c>
    </row>
    <row r="392">
      <c r="A392" s="21"/>
      <c r="B392" s="21" t="s">
        <v>6565</v>
      </c>
      <c r="C392" s="21" t="s">
        <v>87</v>
      </c>
      <c r="D392" s="25">
        <v>70.0</v>
      </c>
      <c r="E392" s="25">
        <v>28.0</v>
      </c>
      <c r="F392" s="25">
        <v>3.19</v>
      </c>
      <c r="G392" s="21" t="s">
        <v>6566</v>
      </c>
    </row>
    <row r="393">
      <c r="A393" s="21"/>
      <c r="B393" s="21" t="s">
        <v>6567</v>
      </c>
      <c r="D393" s="25">
        <v>70.0</v>
      </c>
      <c r="E393" s="27"/>
      <c r="F393" s="25">
        <v>4.22</v>
      </c>
      <c r="G393" s="27"/>
    </row>
    <row r="394">
      <c r="A394" s="21"/>
      <c r="B394" s="21" t="s">
        <v>6568</v>
      </c>
      <c r="C394" s="21" t="s">
        <v>117</v>
      </c>
      <c r="D394" s="25">
        <v>70.0</v>
      </c>
      <c r="E394" s="25">
        <v>14.0</v>
      </c>
      <c r="F394" s="25">
        <v>2.23</v>
      </c>
      <c r="G394" s="21" t="s">
        <v>866</v>
      </c>
    </row>
    <row r="395">
      <c r="A395" s="21"/>
      <c r="B395" s="21" t="s">
        <v>6569</v>
      </c>
      <c r="C395" s="21" t="s">
        <v>90</v>
      </c>
      <c r="D395" s="25">
        <v>70.0</v>
      </c>
      <c r="E395" s="25">
        <v>25.0</v>
      </c>
      <c r="F395" s="25">
        <v>4.1</v>
      </c>
      <c r="G395" s="21" t="s">
        <v>259</v>
      </c>
    </row>
    <row r="396">
      <c r="A396" s="21"/>
      <c r="B396" s="21" t="s">
        <v>6570</v>
      </c>
      <c r="C396" s="21" t="s">
        <v>117</v>
      </c>
      <c r="D396" s="25">
        <v>70.0</v>
      </c>
      <c r="E396" s="25">
        <v>18.0</v>
      </c>
      <c r="F396" s="25">
        <v>5.27</v>
      </c>
      <c r="G396" s="21" t="s">
        <v>6571</v>
      </c>
    </row>
    <row r="397">
      <c r="A397" s="21"/>
      <c r="B397" s="21" t="s">
        <v>6572</v>
      </c>
      <c r="C397" s="21" t="s">
        <v>117</v>
      </c>
      <c r="D397" s="25">
        <v>70.0</v>
      </c>
      <c r="E397" s="25">
        <v>3.0</v>
      </c>
      <c r="F397" s="25">
        <v>0.0</v>
      </c>
      <c r="G397" s="21" t="s">
        <v>1111</v>
      </c>
    </row>
    <row r="398">
      <c r="A398" s="21"/>
      <c r="B398" s="21" t="s">
        <v>6573</v>
      </c>
      <c r="C398" s="21" t="s">
        <v>117</v>
      </c>
      <c r="D398" s="25">
        <v>70.0</v>
      </c>
      <c r="E398" s="25">
        <v>0.0</v>
      </c>
      <c r="F398" s="25">
        <v>3.37</v>
      </c>
      <c r="G398" s="21" t="s">
        <v>1351</v>
      </c>
    </row>
    <row r="399">
      <c r="A399" s="21"/>
      <c r="B399" s="21" t="s">
        <v>6574</v>
      </c>
      <c r="C399" s="21" t="s">
        <v>99</v>
      </c>
      <c r="D399" s="25">
        <v>70.0</v>
      </c>
      <c r="E399" s="25">
        <v>25.0</v>
      </c>
      <c r="F399" s="25">
        <v>0.69</v>
      </c>
      <c r="G399" s="21" t="s">
        <v>6575</v>
      </c>
    </row>
    <row r="400">
      <c r="A400" s="21"/>
      <c r="B400" s="21" t="s">
        <v>6576</v>
      </c>
      <c r="C400" s="21" t="s">
        <v>117</v>
      </c>
      <c r="D400" s="25">
        <v>70.0</v>
      </c>
      <c r="E400" s="25">
        <v>12.0</v>
      </c>
      <c r="F400" s="25">
        <v>3.31</v>
      </c>
      <c r="G400" s="21" t="s">
        <v>6577</v>
      </c>
    </row>
    <row r="401">
      <c r="A401" s="21"/>
      <c r="B401" s="21" t="s">
        <v>6578</v>
      </c>
      <c r="C401" s="21" t="s">
        <v>117</v>
      </c>
      <c r="D401" s="25">
        <v>70.0</v>
      </c>
      <c r="E401" s="25">
        <v>14.0</v>
      </c>
      <c r="F401" s="25">
        <v>2.76</v>
      </c>
      <c r="G401" s="21" t="s">
        <v>1479</v>
      </c>
    </row>
    <row r="402">
      <c r="A402" s="21"/>
      <c r="B402" s="21" t="s">
        <v>6579</v>
      </c>
      <c r="C402" s="21" t="s">
        <v>117</v>
      </c>
      <c r="D402" s="25">
        <v>70.0</v>
      </c>
      <c r="E402" s="25">
        <v>25.0</v>
      </c>
      <c r="F402" s="25">
        <v>3.16</v>
      </c>
      <c r="G402" s="21" t="s">
        <v>237</v>
      </c>
    </row>
    <row r="403">
      <c r="A403" s="21"/>
      <c r="B403" s="21" t="s">
        <v>6580</v>
      </c>
      <c r="C403" s="21" t="s">
        <v>117</v>
      </c>
      <c r="D403" s="25">
        <v>70.0</v>
      </c>
      <c r="E403" s="25">
        <v>20.0</v>
      </c>
      <c r="F403" s="25">
        <v>3.41</v>
      </c>
      <c r="G403" s="21" t="s">
        <v>133</v>
      </c>
    </row>
    <row r="404">
      <c r="A404" s="21"/>
      <c r="B404" s="21" t="s">
        <v>6581</v>
      </c>
      <c r="C404" s="21" t="s">
        <v>87</v>
      </c>
      <c r="D404" s="25">
        <v>70.0</v>
      </c>
      <c r="E404" s="25">
        <v>17.0</v>
      </c>
      <c r="F404" s="25">
        <v>5.13</v>
      </c>
      <c r="G404" s="21" t="s">
        <v>6582</v>
      </c>
    </row>
    <row r="405">
      <c r="A405" s="21"/>
      <c r="B405" s="21" t="s">
        <v>6583</v>
      </c>
      <c r="C405" s="21" t="s">
        <v>117</v>
      </c>
      <c r="D405" s="25">
        <v>70.0</v>
      </c>
      <c r="E405" s="25">
        <v>8.0</v>
      </c>
      <c r="F405" s="25">
        <v>3.12</v>
      </c>
      <c r="G405" s="21" t="s">
        <v>6584</v>
      </c>
    </row>
    <row r="406">
      <c r="A406" s="21"/>
      <c r="B406" s="21" t="s">
        <v>6585</v>
      </c>
      <c r="C406" s="21" t="s">
        <v>117</v>
      </c>
      <c r="D406" s="25">
        <v>70.0</v>
      </c>
      <c r="E406" s="25">
        <v>18.0</v>
      </c>
      <c r="F406" s="25">
        <v>2.26</v>
      </c>
      <c r="G406" s="21" t="s">
        <v>6586</v>
      </c>
    </row>
    <row r="407">
      <c r="A407" s="21"/>
      <c r="B407" s="21" t="s">
        <v>6587</v>
      </c>
      <c r="C407" s="21" t="s">
        <v>117</v>
      </c>
      <c r="D407" s="25">
        <v>70.0</v>
      </c>
      <c r="E407" s="25">
        <v>22.0</v>
      </c>
      <c r="F407" s="25">
        <v>4.71</v>
      </c>
      <c r="G407" s="21" t="s">
        <v>170</v>
      </c>
    </row>
    <row r="408">
      <c r="A408" s="21"/>
      <c r="B408" s="21" t="s">
        <v>6588</v>
      </c>
      <c r="C408" s="21" t="s">
        <v>117</v>
      </c>
      <c r="D408" s="25">
        <v>70.0</v>
      </c>
      <c r="E408" s="25">
        <v>31.0</v>
      </c>
      <c r="F408" s="25">
        <v>2.82</v>
      </c>
      <c r="G408" s="21" t="s">
        <v>1005</v>
      </c>
    </row>
    <row r="409">
      <c r="A409" s="21"/>
      <c r="B409" s="21" t="s">
        <v>6589</v>
      </c>
      <c r="C409" s="21" t="s">
        <v>160</v>
      </c>
      <c r="D409" s="25">
        <v>70.0</v>
      </c>
      <c r="E409" s="25">
        <v>0.0</v>
      </c>
      <c r="F409" s="25">
        <v>3.65</v>
      </c>
      <c r="G409" s="21" t="s">
        <v>6590</v>
      </c>
    </row>
    <row r="410">
      <c r="A410" s="21"/>
      <c r="B410" s="21" t="s">
        <v>6591</v>
      </c>
      <c r="C410" s="21" t="s">
        <v>117</v>
      </c>
      <c r="D410" s="25">
        <v>70.0</v>
      </c>
      <c r="E410" s="25">
        <v>10.0</v>
      </c>
      <c r="F410" s="25">
        <v>1.43</v>
      </c>
      <c r="G410" s="21" t="s">
        <v>6592</v>
      </c>
    </row>
    <row r="411">
      <c r="A411" s="21"/>
      <c r="B411" s="21" t="s">
        <v>6593</v>
      </c>
      <c r="C411" s="21" t="s">
        <v>87</v>
      </c>
      <c r="D411" s="25">
        <v>70.0</v>
      </c>
      <c r="E411" s="25">
        <v>33.0</v>
      </c>
      <c r="F411" s="25">
        <v>4.13</v>
      </c>
      <c r="G411" s="21" t="s">
        <v>6594</v>
      </c>
    </row>
    <row r="412">
      <c r="A412" s="21"/>
      <c r="B412" s="21" t="s">
        <v>6595</v>
      </c>
      <c r="C412" s="21" t="s">
        <v>87</v>
      </c>
      <c r="D412" s="25">
        <v>70.0</v>
      </c>
      <c r="E412" s="25">
        <v>16.0</v>
      </c>
      <c r="F412" s="25">
        <v>3.44</v>
      </c>
      <c r="G412" s="21" t="s">
        <v>1052</v>
      </c>
    </row>
    <row r="413">
      <c r="A413" s="21"/>
      <c r="B413" s="21" t="s">
        <v>6596</v>
      </c>
      <c r="C413" s="21" t="s">
        <v>90</v>
      </c>
      <c r="D413" s="25">
        <v>70.0</v>
      </c>
      <c r="E413" s="25">
        <v>23.0</v>
      </c>
      <c r="F413" s="25">
        <v>5.83</v>
      </c>
      <c r="G413" s="21" t="s">
        <v>886</v>
      </c>
    </row>
    <row r="414">
      <c r="A414" s="21"/>
      <c r="B414" s="21" t="s">
        <v>6597</v>
      </c>
      <c r="C414" s="21" t="s">
        <v>117</v>
      </c>
      <c r="D414" s="25">
        <v>70.0</v>
      </c>
      <c r="E414" s="25">
        <v>19.0</v>
      </c>
      <c r="F414" s="25">
        <v>0.0</v>
      </c>
      <c r="G414" s="21" t="s">
        <v>170</v>
      </c>
    </row>
    <row r="415">
      <c r="A415" s="21"/>
      <c r="B415" s="21" t="s">
        <v>6598</v>
      </c>
      <c r="C415" s="21" t="s">
        <v>117</v>
      </c>
      <c r="D415" s="25">
        <v>70.0</v>
      </c>
      <c r="E415" s="25">
        <v>40.0</v>
      </c>
      <c r="F415" s="25">
        <v>3.66</v>
      </c>
      <c r="G415" s="21" t="s">
        <v>1005</v>
      </c>
    </row>
    <row r="416">
      <c r="A416" s="21"/>
      <c r="B416" s="21" t="s">
        <v>6599</v>
      </c>
      <c r="C416" s="21" t="s">
        <v>87</v>
      </c>
      <c r="D416" s="25">
        <v>70.0</v>
      </c>
      <c r="E416" s="25">
        <v>24.0</v>
      </c>
      <c r="F416" s="25">
        <v>3.87</v>
      </c>
      <c r="G416" s="21" t="s">
        <v>192</v>
      </c>
    </row>
    <row r="417">
      <c r="A417" s="21"/>
      <c r="B417" s="21" t="s">
        <v>6600</v>
      </c>
      <c r="C417" s="21" t="s">
        <v>117</v>
      </c>
      <c r="D417" s="25">
        <v>70.0</v>
      </c>
      <c r="E417" s="25">
        <v>17.0</v>
      </c>
      <c r="F417" s="25">
        <v>5.15</v>
      </c>
      <c r="G417" s="21" t="s">
        <v>6269</v>
      </c>
    </row>
    <row r="418">
      <c r="A418" s="21"/>
      <c r="B418" s="21" t="s">
        <v>6601</v>
      </c>
      <c r="C418" s="21" t="s">
        <v>87</v>
      </c>
      <c r="D418" s="25">
        <v>70.0</v>
      </c>
      <c r="E418" s="25">
        <v>32.0</v>
      </c>
      <c r="F418" s="25">
        <v>4.62</v>
      </c>
      <c r="G418" s="21" t="s">
        <v>6602</v>
      </c>
    </row>
    <row r="419">
      <c r="A419" s="21"/>
      <c r="B419" s="21" t="s">
        <v>6603</v>
      </c>
      <c r="C419" s="21" t="s">
        <v>87</v>
      </c>
      <c r="D419" s="25">
        <v>70.0</v>
      </c>
      <c r="E419" s="25">
        <v>18.0</v>
      </c>
      <c r="F419" s="25">
        <v>2.68</v>
      </c>
      <c r="G419" s="21" t="s">
        <v>144</v>
      </c>
    </row>
    <row r="420">
      <c r="A420" s="21"/>
      <c r="B420" s="21" t="s">
        <v>6604</v>
      </c>
      <c r="C420" s="21" t="s">
        <v>1065</v>
      </c>
      <c r="D420" s="25">
        <v>70.0</v>
      </c>
      <c r="E420" s="25">
        <v>24.0</v>
      </c>
      <c r="F420" s="25">
        <v>0.0</v>
      </c>
      <c r="G420" s="21" t="s">
        <v>6526</v>
      </c>
    </row>
    <row r="421">
      <c r="A421" s="21"/>
      <c r="B421" s="21" t="s">
        <v>6605</v>
      </c>
      <c r="C421" s="21" t="s">
        <v>87</v>
      </c>
      <c r="D421" s="25">
        <v>70.0</v>
      </c>
      <c r="E421" s="25">
        <v>3.0</v>
      </c>
      <c r="F421" s="25">
        <v>4.97</v>
      </c>
      <c r="G421" s="21" t="s">
        <v>934</v>
      </c>
    </row>
    <row r="422">
      <c r="A422" s="21"/>
      <c r="B422" s="21" t="s">
        <v>6606</v>
      </c>
      <c r="C422" s="21" t="s">
        <v>87</v>
      </c>
      <c r="D422" s="25">
        <v>70.0</v>
      </c>
      <c r="E422" s="25">
        <v>43.0</v>
      </c>
      <c r="F422" s="25">
        <v>5.37</v>
      </c>
      <c r="G422" s="21" t="s">
        <v>188</v>
      </c>
    </row>
    <row r="423">
      <c r="A423" s="21"/>
      <c r="B423" s="21" t="s">
        <v>6607</v>
      </c>
      <c r="C423" s="21" t="s">
        <v>90</v>
      </c>
      <c r="D423" s="25">
        <v>70.0</v>
      </c>
      <c r="E423" s="25">
        <v>15.0</v>
      </c>
      <c r="F423" s="25">
        <v>3.65</v>
      </c>
      <c r="G423" s="21" t="s">
        <v>856</v>
      </c>
    </row>
    <row r="424">
      <c r="A424" s="21"/>
      <c r="B424" s="21" t="s">
        <v>6608</v>
      </c>
      <c r="C424" s="21" t="s">
        <v>117</v>
      </c>
      <c r="D424" s="25">
        <v>70.0</v>
      </c>
      <c r="E424" s="25">
        <v>15.0</v>
      </c>
      <c r="F424" s="25">
        <v>0.0</v>
      </c>
      <c r="G424" s="21" t="s">
        <v>431</v>
      </c>
    </row>
    <row r="425">
      <c r="A425" s="21"/>
      <c r="B425" s="21" t="s">
        <v>6609</v>
      </c>
      <c r="C425" s="21" t="s">
        <v>99</v>
      </c>
      <c r="D425" s="25">
        <v>70.0</v>
      </c>
      <c r="E425" s="25">
        <v>35.0</v>
      </c>
      <c r="F425" s="25">
        <v>1.11</v>
      </c>
      <c r="G425" s="21" t="s">
        <v>111</v>
      </c>
    </row>
    <row r="426">
      <c r="A426" s="21"/>
      <c r="B426" s="21" t="s">
        <v>6610</v>
      </c>
      <c r="C426" s="21" t="s">
        <v>87</v>
      </c>
      <c r="D426" s="25">
        <v>70.0</v>
      </c>
      <c r="E426" s="25">
        <v>0.0</v>
      </c>
      <c r="F426" s="25">
        <v>4.57</v>
      </c>
      <c r="G426" s="21" t="s">
        <v>934</v>
      </c>
    </row>
    <row r="427">
      <c r="A427" s="21"/>
      <c r="B427" s="21" t="s">
        <v>6611</v>
      </c>
      <c r="C427" s="21" t="s">
        <v>87</v>
      </c>
      <c r="D427" s="25">
        <v>70.0</v>
      </c>
      <c r="E427" s="25">
        <v>19.0</v>
      </c>
      <c r="F427" s="25">
        <v>6.92</v>
      </c>
      <c r="G427" s="21" t="s">
        <v>147</v>
      </c>
    </row>
    <row r="428">
      <c r="A428" s="21"/>
      <c r="B428" s="21" t="s">
        <v>6612</v>
      </c>
      <c r="C428" s="21" t="s">
        <v>117</v>
      </c>
      <c r="D428" s="25">
        <v>70.0</v>
      </c>
      <c r="E428" s="25">
        <v>0.0</v>
      </c>
      <c r="F428" s="25">
        <v>1.66</v>
      </c>
      <c r="G428" s="21" t="s">
        <v>6613</v>
      </c>
    </row>
    <row r="429">
      <c r="A429" s="21"/>
      <c r="B429" s="21" t="s">
        <v>6614</v>
      </c>
      <c r="C429" s="21" t="s">
        <v>87</v>
      </c>
      <c r="D429" s="25">
        <v>70.0</v>
      </c>
      <c r="E429" s="25">
        <v>34.0</v>
      </c>
      <c r="F429" s="25">
        <v>0.0</v>
      </c>
      <c r="G429" s="21" t="s">
        <v>97</v>
      </c>
    </row>
    <row r="430">
      <c r="A430" s="21"/>
      <c r="B430" s="21" t="s">
        <v>6615</v>
      </c>
      <c r="C430" s="21" t="s">
        <v>87</v>
      </c>
      <c r="D430" s="25">
        <v>70.0</v>
      </c>
      <c r="E430" s="25">
        <v>8.0</v>
      </c>
      <c r="F430" s="25">
        <v>6.33</v>
      </c>
      <c r="G430" s="21" t="s">
        <v>147</v>
      </c>
    </row>
    <row r="431">
      <c r="A431" s="21"/>
      <c r="B431" s="21" t="s">
        <v>6616</v>
      </c>
      <c r="C431" s="21" t="s">
        <v>87</v>
      </c>
      <c r="D431" s="25">
        <v>70.0</v>
      </c>
      <c r="E431" s="25">
        <v>13.0</v>
      </c>
      <c r="F431" s="25">
        <v>6.26</v>
      </c>
      <c r="G431" s="21" t="s">
        <v>147</v>
      </c>
    </row>
    <row r="432">
      <c r="A432" s="21"/>
      <c r="B432" s="21" t="s">
        <v>6617</v>
      </c>
      <c r="C432" s="21" t="s">
        <v>87</v>
      </c>
      <c r="D432" s="25">
        <v>70.0</v>
      </c>
      <c r="E432" s="25">
        <v>19.0</v>
      </c>
      <c r="F432" s="25">
        <v>8.92</v>
      </c>
      <c r="G432" s="21" t="s">
        <v>97</v>
      </c>
    </row>
    <row r="433">
      <c r="A433" s="21"/>
      <c r="B433" s="21" t="s">
        <v>6618</v>
      </c>
      <c r="C433" s="21" t="s">
        <v>87</v>
      </c>
      <c r="D433" s="25">
        <v>70.0</v>
      </c>
      <c r="E433" s="25">
        <v>3.0</v>
      </c>
      <c r="F433" s="25">
        <v>7.28</v>
      </c>
      <c r="G433" s="21" t="s">
        <v>147</v>
      </c>
    </row>
    <row r="434">
      <c r="A434" s="21"/>
      <c r="B434" s="21" t="s">
        <v>6619</v>
      </c>
      <c r="C434" s="21" t="s">
        <v>87</v>
      </c>
      <c r="D434" s="25">
        <v>70.0</v>
      </c>
      <c r="E434" s="25">
        <v>0.0</v>
      </c>
      <c r="F434" s="25">
        <v>12.5</v>
      </c>
      <c r="G434" s="21" t="s">
        <v>948</v>
      </c>
    </row>
    <row r="435">
      <c r="A435" s="21"/>
      <c r="B435" s="21" t="s">
        <v>6620</v>
      </c>
      <c r="C435" s="21" t="s">
        <v>87</v>
      </c>
      <c r="D435" s="25">
        <v>70.0</v>
      </c>
      <c r="E435" s="25">
        <v>23.0</v>
      </c>
      <c r="F435" s="25">
        <v>5.17</v>
      </c>
      <c r="G435" s="21" t="s">
        <v>1124</v>
      </c>
    </row>
    <row r="436">
      <c r="A436" s="21"/>
      <c r="B436" s="21" t="s">
        <v>6621</v>
      </c>
      <c r="C436" s="21" t="s">
        <v>87</v>
      </c>
      <c r="D436" s="25">
        <v>70.0</v>
      </c>
      <c r="E436" s="25">
        <v>39.0</v>
      </c>
      <c r="F436" s="25">
        <v>4.98</v>
      </c>
      <c r="G436" s="21" t="s">
        <v>276</v>
      </c>
    </row>
    <row r="437">
      <c r="A437" s="21"/>
      <c r="B437" s="21" t="s">
        <v>6622</v>
      </c>
      <c r="C437" s="21" t="s">
        <v>117</v>
      </c>
      <c r="D437" s="25">
        <v>70.0</v>
      </c>
      <c r="E437" s="25">
        <v>19.0</v>
      </c>
      <c r="F437" s="25">
        <v>18.85</v>
      </c>
      <c r="G437" s="21" t="s">
        <v>1351</v>
      </c>
    </row>
    <row r="438">
      <c r="A438" s="21"/>
      <c r="B438" s="21" t="s">
        <v>6623</v>
      </c>
      <c r="C438" s="21" t="s">
        <v>117</v>
      </c>
      <c r="D438" s="25">
        <v>70.0</v>
      </c>
      <c r="E438" s="25">
        <v>10.0</v>
      </c>
      <c r="F438" s="25">
        <v>0.0</v>
      </c>
      <c r="G438" s="21" t="s">
        <v>437</v>
      </c>
    </row>
    <row r="439">
      <c r="A439" s="21"/>
      <c r="B439" s="21" t="s">
        <v>6624</v>
      </c>
      <c r="C439" s="21" t="s">
        <v>117</v>
      </c>
      <c r="D439" s="25">
        <v>70.0</v>
      </c>
      <c r="E439" s="25">
        <v>5.0</v>
      </c>
      <c r="F439" s="25">
        <v>18.85</v>
      </c>
      <c r="G439" s="21" t="s">
        <v>6269</v>
      </c>
    </row>
    <row r="440">
      <c r="A440" s="21"/>
      <c r="B440" s="21" t="s">
        <v>6625</v>
      </c>
      <c r="D440" s="25">
        <v>70.0</v>
      </c>
      <c r="E440" s="27"/>
      <c r="F440" s="25">
        <v>0.0</v>
      </c>
      <c r="G440" s="27"/>
    </row>
    <row r="441">
      <c r="A441" s="21"/>
      <c r="B441" s="21" t="s">
        <v>6626</v>
      </c>
      <c r="C441" s="21" t="s">
        <v>117</v>
      </c>
      <c r="D441" s="25">
        <v>70.0</v>
      </c>
      <c r="E441" s="25">
        <v>0.0</v>
      </c>
      <c r="F441" s="25">
        <v>2.5</v>
      </c>
      <c r="G441" s="21" t="s">
        <v>130</v>
      </c>
    </row>
    <row r="442">
      <c r="A442" s="21"/>
      <c r="B442" s="21" t="s">
        <v>6627</v>
      </c>
      <c r="C442" s="21" t="s">
        <v>117</v>
      </c>
      <c r="D442" s="25">
        <v>70.0</v>
      </c>
      <c r="E442" s="25">
        <v>24.0</v>
      </c>
      <c r="F442" s="25">
        <v>3.08</v>
      </c>
      <c r="G442" s="21" t="s">
        <v>461</v>
      </c>
    </row>
    <row r="443">
      <c r="A443" s="21"/>
      <c r="B443" s="21" t="s">
        <v>6628</v>
      </c>
      <c r="C443" s="21" t="s">
        <v>87</v>
      </c>
      <c r="D443" s="25">
        <v>70.0</v>
      </c>
      <c r="E443" s="25">
        <v>30.0</v>
      </c>
      <c r="F443" s="25">
        <v>8.9</v>
      </c>
      <c r="G443" s="21" t="s">
        <v>6091</v>
      </c>
    </row>
    <row r="444">
      <c r="A444" s="21"/>
      <c r="B444" s="21" t="s">
        <v>6629</v>
      </c>
      <c r="C444" s="21" t="s">
        <v>87</v>
      </c>
      <c r="D444" s="25">
        <v>50.0</v>
      </c>
      <c r="E444" s="25">
        <v>28.0</v>
      </c>
      <c r="F444" s="25">
        <v>4.63</v>
      </c>
      <c r="G444" s="21" t="s">
        <v>147</v>
      </c>
    </row>
    <row r="445">
      <c r="A445" s="21"/>
      <c r="B445" s="21" t="s">
        <v>6630</v>
      </c>
      <c r="C445" s="21" t="s">
        <v>117</v>
      </c>
      <c r="D445" s="25">
        <v>50.0</v>
      </c>
      <c r="E445" s="25">
        <v>18.0</v>
      </c>
      <c r="F445" s="25">
        <v>4.63</v>
      </c>
      <c r="G445" s="21" t="s">
        <v>6631</v>
      </c>
    </row>
    <row r="446">
      <c r="A446" s="21"/>
      <c r="B446" s="21" t="s">
        <v>6632</v>
      </c>
      <c r="C446" s="21" t="s">
        <v>87</v>
      </c>
      <c r="D446" s="25">
        <v>50.0</v>
      </c>
      <c r="E446" s="25">
        <v>27.0</v>
      </c>
      <c r="F446" s="25">
        <v>4.79</v>
      </c>
      <c r="G446" s="21" t="s">
        <v>155</v>
      </c>
    </row>
    <row r="447">
      <c r="A447" s="21"/>
      <c r="B447" s="21" t="s">
        <v>6633</v>
      </c>
      <c r="C447" s="21" t="s">
        <v>90</v>
      </c>
      <c r="D447" s="25">
        <v>50.0</v>
      </c>
      <c r="E447" s="25">
        <v>19.0</v>
      </c>
      <c r="F447" s="25">
        <v>3.35</v>
      </c>
      <c r="G447" s="21" t="s">
        <v>1234</v>
      </c>
    </row>
    <row r="448">
      <c r="A448" s="21"/>
      <c r="B448" s="21" t="s">
        <v>110</v>
      </c>
      <c r="C448" s="21" t="s">
        <v>87</v>
      </c>
      <c r="D448" s="25">
        <v>50.0</v>
      </c>
      <c r="E448" s="25">
        <v>19.0</v>
      </c>
      <c r="F448" s="25">
        <v>0.36</v>
      </c>
      <c r="G448" s="21" t="s">
        <v>111</v>
      </c>
    </row>
    <row r="449">
      <c r="A449" s="21"/>
      <c r="B449" s="21" t="s">
        <v>6634</v>
      </c>
      <c r="C449" s="21" t="s">
        <v>87</v>
      </c>
      <c r="D449" s="25">
        <v>50.0</v>
      </c>
      <c r="E449" s="25">
        <v>41.0</v>
      </c>
      <c r="F449" s="25">
        <v>0.0</v>
      </c>
      <c r="G449" s="21" t="s">
        <v>6635</v>
      </c>
    </row>
    <row r="450">
      <c r="A450" s="21"/>
      <c r="B450" s="21" t="s">
        <v>6636</v>
      </c>
      <c r="C450" s="21" t="s">
        <v>117</v>
      </c>
      <c r="D450" s="25">
        <v>50.0</v>
      </c>
      <c r="E450" s="25">
        <v>14.0</v>
      </c>
      <c r="F450" s="25">
        <v>3.83</v>
      </c>
      <c r="G450" s="21" t="s">
        <v>1351</v>
      </c>
    </row>
    <row r="451">
      <c r="A451" s="21"/>
      <c r="B451" s="21" t="s">
        <v>6637</v>
      </c>
      <c r="C451" s="21" t="s">
        <v>117</v>
      </c>
      <c r="D451" s="25">
        <v>50.0</v>
      </c>
      <c r="E451" s="25">
        <v>9.0</v>
      </c>
      <c r="F451" s="25">
        <v>0.0</v>
      </c>
      <c r="G451" s="21" t="s">
        <v>1274</v>
      </c>
    </row>
    <row r="452">
      <c r="A452" s="21"/>
      <c r="B452" s="21" t="s">
        <v>6638</v>
      </c>
      <c r="C452" s="21" t="s">
        <v>117</v>
      </c>
      <c r="D452" s="25">
        <v>50.0</v>
      </c>
      <c r="E452" s="25">
        <v>16.0</v>
      </c>
      <c r="F452" s="25">
        <v>3.53</v>
      </c>
      <c r="G452" s="21" t="s">
        <v>429</v>
      </c>
    </row>
    <row r="453">
      <c r="A453" s="21"/>
      <c r="B453" s="21" t="s">
        <v>6639</v>
      </c>
      <c r="C453" s="21" t="s">
        <v>90</v>
      </c>
      <c r="D453" s="25">
        <v>50.0</v>
      </c>
      <c r="E453" s="25">
        <v>0.0</v>
      </c>
      <c r="F453" s="25">
        <v>2.63</v>
      </c>
      <c r="G453" s="21" t="s">
        <v>948</v>
      </c>
    </row>
    <row r="454">
      <c r="A454" s="21"/>
      <c r="B454" s="21" t="s">
        <v>6640</v>
      </c>
      <c r="C454" s="21" t="s">
        <v>160</v>
      </c>
      <c r="D454" s="25">
        <v>50.0</v>
      </c>
      <c r="E454" s="25">
        <v>0.0</v>
      </c>
      <c r="F454" s="25">
        <v>0.0</v>
      </c>
      <c r="G454" s="21" t="s">
        <v>6641</v>
      </c>
    </row>
    <row r="455">
      <c r="A455" s="21"/>
      <c r="B455" s="21" t="s">
        <v>6642</v>
      </c>
      <c r="C455" s="21" t="s">
        <v>87</v>
      </c>
      <c r="D455" s="25">
        <v>50.0</v>
      </c>
      <c r="E455" s="25">
        <v>20.0</v>
      </c>
      <c r="F455" s="25">
        <v>0.0</v>
      </c>
      <c r="G455" s="21" t="s">
        <v>429</v>
      </c>
    </row>
    <row r="456">
      <c r="A456" s="21"/>
      <c r="B456" s="21" t="s">
        <v>6643</v>
      </c>
      <c r="C456" s="21" t="s">
        <v>90</v>
      </c>
      <c r="D456" s="25">
        <v>50.0</v>
      </c>
      <c r="E456" s="25">
        <v>22.0</v>
      </c>
      <c r="F456" s="25">
        <v>6.51</v>
      </c>
      <c r="G456" s="21" t="s">
        <v>886</v>
      </c>
    </row>
    <row r="457">
      <c r="A457" s="21"/>
      <c r="B457" s="21" t="s">
        <v>1227</v>
      </c>
      <c r="C457" s="21" t="s">
        <v>160</v>
      </c>
      <c r="D457" s="25">
        <v>50.0</v>
      </c>
      <c r="E457" s="25">
        <v>11.0</v>
      </c>
      <c r="F457" s="25">
        <v>6.27</v>
      </c>
      <c r="G457" s="21" t="s">
        <v>1228</v>
      </c>
    </row>
    <row r="458">
      <c r="A458" s="21"/>
      <c r="B458" s="21" t="s">
        <v>6644</v>
      </c>
      <c r="C458" s="21" t="s">
        <v>117</v>
      </c>
      <c r="D458" s="25">
        <v>50.0</v>
      </c>
      <c r="E458" s="25">
        <v>16.0</v>
      </c>
      <c r="F458" s="25">
        <v>3.83</v>
      </c>
      <c r="G458" s="21" t="s">
        <v>431</v>
      </c>
    </row>
    <row r="459">
      <c r="A459" s="21"/>
      <c r="B459" s="21" t="s">
        <v>6645</v>
      </c>
      <c r="C459" s="21" t="s">
        <v>117</v>
      </c>
      <c r="D459" s="25">
        <v>50.0</v>
      </c>
      <c r="E459" s="25">
        <v>36.0</v>
      </c>
      <c r="F459" s="25">
        <v>3.38</v>
      </c>
      <c r="G459" s="21" t="s">
        <v>6646</v>
      </c>
    </row>
    <row r="460">
      <c r="A460" s="21"/>
      <c r="B460" s="21" t="s">
        <v>6647</v>
      </c>
      <c r="C460" s="21" t="s">
        <v>87</v>
      </c>
      <c r="D460" s="25">
        <v>50.0</v>
      </c>
      <c r="E460" s="25">
        <v>13.0</v>
      </c>
      <c r="F460" s="25">
        <v>6.26</v>
      </c>
      <c r="G460" s="21" t="s">
        <v>147</v>
      </c>
    </row>
    <row r="461">
      <c r="A461" s="21"/>
      <c r="B461" s="21" t="s">
        <v>6648</v>
      </c>
      <c r="C461" s="21" t="s">
        <v>87</v>
      </c>
      <c r="D461" s="25">
        <v>50.0</v>
      </c>
      <c r="E461" s="25">
        <v>11.0</v>
      </c>
      <c r="F461" s="25">
        <v>5.62</v>
      </c>
      <c r="G461" s="21" t="s">
        <v>147</v>
      </c>
    </row>
    <row r="462">
      <c r="A462" s="21"/>
      <c r="B462" s="21" t="s">
        <v>6649</v>
      </c>
      <c r="C462" s="21" t="s">
        <v>87</v>
      </c>
      <c r="D462" s="25">
        <v>50.0</v>
      </c>
      <c r="E462" s="25">
        <v>3.0</v>
      </c>
      <c r="F462" s="25">
        <v>4.51</v>
      </c>
      <c r="G462" s="21" t="s">
        <v>1124</v>
      </c>
    </row>
    <row r="463">
      <c r="A463" s="21"/>
      <c r="B463" s="21" t="s">
        <v>6650</v>
      </c>
      <c r="C463" s="21" t="s">
        <v>87</v>
      </c>
      <c r="D463" s="25">
        <v>50.0</v>
      </c>
      <c r="E463" s="25">
        <v>19.0</v>
      </c>
      <c r="F463" s="25">
        <v>4.51</v>
      </c>
      <c r="G463" s="21" t="s">
        <v>1212</v>
      </c>
    </row>
    <row r="464">
      <c r="A464" s="21"/>
      <c r="B464" s="21" t="s">
        <v>6651</v>
      </c>
      <c r="C464" s="21" t="s">
        <v>87</v>
      </c>
      <c r="D464" s="25">
        <v>50.0</v>
      </c>
      <c r="E464" s="25">
        <v>17.0</v>
      </c>
      <c r="F464" s="25">
        <v>4.17</v>
      </c>
      <c r="G464" s="21" t="s">
        <v>905</v>
      </c>
    </row>
    <row r="465">
      <c r="A465" s="21"/>
      <c r="B465" s="21" t="s">
        <v>6652</v>
      </c>
      <c r="C465" s="21" t="s">
        <v>87</v>
      </c>
      <c r="D465" s="25">
        <v>50.0</v>
      </c>
      <c r="E465" s="25">
        <v>25.0</v>
      </c>
      <c r="F465" s="25">
        <v>5.89</v>
      </c>
      <c r="G465" s="21" t="s">
        <v>1124</v>
      </c>
    </row>
    <row r="466">
      <c r="A466" s="21"/>
      <c r="B466" s="21" t="s">
        <v>6653</v>
      </c>
      <c r="C466" s="21" t="s">
        <v>87</v>
      </c>
      <c r="D466" s="25">
        <v>50.0</v>
      </c>
      <c r="E466" s="25">
        <v>17.0</v>
      </c>
      <c r="F466" s="25">
        <v>5.33</v>
      </c>
      <c r="G466" s="21" t="s">
        <v>886</v>
      </c>
    </row>
    <row r="467">
      <c r="A467" s="21"/>
      <c r="B467" s="21" t="s">
        <v>6654</v>
      </c>
      <c r="C467" s="21" t="s">
        <v>87</v>
      </c>
      <c r="D467" s="25">
        <v>50.0</v>
      </c>
      <c r="E467" s="25">
        <v>12.0</v>
      </c>
      <c r="F467" s="25">
        <v>3.85</v>
      </c>
      <c r="G467" s="21" t="s">
        <v>1351</v>
      </c>
    </row>
    <row r="468">
      <c r="A468" s="21"/>
      <c r="B468" s="21" t="s">
        <v>6655</v>
      </c>
      <c r="C468" s="21" t="s">
        <v>87</v>
      </c>
      <c r="D468" s="25">
        <v>50.0</v>
      </c>
      <c r="E468" s="25">
        <v>4.0</v>
      </c>
      <c r="F468" s="25">
        <v>3.33</v>
      </c>
      <c r="G468" s="21" t="s">
        <v>970</v>
      </c>
    </row>
    <row r="469">
      <c r="A469" s="21"/>
      <c r="B469" s="21" t="s">
        <v>6656</v>
      </c>
      <c r="C469" s="21" t="s">
        <v>87</v>
      </c>
      <c r="D469" s="25">
        <v>50.0</v>
      </c>
      <c r="E469" s="25">
        <v>7.0</v>
      </c>
      <c r="F469" s="25">
        <v>7.53</v>
      </c>
      <c r="G469" s="21" t="s">
        <v>970</v>
      </c>
    </row>
    <row r="470">
      <c r="A470" s="21"/>
      <c r="B470" s="21" t="s">
        <v>6657</v>
      </c>
      <c r="C470" s="21" t="s">
        <v>87</v>
      </c>
      <c r="D470" s="25">
        <v>50.0</v>
      </c>
      <c r="E470" s="25">
        <v>12.0</v>
      </c>
      <c r="F470" s="25">
        <v>0.0</v>
      </c>
      <c r="G470" s="21" t="s">
        <v>1021</v>
      </c>
    </row>
    <row r="471">
      <c r="A471" s="21"/>
      <c r="B471" s="21" t="s">
        <v>6658</v>
      </c>
      <c r="C471" s="21" t="s">
        <v>87</v>
      </c>
      <c r="D471" s="25">
        <v>50.0</v>
      </c>
      <c r="E471" s="25">
        <v>28.0</v>
      </c>
      <c r="F471" s="25">
        <v>1.82</v>
      </c>
      <c r="G471" s="21" t="s">
        <v>6659</v>
      </c>
    </row>
    <row r="472">
      <c r="A472" s="21"/>
      <c r="B472" s="21" t="s">
        <v>6660</v>
      </c>
      <c r="C472" s="21" t="s">
        <v>117</v>
      </c>
      <c r="D472" s="25">
        <v>50.0</v>
      </c>
      <c r="E472" s="25">
        <v>1.0</v>
      </c>
      <c r="F472" s="25">
        <v>0.0</v>
      </c>
      <c r="G472" s="21" t="s">
        <v>6661</v>
      </c>
    </row>
    <row r="473">
      <c r="A473" s="21"/>
      <c r="B473" s="21" t="s">
        <v>6662</v>
      </c>
      <c r="C473" s="21" t="s">
        <v>117</v>
      </c>
      <c r="D473" s="25">
        <v>50.0</v>
      </c>
      <c r="E473" s="25">
        <v>0.0</v>
      </c>
      <c r="F473" s="25">
        <v>2.85</v>
      </c>
      <c r="G473" s="21" t="s">
        <v>866</v>
      </c>
    </row>
    <row r="474">
      <c r="A474" s="21"/>
      <c r="B474" s="21" t="s">
        <v>6663</v>
      </c>
      <c r="C474" s="21" t="s">
        <v>90</v>
      </c>
      <c r="D474" s="25">
        <v>50.0</v>
      </c>
      <c r="E474" s="25">
        <v>30.0</v>
      </c>
      <c r="F474" s="25">
        <v>4.71</v>
      </c>
      <c r="G474" s="21" t="s">
        <v>212</v>
      </c>
    </row>
    <row r="475">
      <c r="A475" s="21"/>
      <c r="B475" s="21" t="s">
        <v>6664</v>
      </c>
      <c r="C475" s="21" t="s">
        <v>90</v>
      </c>
      <c r="D475" s="25">
        <v>50.0</v>
      </c>
      <c r="E475" s="25">
        <v>9.0</v>
      </c>
      <c r="F475" s="25">
        <v>4.06</v>
      </c>
      <c r="G475" s="21" t="s">
        <v>6346</v>
      </c>
    </row>
    <row r="476">
      <c r="A476" s="21"/>
      <c r="B476" s="21" t="s">
        <v>6665</v>
      </c>
      <c r="C476" s="21" t="s">
        <v>117</v>
      </c>
      <c r="D476" s="25">
        <v>50.0</v>
      </c>
      <c r="E476" s="25">
        <v>14.0</v>
      </c>
      <c r="F476" s="25">
        <v>1.81</v>
      </c>
      <c r="G476" s="21" t="s">
        <v>6666</v>
      </c>
    </row>
    <row r="477">
      <c r="A477" s="21"/>
      <c r="B477" s="21" t="s">
        <v>6667</v>
      </c>
      <c r="C477" s="21" t="s">
        <v>117</v>
      </c>
      <c r="D477" s="25">
        <v>50.0</v>
      </c>
      <c r="E477" s="25">
        <v>24.0</v>
      </c>
      <c r="F477" s="25">
        <v>2.89</v>
      </c>
      <c r="G477" s="21" t="s">
        <v>1351</v>
      </c>
    </row>
    <row r="478">
      <c r="A478" s="21"/>
      <c r="B478" s="21" t="s">
        <v>6668</v>
      </c>
      <c r="C478" s="21" t="s">
        <v>117</v>
      </c>
      <c r="D478" s="25">
        <v>50.0</v>
      </c>
      <c r="E478" s="25">
        <v>47.0</v>
      </c>
      <c r="F478" s="25">
        <v>1.36</v>
      </c>
      <c r="G478" s="21" t="s">
        <v>505</v>
      </c>
    </row>
    <row r="479">
      <c r="A479" s="21"/>
      <c r="B479" s="21" t="s">
        <v>6669</v>
      </c>
      <c r="C479" s="21" t="s">
        <v>117</v>
      </c>
      <c r="D479" s="25">
        <v>50.0</v>
      </c>
      <c r="E479" s="25">
        <v>29.0</v>
      </c>
      <c r="F479" s="25">
        <v>4.11</v>
      </c>
      <c r="G479" s="21" t="s">
        <v>170</v>
      </c>
    </row>
    <row r="480">
      <c r="A480" s="21"/>
      <c r="B480" s="21" t="s">
        <v>6670</v>
      </c>
      <c r="C480" s="21" t="s">
        <v>117</v>
      </c>
      <c r="D480" s="25">
        <v>50.0</v>
      </c>
      <c r="E480" s="25">
        <v>5.0</v>
      </c>
      <c r="F480" s="25">
        <v>3.51</v>
      </c>
      <c r="G480" s="21" t="s">
        <v>420</v>
      </c>
    </row>
    <row r="481">
      <c r="A481" s="21"/>
      <c r="B481" s="21" t="s">
        <v>6671</v>
      </c>
      <c r="C481" s="21" t="s">
        <v>117</v>
      </c>
      <c r="D481" s="25">
        <v>50.0</v>
      </c>
      <c r="E481" s="25">
        <v>22.0</v>
      </c>
      <c r="F481" s="25">
        <v>0.0</v>
      </c>
      <c r="G481" s="21" t="s">
        <v>429</v>
      </c>
    </row>
    <row r="482">
      <c r="A482" s="21"/>
      <c r="B482" s="21" t="s">
        <v>6672</v>
      </c>
      <c r="C482" s="21" t="s">
        <v>90</v>
      </c>
      <c r="D482" s="25">
        <v>50.0</v>
      </c>
      <c r="E482" s="25">
        <v>9.0</v>
      </c>
      <c r="F482" s="25">
        <v>1.89</v>
      </c>
      <c r="G482" s="21" t="s">
        <v>188</v>
      </c>
    </row>
    <row r="483">
      <c r="A483" s="21"/>
      <c r="B483" s="21" t="s">
        <v>6673</v>
      </c>
      <c r="C483" s="21" t="s">
        <v>87</v>
      </c>
      <c r="D483" s="25">
        <v>50.0</v>
      </c>
      <c r="E483" s="25">
        <v>29.0</v>
      </c>
      <c r="F483" s="25">
        <v>1.97</v>
      </c>
      <c r="G483" s="21" t="s">
        <v>6674</v>
      </c>
    </row>
    <row r="484">
      <c r="A484" s="21"/>
      <c r="B484" s="21" t="s">
        <v>6675</v>
      </c>
      <c r="C484" s="21" t="s">
        <v>87</v>
      </c>
      <c r="D484" s="25">
        <v>50.0</v>
      </c>
      <c r="E484" s="25">
        <v>30.0</v>
      </c>
      <c r="F484" s="25">
        <v>5.54</v>
      </c>
      <c r="G484" s="21" t="s">
        <v>1162</v>
      </c>
    </row>
    <row r="485">
      <c r="A485" s="21"/>
      <c r="B485" s="21" t="s">
        <v>6676</v>
      </c>
      <c r="C485" s="21" t="s">
        <v>117</v>
      </c>
      <c r="D485" s="25">
        <v>50.0</v>
      </c>
      <c r="E485" s="25">
        <v>12.0</v>
      </c>
      <c r="F485" s="25">
        <v>1.93</v>
      </c>
      <c r="G485" s="21" t="s">
        <v>429</v>
      </c>
    </row>
    <row r="486">
      <c r="A486" s="21"/>
      <c r="B486" s="21" t="s">
        <v>6677</v>
      </c>
      <c r="C486" s="21" t="s">
        <v>87</v>
      </c>
      <c r="D486" s="25">
        <v>50.0</v>
      </c>
      <c r="E486" s="25">
        <v>32.0</v>
      </c>
      <c r="F486" s="25">
        <v>0.0</v>
      </c>
      <c r="G486" s="21" t="s">
        <v>276</v>
      </c>
    </row>
    <row r="487">
      <c r="A487" s="21"/>
      <c r="B487" s="21" t="s">
        <v>6678</v>
      </c>
      <c r="C487" s="21" t="s">
        <v>117</v>
      </c>
      <c r="D487" s="25">
        <v>50.0</v>
      </c>
      <c r="E487" s="25">
        <v>12.0</v>
      </c>
      <c r="F487" s="25">
        <v>2.44</v>
      </c>
      <c r="G487" s="21" t="s">
        <v>1039</v>
      </c>
    </row>
    <row r="488">
      <c r="A488" s="21"/>
      <c r="B488" s="21" t="s">
        <v>6679</v>
      </c>
      <c r="C488" s="21" t="s">
        <v>117</v>
      </c>
      <c r="D488" s="25">
        <v>50.0</v>
      </c>
      <c r="E488" s="25">
        <v>7.0</v>
      </c>
      <c r="F488" s="25">
        <v>3.15</v>
      </c>
      <c r="G488" s="21" t="s">
        <v>893</v>
      </c>
    </row>
    <row r="489">
      <c r="A489" s="21"/>
      <c r="B489" s="21" t="s">
        <v>6680</v>
      </c>
      <c r="C489" s="21" t="s">
        <v>117</v>
      </c>
      <c r="D489" s="25">
        <v>50.0</v>
      </c>
      <c r="E489" s="25">
        <v>17.0</v>
      </c>
      <c r="F489" s="25">
        <v>3.54</v>
      </c>
      <c r="G489" s="21" t="s">
        <v>478</v>
      </c>
    </row>
    <row r="490">
      <c r="A490" s="21"/>
      <c r="B490" s="21" t="s">
        <v>6681</v>
      </c>
      <c r="C490" s="21" t="s">
        <v>117</v>
      </c>
      <c r="D490" s="25">
        <v>50.0</v>
      </c>
      <c r="E490" s="25">
        <v>3.0</v>
      </c>
      <c r="F490" s="25">
        <v>1.71</v>
      </c>
      <c r="G490" s="21" t="s">
        <v>439</v>
      </c>
    </row>
    <row r="491">
      <c r="A491" s="21"/>
      <c r="B491" s="21" t="s">
        <v>6682</v>
      </c>
      <c r="C491" s="21" t="s">
        <v>117</v>
      </c>
      <c r="D491" s="25">
        <v>50.0</v>
      </c>
      <c r="E491" s="25">
        <v>11.0</v>
      </c>
      <c r="F491" s="25">
        <v>0.0</v>
      </c>
      <c r="G491" s="21" t="s">
        <v>6584</v>
      </c>
    </row>
    <row r="492">
      <c r="A492" s="21"/>
      <c r="B492" s="21" t="s">
        <v>6683</v>
      </c>
      <c r="C492" s="21" t="s">
        <v>117</v>
      </c>
      <c r="D492" s="25">
        <v>50.0</v>
      </c>
      <c r="E492" s="25">
        <v>0.0</v>
      </c>
      <c r="F492" s="25">
        <v>0.0</v>
      </c>
      <c r="G492" s="21" t="s">
        <v>429</v>
      </c>
    </row>
    <row r="493">
      <c r="A493" s="21"/>
      <c r="B493" s="21" t="s">
        <v>6684</v>
      </c>
      <c r="C493" s="21" t="s">
        <v>117</v>
      </c>
      <c r="D493" s="25">
        <v>50.0</v>
      </c>
      <c r="E493" s="25">
        <v>15.0</v>
      </c>
      <c r="F493" s="25">
        <v>2.62</v>
      </c>
      <c r="G493" s="21" t="s">
        <v>170</v>
      </c>
    </row>
    <row r="494">
      <c r="A494" s="21"/>
      <c r="B494" s="21" t="s">
        <v>6685</v>
      </c>
      <c r="C494" s="21" t="s">
        <v>117</v>
      </c>
      <c r="D494" s="25">
        <v>50.0</v>
      </c>
      <c r="E494" s="25">
        <v>18.0</v>
      </c>
      <c r="F494" s="25">
        <v>0.0</v>
      </c>
      <c r="G494" s="21" t="s">
        <v>6686</v>
      </c>
    </row>
    <row r="495">
      <c r="A495" s="21"/>
      <c r="B495" s="21" t="s">
        <v>6687</v>
      </c>
      <c r="C495" s="21" t="s">
        <v>117</v>
      </c>
      <c r="D495" s="25">
        <v>50.0</v>
      </c>
      <c r="E495" s="25">
        <v>22.0</v>
      </c>
      <c r="F495" s="25">
        <v>0.4</v>
      </c>
      <c r="G495" s="21" t="s">
        <v>429</v>
      </c>
    </row>
    <row r="496">
      <c r="A496" s="21"/>
      <c r="B496" s="21" t="s">
        <v>6688</v>
      </c>
      <c r="C496" s="21" t="s">
        <v>117</v>
      </c>
      <c r="D496" s="25">
        <v>50.0</v>
      </c>
      <c r="E496" s="25">
        <v>17.0</v>
      </c>
      <c r="F496" s="25">
        <v>2.55</v>
      </c>
      <c r="G496" s="21" t="s">
        <v>431</v>
      </c>
    </row>
    <row r="497">
      <c r="A497" s="21"/>
      <c r="B497" s="21" t="s">
        <v>6689</v>
      </c>
      <c r="C497" s="21" t="s">
        <v>117</v>
      </c>
      <c r="D497" s="25">
        <v>50.0</v>
      </c>
      <c r="E497" s="25">
        <v>0.0</v>
      </c>
      <c r="F497" s="25">
        <v>1.71</v>
      </c>
      <c r="G497" s="21" t="s">
        <v>429</v>
      </c>
    </row>
    <row r="498">
      <c r="A498" s="21"/>
      <c r="B498" s="21" t="s">
        <v>6690</v>
      </c>
      <c r="C498" s="21" t="s">
        <v>117</v>
      </c>
      <c r="D498" s="25">
        <v>50.0</v>
      </c>
      <c r="E498" s="25">
        <v>12.0</v>
      </c>
      <c r="F498" s="25">
        <v>2.38</v>
      </c>
      <c r="G498" s="21" t="s">
        <v>6691</v>
      </c>
    </row>
    <row r="499">
      <c r="A499" s="21"/>
      <c r="B499" s="21" t="s">
        <v>6692</v>
      </c>
      <c r="C499" s="21" t="s">
        <v>117</v>
      </c>
      <c r="D499" s="25">
        <v>50.0</v>
      </c>
      <c r="E499" s="25">
        <v>22.0</v>
      </c>
      <c r="F499" s="25">
        <v>2.36</v>
      </c>
      <c r="G499" s="21" t="s">
        <v>6693</v>
      </c>
    </row>
    <row r="500">
      <c r="A500" s="21"/>
      <c r="B500" s="21" t="s">
        <v>6694</v>
      </c>
      <c r="D500" s="25">
        <v>50.0</v>
      </c>
      <c r="E500" s="27"/>
      <c r="F500" s="25">
        <v>0.0</v>
      </c>
      <c r="G500" s="27"/>
    </row>
    <row r="501">
      <c r="A501" s="21"/>
      <c r="B501" s="21" t="s">
        <v>6695</v>
      </c>
      <c r="C501" s="21" t="s">
        <v>959</v>
      </c>
      <c r="D501" s="25">
        <v>50.0</v>
      </c>
      <c r="E501" s="25">
        <v>31.0</v>
      </c>
      <c r="F501" s="25">
        <v>3.5</v>
      </c>
      <c r="G501" s="21" t="s">
        <v>6674</v>
      </c>
    </row>
    <row r="502">
      <c r="A502" s="21"/>
      <c r="B502" s="21" t="s">
        <v>6696</v>
      </c>
      <c r="D502" s="25">
        <v>50.0</v>
      </c>
      <c r="E502" s="27"/>
      <c r="F502" s="25">
        <v>0.0</v>
      </c>
      <c r="G502" s="27"/>
    </row>
    <row r="503">
      <c r="A503" s="21"/>
      <c r="B503" s="21" t="s">
        <v>6697</v>
      </c>
      <c r="C503" s="21" t="s">
        <v>117</v>
      </c>
      <c r="D503" s="25">
        <v>50.0</v>
      </c>
      <c r="E503" s="25">
        <v>0.0</v>
      </c>
      <c r="F503" s="25">
        <v>2.23</v>
      </c>
      <c r="G503" s="21" t="s">
        <v>437</v>
      </c>
    </row>
    <row r="504">
      <c r="A504" s="21"/>
      <c r="B504" s="21" t="s">
        <v>6698</v>
      </c>
      <c r="C504" s="21" t="s">
        <v>117</v>
      </c>
      <c r="D504" s="25">
        <v>50.0</v>
      </c>
      <c r="E504" s="25">
        <v>4.0</v>
      </c>
      <c r="F504" s="25">
        <v>0.0</v>
      </c>
      <c r="G504" s="21" t="s">
        <v>6699</v>
      </c>
    </row>
    <row r="505">
      <c r="A505" s="21"/>
      <c r="B505" s="21" t="s">
        <v>6700</v>
      </c>
      <c r="C505" s="21" t="s">
        <v>117</v>
      </c>
      <c r="D505" s="25">
        <v>50.0</v>
      </c>
      <c r="E505" s="25">
        <v>4.0</v>
      </c>
      <c r="F505" s="25">
        <v>0.0</v>
      </c>
      <c r="G505" s="21" t="s">
        <v>955</v>
      </c>
    </row>
    <row r="506">
      <c r="A506" s="21"/>
      <c r="B506" s="21" t="s">
        <v>6701</v>
      </c>
      <c r="C506" s="21" t="s">
        <v>117</v>
      </c>
      <c r="D506" s="25">
        <v>50.0</v>
      </c>
      <c r="E506" s="25">
        <v>0.0</v>
      </c>
      <c r="F506" s="25">
        <v>2.47</v>
      </c>
      <c r="G506" s="21" t="s">
        <v>431</v>
      </c>
    </row>
    <row r="507">
      <c r="A507" s="21"/>
      <c r="B507" s="21" t="s">
        <v>6702</v>
      </c>
      <c r="C507" s="21" t="s">
        <v>117</v>
      </c>
      <c r="D507" s="25">
        <v>50.0</v>
      </c>
      <c r="E507" s="25">
        <v>13.0</v>
      </c>
      <c r="F507" s="25">
        <v>2.96</v>
      </c>
      <c r="G507" s="21" t="s">
        <v>6703</v>
      </c>
    </row>
    <row r="508">
      <c r="A508" s="21"/>
      <c r="B508" s="21" t="s">
        <v>6704</v>
      </c>
      <c r="C508" s="21" t="s">
        <v>117</v>
      </c>
      <c r="D508" s="25">
        <v>50.0</v>
      </c>
      <c r="E508" s="25">
        <v>17.0</v>
      </c>
      <c r="F508" s="25">
        <v>3.68</v>
      </c>
      <c r="G508" s="21" t="s">
        <v>6703</v>
      </c>
    </row>
    <row r="509">
      <c r="A509" s="21"/>
      <c r="B509" s="21" t="s">
        <v>6705</v>
      </c>
      <c r="C509" s="21" t="s">
        <v>117</v>
      </c>
      <c r="D509" s="25">
        <v>50.0</v>
      </c>
      <c r="E509" s="25">
        <v>3.0</v>
      </c>
      <c r="F509" s="25">
        <v>3.57</v>
      </c>
      <c r="G509" s="21" t="s">
        <v>6706</v>
      </c>
    </row>
    <row r="510">
      <c r="A510" s="21"/>
      <c r="B510" s="21" t="s">
        <v>6707</v>
      </c>
      <c r="C510" s="21" t="s">
        <v>117</v>
      </c>
      <c r="D510" s="25">
        <v>50.0</v>
      </c>
      <c r="E510" s="25">
        <v>6.0</v>
      </c>
      <c r="F510" s="25">
        <v>3.43</v>
      </c>
      <c r="G510" s="21" t="s">
        <v>955</v>
      </c>
    </row>
    <row r="511">
      <c r="A511" s="21"/>
      <c r="B511" s="21" t="s">
        <v>6708</v>
      </c>
      <c r="C511" s="21" t="s">
        <v>117</v>
      </c>
      <c r="D511" s="25">
        <v>50.0</v>
      </c>
      <c r="E511" s="25">
        <v>16.0</v>
      </c>
      <c r="F511" s="25">
        <v>2.88</v>
      </c>
      <c r="G511" s="21" t="s">
        <v>6099</v>
      </c>
    </row>
    <row r="512">
      <c r="A512" s="21"/>
      <c r="B512" s="21" t="s">
        <v>6709</v>
      </c>
      <c r="C512" s="21" t="s">
        <v>117</v>
      </c>
      <c r="D512" s="25">
        <v>50.0</v>
      </c>
      <c r="E512" s="25">
        <v>2.0</v>
      </c>
      <c r="F512" s="25">
        <v>0.0</v>
      </c>
      <c r="G512" s="21" t="s">
        <v>893</v>
      </c>
    </row>
    <row r="513">
      <c r="A513" s="21"/>
      <c r="B513" s="21" t="s">
        <v>6710</v>
      </c>
      <c r="C513" s="21" t="s">
        <v>117</v>
      </c>
      <c r="D513" s="25">
        <v>50.0</v>
      </c>
      <c r="E513" s="25">
        <v>32.0</v>
      </c>
      <c r="F513" s="25">
        <v>0.65</v>
      </c>
      <c r="G513" s="21" t="s">
        <v>478</v>
      </c>
    </row>
    <row r="514">
      <c r="A514" s="21"/>
      <c r="B514" s="21" t="s">
        <v>6711</v>
      </c>
      <c r="C514" s="21" t="s">
        <v>117</v>
      </c>
      <c r="D514" s="25">
        <v>50.0</v>
      </c>
      <c r="E514" s="25">
        <v>36.0</v>
      </c>
      <c r="F514" s="25">
        <v>0.65</v>
      </c>
      <c r="G514" s="21" t="s">
        <v>505</v>
      </c>
    </row>
    <row r="515">
      <c r="A515" s="21"/>
      <c r="B515" s="21" t="s">
        <v>6712</v>
      </c>
      <c r="C515" s="21" t="s">
        <v>117</v>
      </c>
      <c r="D515" s="25">
        <v>50.0</v>
      </c>
      <c r="E515" s="25">
        <v>37.0</v>
      </c>
      <c r="F515" s="25">
        <v>0.11</v>
      </c>
      <c r="G515" s="21" t="s">
        <v>6713</v>
      </c>
    </row>
    <row r="516">
      <c r="A516" s="21"/>
      <c r="B516" s="21" t="s">
        <v>6714</v>
      </c>
      <c r="C516" s="21" t="s">
        <v>117</v>
      </c>
      <c r="D516" s="25">
        <v>50.0</v>
      </c>
      <c r="E516" s="25">
        <v>43.0</v>
      </c>
      <c r="F516" s="25">
        <v>0.88</v>
      </c>
      <c r="G516" s="21" t="s">
        <v>6715</v>
      </c>
    </row>
    <row r="517">
      <c r="A517" s="21"/>
      <c r="B517" s="21" t="s">
        <v>6716</v>
      </c>
      <c r="C517" s="21" t="s">
        <v>117</v>
      </c>
      <c r="D517" s="25">
        <v>50.0</v>
      </c>
      <c r="E517" s="25">
        <v>10.0</v>
      </c>
      <c r="F517" s="25">
        <v>3.39</v>
      </c>
      <c r="G517" s="21" t="s">
        <v>1351</v>
      </c>
    </row>
    <row r="518">
      <c r="A518" s="21"/>
      <c r="B518" s="21" t="s">
        <v>6717</v>
      </c>
      <c r="C518" s="21" t="s">
        <v>117</v>
      </c>
      <c r="D518" s="25">
        <v>50.0</v>
      </c>
      <c r="E518" s="25">
        <v>16.0</v>
      </c>
      <c r="F518" s="25">
        <v>0.0</v>
      </c>
      <c r="G518" s="21" t="s">
        <v>431</v>
      </c>
    </row>
    <row r="519">
      <c r="A519" s="21"/>
      <c r="B519" s="21" t="s">
        <v>6718</v>
      </c>
      <c r="C519" s="21" t="s">
        <v>117</v>
      </c>
      <c r="D519" s="25">
        <v>50.0</v>
      </c>
      <c r="E519" s="25">
        <v>20.0</v>
      </c>
      <c r="F519" s="25">
        <v>0.0</v>
      </c>
      <c r="G519" s="21" t="s">
        <v>429</v>
      </c>
    </row>
    <row r="520">
      <c r="A520" s="21"/>
      <c r="B520" s="21" t="s">
        <v>6719</v>
      </c>
      <c r="C520" s="21" t="s">
        <v>87</v>
      </c>
      <c r="D520" s="25">
        <v>50.0</v>
      </c>
      <c r="E520" s="25">
        <v>18.0</v>
      </c>
      <c r="F520" s="25">
        <v>2.66</v>
      </c>
      <c r="G520" s="21" t="s">
        <v>6333</v>
      </c>
    </row>
    <row r="521">
      <c r="A521" s="21"/>
      <c r="B521" s="21" t="s">
        <v>6720</v>
      </c>
      <c r="C521" s="21" t="s">
        <v>87</v>
      </c>
      <c r="D521" s="25">
        <v>50.0</v>
      </c>
      <c r="E521" s="25">
        <v>19.0</v>
      </c>
      <c r="F521" s="25">
        <v>8.92</v>
      </c>
      <c r="G521" s="21" t="s">
        <v>97</v>
      </c>
    </row>
    <row r="522">
      <c r="A522" s="21"/>
      <c r="B522" s="21" t="s">
        <v>6721</v>
      </c>
      <c r="C522" s="21" t="s">
        <v>959</v>
      </c>
      <c r="D522" s="25">
        <v>50.0</v>
      </c>
      <c r="E522" s="25">
        <v>28.0</v>
      </c>
      <c r="F522" s="25">
        <v>5.23</v>
      </c>
      <c r="G522" s="21" t="s">
        <v>147</v>
      </c>
    </row>
    <row r="523">
      <c r="A523" s="21"/>
      <c r="B523" s="21" t="s">
        <v>6722</v>
      </c>
      <c r="C523" s="21" t="s">
        <v>1065</v>
      </c>
      <c r="D523" s="25">
        <v>50.0</v>
      </c>
      <c r="E523" s="25">
        <v>29.0</v>
      </c>
      <c r="F523" s="25">
        <v>4.1</v>
      </c>
      <c r="G523" s="21" t="s">
        <v>1262</v>
      </c>
    </row>
    <row r="524">
      <c r="A524" s="21"/>
      <c r="B524" s="21" t="s">
        <v>6723</v>
      </c>
      <c r="C524" s="21" t="s">
        <v>1065</v>
      </c>
      <c r="D524" s="25">
        <v>50.0</v>
      </c>
      <c r="E524" s="25">
        <v>32.0</v>
      </c>
      <c r="F524" s="25">
        <v>4.1</v>
      </c>
      <c r="G524" s="21" t="s">
        <v>1262</v>
      </c>
    </row>
    <row r="525">
      <c r="A525" s="21"/>
      <c r="B525" s="21" t="s">
        <v>6724</v>
      </c>
      <c r="C525" s="21" t="s">
        <v>1065</v>
      </c>
      <c r="D525" s="25">
        <v>50.0</v>
      </c>
      <c r="E525" s="25">
        <v>26.0</v>
      </c>
      <c r="F525" s="25">
        <v>0.0</v>
      </c>
      <c r="G525" s="21" t="s">
        <v>1262</v>
      </c>
    </row>
    <row r="526">
      <c r="A526" s="21"/>
      <c r="B526" s="21" t="s">
        <v>6725</v>
      </c>
      <c r="C526" s="21" t="s">
        <v>160</v>
      </c>
      <c r="D526" s="25">
        <v>50.0</v>
      </c>
      <c r="E526" s="25">
        <v>20.0</v>
      </c>
      <c r="F526" s="25">
        <v>3.37</v>
      </c>
      <c r="G526" s="21" t="s">
        <v>6726</v>
      </c>
    </row>
    <row r="527">
      <c r="A527" s="21"/>
      <c r="B527" s="21" t="s">
        <v>6727</v>
      </c>
      <c r="C527" s="21" t="s">
        <v>90</v>
      </c>
      <c r="D527" s="25">
        <v>50.0</v>
      </c>
      <c r="E527" s="25">
        <v>15.0</v>
      </c>
      <c r="F527" s="25">
        <v>2.77</v>
      </c>
      <c r="G527" s="21" t="s">
        <v>1351</v>
      </c>
    </row>
    <row r="528">
      <c r="A528" s="21"/>
      <c r="B528" s="21" t="s">
        <v>6728</v>
      </c>
      <c r="C528" s="21" t="s">
        <v>117</v>
      </c>
      <c r="D528" s="25">
        <v>50.0</v>
      </c>
      <c r="E528" s="25">
        <v>12.0</v>
      </c>
      <c r="F528" s="25">
        <v>3.35</v>
      </c>
      <c r="G528" s="21" t="s">
        <v>1351</v>
      </c>
    </row>
    <row r="529">
      <c r="A529" s="21"/>
      <c r="B529" s="21" t="s">
        <v>6729</v>
      </c>
      <c r="C529" s="21" t="s">
        <v>87</v>
      </c>
      <c r="D529" s="25">
        <v>50.0</v>
      </c>
      <c r="E529" s="25">
        <v>14.0</v>
      </c>
      <c r="F529" s="25">
        <v>4.08</v>
      </c>
      <c r="G529" s="21" t="s">
        <v>1162</v>
      </c>
    </row>
    <row r="530">
      <c r="A530" s="21"/>
      <c r="B530" s="21" t="s">
        <v>6730</v>
      </c>
      <c r="C530" s="21" t="s">
        <v>160</v>
      </c>
      <c r="D530" s="25">
        <v>50.0</v>
      </c>
      <c r="E530" s="25">
        <v>24.0</v>
      </c>
      <c r="F530" s="25">
        <v>1.62</v>
      </c>
      <c r="G530" s="21" t="s">
        <v>1054</v>
      </c>
    </row>
    <row r="531">
      <c r="A531" s="21"/>
      <c r="B531" s="21" t="s">
        <v>6731</v>
      </c>
      <c r="C531" s="21" t="s">
        <v>959</v>
      </c>
      <c r="D531" s="25">
        <v>50.0</v>
      </c>
      <c r="E531" s="25">
        <v>22.0</v>
      </c>
      <c r="F531" s="25">
        <v>3.91</v>
      </c>
      <c r="G531" s="21" t="s">
        <v>1220</v>
      </c>
    </row>
    <row r="532">
      <c r="A532" s="21"/>
      <c r="B532" s="21" t="s">
        <v>6732</v>
      </c>
      <c r="C532" s="21" t="s">
        <v>117</v>
      </c>
      <c r="D532" s="25">
        <v>50.0</v>
      </c>
      <c r="E532" s="25">
        <v>28.0</v>
      </c>
      <c r="F532" s="25">
        <v>0.0</v>
      </c>
      <c r="G532" s="21" t="s">
        <v>1059</v>
      </c>
    </row>
    <row r="533">
      <c r="A533" s="21"/>
      <c r="B533" s="21" t="s">
        <v>6733</v>
      </c>
      <c r="C533" s="21" t="s">
        <v>117</v>
      </c>
      <c r="D533" s="25">
        <v>50.0</v>
      </c>
      <c r="E533" s="25">
        <v>32.0</v>
      </c>
      <c r="F533" s="25">
        <v>4.22</v>
      </c>
      <c r="G533" s="21" t="s">
        <v>6734</v>
      </c>
    </row>
    <row r="534">
      <c r="A534" s="21"/>
      <c r="B534" s="21" t="s">
        <v>6735</v>
      </c>
      <c r="C534" s="21" t="s">
        <v>117</v>
      </c>
      <c r="D534" s="25">
        <v>50.0</v>
      </c>
      <c r="E534" s="25">
        <v>23.0</v>
      </c>
      <c r="F534" s="25">
        <v>2.82</v>
      </c>
      <c r="G534" s="21" t="s">
        <v>6586</v>
      </c>
    </row>
    <row r="535">
      <c r="A535" s="21"/>
      <c r="B535" s="21" t="s">
        <v>6736</v>
      </c>
      <c r="C535" s="21" t="s">
        <v>99</v>
      </c>
      <c r="D535" s="25">
        <v>50.0</v>
      </c>
      <c r="E535" s="25">
        <v>4.0</v>
      </c>
      <c r="F535" s="25">
        <v>2.74</v>
      </c>
      <c r="G535" s="21" t="s">
        <v>6737</v>
      </c>
    </row>
    <row r="536">
      <c r="A536" s="21"/>
      <c r="B536" s="21" t="s">
        <v>6738</v>
      </c>
      <c r="C536" s="21" t="s">
        <v>117</v>
      </c>
      <c r="D536" s="25">
        <v>50.0</v>
      </c>
      <c r="E536" s="25">
        <v>30.0</v>
      </c>
      <c r="F536" s="25">
        <v>0.0</v>
      </c>
      <c r="G536" s="21" t="s">
        <v>170</v>
      </c>
    </row>
    <row r="537">
      <c r="A537" s="21"/>
      <c r="B537" s="21" t="s">
        <v>6739</v>
      </c>
      <c r="C537" s="21" t="s">
        <v>87</v>
      </c>
      <c r="D537" s="25">
        <v>50.0</v>
      </c>
      <c r="E537" s="25">
        <v>12.0</v>
      </c>
      <c r="F537" s="25">
        <v>2.13</v>
      </c>
      <c r="G537" s="21" t="s">
        <v>6318</v>
      </c>
    </row>
    <row r="538">
      <c r="A538" s="21"/>
      <c r="B538" s="21" t="s">
        <v>6740</v>
      </c>
      <c r="C538" s="21" t="s">
        <v>117</v>
      </c>
      <c r="D538" s="25">
        <v>50.0</v>
      </c>
      <c r="E538" s="25">
        <v>23.0</v>
      </c>
      <c r="F538" s="25">
        <v>9.04</v>
      </c>
      <c r="G538" s="21" t="s">
        <v>429</v>
      </c>
    </row>
    <row r="539">
      <c r="A539" s="21"/>
      <c r="B539" s="21" t="s">
        <v>6741</v>
      </c>
      <c r="C539" s="21" t="s">
        <v>117</v>
      </c>
      <c r="D539" s="25">
        <v>50.0</v>
      </c>
      <c r="E539" s="25">
        <v>28.0</v>
      </c>
      <c r="F539" s="25">
        <v>0.0</v>
      </c>
      <c r="G539" s="21" t="s">
        <v>6142</v>
      </c>
    </row>
    <row r="540">
      <c r="A540" s="21"/>
      <c r="B540" s="21" t="s">
        <v>6742</v>
      </c>
      <c r="C540" s="21" t="s">
        <v>117</v>
      </c>
      <c r="D540" s="25">
        <v>50.0</v>
      </c>
      <c r="E540" s="25">
        <v>8.0</v>
      </c>
      <c r="F540" s="25">
        <v>3.76</v>
      </c>
      <c r="G540" s="21" t="s">
        <v>218</v>
      </c>
    </row>
    <row r="541">
      <c r="A541" s="21"/>
      <c r="B541" s="21" t="s">
        <v>6743</v>
      </c>
      <c r="C541" s="21" t="s">
        <v>117</v>
      </c>
      <c r="D541" s="25">
        <v>50.0</v>
      </c>
      <c r="E541" s="25">
        <v>28.0</v>
      </c>
      <c r="F541" s="25">
        <v>4.51</v>
      </c>
      <c r="G541" s="21" t="s">
        <v>144</v>
      </c>
    </row>
    <row r="542">
      <c r="A542" s="21"/>
      <c r="B542" s="21" t="s">
        <v>6744</v>
      </c>
      <c r="C542" s="21" t="s">
        <v>90</v>
      </c>
      <c r="D542" s="25">
        <v>50.0</v>
      </c>
      <c r="E542" s="25">
        <v>27.0</v>
      </c>
      <c r="F542" s="25">
        <v>7.23</v>
      </c>
      <c r="G542" s="21" t="s">
        <v>6745</v>
      </c>
    </row>
    <row r="543">
      <c r="A543" s="21"/>
      <c r="B543" s="21" t="s">
        <v>6746</v>
      </c>
      <c r="C543" s="21" t="s">
        <v>117</v>
      </c>
      <c r="D543" s="25">
        <v>50.0</v>
      </c>
      <c r="E543" s="25">
        <v>21.0</v>
      </c>
      <c r="F543" s="25">
        <v>0.0</v>
      </c>
      <c r="G543" s="21" t="s">
        <v>6747</v>
      </c>
    </row>
    <row r="544">
      <c r="A544" s="21"/>
      <c r="B544" s="21" t="s">
        <v>6748</v>
      </c>
      <c r="C544" s="21" t="s">
        <v>90</v>
      </c>
      <c r="D544" s="25">
        <v>50.0</v>
      </c>
      <c r="E544" s="25">
        <v>12.0</v>
      </c>
      <c r="F544" s="25">
        <v>4.28</v>
      </c>
      <c r="G544" s="21" t="s">
        <v>856</v>
      </c>
    </row>
    <row r="545">
      <c r="A545" s="21"/>
      <c r="B545" s="21" t="s">
        <v>6749</v>
      </c>
      <c r="C545" s="21" t="s">
        <v>117</v>
      </c>
      <c r="D545" s="25">
        <v>50.0</v>
      </c>
      <c r="E545" s="25">
        <v>17.0</v>
      </c>
      <c r="F545" s="25">
        <v>3.83</v>
      </c>
      <c r="G545" s="21" t="s">
        <v>429</v>
      </c>
    </row>
    <row r="546">
      <c r="A546" s="21"/>
      <c r="B546" s="21" t="s">
        <v>6750</v>
      </c>
      <c r="C546" s="21" t="s">
        <v>117</v>
      </c>
      <c r="D546" s="25">
        <v>50.0</v>
      </c>
      <c r="E546" s="25">
        <v>16.0</v>
      </c>
      <c r="F546" s="25">
        <v>2.77</v>
      </c>
      <c r="G546" s="21" t="s">
        <v>457</v>
      </c>
    </row>
    <row r="547">
      <c r="A547" s="21"/>
      <c r="B547" s="21" t="s">
        <v>6751</v>
      </c>
      <c r="C547" s="21" t="s">
        <v>90</v>
      </c>
      <c r="D547" s="25">
        <v>50.0</v>
      </c>
      <c r="E547" s="25">
        <v>38.0</v>
      </c>
      <c r="F547" s="25">
        <v>4.48</v>
      </c>
      <c r="G547" s="21" t="s">
        <v>259</v>
      </c>
    </row>
    <row r="548">
      <c r="A548" s="21"/>
      <c r="B548" s="21" t="s">
        <v>6752</v>
      </c>
      <c r="C548" s="21" t="s">
        <v>117</v>
      </c>
      <c r="D548" s="25">
        <v>50.0</v>
      </c>
      <c r="E548" s="25">
        <v>22.0</v>
      </c>
      <c r="F548" s="25">
        <v>4.58</v>
      </c>
      <c r="G548" s="21" t="s">
        <v>899</v>
      </c>
    </row>
    <row r="549">
      <c r="A549" s="21"/>
      <c r="B549" s="21" t="s">
        <v>6753</v>
      </c>
      <c r="C549" s="21" t="s">
        <v>87</v>
      </c>
      <c r="D549" s="25">
        <v>50.0</v>
      </c>
      <c r="E549" s="25">
        <v>8.0</v>
      </c>
      <c r="F549" s="25">
        <v>3.36</v>
      </c>
      <c r="G549" s="21" t="s">
        <v>1148</v>
      </c>
    </row>
    <row r="550">
      <c r="A550" s="21"/>
      <c r="B550" s="21" t="s">
        <v>6754</v>
      </c>
      <c r="C550" s="21" t="s">
        <v>117</v>
      </c>
      <c r="D550" s="25">
        <v>50.0</v>
      </c>
      <c r="E550" s="25">
        <v>4.0</v>
      </c>
      <c r="F550" s="25">
        <v>3.15</v>
      </c>
      <c r="G550" s="21" t="s">
        <v>429</v>
      </c>
    </row>
    <row r="551">
      <c r="A551" s="21"/>
      <c r="B551" s="21" t="s">
        <v>6755</v>
      </c>
      <c r="C551" s="21" t="s">
        <v>90</v>
      </c>
      <c r="D551" s="25">
        <v>50.0</v>
      </c>
      <c r="E551" s="25">
        <v>22.0</v>
      </c>
      <c r="F551" s="25">
        <v>6.61</v>
      </c>
      <c r="G551" s="21" t="s">
        <v>155</v>
      </c>
    </row>
    <row r="552">
      <c r="A552" s="21"/>
      <c r="B552" s="21" t="s">
        <v>6756</v>
      </c>
      <c r="C552" s="21" t="s">
        <v>117</v>
      </c>
      <c r="D552" s="25">
        <v>50.0</v>
      </c>
      <c r="E552" s="25">
        <v>19.0</v>
      </c>
      <c r="F552" s="25">
        <v>0.0</v>
      </c>
      <c r="G552" s="21" t="s">
        <v>899</v>
      </c>
    </row>
    <row r="553">
      <c r="A553" s="21"/>
      <c r="B553" s="21" t="s">
        <v>6757</v>
      </c>
      <c r="C553" s="21" t="s">
        <v>160</v>
      </c>
      <c r="D553" s="25">
        <v>50.0</v>
      </c>
      <c r="E553" s="25">
        <v>0.0</v>
      </c>
      <c r="F553" s="25">
        <v>3.21</v>
      </c>
      <c r="G553" s="21" t="s">
        <v>6758</v>
      </c>
    </row>
    <row r="554">
      <c r="A554" s="21"/>
      <c r="B554" s="21" t="s">
        <v>6759</v>
      </c>
      <c r="C554" s="21" t="s">
        <v>117</v>
      </c>
      <c r="D554" s="25">
        <v>50.0</v>
      </c>
      <c r="E554" s="25">
        <v>7.0</v>
      </c>
      <c r="F554" s="25">
        <v>3.08</v>
      </c>
      <c r="G554" s="21" t="s">
        <v>6760</v>
      </c>
    </row>
    <row r="555">
      <c r="A555" s="21"/>
      <c r="B555" s="21" t="s">
        <v>6761</v>
      </c>
      <c r="C555" s="21" t="s">
        <v>117</v>
      </c>
      <c r="D555" s="25">
        <v>50.0</v>
      </c>
      <c r="E555" s="25">
        <v>14.0</v>
      </c>
      <c r="F555" s="25">
        <v>0.9</v>
      </c>
      <c r="G555" s="21" t="s">
        <v>1304</v>
      </c>
    </row>
    <row r="556">
      <c r="A556" s="21"/>
      <c r="B556" s="21" t="s">
        <v>6762</v>
      </c>
      <c r="C556" s="21" t="s">
        <v>87</v>
      </c>
      <c r="D556" s="25">
        <v>50.0</v>
      </c>
      <c r="E556" s="25">
        <v>4.0</v>
      </c>
      <c r="F556" s="25">
        <v>3.07</v>
      </c>
      <c r="G556" s="21" t="s">
        <v>6544</v>
      </c>
    </row>
    <row r="557">
      <c r="A557" s="21"/>
      <c r="B557" s="21" t="s">
        <v>6763</v>
      </c>
      <c r="C557" s="21" t="s">
        <v>87</v>
      </c>
      <c r="D557" s="25">
        <v>50.0</v>
      </c>
      <c r="E557" s="25">
        <v>31.0</v>
      </c>
      <c r="F557" s="25">
        <v>3.1</v>
      </c>
      <c r="G557" s="21" t="s">
        <v>988</v>
      </c>
    </row>
    <row r="558">
      <c r="A558" s="21"/>
      <c r="B558" s="21" t="s">
        <v>6764</v>
      </c>
      <c r="C558" s="21" t="s">
        <v>117</v>
      </c>
      <c r="D558" s="25">
        <v>50.0</v>
      </c>
      <c r="E558" s="25">
        <v>30.0</v>
      </c>
      <c r="F558" s="25">
        <v>0.0</v>
      </c>
      <c r="G558" s="21" t="s">
        <v>6765</v>
      </c>
    </row>
    <row r="559">
      <c r="A559" s="21"/>
      <c r="B559" s="21" t="s">
        <v>6766</v>
      </c>
      <c r="C559" s="21" t="s">
        <v>117</v>
      </c>
      <c r="D559" s="25">
        <v>50.0</v>
      </c>
      <c r="E559" s="25">
        <v>34.0</v>
      </c>
      <c r="F559" s="25">
        <v>3.82</v>
      </c>
      <c r="G559" s="21" t="s">
        <v>988</v>
      </c>
    </row>
    <row r="560">
      <c r="A560" s="21"/>
      <c r="B560" s="21" t="s">
        <v>6767</v>
      </c>
      <c r="C560" s="21" t="s">
        <v>117</v>
      </c>
      <c r="D560" s="25">
        <v>50.0</v>
      </c>
      <c r="E560" s="25">
        <v>18.0</v>
      </c>
      <c r="F560" s="25">
        <v>2.36</v>
      </c>
      <c r="G560" s="21" t="s">
        <v>6768</v>
      </c>
    </row>
    <row r="561">
      <c r="A561" s="21"/>
      <c r="B561" s="21" t="s">
        <v>41</v>
      </c>
      <c r="C561" s="21" t="s">
        <v>87</v>
      </c>
      <c r="D561" s="25">
        <v>50.0</v>
      </c>
      <c r="E561" s="25">
        <v>35.0</v>
      </c>
      <c r="F561" s="25">
        <v>2.98</v>
      </c>
      <c r="G561" s="21" t="s">
        <v>178</v>
      </c>
    </row>
    <row r="562">
      <c r="A562" s="21"/>
      <c r="B562" s="21" t="s">
        <v>6769</v>
      </c>
      <c r="C562" s="21" t="s">
        <v>117</v>
      </c>
      <c r="D562" s="25">
        <v>50.0</v>
      </c>
      <c r="E562" s="25">
        <v>25.0</v>
      </c>
      <c r="F562" s="25">
        <v>0.0</v>
      </c>
      <c r="G562" s="21" t="s">
        <v>6770</v>
      </c>
    </row>
    <row r="563">
      <c r="A563" s="21"/>
      <c r="B563" s="21" t="s">
        <v>6771</v>
      </c>
      <c r="C563" s="21" t="s">
        <v>117</v>
      </c>
      <c r="D563" s="25">
        <v>50.0</v>
      </c>
      <c r="E563" s="25">
        <v>18.0</v>
      </c>
      <c r="F563" s="25">
        <v>0.0</v>
      </c>
      <c r="G563" s="21" t="s">
        <v>495</v>
      </c>
    </row>
    <row r="564">
      <c r="A564" s="21"/>
      <c r="B564" s="21" t="s">
        <v>6772</v>
      </c>
      <c r="C564" s="21" t="s">
        <v>90</v>
      </c>
      <c r="D564" s="25">
        <v>50.0</v>
      </c>
      <c r="E564" s="25">
        <v>32.0</v>
      </c>
      <c r="F564" s="25">
        <v>4.25</v>
      </c>
      <c r="G564" s="21" t="s">
        <v>6091</v>
      </c>
    </row>
    <row r="565">
      <c r="A565" s="21"/>
      <c r="B565" s="21" t="s">
        <v>6773</v>
      </c>
      <c r="C565" s="21" t="s">
        <v>117</v>
      </c>
      <c r="D565" s="25">
        <v>50.0</v>
      </c>
      <c r="E565" s="25">
        <v>31.0</v>
      </c>
      <c r="F565" s="25">
        <v>0.0</v>
      </c>
      <c r="G565" s="21" t="s">
        <v>6774</v>
      </c>
    </row>
    <row r="566">
      <c r="A566" s="21"/>
      <c r="B566" s="21" t="s">
        <v>6775</v>
      </c>
      <c r="C566" s="21" t="s">
        <v>87</v>
      </c>
      <c r="D566" s="25">
        <v>50.0</v>
      </c>
      <c r="E566" s="25">
        <v>25.0</v>
      </c>
      <c r="F566" s="25">
        <v>4.0</v>
      </c>
      <c r="G566" s="21" t="s">
        <v>6776</v>
      </c>
    </row>
    <row r="567">
      <c r="A567" s="21"/>
      <c r="B567" s="21" t="s">
        <v>6777</v>
      </c>
      <c r="C567" s="21" t="s">
        <v>117</v>
      </c>
      <c r="D567" s="25">
        <v>50.0</v>
      </c>
      <c r="E567" s="25">
        <v>2.0</v>
      </c>
      <c r="F567" s="25">
        <v>2.67</v>
      </c>
      <c r="G567" s="21" t="s">
        <v>218</v>
      </c>
    </row>
    <row r="568">
      <c r="A568" s="21"/>
      <c r="B568" s="21" t="s">
        <v>6778</v>
      </c>
      <c r="D568" s="25">
        <v>50.0</v>
      </c>
      <c r="E568" s="27"/>
      <c r="F568" s="25">
        <v>2.93</v>
      </c>
      <c r="G568" s="27"/>
    </row>
    <row r="569">
      <c r="A569" s="21"/>
      <c r="B569" s="21" t="s">
        <v>6779</v>
      </c>
      <c r="C569" s="21" t="s">
        <v>117</v>
      </c>
      <c r="D569" s="25">
        <v>50.0</v>
      </c>
      <c r="E569" s="25">
        <v>23.0</v>
      </c>
      <c r="F569" s="25">
        <v>3.1</v>
      </c>
      <c r="G569" s="21" t="s">
        <v>6780</v>
      </c>
    </row>
    <row r="570">
      <c r="A570" s="21"/>
      <c r="B570" s="21" t="s">
        <v>6781</v>
      </c>
      <c r="C570" s="21" t="s">
        <v>117</v>
      </c>
      <c r="D570" s="25">
        <v>50.0</v>
      </c>
      <c r="E570" s="25">
        <v>28.0</v>
      </c>
      <c r="F570" s="25">
        <v>3.62</v>
      </c>
      <c r="G570" s="21" t="s">
        <v>170</v>
      </c>
    </row>
    <row r="571">
      <c r="A571" s="21"/>
      <c r="B571" s="21" t="s">
        <v>6782</v>
      </c>
      <c r="C571" s="21" t="s">
        <v>117</v>
      </c>
      <c r="D571" s="25">
        <v>50.0</v>
      </c>
      <c r="E571" s="25">
        <v>3.0</v>
      </c>
      <c r="F571" s="25">
        <v>0.68</v>
      </c>
      <c r="G571" s="21" t="s">
        <v>446</v>
      </c>
    </row>
    <row r="572">
      <c r="A572" s="21"/>
      <c r="B572" s="21" t="s">
        <v>6783</v>
      </c>
      <c r="C572" s="21" t="s">
        <v>117</v>
      </c>
      <c r="D572" s="25">
        <v>50.0</v>
      </c>
      <c r="E572" s="25">
        <v>7.0</v>
      </c>
      <c r="F572" s="25">
        <v>4.05</v>
      </c>
      <c r="G572" s="21" t="s">
        <v>6784</v>
      </c>
    </row>
    <row r="573">
      <c r="A573" s="21"/>
      <c r="B573" s="21" t="s">
        <v>6785</v>
      </c>
      <c r="C573" s="21" t="s">
        <v>87</v>
      </c>
      <c r="D573" s="25">
        <v>50.0</v>
      </c>
      <c r="E573" s="25">
        <v>39.0</v>
      </c>
      <c r="F573" s="25">
        <v>0.0</v>
      </c>
      <c r="G573" s="21" t="s">
        <v>1045</v>
      </c>
    </row>
    <row r="574">
      <c r="A574" s="21"/>
      <c r="B574" s="21" t="s">
        <v>6786</v>
      </c>
      <c r="C574" s="21" t="s">
        <v>90</v>
      </c>
      <c r="D574" s="25">
        <v>50.0</v>
      </c>
      <c r="E574" s="25">
        <v>38.0</v>
      </c>
      <c r="F574" s="25">
        <v>5.44</v>
      </c>
      <c r="G574" s="21" t="s">
        <v>103</v>
      </c>
    </row>
    <row r="575">
      <c r="A575" s="21"/>
      <c r="B575" s="21" t="s">
        <v>6787</v>
      </c>
      <c r="C575" s="21" t="s">
        <v>90</v>
      </c>
      <c r="D575" s="25">
        <v>50.0</v>
      </c>
      <c r="E575" s="25">
        <v>34.0</v>
      </c>
      <c r="F575" s="25">
        <v>5.15</v>
      </c>
      <c r="G575" s="21" t="s">
        <v>1162</v>
      </c>
    </row>
    <row r="576">
      <c r="A576" s="21"/>
      <c r="B576" s="21" t="s">
        <v>6788</v>
      </c>
      <c r="C576" s="21" t="s">
        <v>160</v>
      </c>
      <c r="D576" s="25">
        <v>50.0</v>
      </c>
      <c r="E576" s="25">
        <v>0.0</v>
      </c>
      <c r="F576" s="25">
        <v>5.39</v>
      </c>
      <c r="G576" s="21" t="s">
        <v>429</v>
      </c>
    </row>
    <row r="577">
      <c r="A577" s="21"/>
      <c r="B577" s="21" t="s">
        <v>6789</v>
      </c>
      <c r="C577" s="21" t="s">
        <v>117</v>
      </c>
      <c r="D577" s="25">
        <v>50.0</v>
      </c>
      <c r="E577" s="25">
        <v>35.0</v>
      </c>
      <c r="F577" s="25">
        <v>3.66</v>
      </c>
      <c r="G577" s="21" t="s">
        <v>6790</v>
      </c>
    </row>
    <row r="578">
      <c r="A578" s="21"/>
      <c r="B578" s="21" t="s">
        <v>6791</v>
      </c>
      <c r="C578" s="21" t="s">
        <v>117</v>
      </c>
      <c r="D578" s="25">
        <v>50.0</v>
      </c>
      <c r="E578" s="25">
        <v>5.0</v>
      </c>
      <c r="F578" s="25">
        <v>0.0</v>
      </c>
      <c r="G578" s="21" t="s">
        <v>6293</v>
      </c>
    </row>
    <row r="579">
      <c r="A579" s="21"/>
      <c r="B579" s="21" t="s">
        <v>6792</v>
      </c>
      <c r="C579" s="21" t="s">
        <v>99</v>
      </c>
      <c r="D579" s="25">
        <v>50.0</v>
      </c>
      <c r="E579" s="25">
        <v>11.0</v>
      </c>
      <c r="F579" s="25">
        <v>2.25</v>
      </c>
      <c r="G579" s="21" t="s">
        <v>6793</v>
      </c>
    </row>
    <row r="580">
      <c r="A580" s="21"/>
      <c r="B580" s="21" t="s">
        <v>6794</v>
      </c>
      <c r="C580" s="21" t="s">
        <v>117</v>
      </c>
      <c r="D580" s="25">
        <v>50.0</v>
      </c>
      <c r="E580" s="25">
        <v>0.0</v>
      </c>
      <c r="F580" s="25">
        <v>3.59</v>
      </c>
      <c r="G580" s="21" t="s">
        <v>478</v>
      </c>
    </row>
    <row r="581">
      <c r="A581" s="21"/>
      <c r="B581" s="21" t="s">
        <v>6795</v>
      </c>
      <c r="C581" s="21" t="s">
        <v>87</v>
      </c>
      <c r="D581" s="25">
        <v>50.0</v>
      </c>
      <c r="E581" s="25">
        <v>26.0</v>
      </c>
      <c r="F581" s="25">
        <v>4.54</v>
      </c>
      <c r="G581" s="21" t="s">
        <v>1033</v>
      </c>
    </row>
    <row r="582">
      <c r="A582" s="21"/>
      <c r="B582" s="21" t="s">
        <v>6796</v>
      </c>
      <c r="C582" s="21" t="s">
        <v>90</v>
      </c>
      <c r="D582" s="25">
        <v>50.0</v>
      </c>
      <c r="E582" s="25">
        <v>40.0</v>
      </c>
      <c r="F582" s="25">
        <v>3.13</v>
      </c>
      <c r="G582" s="21" t="s">
        <v>1124</v>
      </c>
    </row>
    <row r="583">
      <c r="A583" s="21"/>
      <c r="B583" s="21" t="s">
        <v>6797</v>
      </c>
      <c r="C583" s="21" t="s">
        <v>87</v>
      </c>
      <c r="D583" s="25">
        <v>50.0</v>
      </c>
      <c r="E583" s="25">
        <v>38.0</v>
      </c>
      <c r="F583" s="25">
        <v>5.37</v>
      </c>
      <c r="G583" s="21" t="s">
        <v>6798</v>
      </c>
    </row>
    <row r="584">
      <c r="A584" s="21"/>
      <c r="B584" s="21" t="s">
        <v>6799</v>
      </c>
      <c r="C584" s="21" t="s">
        <v>117</v>
      </c>
      <c r="D584" s="25">
        <v>50.0</v>
      </c>
      <c r="E584" s="25">
        <v>14.0</v>
      </c>
      <c r="F584" s="25">
        <v>3.32</v>
      </c>
      <c r="G584" s="21" t="s">
        <v>420</v>
      </c>
    </row>
    <row r="585">
      <c r="A585" s="21"/>
      <c r="B585" s="21" t="s">
        <v>6800</v>
      </c>
      <c r="C585" s="21" t="s">
        <v>90</v>
      </c>
      <c r="D585" s="25">
        <v>50.0</v>
      </c>
      <c r="E585" s="25">
        <v>37.0</v>
      </c>
      <c r="F585" s="25">
        <v>5.01</v>
      </c>
      <c r="G585" s="21" t="s">
        <v>6801</v>
      </c>
    </row>
    <row r="586">
      <c r="A586" s="21"/>
      <c r="B586" s="21" t="s">
        <v>6802</v>
      </c>
      <c r="C586" s="21" t="s">
        <v>117</v>
      </c>
      <c r="D586" s="25">
        <v>50.0</v>
      </c>
      <c r="E586" s="25">
        <v>19.0</v>
      </c>
      <c r="F586" s="25">
        <v>0.0</v>
      </c>
      <c r="G586" s="21" t="s">
        <v>6803</v>
      </c>
    </row>
    <row r="587">
      <c r="A587" s="21"/>
      <c r="B587" s="21" t="s">
        <v>6804</v>
      </c>
      <c r="C587" s="21" t="s">
        <v>87</v>
      </c>
      <c r="D587" s="25">
        <v>50.0</v>
      </c>
      <c r="E587" s="25">
        <v>5.0</v>
      </c>
      <c r="F587" s="25">
        <v>7.22</v>
      </c>
      <c r="G587" s="21" t="s">
        <v>6805</v>
      </c>
    </row>
    <row r="588">
      <c r="A588" s="21"/>
      <c r="B588" s="21" t="s">
        <v>6806</v>
      </c>
      <c r="C588" s="21" t="s">
        <v>117</v>
      </c>
      <c r="D588" s="25">
        <v>50.0</v>
      </c>
      <c r="E588" s="25">
        <v>4.0</v>
      </c>
      <c r="F588" s="25">
        <v>0.0</v>
      </c>
      <c r="G588" s="21" t="s">
        <v>505</v>
      </c>
    </row>
    <row r="589">
      <c r="A589" s="21"/>
      <c r="B589" s="21" t="s">
        <v>6807</v>
      </c>
      <c r="C589" s="21" t="s">
        <v>87</v>
      </c>
      <c r="D589" s="25">
        <v>50.0</v>
      </c>
      <c r="E589" s="25">
        <v>25.0</v>
      </c>
      <c r="F589" s="25">
        <v>6.56</v>
      </c>
      <c r="G589" s="21" t="s">
        <v>1007</v>
      </c>
    </row>
    <row r="590">
      <c r="A590" s="21"/>
      <c r="B590" s="21" t="s">
        <v>6808</v>
      </c>
      <c r="C590" s="21" t="s">
        <v>117</v>
      </c>
      <c r="D590" s="25">
        <v>50.0</v>
      </c>
      <c r="E590" s="25">
        <v>33.0</v>
      </c>
      <c r="F590" s="25">
        <v>3.12</v>
      </c>
      <c r="G590" s="21" t="s">
        <v>6809</v>
      </c>
    </row>
    <row r="591">
      <c r="A591" s="21"/>
      <c r="B591" s="21" t="s">
        <v>6810</v>
      </c>
      <c r="C591" s="21" t="s">
        <v>87</v>
      </c>
      <c r="D591" s="25">
        <v>50.0</v>
      </c>
      <c r="E591" s="25">
        <v>3.0</v>
      </c>
      <c r="F591" s="25">
        <v>2.85</v>
      </c>
      <c r="G591" s="21" t="s">
        <v>420</v>
      </c>
    </row>
    <row r="592">
      <c r="A592" s="21"/>
      <c r="B592" s="21" t="s">
        <v>6811</v>
      </c>
      <c r="C592" s="21" t="s">
        <v>87</v>
      </c>
      <c r="D592" s="25">
        <v>50.0</v>
      </c>
      <c r="E592" s="25">
        <v>5.0</v>
      </c>
      <c r="F592" s="25">
        <v>7.53</v>
      </c>
      <c r="G592" s="21" t="s">
        <v>886</v>
      </c>
    </row>
    <row r="593">
      <c r="A593" s="21"/>
      <c r="B593" s="21" t="s">
        <v>6812</v>
      </c>
      <c r="C593" s="21" t="s">
        <v>87</v>
      </c>
      <c r="D593" s="25">
        <v>50.0</v>
      </c>
      <c r="E593" s="25">
        <v>23.0</v>
      </c>
      <c r="F593" s="25">
        <v>0.0</v>
      </c>
      <c r="G593" s="21" t="s">
        <v>1021</v>
      </c>
    </row>
    <row r="594">
      <c r="A594" s="21"/>
      <c r="B594" s="21" t="s">
        <v>6813</v>
      </c>
      <c r="C594" s="21" t="s">
        <v>87</v>
      </c>
      <c r="D594" s="25">
        <v>50.0</v>
      </c>
      <c r="E594" s="25">
        <v>22.0</v>
      </c>
      <c r="F594" s="25">
        <v>5.96</v>
      </c>
      <c r="G594" s="21" t="s">
        <v>903</v>
      </c>
    </row>
    <row r="595">
      <c r="A595" s="21"/>
      <c r="B595" s="21" t="s">
        <v>6814</v>
      </c>
      <c r="C595" s="21" t="s">
        <v>87</v>
      </c>
      <c r="D595" s="25">
        <v>50.0</v>
      </c>
      <c r="E595" s="25">
        <v>0.0</v>
      </c>
      <c r="F595" s="25">
        <v>6.99</v>
      </c>
      <c r="G595" s="21" t="s">
        <v>934</v>
      </c>
    </row>
    <row r="596">
      <c r="A596" s="21"/>
      <c r="B596" s="21" t="s">
        <v>6815</v>
      </c>
      <c r="C596" s="21" t="s">
        <v>117</v>
      </c>
      <c r="D596" s="25">
        <v>50.0</v>
      </c>
      <c r="E596" s="25">
        <v>17.0</v>
      </c>
      <c r="F596" s="25">
        <v>6.88</v>
      </c>
      <c r="G596" s="21" t="s">
        <v>6816</v>
      </c>
    </row>
    <row r="597">
      <c r="A597" s="21"/>
      <c r="B597" s="21" t="s">
        <v>6817</v>
      </c>
      <c r="C597" s="21" t="s">
        <v>117</v>
      </c>
      <c r="D597" s="25">
        <v>50.0</v>
      </c>
      <c r="E597" s="25">
        <v>7.0</v>
      </c>
      <c r="F597" s="25">
        <v>0.0</v>
      </c>
      <c r="G597" s="21" t="s">
        <v>1122</v>
      </c>
    </row>
    <row r="598">
      <c r="A598" s="21"/>
      <c r="B598" s="21" t="s">
        <v>6818</v>
      </c>
      <c r="C598" s="21" t="s">
        <v>117</v>
      </c>
      <c r="D598" s="25">
        <v>50.0</v>
      </c>
      <c r="E598" s="25">
        <v>0.0</v>
      </c>
      <c r="F598" s="25">
        <v>3.06</v>
      </c>
      <c r="G598" s="21" t="s">
        <v>1361</v>
      </c>
    </row>
    <row r="599">
      <c r="A599" s="21"/>
      <c r="B599" s="21" t="s">
        <v>6819</v>
      </c>
      <c r="C599" s="21" t="s">
        <v>1065</v>
      </c>
      <c r="D599" s="25">
        <v>50.0</v>
      </c>
      <c r="E599" s="25">
        <v>30.0</v>
      </c>
      <c r="F599" s="25">
        <v>0.0</v>
      </c>
      <c r="G599" s="21" t="s">
        <v>212</v>
      </c>
    </row>
    <row r="600">
      <c r="A600" s="21"/>
      <c r="B600" s="21" t="s">
        <v>6820</v>
      </c>
      <c r="C600" s="21" t="s">
        <v>87</v>
      </c>
      <c r="D600" s="25">
        <v>50.0</v>
      </c>
      <c r="E600" s="25">
        <v>36.0</v>
      </c>
      <c r="F600" s="25">
        <v>5.91</v>
      </c>
      <c r="G600" s="21" t="s">
        <v>988</v>
      </c>
    </row>
    <row r="601">
      <c r="A601" s="21"/>
      <c r="B601" s="21" t="s">
        <v>6821</v>
      </c>
      <c r="C601" s="21" t="s">
        <v>87</v>
      </c>
      <c r="D601" s="25">
        <v>50.0</v>
      </c>
      <c r="E601" s="25">
        <v>24.0</v>
      </c>
      <c r="F601" s="25">
        <v>6.72</v>
      </c>
      <c r="G601" s="21" t="s">
        <v>6822</v>
      </c>
    </row>
    <row r="602">
      <c r="A602" s="21"/>
      <c r="B602" s="21" t="s">
        <v>6823</v>
      </c>
      <c r="C602" s="21" t="s">
        <v>87</v>
      </c>
      <c r="D602" s="25">
        <v>40.0</v>
      </c>
      <c r="E602" s="25">
        <v>11.0</v>
      </c>
      <c r="F602" s="25">
        <v>0.42</v>
      </c>
      <c r="G602" s="21" t="s">
        <v>294</v>
      </c>
    </row>
    <row r="603">
      <c r="A603" s="21"/>
      <c r="B603" s="21" t="s">
        <v>5988</v>
      </c>
      <c r="C603" s="21" t="s">
        <v>87</v>
      </c>
      <c r="D603" s="25">
        <v>40.0</v>
      </c>
      <c r="E603" s="25">
        <v>21.0</v>
      </c>
      <c r="F603" s="25">
        <v>4.22</v>
      </c>
      <c r="G603" s="21" t="s">
        <v>5989</v>
      </c>
    </row>
    <row r="604">
      <c r="A604" s="21"/>
      <c r="B604" s="21" t="s">
        <v>5990</v>
      </c>
      <c r="C604" s="21" t="s">
        <v>160</v>
      </c>
      <c r="D604" s="25">
        <v>40.0</v>
      </c>
      <c r="E604" s="25">
        <v>10.0</v>
      </c>
      <c r="F604" s="25">
        <v>3.7</v>
      </c>
      <c r="G604" s="21" t="s">
        <v>893</v>
      </c>
    </row>
    <row r="605">
      <c r="A605" s="21"/>
      <c r="B605" s="21" t="s">
        <v>156</v>
      </c>
      <c r="C605" s="21" t="s">
        <v>87</v>
      </c>
      <c r="D605" s="25">
        <v>40.0</v>
      </c>
      <c r="E605" s="25">
        <v>40.0</v>
      </c>
      <c r="F605" s="25">
        <v>6.62</v>
      </c>
      <c r="G605" s="21" t="s">
        <v>1295</v>
      </c>
    </row>
    <row r="606">
      <c r="A606" s="21"/>
      <c r="B606" s="21" t="s">
        <v>6824</v>
      </c>
      <c r="C606" s="21" t="s">
        <v>117</v>
      </c>
      <c r="D606" s="25">
        <v>40.0</v>
      </c>
      <c r="E606" s="25">
        <v>14.0</v>
      </c>
      <c r="F606" s="25">
        <v>4.69</v>
      </c>
      <c r="G606" s="21" t="s">
        <v>6103</v>
      </c>
    </row>
    <row r="607">
      <c r="A607" s="21"/>
      <c r="B607" s="21" t="s">
        <v>6825</v>
      </c>
      <c r="C607" s="21" t="s">
        <v>87</v>
      </c>
      <c r="D607" s="25">
        <v>40.0</v>
      </c>
      <c r="E607" s="25">
        <v>21.0</v>
      </c>
      <c r="F607" s="25">
        <v>0.0</v>
      </c>
      <c r="G607" s="21" t="s">
        <v>6275</v>
      </c>
    </row>
    <row r="608">
      <c r="A608" s="21"/>
      <c r="B608" s="21" t="s">
        <v>6826</v>
      </c>
      <c r="C608" s="21" t="s">
        <v>87</v>
      </c>
      <c r="D608" s="25">
        <v>40.0</v>
      </c>
      <c r="E608" s="25">
        <v>23.0</v>
      </c>
      <c r="F608" s="25">
        <v>0.0</v>
      </c>
      <c r="G608" s="21" t="s">
        <v>1106</v>
      </c>
    </row>
    <row r="609">
      <c r="A609" s="21"/>
      <c r="B609" s="21" t="s">
        <v>6827</v>
      </c>
      <c r="C609" s="21" t="s">
        <v>87</v>
      </c>
      <c r="D609" s="25">
        <v>40.0</v>
      </c>
      <c r="E609" s="25">
        <v>37.0</v>
      </c>
      <c r="F609" s="25">
        <v>9.85</v>
      </c>
      <c r="G609" s="21" t="s">
        <v>97</v>
      </c>
    </row>
    <row r="610">
      <c r="A610" s="21"/>
      <c r="B610" s="21" t="s">
        <v>6828</v>
      </c>
      <c r="D610" s="25">
        <v>40.0</v>
      </c>
      <c r="E610" s="27"/>
      <c r="F610" s="25">
        <v>0.0</v>
      </c>
      <c r="G610" s="27"/>
    </row>
    <row r="611">
      <c r="A611" s="21"/>
      <c r="B611" s="21" t="s">
        <v>6829</v>
      </c>
      <c r="C611" s="21" t="s">
        <v>160</v>
      </c>
      <c r="D611" s="25">
        <v>40.0</v>
      </c>
      <c r="E611" s="25">
        <v>6.0</v>
      </c>
      <c r="F611" s="25">
        <v>2.35</v>
      </c>
      <c r="G611" s="21" t="s">
        <v>439</v>
      </c>
    </row>
    <row r="612">
      <c r="A612" s="21"/>
      <c r="B612" s="21" t="s">
        <v>6830</v>
      </c>
      <c r="D612" s="25">
        <v>40.0</v>
      </c>
      <c r="E612" s="27"/>
      <c r="F612" s="25">
        <v>0.0</v>
      </c>
      <c r="G612" s="27"/>
    </row>
    <row r="613">
      <c r="A613" s="21"/>
      <c r="B613" s="21" t="s">
        <v>6831</v>
      </c>
      <c r="C613" s="21" t="s">
        <v>90</v>
      </c>
      <c r="D613" s="25">
        <v>40.0</v>
      </c>
      <c r="E613" s="25">
        <v>28.0</v>
      </c>
      <c r="F613" s="25">
        <v>1.9</v>
      </c>
      <c r="G613" s="21" t="s">
        <v>936</v>
      </c>
    </row>
    <row r="614">
      <c r="A614" s="21"/>
      <c r="B614" s="21" t="s">
        <v>6832</v>
      </c>
      <c r="C614" s="21" t="s">
        <v>87</v>
      </c>
      <c r="D614" s="25">
        <v>40.0</v>
      </c>
      <c r="E614" s="25">
        <v>26.0</v>
      </c>
      <c r="F614" s="25">
        <v>0.0</v>
      </c>
      <c r="G614" s="21" t="s">
        <v>147</v>
      </c>
    </row>
    <row r="615">
      <c r="A615" s="21"/>
      <c r="B615" s="21" t="s">
        <v>6833</v>
      </c>
      <c r="C615" s="21" t="s">
        <v>87</v>
      </c>
      <c r="D615" s="25">
        <v>40.0</v>
      </c>
      <c r="E615" s="25">
        <v>21.0</v>
      </c>
      <c r="F615" s="25">
        <v>8.92</v>
      </c>
      <c r="G615" s="21" t="s">
        <v>178</v>
      </c>
    </row>
    <row r="616">
      <c r="A616" s="21"/>
      <c r="B616" s="21" t="s">
        <v>6834</v>
      </c>
      <c r="C616" s="21" t="s">
        <v>87</v>
      </c>
      <c r="D616" s="25">
        <v>40.0</v>
      </c>
      <c r="E616" s="25">
        <v>1.0</v>
      </c>
      <c r="F616" s="25">
        <v>3.84</v>
      </c>
      <c r="G616" s="21" t="s">
        <v>6835</v>
      </c>
    </row>
    <row r="617">
      <c r="A617" s="21"/>
      <c r="B617" s="21" t="s">
        <v>6836</v>
      </c>
      <c r="C617" s="21" t="s">
        <v>87</v>
      </c>
      <c r="D617" s="25">
        <v>40.0</v>
      </c>
      <c r="E617" s="25">
        <v>40.0</v>
      </c>
      <c r="F617" s="25">
        <v>4.64</v>
      </c>
      <c r="G617" s="21" t="s">
        <v>1027</v>
      </c>
    </row>
    <row r="618">
      <c r="A618" s="21"/>
      <c r="B618" s="21" t="s">
        <v>6837</v>
      </c>
      <c r="C618" s="21" t="s">
        <v>87</v>
      </c>
      <c r="D618" s="25">
        <v>40.0</v>
      </c>
      <c r="E618" s="25">
        <v>4.0</v>
      </c>
      <c r="F618" s="25">
        <v>8.52</v>
      </c>
      <c r="G618" s="21" t="s">
        <v>97</v>
      </c>
    </row>
    <row r="619">
      <c r="A619" s="21"/>
      <c r="B619" s="21" t="s">
        <v>6838</v>
      </c>
      <c r="C619" s="21" t="s">
        <v>87</v>
      </c>
      <c r="D619" s="25">
        <v>40.0</v>
      </c>
      <c r="E619" s="25">
        <v>36.0</v>
      </c>
      <c r="F619" s="25">
        <v>5.86</v>
      </c>
      <c r="G619" s="21" t="s">
        <v>1027</v>
      </c>
    </row>
    <row r="620">
      <c r="A620" s="21"/>
      <c r="B620" s="21" t="s">
        <v>6839</v>
      </c>
      <c r="C620" s="21" t="s">
        <v>87</v>
      </c>
      <c r="D620" s="25">
        <v>40.0</v>
      </c>
      <c r="E620" s="25">
        <v>18.0</v>
      </c>
      <c r="F620" s="25">
        <v>6.88</v>
      </c>
      <c r="G620" s="21" t="s">
        <v>6840</v>
      </c>
    </row>
    <row r="621">
      <c r="A621" s="21"/>
      <c r="B621" s="21" t="s">
        <v>1322</v>
      </c>
      <c r="C621" s="21" t="s">
        <v>87</v>
      </c>
      <c r="D621" s="25">
        <v>40.0</v>
      </c>
      <c r="E621" s="25">
        <v>9.0</v>
      </c>
      <c r="F621" s="25">
        <v>0.0</v>
      </c>
      <c r="G621" s="21" t="s">
        <v>147</v>
      </c>
    </row>
    <row r="622">
      <c r="A622" s="21"/>
      <c r="B622" s="21" t="s">
        <v>6841</v>
      </c>
      <c r="C622" s="21" t="s">
        <v>90</v>
      </c>
      <c r="D622" s="25">
        <v>40.0</v>
      </c>
      <c r="E622" s="25">
        <v>23.0</v>
      </c>
      <c r="F622" s="25">
        <v>5.16</v>
      </c>
      <c r="G622" s="21" t="s">
        <v>6091</v>
      </c>
    </row>
    <row r="623">
      <c r="A623" s="21"/>
      <c r="B623" s="21" t="s">
        <v>6842</v>
      </c>
      <c r="C623" s="21" t="s">
        <v>117</v>
      </c>
      <c r="D623" s="25">
        <v>40.0</v>
      </c>
      <c r="E623" s="25">
        <v>11.0</v>
      </c>
      <c r="F623" s="25">
        <v>0.0</v>
      </c>
      <c r="G623" s="21" t="s">
        <v>1262</v>
      </c>
    </row>
    <row r="624">
      <c r="A624" s="21"/>
      <c r="B624" s="21" t="s">
        <v>6843</v>
      </c>
      <c r="D624" s="25">
        <v>40.0</v>
      </c>
      <c r="E624" s="27"/>
      <c r="F624" s="25">
        <v>0.0</v>
      </c>
      <c r="G624" s="27"/>
    </row>
    <row r="625">
      <c r="A625" s="21"/>
      <c r="B625" s="21" t="s">
        <v>6844</v>
      </c>
      <c r="D625" s="25">
        <v>40.0</v>
      </c>
      <c r="E625" s="27"/>
      <c r="F625" s="25">
        <v>0.0</v>
      </c>
      <c r="G625" s="27"/>
    </row>
    <row r="626">
      <c r="A626" s="21"/>
      <c r="B626" s="21" t="s">
        <v>6845</v>
      </c>
      <c r="C626" s="21" t="s">
        <v>87</v>
      </c>
      <c r="D626" s="25">
        <v>40.0</v>
      </c>
      <c r="E626" s="25">
        <v>19.0</v>
      </c>
      <c r="F626" s="25">
        <v>6.23</v>
      </c>
      <c r="G626" s="21" t="s">
        <v>1021</v>
      </c>
    </row>
    <row r="627">
      <c r="A627" s="21"/>
      <c r="B627" s="21" t="s">
        <v>6846</v>
      </c>
      <c r="C627" s="21" t="s">
        <v>117</v>
      </c>
      <c r="D627" s="25">
        <v>40.0</v>
      </c>
      <c r="E627" s="25">
        <v>8.0</v>
      </c>
      <c r="F627" s="25">
        <v>0.0</v>
      </c>
      <c r="G627" s="21" t="s">
        <v>1274</v>
      </c>
    </row>
    <row r="628">
      <c r="A628" s="21"/>
      <c r="B628" s="21" t="s">
        <v>6847</v>
      </c>
      <c r="C628" s="21" t="s">
        <v>117</v>
      </c>
      <c r="D628" s="25">
        <v>40.0</v>
      </c>
      <c r="E628" s="25">
        <v>10.0</v>
      </c>
      <c r="F628" s="25">
        <v>0.0</v>
      </c>
      <c r="G628" s="21" t="s">
        <v>1274</v>
      </c>
    </row>
    <row r="629">
      <c r="A629" s="21"/>
      <c r="B629" s="21" t="s">
        <v>5991</v>
      </c>
      <c r="C629" s="21" t="s">
        <v>87</v>
      </c>
      <c r="D629" s="25">
        <v>40.0</v>
      </c>
      <c r="E629" s="25">
        <v>21.0</v>
      </c>
      <c r="F629" s="25">
        <v>0.26</v>
      </c>
      <c r="G629" s="21" t="s">
        <v>5992</v>
      </c>
    </row>
    <row r="630">
      <c r="A630" s="21"/>
      <c r="B630" s="21" t="s">
        <v>6848</v>
      </c>
      <c r="C630" s="21" t="s">
        <v>87</v>
      </c>
      <c r="D630" s="25">
        <v>40.0</v>
      </c>
      <c r="E630" s="25">
        <v>18.0</v>
      </c>
      <c r="F630" s="25">
        <v>6.15</v>
      </c>
      <c r="G630" s="21" t="s">
        <v>6849</v>
      </c>
    </row>
    <row r="631">
      <c r="A631" s="21"/>
      <c r="B631" s="21" t="s">
        <v>6850</v>
      </c>
      <c r="C631" s="21" t="s">
        <v>117</v>
      </c>
      <c r="D631" s="25">
        <v>40.0</v>
      </c>
      <c r="E631" s="25">
        <v>9.0</v>
      </c>
      <c r="F631" s="25">
        <v>2.37</v>
      </c>
      <c r="G631" s="21" t="s">
        <v>1361</v>
      </c>
    </row>
    <row r="632">
      <c r="A632" s="21"/>
      <c r="B632" s="21" t="s">
        <v>6851</v>
      </c>
      <c r="C632" s="21" t="s">
        <v>117</v>
      </c>
      <c r="D632" s="25">
        <v>40.0</v>
      </c>
      <c r="E632" s="25">
        <v>6.0</v>
      </c>
      <c r="F632" s="25">
        <v>3.38</v>
      </c>
      <c r="G632" s="21" t="s">
        <v>170</v>
      </c>
    </row>
    <row r="633">
      <c r="A633" s="21"/>
      <c r="B633" s="21" t="s">
        <v>6852</v>
      </c>
      <c r="D633" s="25">
        <v>40.0</v>
      </c>
      <c r="E633" s="27"/>
      <c r="F633" s="25">
        <v>2.56</v>
      </c>
      <c r="G633" s="27"/>
    </row>
    <row r="634">
      <c r="A634" s="21"/>
      <c r="B634" s="21" t="s">
        <v>6853</v>
      </c>
      <c r="C634" s="21" t="s">
        <v>117</v>
      </c>
      <c r="D634" s="25">
        <v>40.0</v>
      </c>
      <c r="E634" s="25">
        <v>0.0</v>
      </c>
      <c r="F634" s="25">
        <v>0.0</v>
      </c>
      <c r="G634" s="21" t="s">
        <v>6691</v>
      </c>
    </row>
    <row r="635">
      <c r="A635" s="21"/>
      <c r="B635" s="21" t="s">
        <v>6854</v>
      </c>
      <c r="C635" s="21" t="s">
        <v>117</v>
      </c>
      <c r="D635" s="25">
        <v>40.0</v>
      </c>
      <c r="E635" s="25">
        <v>8.0</v>
      </c>
      <c r="F635" s="25">
        <v>0.0</v>
      </c>
      <c r="G635" s="21" t="s">
        <v>218</v>
      </c>
    </row>
    <row r="636">
      <c r="A636" s="21"/>
      <c r="B636" s="21" t="s">
        <v>6855</v>
      </c>
      <c r="C636" s="21" t="s">
        <v>117</v>
      </c>
      <c r="D636" s="25">
        <v>40.0</v>
      </c>
      <c r="E636" s="25">
        <v>20.0</v>
      </c>
      <c r="F636" s="25">
        <v>0.0</v>
      </c>
      <c r="G636" s="21" t="s">
        <v>6586</v>
      </c>
    </row>
    <row r="637">
      <c r="A637" s="21"/>
      <c r="B637" s="21" t="s">
        <v>6856</v>
      </c>
      <c r="C637" s="21" t="s">
        <v>87</v>
      </c>
      <c r="D637" s="25">
        <v>40.0</v>
      </c>
      <c r="E637" s="25">
        <v>30.0</v>
      </c>
      <c r="F637" s="25">
        <v>0.0</v>
      </c>
      <c r="G637" s="21" t="s">
        <v>147</v>
      </c>
    </row>
    <row r="638">
      <c r="A638" s="21"/>
      <c r="B638" s="21" t="s">
        <v>6857</v>
      </c>
      <c r="D638" s="25">
        <v>40.0</v>
      </c>
      <c r="E638" s="27"/>
      <c r="F638" s="25">
        <v>0.0</v>
      </c>
      <c r="G638" s="27"/>
    </row>
    <row r="639">
      <c r="A639" s="21"/>
      <c r="B639" s="21" t="s">
        <v>6858</v>
      </c>
      <c r="D639" s="25">
        <v>40.0</v>
      </c>
      <c r="E639" s="27"/>
      <c r="F639" s="25">
        <v>0.0</v>
      </c>
      <c r="G639" s="27"/>
    </row>
    <row r="640">
      <c r="A640" s="21"/>
      <c r="B640" s="21" t="s">
        <v>6859</v>
      </c>
      <c r="C640" s="21" t="s">
        <v>90</v>
      </c>
      <c r="D640" s="25">
        <v>40.0</v>
      </c>
      <c r="E640" s="25">
        <v>34.0</v>
      </c>
      <c r="F640" s="25">
        <v>0.0</v>
      </c>
      <c r="G640" s="21" t="s">
        <v>6860</v>
      </c>
    </row>
    <row r="641">
      <c r="A641" s="21"/>
      <c r="B641" s="21" t="s">
        <v>6861</v>
      </c>
      <c r="C641" s="21" t="s">
        <v>117</v>
      </c>
      <c r="D641" s="25">
        <v>40.0</v>
      </c>
      <c r="E641" s="25">
        <v>12.0</v>
      </c>
      <c r="F641" s="25">
        <v>3.54</v>
      </c>
      <c r="G641" s="21" t="s">
        <v>429</v>
      </c>
    </row>
    <row r="642">
      <c r="A642" s="21"/>
      <c r="B642" s="21" t="s">
        <v>6862</v>
      </c>
      <c r="C642" s="21" t="s">
        <v>87</v>
      </c>
      <c r="D642" s="25">
        <v>40.0</v>
      </c>
      <c r="E642" s="25">
        <v>8.0</v>
      </c>
      <c r="F642" s="25">
        <v>3.24</v>
      </c>
      <c r="G642" s="21" t="s">
        <v>192</v>
      </c>
    </row>
    <row r="643">
      <c r="A643" s="21"/>
      <c r="B643" s="21" t="s">
        <v>6863</v>
      </c>
      <c r="D643" s="25">
        <v>40.0</v>
      </c>
      <c r="E643" s="27"/>
      <c r="F643" s="25">
        <v>0.0</v>
      </c>
      <c r="G643" s="27"/>
    </row>
    <row r="644">
      <c r="A644" s="21"/>
      <c r="B644" s="21" t="s">
        <v>6864</v>
      </c>
      <c r="C644" s="21" t="s">
        <v>87</v>
      </c>
      <c r="D644" s="25">
        <v>40.0</v>
      </c>
      <c r="E644" s="25">
        <v>1.0</v>
      </c>
      <c r="F644" s="25">
        <v>0.0</v>
      </c>
      <c r="G644" s="21" t="s">
        <v>6865</v>
      </c>
    </row>
    <row r="645">
      <c r="A645" s="21"/>
      <c r="B645" s="21" t="s">
        <v>6866</v>
      </c>
      <c r="C645" s="21" t="s">
        <v>117</v>
      </c>
      <c r="D645" s="25">
        <v>40.0</v>
      </c>
      <c r="E645" s="25">
        <v>32.0</v>
      </c>
      <c r="F645" s="25">
        <v>0.4</v>
      </c>
      <c r="G645" s="21" t="s">
        <v>170</v>
      </c>
    </row>
    <row r="646">
      <c r="A646" s="21"/>
      <c r="B646" s="21" t="s">
        <v>6867</v>
      </c>
      <c r="C646" s="21" t="s">
        <v>117</v>
      </c>
      <c r="D646" s="25">
        <v>40.0</v>
      </c>
      <c r="E646" s="25">
        <v>0.0</v>
      </c>
      <c r="F646" s="25">
        <v>0.0</v>
      </c>
      <c r="G646" s="21" t="s">
        <v>431</v>
      </c>
    </row>
    <row r="647">
      <c r="A647" s="21"/>
      <c r="B647" s="21" t="s">
        <v>6868</v>
      </c>
      <c r="C647" s="21" t="s">
        <v>117</v>
      </c>
      <c r="D647" s="25">
        <v>40.0</v>
      </c>
      <c r="E647" s="25">
        <v>12.0</v>
      </c>
      <c r="F647" s="25">
        <v>2.38</v>
      </c>
      <c r="G647" s="21" t="s">
        <v>493</v>
      </c>
    </row>
    <row r="648">
      <c r="A648" s="21"/>
      <c r="B648" s="21" t="s">
        <v>6869</v>
      </c>
      <c r="D648" s="25">
        <v>40.0</v>
      </c>
      <c r="E648" s="27"/>
      <c r="F648" s="25">
        <v>2.61</v>
      </c>
      <c r="G648" s="27"/>
    </row>
    <row r="649">
      <c r="A649" s="21"/>
      <c r="B649" s="21" t="s">
        <v>6870</v>
      </c>
      <c r="C649" s="21" t="s">
        <v>117</v>
      </c>
      <c r="D649" s="25">
        <v>40.0</v>
      </c>
      <c r="E649" s="25">
        <v>6.0</v>
      </c>
      <c r="F649" s="25">
        <v>0.0</v>
      </c>
      <c r="G649" s="21" t="s">
        <v>437</v>
      </c>
    </row>
    <row r="650">
      <c r="A650" s="21"/>
      <c r="B650" s="21" t="s">
        <v>6871</v>
      </c>
      <c r="C650" s="21" t="s">
        <v>117</v>
      </c>
      <c r="D650" s="25">
        <v>40.0</v>
      </c>
      <c r="E650" s="25">
        <v>13.0</v>
      </c>
      <c r="F650" s="25">
        <v>3.01</v>
      </c>
      <c r="G650" s="21" t="s">
        <v>6872</v>
      </c>
    </row>
    <row r="651">
      <c r="A651" s="21"/>
      <c r="B651" s="21" t="s">
        <v>6873</v>
      </c>
      <c r="C651" s="21" t="s">
        <v>117</v>
      </c>
      <c r="D651" s="25">
        <v>40.0</v>
      </c>
      <c r="E651" s="25">
        <v>17.0</v>
      </c>
      <c r="F651" s="25">
        <v>2.87</v>
      </c>
      <c r="G651" s="21" t="s">
        <v>170</v>
      </c>
    </row>
    <row r="652">
      <c r="A652" s="21"/>
      <c r="B652" s="21" t="s">
        <v>6874</v>
      </c>
      <c r="C652" s="21" t="s">
        <v>117</v>
      </c>
      <c r="D652" s="25">
        <v>40.0</v>
      </c>
      <c r="E652" s="25">
        <v>12.0</v>
      </c>
      <c r="F652" s="25">
        <v>2.65</v>
      </c>
      <c r="G652" s="21" t="s">
        <v>1351</v>
      </c>
    </row>
    <row r="653">
      <c r="A653" s="21"/>
      <c r="B653" s="21" t="s">
        <v>6875</v>
      </c>
      <c r="D653" s="25">
        <v>40.0</v>
      </c>
      <c r="E653" s="27"/>
      <c r="F653" s="25">
        <v>3.3</v>
      </c>
      <c r="G653" s="27"/>
    </row>
    <row r="654">
      <c r="A654" s="21"/>
      <c r="B654" s="21" t="s">
        <v>6876</v>
      </c>
      <c r="C654" s="21" t="s">
        <v>117</v>
      </c>
      <c r="D654" s="25">
        <v>40.0</v>
      </c>
      <c r="E654" s="25">
        <v>14.0</v>
      </c>
      <c r="F654" s="25">
        <v>2.96</v>
      </c>
      <c r="G654" s="21" t="s">
        <v>1111</v>
      </c>
    </row>
    <row r="655">
      <c r="A655" s="21"/>
      <c r="B655" s="21" t="s">
        <v>6877</v>
      </c>
      <c r="C655" s="21" t="s">
        <v>117</v>
      </c>
      <c r="D655" s="25">
        <v>40.0</v>
      </c>
      <c r="E655" s="25">
        <v>16.0</v>
      </c>
      <c r="F655" s="25">
        <v>3.55</v>
      </c>
      <c r="G655" s="21" t="s">
        <v>429</v>
      </c>
    </row>
    <row r="656">
      <c r="A656" s="21"/>
      <c r="B656" s="21" t="s">
        <v>6878</v>
      </c>
      <c r="D656" s="25">
        <v>40.0</v>
      </c>
      <c r="E656" s="27"/>
      <c r="F656" s="25">
        <v>2.88</v>
      </c>
      <c r="G656" s="27"/>
    </row>
    <row r="657">
      <c r="A657" s="21"/>
      <c r="B657" s="21" t="s">
        <v>6879</v>
      </c>
      <c r="C657" s="21" t="s">
        <v>117</v>
      </c>
      <c r="D657" s="25">
        <v>40.0</v>
      </c>
      <c r="E657" s="25">
        <v>0.0</v>
      </c>
      <c r="F657" s="25">
        <v>0.0</v>
      </c>
      <c r="G657" s="21" t="s">
        <v>1085</v>
      </c>
    </row>
    <row r="658">
      <c r="A658" s="21"/>
      <c r="B658" s="21" t="s">
        <v>6880</v>
      </c>
      <c r="C658" s="21" t="s">
        <v>117</v>
      </c>
      <c r="D658" s="25">
        <v>40.0</v>
      </c>
      <c r="E658" s="25">
        <v>28.0</v>
      </c>
      <c r="F658" s="25">
        <v>0.0</v>
      </c>
      <c r="G658" s="21" t="s">
        <v>470</v>
      </c>
    </row>
    <row r="659">
      <c r="A659" s="21"/>
      <c r="B659" s="21" t="s">
        <v>6881</v>
      </c>
      <c r="C659" s="21" t="s">
        <v>117</v>
      </c>
      <c r="D659" s="25">
        <v>40.0</v>
      </c>
      <c r="E659" s="25">
        <v>41.0</v>
      </c>
      <c r="F659" s="25">
        <v>0.65</v>
      </c>
      <c r="G659" s="21" t="s">
        <v>6160</v>
      </c>
    </row>
    <row r="660">
      <c r="A660" s="21"/>
      <c r="B660" s="21" t="s">
        <v>6882</v>
      </c>
      <c r="C660" s="21" t="s">
        <v>117</v>
      </c>
      <c r="D660" s="25">
        <v>40.0</v>
      </c>
      <c r="E660" s="25">
        <v>32.0</v>
      </c>
      <c r="F660" s="25">
        <v>0.88</v>
      </c>
      <c r="G660" s="21" t="s">
        <v>1351</v>
      </c>
    </row>
    <row r="661">
      <c r="A661" s="21"/>
      <c r="B661" s="21" t="s">
        <v>6883</v>
      </c>
      <c r="C661" s="21" t="s">
        <v>117</v>
      </c>
      <c r="D661" s="25">
        <v>40.0</v>
      </c>
      <c r="E661" s="25">
        <v>48.0</v>
      </c>
      <c r="F661" s="25">
        <v>0.65</v>
      </c>
      <c r="G661" s="21" t="s">
        <v>6245</v>
      </c>
    </row>
    <row r="662">
      <c r="A662" s="21"/>
      <c r="B662" s="21" t="s">
        <v>6884</v>
      </c>
      <c r="C662" s="21" t="s">
        <v>117</v>
      </c>
      <c r="D662" s="25">
        <v>40.0</v>
      </c>
      <c r="E662" s="25">
        <v>12.0</v>
      </c>
      <c r="F662" s="25">
        <v>0.0</v>
      </c>
      <c r="G662" s="21" t="s">
        <v>493</v>
      </c>
    </row>
    <row r="663">
      <c r="A663" s="21"/>
      <c r="B663" s="21" t="s">
        <v>6885</v>
      </c>
      <c r="D663" s="25">
        <v>40.0</v>
      </c>
      <c r="E663" s="27"/>
      <c r="F663" s="25">
        <v>0.0</v>
      </c>
      <c r="G663" s="27"/>
    </row>
    <row r="664">
      <c r="A664" s="21"/>
      <c r="B664" s="21" t="s">
        <v>6886</v>
      </c>
      <c r="C664" s="21" t="s">
        <v>87</v>
      </c>
      <c r="D664" s="25">
        <v>40.0</v>
      </c>
      <c r="E664" s="25">
        <v>41.0</v>
      </c>
      <c r="F664" s="25">
        <v>0.0</v>
      </c>
      <c r="G664" s="21" t="s">
        <v>1071</v>
      </c>
    </row>
    <row r="665">
      <c r="A665" s="21"/>
      <c r="B665" s="21" t="s">
        <v>1348</v>
      </c>
      <c r="D665" s="25">
        <v>40.0</v>
      </c>
      <c r="E665" s="27"/>
      <c r="F665" s="25">
        <v>4.0</v>
      </c>
      <c r="G665" s="27"/>
    </row>
    <row r="666">
      <c r="A666" s="21"/>
      <c r="B666" s="21" t="s">
        <v>6887</v>
      </c>
      <c r="C666" s="21" t="s">
        <v>87</v>
      </c>
      <c r="D666" s="25">
        <v>40.0</v>
      </c>
      <c r="E666" s="25">
        <v>28.0</v>
      </c>
      <c r="F666" s="25">
        <v>4.75</v>
      </c>
      <c r="G666" s="21" t="s">
        <v>6888</v>
      </c>
    </row>
    <row r="667">
      <c r="A667" s="21"/>
      <c r="B667" s="21" t="s">
        <v>6889</v>
      </c>
      <c r="C667" s="21" t="s">
        <v>117</v>
      </c>
      <c r="D667" s="25">
        <v>40.0</v>
      </c>
      <c r="E667" s="25">
        <v>38.0</v>
      </c>
      <c r="F667" s="25">
        <v>0.0</v>
      </c>
      <c r="G667" s="21" t="s">
        <v>499</v>
      </c>
    </row>
    <row r="668">
      <c r="A668" s="21"/>
      <c r="B668" s="21" t="s">
        <v>6890</v>
      </c>
      <c r="D668" s="25">
        <v>40.0</v>
      </c>
      <c r="E668" s="27"/>
      <c r="F668" s="25">
        <v>0.0</v>
      </c>
      <c r="G668" s="27"/>
    </row>
    <row r="669">
      <c r="A669" s="21"/>
      <c r="B669" s="21" t="s">
        <v>6891</v>
      </c>
      <c r="C669" s="21" t="s">
        <v>117</v>
      </c>
      <c r="D669" s="25">
        <v>40.0</v>
      </c>
      <c r="E669" s="25">
        <v>39.0</v>
      </c>
      <c r="F669" s="25">
        <v>1.48</v>
      </c>
      <c r="G669" s="21" t="s">
        <v>6135</v>
      </c>
    </row>
    <row r="670">
      <c r="A670" s="21"/>
      <c r="B670" s="21" t="s">
        <v>6892</v>
      </c>
      <c r="C670" s="21" t="s">
        <v>117</v>
      </c>
      <c r="D670" s="25">
        <v>40.0</v>
      </c>
      <c r="E670" s="25">
        <v>23.0</v>
      </c>
      <c r="F670" s="25">
        <v>1.71</v>
      </c>
      <c r="G670" s="21" t="s">
        <v>6893</v>
      </c>
    </row>
    <row r="671">
      <c r="A671" s="21"/>
      <c r="B671" s="21" t="s">
        <v>6894</v>
      </c>
      <c r="C671" s="21" t="s">
        <v>87</v>
      </c>
      <c r="D671" s="25">
        <v>40.0</v>
      </c>
      <c r="E671" s="25">
        <v>19.0</v>
      </c>
      <c r="F671" s="25">
        <v>2.57</v>
      </c>
      <c r="G671" s="21" t="s">
        <v>192</v>
      </c>
    </row>
    <row r="672">
      <c r="A672" s="21"/>
      <c r="B672" s="21" t="s">
        <v>6895</v>
      </c>
      <c r="C672" s="21" t="s">
        <v>117</v>
      </c>
      <c r="D672" s="25">
        <v>40.0</v>
      </c>
      <c r="E672" s="25">
        <v>0.0</v>
      </c>
      <c r="F672" s="25">
        <v>2.72</v>
      </c>
      <c r="G672" s="21" t="s">
        <v>170</v>
      </c>
    </row>
    <row r="673">
      <c r="A673" s="21"/>
      <c r="B673" s="21" t="s">
        <v>6896</v>
      </c>
      <c r="C673" s="21" t="s">
        <v>117</v>
      </c>
      <c r="D673" s="25">
        <v>40.0</v>
      </c>
      <c r="E673" s="25">
        <v>0.0</v>
      </c>
      <c r="F673" s="25">
        <v>5.13</v>
      </c>
      <c r="G673" s="21" t="s">
        <v>6631</v>
      </c>
    </row>
    <row r="674">
      <c r="A674" s="21"/>
      <c r="B674" s="21" t="s">
        <v>6897</v>
      </c>
      <c r="C674" s="21" t="s">
        <v>117</v>
      </c>
      <c r="D674" s="25">
        <v>40.0</v>
      </c>
      <c r="E674" s="25">
        <v>30.0</v>
      </c>
      <c r="F674" s="25">
        <v>5.58</v>
      </c>
      <c r="G674" s="21" t="s">
        <v>6898</v>
      </c>
    </row>
    <row r="675">
      <c r="A675" s="21"/>
      <c r="B675" s="21" t="s">
        <v>6899</v>
      </c>
      <c r="C675" s="21" t="s">
        <v>117</v>
      </c>
      <c r="D675" s="25">
        <v>40.0</v>
      </c>
      <c r="E675" s="25">
        <v>10.0</v>
      </c>
      <c r="F675" s="25">
        <v>0.0</v>
      </c>
      <c r="G675" s="21" t="s">
        <v>6900</v>
      </c>
    </row>
    <row r="676">
      <c r="A676" s="21"/>
      <c r="B676" s="21" t="s">
        <v>6901</v>
      </c>
      <c r="C676" s="21" t="s">
        <v>160</v>
      </c>
      <c r="D676" s="25">
        <v>40.0</v>
      </c>
      <c r="E676" s="25">
        <v>20.0</v>
      </c>
      <c r="F676" s="25">
        <v>0.0</v>
      </c>
      <c r="G676" s="21" t="s">
        <v>6902</v>
      </c>
    </row>
    <row r="677">
      <c r="A677" s="21"/>
      <c r="B677" s="21" t="s">
        <v>6903</v>
      </c>
      <c r="C677" s="21" t="s">
        <v>117</v>
      </c>
      <c r="D677" s="25">
        <v>40.0</v>
      </c>
      <c r="E677" s="25">
        <v>16.0</v>
      </c>
      <c r="F677" s="25">
        <v>1.93</v>
      </c>
      <c r="G677" s="21" t="s">
        <v>1005</v>
      </c>
    </row>
    <row r="678">
      <c r="A678" s="21"/>
      <c r="B678" s="21" t="s">
        <v>6904</v>
      </c>
      <c r="C678" s="21" t="s">
        <v>117</v>
      </c>
      <c r="D678" s="25">
        <v>40.0</v>
      </c>
      <c r="E678" s="25">
        <v>16.0</v>
      </c>
      <c r="F678" s="25">
        <v>3.44</v>
      </c>
      <c r="G678" s="21" t="s">
        <v>429</v>
      </c>
    </row>
    <row r="679">
      <c r="A679" s="21"/>
      <c r="B679" s="21" t="s">
        <v>6905</v>
      </c>
      <c r="C679" s="21" t="s">
        <v>117</v>
      </c>
      <c r="D679" s="25">
        <v>40.0</v>
      </c>
      <c r="E679" s="25">
        <v>23.0</v>
      </c>
      <c r="F679" s="25">
        <v>0.0</v>
      </c>
      <c r="G679" s="21" t="s">
        <v>6906</v>
      </c>
    </row>
    <row r="680">
      <c r="A680" s="21"/>
      <c r="B680" s="21" t="s">
        <v>6907</v>
      </c>
      <c r="C680" s="21" t="s">
        <v>117</v>
      </c>
      <c r="D680" s="25">
        <v>40.0</v>
      </c>
      <c r="E680" s="25">
        <v>1.0</v>
      </c>
      <c r="F680" s="25">
        <v>3.31</v>
      </c>
      <c r="G680" s="21" t="s">
        <v>254</v>
      </c>
    </row>
    <row r="681">
      <c r="A681" s="21"/>
      <c r="B681" s="21" t="s">
        <v>6908</v>
      </c>
      <c r="C681" s="21" t="s">
        <v>87</v>
      </c>
      <c r="D681" s="25">
        <v>40.0</v>
      </c>
      <c r="E681" s="25">
        <v>43.0</v>
      </c>
      <c r="F681" s="25">
        <v>3.93</v>
      </c>
      <c r="G681" s="21" t="s">
        <v>147</v>
      </c>
    </row>
    <row r="682">
      <c r="A682" s="21"/>
      <c r="B682" s="21" t="s">
        <v>6909</v>
      </c>
      <c r="C682" s="21" t="s">
        <v>90</v>
      </c>
      <c r="D682" s="25">
        <v>40.0</v>
      </c>
      <c r="E682" s="25">
        <v>14.0</v>
      </c>
      <c r="F682" s="25">
        <v>3.7</v>
      </c>
      <c r="G682" s="21" t="s">
        <v>6910</v>
      </c>
    </row>
    <row r="683">
      <c r="A683" s="21"/>
      <c r="B683" s="21" t="s">
        <v>6911</v>
      </c>
      <c r="C683" s="21" t="s">
        <v>87</v>
      </c>
      <c r="D683" s="25">
        <v>40.0</v>
      </c>
      <c r="E683" s="25">
        <v>23.0</v>
      </c>
      <c r="F683" s="25">
        <v>4.31</v>
      </c>
      <c r="G683" s="21" t="s">
        <v>1124</v>
      </c>
    </row>
    <row r="684">
      <c r="A684" s="21"/>
      <c r="B684" s="21" t="s">
        <v>6912</v>
      </c>
      <c r="C684" s="21" t="s">
        <v>87</v>
      </c>
      <c r="D684" s="25">
        <v>40.0</v>
      </c>
      <c r="E684" s="25">
        <v>20.0</v>
      </c>
      <c r="F684" s="25">
        <v>3.71</v>
      </c>
      <c r="G684" s="21" t="s">
        <v>6913</v>
      </c>
    </row>
    <row r="685">
      <c r="A685" s="21"/>
      <c r="B685" s="21" t="s">
        <v>6914</v>
      </c>
      <c r="C685" s="21" t="s">
        <v>117</v>
      </c>
      <c r="D685" s="25">
        <v>40.0</v>
      </c>
      <c r="E685" s="25">
        <v>15.0</v>
      </c>
      <c r="F685" s="25">
        <v>2.6</v>
      </c>
      <c r="G685" s="21" t="s">
        <v>6915</v>
      </c>
    </row>
    <row r="686">
      <c r="A686" s="21"/>
      <c r="B686" s="21" t="s">
        <v>6916</v>
      </c>
      <c r="D686" s="25">
        <v>40.0</v>
      </c>
      <c r="E686" s="27"/>
      <c r="F686" s="25">
        <v>4.74</v>
      </c>
      <c r="G686" s="27"/>
    </row>
    <row r="687">
      <c r="A687" s="21"/>
      <c r="B687" s="21" t="s">
        <v>6917</v>
      </c>
      <c r="C687" s="21" t="s">
        <v>117</v>
      </c>
      <c r="D687" s="25">
        <v>40.0</v>
      </c>
      <c r="E687" s="25">
        <v>38.0</v>
      </c>
      <c r="F687" s="25">
        <v>3.26</v>
      </c>
      <c r="G687" s="21" t="s">
        <v>6918</v>
      </c>
    </row>
    <row r="688">
      <c r="A688" s="21"/>
      <c r="B688" s="21" t="s">
        <v>6919</v>
      </c>
      <c r="C688" s="21" t="s">
        <v>117</v>
      </c>
      <c r="D688" s="25">
        <v>40.0</v>
      </c>
      <c r="E688" s="25">
        <v>13.0</v>
      </c>
      <c r="F688" s="25">
        <v>4.01</v>
      </c>
      <c r="G688" s="21" t="s">
        <v>1351</v>
      </c>
    </row>
    <row r="689">
      <c r="A689" s="21"/>
      <c r="B689" s="21" t="s">
        <v>6920</v>
      </c>
      <c r="D689" s="25">
        <v>40.0</v>
      </c>
      <c r="E689" s="27"/>
      <c r="F689" s="25">
        <v>0.0</v>
      </c>
      <c r="G689" s="27"/>
    </row>
    <row r="690">
      <c r="A690" s="21"/>
      <c r="B690" s="21" t="s">
        <v>6921</v>
      </c>
      <c r="C690" s="21" t="s">
        <v>87</v>
      </c>
      <c r="D690" s="25">
        <v>40.0</v>
      </c>
      <c r="E690" s="25">
        <v>28.0</v>
      </c>
      <c r="F690" s="25">
        <v>5.2</v>
      </c>
      <c r="G690" s="21" t="s">
        <v>6922</v>
      </c>
    </row>
    <row r="691">
      <c r="A691" s="21"/>
      <c r="B691" s="21" t="s">
        <v>6923</v>
      </c>
      <c r="C691" s="21" t="s">
        <v>99</v>
      </c>
      <c r="D691" s="25">
        <v>40.0</v>
      </c>
      <c r="E691" s="25">
        <v>23.0</v>
      </c>
      <c r="F691" s="25">
        <v>3.35</v>
      </c>
      <c r="G691" s="21" t="s">
        <v>1063</v>
      </c>
    </row>
    <row r="692">
      <c r="A692" s="21"/>
      <c r="B692" s="21" t="s">
        <v>6924</v>
      </c>
      <c r="C692" s="21" t="s">
        <v>117</v>
      </c>
      <c r="D692" s="25">
        <v>40.0</v>
      </c>
      <c r="E692" s="25">
        <v>0.0</v>
      </c>
      <c r="F692" s="25">
        <v>1.61</v>
      </c>
      <c r="G692" s="21" t="s">
        <v>6925</v>
      </c>
    </row>
    <row r="693">
      <c r="A693" s="21"/>
      <c r="B693" s="21" t="s">
        <v>6926</v>
      </c>
      <c r="C693" s="21" t="s">
        <v>117</v>
      </c>
      <c r="D693" s="25">
        <v>40.0</v>
      </c>
      <c r="E693" s="25">
        <v>20.0</v>
      </c>
      <c r="F693" s="25">
        <v>2.36</v>
      </c>
      <c r="G693" s="21" t="s">
        <v>6927</v>
      </c>
    </row>
    <row r="694">
      <c r="A694" s="21"/>
      <c r="B694" s="21" t="s">
        <v>6928</v>
      </c>
      <c r="D694" s="25">
        <v>40.0</v>
      </c>
      <c r="E694" s="27"/>
      <c r="F694" s="25">
        <v>4.51</v>
      </c>
      <c r="G694" s="27"/>
    </row>
    <row r="695">
      <c r="A695" s="21"/>
      <c r="B695" s="21" t="s">
        <v>6929</v>
      </c>
      <c r="C695" s="21" t="s">
        <v>87</v>
      </c>
      <c r="D695" s="25">
        <v>40.0</v>
      </c>
      <c r="E695" s="25">
        <v>4.0</v>
      </c>
      <c r="F695" s="25">
        <v>0.0</v>
      </c>
      <c r="G695" s="21" t="s">
        <v>6251</v>
      </c>
    </row>
    <row r="696">
      <c r="A696" s="21"/>
      <c r="B696" s="21" t="s">
        <v>6930</v>
      </c>
      <c r="C696" s="21" t="s">
        <v>117</v>
      </c>
      <c r="D696" s="25">
        <v>40.0</v>
      </c>
      <c r="E696" s="25">
        <v>17.0</v>
      </c>
      <c r="F696" s="25">
        <v>4.52</v>
      </c>
      <c r="G696" s="21" t="s">
        <v>6285</v>
      </c>
    </row>
    <row r="697">
      <c r="A697" s="21"/>
      <c r="B697" s="21" t="s">
        <v>6931</v>
      </c>
      <c r="C697" s="21" t="s">
        <v>99</v>
      </c>
      <c r="D697" s="25">
        <v>40.0</v>
      </c>
      <c r="E697" s="25">
        <v>20.0</v>
      </c>
      <c r="F697" s="25">
        <v>0.34</v>
      </c>
      <c r="G697" s="21" t="s">
        <v>1083</v>
      </c>
    </row>
    <row r="698">
      <c r="A698" s="21"/>
      <c r="B698" s="21" t="s">
        <v>6932</v>
      </c>
      <c r="D698" s="25">
        <v>40.0</v>
      </c>
      <c r="E698" s="27"/>
      <c r="F698" s="25">
        <v>0.66</v>
      </c>
      <c r="G698" s="27"/>
    </row>
    <row r="699">
      <c r="A699" s="21"/>
      <c r="B699" s="21" t="s">
        <v>6933</v>
      </c>
      <c r="C699" s="21" t="s">
        <v>87</v>
      </c>
      <c r="D699" s="25">
        <v>40.0</v>
      </c>
      <c r="E699" s="25">
        <v>27.0</v>
      </c>
      <c r="F699" s="25">
        <v>3.62</v>
      </c>
      <c r="G699" s="21" t="s">
        <v>897</v>
      </c>
    </row>
    <row r="700">
      <c r="A700" s="21"/>
      <c r="B700" s="21" t="s">
        <v>40</v>
      </c>
      <c r="D700" s="25">
        <v>40.0</v>
      </c>
      <c r="E700" s="27"/>
      <c r="F700" s="25">
        <v>2.62</v>
      </c>
      <c r="G700" s="27"/>
    </row>
    <row r="701">
      <c r="A701" s="21"/>
      <c r="B701" s="21" t="s">
        <v>6934</v>
      </c>
      <c r="C701" s="21" t="s">
        <v>1065</v>
      </c>
      <c r="D701" s="25">
        <v>40.0</v>
      </c>
      <c r="E701" s="25">
        <v>3.0</v>
      </c>
      <c r="F701" s="25">
        <v>4.85</v>
      </c>
      <c r="G701" s="21" t="s">
        <v>6526</v>
      </c>
    </row>
    <row r="702">
      <c r="A702" s="21"/>
      <c r="B702" s="21" t="s">
        <v>6935</v>
      </c>
      <c r="D702" s="25">
        <v>40.0</v>
      </c>
      <c r="E702" s="27"/>
      <c r="F702" s="25">
        <v>3.75</v>
      </c>
      <c r="G702" s="27"/>
    </row>
    <row r="703">
      <c r="A703" s="21"/>
      <c r="B703" s="21" t="s">
        <v>6936</v>
      </c>
      <c r="D703" s="25">
        <v>40.0</v>
      </c>
      <c r="E703" s="27"/>
      <c r="F703" s="25">
        <v>4.51</v>
      </c>
      <c r="G703" s="27"/>
    </row>
    <row r="704">
      <c r="A704" s="21"/>
      <c r="B704" s="21" t="s">
        <v>6937</v>
      </c>
      <c r="C704" s="21" t="s">
        <v>90</v>
      </c>
      <c r="D704" s="25">
        <v>40.0</v>
      </c>
      <c r="E704" s="25">
        <v>26.0</v>
      </c>
      <c r="F704" s="25">
        <v>3.39</v>
      </c>
      <c r="G704" s="21" t="s">
        <v>966</v>
      </c>
    </row>
    <row r="705">
      <c r="A705" s="21"/>
      <c r="B705" s="21" t="s">
        <v>6938</v>
      </c>
      <c r="C705" s="21" t="s">
        <v>117</v>
      </c>
      <c r="D705" s="25">
        <v>40.0</v>
      </c>
      <c r="E705" s="25">
        <v>21.0</v>
      </c>
      <c r="F705" s="25">
        <v>0.22</v>
      </c>
      <c r="G705" s="21" t="s">
        <v>6939</v>
      </c>
    </row>
    <row r="706">
      <c r="A706" s="21"/>
      <c r="B706" s="21" t="s">
        <v>6940</v>
      </c>
      <c r="C706" s="21" t="s">
        <v>90</v>
      </c>
      <c r="D706" s="25">
        <v>40.0</v>
      </c>
      <c r="E706" s="25">
        <v>15.0</v>
      </c>
      <c r="F706" s="25">
        <v>7.2</v>
      </c>
      <c r="G706" s="21" t="s">
        <v>1124</v>
      </c>
    </row>
    <row r="707">
      <c r="A707" s="21"/>
      <c r="B707" s="21" t="s">
        <v>6941</v>
      </c>
      <c r="C707" s="21" t="s">
        <v>99</v>
      </c>
      <c r="D707" s="25">
        <v>40.0</v>
      </c>
      <c r="E707" s="25">
        <v>12.0</v>
      </c>
      <c r="F707" s="25">
        <v>0.37</v>
      </c>
      <c r="G707" s="21" t="s">
        <v>6942</v>
      </c>
    </row>
    <row r="708">
      <c r="A708" s="21"/>
      <c r="B708" s="21" t="s">
        <v>6943</v>
      </c>
      <c r="C708" s="21" t="s">
        <v>160</v>
      </c>
      <c r="D708" s="25">
        <v>40.0</v>
      </c>
      <c r="E708" s="25">
        <v>26.0</v>
      </c>
      <c r="F708" s="25">
        <v>0.0</v>
      </c>
      <c r="G708" s="21" t="s">
        <v>6944</v>
      </c>
    </row>
    <row r="709">
      <c r="A709" s="21"/>
      <c r="B709" s="21" t="s">
        <v>6945</v>
      </c>
      <c r="C709" s="21" t="s">
        <v>90</v>
      </c>
      <c r="D709" s="25">
        <v>40.0</v>
      </c>
      <c r="E709" s="25">
        <v>30.0</v>
      </c>
      <c r="F709" s="25">
        <v>5.83</v>
      </c>
      <c r="G709" s="21" t="s">
        <v>6946</v>
      </c>
    </row>
    <row r="710">
      <c r="A710" s="21"/>
      <c r="B710" s="21" t="s">
        <v>6947</v>
      </c>
      <c r="C710" s="21" t="s">
        <v>87</v>
      </c>
      <c r="D710" s="25">
        <v>40.0</v>
      </c>
      <c r="E710" s="25">
        <v>11.0</v>
      </c>
      <c r="F710" s="25">
        <v>0.0</v>
      </c>
      <c r="G710" s="21" t="s">
        <v>188</v>
      </c>
    </row>
    <row r="711">
      <c r="A711" s="21"/>
      <c r="B711" s="21" t="s">
        <v>6948</v>
      </c>
      <c r="C711" s="21" t="s">
        <v>87</v>
      </c>
      <c r="D711" s="25">
        <v>40.0</v>
      </c>
      <c r="E711" s="25">
        <v>8.0</v>
      </c>
      <c r="F711" s="25">
        <v>7.21</v>
      </c>
      <c r="G711" s="21" t="s">
        <v>976</v>
      </c>
    </row>
    <row r="712">
      <c r="A712" s="21"/>
      <c r="B712" s="21" t="s">
        <v>6949</v>
      </c>
      <c r="C712" s="21" t="s">
        <v>87</v>
      </c>
      <c r="D712" s="25">
        <v>40.0</v>
      </c>
      <c r="E712" s="25">
        <v>33.0</v>
      </c>
      <c r="F712" s="25">
        <v>0.0</v>
      </c>
      <c r="G712" s="21" t="s">
        <v>1027</v>
      </c>
    </row>
    <row r="713">
      <c r="A713" s="21"/>
      <c r="B713" s="21" t="s">
        <v>6950</v>
      </c>
      <c r="C713" s="21" t="s">
        <v>87</v>
      </c>
      <c r="D713" s="25">
        <v>40.0</v>
      </c>
      <c r="E713" s="25">
        <v>9.0</v>
      </c>
      <c r="F713" s="25">
        <v>5.89</v>
      </c>
      <c r="G713" s="21" t="s">
        <v>1195</v>
      </c>
    </row>
    <row r="714">
      <c r="A714" s="21"/>
      <c r="B714" s="21" t="s">
        <v>6951</v>
      </c>
      <c r="C714" s="21" t="s">
        <v>87</v>
      </c>
      <c r="D714" s="25">
        <v>40.0</v>
      </c>
      <c r="E714" s="25">
        <v>19.0</v>
      </c>
      <c r="F714" s="25">
        <v>6.88</v>
      </c>
      <c r="G714" s="21" t="s">
        <v>1124</v>
      </c>
    </row>
    <row r="715">
      <c r="A715" s="21"/>
      <c r="B715" s="21" t="s">
        <v>6952</v>
      </c>
      <c r="C715" s="21" t="s">
        <v>959</v>
      </c>
      <c r="D715" s="25">
        <v>40.0</v>
      </c>
      <c r="E715" s="25">
        <v>24.0</v>
      </c>
      <c r="F715" s="25">
        <v>6.88</v>
      </c>
      <c r="G715" s="21" t="s">
        <v>147</v>
      </c>
    </row>
    <row r="716">
      <c r="A716" s="21"/>
      <c r="B716" s="21" t="s">
        <v>6953</v>
      </c>
      <c r="C716" s="21" t="s">
        <v>87</v>
      </c>
      <c r="D716" s="25">
        <v>40.0</v>
      </c>
      <c r="E716" s="25">
        <v>3.0</v>
      </c>
      <c r="F716" s="25">
        <v>4.56</v>
      </c>
      <c r="G716" s="21" t="s">
        <v>178</v>
      </c>
    </row>
    <row r="717">
      <c r="A717" s="21"/>
      <c r="B717" s="21" t="s">
        <v>6954</v>
      </c>
      <c r="C717" s="21" t="s">
        <v>87</v>
      </c>
      <c r="D717" s="25">
        <v>40.0</v>
      </c>
      <c r="E717" s="25">
        <v>4.0</v>
      </c>
      <c r="F717" s="25">
        <v>6.79</v>
      </c>
      <c r="G717" s="21" t="s">
        <v>6835</v>
      </c>
    </row>
    <row r="718">
      <c r="A718" s="21"/>
      <c r="B718" s="21" t="s">
        <v>6955</v>
      </c>
      <c r="C718" s="21" t="s">
        <v>117</v>
      </c>
      <c r="D718" s="25">
        <v>40.0</v>
      </c>
      <c r="E718" s="25">
        <v>17.0</v>
      </c>
      <c r="F718" s="25">
        <v>3.82</v>
      </c>
      <c r="G718" s="21" t="s">
        <v>6346</v>
      </c>
    </row>
    <row r="719">
      <c r="A719" s="21"/>
      <c r="B719" s="21" t="s">
        <v>6956</v>
      </c>
      <c r="C719" s="21" t="s">
        <v>87</v>
      </c>
      <c r="D719" s="25">
        <v>40.0</v>
      </c>
      <c r="E719" s="25">
        <v>30.0</v>
      </c>
      <c r="F719" s="25">
        <v>3.65</v>
      </c>
      <c r="G719" s="21" t="s">
        <v>1148</v>
      </c>
    </row>
    <row r="720">
      <c r="A720" s="21"/>
      <c r="B720" s="21" t="s">
        <v>6957</v>
      </c>
      <c r="C720" s="21" t="s">
        <v>90</v>
      </c>
      <c r="D720" s="25">
        <v>40.0</v>
      </c>
      <c r="E720" s="25">
        <v>5.0</v>
      </c>
      <c r="F720" s="25">
        <v>0.0</v>
      </c>
      <c r="G720" s="21" t="s">
        <v>1265</v>
      </c>
    </row>
    <row r="721">
      <c r="A721" s="21"/>
      <c r="B721" s="21" t="s">
        <v>1375</v>
      </c>
      <c r="C721" s="21" t="s">
        <v>87</v>
      </c>
      <c r="D721" s="25">
        <v>40.0</v>
      </c>
      <c r="E721" s="25">
        <v>0.0</v>
      </c>
      <c r="F721" s="25">
        <v>0.0</v>
      </c>
      <c r="G721" s="21" t="s">
        <v>147</v>
      </c>
    </row>
    <row r="722">
      <c r="A722" s="21"/>
      <c r="B722" s="21" t="s">
        <v>6958</v>
      </c>
      <c r="C722" s="21" t="s">
        <v>87</v>
      </c>
      <c r="D722" s="25">
        <v>40.0</v>
      </c>
      <c r="E722" s="25">
        <v>0.0</v>
      </c>
      <c r="F722" s="25">
        <v>5.0</v>
      </c>
      <c r="G722" s="21" t="s">
        <v>178</v>
      </c>
    </row>
    <row r="723">
      <c r="A723" s="21"/>
      <c r="B723" s="21" t="s">
        <v>6959</v>
      </c>
      <c r="D723" s="25">
        <v>40.0</v>
      </c>
      <c r="E723" s="27"/>
      <c r="F723" s="25">
        <v>1.24</v>
      </c>
      <c r="G723" s="27"/>
    </row>
    <row r="724">
      <c r="A724" s="21"/>
      <c r="B724" s="21" t="s">
        <v>6960</v>
      </c>
      <c r="C724" s="21" t="s">
        <v>117</v>
      </c>
      <c r="D724" s="25">
        <v>40.0</v>
      </c>
      <c r="E724" s="25">
        <v>35.0</v>
      </c>
      <c r="F724" s="25">
        <v>0.0</v>
      </c>
      <c r="G724" s="21" t="s">
        <v>6961</v>
      </c>
    </row>
    <row r="725">
      <c r="A725" s="21"/>
      <c r="B725" s="21" t="s">
        <v>6962</v>
      </c>
      <c r="C725" s="21" t="s">
        <v>117</v>
      </c>
      <c r="D725" s="25">
        <v>40.0</v>
      </c>
      <c r="E725" s="25">
        <v>19.0</v>
      </c>
      <c r="F725" s="25">
        <v>0.0</v>
      </c>
      <c r="G725" s="21" t="s">
        <v>6963</v>
      </c>
    </row>
    <row r="726">
      <c r="A726" s="21"/>
      <c r="B726" s="21" t="s">
        <v>6964</v>
      </c>
      <c r="D726" s="25">
        <v>40.0</v>
      </c>
      <c r="E726" s="27"/>
      <c r="F726" s="25">
        <v>5.67</v>
      </c>
      <c r="G726" s="27"/>
    </row>
    <row r="727">
      <c r="A727" s="21"/>
      <c r="B727" s="21" t="s">
        <v>6965</v>
      </c>
      <c r="C727" s="21" t="s">
        <v>117</v>
      </c>
      <c r="D727" s="25">
        <v>40.0</v>
      </c>
      <c r="E727" s="25">
        <v>4.0</v>
      </c>
      <c r="F727" s="25">
        <v>4.29</v>
      </c>
      <c r="G727" s="21" t="s">
        <v>6430</v>
      </c>
    </row>
    <row r="728">
      <c r="A728" s="21"/>
      <c r="B728" s="21" t="s">
        <v>6966</v>
      </c>
      <c r="C728" s="21" t="s">
        <v>87</v>
      </c>
      <c r="D728" s="25">
        <v>30.0</v>
      </c>
      <c r="E728" s="25">
        <v>23.0</v>
      </c>
      <c r="F728" s="25">
        <v>0.0</v>
      </c>
      <c r="G728" s="21" t="s">
        <v>6967</v>
      </c>
    </row>
    <row r="729">
      <c r="A729" s="21"/>
      <c r="B729" s="21" t="s">
        <v>6968</v>
      </c>
      <c r="C729" s="21" t="s">
        <v>959</v>
      </c>
      <c r="D729" s="25">
        <v>30.0</v>
      </c>
      <c r="E729" s="25">
        <v>32.0</v>
      </c>
      <c r="F729" s="25">
        <v>4.38</v>
      </c>
      <c r="G729" s="21" t="s">
        <v>147</v>
      </c>
    </row>
    <row r="730">
      <c r="A730" s="21"/>
      <c r="B730" s="21" t="s">
        <v>6969</v>
      </c>
      <c r="D730" s="25">
        <v>30.0</v>
      </c>
      <c r="E730" s="27"/>
      <c r="F730" s="25">
        <v>4.56</v>
      </c>
      <c r="G730" s="27"/>
    </row>
    <row r="731">
      <c r="A731" s="21"/>
      <c r="B731" s="21" t="s">
        <v>6970</v>
      </c>
      <c r="D731" s="25">
        <v>30.0</v>
      </c>
      <c r="E731" s="27"/>
      <c r="F731" s="25">
        <v>2.65</v>
      </c>
      <c r="G731" s="27"/>
    </row>
    <row r="732">
      <c r="A732" s="21"/>
      <c r="B732" s="21" t="s">
        <v>6971</v>
      </c>
      <c r="D732" s="25">
        <v>30.0</v>
      </c>
      <c r="E732" s="27"/>
      <c r="F732" s="25">
        <v>0.0</v>
      </c>
      <c r="G732" s="27"/>
    </row>
    <row r="733">
      <c r="A733" s="21"/>
      <c r="B733" s="21" t="s">
        <v>6972</v>
      </c>
      <c r="D733" s="25">
        <v>30.0</v>
      </c>
      <c r="E733" s="27"/>
      <c r="F733" s="25">
        <v>0.0</v>
      </c>
      <c r="G733" s="27"/>
    </row>
    <row r="734">
      <c r="A734" s="21"/>
      <c r="B734" s="21" t="s">
        <v>6973</v>
      </c>
      <c r="D734" s="25">
        <v>30.0</v>
      </c>
      <c r="E734" s="27"/>
      <c r="F734" s="25">
        <v>3.07</v>
      </c>
      <c r="G734" s="27"/>
    </row>
    <row r="735">
      <c r="A735" s="21"/>
      <c r="B735" s="21" t="s">
        <v>6974</v>
      </c>
      <c r="D735" s="25">
        <v>30.0</v>
      </c>
      <c r="E735" s="27"/>
      <c r="F735" s="25">
        <v>0.0</v>
      </c>
      <c r="G735" s="27"/>
    </row>
    <row r="736">
      <c r="A736" s="21"/>
      <c r="B736" s="21" t="s">
        <v>6975</v>
      </c>
      <c r="D736" s="25">
        <v>30.0</v>
      </c>
      <c r="E736" s="27"/>
      <c r="F736" s="25">
        <v>0.0</v>
      </c>
      <c r="G736" s="27"/>
    </row>
    <row r="737">
      <c r="A737" s="21"/>
      <c r="B737" s="21" t="s">
        <v>6976</v>
      </c>
      <c r="D737" s="25">
        <v>30.0</v>
      </c>
      <c r="E737" s="27"/>
      <c r="F737" s="25">
        <v>4.22</v>
      </c>
      <c r="G737" s="27"/>
    </row>
    <row r="738">
      <c r="A738" s="21"/>
      <c r="B738" s="21" t="s">
        <v>6977</v>
      </c>
      <c r="C738" s="21" t="s">
        <v>117</v>
      </c>
      <c r="D738" s="25">
        <v>30.0</v>
      </c>
      <c r="E738" s="25">
        <v>18.0</v>
      </c>
      <c r="F738" s="25">
        <v>2.62</v>
      </c>
      <c r="G738" s="21" t="s">
        <v>170</v>
      </c>
    </row>
    <row r="739">
      <c r="A739" s="21"/>
      <c r="B739" s="21" t="s">
        <v>6978</v>
      </c>
      <c r="C739" s="21" t="s">
        <v>87</v>
      </c>
      <c r="D739" s="25">
        <v>30.0</v>
      </c>
      <c r="E739" s="25">
        <v>9.0</v>
      </c>
      <c r="F739" s="25">
        <v>10.4</v>
      </c>
      <c r="G739" s="21" t="s">
        <v>259</v>
      </c>
    </row>
    <row r="740">
      <c r="A740" s="21"/>
      <c r="B740" s="21" t="s">
        <v>6979</v>
      </c>
      <c r="C740" s="21" t="s">
        <v>87</v>
      </c>
      <c r="D740" s="25">
        <v>30.0</v>
      </c>
      <c r="E740" s="25">
        <v>8.0</v>
      </c>
      <c r="F740" s="25">
        <v>10.4</v>
      </c>
      <c r="G740" s="21" t="s">
        <v>1027</v>
      </c>
    </row>
    <row r="741">
      <c r="A741" s="21"/>
      <c r="B741" s="21" t="s">
        <v>6980</v>
      </c>
      <c r="D741" s="25">
        <v>30.0</v>
      </c>
      <c r="E741" s="27"/>
      <c r="F741" s="25">
        <v>3.7</v>
      </c>
      <c r="G741" s="27"/>
    </row>
    <row r="742">
      <c r="A742" s="21"/>
      <c r="B742" s="21" t="s">
        <v>6981</v>
      </c>
      <c r="C742" s="21" t="s">
        <v>87</v>
      </c>
      <c r="D742" s="25">
        <v>30.0</v>
      </c>
      <c r="E742" s="25">
        <v>2.0</v>
      </c>
      <c r="F742" s="25">
        <v>4.97</v>
      </c>
      <c r="G742" s="21" t="s">
        <v>948</v>
      </c>
    </row>
    <row r="743">
      <c r="A743" s="21"/>
      <c r="B743" s="21" t="s">
        <v>6982</v>
      </c>
      <c r="C743" s="21" t="s">
        <v>87</v>
      </c>
      <c r="D743" s="25">
        <v>30.0</v>
      </c>
      <c r="E743" s="25">
        <v>15.0</v>
      </c>
      <c r="F743" s="25">
        <v>5.86</v>
      </c>
      <c r="G743" s="21" t="s">
        <v>97</v>
      </c>
    </row>
    <row r="744">
      <c r="A744" s="21"/>
      <c r="B744" s="21" t="s">
        <v>6983</v>
      </c>
      <c r="D744" s="25">
        <v>30.0</v>
      </c>
      <c r="E744" s="27"/>
      <c r="F744" s="25">
        <v>0.0</v>
      </c>
      <c r="G744" s="27"/>
    </row>
    <row r="745">
      <c r="A745" s="21"/>
      <c r="B745" s="21" t="s">
        <v>6984</v>
      </c>
      <c r="C745" s="21" t="s">
        <v>87</v>
      </c>
      <c r="D745" s="25">
        <v>30.0</v>
      </c>
      <c r="E745" s="25">
        <v>32.0</v>
      </c>
      <c r="F745" s="25">
        <v>9.85</v>
      </c>
      <c r="G745" s="21" t="s">
        <v>1027</v>
      </c>
    </row>
    <row r="746">
      <c r="A746" s="21"/>
      <c r="B746" s="21" t="s">
        <v>6985</v>
      </c>
      <c r="D746" s="25">
        <v>30.0</v>
      </c>
      <c r="E746" s="27"/>
      <c r="F746" s="25">
        <v>0.93</v>
      </c>
      <c r="G746" s="27"/>
    </row>
    <row r="747">
      <c r="A747" s="21"/>
      <c r="B747" s="21" t="s">
        <v>6986</v>
      </c>
      <c r="D747" s="25">
        <v>30.0</v>
      </c>
      <c r="E747" s="27"/>
      <c r="F747" s="25">
        <v>0.74</v>
      </c>
      <c r="G747" s="27"/>
    </row>
    <row r="748">
      <c r="A748" s="21"/>
      <c r="B748" s="21" t="s">
        <v>6987</v>
      </c>
      <c r="C748" s="21" t="s">
        <v>87</v>
      </c>
      <c r="D748" s="25">
        <v>30.0</v>
      </c>
      <c r="E748" s="25">
        <v>18.0</v>
      </c>
      <c r="F748" s="25">
        <v>2.14</v>
      </c>
      <c r="G748" s="21" t="s">
        <v>155</v>
      </c>
    </row>
    <row r="749">
      <c r="A749" s="21"/>
      <c r="B749" s="21" t="s">
        <v>6988</v>
      </c>
      <c r="C749" s="21" t="s">
        <v>87</v>
      </c>
      <c r="D749" s="25">
        <v>30.0</v>
      </c>
      <c r="E749" s="25">
        <v>5.0</v>
      </c>
      <c r="F749" s="25">
        <v>6.4</v>
      </c>
      <c r="G749" s="21" t="s">
        <v>1212</v>
      </c>
    </row>
    <row r="750">
      <c r="A750" s="21"/>
      <c r="B750" s="21" t="s">
        <v>6989</v>
      </c>
      <c r="D750" s="25">
        <v>30.0</v>
      </c>
      <c r="E750" s="27"/>
      <c r="F750" s="25">
        <v>0.0</v>
      </c>
      <c r="G750" s="27"/>
    </row>
    <row r="751">
      <c r="A751" s="21"/>
      <c r="B751" s="21" t="s">
        <v>6990</v>
      </c>
      <c r="D751" s="25">
        <v>30.0</v>
      </c>
      <c r="E751" s="27"/>
      <c r="F751" s="25">
        <v>5.92</v>
      </c>
      <c r="G751" s="27"/>
    </row>
    <row r="752">
      <c r="A752" s="21"/>
      <c r="B752" s="21" t="s">
        <v>6991</v>
      </c>
      <c r="C752" s="21" t="s">
        <v>87</v>
      </c>
      <c r="D752" s="25">
        <v>30.0</v>
      </c>
      <c r="E752" s="25">
        <v>24.0</v>
      </c>
      <c r="F752" s="25">
        <v>5.86</v>
      </c>
      <c r="G752" s="21" t="s">
        <v>6992</v>
      </c>
    </row>
    <row r="753">
      <c r="A753" s="21"/>
      <c r="B753" s="21" t="s">
        <v>6993</v>
      </c>
      <c r="C753" s="21" t="s">
        <v>87</v>
      </c>
      <c r="D753" s="25">
        <v>30.0</v>
      </c>
      <c r="E753" s="25">
        <v>0.0</v>
      </c>
      <c r="F753" s="25">
        <v>4.96</v>
      </c>
      <c r="G753" s="21" t="s">
        <v>1021</v>
      </c>
    </row>
    <row r="754">
      <c r="A754" s="21"/>
      <c r="B754" s="21" t="s">
        <v>6994</v>
      </c>
      <c r="C754" s="21" t="s">
        <v>87</v>
      </c>
      <c r="D754" s="25">
        <v>30.0</v>
      </c>
      <c r="E754" s="25">
        <v>0.0</v>
      </c>
      <c r="F754" s="25">
        <v>8.9</v>
      </c>
      <c r="G754" s="21" t="s">
        <v>1027</v>
      </c>
    </row>
    <row r="755">
      <c r="A755" s="21"/>
      <c r="B755" s="21" t="s">
        <v>6995</v>
      </c>
      <c r="C755" s="21" t="s">
        <v>87</v>
      </c>
      <c r="D755" s="25">
        <v>30.0</v>
      </c>
      <c r="E755" s="25">
        <v>1.0</v>
      </c>
      <c r="F755" s="25">
        <v>7.93</v>
      </c>
      <c r="G755" s="21" t="s">
        <v>6996</v>
      </c>
    </row>
    <row r="756">
      <c r="A756" s="21"/>
      <c r="B756" s="21" t="s">
        <v>6997</v>
      </c>
      <c r="C756" s="21" t="s">
        <v>87</v>
      </c>
      <c r="D756" s="25">
        <v>30.0</v>
      </c>
      <c r="E756" s="25">
        <v>6.0</v>
      </c>
      <c r="F756" s="25">
        <v>7.93</v>
      </c>
      <c r="G756" s="21" t="s">
        <v>6998</v>
      </c>
    </row>
    <row r="757">
      <c r="A757" s="21"/>
      <c r="B757" s="21" t="s">
        <v>6999</v>
      </c>
      <c r="D757" s="25">
        <v>30.0</v>
      </c>
      <c r="E757" s="27"/>
      <c r="F757" s="25">
        <v>0.0</v>
      </c>
      <c r="G757" s="27"/>
    </row>
    <row r="758">
      <c r="A758" s="21"/>
      <c r="B758" s="21" t="s">
        <v>7000</v>
      </c>
      <c r="C758" s="21" t="s">
        <v>117</v>
      </c>
      <c r="D758" s="25">
        <v>30.0</v>
      </c>
      <c r="E758" s="25">
        <v>17.0</v>
      </c>
      <c r="F758" s="25">
        <v>6.74</v>
      </c>
      <c r="G758" s="21" t="s">
        <v>7001</v>
      </c>
    </row>
    <row r="759">
      <c r="A759" s="21"/>
      <c r="B759" s="21" t="s">
        <v>7002</v>
      </c>
      <c r="C759" s="21" t="s">
        <v>117</v>
      </c>
      <c r="D759" s="25">
        <v>30.0</v>
      </c>
      <c r="E759" s="25">
        <v>11.0</v>
      </c>
      <c r="F759" s="25">
        <v>8.12</v>
      </c>
      <c r="G759" s="21" t="s">
        <v>7003</v>
      </c>
    </row>
    <row r="760">
      <c r="A760" s="21"/>
      <c r="B760" s="21" t="s">
        <v>7004</v>
      </c>
      <c r="C760" s="21" t="s">
        <v>87</v>
      </c>
      <c r="D760" s="25">
        <v>30.0</v>
      </c>
      <c r="E760" s="25">
        <v>4.0</v>
      </c>
      <c r="F760" s="25">
        <v>4.51</v>
      </c>
      <c r="G760" s="21" t="s">
        <v>97</v>
      </c>
    </row>
    <row r="761">
      <c r="A761" s="21"/>
      <c r="B761" s="21" t="s">
        <v>7005</v>
      </c>
      <c r="C761" s="21" t="s">
        <v>87</v>
      </c>
      <c r="D761" s="25">
        <v>30.0</v>
      </c>
      <c r="E761" s="25">
        <v>9.0</v>
      </c>
      <c r="F761" s="25">
        <v>4.46</v>
      </c>
      <c r="G761" s="21" t="s">
        <v>212</v>
      </c>
    </row>
    <row r="762">
      <c r="A762" s="21"/>
      <c r="B762" s="21" t="s">
        <v>7006</v>
      </c>
      <c r="C762" s="21" t="s">
        <v>87</v>
      </c>
      <c r="D762" s="25">
        <v>30.0</v>
      </c>
      <c r="E762" s="25">
        <v>20.0</v>
      </c>
      <c r="F762" s="25">
        <v>4.46</v>
      </c>
      <c r="G762" s="21" t="s">
        <v>147</v>
      </c>
    </row>
    <row r="763">
      <c r="A763" s="21"/>
      <c r="B763" s="21" t="s">
        <v>7007</v>
      </c>
      <c r="C763" s="21" t="s">
        <v>87</v>
      </c>
      <c r="D763" s="25">
        <v>30.0</v>
      </c>
      <c r="E763" s="25">
        <v>15.0</v>
      </c>
      <c r="F763" s="25">
        <v>5.66</v>
      </c>
      <c r="G763" s="21" t="s">
        <v>147</v>
      </c>
    </row>
    <row r="764">
      <c r="A764" s="21"/>
      <c r="B764" s="21" t="s">
        <v>7008</v>
      </c>
      <c r="C764" s="21" t="s">
        <v>87</v>
      </c>
      <c r="D764" s="25">
        <v>30.0</v>
      </c>
      <c r="E764" s="25">
        <v>10.0</v>
      </c>
      <c r="F764" s="25">
        <v>5.1</v>
      </c>
      <c r="G764" s="21" t="s">
        <v>1425</v>
      </c>
    </row>
    <row r="765">
      <c r="A765" s="21"/>
      <c r="B765" s="21" t="s">
        <v>7009</v>
      </c>
      <c r="D765" s="25">
        <v>30.0</v>
      </c>
      <c r="E765" s="27"/>
      <c r="F765" s="25">
        <v>0.0</v>
      </c>
      <c r="G765" s="27"/>
    </row>
    <row r="766">
      <c r="A766" s="21"/>
      <c r="B766" s="21" t="s">
        <v>7010</v>
      </c>
      <c r="C766" s="21" t="s">
        <v>87</v>
      </c>
      <c r="D766" s="25">
        <v>30.0</v>
      </c>
      <c r="E766" s="25">
        <v>4.0</v>
      </c>
      <c r="F766" s="25">
        <v>10.73</v>
      </c>
      <c r="G766" s="21" t="s">
        <v>6840</v>
      </c>
    </row>
    <row r="767">
      <c r="A767" s="21"/>
      <c r="B767" s="21" t="s">
        <v>7011</v>
      </c>
      <c r="D767" s="25">
        <v>30.0</v>
      </c>
      <c r="E767" s="27"/>
      <c r="F767" s="25">
        <v>0.0</v>
      </c>
      <c r="G767" s="27"/>
    </row>
    <row r="768">
      <c r="A768" s="21"/>
      <c r="B768" s="21" t="s">
        <v>7012</v>
      </c>
      <c r="D768" s="25">
        <v>30.0</v>
      </c>
      <c r="E768" s="27"/>
      <c r="F768" s="25">
        <v>3.82</v>
      </c>
      <c r="G768" s="27"/>
    </row>
    <row r="769">
      <c r="A769" s="21"/>
      <c r="B769" s="21" t="s">
        <v>7013</v>
      </c>
      <c r="D769" s="25">
        <v>30.0</v>
      </c>
      <c r="E769" s="27"/>
      <c r="F769" s="25">
        <v>0.0</v>
      </c>
      <c r="G769" s="27"/>
    </row>
    <row r="770">
      <c r="A770" s="21"/>
      <c r="B770" s="21" t="s">
        <v>7014</v>
      </c>
      <c r="C770" s="21" t="s">
        <v>87</v>
      </c>
      <c r="D770" s="25">
        <v>30.0</v>
      </c>
      <c r="E770" s="25">
        <v>25.0</v>
      </c>
      <c r="F770" s="25">
        <v>0.87</v>
      </c>
      <c r="G770" s="21" t="s">
        <v>439</v>
      </c>
    </row>
    <row r="771">
      <c r="A771" s="21"/>
      <c r="B771" s="21" t="s">
        <v>7015</v>
      </c>
      <c r="C771" s="21" t="s">
        <v>87</v>
      </c>
      <c r="D771" s="25">
        <v>30.0</v>
      </c>
      <c r="E771" s="25">
        <v>8.0</v>
      </c>
      <c r="F771" s="25">
        <v>0.77</v>
      </c>
      <c r="G771" s="21" t="s">
        <v>6243</v>
      </c>
    </row>
    <row r="772">
      <c r="A772" s="21"/>
      <c r="B772" s="21" t="s">
        <v>7016</v>
      </c>
      <c r="D772" s="25">
        <v>30.0</v>
      </c>
      <c r="E772" s="27"/>
      <c r="F772" s="25">
        <v>0.0</v>
      </c>
      <c r="G772" s="27"/>
    </row>
    <row r="773">
      <c r="A773" s="21"/>
      <c r="B773" s="21" t="s">
        <v>7017</v>
      </c>
      <c r="D773" s="25">
        <v>30.0</v>
      </c>
      <c r="E773" s="27"/>
      <c r="F773" s="25">
        <v>0.0</v>
      </c>
      <c r="G773" s="27"/>
    </row>
    <row r="774">
      <c r="A774" s="21"/>
      <c r="B774" s="21" t="s">
        <v>7018</v>
      </c>
      <c r="D774" s="25">
        <v>30.0</v>
      </c>
      <c r="E774" s="27"/>
      <c r="F774" s="25">
        <v>0.0</v>
      </c>
      <c r="G774" s="27"/>
    </row>
    <row r="775">
      <c r="A775" s="21"/>
      <c r="B775" s="21" t="s">
        <v>7019</v>
      </c>
      <c r="D775" s="25">
        <v>30.0</v>
      </c>
      <c r="E775" s="27"/>
      <c r="F775" s="25">
        <v>0.0</v>
      </c>
      <c r="G775" s="27"/>
    </row>
    <row r="776">
      <c r="A776" s="21"/>
      <c r="B776" s="21" t="s">
        <v>7020</v>
      </c>
      <c r="D776" s="25">
        <v>30.0</v>
      </c>
      <c r="E776" s="27"/>
      <c r="F776" s="25">
        <v>2.56</v>
      </c>
      <c r="G776" s="27"/>
    </row>
    <row r="777">
      <c r="A777" s="21"/>
      <c r="B777" s="21" t="s">
        <v>7021</v>
      </c>
      <c r="D777" s="25">
        <v>30.0</v>
      </c>
      <c r="E777" s="27"/>
      <c r="F777" s="25">
        <v>0.0</v>
      </c>
      <c r="G777" s="27"/>
    </row>
    <row r="778">
      <c r="A778" s="21"/>
      <c r="B778" s="21" t="s">
        <v>7022</v>
      </c>
      <c r="D778" s="25">
        <v>30.0</v>
      </c>
      <c r="E778" s="27"/>
      <c r="F778" s="25">
        <v>5.92</v>
      </c>
      <c r="G778" s="27"/>
    </row>
    <row r="779">
      <c r="A779" s="21"/>
      <c r="B779" s="21" t="s">
        <v>7023</v>
      </c>
      <c r="C779" s="21" t="s">
        <v>117</v>
      </c>
      <c r="D779" s="25">
        <v>30.0</v>
      </c>
      <c r="E779" s="25">
        <v>10.0</v>
      </c>
      <c r="F779" s="25">
        <v>1.01</v>
      </c>
      <c r="G779" s="21" t="s">
        <v>7024</v>
      </c>
    </row>
    <row r="780">
      <c r="A780" s="21"/>
      <c r="B780" s="21" t="s">
        <v>7025</v>
      </c>
      <c r="C780" s="21" t="s">
        <v>117</v>
      </c>
      <c r="D780" s="25">
        <v>30.0</v>
      </c>
      <c r="E780" s="25">
        <v>13.0</v>
      </c>
      <c r="F780" s="25">
        <v>1.01</v>
      </c>
      <c r="G780" s="21" t="s">
        <v>6285</v>
      </c>
    </row>
    <row r="781">
      <c r="A781" s="21"/>
      <c r="B781" s="21" t="s">
        <v>7026</v>
      </c>
      <c r="C781" s="21" t="s">
        <v>117</v>
      </c>
      <c r="D781" s="25">
        <v>30.0</v>
      </c>
      <c r="E781" s="25">
        <v>8.0</v>
      </c>
      <c r="F781" s="25">
        <v>1.01</v>
      </c>
      <c r="G781" s="21" t="s">
        <v>495</v>
      </c>
    </row>
    <row r="782">
      <c r="A782" s="21"/>
      <c r="B782" s="21" t="s">
        <v>7027</v>
      </c>
      <c r="C782" s="21" t="s">
        <v>117</v>
      </c>
      <c r="D782" s="25">
        <v>30.0</v>
      </c>
      <c r="E782" s="25">
        <v>16.0</v>
      </c>
      <c r="F782" s="25">
        <v>1.01</v>
      </c>
      <c r="G782" s="21" t="s">
        <v>1111</v>
      </c>
    </row>
    <row r="783">
      <c r="A783" s="21"/>
      <c r="B783" s="21" t="s">
        <v>7028</v>
      </c>
      <c r="D783" s="25">
        <v>30.0</v>
      </c>
      <c r="E783" s="27"/>
      <c r="F783" s="25">
        <v>0.0</v>
      </c>
      <c r="G783" s="27"/>
    </row>
    <row r="784">
      <c r="A784" s="21"/>
      <c r="B784" s="21" t="s">
        <v>7029</v>
      </c>
      <c r="C784" s="21" t="s">
        <v>87</v>
      </c>
      <c r="D784" s="25">
        <v>30.0</v>
      </c>
      <c r="E784" s="25">
        <v>32.0</v>
      </c>
      <c r="F784" s="25">
        <v>7.28</v>
      </c>
      <c r="G784" s="21" t="s">
        <v>212</v>
      </c>
    </row>
    <row r="785">
      <c r="A785" s="21"/>
      <c r="B785" s="21" t="s">
        <v>7030</v>
      </c>
      <c r="D785" s="25">
        <v>30.0</v>
      </c>
      <c r="E785" s="27"/>
      <c r="F785" s="25">
        <v>3.7</v>
      </c>
      <c r="G785" s="27"/>
    </row>
    <row r="786">
      <c r="A786" s="21"/>
      <c r="B786" s="21" t="s">
        <v>7031</v>
      </c>
      <c r="D786" s="25">
        <v>30.0</v>
      </c>
      <c r="E786" s="27"/>
      <c r="F786" s="25">
        <v>2.93</v>
      </c>
      <c r="G786" s="27"/>
    </row>
    <row r="787">
      <c r="A787" s="21"/>
      <c r="B787" s="21" t="s">
        <v>7032</v>
      </c>
      <c r="D787" s="25">
        <v>30.0</v>
      </c>
      <c r="E787" s="27"/>
      <c r="F787" s="25">
        <v>3.7</v>
      </c>
      <c r="G787" s="27"/>
    </row>
    <row r="788">
      <c r="A788" s="21"/>
      <c r="B788" s="21" t="s">
        <v>7033</v>
      </c>
      <c r="D788" s="25">
        <v>30.0</v>
      </c>
      <c r="E788" s="27"/>
      <c r="F788" s="25">
        <v>3.15</v>
      </c>
      <c r="G788" s="27"/>
    </row>
    <row r="789">
      <c r="A789" s="21"/>
      <c r="B789" s="21" t="s">
        <v>7034</v>
      </c>
      <c r="D789" s="25">
        <v>30.0</v>
      </c>
      <c r="E789" s="27"/>
      <c r="F789" s="25">
        <v>4.19</v>
      </c>
      <c r="G789" s="27"/>
    </row>
    <row r="790">
      <c r="A790" s="21"/>
      <c r="B790" s="21" t="s">
        <v>7035</v>
      </c>
      <c r="D790" s="25">
        <v>30.0</v>
      </c>
      <c r="E790" s="27"/>
      <c r="F790" s="25">
        <v>3.64</v>
      </c>
      <c r="G790" s="27"/>
    </row>
    <row r="791">
      <c r="A791" s="21"/>
      <c r="B791" s="21" t="s">
        <v>7036</v>
      </c>
      <c r="C791" s="21" t="s">
        <v>87</v>
      </c>
      <c r="D791" s="25">
        <v>30.0</v>
      </c>
      <c r="E791" s="25">
        <v>5.0</v>
      </c>
      <c r="F791" s="25">
        <v>3.07</v>
      </c>
      <c r="G791" s="21" t="s">
        <v>147</v>
      </c>
    </row>
    <row r="792">
      <c r="A792" s="21"/>
      <c r="B792" s="21" t="s">
        <v>7037</v>
      </c>
      <c r="D792" s="25">
        <v>30.0</v>
      </c>
      <c r="E792" s="27"/>
      <c r="F792" s="25">
        <v>0.0</v>
      </c>
      <c r="G792" s="27"/>
    </row>
    <row r="793">
      <c r="A793" s="21"/>
      <c r="B793" s="21" t="s">
        <v>7038</v>
      </c>
      <c r="D793" s="25">
        <v>30.0</v>
      </c>
      <c r="E793" s="27"/>
      <c r="F793" s="25">
        <v>0.0</v>
      </c>
      <c r="G793" s="27"/>
    </row>
    <row r="794">
      <c r="A794" s="21"/>
      <c r="B794" s="21" t="s">
        <v>7039</v>
      </c>
      <c r="D794" s="25">
        <v>30.0</v>
      </c>
      <c r="E794" s="27"/>
      <c r="F794" s="25">
        <v>0.0</v>
      </c>
      <c r="G794" s="27"/>
    </row>
    <row r="795">
      <c r="A795" s="21"/>
      <c r="B795" s="21" t="s">
        <v>7040</v>
      </c>
      <c r="D795" s="25">
        <v>30.0</v>
      </c>
      <c r="E795" s="27"/>
      <c r="F795" s="25">
        <v>0.0</v>
      </c>
      <c r="G795" s="27"/>
    </row>
    <row r="796">
      <c r="A796" s="21"/>
      <c r="B796" s="21" t="s">
        <v>7041</v>
      </c>
      <c r="D796" s="25">
        <v>30.0</v>
      </c>
      <c r="E796" s="27"/>
      <c r="F796" s="25">
        <v>0.0</v>
      </c>
      <c r="G796" s="27"/>
    </row>
    <row r="797">
      <c r="A797" s="21"/>
      <c r="B797" s="21" t="s">
        <v>7042</v>
      </c>
      <c r="D797" s="25">
        <v>30.0</v>
      </c>
      <c r="E797" s="27"/>
      <c r="F797" s="25">
        <v>0.99</v>
      </c>
      <c r="G797" s="27"/>
    </row>
    <row r="798">
      <c r="A798" s="21"/>
      <c r="B798" s="21" t="s">
        <v>7043</v>
      </c>
      <c r="C798" s="21" t="s">
        <v>117</v>
      </c>
      <c r="D798" s="25">
        <v>30.0</v>
      </c>
      <c r="E798" s="25">
        <v>25.0</v>
      </c>
      <c r="F798" s="25">
        <v>1.85</v>
      </c>
      <c r="G798" s="21" t="s">
        <v>7044</v>
      </c>
    </row>
    <row r="799">
      <c r="A799" s="21"/>
      <c r="B799" s="21" t="s">
        <v>7045</v>
      </c>
      <c r="C799" s="21" t="s">
        <v>87</v>
      </c>
      <c r="D799" s="25">
        <v>30.0</v>
      </c>
      <c r="E799" s="25">
        <v>26.0</v>
      </c>
      <c r="F799" s="25">
        <v>3.93</v>
      </c>
      <c r="G799" s="21" t="s">
        <v>7046</v>
      </c>
    </row>
    <row r="800">
      <c r="A800" s="21"/>
      <c r="B800" s="21" t="s">
        <v>7047</v>
      </c>
      <c r="C800" s="27"/>
      <c r="D800" s="25">
        <v>30.0</v>
      </c>
      <c r="E800" s="27"/>
      <c r="F800" s="25">
        <v>0.0</v>
      </c>
      <c r="G800" s="27"/>
    </row>
    <row r="801">
      <c r="A801" s="21"/>
      <c r="B801" s="21" t="s">
        <v>7048</v>
      </c>
      <c r="C801" s="21" t="s">
        <v>117</v>
      </c>
      <c r="D801" s="25">
        <v>30.0</v>
      </c>
      <c r="E801" s="25">
        <v>11.0</v>
      </c>
      <c r="F801" s="25">
        <v>1.33</v>
      </c>
      <c r="G801" s="21" t="s">
        <v>7049</v>
      </c>
    </row>
    <row r="802">
      <c r="A802" s="21"/>
      <c r="B802" s="21" t="s">
        <v>7050</v>
      </c>
      <c r="C802" s="21" t="s">
        <v>117</v>
      </c>
      <c r="D802" s="25">
        <v>30.0</v>
      </c>
      <c r="E802" s="25">
        <v>0.0</v>
      </c>
      <c r="F802" s="25">
        <v>4.02</v>
      </c>
      <c r="G802" s="21" t="s">
        <v>7051</v>
      </c>
    </row>
    <row r="803">
      <c r="A803" s="21"/>
      <c r="B803" s="21" t="s">
        <v>7052</v>
      </c>
      <c r="D803" s="25">
        <v>30.0</v>
      </c>
      <c r="E803" s="27"/>
      <c r="F803" s="25">
        <v>0.0</v>
      </c>
      <c r="G803" s="27"/>
    </row>
    <row r="804">
      <c r="A804" s="21"/>
      <c r="B804" s="21" t="s">
        <v>7053</v>
      </c>
      <c r="D804" s="25">
        <v>30.0</v>
      </c>
      <c r="E804" s="27"/>
      <c r="F804" s="25">
        <v>0.0</v>
      </c>
      <c r="G804" s="27"/>
    </row>
    <row r="805">
      <c r="A805" s="21"/>
      <c r="B805" s="21" t="s">
        <v>7054</v>
      </c>
      <c r="D805" s="25">
        <v>30.0</v>
      </c>
      <c r="E805" s="27"/>
      <c r="F805" s="25">
        <v>0.0</v>
      </c>
      <c r="G805" s="27"/>
    </row>
    <row r="806">
      <c r="A806" s="21"/>
      <c r="B806" s="21" t="s">
        <v>7055</v>
      </c>
      <c r="D806" s="25">
        <v>30.0</v>
      </c>
      <c r="E806" s="27"/>
      <c r="F806" s="25">
        <v>2.63</v>
      </c>
      <c r="G806" s="27"/>
    </row>
    <row r="807">
      <c r="A807" s="21"/>
      <c r="B807" s="21" t="s">
        <v>7056</v>
      </c>
      <c r="D807" s="25">
        <v>30.0</v>
      </c>
      <c r="E807" s="27"/>
      <c r="F807" s="25">
        <v>3.35</v>
      </c>
      <c r="G807" s="27"/>
    </row>
    <row r="808">
      <c r="A808" s="21"/>
      <c r="B808" s="21" t="s">
        <v>7057</v>
      </c>
      <c r="C808" s="21" t="s">
        <v>117</v>
      </c>
      <c r="D808" s="25">
        <v>30.0</v>
      </c>
      <c r="E808" s="25">
        <v>14.0</v>
      </c>
      <c r="F808" s="25">
        <v>3.16</v>
      </c>
      <c r="G808" s="21" t="s">
        <v>218</v>
      </c>
    </row>
    <row r="809">
      <c r="A809" s="21"/>
      <c r="B809" s="21" t="s">
        <v>7058</v>
      </c>
      <c r="C809" s="21" t="s">
        <v>117</v>
      </c>
      <c r="D809" s="25">
        <v>30.0</v>
      </c>
      <c r="E809" s="25">
        <v>3.0</v>
      </c>
      <c r="F809" s="25">
        <v>2.83</v>
      </c>
      <c r="G809" s="21" t="s">
        <v>7059</v>
      </c>
    </row>
    <row r="810">
      <c r="A810" s="21"/>
      <c r="B810" s="21" t="s">
        <v>7060</v>
      </c>
      <c r="D810" s="25">
        <v>30.0</v>
      </c>
      <c r="E810" s="27"/>
      <c r="F810" s="25">
        <v>2.88</v>
      </c>
      <c r="G810" s="27"/>
    </row>
    <row r="811">
      <c r="A811" s="21"/>
      <c r="B811" s="21" t="s">
        <v>7061</v>
      </c>
      <c r="C811" s="21" t="s">
        <v>117</v>
      </c>
      <c r="D811" s="25">
        <v>30.0</v>
      </c>
      <c r="E811" s="25">
        <v>0.0</v>
      </c>
      <c r="F811" s="25">
        <v>2.68</v>
      </c>
      <c r="G811" s="21" t="s">
        <v>6428</v>
      </c>
    </row>
    <row r="812">
      <c r="A812" s="21"/>
      <c r="B812" s="21" t="s">
        <v>7062</v>
      </c>
      <c r="D812" s="25">
        <v>30.0</v>
      </c>
      <c r="E812" s="27"/>
      <c r="F812" s="25">
        <v>0.0</v>
      </c>
      <c r="G812" s="27"/>
    </row>
    <row r="813">
      <c r="A813" s="21"/>
      <c r="B813" s="21" t="s">
        <v>7063</v>
      </c>
      <c r="D813" s="25">
        <v>30.0</v>
      </c>
      <c r="E813" s="27"/>
      <c r="F813" s="25">
        <v>1.08</v>
      </c>
      <c r="G813" s="27"/>
    </row>
    <row r="814">
      <c r="A814" s="21"/>
      <c r="B814" s="21" t="s">
        <v>7064</v>
      </c>
      <c r="C814" s="21" t="s">
        <v>117</v>
      </c>
      <c r="D814" s="25">
        <v>30.0</v>
      </c>
      <c r="E814" s="25">
        <v>9.0</v>
      </c>
      <c r="F814" s="25">
        <v>0.86</v>
      </c>
      <c r="G814" s="21" t="s">
        <v>1351</v>
      </c>
    </row>
    <row r="815">
      <c r="A815" s="21"/>
      <c r="B815" s="21" t="s">
        <v>7065</v>
      </c>
      <c r="C815" s="21" t="s">
        <v>117</v>
      </c>
      <c r="D815" s="25">
        <v>30.0</v>
      </c>
      <c r="E815" s="25">
        <v>28.0</v>
      </c>
      <c r="F815" s="25">
        <v>1.44</v>
      </c>
      <c r="G815" s="21" t="s">
        <v>170</v>
      </c>
    </row>
    <row r="816">
      <c r="A816" s="21"/>
      <c r="B816" s="21" t="s">
        <v>7066</v>
      </c>
      <c r="C816" s="21" t="s">
        <v>117</v>
      </c>
      <c r="D816" s="25">
        <v>30.0</v>
      </c>
      <c r="E816" s="25">
        <v>28.0</v>
      </c>
      <c r="F816" s="25">
        <v>1.44</v>
      </c>
      <c r="G816" s="21" t="s">
        <v>170</v>
      </c>
    </row>
    <row r="817">
      <c r="A817" s="21"/>
      <c r="B817" s="21" t="s">
        <v>7067</v>
      </c>
      <c r="C817" s="21" t="s">
        <v>117</v>
      </c>
      <c r="D817" s="25">
        <v>30.0</v>
      </c>
      <c r="E817" s="25">
        <v>23.0</v>
      </c>
      <c r="F817" s="25">
        <v>1.97</v>
      </c>
      <c r="G817" s="21" t="s">
        <v>429</v>
      </c>
    </row>
    <row r="818">
      <c r="A818" s="21"/>
      <c r="B818" s="21" t="s">
        <v>7068</v>
      </c>
      <c r="D818" s="25">
        <v>30.0</v>
      </c>
      <c r="E818" s="27"/>
      <c r="F818" s="25">
        <v>0.1</v>
      </c>
      <c r="G818" s="27"/>
    </row>
    <row r="819">
      <c r="A819" s="21"/>
      <c r="B819" s="21" t="s">
        <v>7069</v>
      </c>
      <c r="D819" s="25">
        <v>30.0</v>
      </c>
      <c r="E819" s="27"/>
      <c r="F819" s="25">
        <v>0.0</v>
      </c>
      <c r="G819" s="27"/>
    </row>
    <row r="820">
      <c r="A820" s="21"/>
      <c r="B820" s="21" t="s">
        <v>7070</v>
      </c>
      <c r="C820" s="21" t="s">
        <v>117</v>
      </c>
      <c r="D820" s="25">
        <v>30.0</v>
      </c>
      <c r="E820" s="25">
        <v>19.0</v>
      </c>
      <c r="F820" s="25">
        <v>4.02</v>
      </c>
      <c r="G820" s="21" t="s">
        <v>7071</v>
      </c>
    </row>
    <row r="821">
      <c r="A821" s="21"/>
      <c r="B821" s="21" t="s">
        <v>7072</v>
      </c>
      <c r="C821" s="21" t="s">
        <v>117</v>
      </c>
      <c r="D821" s="25">
        <v>30.0</v>
      </c>
      <c r="E821" s="25">
        <v>0.0</v>
      </c>
      <c r="F821" s="25">
        <v>2.92</v>
      </c>
      <c r="G821" s="21" t="s">
        <v>6251</v>
      </c>
    </row>
    <row r="822">
      <c r="A822" s="21"/>
      <c r="B822" s="21" t="s">
        <v>7073</v>
      </c>
      <c r="C822" s="21" t="s">
        <v>117</v>
      </c>
      <c r="D822" s="25">
        <v>30.0</v>
      </c>
      <c r="E822" s="25">
        <v>18.0</v>
      </c>
      <c r="F822" s="25">
        <v>3.72</v>
      </c>
      <c r="G822" s="21" t="s">
        <v>6526</v>
      </c>
    </row>
    <row r="823">
      <c r="A823" s="21"/>
      <c r="B823" s="21" t="s">
        <v>7074</v>
      </c>
      <c r="C823" s="21" t="s">
        <v>117</v>
      </c>
      <c r="D823" s="25">
        <v>30.0</v>
      </c>
      <c r="E823" s="25">
        <v>5.0</v>
      </c>
      <c r="F823" s="25">
        <v>2.65</v>
      </c>
      <c r="G823" s="21" t="s">
        <v>7075</v>
      </c>
    </row>
    <row r="824">
      <c r="A824" s="21"/>
      <c r="B824" s="21" t="s">
        <v>7076</v>
      </c>
      <c r="D824" s="25">
        <v>30.0</v>
      </c>
      <c r="E824" s="27"/>
      <c r="F824" s="25">
        <v>0.0</v>
      </c>
      <c r="G824" s="27"/>
    </row>
    <row r="825">
      <c r="A825" s="21"/>
      <c r="B825" s="21" t="s">
        <v>7077</v>
      </c>
      <c r="D825" s="25">
        <v>30.0</v>
      </c>
      <c r="E825" s="27"/>
      <c r="F825" s="25">
        <v>0.0</v>
      </c>
      <c r="G825" s="27"/>
    </row>
    <row r="826">
      <c r="A826" s="21"/>
      <c r="B826" s="21" t="s">
        <v>7078</v>
      </c>
      <c r="D826" s="25">
        <v>30.0</v>
      </c>
      <c r="E826" s="27"/>
      <c r="F826" s="25">
        <v>3.32</v>
      </c>
      <c r="G826" s="27"/>
    </row>
    <row r="827">
      <c r="A827" s="21"/>
      <c r="B827" s="21" t="s">
        <v>7079</v>
      </c>
      <c r="C827" s="21" t="s">
        <v>87</v>
      </c>
      <c r="D827" s="25">
        <v>30.0</v>
      </c>
      <c r="E827" s="25">
        <v>28.0</v>
      </c>
      <c r="F827" s="25">
        <v>4.9</v>
      </c>
      <c r="G827" s="21" t="s">
        <v>1212</v>
      </c>
    </row>
    <row r="828">
      <c r="A828" s="21"/>
      <c r="B828" s="21" t="s">
        <v>7080</v>
      </c>
      <c r="D828" s="25">
        <v>30.0</v>
      </c>
      <c r="E828" s="27"/>
      <c r="F828" s="25">
        <v>0.0</v>
      </c>
      <c r="G828" s="27"/>
    </row>
    <row r="829">
      <c r="A829" s="21"/>
      <c r="B829" s="21" t="s">
        <v>7081</v>
      </c>
      <c r="C829" s="21" t="s">
        <v>1065</v>
      </c>
      <c r="D829" s="25">
        <v>30.0</v>
      </c>
      <c r="E829" s="25">
        <v>32.0</v>
      </c>
      <c r="F829" s="25">
        <v>4.94</v>
      </c>
      <c r="G829" s="21" t="s">
        <v>7082</v>
      </c>
    </row>
    <row r="830">
      <c r="A830" s="21"/>
      <c r="B830" s="21" t="s">
        <v>7083</v>
      </c>
      <c r="C830" s="21" t="s">
        <v>87</v>
      </c>
      <c r="D830" s="25">
        <v>30.0</v>
      </c>
      <c r="E830" s="25">
        <v>0.0</v>
      </c>
      <c r="F830" s="25">
        <v>3.89</v>
      </c>
      <c r="G830" s="21" t="s">
        <v>7084</v>
      </c>
    </row>
    <row r="831">
      <c r="A831" s="21"/>
      <c r="B831" s="21" t="s">
        <v>7085</v>
      </c>
      <c r="D831" s="25">
        <v>30.0</v>
      </c>
      <c r="E831" s="27"/>
      <c r="F831" s="25">
        <v>0.0</v>
      </c>
      <c r="G831" s="27"/>
    </row>
    <row r="832">
      <c r="A832" s="21"/>
      <c r="B832" s="21" t="s">
        <v>7086</v>
      </c>
      <c r="D832" s="25">
        <v>30.0</v>
      </c>
      <c r="E832" s="27"/>
      <c r="F832" s="25">
        <v>0.0</v>
      </c>
      <c r="G832" s="27"/>
    </row>
    <row r="833">
      <c r="A833" s="21"/>
      <c r="B833" s="21" t="s">
        <v>7087</v>
      </c>
      <c r="D833" s="25">
        <v>30.0</v>
      </c>
      <c r="E833" s="27"/>
      <c r="F833" s="25">
        <v>4.38</v>
      </c>
      <c r="G833" s="27"/>
    </row>
    <row r="834">
      <c r="A834" s="21"/>
      <c r="B834" s="21" t="s">
        <v>7088</v>
      </c>
      <c r="D834" s="25">
        <v>30.0</v>
      </c>
      <c r="E834" s="27"/>
      <c r="F834" s="25">
        <v>0.0</v>
      </c>
      <c r="G834" s="27"/>
    </row>
    <row r="835">
      <c r="A835" s="21"/>
      <c r="B835" s="21" t="s">
        <v>7089</v>
      </c>
      <c r="D835" s="25">
        <v>30.0</v>
      </c>
      <c r="E835" s="27"/>
      <c r="F835" s="25">
        <v>0.0</v>
      </c>
      <c r="G835" s="27"/>
    </row>
    <row r="836">
      <c r="A836" s="21"/>
      <c r="B836" s="21" t="s">
        <v>7090</v>
      </c>
      <c r="D836" s="25">
        <v>30.0</v>
      </c>
      <c r="E836" s="27"/>
      <c r="F836" s="25">
        <v>3.7</v>
      </c>
      <c r="G836" s="27"/>
    </row>
    <row r="837">
      <c r="A837" s="21"/>
      <c r="B837" s="21" t="s">
        <v>7091</v>
      </c>
      <c r="D837" s="25">
        <v>30.0</v>
      </c>
      <c r="E837" s="27"/>
      <c r="F837" s="25">
        <v>2.68</v>
      </c>
      <c r="G837" s="27"/>
    </row>
    <row r="838">
      <c r="A838" s="21"/>
      <c r="B838" s="21" t="s">
        <v>7092</v>
      </c>
      <c r="C838" s="21" t="s">
        <v>117</v>
      </c>
      <c r="D838" s="25">
        <v>30.0</v>
      </c>
      <c r="E838" s="25">
        <v>19.0</v>
      </c>
      <c r="F838" s="25">
        <v>4.58</v>
      </c>
      <c r="G838" s="21" t="s">
        <v>429</v>
      </c>
    </row>
    <row r="839">
      <c r="A839" s="21"/>
      <c r="B839" s="21" t="s">
        <v>7093</v>
      </c>
      <c r="C839" s="21" t="s">
        <v>117</v>
      </c>
      <c r="D839" s="25">
        <v>30.0</v>
      </c>
      <c r="E839" s="25">
        <v>33.0</v>
      </c>
      <c r="F839" s="25">
        <v>0.95</v>
      </c>
      <c r="G839" s="21" t="s">
        <v>429</v>
      </c>
    </row>
    <row r="840">
      <c r="A840" s="21"/>
      <c r="B840" s="21" t="s">
        <v>7094</v>
      </c>
      <c r="D840" s="25">
        <v>30.0</v>
      </c>
      <c r="E840" s="27"/>
      <c r="F840" s="25">
        <v>3.7</v>
      </c>
      <c r="G840" s="27"/>
    </row>
    <row r="841">
      <c r="A841" s="21"/>
      <c r="B841" s="21" t="s">
        <v>7095</v>
      </c>
      <c r="D841" s="25">
        <v>30.0</v>
      </c>
      <c r="E841" s="27"/>
      <c r="F841" s="25">
        <v>2.14</v>
      </c>
      <c r="G841" s="27"/>
    </row>
    <row r="842">
      <c r="A842" s="21"/>
      <c r="B842" s="21" t="s">
        <v>7096</v>
      </c>
      <c r="C842" s="21" t="s">
        <v>87</v>
      </c>
      <c r="D842" s="25">
        <v>30.0</v>
      </c>
      <c r="E842" s="25">
        <v>10.0</v>
      </c>
      <c r="F842" s="25">
        <v>2.2</v>
      </c>
      <c r="G842" s="21" t="s">
        <v>1106</v>
      </c>
    </row>
    <row r="843">
      <c r="A843" s="21"/>
      <c r="B843" s="21" t="s">
        <v>7097</v>
      </c>
      <c r="D843" s="25">
        <v>30.0</v>
      </c>
      <c r="E843" s="27"/>
      <c r="F843" s="25">
        <v>0.0</v>
      </c>
      <c r="G843" s="27"/>
    </row>
    <row r="844">
      <c r="A844" s="21"/>
      <c r="B844" s="21" t="s">
        <v>7098</v>
      </c>
      <c r="D844" s="25">
        <v>30.0</v>
      </c>
      <c r="E844" s="27"/>
      <c r="F844" s="25">
        <v>0.0</v>
      </c>
      <c r="G844" s="27"/>
    </row>
    <row r="845">
      <c r="A845" s="21"/>
      <c r="B845" s="21" t="s">
        <v>7099</v>
      </c>
      <c r="C845" s="21" t="s">
        <v>117</v>
      </c>
      <c r="D845" s="25">
        <v>30.0</v>
      </c>
      <c r="E845" s="25">
        <v>28.0</v>
      </c>
      <c r="F845" s="25">
        <v>1.36</v>
      </c>
      <c r="G845" s="21" t="s">
        <v>7100</v>
      </c>
    </row>
    <row r="846">
      <c r="A846" s="21"/>
      <c r="B846" s="21" t="s">
        <v>7101</v>
      </c>
      <c r="C846" s="21" t="s">
        <v>117</v>
      </c>
      <c r="D846" s="25">
        <v>30.0</v>
      </c>
      <c r="E846" s="25">
        <v>33.0</v>
      </c>
      <c r="F846" s="25">
        <v>2.7</v>
      </c>
      <c r="G846" s="21" t="s">
        <v>897</v>
      </c>
    </row>
    <row r="847">
      <c r="A847" s="21"/>
      <c r="B847" s="21" t="s">
        <v>7102</v>
      </c>
      <c r="C847" s="21" t="s">
        <v>117</v>
      </c>
      <c r="D847" s="25">
        <v>30.0</v>
      </c>
      <c r="E847" s="25">
        <v>12.0</v>
      </c>
      <c r="F847" s="25">
        <v>3.2</v>
      </c>
      <c r="G847" s="21" t="s">
        <v>437</v>
      </c>
    </row>
    <row r="848">
      <c r="A848" s="21"/>
      <c r="B848" s="21" t="s">
        <v>7103</v>
      </c>
      <c r="C848" s="21" t="s">
        <v>117</v>
      </c>
      <c r="D848" s="25">
        <v>30.0</v>
      </c>
      <c r="E848" s="25">
        <v>42.0</v>
      </c>
      <c r="F848" s="25">
        <v>3.66</v>
      </c>
      <c r="G848" s="21" t="s">
        <v>7104</v>
      </c>
    </row>
    <row r="849">
      <c r="A849" s="21"/>
      <c r="B849" s="21" t="s">
        <v>7105</v>
      </c>
      <c r="C849" s="21" t="s">
        <v>117</v>
      </c>
      <c r="D849" s="25">
        <v>30.0</v>
      </c>
      <c r="E849" s="25">
        <v>31.0</v>
      </c>
      <c r="F849" s="25">
        <v>4.12</v>
      </c>
      <c r="G849" s="21" t="s">
        <v>6563</v>
      </c>
    </row>
    <row r="850">
      <c r="A850" s="21"/>
      <c r="B850" s="21" t="s">
        <v>7106</v>
      </c>
      <c r="C850" s="21" t="s">
        <v>117</v>
      </c>
      <c r="D850" s="25">
        <v>30.0</v>
      </c>
      <c r="E850" s="25">
        <v>2.0</v>
      </c>
      <c r="F850" s="25">
        <v>2.2</v>
      </c>
      <c r="G850" s="21" t="s">
        <v>7107</v>
      </c>
    </row>
    <row r="851">
      <c r="A851" s="21"/>
      <c r="B851" s="21" t="s">
        <v>7108</v>
      </c>
      <c r="D851" s="25">
        <v>30.0</v>
      </c>
      <c r="E851" s="27"/>
      <c r="F851" s="25">
        <v>0.0</v>
      </c>
      <c r="G851" s="27"/>
    </row>
    <row r="852">
      <c r="A852" s="21"/>
      <c r="B852" s="21" t="s">
        <v>7109</v>
      </c>
      <c r="C852" s="21" t="s">
        <v>117</v>
      </c>
      <c r="D852" s="25">
        <v>30.0</v>
      </c>
      <c r="E852" s="25">
        <v>29.0</v>
      </c>
      <c r="F852" s="25">
        <v>2.7</v>
      </c>
      <c r="G852" s="21" t="s">
        <v>6093</v>
      </c>
    </row>
    <row r="853">
      <c r="A853" s="21"/>
      <c r="B853" s="21" t="s">
        <v>7110</v>
      </c>
      <c r="D853" s="25">
        <v>30.0</v>
      </c>
      <c r="E853" s="27"/>
      <c r="F853" s="25">
        <v>4.22</v>
      </c>
      <c r="G853" s="27"/>
    </row>
    <row r="854">
      <c r="A854" s="21"/>
      <c r="B854" s="21" t="s">
        <v>7111</v>
      </c>
      <c r="D854" s="25">
        <v>30.0</v>
      </c>
      <c r="E854" s="27"/>
      <c r="F854" s="25">
        <v>3.95</v>
      </c>
      <c r="G854" s="27"/>
    </row>
    <row r="855">
      <c r="A855" s="21"/>
      <c r="B855" s="21" t="s">
        <v>5993</v>
      </c>
      <c r="C855" s="21" t="s">
        <v>117</v>
      </c>
      <c r="D855" s="25">
        <v>30.0</v>
      </c>
      <c r="E855" s="25">
        <v>19.0</v>
      </c>
      <c r="F855" s="25">
        <v>4.19</v>
      </c>
      <c r="G855" s="21" t="s">
        <v>1380</v>
      </c>
    </row>
    <row r="856">
      <c r="A856" s="21"/>
      <c r="B856" s="21" t="s">
        <v>7112</v>
      </c>
      <c r="C856" s="21" t="s">
        <v>117</v>
      </c>
      <c r="D856" s="25">
        <v>30.0</v>
      </c>
      <c r="E856" s="25">
        <v>4.0</v>
      </c>
      <c r="F856" s="25">
        <v>2.87</v>
      </c>
      <c r="G856" s="21" t="s">
        <v>429</v>
      </c>
    </row>
    <row r="857">
      <c r="A857" s="21"/>
      <c r="B857" s="21" t="s">
        <v>7113</v>
      </c>
      <c r="C857" s="21" t="s">
        <v>117</v>
      </c>
      <c r="D857" s="25">
        <v>30.0</v>
      </c>
      <c r="E857" s="25">
        <v>17.0</v>
      </c>
      <c r="F857" s="25">
        <v>2.62</v>
      </c>
      <c r="G857" s="21" t="s">
        <v>170</v>
      </c>
    </row>
    <row r="858">
      <c r="A858" s="21"/>
      <c r="B858" s="21" t="s">
        <v>7114</v>
      </c>
      <c r="C858" s="21" t="s">
        <v>87</v>
      </c>
      <c r="D858" s="25">
        <v>30.0</v>
      </c>
      <c r="E858" s="25">
        <v>28.0</v>
      </c>
      <c r="F858" s="25">
        <v>5.53</v>
      </c>
      <c r="G858" s="21" t="s">
        <v>147</v>
      </c>
    </row>
    <row r="859">
      <c r="A859" s="21"/>
      <c r="B859" s="21" t="s">
        <v>7115</v>
      </c>
      <c r="C859" s="21" t="s">
        <v>117</v>
      </c>
      <c r="D859" s="25">
        <v>30.0</v>
      </c>
      <c r="E859" s="25">
        <v>12.0</v>
      </c>
      <c r="F859" s="25">
        <v>3.77</v>
      </c>
      <c r="G859" s="21" t="s">
        <v>170</v>
      </c>
    </row>
    <row r="860">
      <c r="A860" s="21"/>
      <c r="B860" s="21" t="s">
        <v>7116</v>
      </c>
      <c r="C860" s="21" t="s">
        <v>87</v>
      </c>
      <c r="D860" s="25">
        <v>30.0</v>
      </c>
      <c r="E860" s="25">
        <v>15.0</v>
      </c>
      <c r="F860" s="25">
        <v>3.12</v>
      </c>
      <c r="G860" s="21" t="s">
        <v>7117</v>
      </c>
    </row>
    <row r="861">
      <c r="A861" s="21"/>
      <c r="B861" s="21" t="s">
        <v>7118</v>
      </c>
      <c r="D861" s="25">
        <v>30.0</v>
      </c>
      <c r="E861" s="27"/>
      <c r="F861" s="25">
        <v>0.0</v>
      </c>
      <c r="G861" s="27"/>
    </row>
    <row r="862">
      <c r="A862" s="21"/>
      <c r="B862" s="21" t="s">
        <v>7119</v>
      </c>
      <c r="C862" s="21" t="s">
        <v>87</v>
      </c>
      <c r="D862" s="25">
        <v>30.0</v>
      </c>
      <c r="E862" s="25">
        <v>7.0</v>
      </c>
      <c r="F862" s="25">
        <v>1.33</v>
      </c>
      <c r="G862" s="21" t="s">
        <v>7120</v>
      </c>
    </row>
    <row r="863">
      <c r="A863" s="21"/>
      <c r="B863" s="21" t="s">
        <v>7121</v>
      </c>
      <c r="C863" s="21" t="s">
        <v>87</v>
      </c>
      <c r="D863" s="25">
        <v>30.0</v>
      </c>
      <c r="E863" s="25">
        <v>31.0</v>
      </c>
      <c r="F863" s="25">
        <v>0.51</v>
      </c>
      <c r="G863" s="21" t="s">
        <v>111</v>
      </c>
    </row>
    <row r="864">
      <c r="A864" s="21"/>
      <c r="B864" s="21" t="s">
        <v>7122</v>
      </c>
      <c r="C864" s="21" t="s">
        <v>87</v>
      </c>
      <c r="D864" s="25">
        <v>30.0</v>
      </c>
      <c r="E864" s="25">
        <v>11.0</v>
      </c>
      <c r="F864" s="25">
        <v>1.41</v>
      </c>
      <c r="G864" s="21" t="s">
        <v>7123</v>
      </c>
    </row>
    <row r="865">
      <c r="A865" s="21"/>
      <c r="B865" s="21" t="s">
        <v>7124</v>
      </c>
      <c r="D865" s="25">
        <v>30.0</v>
      </c>
      <c r="E865" s="27"/>
      <c r="F865" s="25">
        <v>3.32</v>
      </c>
      <c r="G865" s="27"/>
    </row>
    <row r="866">
      <c r="A866" s="21"/>
      <c r="B866" s="21" t="s">
        <v>7125</v>
      </c>
      <c r="D866" s="25">
        <v>30.0</v>
      </c>
      <c r="E866" s="27"/>
      <c r="F866" s="25">
        <v>0.0</v>
      </c>
      <c r="G866" s="27"/>
    </row>
    <row r="867">
      <c r="A867" s="21"/>
      <c r="B867" s="21" t="s">
        <v>7126</v>
      </c>
      <c r="C867" s="21" t="s">
        <v>160</v>
      </c>
      <c r="D867" s="25">
        <v>30.0</v>
      </c>
      <c r="E867" s="25">
        <v>12.0</v>
      </c>
      <c r="F867" s="25">
        <v>2.15</v>
      </c>
      <c r="G867" s="21" t="s">
        <v>899</v>
      </c>
    </row>
    <row r="868">
      <c r="A868" s="21"/>
      <c r="B868" s="21" t="s">
        <v>7127</v>
      </c>
      <c r="C868" s="21" t="s">
        <v>117</v>
      </c>
      <c r="D868" s="25">
        <v>30.0</v>
      </c>
      <c r="E868" s="25">
        <v>9.0</v>
      </c>
      <c r="F868" s="25">
        <v>1.33</v>
      </c>
      <c r="G868" s="21" t="s">
        <v>7128</v>
      </c>
    </row>
    <row r="869">
      <c r="A869" s="21"/>
      <c r="B869" s="21" t="s">
        <v>7129</v>
      </c>
      <c r="D869" s="25">
        <v>30.0</v>
      </c>
      <c r="E869" s="27"/>
      <c r="F869" s="25">
        <v>4.51</v>
      </c>
      <c r="G869" s="27"/>
    </row>
    <row r="870">
      <c r="A870" s="21"/>
      <c r="B870" s="21" t="s">
        <v>7130</v>
      </c>
      <c r="D870" s="25">
        <v>30.0</v>
      </c>
      <c r="E870" s="27"/>
      <c r="F870" s="25">
        <v>0.98</v>
      </c>
      <c r="G870" s="27"/>
    </row>
    <row r="871">
      <c r="A871" s="21"/>
      <c r="B871" s="21" t="s">
        <v>7131</v>
      </c>
      <c r="C871" s="21" t="s">
        <v>90</v>
      </c>
      <c r="D871" s="25">
        <v>30.0</v>
      </c>
      <c r="E871" s="25">
        <v>34.0</v>
      </c>
      <c r="F871" s="25">
        <v>4.1</v>
      </c>
      <c r="G871" s="21" t="s">
        <v>259</v>
      </c>
    </row>
    <row r="872">
      <c r="A872" s="21"/>
      <c r="B872" s="21" t="s">
        <v>7132</v>
      </c>
      <c r="D872" s="25">
        <v>30.0</v>
      </c>
      <c r="E872" s="27"/>
      <c r="F872" s="25">
        <v>4.51</v>
      </c>
      <c r="G872" s="27"/>
    </row>
    <row r="873">
      <c r="A873" s="21"/>
      <c r="B873" s="21" t="s">
        <v>7133</v>
      </c>
      <c r="C873" s="21" t="s">
        <v>117</v>
      </c>
      <c r="D873" s="25">
        <v>30.0</v>
      </c>
      <c r="E873" s="25">
        <v>14.0</v>
      </c>
      <c r="F873" s="25">
        <v>2.9</v>
      </c>
      <c r="G873" s="21" t="s">
        <v>431</v>
      </c>
    </row>
    <row r="874">
      <c r="A874" s="21"/>
      <c r="B874" s="21" t="s">
        <v>7134</v>
      </c>
      <c r="D874" s="25">
        <v>30.0</v>
      </c>
      <c r="E874" s="27"/>
      <c r="F874" s="25">
        <v>0.0</v>
      </c>
      <c r="G874" s="27"/>
    </row>
    <row r="875">
      <c r="A875" s="21"/>
      <c r="B875" s="21" t="s">
        <v>7135</v>
      </c>
      <c r="D875" s="25">
        <v>30.0</v>
      </c>
      <c r="E875" s="27"/>
      <c r="F875" s="25">
        <v>3.7</v>
      </c>
      <c r="G875" s="27"/>
    </row>
    <row r="876">
      <c r="A876" s="21"/>
      <c r="B876" s="21" t="s">
        <v>7136</v>
      </c>
      <c r="D876" s="25">
        <v>30.0</v>
      </c>
      <c r="E876" s="27"/>
      <c r="F876" s="25">
        <v>0.0</v>
      </c>
      <c r="G876" s="27"/>
    </row>
    <row r="877">
      <c r="A877" s="21"/>
      <c r="B877" s="21" t="s">
        <v>7137</v>
      </c>
      <c r="C877" s="21" t="s">
        <v>117</v>
      </c>
      <c r="D877" s="25">
        <v>30.0</v>
      </c>
      <c r="E877" s="25">
        <v>23.0</v>
      </c>
      <c r="F877" s="25">
        <v>5.21</v>
      </c>
      <c r="G877" s="21" t="s">
        <v>6251</v>
      </c>
    </row>
    <row r="878">
      <c r="A878" s="21"/>
      <c r="B878" s="21" t="s">
        <v>7138</v>
      </c>
      <c r="D878" s="25">
        <v>30.0</v>
      </c>
      <c r="E878" s="27"/>
      <c r="F878" s="25">
        <v>4.3</v>
      </c>
      <c r="G878" s="27"/>
    </row>
    <row r="879">
      <c r="A879" s="21"/>
      <c r="B879" s="21" t="s">
        <v>7139</v>
      </c>
      <c r="D879" s="25">
        <v>30.0</v>
      </c>
      <c r="E879" s="27"/>
      <c r="F879" s="25">
        <v>3.76</v>
      </c>
      <c r="G879" s="27"/>
    </row>
    <row r="880">
      <c r="A880" s="21"/>
      <c r="B880" s="21" t="s">
        <v>7140</v>
      </c>
      <c r="C880" s="21" t="s">
        <v>90</v>
      </c>
      <c r="D880" s="25">
        <v>30.0</v>
      </c>
      <c r="E880" s="25">
        <v>2.0</v>
      </c>
      <c r="F880" s="25">
        <v>3.53</v>
      </c>
      <c r="G880" s="21" t="s">
        <v>147</v>
      </c>
    </row>
    <row r="881">
      <c r="A881" s="21"/>
      <c r="B881" s="21" t="s">
        <v>7141</v>
      </c>
      <c r="D881" s="25">
        <v>30.0</v>
      </c>
      <c r="E881" s="27"/>
      <c r="F881" s="25">
        <v>0.0</v>
      </c>
      <c r="G881" s="27"/>
    </row>
    <row r="882">
      <c r="A882" s="21"/>
      <c r="B882" s="21" t="s">
        <v>7142</v>
      </c>
      <c r="C882" s="21" t="s">
        <v>117</v>
      </c>
      <c r="D882" s="25">
        <v>30.0</v>
      </c>
      <c r="E882" s="25">
        <v>0.0</v>
      </c>
      <c r="F882" s="25">
        <v>1.55</v>
      </c>
      <c r="G882" s="21" t="s">
        <v>6087</v>
      </c>
    </row>
    <row r="883">
      <c r="A883" s="21"/>
      <c r="B883" s="21" t="s">
        <v>7143</v>
      </c>
      <c r="D883" s="25">
        <v>30.0</v>
      </c>
      <c r="E883" s="27"/>
      <c r="F883" s="25">
        <v>2.67</v>
      </c>
      <c r="G883" s="27"/>
    </row>
    <row r="884">
      <c r="A884" s="21"/>
      <c r="B884" s="21" t="s">
        <v>7144</v>
      </c>
      <c r="D884" s="25">
        <v>30.0</v>
      </c>
      <c r="E884" s="27"/>
      <c r="F884" s="25">
        <v>0.0</v>
      </c>
      <c r="G884" s="27"/>
    </row>
    <row r="885">
      <c r="A885" s="21"/>
      <c r="B885" s="21" t="s">
        <v>7145</v>
      </c>
      <c r="D885" s="25">
        <v>30.0</v>
      </c>
      <c r="E885" s="27"/>
      <c r="F885" s="25">
        <v>0.0</v>
      </c>
      <c r="G885" s="27"/>
    </row>
    <row r="886">
      <c r="A886" s="21"/>
      <c r="B886" s="21" t="s">
        <v>7146</v>
      </c>
      <c r="D886" s="25">
        <v>30.0</v>
      </c>
      <c r="E886" s="27"/>
      <c r="F886" s="25">
        <v>0.0</v>
      </c>
      <c r="G886" s="27"/>
    </row>
    <row r="887">
      <c r="A887" s="21"/>
      <c r="B887" s="21" t="s">
        <v>7147</v>
      </c>
      <c r="D887" s="25">
        <v>30.0</v>
      </c>
      <c r="E887" s="27"/>
      <c r="F887" s="25">
        <v>0.0</v>
      </c>
      <c r="G887" s="27"/>
    </row>
    <row r="888">
      <c r="A888" s="21"/>
      <c r="B888" s="21" t="s">
        <v>7148</v>
      </c>
      <c r="D888" s="25">
        <v>30.0</v>
      </c>
      <c r="E888" s="27"/>
      <c r="F888" s="25">
        <v>0.0</v>
      </c>
      <c r="G888" s="27"/>
    </row>
    <row r="889">
      <c r="A889" s="21"/>
      <c r="B889" s="21" t="s">
        <v>7149</v>
      </c>
      <c r="D889" s="25">
        <v>30.0</v>
      </c>
      <c r="E889" s="27"/>
      <c r="F889" s="25">
        <v>0.0</v>
      </c>
      <c r="G889" s="27"/>
    </row>
    <row r="890">
      <c r="A890" s="21"/>
      <c r="B890" s="21" t="s">
        <v>7150</v>
      </c>
      <c r="D890" s="25">
        <v>30.0</v>
      </c>
      <c r="E890" s="27"/>
      <c r="F890" s="25">
        <v>4.51</v>
      </c>
      <c r="G890" s="27"/>
    </row>
    <row r="891">
      <c r="A891" s="21"/>
      <c r="B891" s="21" t="s">
        <v>7151</v>
      </c>
      <c r="D891" s="25">
        <v>30.0</v>
      </c>
      <c r="E891" s="27"/>
      <c r="F891" s="25">
        <v>4.51</v>
      </c>
      <c r="G891" s="27"/>
    </row>
    <row r="892">
      <c r="A892" s="21"/>
      <c r="B892" s="21" t="s">
        <v>7152</v>
      </c>
      <c r="C892" s="21" t="s">
        <v>99</v>
      </c>
      <c r="D892" s="25">
        <v>30.0</v>
      </c>
      <c r="E892" s="25">
        <v>34.0</v>
      </c>
      <c r="F892" s="25">
        <v>1.12</v>
      </c>
      <c r="G892" s="21" t="s">
        <v>111</v>
      </c>
    </row>
    <row r="893">
      <c r="A893" s="21"/>
      <c r="B893" s="21" t="s">
        <v>7153</v>
      </c>
      <c r="C893" s="27"/>
      <c r="D893" s="25">
        <v>30.0</v>
      </c>
      <c r="E893" s="27"/>
      <c r="F893" s="25">
        <v>4.67</v>
      </c>
      <c r="G893" s="27"/>
    </row>
    <row r="894">
      <c r="A894" s="21"/>
      <c r="B894" s="21" t="s">
        <v>7154</v>
      </c>
      <c r="C894" s="21" t="s">
        <v>87</v>
      </c>
      <c r="D894" s="25">
        <v>30.0</v>
      </c>
      <c r="E894" s="25">
        <v>9.0</v>
      </c>
      <c r="F894" s="25">
        <v>10.41</v>
      </c>
      <c r="G894" s="21" t="s">
        <v>259</v>
      </c>
    </row>
    <row r="895">
      <c r="A895" s="21"/>
      <c r="B895" s="21" t="s">
        <v>7155</v>
      </c>
      <c r="D895" s="25">
        <v>30.0</v>
      </c>
      <c r="E895" s="27"/>
      <c r="F895" s="25">
        <v>7.17</v>
      </c>
      <c r="G895" s="27"/>
    </row>
    <row r="896">
      <c r="A896" s="21"/>
      <c r="B896" s="21" t="s">
        <v>7156</v>
      </c>
      <c r="D896" s="25">
        <v>30.0</v>
      </c>
      <c r="E896" s="27"/>
      <c r="F896" s="25">
        <v>5.73</v>
      </c>
      <c r="G896" s="27"/>
    </row>
    <row r="897">
      <c r="A897" s="21"/>
      <c r="B897" s="21" t="s">
        <v>7157</v>
      </c>
      <c r="C897" s="21" t="s">
        <v>117</v>
      </c>
      <c r="D897" s="25">
        <v>30.0</v>
      </c>
      <c r="E897" s="25">
        <v>12.0</v>
      </c>
      <c r="F897" s="25">
        <v>3.39</v>
      </c>
      <c r="G897" s="21" t="s">
        <v>429</v>
      </c>
    </row>
    <row r="898">
      <c r="A898" s="21"/>
      <c r="B898" s="21" t="s">
        <v>7158</v>
      </c>
      <c r="C898" s="21" t="s">
        <v>87</v>
      </c>
      <c r="D898" s="25">
        <v>30.0</v>
      </c>
      <c r="E898" s="25">
        <v>39.0</v>
      </c>
      <c r="F898" s="25">
        <v>4.63</v>
      </c>
      <c r="G898" s="21" t="s">
        <v>178</v>
      </c>
    </row>
    <row r="899">
      <c r="A899" s="21"/>
      <c r="B899" s="21" t="s">
        <v>7159</v>
      </c>
      <c r="C899" s="21" t="s">
        <v>87</v>
      </c>
      <c r="D899" s="25">
        <v>30.0</v>
      </c>
      <c r="E899" s="25">
        <v>33.0</v>
      </c>
      <c r="F899" s="25">
        <v>9.85</v>
      </c>
      <c r="G899" s="21" t="s">
        <v>97</v>
      </c>
    </row>
    <row r="900">
      <c r="A900" s="21"/>
      <c r="B900" s="21" t="s">
        <v>7160</v>
      </c>
      <c r="D900" s="25">
        <v>30.0</v>
      </c>
      <c r="E900" s="27"/>
      <c r="F900" s="25">
        <v>8.42</v>
      </c>
      <c r="G900" s="27"/>
    </row>
    <row r="901">
      <c r="A901" s="21"/>
      <c r="B901" s="21" t="s">
        <v>7161</v>
      </c>
      <c r="C901" s="21" t="s">
        <v>87</v>
      </c>
      <c r="D901" s="25">
        <v>30.0</v>
      </c>
      <c r="E901" s="25">
        <v>0.0</v>
      </c>
      <c r="F901" s="25">
        <v>8.9</v>
      </c>
      <c r="G901" s="21" t="s">
        <v>903</v>
      </c>
    </row>
    <row r="902">
      <c r="A902" s="21"/>
      <c r="B902" s="21" t="s">
        <v>7162</v>
      </c>
      <c r="C902" s="21" t="s">
        <v>87</v>
      </c>
      <c r="D902" s="25">
        <v>30.0</v>
      </c>
      <c r="E902" s="25">
        <v>0.0</v>
      </c>
      <c r="F902" s="25">
        <v>8.9</v>
      </c>
      <c r="G902" s="21" t="s">
        <v>905</v>
      </c>
    </row>
    <row r="903">
      <c r="A903" s="21"/>
      <c r="B903" s="21" t="s">
        <v>7163</v>
      </c>
      <c r="D903" s="25">
        <v>30.0</v>
      </c>
      <c r="E903" s="27"/>
      <c r="F903" s="25">
        <v>4.17</v>
      </c>
      <c r="G903" s="27"/>
    </row>
    <row r="904">
      <c r="A904" s="21"/>
      <c r="B904" s="21" t="s">
        <v>7164</v>
      </c>
      <c r="C904" s="21" t="s">
        <v>117</v>
      </c>
      <c r="D904" s="25">
        <v>30.0</v>
      </c>
      <c r="E904" s="25">
        <v>18.0</v>
      </c>
      <c r="F904" s="25">
        <v>6.74</v>
      </c>
      <c r="G904" s="21" t="s">
        <v>1214</v>
      </c>
    </row>
    <row r="905">
      <c r="A905" s="21"/>
      <c r="B905" s="21" t="s">
        <v>7165</v>
      </c>
      <c r="C905" s="21" t="s">
        <v>117</v>
      </c>
      <c r="D905" s="25">
        <v>30.0</v>
      </c>
      <c r="E905" s="25">
        <v>15.0</v>
      </c>
      <c r="F905" s="25">
        <v>6.74</v>
      </c>
      <c r="G905" s="21" t="s">
        <v>7166</v>
      </c>
    </row>
    <row r="906">
      <c r="A906" s="21"/>
      <c r="B906" s="21" t="s">
        <v>7167</v>
      </c>
      <c r="D906" s="25">
        <v>30.0</v>
      </c>
      <c r="E906" s="27"/>
      <c r="F906" s="25">
        <v>0.0</v>
      </c>
      <c r="G906" s="27"/>
    </row>
    <row r="907">
      <c r="A907" s="21"/>
      <c r="B907" s="21" t="s">
        <v>7168</v>
      </c>
      <c r="D907" s="25">
        <v>30.0</v>
      </c>
      <c r="E907" s="27"/>
      <c r="F907" s="25">
        <v>0.0</v>
      </c>
      <c r="G907" s="27"/>
    </row>
    <row r="908">
      <c r="A908" s="21"/>
      <c r="B908" s="21" t="s">
        <v>7169</v>
      </c>
      <c r="C908" s="21" t="s">
        <v>87</v>
      </c>
      <c r="D908" s="25">
        <v>30.0</v>
      </c>
      <c r="E908" s="25">
        <v>27.0</v>
      </c>
      <c r="F908" s="25">
        <v>5.66</v>
      </c>
      <c r="G908" s="21" t="s">
        <v>1106</v>
      </c>
    </row>
    <row r="909">
      <c r="A909" s="21"/>
      <c r="B909" s="21" t="s">
        <v>7170</v>
      </c>
      <c r="C909" s="21" t="s">
        <v>87</v>
      </c>
      <c r="D909" s="25">
        <v>30.0</v>
      </c>
      <c r="E909" s="25">
        <v>4.0</v>
      </c>
      <c r="F909" s="25">
        <v>10.73</v>
      </c>
      <c r="G909" s="21" t="s">
        <v>1106</v>
      </c>
    </row>
    <row r="910">
      <c r="A910" s="21"/>
      <c r="B910" s="21" t="s">
        <v>7171</v>
      </c>
      <c r="C910" s="21" t="s">
        <v>87</v>
      </c>
      <c r="D910" s="25">
        <v>30.0</v>
      </c>
      <c r="E910" s="25">
        <v>38.0</v>
      </c>
      <c r="F910" s="25">
        <v>5.96</v>
      </c>
      <c r="G910" s="21" t="s">
        <v>6996</v>
      </c>
    </row>
    <row r="911">
      <c r="A911" s="21"/>
      <c r="B911" s="21" t="s">
        <v>7172</v>
      </c>
      <c r="D911" s="25">
        <v>30.0</v>
      </c>
      <c r="E911" s="27"/>
      <c r="F911" s="25">
        <v>0.0</v>
      </c>
      <c r="G911" s="27"/>
    </row>
    <row r="912">
      <c r="A912" s="21"/>
      <c r="B912" s="21" t="s">
        <v>7173</v>
      </c>
      <c r="D912" s="25">
        <v>30.0</v>
      </c>
      <c r="E912" s="27"/>
      <c r="F912" s="25">
        <v>0.0</v>
      </c>
      <c r="G912" s="27"/>
    </row>
    <row r="913">
      <c r="A913" s="21"/>
      <c r="B913" s="21" t="s">
        <v>7174</v>
      </c>
      <c r="D913" s="25">
        <v>30.0</v>
      </c>
      <c r="E913" s="27"/>
      <c r="F913" s="25">
        <v>2.52</v>
      </c>
      <c r="G913" s="27"/>
    </row>
    <row r="914">
      <c r="A914" s="21"/>
      <c r="B914" s="21" t="s">
        <v>7175</v>
      </c>
      <c r="D914" s="25">
        <v>30.0</v>
      </c>
      <c r="E914" s="27"/>
      <c r="F914" s="25">
        <v>2.52</v>
      </c>
      <c r="G914" s="27"/>
    </row>
    <row r="915">
      <c r="A915" s="21"/>
      <c r="B915" s="21" t="s">
        <v>7176</v>
      </c>
      <c r="C915" s="21" t="s">
        <v>117</v>
      </c>
      <c r="D915" s="25">
        <v>30.0</v>
      </c>
      <c r="E915" s="25">
        <v>7.0</v>
      </c>
      <c r="F915" s="25">
        <v>2.3</v>
      </c>
      <c r="G915" s="21" t="s">
        <v>6285</v>
      </c>
    </row>
    <row r="916">
      <c r="A916" s="21"/>
      <c r="B916" s="21" t="s">
        <v>7177</v>
      </c>
      <c r="C916" s="21" t="s">
        <v>117</v>
      </c>
      <c r="D916" s="25">
        <v>30.0</v>
      </c>
      <c r="E916" s="25">
        <v>13.0</v>
      </c>
      <c r="F916" s="25">
        <v>3.39</v>
      </c>
      <c r="G916" s="21" t="s">
        <v>6255</v>
      </c>
    </row>
    <row r="917">
      <c r="A917" s="21"/>
      <c r="B917" s="21" t="s">
        <v>7178</v>
      </c>
      <c r="D917" s="25">
        <v>30.0</v>
      </c>
      <c r="E917" s="27"/>
      <c r="F917" s="25">
        <v>0.0</v>
      </c>
      <c r="G917" s="27"/>
    </row>
    <row r="918">
      <c r="A918" s="21"/>
      <c r="B918" s="21" t="s">
        <v>7179</v>
      </c>
      <c r="D918" s="25">
        <v>20.0</v>
      </c>
      <c r="E918" s="27"/>
      <c r="F918" s="25">
        <v>3.88</v>
      </c>
      <c r="G918" s="27"/>
    </row>
    <row r="919">
      <c r="A919" s="21"/>
      <c r="B919" s="21" t="s">
        <v>7180</v>
      </c>
      <c r="D919" s="25">
        <v>20.0</v>
      </c>
      <c r="E919" s="27"/>
      <c r="F919" s="25">
        <v>0.0</v>
      </c>
      <c r="G919" s="27"/>
    </row>
    <row r="920">
      <c r="A920" s="21"/>
      <c r="B920" s="21" t="s">
        <v>7181</v>
      </c>
      <c r="D920" s="25">
        <v>20.0</v>
      </c>
      <c r="E920" s="27"/>
      <c r="F920" s="25">
        <v>0.0</v>
      </c>
      <c r="G920" s="27"/>
    </row>
    <row r="921">
      <c r="A921" s="21"/>
      <c r="B921" s="21" t="s">
        <v>7182</v>
      </c>
      <c r="D921" s="25">
        <v>20.0</v>
      </c>
      <c r="E921" s="27"/>
      <c r="F921" s="25">
        <v>4.34</v>
      </c>
      <c r="G921" s="27"/>
    </row>
    <row r="922">
      <c r="A922" s="21"/>
      <c r="B922" s="21" t="s">
        <v>7183</v>
      </c>
      <c r="D922" s="25">
        <v>20.0</v>
      </c>
      <c r="E922" s="27"/>
      <c r="F922" s="25">
        <v>0.0</v>
      </c>
      <c r="G922" s="27"/>
    </row>
    <row r="923">
      <c r="A923" s="21"/>
      <c r="B923" s="21" t="s">
        <v>7184</v>
      </c>
      <c r="D923" s="25">
        <v>20.0</v>
      </c>
      <c r="E923" s="27"/>
      <c r="F923" s="25">
        <v>3.97</v>
      </c>
      <c r="G923" s="27"/>
    </row>
    <row r="924">
      <c r="A924" s="21"/>
      <c r="B924" s="21" t="s">
        <v>7185</v>
      </c>
      <c r="D924" s="25">
        <v>20.0</v>
      </c>
      <c r="E924" s="27"/>
      <c r="F924" s="25">
        <v>3.97</v>
      </c>
      <c r="G924" s="27"/>
    </row>
    <row r="925">
      <c r="A925" s="21"/>
      <c r="B925" s="21" t="s">
        <v>7186</v>
      </c>
      <c r="D925" s="25">
        <v>20.0</v>
      </c>
      <c r="E925" s="27"/>
      <c r="F925" s="25">
        <v>0.0</v>
      </c>
      <c r="G925" s="27"/>
    </row>
    <row r="926">
      <c r="A926" s="21"/>
      <c r="B926" s="21" t="s">
        <v>7187</v>
      </c>
      <c r="D926" s="25">
        <v>20.0</v>
      </c>
      <c r="E926" s="27"/>
      <c r="F926" s="25">
        <v>2.27</v>
      </c>
      <c r="G926" s="27"/>
    </row>
    <row r="927">
      <c r="A927" s="21"/>
      <c r="B927" s="21" t="s">
        <v>7188</v>
      </c>
      <c r="D927" s="25">
        <v>20.0</v>
      </c>
      <c r="E927" s="27"/>
      <c r="F927" s="25">
        <v>11.17</v>
      </c>
      <c r="G927" s="27"/>
    </row>
    <row r="928">
      <c r="A928" s="21"/>
      <c r="B928" s="21" t="s">
        <v>7189</v>
      </c>
      <c r="D928" s="25">
        <v>20.0</v>
      </c>
      <c r="E928" s="27"/>
      <c r="F928" s="25">
        <v>0.0</v>
      </c>
      <c r="G928" s="27"/>
    </row>
    <row r="929">
      <c r="A929" s="21"/>
      <c r="B929" s="21" t="s">
        <v>7190</v>
      </c>
      <c r="D929" s="25">
        <v>20.0</v>
      </c>
      <c r="E929" s="27"/>
      <c r="F929" s="25">
        <v>0.0</v>
      </c>
      <c r="G929" s="27"/>
    </row>
    <row r="930">
      <c r="A930" s="21"/>
      <c r="B930" s="21" t="s">
        <v>7191</v>
      </c>
      <c r="D930" s="25">
        <v>20.0</v>
      </c>
      <c r="E930" s="27"/>
      <c r="F930" s="25">
        <v>0.0</v>
      </c>
      <c r="G930" s="27"/>
    </row>
    <row r="931">
      <c r="A931" s="21"/>
      <c r="B931" s="21" t="s">
        <v>7192</v>
      </c>
      <c r="D931" s="25">
        <v>20.0</v>
      </c>
      <c r="E931" s="27"/>
      <c r="F931" s="25">
        <v>0.0</v>
      </c>
      <c r="G931" s="27"/>
    </row>
    <row r="932">
      <c r="A932" s="21"/>
      <c r="B932" s="21" t="s">
        <v>7193</v>
      </c>
      <c r="D932" s="25">
        <v>20.0</v>
      </c>
      <c r="E932" s="27"/>
      <c r="F932" s="25">
        <v>0.0</v>
      </c>
      <c r="G932" s="27"/>
    </row>
    <row r="933">
      <c r="A933" s="21"/>
      <c r="B933" s="21" t="s">
        <v>7194</v>
      </c>
      <c r="D933" s="25">
        <v>20.0</v>
      </c>
      <c r="E933" s="27"/>
      <c r="F933" s="25">
        <v>0.0</v>
      </c>
      <c r="G933" s="27"/>
    </row>
    <row r="934">
      <c r="A934" s="21"/>
      <c r="B934" s="21" t="s">
        <v>7195</v>
      </c>
      <c r="D934" s="25">
        <v>20.0</v>
      </c>
      <c r="E934" s="27"/>
      <c r="F934" s="25">
        <v>5.44</v>
      </c>
      <c r="G934" s="27"/>
    </row>
    <row r="935">
      <c r="A935" s="21"/>
      <c r="B935" s="21" t="s">
        <v>7196</v>
      </c>
      <c r="D935" s="25">
        <v>20.0</v>
      </c>
      <c r="E935" s="27"/>
      <c r="F935" s="25">
        <v>4.71</v>
      </c>
      <c r="G935" s="27"/>
    </row>
    <row r="936">
      <c r="A936" s="21"/>
      <c r="B936" s="21" t="s">
        <v>7197</v>
      </c>
      <c r="D936" s="25">
        <v>20.0</v>
      </c>
      <c r="E936" s="27"/>
      <c r="F936" s="25">
        <v>0.0</v>
      </c>
      <c r="G936" s="27"/>
    </row>
    <row r="937">
      <c r="A937" s="21"/>
      <c r="B937" s="21" t="s">
        <v>7198</v>
      </c>
      <c r="D937" s="25">
        <v>20.0</v>
      </c>
      <c r="E937" s="27"/>
      <c r="F937" s="25">
        <v>5.47</v>
      </c>
      <c r="G937" s="27"/>
    </row>
    <row r="938">
      <c r="A938" s="21"/>
      <c r="B938" s="21" t="s">
        <v>7199</v>
      </c>
      <c r="D938" s="25">
        <v>20.0</v>
      </c>
      <c r="E938" s="27"/>
      <c r="F938" s="25">
        <v>0.0</v>
      </c>
      <c r="G938" s="27"/>
    </row>
    <row r="939">
      <c r="A939" s="21"/>
      <c r="B939" s="21" t="s">
        <v>7200</v>
      </c>
      <c r="D939" s="25">
        <v>20.0</v>
      </c>
      <c r="E939" s="27"/>
      <c r="F939" s="25">
        <v>0.0</v>
      </c>
      <c r="G939" s="27"/>
    </row>
    <row r="940">
      <c r="A940" s="21"/>
      <c r="B940" s="21" t="s">
        <v>7201</v>
      </c>
      <c r="D940" s="25">
        <v>20.0</v>
      </c>
      <c r="E940" s="27"/>
      <c r="F940" s="25">
        <v>0.0</v>
      </c>
      <c r="G940" s="27"/>
    </row>
    <row r="941">
      <c r="A941" s="21"/>
      <c r="B941" s="21" t="s">
        <v>7202</v>
      </c>
      <c r="D941" s="25">
        <v>20.0</v>
      </c>
      <c r="E941" s="27"/>
      <c r="F941" s="25">
        <v>3.0</v>
      </c>
      <c r="G941" s="27"/>
    </row>
    <row r="942">
      <c r="A942" s="21"/>
      <c r="B942" s="21" t="s">
        <v>7203</v>
      </c>
      <c r="D942" s="25">
        <v>20.0</v>
      </c>
      <c r="E942" s="27"/>
      <c r="F942" s="25">
        <v>2.65</v>
      </c>
      <c r="G942" s="27"/>
    </row>
    <row r="943">
      <c r="A943" s="21"/>
      <c r="B943" s="21" t="s">
        <v>7204</v>
      </c>
      <c r="D943" s="25">
        <v>20.0</v>
      </c>
      <c r="E943" s="27"/>
      <c r="F943" s="25">
        <v>4.0</v>
      </c>
      <c r="G943" s="27"/>
    </row>
    <row r="944">
      <c r="A944" s="21"/>
      <c r="B944" s="21" t="s">
        <v>7205</v>
      </c>
      <c r="D944" s="25">
        <v>20.0</v>
      </c>
      <c r="E944" s="27"/>
      <c r="F944" s="25">
        <v>3.43</v>
      </c>
      <c r="G944" s="27"/>
    </row>
    <row r="945">
      <c r="A945" s="21"/>
      <c r="B945" s="21" t="s">
        <v>1524</v>
      </c>
      <c r="D945" s="25">
        <v>20.0</v>
      </c>
      <c r="E945" s="27"/>
      <c r="F945" s="25">
        <v>0.0</v>
      </c>
      <c r="G945" s="27"/>
    </row>
    <row r="946">
      <c r="A946" s="21"/>
      <c r="B946" s="21" t="s">
        <v>7206</v>
      </c>
      <c r="D946" s="25">
        <v>20.0</v>
      </c>
      <c r="E946" s="27"/>
      <c r="F946" s="25">
        <v>0.0</v>
      </c>
      <c r="G946" s="27"/>
    </row>
    <row r="947">
      <c r="A947" s="21"/>
      <c r="B947" s="21" t="s">
        <v>7207</v>
      </c>
      <c r="D947" s="25">
        <v>20.0</v>
      </c>
      <c r="E947" s="27"/>
      <c r="F947" s="25">
        <v>3.38</v>
      </c>
      <c r="G947" s="27"/>
    </row>
    <row r="948">
      <c r="A948" s="21"/>
      <c r="B948" s="21" t="s">
        <v>7208</v>
      </c>
      <c r="D948" s="25">
        <v>20.0</v>
      </c>
      <c r="E948" s="27"/>
      <c r="F948" s="25">
        <v>3.38</v>
      </c>
      <c r="G948" s="27"/>
    </row>
    <row r="949">
      <c r="A949" s="21"/>
      <c r="B949" s="21" t="s">
        <v>7209</v>
      </c>
      <c r="D949" s="25">
        <v>20.0</v>
      </c>
      <c r="E949" s="27"/>
      <c r="F949" s="25">
        <v>0.0</v>
      </c>
      <c r="G949" s="27"/>
    </row>
    <row r="950">
      <c r="A950" s="21"/>
      <c r="B950" s="21" t="s">
        <v>7210</v>
      </c>
      <c r="C950" s="27"/>
      <c r="D950" s="25">
        <v>20.0</v>
      </c>
      <c r="E950" s="27"/>
      <c r="F950" s="25">
        <v>3.42</v>
      </c>
      <c r="G950" s="27"/>
    </row>
    <row r="951">
      <c r="A951" s="21"/>
      <c r="B951" s="21" t="s">
        <v>7211</v>
      </c>
      <c r="D951" s="25">
        <v>20.0</v>
      </c>
      <c r="E951" s="27"/>
      <c r="F951" s="25">
        <v>10.91</v>
      </c>
      <c r="G951" s="27"/>
    </row>
    <row r="952">
      <c r="A952" s="21"/>
      <c r="B952" s="21" t="s">
        <v>7212</v>
      </c>
      <c r="D952" s="25">
        <v>20.0</v>
      </c>
      <c r="E952" s="27"/>
      <c r="F952" s="25">
        <v>0.0</v>
      </c>
      <c r="G952" s="27"/>
    </row>
    <row r="953">
      <c r="A953" s="21"/>
      <c r="B953" s="21" t="s">
        <v>1527</v>
      </c>
      <c r="D953" s="25">
        <v>20.0</v>
      </c>
      <c r="E953" s="27"/>
      <c r="F953" s="25">
        <v>0.0</v>
      </c>
      <c r="G953" s="27"/>
    </row>
    <row r="954">
      <c r="A954" s="21"/>
      <c r="B954" s="21" t="s">
        <v>7213</v>
      </c>
      <c r="D954" s="25">
        <v>20.0</v>
      </c>
      <c r="E954" s="27"/>
      <c r="F954" s="25">
        <v>5.85</v>
      </c>
      <c r="G954" s="27"/>
    </row>
    <row r="955">
      <c r="A955" s="21"/>
      <c r="B955" s="21" t="s">
        <v>7214</v>
      </c>
      <c r="D955" s="25">
        <v>20.0</v>
      </c>
      <c r="E955" s="27"/>
      <c r="F955" s="25">
        <v>3.85</v>
      </c>
      <c r="G955" s="27"/>
    </row>
    <row r="956">
      <c r="A956" s="21"/>
      <c r="B956" s="21" t="s">
        <v>5994</v>
      </c>
      <c r="D956" s="25">
        <v>20.0</v>
      </c>
      <c r="E956" s="27"/>
      <c r="F956" s="25">
        <v>5.73</v>
      </c>
      <c r="G956" s="27"/>
    </row>
    <row r="957">
      <c r="A957" s="21"/>
      <c r="B957" s="21" t="s">
        <v>7215</v>
      </c>
      <c r="D957" s="25">
        <v>20.0</v>
      </c>
      <c r="E957" s="27"/>
      <c r="F957" s="25">
        <v>3.7</v>
      </c>
      <c r="G957" s="27"/>
    </row>
    <row r="958">
      <c r="A958" s="21"/>
      <c r="B958" s="21" t="s">
        <v>7216</v>
      </c>
      <c r="D958" s="25">
        <v>20.0</v>
      </c>
      <c r="E958" s="27"/>
      <c r="F958" s="25">
        <v>0.0</v>
      </c>
      <c r="G958" s="27"/>
    </row>
    <row r="959">
      <c r="A959" s="21"/>
      <c r="B959" s="21" t="s">
        <v>7217</v>
      </c>
      <c r="D959" s="25">
        <v>20.0</v>
      </c>
      <c r="E959" s="27"/>
      <c r="F959" s="25">
        <v>7.55</v>
      </c>
      <c r="G959" s="27"/>
    </row>
    <row r="960">
      <c r="A960" s="21"/>
      <c r="B960" s="21" t="s">
        <v>7218</v>
      </c>
      <c r="D960" s="25">
        <v>20.0</v>
      </c>
      <c r="E960" s="27"/>
      <c r="F960" s="25">
        <v>7.31</v>
      </c>
      <c r="G960" s="27"/>
    </row>
    <row r="961">
      <c r="A961" s="21"/>
      <c r="B961" s="21" t="s">
        <v>7219</v>
      </c>
      <c r="D961" s="25">
        <v>20.0</v>
      </c>
      <c r="E961" s="27"/>
      <c r="F961" s="25">
        <v>3.26</v>
      </c>
      <c r="G961" s="27"/>
    </row>
    <row r="962">
      <c r="A962" s="21"/>
      <c r="B962" s="21" t="s">
        <v>7220</v>
      </c>
      <c r="D962" s="25">
        <v>20.0</v>
      </c>
      <c r="E962" s="27"/>
      <c r="F962" s="25">
        <v>0.0</v>
      </c>
      <c r="G962" s="27"/>
    </row>
    <row r="963">
      <c r="A963" s="21"/>
      <c r="B963" s="21" t="s">
        <v>7221</v>
      </c>
      <c r="D963" s="25">
        <v>20.0</v>
      </c>
      <c r="E963" s="27"/>
      <c r="F963" s="25">
        <v>4.66</v>
      </c>
      <c r="G963" s="27"/>
    </row>
    <row r="964">
      <c r="A964" s="21"/>
      <c r="B964" s="21" t="s">
        <v>7222</v>
      </c>
      <c r="D964" s="25">
        <v>20.0</v>
      </c>
      <c r="E964" s="27"/>
      <c r="F964" s="25">
        <v>4.22</v>
      </c>
      <c r="G964" s="27"/>
    </row>
    <row r="965">
      <c r="A965" s="21"/>
      <c r="B965" s="21" t="s">
        <v>7223</v>
      </c>
      <c r="D965" s="25">
        <v>20.0</v>
      </c>
      <c r="E965" s="27"/>
      <c r="F965" s="25">
        <v>0.0</v>
      </c>
      <c r="G965" s="27"/>
    </row>
    <row r="966">
      <c r="A966" s="21"/>
      <c r="B966" s="21" t="s">
        <v>7224</v>
      </c>
      <c r="D966" s="25">
        <v>20.0</v>
      </c>
      <c r="E966" s="27"/>
      <c r="F966" s="25">
        <v>0.0</v>
      </c>
      <c r="G966" s="27"/>
    </row>
    <row r="967">
      <c r="A967" s="21"/>
      <c r="B967" s="21" t="s">
        <v>7225</v>
      </c>
      <c r="D967" s="25">
        <v>20.0</v>
      </c>
      <c r="E967" s="27"/>
      <c r="F967" s="25">
        <v>0.0</v>
      </c>
      <c r="G967" s="27"/>
    </row>
    <row r="968">
      <c r="A968" s="21"/>
      <c r="B968" s="21" t="s">
        <v>7226</v>
      </c>
      <c r="D968" s="25">
        <v>20.0</v>
      </c>
      <c r="E968" s="27"/>
      <c r="F968" s="25">
        <v>0.0</v>
      </c>
      <c r="G968" s="27"/>
    </row>
    <row r="969">
      <c r="A969" s="21"/>
      <c r="B969" s="21" t="s">
        <v>7227</v>
      </c>
      <c r="D969" s="25">
        <v>20.0</v>
      </c>
      <c r="E969" s="27"/>
      <c r="F969" s="25">
        <v>0.0</v>
      </c>
      <c r="G969" s="27"/>
    </row>
    <row r="970">
      <c r="A970" s="21"/>
      <c r="B970" s="21" t="s">
        <v>7228</v>
      </c>
      <c r="D970" s="25">
        <v>20.0</v>
      </c>
      <c r="E970" s="27"/>
      <c r="F970" s="25">
        <v>7.41</v>
      </c>
      <c r="G970" s="27"/>
    </row>
    <row r="971">
      <c r="A971" s="21"/>
      <c r="B971" s="21" t="s">
        <v>7229</v>
      </c>
      <c r="D971" s="25">
        <v>20.0</v>
      </c>
      <c r="E971" s="27"/>
      <c r="F971" s="25">
        <v>7.14</v>
      </c>
      <c r="G971" s="27"/>
    </row>
    <row r="972">
      <c r="A972" s="21"/>
      <c r="B972" s="21" t="s">
        <v>7230</v>
      </c>
      <c r="D972" s="25">
        <v>20.0</v>
      </c>
      <c r="E972" s="27"/>
      <c r="F972" s="25">
        <v>0.0</v>
      </c>
      <c r="G972" s="27"/>
    </row>
    <row r="973">
      <c r="A973" s="21"/>
      <c r="B973" s="21" t="s">
        <v>7231</v>
      </c>
      <c r="D973" s="25">
        <v>20.0</v>
      </c>
      <c r="E973" s="27"/>
      <c r="F973" s="25">
        <v>0.0</v>
      </c>
      <c r="G973" s="27"/>
    </row>
    <row r="974">
      <c r="A974" s="21"/>
      <c r="B974" s="21" t="s">
        <v>7232</v>
      </c>
      <c r="D974" s="25">
        <v>20.0</v>
      </c>
      <c r="E974" s="27"/>
      <c r="F974" s="25">
        <v>10.91</v>
      </c>
      <c r="G974" s="27"/>
    </row>
    <row r="975">
      <c r="A975" s="21"/>
      <c r="B975" s="21" t="s">
        <v>7233</v>
      </c>
      <c r="D975" s="25">
        <v>20.0</v>
      </c>
      <c r="E975" s="27"/>
      <c r="F975" s="25">
        <v>0.0</v>
      </c>
      <c r="G975" s="27"/>
    </row>
    <row r="976">
      <c r="A976" s="21"/>
      <c r="B976" s="21" t="s">
        <v>7234</v>
      </c>
      <c r="D976" s="25">
        <v>20.0</v>
      </c>
      <c r="E976" s="27"/>
      <c r="F976" s="25">
        <v>0.0</v>
      </c>
      <c r="G976" s="27"/>
    </row>
    <row r="977">
      <c r="A977" s="21"/>
      <c r="B977" s="21" t="s">
        <v>7235</v>
      </c>
      <c r="D977" s="25">
        <v>20.0</v>
      </c>
      <c r="E977" s="27"/>
      <c r="F977" s="25">
        <v>5.96</v>
      </c>
      <c r="G977" s="27"/>
    </row>
    <row r="978">
      <c r="A978" s="21"/>
      <c r="B978" s="21" t="s">
        <v>7236</v>
      </c>
      <c r="D978" s="25">
        <v>20.0</v>
      </c>
      <c r="E978" s="27"/>
      <c r="F978" s="25">
        <v>9.95</v>
      </c>
      <c r="G978" s="27"/>
    </row>
    <row r="979">
      <c r="A979" s="21"/>
      <c r="B979" s="21" t="s">
        <v>7237</v>
      </c>
      <c r="D979" s="25">
        <v>20.0</v>
      </c>
      <c r="E979" s="27"/>
      <c r="F979" s="25">
        <v>0.0</v>
      </c>
      <c r="G979" s="27"/>
    </row>
    <row r="980">
      <c r="A980" s="21"/>
      <c r="B980" s="21" t="s">
        <v>7238</v>
      </c>
      <c r="D980" s="25">
        <v>20.0</v>
      </c>
      <c r="E980" s="27"/>
      <c r="F980" s="25">
        <v>0.0</v>
      </c>
      <c r="G980" s="27"/>
    </row>
    <row r="981">
      <c r="A981" s="21"/>
      <c r="B981" s="21" t="s">
        <v>7239</v>
      </c>
      <c r="D981" s="25">
        <v>20.0</v>
      </c>
      <c r="E981" s="27"/>
      <c r="F981" s="25">
        <v>4.97</v>
      </c>
      <c r="G981" s="27"/>
    </row>
    <row r="982">
      <c r="A982" s="21"/>
      <c r="B982" s="21" t="s">
        <v>7240</v>
      </c>
      <c r="D982" s="25">
        <v>20.0</v>
      </c>
      <c r="E982" s="27"/>
      <c r="F982" s="25">
        <v>4.97</v>
      </c>
      <c r="G982" s="27"/>
    </row>
    <row r="983">
      <c r="A983" s="21"/>
      <c r="B983" s="21" t="s">
        <v>7241</v>
      </c>
      <c r="D983" s="25">
        <v>20.0</v>
      </c>
      <c r="E983" s="27"/>
      <c r="F983" s="25">
        <v>0.0</v>
      </c>
      <c r="G983" s="27"/>
    </row>
    <row r="984">
      <c r="A984" s="21"/>
      <c r="B984" s="21" t="s">
        <v>7242</v>
      </c>
      <c r="D984" s="25">
        <v>20.0</v>
      </c>
      <c r="E984" s="27"/>
      <c r="F984" s="25">
        <v>0.0</v>
      </c>
      <c r="G984" s="27"/>
    </row>
    <row r="985">
      <c r="A985" s="21"/>
      <c r="B985" s="21" t="s">
        <v>7243</v>
      </c>
      <c r="D985" s="25">
        <v>20.0</v>
      </c>
      <c r="E985" s="27"/>
      <c r="F985" s="25">
        <v>5.35</v>
      </c>
      <c r="G985" s="27"/>
    </row>
    <row r="986">
      <c r="A986" s="21"/>
      <c r="B986" s="21" t="s">
        <v>7244</v>
      </c>
      <c r="D986" s="25">
        <v>20.0</v>
      </c>
      <c r="E986" s="27"/>
      <c r="F986" s="25">
        <v>0.0</v>
      </c>
      <c r="G986" s="27"/>
    </row>
    <row r="987">
      <c r="A987" s="21"/>
      <c r="B987" s="21" t="s">
        <v>7245</v>
      </c>
      <c r="D987" s="25">
        <v>20.0</v>
      </c>
      <c r="E987" s="27"/>
      <c r="F987" s="25">
        <v>0.0</v>
      </c>
      <c r="G987" s="27"/>
    </row>
    <row r="988">
      <c r="A988" s="21"/>
      <c r="B988" s="21" t="s">
        <v>7246</v>
      </c>
      <c r="D988" s="25">
        <v>20.0</v>
      </c>
      <c r="E988" s="27"/>
      <c r="F988" s="25">
        <v>4.27</v>
      </c>
      <c r="G988" s="27"/>
    </row>
    <row r="989">
      <c r="A989" s="21"/>
      <c r="B989" s="21" t="s">
        <v>7247</v>
      </c>
      <c r="D989" s="25">
        <v>20.0</v>
      </c>
      <c r="E989" s="27"/>
      <c r="F989" s="25">
        <v>0.0</v>
      </c>
      <c r="G989" s="27"/>
    </row>
    <row r="990">
      <c r="A990" s="21"/>
      <c r="B990" s="21" t="s">
        <v>7248</v>
      </c>
      <c r="D990" s="25">
        <v>20.0</v>
      </c>
      <c r="E990" s="27"/>
      <c r="F990" s="25">
        <v>0.0</v>
      </c>
      <c r="G990" s="27"/>
    </row>
    <row r="991">
      <c r="A991" s="21"/>
      <c r="B991" s="21" t="s">
        <v>7249</v>
      </c>
      <c r="D991" s="25">
        <v>20.0</v>
      </c>
      <c r="E991" s="27"/>
      <c r="F991" s="25">
        <v>0.0</v>
      </c>
      <c r="G991" s="27"/>
    </row>
    <row r="992">
      <c r="A992" s="21"/>
      <c r="B992" s="21" t="s">
        <v>7250</v>
      </c>
      <c r="D992" s="25">
        <v>20.0</v>
      </c>
      <c r="E992" s="27"/>
      <c r="F992" s="25">
        <v>8.01</v>
      </c>
      <c r="G992" s="27"/>
    </row>
    <row r="993">
      <c r="A993" s="21"/>
      <c r="B993" s="21" t="s">
        <v>7251</v>
      </c>
      <c r="D993" s="25">
        <v>20.0</v>
      </c>
      <c r="E993" s="27"/>
      <c r="F993" s="25">
        <v>8.01</v>
      </c>
      <c r="G993" s="27"/>
    </row>
    <row r="994">
      <c r="A994" s="21"/>
      <c r="B994" s="21" t="s">
        <v>7252</v>
      </c>
      <c r="D994" s="25">
        <v>20.0</v>
      </c>
      <c r="E994" s="27"/>
      <c r="F994" s="25">
        <v>0.0</v>
      </c>
      <c r="G994" s="27"/>
    </row>
    <row r="995">
      <c r="A995" s="21"/>
      <c r="B995" s="21" t="s">
        <v>7253</v>
      </c>
      <c r="D995" s="25">
        <v>20.0</v>
      </c>
      <c r="E995" s="27"/>
      <c r="F995" s="25">
        <v>0.0</v>
      </c>
      <c r="G995" s="27"/>
    </row>
    <row r="996">
      <c r="A996" s="21"/>
      <c r="B996" s="21" t="s">
        <v>7254</v>
      </c>
      <c r="D996" s="25">
        <v>20.0</v>
      </c>
      <c r="E996" s="27"/>
      <c r="F996" s="25">
        <v>0.0</v>
      </c>
      <c r="G996" s="27"/>
    </row>
    <row r="997">
      <c r="A997" s="21"/>
      <c r="B997" s="21" t="s">
        <v>7255</v>
      </c>
      <c r="D997" s="25">
        <v>20.0</v>
      </c>
      <c r="E997" s="27"/>
      <c r="F997" s="25">
        <v>0.0</v>
      </c>
      <c r="G997" s="27"/>
    </row>
    <row r="998">
      <c r="A998" s="21"/>
      <c r="B998" s="21" t="s">
        <v>7256</v>
      </c>
      <c r="D998" s="25">
        <v>20.0</v>
      </c>
      <c r="E998" s="27"/>
      <c r="F998" s="25">
        <v>0.0</v>
      </c>
      <c r="G998" s="27"/>
    </row>
    <row r="999">
      <c r="A999" s="21"/>
      <c r="B999" s="21" t="s">
        <v>7257</v>
      </c>
      <c r="D999" s="25">
        <v>20.0</v>
      </c>
      <c r="E999" s="27"/>
      <c r="F999" s="25">
        <v>9.11</v>
      </c>
      <c r="G999" s="27"/>
    </row>
    <row r="1000">
      <c r="A1000" s="21"/>
      <c r="B1000" s="21" t="s">
        <v>7258</v>
      </c>
      <c r="D1000" s="25">
        <v>20.0</v>
      </c>
      <c r="E1000" s="27"/>
      <c r="F1000" s="25">
        <v>10.84</v>
      </c>
      <c r="G1000" s="27"/>
    </row>
    <row r="1001">
      <c r="A1001" s="21"/>
      <c r="B1001" s="21" t="s">
        <v>7259</v>
      </c>
      <c r="D1001" s="25">
        <v>20.0</v>
      </c>
      <c r="E1001" s="27"/>
      <c r="F1001" s="25">
        <v>0.0</v>
      </c>
      <c r="G1001" s="27"/>
    </row>
    <row r="1002">
      <c r="A1002" s="21"/>
      <c r="B1002" s="21" t="s">
        <v>7260</v>
      </c>
      <c r="D1002" s="25">
        <v>20.0</v>
      </c>
      <c r="E1002" s="27"/>
      <c r="F1002" s="25">
        <v>0.0</v>
      </c>
      <c r="G1002" s="27"/>
    </row>
    <row r="1003">
      <c r="A1003" s="21"/>
      <c r="B1003" s="21" t="s">
        <v>7261</v>
      </c>
      <c r="D1003" s="25">
        <v>20.0</v>
      </c>
      <c r="E1003" s="27"/>
      <c r="F1003" s="25">
        <v>0.0</v>
      </c>
      <c r="G1003" s="27"/>
    </row>
    <row r="1004">
      <c r="A1004" s="21"/>
      <c r="B1004" s="21" t="s">
        <v>7262</v>
      </c>
      <c r="D1004" s="25">
        <v>20.0</v>
      </c>
      <c r="E1004" s="27"/>
      <c r="F1004" s="25">
        <v>0.0</v>
      </c>
      <c r="G1004" s="27"/>
    </row>
    <row r="1005">
      <c r="A1005" s="21"/>
      <c r="B1005" s="21" t="s">
        <v>7263</v>
      </c>
      <c r="D1005" s="25">
        <v>20.0</v>
      </c>
      <c r="E1005" s="27"/>
      <c r="F1005" s="25">
        <v>3.12</v>
      </c>
      <c r="G1005" s="27"/>
    </row>
    <row r="1006">
      <c r="A1006" s="21"/>
      <c r="B1006" s="21" t="s">
        <v>7264</v>
      </c>
      <c r="D1006" s="25">
        <v>20.0</v>
      </c>
      <c r="E1006" s="27"/>
      <c r="F1006" s="25">
        <v>2.84</v>
      </c>
      <c r="G1006" s="27"/>
    </row>
    <row r="1007">
      <c r="A1007" s="21"/>
      <c r="B1007" s="21" t="s">
        <v>7265</v>
      </c>
      <c r="D1007" s="25">
        <v>20.0</v>
      </c>
      <c r="E1007" s="27"/>
      <c r="F1007" s="25">
        <v>0.0</v>
      </c>
      <c r="G1007" s="27"/>
    </row>
    <row r="1008">
      <c r="A1008" s="21"/>
      <c r="B1008" s="21" t="s">
        <v>7266</v>
      </c>
      <c r="D1008" s="25">
        <v>20.0</v>
      </c>
      <c r="E1008" s="27"/>
      <c r="F1008" s="25">
        <v>9.99</v>
      </c>
      <c r="G1008" s="27"/>
    </row>
    <row r="1009">
      <c r="A1009" s="21"/>
      <c r="B1009" s="21" t="s">
        <v>7267</v>
      </c>
      <c r="D1009" s="25">
        <v>20.0</v>
      </c>
      <c r="E1009" s="27"/>
      <c r="F1009" s="25">
        <v>9.99</v>
      </c>
      <c r="G1009" s="27"/>
    </row>
    <row r="1010">
      <c r="A1010" s="21"/>
      <c r="B1010" s="21" t="s">
        <v>7268</v>
      </c>
      <c r="D1010" s="25">
        <v>20.0</v>
      </c>
      <c r="E1010" s="27"/>
      <c r="F1010" s="25">
        <v>0.0</v>
      </c>
      <c r="G1010" s="27"/>
    </row>
    <row r="1011">
      <c r="A1011" s="21"/>
      <c r="B1011" s="21" t="s">
        <v>7269</v>
      </c>
      <c r="D1011" s="25">
        <v>20.0</v>
      </c>
      <c r="E1011" s="27"/>
      <c r="F1011" s="25">
        <v>5.23</v>
      </c>
      <c r="G1011" s="27"/>
    </row>
    <row r="1012">
      <c r="A1012" s="21"/>
      <c r="B1012" s="21" t="s">
        <v>7270</v>
      </c>
      <c r="D1012" s="25">
        <v>20.0</v>
      </c>
      <c r="E1012" s="27"/>
      <c r="F1012" s="25">
        <v>9.34</v>
      </c>
      <c r="G1012" s="27"/>
    </row>
    <row r="1013">
      <c r="A1013" s="21"/>
      <c r="B1013" s="21" t="s">
        <v>7271</v>
      </c>
      <c r="D1013" s="25">
        <v>20.0</v>
      </c>
      <c r="E1013" s="27"/>
      <c r="F1013" s="25">
        <v>7.19</v>
      </c>
      <c r="G1013" s="27"/>
    </row>
    <row r="1014">
      <c r="A1014" s="21"/>
      <c r="B1014" s="21" t="s">
        <v>7272</v>
      </c>
      <c r="D1014" s="25">
        <v>20.0</v>
      </c>
      <c r="E1014" s="27"/>
      <c r="F1014" s="25">
        <v>0.0</v>
      </c>
      <c r="G1014" s="27"/>
    </row>
    <row r="1015">
      <c r="A1015" s="21"/>
      <c r="B1015" s="21" t="s">
        <v>7273</v>
      </c>
      <c r="D1015" s="25">
        <v>20.0</v>
      </c>
      <c r="E1015" s="27"/>
      <c r="F1015" s="25">
        <v>0.0</v>
      </c>
      <c r="G1015" s="27"/>
    </row>
    <row r="1016">
      <c r="A1016" s="21"/>
      <c r="B1016" s="21" t="s">
        <v>7274</v>
      </c>
      <c r="D1016" s="25">
        <v>20.0</v>
      </c>
      <c r="E1016" s="27"/>
      <c r="F1016" s="25">
        <v>0.0</v>
      </c>
      <c r="G1016" s="27"/>
    </row>
    <row r="1017">
      <c r="A1017" s="21"/>
      <c r="B1017" s="21" t="s">
        <v>7275</v>
      </c>
      <c r="D1017" s="25">
        <v>20.0</v>
      </c>
      <c r="E1017" s="27"/>
      <c r="F1017" s="25">
        <v>0.0</v>
      </c>
      <c r="G1017" s="27"/>
    </row>
    <row r="1018">
      <c r="A1018" s="21"/>
      <c r="B1018" s="21" t="s">
        <v>7276</v>
      </c>
      <c r="D1018" s="25">
        <v>20.0</v>
      </c>
      <c r="E1018" s="27"/>
      <c r="F1018" s="25">
        <v>0.0</v>
      </c>
      <c r="G1018" s="27"/>
    </row>
    <row r="1019">
      <c r="A1019" s="21"/>
      <c r="B1019" s="21" t="s">
        <v>7277</v>
      </c>
      <c r="D1019" s="25">
        <v>20.0</v>
      </c>
      <c r="E1019" s="27"/>
      <c r="F1019" s="25">
        <v>1.59</v>
      </c>
      <c r="G1019" s="27"/>
    </row>
    <row r="1020">
      <c r="A1020" s="21"/>
      <c r="B1020" s="21" t="s">
        <v>7278</v>
      </c>
      <c r="D1020" s="25">
        <v>20.0</v>
      </c>
      <c r="E1020" s="27"/>
      <c r="F1020" s="25">
        <v>0.0</v>
      </c>
      <c r="G1020" s="27"/>
    </row>
    <row r="1021">
      <c r="A1021" s="21"/>
      <c r="B1021" s="21" t="s">
        <v>7279</v>
      </c>
      <c r="D1021" s="25">
        <v>20.0</v>
      </c>
      <c r="E1021" s="27"/>
      <c r="F1021" s="25">
        <v>4.21</v>
      </c>
      <c r="G1021" s="27"/>
    </row>
    <row r="1022">
      <c r="A1022" s="21"/>
      <c r="B1022" s="21" t="s">
        <v>7280</v>
      </c>
      <c r="D1022" s="25">
        <v>20.0</v>
      </c>
      <c r="E1022" s="27"/>
      <c r="F1022" s="25">
        <v>3.93</v>
      </c>
      <c r="G1022" s="27"/>
    </row>
    <row r="1023">
      <c r="A1023" s="21"/>
      <c r="B1023" s="21" t="s">
        <v>7281</v>
      </c>
      <c r="D1023" s="25">
        <v>20.0</v>
      </c>
      <c r="E1023" s="27"/>
      <c r="F1023" s="25">
        <v>8.2</v>
      </c>
      <c r="G1023" s="27"/>
    </row>
    <row r="1024">
      <c r="A1024" s="21"/>
      <c r="B1024" s="21" t="s">
        <v>7282</v>
      </c>
      <c r="D1024" s="25">
        <v>20.0</v>
      </c>
      <c r="E1024" s="27"/>
      <c r="F1024" s="25">
        <v>0.0</v>
      </c>
      <c r="G1024" s="27"/>
    </row>
    <row r="1025">
      <c r="A1025" s="21"/>
      <c r="B1025" s="21" t="s">
        <v>7283</v>
      </c>
      <c r="D1025" s="25">
        <v>20.0</v>
      </c>
      <c r="E1025" s="27"/>
      <c r="F1025" s="25">
        <v>0.0</v>
      </c>
      <c r="G1025" s="27"/>
    </row>
    <row r="1026">
      <c r="A1026" s="21"/>
      <c r="B1026" s="21" t="s">
        <v>7284</v>
      </c>
      <c r="D1026" s="25">
        <v>20.0</v>
      </c>
      <c r="E1026" s="27"/>
      <c r="F1026" s="25">
        <v>9.67</v>
      </c>
      <c r="G1026" s="27"/>
    </row>
    <row r="1027">
      <c r="A1027" s="21"/>
      <c r="B1027" s="21" t="s">
        <v>7285</v>
      </c>
      <c r="D1027" s="25">
        <v>20.0</v>
      </c>
      <c r="E1027" s="27"/>
      <c r="F1027" s="25">
        <v>0.0</v>
      </c>
      <c r="G1027" s="27"/>
    </row>
    <row r="1028">
      <c r="A1028" s="21"/>
      <c r="B1028" s="21" t="s">
        <v>7286</v>
      </c>
      <c r="D1028" s="25">
        <v>20.0</v>
      </c>
      <c r="E1028" s="27"/>
      <c r="F1028" s="25">
        <v>0.0</v>
      </c>
      <c r="G1028" s="27"/>
    </row>
    <row r="1029">
      <c r="A1029" s="21"/>
      <c r="B1029" s="21" t="s">
        <v>7287</v>
      </c>
      <c r="D1029" s="25">
        <v>20.0</v>
      </c>
      <c r="E1029" s="27"/>
      <c r="F1029" s="25">
        <v>4.73</v>
      </c>
      <c r="G1029" s="27"/>
    </row>
    <row r="1030">
      <c r="A1030" s="21"/>
      <c r="B1030" s="21" t="s">
        <v>7288</v>
      </c>
      <c r="D1030" s="25">
        <v>20.0</v>
      </c>
      <c r="E1030" s="27"/>
      <c r="F1030" s="25">
        <v>4.51</v>
      </c>
      <c r="G1030" s="27"/>
    </row>
    <row r="1031">
      <c r="A1031" s="21"/>
      <c r="B1031" s="21" t="s">
        <v>7289</v>
      </c>
      <c r="D1031" s="25">
        <v>20.0</v>
      </c>
      <c r="E1031" s="27"/>
      <c r="F1031" s="25">
        <v>0.0</v>
      </c>
      <c r="G1031" s="27"/>
    </row>
    <row r="1032">
      <c r="A1032" s="21"/>
      <c r="B1032" s="21" t="s">
        <v>7290</v>
      </c>
      <c r="D1032" s="25">
        <v>20.0</v>
      </c>
      <c r="E1032" s="27"/>
      <c r="F1032" s="25">
        <v>0.0</v>
      </c>
      <c r="G1032" s="27"/>
    </row>
    <row r="1033">
      <c r="A1033" s="21"/>
      <c r="B1033" s="21" t="s">
        <v>7291</v>
      </c>
      <c r="D1033" s="25">
        <v>20.0</v>
      </c>
      <c r="E1033" s="27"/>
      <c r="F1033" s="25">
        <v>0.0</v>
      </c>
      <c r="G1033" s="27"/>
    </row>
    <row r="1034">
      <c r="A1034" s="21"/>
      <c r="B1034" s="21" t="s">
        <v>7292</v>
      </c>
      <c r="D1034" s="25">
        <v>20.0</v>
      </c>
      <c r="E1034" s="27"/>
      <c r="F1034" s="25">
        <v>0.0</v>
      </c>
      <c r="G1034" s="27"/>
    </row>
    <row r="1035">
      <c r="A1035" s="21"/>
      <c r="B1035" s="21" t="s">
        <v>7293</v>
      </c>
      <c r="D1035" s="25">
        <v>20.0</v>
      </c>
      <c r="E1035" s="27"/>
      <c r="F1035" s="25">
        <v>0.0</v>
      </c>
      <c r="G1035" s="27"/>
    </row>
    <row r="1036">
      <c r="A1036" s="21"/>
      <c r="B1036" s="21" t="s">
        <v>7294</v>
      </c>
      <c r="D1036" s="25">
        <v>20.0</v>
      </c>
      <c r="E1036" s="27"/>
      <c r="F1036" s="25">
        <v>4.17</v>
      </c>
      <c r="G1036" s="27"/>
    </row>
    <row r="1037">
      <c r="A1037" s="21"/>
      <c r="B1037" s="21" t="s">
        <v>7295</v>
      </c>
      <c r="D1037" s="25">
        <v>20.0</v>
      </c>
      <c r="E1037" s="27"/>
      <c r="F1037" s="25">
        <v>4.17</v>
      </c>
      <c r="G1037" s="27"/>
    </row>
    <row r="1038">
      <c r="A1038" s="21"/>
      <c r="B1038" s="21" t="s">
        <v>42</v>
      </c>
      <c r="D1038" s="25">
        <v>20.0</v>
      </c>
      <c r="E1038" s="27"/>
      <c r="F1038" s="25">
        <v>5.92</v>
      </c>
      <c r="G1038" s="27"/>
    </row>
    <row r="1039">
      <c r="A1039" s="21"/>
      <c r="B1039" s="21" t="s">
        <v>7296</v>
      </c>
      <c r="D1039" s="25">
        <v>20.0</v>
      </c>
      <c r="E1039" s="27"/>
      <c r="F1039" s="25">
        <v>0.0</v>
      </c>
      <c r="G1039" s="27"/>
    </row>
    <row r="1040">
      <c r="A1040" s="21"/>
      <c r="B1040" s="21" t="s">
        <v>7297</v>
      </c>
      <c r="D1040" s="25">
        <v>20.0</v>
      </c>
      <c r="E1040" s="27"/>
      <c r="F1040" s="25">
        <v>3.67</v>
      </c>
      <c r="G1040" s="27"/>
    </row>
    <row r="1041">
      <c r="A1041" s="21"/>
      <c r="B1041" s="21" t="s">
        <v>7298</v>
      </c>
      <c r="D1041" s="25">
        <v>20.0</v>
      </c>
      <c r="E1041" s="27"/>
      <c r="F1041" s="25">
        <v>0.0</v>
      </c>
      <c r="G1041" s="27"/>
    </row>
    <row r="1042">
      <c r="A1042" s="21"/>
      <c r="B1042" s="21" t="s">
        <v>7299</v>
      </c>
      <c r="D1042" s="25">
        <v>20.0</v>
      </c>
      <c r="E1042" s="27"/>
      <c r="F1042" s="25">
        <v>0.53</v>
      </c>
      <c r="G1042" s="27"/>
    </row>
    <row r="1043">
      <c r="A1043" s="21"/>
      <c r="B1043" s="21" t="s">
        <v>7300</v>
      </c>
      <c r="D1043" s="25">
        <v>20.0</v>
      </c>
      <c r="E1043" s="27"/>
      <c r="F1043" s="25">
        <v>0.0</v>
      </c>
      <c r="G1043" s="27"/>
    </row>
    <row r="1044">
      <c r="A1044" s="21"/>
      <c r="B1044" s="21" t="s">
        <v>7301</v>
      </c>
      <c r="D1044" s="25">
        <v>20.0</v>
      </c>
      <c r="E1044" s="27"/>
      <c r="F1044" s="25">
        <v>0.0</v>
      </c>
      <c r="G1044" s="27"/>
    </row>
    <row r="1045">
      <c r="A1045" s="21"/>
      <c r="B1045" s="21" t="s">
        <v>7302</v>
      </c>
      <c r="D1045" s="25">
        <v>20.0</v>
      </c>
      <c r="E1045" s="27"/>
      <c r="F1045" s="25">
        <v>0.0</v>
      </c>
      <c r="G1045" s="27"/>
    </row>
    <row r="1046">
      <c r="A1046" s="21"/>
      <c r="B1046" s="21" t="s">
        <v>7303</v>
      </c>
      <c r="D1046" s="25">
        <v>20.0</v>
      </c>
      <c r="E1046" s="27"/>
      <c r="F1046" s="25">
        <v>0.0</v>
      </c>
      <c r="G1046" s="27"/>
    </row>
    <row r="1047">
      <c r="A1047" s="21"/>
      <c r="B1047" s="21" t="s">
        <v>7304</v>
      </c>
      <c r="D1047" s="25">
        <v>20.0</v>
      </c>
      <c r="E1047" s="27"/>
      <c r="F1047" s="25">
        <v>0.0</v>
      </c>
      <c r="G1047" s="27"/>
    </row>
    <row r="1048">
      <c r="A1048" s="21"/>
      <c r="B1048" s="21" t="s">
        <v>7305</v>
      </c>
      <c r="D1048" s="25">
        <v>20.0</v>
      </c>
      <c r="E1048" s="27"/>
      <c r="F1048" s="25">
        <v>0.0</v>
      </c>
      <c r="G1048" s="27"/>
    </row>
    <row r="1049">
      <c r="A1049" s="21"/>
      <c r="B1049" s="21" t="s">
        <v>7306</v>
      </c>
      <c r="D1049" s="25">
        <v>20.0</v>
      </c>
      <c r="E1049" s="27"/>
      <c r="F1049" s="25">
        <v>7.16</v>
      </c>
      <c r="G1049" s="27"/>
    </row>
    <row r="1050">
      <c r="A1050" s="21"/>
      <c r="B1050" s="21" t="s">
        <v>7307</v>
      </c>
      <c r="D1050" s="25">
        <v>20.0</v>
      </c>
      <c r="E1050" s="27"/>
      <c r="F1050" s="25">
        <v>0.0</v>
      </c>
      <c r="G1050" s="27"/>
    </row>
    <row r="1051">
      <c r="A1051" s="21"/>
      <c r="B1051" s="21" t="s">
        <v>7308</v>
      </c>
      <c r="D1051" s="25">
        <v>20.0</v>
      </c>
      <c r="E1051" s="27"/>
      <c r="F1051" s="25">
        <v>4.83</v>
      </c>
      <c r="G1051" s="27"/>
    </row>
    <row r="1052">
      <c r="A1052" s="21"/>
      <c r="B1052" s="21" t="s">
        <v>7309</v>
      </c>
      <c r="D1052" s="25">
        <v>20.0</v>
      </c>
      <c r="E1052" s="27"/>
      <c r="F1052" s="25">
        <v>6.65</v>
      </c>
      <c r="G1052" s="27"/>
    </row>
    <row r="1053">
      <c r="A1053" s="21"/>
      <c r="B1053" s="21" t="s">
        <v>7310</v>
      </c>
      <c r="D1053" s="25">
        <v>20.0</v>
      </c>
      <c r="E1053" s="27"/>
      <c r="F1053" s="25">
        <v>0.0</v>
      </c>
      <c r="G1053" s="27"/>
    </row>
    <row r="1054">
      <c r="A1054" s="21"/>
      <c r="B1054" s="21" t="s">
        <v>7311</v>
      </c>
      <c r="D1054" s="25">
        <v>20.0</v>
      </c>
      <c r="E1054" s="27"/>
      <c r="F1054" s="25">
        <v>0.0</v>
      </c>
      <c r="G1054" s="27"/>
    </row>
    <row r="1055">
      <c r="A1055" s="21"/>
      <c r="B1055" s="21" t="s">
        <v>7312</v>
      </c>
      <c r="D1055" s="25">
        <v>20.0</v>
      </c>
      <c r="E1055" s="27"/>
      <c r="F1055" s="25">
        <v>4.38</v>
      </c>
      <c r="G1055" s="27"/>
    </row>
    <row r="1056">
      <c r="A1056" s="21"/>
      <c r="B1056" s="21" t="s">
        <v>7313</v>
      </c>
      <c r="D1056" s="25">
        <v>20.0</v>
      </c>
      <c r="E1056" s="27"/>
      <c r="F1056" s="25">
        <v>10.53</v>
      </c>
      <c r="G1056" s="27"/>
    </row>
    <row r="1057">
      <c r="A1057" s="21"/>
      <c r="B1057" s="21" t="s">
        <v>7314</v>
      </c>
      <c r="D1057" s="25">
        <v>20.0</v>
      </c>
      <c r="E1057" s="27"/>
      <c r="F1057" s="25">
        <v>0.0</v>
      </c>
      <c r="G1057" s="27"/>
    </row>
    <row r="1058">
      <c r="A1058" s="21"/>
      <c r="B1058" s="21" t="s">
        <v>7315</v>
      </c>
      <c r="D1058" s="25">
        <v>20.0</v>
      </c>
      <c r="E1058" s="27"/>
      <c r="F1058" s="25">
        <v>8.19</v>
      </c>
      <c r="G1058" s="27"/>
    </row>
    <row r="1059">
      <c r="A1059" s="21"/>
      <c r="B1059" s="21" t="s">
        <v>7316</v>
      </c>
      <c r="D1059" s="25">
        <v>20.0</v>
      </c>
      <c r="E1059" s="27"/>
      <c r="F1059" s="25">
        <v>5.86</v>
      </c>
      <c r="G1059" s="27"/>
    </row>
    <row r="1060">
      <c r="A1060" s="21"/>
      <c r="B1060" s="21" t="s">
        <v>7317</v>
      </c>
      <c r="D1060" s="25">
        <v>20.0</v>
      </c>
      <c r="E1060" s="27"/>
      <c r="F1060" s="25">
        <v>0.0</v>
      </c>
      <c r="G1060" s="27"/>
    </row>
    <row r="1061">
      <c r="A1061" s="21"/>
      <c r="B1061" s="21" t="s">
        <v>7318</v>
      </c>
      <c r="D1061" s="25">
        <v>20.0</v>
      </c>
      <c r="E1061" s="27"/>
      <c r="F1061" s="25">
        <v>0.0</v>
      </c>
      <c r="G1061" s="27"/>
    </row>
    <row r="1062">
      <c r="A1062" s="21"/>
      <c r="B1062" s="21" t="s">
        <v>7319</v>
      </c>
      <c r="D1062" s="25">
        <v>20.0</v>
      </c>
      <c r="E1062" s="27"/>
      <c r="F1062" s="25">
        <v>0.0</v>
      </c>
      <c r="G1062" s="27"/>
    </row>
    <row r="1063">
      <c r="A1063" s="21"/>
      <c r="B1063" s="21" t="s">
        <v>7320</v>
      </c>
      <c r="D1063" s="25">
        <v>20.0</v>
      </c>
      <c r="E1063" s="27"/>
      <c r="F1063" s="25">
        <v>0.0</v>
      </c>
      <c r="G1063" s="27"/>
    </row>
    <row r="1064">
      <c r="A1064" s="21"/>
      <c r="B1064" s="21" t="s">
        <v>7321</v>
      </c>
      <c r="D1064" s="25">
        <v>20.0</v>
      </c>
      <c r="E1064" s="27"/>
      <c r="F1064" s="25">
        <v>0.0</v>
      </c>
      <c r="G1064" s="27"/>
    </row>
    <row r="1065">
      <c r="A1065" s="21"/>
      <c r="B1065" s="21" t="s">
        <v>7322</v>
      </c>
      <c r="D1065" s="25">
        <v>20.0</v>
      </c>
      <c r="E1065" s="27"/>
      <c r="F1065" s="25">
        <v>8.16</v>
      </c>
      <c r="G1065" s="27"/>
    </row>
    <row r="1066">
      <c r="A1066" s="21"/>
      <c r="B1066" s="21" t="s">
        <v>7323</v>
      </c>
      <c r="D1066" s="25">
        <v>20.0</v>
      </c>
      <c r="E1066" s="27"/>
      <c r="F1066" s="25">
        <v>8.16</v>
      </c>
      <c r="G1066" s="27"/>
    </row>
    <row r="1067">
      <c r="A1067" s="21"/>
      <c r="B1067" s="21" t="s">
        <v>7324</v>
      </c>
      <c r="D1067" s="25">
        <v>20.0</v>
      </c>
      <c r="E1067" s="27"/>
      <c r="F1067" s="25">
        <v>0.0</v>
      </c>
      <c r="G1067" s="27"/>
    </row>
    <row r="1068">
      <c r="A1068" s="21"/>
      <c r="B1068" s="21" t="s">
        <v>1860</v>
      </c>
      <c r="D1068" s="25">
        <v>20.0</v>
      </c>
      <c r="E1068" s="27"/>
      <c r="F1068" s="25">
        <v>5.59</v>
      </c>
      <c r="G1068" s="27"/>
    </row>
    <row r="1069">
      <c r="A1069" s="21"/>
      <c r="B1069" s="21" t="s">
        <v>1861</v>
      </c>
      <c r="D1069" s="25">
        <v>20.0</v>
      </c>
      <c r="E1069" s="27"/>
      <c r="F1069" s="25">
        <v>0.0</v>
      </c>
      <c r="G1069" s="27"/>
    </row>
    <row r="1070">
      <c r="A1070" s="21"/>
      <c r="B1070" s="21" t="s">
        <v>7325</v>
      </c>
      <c r="D1070" s="25">
        <v>20.0</v>
      </c>
      <c r="E1070" s="27"/>
      <c r="F1070" s="25">
        <v>0.0</v>
      </c>
      <c r="G1070" s="27"/>
    </row>
    <row r="1071">
      <c r="A1071" s="21"/>
      <c r="B1071" s="21" t="s">
        <v>7326</v>
      </c>
      <c r="D1071" s="25">
        <v>20.0</v>
      </c>
      <c r="E1071" s="27"/>
      <c r="F1071" s="25">
        <v>3.38</v>
      </c>
      <c r="G1071" s="27"/>
    </row>
    <row r="1072">
      <c r="A1072" s="21"/>
      <c r="B1072" s="21" t="s">
        <v>7327</v>
      </c>
      <c r="D1072" s="25">
        <v>20.0</v>
      </c>
      <c r="E1072" s="27"/>
      <c r="F1072" s="25">
        <v>0.0</v>
      </c>
      <c r="G1072" s="27"/>
    </row>
    <row r="1073">
      <c r="A1073" s="21"/>
      <c r="B1073" s="21" t="s">
        <v>7328</v>
      </c>
      <c r="D1073" s="25">
        <v>20.0</v>
      </c>
      <c r="E1073" s="27"/>
      <c r="F1073" s="25">
        <v>8.54</v>
      </c>
      <c r="G1073" s="27"/>
    </row>
    <row r="1074">
      <c r="A1074" s="21"/>
      <c r="B1074" s="21" t="s">
        <v>34</v>
      </c>
      <c r="D1074" s="25">
        <v>20.0</v>
      </c>
      <c r="E1074" s="27"/>
      <c r="F1074" s="25">
        <v>0.0</v>
      </c>
      <c r="G1074" s="27"/>
    </row>
    <row r="1075">
      <c r="A1075" s="21"/>
      <c r="B1075" s="21" t="s">
        <v>7329</v>
      </c>
      <c r="D1075" s="25">
        <v>20.0</v>
      </c>
      <c r="E1075" s="27"/>
      <c r="F1075" s="25">
        <v>0.0</v>
      </c>
      <c r="G1075" s="27"/>
    </row>
    <row r="1076">
      <c r="A1076" s="21"/>
      <c r="B1076" s="21" t="s">
        <v>7330</v>
      </c>
      <c r="D1076" s="25">
        <v>20.0</v>
      </c>
      <c r="E1076" s="27"/>
      <c r="F1076" s="25">
        <v>5.38</v>
      </c>
      <c r="G1076" s="27"/>
    </row>
    <row r="1077">
      <c r="A1077" s="21"/>
      <c r="B1077" s="21" t="s">
        <v>7331</v>
      </c>
      <c r="D1077" s="25">
        <v>20.0</v>
      </c>
      <c r="E1077" s="27"/>
      <c r="F1077" s="25">
        <v>10.09</v>
      </c>
      <c r="G1077" s="27"/>
    </row>
    <row r="1078">
      <c r="A1078" s="21"/>
      <c r="B1078" s="21" t="s">
        <v>7332</v>
      </c>
      <c r="D1078" s="25">
        <v>20.0</v>
      </c>
      <c r="E1078" s="27"/>
      <c r="F1078" s="25">
        <v>10.09</v>
      </c>
      <c r="G1078" s="27"/>
    </row>
    <row r="1079">
      <c r="A1079" s="21"/>
      <c r="B1079" s="21" t="s">
        <v>7333</v>
      </c>
      <c r="D1079" s="25">
        <v>20.0</v>
      </c>
      <c r="E1079" s="27"/>
      <c r="F1079" s="25">
        <v>0.0</v>
      </c>
      <c r="G1079" s="27"/>
    </row>
    <row r="1080">
      <c r="A1080" s="21"/>
      <c r="B1080" s="21" t="s">
        <v>7334</v>
      </c>
      <c r="D1080" s="25">
        <v>20.0</v>
      </c>
      <c r="E1080" s="27"/>
      <c r="F1080" s="25">
        <v>0.0</v>
      </c>
      <c r="G1080" s="27"/>
    </row>
    <row r="1081">
      <c r="A1081" s="21"/>
      <c r="B1081" s="21" t="s">
        <v>7335</v>
      </c>
      <c r="D1081" s="25">
        <v>20.0</v>
      </c>
      <c r="E1081" s="27"/>
      <c r="F1081" s="25">
        <v>0.0</v>
      </c>
      <c r="G1081" s="27"/>
    </row>
    <row r="1082">
      <c r="A1082" s="21"/>
      <c r="B1082" s="21" t="s">
        <v>7336</v>
      </c>
      <c r="D1082" s="25">
        <v>20.0</v>
      </c>
      <c r="E1082" s="27"/>
      <c r="F1082" s="25">
        <v>0.0</v>
      </c>
      <c r="G1082" s="27"/>
    </row>
    <row r="1083">
      <c r="A1083" s="21"/>
      <c r="B1083" s="21" t="s">
        <v>7337</v>
      </c>
      <c r="D1083" s="25">
        <v>20.0</v>
      </c>
      <c r="E1083" s="27"/>
      <c r="F1083" s="25">
        <v>0.0</v>
      </c>
      <c r="G1083" s="27"/>
    </row>
    <row r="1084">
      <c r="A1084" s="21"/>
      <c r="B1084" s="21" t="s">
        <v>7338</v>
      </c>
      <c r="D1084" s="25">
        <v>20.0</v>
      </c>
      <c r="E1084" s="27"/>
      <c r="F1084" s="25">
        <v>0.0</v>
      </c>
      <c r="G1084" s="27"/>
    </row>
    <row r="1085">
      <c r="A1085" s="21"/>
      <c r="B1085" s="21" t="s">
        <v>7339</v>
      </c>
      <c r="D1085" s="25">
        <v>20.0</v>
      </c>
      <c r="E1085" s="27"/>
      <c r="F1085" s="25">
        <v>0.0</v>
      </c>
      <c r="G1085" s="27"/>
    </row>
    <row r="1086">
      <c r="A1086" s="21"/>
      <c r="B1086" s="21" t="s">
        <v>7340</v>
      </c>
      <c r="D1086" s="25">
        <v>20.0</v>
      </c>
      <c r="E1086" s="27"/>
      <c r="F1086" s="25">
        <v>0.0</v>
      </c>
      <c r="G1086" s="27"/>
    </row>
    <row r="1087">
      <c r="A1087" s="21"/>
      <c r="B1087" s="21" t="s">
        <v>7341</v>
      </c>
      <c r="D1087" s="25">
        <v>20.0</v>
      </c>
      <c r="E1087" s="27"/>
      <c r="F1087" s="25">
        <v>0.0</v>
      </c>
      <c r="G1087" s="27"/>
    </row>
    <row r="1088">
      <c r="A1088" s="21"/>
      <c r="B1088" s="21" t="s">
        <v>7342</v>
      </c>
      <c r="D1088" s="25">
        <v>20.0</v>
      </c>
      <c r="E1088" s="27"/>
      <c r="F1088" s="25">
        <v>3.28</v>
      </c>
      <c r="G1088" s="27"/>
    </row>
    <row r="1089">
      <c r="A1089" s="21"/>
      <c r="B1089" s="21" t="s">
        <v>7343</v>
      </c>
      <c r="D1089" s="25">
        <v>20.0</v>
      </c>
      <c r="E1089" s="27"/>
      <c r="F1089" s="25">
        <v>0.0</v>
      </c>
      <c r="G1089" s="27"/>
    </row>
    <row r="1090">
      <c r="A1090" s="21"/>
      <c r="B1090" s="21" t="s">
        <v>7344</v>
      </c>
      <c r="D1090" s="25">
        <v>20.0</v>
      </c>
      <c r="E1090" s="27"/>
      <c r="F1090" s="25">
        <v>0.0</v>
      </c>
      <c r="G1090" s="27"/>
    </row>
    <row r="1091">
      <c r="A1091" s="21"/>
      <c r="B1091" s="21" t="s">
        <v>7345</v>
      </c>
      <c r="D1091" s="25">
        <v>20.0</v>
      </c>
      <c r="E1091" s="27"/>
      <c r="F1091" s="25">
        <v>0.0</v>
      </c>
      <c r="G1091" s="27"/>
    </row>
    <row r="1092">
      <c r="A1092" s="21"/>
      <c r="B1092" s="21" t="s">
        <v>7346</v>
      </c>
      <c r="D1092" s="25">
        <v>20.0</v>
      </c>
      <c r="E1092" s="27"/>
      <c r="F1092" s="25">
        <v>3.82</v>
      </c>
      <c r="G1092" s="27"/>
    </row>
    <row r="1093">
      <c r="A1093" s="21"/>
      <c r="B1093" s="21" t="s">
        <v>7347</v>
      </c>
      <c r="D1093" s="25">
        <v>20.0</v>
      </c>
      <c r="E1093" s="27"/>
      <c r="F1093" s="25">
        <v>0.0</v>
      </c>
      <c r="G1093" s="27"/>
    </row>
    <row r="1094">
      <c r="A1094" s="21"/>
      <c r="B1094" s="21" t="s">
        <v>7348</v>
      </c>
      <c r="D1094" s="25">
        <v>20.0</v>
      </c>
      <c r="E1094" s="27"/>
      <c r="F1094" s="25">
        <v>0.0</v>
      </c>
      <c r="G1094" s="27"/>
    </row>
    <row r="1095">
      <c r="A1095" s="21"/>
      <c r="B1095" s="21" t="s">
        <v>7349</v>
      </c>
      <c r="D1095" s="25">
        <v>20.0</v>
      </c>
      <c r="E1095" s="27"/>
      <c r="F1095" s="25">
        <v>4.4</v>
      </c>
      <c r="G1095" s="27"/>
    </row>
    <row r="1096">
      <c r="A1096" s="21"/>
      <c r="B1096" s="21" t="s">
        <v>7350</v>
      </c>
      <c r="D1096" s="25">
        <v>20.0</v>
      </c>
      <c r="E1096" s="27"/>
      <c r="F1096" s="25">
        <v>4.4</v>
      </c>
      <c r="G1096" s="27"/>
    </row>
    <row r="1097">
      <c r="A1097" s="21"/>
      <c r="B1097" s="21" t="s">
        <v>7351</v>
      </c>
      <c r="D1097" s="25">
        <v>20.0</v>
      </c>
      <c r="E1097" s="27"/>
      <c r="F1097" s="25">
        <v>0.0</v>
      </c>
      <c r="G1097" s="27"/>
    </row>
    <row r="1098">
      <c r="A1098" s="21"/>
      <c r="B1098" s="21" t="s">
        <v>7352</v>
      </c>
      <c r="D1098" s="25">
        <v>20.0</v>
      </c>
      <c r="E1098" s="27"/>
      <c r="F1098" s="25">
        <v>0.0</v>
      </c>
      <c r="G1098" s="27"/>
    </row>
    <row r="1099">
      <c r="A1099" s="21"/>
      <c r="B1099" s="21" t="s">
        <v>7353</v>
      </c>
      <c r="D1099" s="25">
        <v>20.0</v>
      </c>
      <c r="E1099" s="27"/>
      <c r="F1099" s="25">
        <v>2.93</v>
      </c>
      <c r="G1099" s="27"/>
    </row>
    <row r="1100">
      <c r="A1100" s="21"/>
      <c r="B1100" s="21" t="s">
        <v>7354</v>
      </c>
      <c r="D1100" s="25">
        <v>20.0</v>
      </c>
      <c r="E1100" s="27"/>
      <c r="F1100" s="25">
        <v>0.0</v>
      </c>
      <c r="G1100" s="27"/>
    </row>
    <row r="1101">
      <c r="A1101" s="21"/>
      <c r="B1101" s="21" t="s">
        <v>7355</v>
      </c>
      <c r="D1101" s="25">
        <v>20.0</v>
      </c>
      <c r="E1101" s="27"/>
      <c r="F1101" s="25">
        <v>0.0</v>
      </c>
      <c r="G1101" s="27"/>
    </row>
    <row r="1102">
      <c r="A1102" s="21"/>
      <c r="B1102" s="21" t="s">
        <v>7356</v>
      </c>
      <c r="D1102" s="25">
        <v>20.0</v>
      </c>
      <c r="E1102" s="27"/>
      <c r="F1102" s="25">
        <v>5.64</v>
      </c>
      <c r="G1102" s="27"/>
    </row>
    <row r="1103">
      <c r="A1103" s="21"/>
      <c r="B1103" s="21" t="s">
        <v>7357</v>
      </c>
      <c r="D1103" s="25">
        <v>20.0</v>
      </c>
      <c r="E1103" s="27"/>
      <c r="F1103" s="25">
        <v>0.0</v>
      </c>
      <c r="G1103" s="27"/>
    </row>
    <row r="1104">
      <c r="A1104" s="21"/>
      <c r="B1104" s="21" t="s">
        <v>7358</v>
      </c>
      <c r="D1104" s="25">
        <v>20.0</v>
      </c>
      <c r="E1104" s="27"/>
      <c r="F1104" s="25">
        <v>0.0</v>
      </c>
      <c r="G1104" s="27"/>
    </row>
    <row r="1105">
      <c r="A1105" s="21"/>
      <c r="B1105" s="21" t="s">
        <v>7359</v>
      </c>
      <c r="D1105" s="25">
        <v>20.0</v>
      </c>
      <c r="E1105" s="27"/>
      <c r="F1105" s="25">
        <v>0.0</v>
      </c>
      <c r="G1105" s="27"/>
    </row>
    <row r="1106">
      <c r="A1106" s="21"/>
      <c r="B1106" s="21" t="s">
        <v>7360</v>
      </c>
      <c r="D1106" s="25">
        <v>20.0</v>
      </c>
      <c r="E1106" s="27"/>
      <c r="F1106" s="25">
        <v>8.53</v>
      </c>
      <c r="G1106" s="27"/>
    </row>
    <row r="1107">
      <c r="A1107" s="21"/>
      <c r="B1107" s="21" t="s">
        <v>7361</v>
      </c>
      <c r="D1107" s="25">
        <v>20.0</v>
      </c>
      <c r="E1107" s="27"/>
      <c r="F1107" s="25">
        <v>0.0</v>
      </c>
      <c r="G1107" s="27"/>
    </row>
    <row r="1108">
      <c r="A1108" s="21"/>
      <c r="B1108" s="21" t="s">
        <v>7362</v>
      </c>
      <c r="D1108" s="25">
        <v>20.0</v>
      </c>
      <c r="E1108" s="27"/>
      <c r="F1108" s="25">
        <v>10.84</v>
      </c>
      <c r="G1108" s="27"/>
    </row>
    <row r="1109">
      <c r="A1109" s="21"/>
      <c r="B1109" s="21" t="s">
        <v>7363</v>
      </c>
      <c r="D1109" s="25">
        <v>20.0</v>
      </c>
      <c r="E1109" s="27"/>
      <c r="F1109" s="25">
        <v>0.0</v>
      </c>
      <c r="G1109" s="27"/>
    </row>
    <row r="1110">
      <c r="A1110" s="21"/>
      <c r="B1110" s="21" t="s">
        <v>7364</v>
      </c>
      <c r="D1110" s="25">
        <v>20.0</v>
      </c>
      <c r="E1110" s="27"/>
      <c r="F1110" s="25">
        <v>0.0</v>
      </c>
      <c r="G1110" s="27"/>
    </row>
    <row r="1111">
      <c r="A1111" s="21"/>
      <c r="B1111" s="21" t="s">
        <v>7365</v>
      </c>
      <c r="D1111" s="25">
        <v>20.0</v>
      </c>
      <c r="E1111" s="27"/>
      <c r="F1111" s="25">
        <v>5.41</v>
      </c>
      <c r="G1111" s="27"/>
    </row>
    <row r="1112">
      <c r="A1112" s="21"/>
      <c r="B1112" s="21" t="s">
        <v>7366</v>
      </c>
      <c r="D1112" s="25">
        <v>20.0</v>
      </c>
      <c r="E1112" s="27"/>
      <c r="F1112" s="25">
        <v>0.0</v>
      </c>
      <c r="G1112" s="27"/>
    </row>
    <row r="1113">
      <c r="A1113" s="21"/>
      <c r="B1113" s="21" t="s">
        <v>7367</v>
      </c>
      <c r="D1113" s="25">
        <v>20.0</v>
      </c>
      <c r="E1113" s="27"/>
      <c r="F1113" s="25">
        <v>0.0</v>
      </c>
      <c r="G1113" s="27"/>
    </row>
    <row r="1114">
      <c r="A1114" s="21"/>
      <c r="B1114" s="21" t="s">
        <v>7368</v>
      </c>
      <c r="D1114" s="25">
        <v>20.0</v>
      </c>
      <c r="E1114" s="27"/>
      <c r="F1114" s="25">
        <v>0.0</v>
      </c>
      <c r="G1114" s="27"/>
    </row>
    <row r="1115">
      <c r="A1115" s="21"/>
      <c r="B1115" s="21" t="s">
        <v>7369</v>
      </c>
      <c r="D1115" s="25">
        <v>20.0</v>
      </c>
      <c r="E1115" s="27"/>
      <c r="F1115" s="25">
        <v>13.17</v>
      </c>
      <c r="G1115" s="27"/>
    </row>
    <row r="1116">
      <c r="A1116" s="21"/>
      <c r="B1116" s="21" t="s">
        <v>7370</v>
      </c>
      <c r="D1116" s="25">
        <v>20.0</v>
      </c>
      <c r="E1116" s="27"/>
      <c r="F1116" s="25">
        <v>0.0</v>
      </c>
      <c r="G1116" s="27"/>
    </row>
    <row r="1117">
      <c r="A1117" s="21"/>
      <c r="B1117" s="21" t="s">
        <v>7371</v>
      </c>
      <c r="D1117" s="25">
        <v>20.0</v>
      </c>
      <c r="E1117" s="27"/>
      <c r="F1117" s="25">
        <v>0.0</v>
      </c>
      <c r="G1117" s="27"/>
    </row>
    <row r="1118">
      <c r="A1118" s="21"/>
      <c r="B1118" s="21" t="s">
        <v>7372</v>
      </c>
      <c r="D1118" s="25">
        <v>20.0</v>
      </c>
      <c r="E1118" s="27"/>
      <c r="F1118" s="25">
        <v>0.0</v>
      </c>
      <c r="G1118" s="27"/>
    </row>
    <row r="1119">
      <c r="A1119" s="21"/>
      <c r="B1119" s="21" t="s">
        <v>7373</v>
      </c>
      <c r="D1119" s="25">
        <v>20.0</v>
      </c>
      <c r="E1119" s="27"/>
      <c r="F1119" s="25">
        <v>1.2</v>
      </c>
      <c r="G1119" s="27"/>
    </row>
    <row r="1120">
      <c r="A1120" s="21"/>
      <c r="B1120" s="21" t="s">
        <v>7374</v>
      </c>
      <c r="D1120" s="25">
        <v>20.0</v>
      </c>
      <c r="E1120" s="27"/>
      <c r="F1120" s="25">
        <v>0.0</v>
      </c>
      <c r="G1120" s="27"/>
    </row>
    <row r="1121">
      <c r="A1121" s="21"/>
      <c r="B1121" s="21" t="s">
        <v>7375</v>
      </c>
      <c r="D1121" s="25">
        <v>20.0</v>
      </c>
      <c r="E1121" s="27"/>
      <c r="F1121" s="25">
        <v>0.0</v>
      </c>
      <c r="G1121" s="27"/>
    </row>
    <row r="1122">
      <c r="A1122" s="21"/>
      <c r="B1122" s="21" t="s">
        <v>7376</v>
      </c>
      <c r="D1122" s="25">
        <v>20.0</v>
      </c>
      <c r="E1122" s="27"/>
      <c r="F1122" s="25">
        <v>0.0</v>
      </c>
      <c r="G1122" s="27"/>
    </row>
    <row r="1123">
      <c r="A1123" s="21"/>
      <c r="B1123" s="21" t="s">
        <v>7377</v>
      </c>
      <c r="D1123" s="25">
        <v>20.0</v>
      </c>
      <c r="E1123" s="27"/>
      <c r="F1123" s="25">
        <v>2.09</v>
      </c>
      <c r="G1123" s="27"/>
    </row>
    <row r="1124">
      <c r="A1124" s="21"/>
      <c r="B1124" s="21" t="s">
        <v>7378</v>
      </c>
      <c r="D1124" s="25">
        <v>20.0</v>
      </c>
      <c r="E1124" s="27"/>
      <c r="F1124" s="25">
        <v>1.69</v>
      </c>
      <c r="G1124" s="27"/>
    </row>
    <row r="1125">
      <c r="A1125" s="21"/>
      <c r="B1125" s="21" t="s">
        <v>7379</v>
      </c>
      <c r="D1125" s="25">
        <v>20.0</v>
      </c>
      <c r="E1125" s="27"/>
      <c r="F1125" s="25">
        <v>0.0</v>
      </c>
      <c r="G1125" s="27"/>
    </row>
    <row r="1126">
      <c r="A1126" s="21"/>
      <c r="B1126" s="21" t="s">
        <v>7380</v>
      </c>
      <c r="D1126" s="25">
        <v>20.0</v>
      </c>
      <c r="E1126" s="27"/>
      <c r="F1126" s="25">
        <v>0.0</v>
      </c>
      <c r="G1126" s="27"/>
    </row>
    <row r="1127">
      <c r="A1127" s="21"/>
      <c r="B1127" s="21" t="s">
        <v>7381</v>
      </c>
      <c r="D1127" s="25">
        <v>20.0</v>
      </c>
      <c r="E1127" s="27"/>
      <c r="F1127" s="25">
        <v>0.0</v>
      </c>
      <c r="G1127" s="27"/>
    </row>
    <row r="1128">
      <c r="A1128" s="21"/>
      <c r="B1128" s="21" t="s">
        <v>7382</v>
      </c>
      <c r="D1128" s="25">
        <v>20.0</v>
      </c>
      <c r="E1128" s="27"/>
      <c r="F1128" s="25">
        <v>0.0</v>
      </c>
      <c r="G1128" s="27"/>
    </row>
    <row r="1129">
      <c r="A1129" s="21"/>
      <c r="B1129" s="21" t="s">
        <v>7383</v>
      </c>
      <c r="D1129" s="25">
        <v>20.0</v>
      </c>
      <c r="E1129" s="27"/>
      <c r="F1129" s="25">
        <v>0.0</v>
      </c>
      <c r="G1129" s="27"/>
    </row>
    <row r="1130">
      <c r="A1130" s="21"/>
      <c r="B1130" s="21" t="s">
        <v>7384</v>
      </c>
      <c r="D1130" s="25">
        <v>20.0</v>
      </c>
      <c r="E1130" s="27"/>
      <c r="F1130" s="25">
        <v>2.48</v>
      </c>
      <c r="G1130" s="27"/>
    </row>
    <row r="1131">
      <c r="A1131" s="21"/>
      <c r="B1131" s="21" t="s">
        <v>7385</v>
      </c>
      <c r="D1131" s="25">
        <v>20.0</v>
      </c>
      <c r="E1131" s="27"/>
      <c r="F1131" s="25">
        <v>0.0</v>
      </c>
      <c r="G1131" s="27"/>
    </row>
    <row r="1132">
      <c r="A1132" s="21"/>
      <c r="B1132" s="21" t="s">
        <v>7386</v>
      </c>
      <c r="D1132" s="25">
        <v>20.0</v>
      </c>
      <c r="E1132" s="27"/>
      <c r="F1132" s="25">
        <v>0.0</v>
      </c>
      <c r="G1132" s="27"/>
    </row>
    <row r="1133">
      <c r="A1133" s="21"/>
      <c r="B1133" s="21" t="s">
        <v>7387</v>
      </c>
      <c r="D1133" s="25">
        <v>20.0</v>
      </c>
      <c r="E1133" s="27"/>
      <c r="F1133" s="25">
        <v>0.0</v>
      </c>
      <c r="G1133" s="27"/>
    </row>
    <row r="1134">
      <c r="A1134" s="21"/>
      <c r="B1134" s="21" t="s">
        <v>7388</v>
      </c>
      <c r="D1134" s="25">
        <v>20.0</v>
      </c>
      <c r="E1134" s="27"/>
      <c r="F1134" s="25">
        <v>0.0</v>
      </c>
      <c r="G1134" s="27"/>
    </row>
    <row r="1135">
      <c r="A1135" s="21"/>
      <c r="B1135" s="21" t="s">
        <v>7389</v>
      </c>
      <c r="D1135" s="25">
        <v>20.0</v>
      </c>
      <c r="E1135" s="27"/>
      <c r="F1135" s="25">
        <v>0.0</v>
      </c>
      <c r="G1135" s="27"/>
    </row>
    <row r="1136">
      <c r="A1136" s="21"/>
      <c r="B1136" s="21" t="s">
        <v>7390</v>
      </c>
      <c r="D1136" s="25">
        <v>20.0</v>
      </c>
      <c r="E1136" s="27"/>
      <c r="F1136" s="25">
        <v>0.0</v>
      </c>
      <c r="G1136" s="27"/>
    </row>
    <row r="1137">
      <c r="A1137" s="21"/>
      <c r="B1137" s="21" t="s">
        <v>7391</v>
      </c>
      <c r="D1137" s="25">
        <v>20.0</v>
      </c>
      <c r="E1137" s="27"/>
      <c r="F1137" s="25">
        <v>0.0</v>
      </c>
      <c r="G1137" s="27"/>
    </row>
    <row r="1138">
      <c r="A1138" s="21"/>
      <c r="B1138" s="21" t="s">
        <v>7392</v>
      </c>
      <c r="D1138" s="25">
        <v>20.0</v>
      </c>
      <c r="E1138" s="27"/>
      <c r="F1138" s="25">
        <v>0.0</v>
      </c>
      <c r="G1138" s="27"/>
    </row>
    <row r="1139">
      <c r="A1139" s="21"/>
      <c r="B1139" s="21" t="s">
        <v>7393</v>
      </c>
      <c r="D1139" s="25">
        <v>20.0</v>
      </c>
      <c r="E1139" s="27"/>
      <c r="F1139" s="25">
        <v>0.0</v>
      </c>
      <c r="G1139" s="27"/>
    </row>
    <row r="1140">
      <c r="A1140" s="21"/>
      <c r="B1140" s="21" t="s">
        <v>7394</v>
      </c>
      <c r="D1140" s="25">
        <v>20.0</v>
      </c>
      <c r="E1140" s="27"/>
      <c r="F1140" s="25">
        <v>0.0</v>
      </c>
      <c r="G1140" s="27"/>
    </row>
    <row r="1141">
      <c r="A1141" s="21"/>
      <c r="B1141" s="21" t="s">
        <v>7395</v>
      </c>
      <c r="D1141" s="25">
        <v>20.0</v>
      </c>
      <c r="E1141" s="27"/>
      <c r="F1141" s="25">
        <v>0.0</v>
      </c>
      <c r="G1141" s="27"/>
    </row>
    <row r="1142">
      <c r="A1142" s="21"/>
      <c r="B1142" s="21" t="s">
        <v>7396</v>
      </c>
      <c r="D1142" s="25">
        <v>20.0</v>
      </c>
      <c r="E1142" s="27"/>
      <c r="F1142" s="25">
        <v>2.7</v>
      </c>
      <c r="G1142" s="27"/>
    </row>
    <row r="1143">
      <c r="A1143" s="21"/>
      <c r="B1143" s="21" t="s">
        <v>7397</v>
      </c>
      <c r="D1143" s="25">
        <v>20.0</v>
      </c>
      <c r="E1143" s="27"/>
      <c r="F1143" s="25">
        <v>2.5</v>
      </c>
      <c r="G1143" s="27"/>
    </row>
    <row r="1144">
      <c r="A1144" s="21"/>
      <c r="B1144" s="21" t="s">
        <v>7398</v>
      </c>
      <c r="D1144" s="25">
        <v>20.0</v>
      </c>
      <c r="E1144" s="27"/>
      <c r="F1144" s="25">
        <v>0.0</v>
      </c>
      <c r="G1144" s="27"/>
    </row>
    <row r="1145">
      <c r="A1145" s="21"/>
      <c r="B1145" s="21" t="s">
        <v>7399</v>
      </c>
      <c r="D1145" s="25">
        <v>20.0</v>
      </c>
      <c r="E1145" s="27"/>
      <c r="F1145" s="25">
        <v>0.0</v>
      </c>
      <c r="G1145" s="27"/>
    </row>
    <row r="1146">
      <c r="A1146" s="21"/>
      <c r="B1146" s="21" t="s">
        <v>7400</v>
      </c>
      <c r="D1146" s="25">
        <v>20.0</v>
      </c>
      <c r="E1146" s="27"/>
      <c r="F1146" s="25">
        <v>0.0</v>
      </c>
      <c r="G1146" s="27"/>
    </row>
    <row r="1147">
      <c r="A1147" s="21"/>
      <c r="B1147" s="21" t="s">
        <v>7401</v>
      </c>
      <c r="D1147" s="25">
        <v>20.0</v>
      </c>
      <c r="E1147" s="27"/>
      <c r="F1147" s="25">
        <v>0.0</v>
      </c>
      <c r="G1147" s="27"/>
    </row>
    <row r="1148">
      <c r="A1148" s="21"/>
      <c r="B1148" s="21" t="s">
        <v>7402</v>
      </c>
      <c r="D1148" s="25">
        <v>20.0</v>
      </c>
      <c r="E1148" s="27"/>
      <c r="F1148" s="25">
        <v>0.0</v>
      </c>
      <c r="G1148" s="27"/>
    </row>
    <row r="1149">
      <c r="A1149" s="21"/>
      <c r="B1149" s="21" t="s">
        <v>7403</v>
      </c>
      <c r="D1149" s="25">
        <v>20.0</v>
      </c>
      <c r="E1149" s="27"/>
      <c r="F1149" s="25">
        <v>0.0</v>
      </c>
      <c r="G1149" s="27"/>
    </row>
    <row r="1150">
      <c r="A1150" s="21"/>
      <c r="B1150" s="21" t="s">
        <v>7404</v>
      </c>
      <c r="D1150" s="25">
        <v>20.0</v>
      </c>
      <c r="E1150" s="27"/>
      <c r="F1150" s="25">
        <v>5.3</v>
      </c>
      <c r="G1150" s="27"/>
    </row>
    <row r="1151">
      <c r="A1151" s="21"/>
      <c r="B1151" s="21" t="s">
        <v>7405</v>
      </c>
      <c r="D1151" s="25">
        <v>20.0</v>
      </c>
      <c r="E1151" s="27"/>
      <c r="F1151" s="25">
        <v>0.0</v>
      </c>
      <c r="G1151" s="27"/>
    </row>
    <row r="1152">
      <c r="A1152" s="21"/>
      <c r="B1152" s="21" t="s">
        <v>7406</v>
      </c>
      <c r="D1152" s="25">
        <v>20.0</v>
      </c>
      <c r="E1152" s="27"/>
      <c r="F1152" s="25">
        <v>0.0</v>
      </c>
      <c r="G1152" s="27"/>
    </row>
    <row r="1153">
      <c r="A1153" s="21"/>
      <c r="B1153" s="21" t="s">
        <v>7407</v>
      </c>
      <c r="D1153" s="25">
        <v>20.0</v>
      </c>
      <c r="E1153" s="27"/>
      <c r="F1153" s="25">
        <v>0.0</v>
      </c>
      <c r="G1153" s="27"/>
    </row>
    <row r="1154">
      <c r="A1154" s="21"/>
      <c r="B1154" s="21" t="s">
        <v>7408</v>
      </c>
      <c r="D1154" s="25">
        <v>20.0</v>
      </c>
      <c r="E1154" s="27"/>
      <c r="F1154" s="25">
        <v>0.0</v>
      </c>
      <c r="G1154" s="27"/>
    </row>
    <row r="1155">
      <c r="A1155" s="21"/>
      <c r="B1155" s="21" t="s">
        <v>7409</v>
      </c>
      <c r="D1155" s="25">
        <v>20.0</v>
      </c>
      <c r="E1155" s="27"/>
      <c r="F1155" s="25">
        <v>0.0</v>
      </c>
      <c r="G1155" s="27"/>
    </row>
    <row r="1156">
      <c r="A1156" s="21"/>
      <c r="B1156" s="21" t="s">
        <v>7410</v>
      </c>
      <c r="D1156" s="25">
        <v>20.0</v>
      </c>
      <c r="E1156" s="27"/>
      <c r="F1156" s="25">
        <v>4.17</v>
      </c>
      <c r="G1156" s="27"/>
    </row>
    <row r="1157">
      <c r="A1157" s="21"/>
      <c r="B1157" s="21" t="s">
        <v>7411</v>
      </c>
      <c r="D1157" s="25">
        <v>20.0</v>
      </c>
      <c r="E1157" s="27"/>
      <c r="F1157" s="25">
        <v>1.54</v>
      </c>
      <c r="G1157" s="27"/>
    </row>
    <row r="1158">
      <c r="A1158" s="21"/>
      <c r="B1158" s="21" t="s">
        <v>7412</v>
      </c>
      <c r="D1158" s="25">
        <v>20.0</v>
      </c>
      <c r="E1158" s="27"/>
      <c r="F1158" s="25">
        <v>0.0</v>
      </c>
      <c r="G1158" s="27"/>
    </row>
    <row r="1159">
      <c r="A1159" s="21"/>
      <c r="B1159" s="21" t="s">
        <v>7413</v>
      </c>
      <c r="D1159" s="25">
        <v>20.0</v>
      </c>
      <c r="E1159" s="27"/>
      <c r="F1159" s="25">
        <v>0.0</v>
      </c>
      <c r="G1159" s="27"/>
    </row>
    <row r="1160">
      <c r="A1160" s="21"/>
      <c r="B1160" s="21" t="s">
        <v>7414</v>
      </c>
      <c r="D1160" s="25">
        <v>20.0</v>
      </c>
      <c r="E1160" s="27"/>
      <c r="F1160" s="25">
        <v>0.0</v>
      </c>
      <c r="G1160" s="27"/>
    </row>
    <row r="1161">
      <c r="A1161" s="21"/>
      <c r="B1161" s="21" t="s">
        <v>7415</v>
      </c>
      <c r="D1161" s="25">
        <v>20.0</v>
      </c>
      <c r="E1161" s="27"/>
      <c r="F1161" s="25">
        <v>0.0</v>
      </c>
      <c r="G1161" s="27"/>
    </row>
    <row r="1162">
      <c r="A1162" s="21"/>
      <c r="B1162" s="21" t="s">
        <v>7416</v>
      </c>
      <c r="D1162" s="25">
        <v>20.0</v>
      </c>
      <c r="E1162" s="27"/>
      <c r="F1162" s="25">
        <v>4.57</v>
      </c>
      <c r="G1162" s="27"/>
    </row>
    <row r="1163">
      <c r="A1163" s="21"/>
      <c r="B1163" s="21" t="s">
        <v>7417</v>
      </c>
      <c r="D1163" s="25">
        <v>20.0</v>
      </c>
      <c r="E1163" s="27"/>
      <c r="F1163" s="25">
        <v>0.0</v>
      </c>
      <c r="G1163" s="27"/>
    </row>
    <row r="1164">
      <c r="A1164" s="21"/>
      <c r="B1164" s="21" t="s">
        <v>7418</v>
      </c>
      <c r="D1164" s="25">
        <v>20.0</v>
      </c>
      <c r="E1164" s="27"/>
      <c r="F1164" s="25">
        <v>0.0</v>
      </c>
      <c r="G1164" s="27"/>
    </row>
    <row r="1165">
      <c r="A1165" s="21"/>
      <c r="B1165" s="21" t="s">
        <v>7419</v>
      </c>
      <c r="D1165" s="25">
        <v>20.0</v>
      </c>
      <c r="E1165" s="27"/>
      <c r="F1165" s="25">
        <v>0.0</v>
      </c>
      <c r="G1165" s="27"/>
    </row>
    <row r="1166">
      <c r="A1166" s="21"/>
      <c r="B1166" s="21" t="s">
        <v>7420</v>
      </c>
      <c r="D1166" s="25">
        <v>20.0</v>
      </c>
      <c r="E1166" s="27"/>
      <c r="F1166" s="25">
        <v>0.0</v>
      </c>
      <c r="G1166" s="27"/>
    </row>
    <row r="1167">
      <c r="A1167" s="21"/>
      <c r="B1167" s="21" t="s">
        <v>7421</v>
      </c>
      <c r="D1167" s="25">
        <v>20.0</v>
      </c>
      <c r="E1167" s="27"/>
      <c r="F1167" s="25">
        <v>0.0</v>
      </c>
      <c r="G1167" s="27"/>
    </row>
    <row r="1168">
      <c r="A1168" s="21"/>
      <c r="B1168" s="21" t="s">
        <v>7422</v>
      </c>
      <c r="D1168" s="25">
        <v>20.0</v>
      </c>
      <c r="E1168" s="27"/>
      <c r="F1168" s="25">
        <v>0.0</v>
      </c>
      <c r="G1168" s="27"/>
    </row>
    <row r="1169">
      <c r="A1169" s="21"/>
      <c r="B1169" s="21" t="s">
        <v>7423</v>
      </c>
      <c r="D1169" s="25">
        <v>20.0</v>
      </c>
      <c r="E1169" s="27"/>
      <c r="F1169" s="25">
        <v>0.0</v>
      </c>
      <c r="G1169" s="27"/>
    </row>
    <row r="1170">
      <c r="A1170" s="21"/>
      <c r="B1170" s="21" t="s">
        <v>7424</v>
      </c>
      <c r="D1170" s="25">
        <v>20.0</v>
      </c>
      <c r="E1170" s="27"/>
      <c r="F1170" s="25">
        <v>0.0</v>
      </c>
      <c r="G1170" s="27"/>
    </row>
    <row r="1171">
      <c r="A1171" s="21"/>
      <c r="B1171" s="21" t="s">
        <v>7425</v>
      </c>
      <c r="D1171" s="25">
        <v>20.0</v>
      </c>
      <c r="E1171" s="27"/>
      <c r="F1171" s="25">
        <v>0.0</v>
      </c>
      <c r="G1171" s="27"/>
    </row>
    <row r="1172">
      <c r="A1172" s="21"/>
      <c r="B1172" s="21" t="s">
        <v>7426</v>
      </c>
      <c r="D1172" s="25">
        <v>20.0</v>
      </c>
      <c r="E1172" s="27"/>
      <c r="F1172" s="25">
        <v>0.0</v>
      </c>
      <c r="G1172" s="27"/>
    </row>
    <row r="1173">
      <c r="A1173" s="21"/>
      <c r="B1173" s="21" t="s">
        <v>7427</v>
      </c>
      <c r="D1173" s="25">
        <v>20.0</v>
      </c>
      <c r="E1173" s="27"/>
      <c r="F1173" s="25">
        <v>0.0</v>
      </c>
      <c r="G1173" s="27"/>
    </row>
    <row r="1174">
      <c r="A1174" s="21"/>
      <c r="B1174" s="21" t="s">
        <v>7428</v>
      </c>
      <c r="D1174" s="25">
        <v>20.0</v>
      </c>
      <c r="E1174" s="27"/>
      <c r="F1174" s="25">
        <v>0.0</v>
      </c>
      <c r="G1174" s="27"/>
    </row>
    <row r="1175">
      <c r="A1175" s="21"/>
      <c r="B1175" s="21" t="s">
        <v>7429</v>
      </c>
      <c r="D1175" s="25">
        <v>20.0</v>
      </c>
      <c r="E1175" s="27"/>
      <c r="F1175" s="25">
        <v>3.17</v>
      </c>
      <c r="G1175" s="27"/>
    </row>
    <row r="1176">
      <c r="A1176" s="21"/>
      <c r="B1176" s="21" t="s">
        <v>7430</v>
      </c>
      <c r="D1176" s="25">
        <v>20.0</v>
      </c>
      <c r="E1176" s="27"/>
      <c r="F1176" s="25">
        <v>0.83</v>
      </c>
      <c r="G1176" s="27"/>
    </row>
    <row r="1177">
      <c r="A1177" s="21"/>
      <c r="B1177" s="21" t="s">
        <v>7431</v>
      </c>
      <c r="D1177" s="25">
        <v>20.0</v>
      </c>
      <c r="E1177" s="27"/>
      <c r="F1177" s="25">
        <v>0.0</v>
      </c>
      <c r="G1177" s="27"/>
    </row>
    <row r="1178">
      <c r="A1178" s="21"/>
      <c r="B1178" s="21" t="s">
        <v>7432</v>
      </c>
      <c r="D1178" s="25">
        <v>20.0</v>
      </c>
      <c r="E1178" s="27"/>
      <c r="F1178" s="25">
        <v>0.0</v>
      </c>
      <c r="G1178" s="27"/>
    </row>
    <row r="1179">
      <c r="A1179" s="21"/>
      <c r="B1179" s="21" t="s">
        <v>7433</v>
      </c>
      <c r="D1179" s="25">
        <v>20.0</v>
      </c>
      <c r="E1179" s="27"/>
      <c r="F1179" s="25">
        <v>0.0</v>
      </c>
      <c r="G1179" s="27"/>
    </row>
    <row r="1180">
      <c r="A1180" s="21"/>
      <c r="B1180" s="21" t="s">
        <v>7434</v>
      </c>
      <c r="D1180" s="25">
        <v>20.0</v>
      </c>
      <c r="E1180" s="27"/>
      <c r="F1180" s="25">
        <v>5.58</v>
      </c>
      <c r="G1180" s="27"/>
    </row>
    <row r="1181">
      <c r="A1181" s="21"/>
      <c r="B1181" s="21" t="s">
        <v>7435</v>
      </c>
      <c r="D1181" s="25">
        <v>20.0</v>
      </c>
      <c r="E1181" s="27"/>
      <c r="F1181" s="25">
        <v>0.0</v>
      </c>
      <c r="G1181" s="27"/>
    </row>
    <row r="1182">
      <c r="A1182" s="21"/>
      <c r="B1182" s="21" t="s">
        <v>7436</v>
      </c>
      <c r="D1182" s="25">
        <v>20.0</v>
      </c>
      <c r="E1182" s="27"/>
      <c r="F1182" s="25">
        <v>0.0</v>
      </c>
      <c r="G1182" s="27"/>
    </row>
    <row r="1183">
      <c r="A1183" s="21"/>
      <c r="B1183" s="21" t="s">
        <v>7437</v>
      </c>
      <c r="D1183" s="25">
        <v>20.0</v>
      </c>
      <c r="E1183" s="27"/>
      <c r="F1183" s="25">
        <v>0.0</v>
      </c>
      <c r="G1183" s="27"/>
    </row>
    <row r="1184">
      <c r="A1184" s="21"/>
      <c r="B1184" s="21" t="s">
        <v>7438</v>
      </c>
      <c r="D1184" s="25">
        <v>20.0</v>
      </c>
      <c r="E1184" s="27"/>
      <c r="F1184" s="25">
        <v>0.0</v>
      </c>
      <c r="G1184" s="27"/>
    </row>
    <row r="1185">
      <c r="A1185" s="21"/>
      <c r="B1185" s="21" t="s">
        <v>7439</v>
      </c>
      <c r="D1185" s="25">
        <v>20.0</v>
      </c>
      <c r="E1185" s="27"/>
      <c r="F1185" s="25">
        <v>0.0</v>
      </c>
      <c r="G1185" s="27"/>
    </row>
    <row r="1186">
      <c r="A1186" s="21"/>
      <c r="B1186" s="21" t="s">
        <v>7440</v>
      </c>
      <c r="D1186" s="25">
        <v>20.0</v>
      </c>
      <c r="E1186" s="27"/>
      <c r="F1186" s="25">
        <v>0.0</v>
      </c>
      <c r="G1186" s="27"/>
    </row>
    <row r="1187">
      <c r="A1187" s="21"/>
      <c r="B1187" s="21" t="s">
        <v>7441</v>
      </c>
      <c r="D1187" s="25">
        <v>20.0</v>
      </c>
      <c r="E1187" s="27"/>
      <c r="F1187" s="25">
        <v>3.2</v>
      </c>
      <c r="G1187" s="27"/>
    </row>
    <row r="1188">
      <c r="A1188" s="21"/>
      <c r="B1188" s="21" t="s">
        <v>7442</v>
      </c>
      <c r="D1188" s="25">
        <v>20.0</v>
      </c>
      <c r="E1188" s="27"/>
      <c r="F1188" s="25">
        <v>0.0</v>
      </c>
      <c r="G1188" s="27"/>
    </row>
    <row r="1189">
      <c r="A1189" s="21"/>
      <c r="B1189" s="21" t="s">
        <v>7443</v>
      </c>
      <c r="D1189" s="25">
        <v>20.0</v>
      </c>
      <c r="E1189" s="27"/>
      <c r="F1189" s="25">
        <v>1.38</v>
      </c>
      <c r="G1189" s="27"/>
    </row>
    <row r="1190">
      <c r="A1190" s="21"/>
      <c r="B1190" s="21" t="s">
        <v>7444</v>
      </c>
      <c r="D1190" s="25">
        <v>20.0</v>
      </c>
      <c r="E1190" s="27"/>
      <c r="F1190" s="25">
        <v>0.0</v>
      </c>
      <c r="G1190" s="27"/>
    </row>
    <row r="1191">
      <c r="A1191" s="21"/>
      <c r="B1191" s="21" t="s">
        <v>7445</v>
      </c>
      <c r="D1191" s="25">
        <v>20.0</v>
      </c>
      <c r="E1191" s="27"/>
      <c r="F1191" s="25">
        <v>0.0</v>
      </c>
      <c r="G1191" s="27"/>
    </row>
    <row r="1192">
      <c r="A1192" s="21"/>
      <c r="B1192" s="21" t="s">
        <v>7446</v>
      </c>
      <c r="D1192" s="25">
        <v>20.0</v>
      </c>
      <c r="E1192" s="27"/>
      <c r="F1192" s="25">
        <v>0.0</v>
      </c>
      <c r="G1192" s="27"/>
    </row>
    <row r="1193">
      <c r="A1193" s="21"/>
      <c r="B1193" s="21" t="s">
        <v>7447</v>
      </c>
      <c r="D1193" s="25">
        <v>20.0</v>
      </c>
      <c r="E1193" s="27"/>
      <c r="F1193" s="25">
        <v>0.0</v>
      </c>
      <c r="G1193" s="27"/>
    </row>
    <row r="1194">
      <c r="A1194" s="21"/>
      <c r="B1194" s="21" t="s">
        <v>7448</v>
      </c>
      <c r="D1194" s="25">
        <v>20.0</v>
      </c>
      <c r="E1194" s="27"/>
      <c r="F1194" s="25">
        <v>0.0</v>
      </c>
      <c r="G1194" s="27"/>
    </row>
    <row r="1195">
      <c r="A1195" s="21"/>
      <c r="B1195" s="21" t="s">
        <v>7449</v>
      </c>
      <c r="D1195" s="25">
        <v>20.0</v>
      </c>
      <c r="E1195" s="27"/>
      <c r="F1195" s="25">
        <v>0.0</v>
      </c>
      <c r="G1195" s="27"/>
    </row>
    <row r="1196">
      <c r="A1196" s="21"/>
      <c r="B1196" s="21" t="s">
        <v>1906</v>
      </c>
      <c r="D1196" s="25">
        <v>20.0</v>
      </c>
      <c r="E1196" s="27"/>
      <c r="F1196" s="25">
        <v>0.0</v>
      </c>
      <c r="G1196" s="27"/>
    </row>
    <row r="1197">
      <c r="A1197" s="21"/>
      <c r="B1197" s="21" t="s">
        <v>7450</v>
      </c>
      <c r="D1197" s="25">
        <v>20.0</v>
      </c>
      <c r="E1197" s="27"/>
      <c r="F1197" s="25">
        <v>0.0</v>
      </c>
      <c r="G1197" s="27"/>
    </row>
    <row r="1198">
      <c r="A1198" s="21"/>
      <c r="B1198" s="21" t="s">
        <v>7451</v>
      </c>
      <c r="D1198" s="25">
        <v>20.0</v>
      </c>
      <c r="E1198" s="27"/>
      <c r="F1198" s="25">
        <v>0.0</v>
      </c>
      <c r="G1198" s="27"/>
    </row>
    <row r="1199">
      <c r="A1199" s="21"/>
      <c r="B1199" s="21" t="s">
        <v>7452</v>
      </c>
      <c r="D1199" s="25">
        <v>20.0</v>
      </c>
      <c r="E1199" s="27"/>
      <c r="F1199" s="25">
        <v>0.0</v>
      </c>
      <c r="G1199" s="27"/>
    </row>
    <row r="1200">
      <c r="A1200" s="21"/>
      <c r="B1200" s="21" t="s">
        <v>7453</v>
      </c>
      <c r="D1200" s="25">
        <v>20.0</v>
      </c>
      <c r="E1200" s="27"/>
      <c r="F1200" s="25">
        <v>0.0</v>
      </c>
      <c r="G1200" s="27"/>
    </row>
    <row r="1201">
      <c r="A1201" s="21"/>
      <c r="B1201" s="21" t="s">
        <v>7454</v>
      </c>
      <c r="D1201" s="25">
        <v>20.0</v>
      </c>
      <c r="E1201" s="27"/>
      <c r="F1201" s="25">
        <v>0.0</v>
      </c>
      <c r="G1201" s="27"/>
    </row>
    <row r="1202">
      <c r="A1202" s="21"/>
      <c r="B1202" s="21" t="s">
        <v>7455</v>
      </c>
      <c r="D1202" s="25">
        <v>20.0</v>
      </c>
      <c r="E1202" s="27"/>
      <c r="F1202" s="25">
        <v>0.0</v>
      </c>
      <c r="G1202" s="27"/>
    </row>
    <row r="1203">
      <c r="A1203" s="21"/>
      <c r="B1203" s="21" t="s">
        <v>7456</v>
      </c>
      <c r="D1203" s="25">
        <v>20.0</v>
      </c>
      <c r="E1203" s="27"/>
      <c r="F1203" s="25">
        <v>3.14</v>
      </c>
      <c r="G1203" s="27"/>
    </row>
    <row r="1204">
      <c r="A1204" s="21"/>
      <c r="B1204" s="21" t="s">
        <v>7457</v>
      </c>
      <c r="D1204" s="25">
        <v>20.0</v>
      </c>
      <c r="E1204" s="27"/>
      <c r="F1204" s="25">
        <v>2.88</v>
      </c>
      <c r="G1204" s="27"/>
    </row>
    <row r="1205">
      <c r="A1205" s="21"/>
      <c r="B1205" s="21" t="s">
        <v>7458</v>
      </c>
      <c r="D1205" s="25">
        <v>20.0</v>
      </c>
      <c r="E1205" s="27"/>
      <c r="F1205" s="25">
        <v>0.0</v>
      </c>
      <c r="G1205" s="27"/>
    </row>
    <row r="1206">
      <c r="A1206" s="21"/>
      <c r="B1206" s="21" t="s">
        <v>7459</v>
      </c>
      <c r="D1206" s="25">
        <v>20.0</v>
      </c>
      <c r="E1206" s="27"/>
      <c r="F1206" s="25">
        <v>9.11</v>
      </c>
      <c r="G1206" s="27"/>
    </row>
    <row r="1207">
      <c r="A1207" s="21"/>
      <c r="B1207" s="21" t="s">
        <v>7460</v>
      </c>
      <c r="D1207" s="25">
        <v>20.0</v>
      </c>
      <c r="E1207" s="27"/>
      <c r="F1207" s="25">
        <v>0.0</v>
      </c>
      <c r="G1207" s="27"/>
    </row>
    <row r="1208">
      <c r="A1208" s="21"/>
      <c r="B1208" s="21" t="s">
        <v>7461</v>
      </c>
      <c r="D1208" s="25">
        <v>20.0</v>
      </c>
      <c r="E1208" s="27"/>
      <c r="F1208" s="25">
        <v>2.59</v>
      </c>
      <c r="G1208" s="27"/>
    </row>
    <row r="1209">
      <c r="A1209" s="21"/>
      <c r="B1209" s="21" t="s">
        <v>1915</v>
      </c>
      <c r="D1209" s="25">
        <v>20.0</v>
      </c>
      <c r="E1209" s="27"/>
      <c r="F1209" s="25">
        <v>0.0</v>
      </c>
      <c r="G1209" s="27"/>
    </row>
    <row r="1210">
      <c r="A1210" s="21"/>
      <c r="B1210" s="21" t="s">
        <v>7462</v>
      </c>
      <c r="D1210" s="25">
        <v>20.0</v>
      </c>
      <c r="E1210" s="27"/>
      <c r="F1210" s="25">
        <v>0.0</v>
      </c>
      <c r="G1210" s="27"/>
    </row>
    <row r="1211">
      <c r="A1211" s="21"/>
      <c r="B1211" s="21" t="s">
        <v>7463</v>
      </c>
      <c r="D1211" s="25">
        <v>20.0</v>
      </c>
      <c r="E1211" s="27"/>
      <c r="F1211" s="25">
        <v>0.0</v>
      </c>
      <c r="G1211" s="27"/>
    </row>
    <row r="1212">
      <c r="A1212" s="21"/>
      <c r="B1212" s="21" t="s">
        <v>7464</v>
      </c>
      <c r="D1212" s="25">
        <v>20.0</v>
      </c>
      <c r="E1212" s="27"/>
      <c r="F1212" s="25">
        <v>0.0</v>
      </c>
      <c r="G1212" s="27"/>
    </row>
    <row r="1213">
      <c r="A1213" s="21"/>
      <c r="B1213" s="21" t="s">
        <v>7465</v>
      </c>
      <c r="D1213" s="25">
        <v>20.0</v>
      </c>
      <c r="E1213" s="27"/>
      <c r="F1213" s="25">
        <v>1.08</v>
      </c>
      <c r="G1213" s="27"/>
    </row>
    <row r="1214">
      <c r="A1214" s="21"/>
      <c r="B1214" s="21" t="s">
        <v>7466</v>
      </c>
      <c r="D1214" s="25">
        <v>20.0</v>
      </c>
      <c r="E1214" s="27"/>
      <c r="F1214" s="25">
        <v>0.0</v>
      </c>
      <c r="G1214" s="27"/>
    </row>
    <row r="1215">
      <c r="A1215" s="21"/>
      <c r="B1215" s="21" t="s">
        <v>7467</v>
      </c>
      <c r="D1215" s="25">
        <v>20.0</v>
      </c>
      <c r="E1215" s="27"/>
      <c r="F1215" s="25">
        <v>0.0</v>
      </c>
      <c r="G1215" s="27"/>
    </row>
    <row r="1216">
      <c r="A1216" s="21"/>
      <c r="B1216" s="21" t="s">
        <v>7468</v>
      </c>
      <c r="D1216" s="25">
        <v>20.0</v>
      </c>
      <c r="E1216" s="27"/>
      <c r="F1216" s="25">
        <v>0.93</v>
      </c>
      <c r="G1216" s="27"/>
    </row>
    <row r="1217">
      <c r="A1217" s="21"/>
      <c r="B1217" s="21" t="s">
        <v>7469</v>
      </c>
      <c r="D1217" s="25">
        <v>20.0</v>
      </c>
      <c r="E1217" s="27"/>
      <c r="F1217" s="25">
        <v>0.0</v>
      </c>
      <c r="G1217" s="27"/>
    </row>
    <row r="1218">
      <c r="A1218" s="21"/>
      <c r="B1218" s="21" t="s">
        <v>7470</v>
      </c>
      <c r="D1218" s="25">
        <v>20.0</v>
      </c>
      <c r="E1218" s="27"/>
      <c r="F1218" s="25">
        <v>0.0</v>
      </c>
      <c r="G1218" s="27"/>
    </row>
    <row r="1219">
      <c r="A1219" s="21"/>
      <c r="B1219" s="21" t="s">
        <v>7471</v>
      </c>
      <c r="D1219" s="25">
        <v>20.0</v>
      </c>
      <c r="E1219" s="27"/>
      <c r="F1219" s="25">
        <v>0.0</v>
      </c>
      <c r="G1219" s="27"/>
    </row>
    <row r="1220">
      <c r="A1220" s="21"/>
      <c r="B1220" s="21" t="s">
        <v>7472</v>
      </c>
      <c r="D1220" s="25">
        <v>20.0</v>
      </c>
      <c r="E1220" s="27"/>
      <c r="F1220" s="25">
        <v>0.0</v>
      </c>
      <c r="G1220" s="27"/>
    </row>
    <row r="1221">
      <c r="A1221" s="21"/>
      <c r="B1221" s="21" t="s">
        <v>7473</v>
      </c>
      <c r="D1221" s="25">
        <v>20.0</v>
      </c>
      <c r="E1221" s="27"/>
      <c r="F1221" s="25">
        <v>0.0</v>
      </c>
      <c r="G1221" s="27"/>
    </row>
    <row r="1222">
      <c r="A1222" s="21"/>
      <c r="B1222" s="21" t="s">
        <v>7474</v>
      </c>
      <c r="D1222" s="25">
        <v>20.0</v>
      </c>
      <c r="E1222" s="27"/>
      <c r="F1222" s="25">
        <v>3.73</v>
      </c>
      <c r="G1222" s="27"/>
    </row>
    <row r="1223">
      <c r="A1223" s="21"/>
      <c r="B1223" s="21" t="s">
        <v>7475</v>
      </c>
      <c r="C1223" s="27"/>
      <c r="D1223" s="25">
        <v>20.0</v>
      </c>
      <c r="E1223" s="27"/>
      <c r="F1223" s="25">
        <v>0.0</v>
      </c>
      <c r="G1223" s="27"/>
    </row>
    <row r="1224">
      <c r="A1224" s="21"/>
      <c r="B1224" s="21" t="s">
        <v>7476</v>
      </c>
      <c r="D1224" s="25">
        <v>20.0</v>
      </c>
      <c r="E1224" s="27"/>
      <c r="F1224" s="25">
        <v>0.0</v>
      </c>
      <c r="G1224" s="27"/>
    </row>
    <row r="1225">
      <c r="A1225" s="21"/>
      <c r="B1225" s="21" t="s">
        <v>7477</v>
      </c>
      <c r="D1225" s="25">
        <v>20.0</v>
      </c>
      <c r="E1225" s="27"/>
      <c r="F1225" s="25">
        <v>0.0</v>
      </c>
      <c r="G1225" s="27"/>
    </row>
    <row r="1226">
      <c r="A1226" s="21"/>
      <c r="B1226" s="21" t="s">
        <v>7478</v>
      </c>
      <c r="D1226" s="25">
        <v>20.0</v>
      </c>
      <c r="E1226" s="27"/>
      <c r="F1226" s="25">
        <v>2.81</v>
      </c>
      <c r="G1226" s="27"/>
    </row>
    <row r="1227">
      <c r="A1227" s="21"/>
      <c r="B1227" s="21" t="s">
        <v>7479</v>
      </c>
      <c r="D1227" s="25">
        <v>20.0</v>
      </c>
      <c r="E1227" s="27"/>
      <c r="F1227" s="25">
        <v>2.81</v>
      </c>
      <c r="G1227" s="27"/>
    </row>
    <row r="1228">
      <c r="A1228" s="21"/>
      <c r="B1228" s="21" t="s">
        <v>7480</v>
      </c>
      <c r="D1228" s="25">
        <v>20.0</v>
      </c>
      <c r="E1228" s="27"/>
      <c r="F1228" s="25">
        <v>0.0</v>
      </c>
      <c r="G1228" s="27"/>
    </row>
    <row r="1229">
      <c r="A1229" s="21"/>
      <c r="B1229" s="21" t="s">
        <v>7481</v>
      </c>
      <c r="D1229" s="25">
        <v>20.0</v>
      </c>
      <c r="E1229" s="27"/>
      <c r="F1229" s="25">
        <v>0.0</v>
      </c>
      <c r="G1229" s="27"/>
    </row>
    <row r="1230">
      <c r="A1230" s="21"/>
      <c r="B1230" s="21" t="s">
        <v>7482</v>
      </c>
      <c r="D1230" s="25">
        <v>20.0</v>
      </c>
      <c r="E1230" s="27"/>
      <c r="F1230" s="25">
        <v>2.3</v>
      </c>
      <c r="G1230" s="27"/>
    </row>
    <row r="1231">
      <c r="A1231" s="21"/>
      <c r="B1231" s="21" t="s">
        <v>7483</v>
      </c>
      <c r="D1231" s="25">
        <v>20.0</v>
      </c>
      <c r="E1231" s="27"/>
      <c r="F1231" s="25">
        <v>2.3</v>
      </c>
      <c r="G1231" s="27"/>
    </row>
    <row r="1232">
      <c r="A1232" s="21"/>
      <c r="B1232" s="21" t="s">
        <v>7484</v>
      </c>
      <c r="D1232" s="25">
        <v>20.0</v>
      </c>
      <c r="E1232" s="27"/>
      <c r="F1232" s="25">
        <v>3.27</v>
      </c>
      <c r="G1232" s="27"/>
    </row>
    <row r="1233">
      <c r="A1233" s="21"/>
      <c r="B1233" s="21" t="s">
        <v>1930</v>
      </c>
      <c r="D1233" s="25">
        <v>20.0</v>
      </c>
      <c r="E1233" s="27"/>
      <c r="F1233" s="25">
        <v>0.0</v>
      </c>
      <c r="G1233" s="27"/>
    </row>
    <row r="1234">
      <c r="A1234" s="21"/>
      <c r="B1234" s="21" t="s">
        <v>7485</v>
      </c>
      <c r="D1234" s="25">
        <v>20.0</v>
      </c>
      <c r="E1234" s="27"/>
      <c r="F1234" s="25">
        <v>0.0</v>
      </c>
      <c r="G1234" s="27"/>
    </row>
    <row r="1235">
      <c r="A1235" s="21"/>
      <c r="B1235" s="21" t="s">
        <v>7486</v>
      </c>
      <c r="D1235" s="25">
        <v>20.0</v>
      </c>
      <c r="E1235" s="27"/>
      <c r="F1235" s="25">
        <v>0.0</v>
      </c>
      <c r="G1235" s="27"/>
    </row>
    <row r="1236">
      <c r="A1236" s="21"/>
      <c r="B1236" s="21" t="s">
        <v>7487</v>
      </c>
      <c r="D1236" s="25">
        <v>20.0</v>
      </c>
      <c r="E1236" s="27"/>
      <c r="F1236" s="25">
        <v>0.0</v>
      </c>
      <c r="G1236" s="27"/>
    </row>
    <row r="1237">
      <c r="A1237" s="21"/>
      <c r="B1237" s="21" t="s">
        <v>7488</v>
      </c>
      <c r="D1237" s="25">
        <v>20.0</v>
      </c>
      <c r="E1237" s="27"/>
      <c r="F1237" s="25">
        <v>0.0</v>
      </c>
      <c r="G1237" s="27"/>
    </row>
    <row r="1238">
      <c r="A1238" s="21"/>
      <c r="B1238" s="21" t="s">
        <v>1932</v>
      </c>
      <c r="D1238" s="25">
        <v>20.0</v>
      </c>
      <c r="E1238" s="27"/>
      <c r="F1238" s="25">
        <v>3.88</v>
      </c>
      <c r="G1238" s="27"/>
    </row>
    <row r="1239">
      <c r="A1239" s="21"/>
      <c r="B1239" s="21" t="s">
        <v>7489</v>
      </c>
      <c r="D1239" s="25">
        <v>20.0</v>
      </c>
      <c r="E1239" s="27"/>
      <c r="F1239" s="25">
        <v>3.88</v>
      </c>
      <c r="G1239" s="27"/>
    </row>
    <row r="1240">
      <c r="A1240" s="21"/>
      <c r="B1240" s="21" t="s">
        <v>7490</v>
      </c>
      <c r="D1240" s="25">
        <v>20.0</v>
      </c>
      <c r="E1240" s="27"/>
      <c r="F1240" s="25">
        <v>0.0</v>
      </c>
      <c r="G1240" s="27"/>
    </row>
    <row r="1241">
      <c r="A1241" s="21"/>
      <c r="B1241" s="21" t="s">
        <v>7491</v>
      </c>
      <c r="D1241" s="25">
        <v>20.0</v>
      </c>
      <c r="E1241" s="27"/>
      <c r="F1241" s="25">
        <v>0.0</v>
      </c>
      <c r="G1241" s="27"/>
    </row>
    <row r="1242">
      <c r="A1242" s="21"/>
      <c r="B1242" s="21" t="s">
        <v>7492</v>
      </c>
      <c r="D1242" s="25">
        <v>20.0</v>
      </c>
      <c r="E1242" s="27"/>
      <c r="F1242" s="25">
        <v>0.0</v>
      </c>
      <c r="G1242" s="27"/>
    </row>
    <row r="1243">
      <c r="A1243" s="21"/>
      <c r="B1243" s="21" t="s">
        <v>7493</v>
      </c>
      <c r="D1243" s="25">
        <v>20.0</v>
      </c>
      <c r="E1243" s="27"/>
      <c r="F1243" s="25">
        <v>0.0</v>
      </c>
      <c r="G1243" s="27"/>
    </row>
    <row r="1244">
      <c r="A1244" s="21"/>
      <c r="B1244" s="21" t="s">
        <v>7494</v>
      </c>
      <c r="D1244" s="25">
        <v>20.0</v>
      </c>
      <c r="E1244" s="27"/>
      <c r="F1244" s="25">
        <v>0.0</v>
      </c>
      <c r="G1244" s="27"/>
    </row>
    <row r="1245">
      <c r="A1245" s="21"/>
      <c r="B1245" s="21" t="s">
        <v>7495</v>
      </c>
      <c r="D1245" s="25">
        <v>20.0</v>
      </c>
      <c r="E1245" s="27"/>
      <c r="F1245" s="25">
        <v>0.0</v>
      </c>
      <c r="G1245" s="27"/>
    </row>
    <row r="1246">
      <c r="A1246" s="21"/>
      <c r="B1246" s="21" t="s">
        <v>7496</v>
      </c>
      <c r="D1246" s="25">
        <v>20.0</v>
      </c>
      <c r="E1246" s="27"/>
      <c r="F1246" s="25">
        <v>3.36</v>
      </c>
      <c r="G1246" s="27"/>
    </row>
    <row r="1247">
      <c r="A1247" s="21"/>
      <c r="B1247" s="21" t="s">
        <v>7497</v>
      </c>
      <c r="D1247" s="25">
        <v>20.0</v>
      </c>
      <c r="E1247" s="27"/>
      <c r="F1247" s="25">
        <v>0.0</v>
      </c>
      <c r="G1247" s="27"/>
    </row>
    <row r="1248">
      <c r="A1248" s="21"/>
      <c r="B1248" s="21" t="s">
        <v>7498</v>
      </c>
      <c r="D1248" s="25">
        <v>20.0</v>
      </c>
      <c r="E1248" s="27"/>
      <c r="F1248" s="25">
        <v>0.0</v>
      </c>
      <c r="G1248" s="27"/>
    </row>
    <row r="1249">
      <c r="A1249" s="21"/>
      <c r="B1249" s="21" t="s">
        <v>7499</v>
      </c>
      <c r="D1249" s="25">
        <v>20.0</v>
      </c>
      <c r="E1249" s="27"/>
      <c r="F1249" s="25">
        <v>0.0</v>
      </c>
      <c r="G1249" s="27"/>
    </row>
    <row r="1250">
      <c r="A1250" s="21"/>
      <c r="B1250" s="21" t="s">
        <v>7500</v>
      </c>
      <c r="D1250" s="25">
        <v>20.0</v>
      </c>
      <c r="E1250" s="27"/>
      <c r="F1250" s="25">
        <v>9.68</v>
      </c>
      <c r="G1250" s="27"/>
    </row>
    <row r="1251">
      <c r="A1251" s="21"/>
      <c r="B1251" s="21" t="s">
        <v>7501</v>
      </c>
      <c r="D1251" s="25">
        <v>20.0</v>
      </c>
      <c r="E1251" s="27"/>
      <c r="F1251" s="25">
        <v>0.0</v>
      </c>
      <c r="G1251" s="27"/>
    </row>
    <row r="1252">
      <c r="A1252" s="21"/>
      <c r="B1252" s="21" t="s">
        <v>7502</v>
      </c>
      <c r="D1252" s="25">
        <v>20.0</v>
      </c>
      <c r="E1252" s="27"/>
      <c r="F1252" s="25">
        <v>0.0</v>
      </c>
      <c r="G1252" s="27"/>
    </row>
    <row r="1253">
      <c r="A1253" s="21"/>
      <c r="B1253" s="21" t="s">
        <v>7503</v>
      </c>
      <c r="D1253" s="25">
        <v>20.0</v>
      </c>
      <c r="E1253" s="27"/>
      <c r="F1253" s="25">
        <v>1.45</v>
      </c>
      <c r="G1253" s="27"/>
    </row>
    <row r="1254">
      <c r="A1254" s="21"/>
      <c r="B1254" s="21" t="s">
        <v>7504</v>
      </c>
      <c r="D1254" s="25">
        <v>20.0</v>
      </c>
      <c r="E1254" s="27"/>
      <c r="F1254" s="25">
        <v>0.0</v>
      </c>
      <c r="G1254" s="27"/>
    </row>
    <row r="1255">
      <c r="A1255" s="21"/>
      <c r="B1255" s="21" t="s">
        <v>7505</v>
      </c>
      <c r="D1255" s="25">
        <v>20.0</v>
      </c>
      <c r="E1255" s="27"/>
      <c r="F1255" s="25">
        <v>0.58</v>
      </c>
      <c r="G1255" s="27"/>
    </row>
    <row r="1256">
      <c r="A1256" s="21"/>
      <c r="B1256" s="21" t="s">
        <v>7506</v>
      </c>
      <c r="D1256" s="25">
        <v>20.0</v>
      </c>
      <c r="E1256" s="27"/>
      <c r="F1256" s="25">
        <v>0.99</v>
      </c>
      <c r="G1256" s="27"/>
    </row>
    <row r="1257">
      <c r="A1257" s="21"/>
      <c r="B1257" s="21" t="s">
        <v>7507</v>
      </c>
      <c r="D1257" s="25">
        <v>20.0</v>
      </c>
      <c r="E1257" s="27"/>
      <c r="F1257" s="25">
        <v>1.14</v>
      </c>
      <c r="G1257" s="27"/>
    </row>
    <row r="1258">
      <c r="A1258" s="21"/>
      <c r="B1258" s="21" t="s">
        <v>7508</v>
      </c>
      <c r="D1258" s="25">
        <v>20.0</v>
      </c>
      <c r="E1258" s="27"/>
      <c r="F1258" s="25">
        <v>0.0</v>
      </c>
      <c r="G1258" s="27"/>
    </row>
    <row r="1259">
      <c r="A1259" s="21"/>
      <c r="B1259" s="21" t="s">
        <v>7509</v>
      </c>
      <c r="D1259" s="25">
        <v>20.0</v>
      </c>
      <c r="E1259" s="27"/>
      <c r="F1259" s="25">
        <v>0.68</v>
      </c>
      <c r="G1259" s="27"/>
    </row>
    <row r="1260">
      <c r="A1260" s="21"/>
      <c r="B1260" s="21" t="s">
        <v>7510</v>
      </c>
      <c r="D1260" s="25">
        <v>20.0</v>
      </c>
      <c r="E1260" s="27"/>
      <c r="F1260" s="25">
        <v>0.0</v>
      </c>
      <c r="G1260" s="27"/>
    </row>
    <row r="1261">
      <c r="A1261" s="21"/>
      <c r="B1261" s="21" t="s">
        <v>7511</v>
      </c>
      <c r="D1261" s="25">
        <v>20.0</v>
      </c>
      <c r="E1261" s="27"/>
      <c r="F1261" s="25">
        <v>1.38</v>
      </c>
      <c r="G1261" s="27"/>
    </row>
    <row r="1262">
      <c r="A1262" s="21"/>
      <c r="B1262" s="21" t="s">
        <v>7512</v>
      </c>
      <c r="D1262" s="25">
        <v>20.0</v>
      </c>
      <c r="E1262" s="27"/>
      <c r="F1262" s="25">
        <v>0.0</v>
      </c>
      <c r="G1262" s="27"/>
    </row>
    <row r="1263">
      <c r="A1263" s="21"/>
      <c r="B1263" s="21" t="s">
        <v>7513</v>
      </c>
      <c r="D1263" s="25">
        <v>20.0</v>
      </c>
      <c r="E1263" s="27"/>
      <c r="F1263" s="25">
        <v>0.0</v>
      </c>
      <c r="G1263" s="27"/>
    </row>
    <row r="1264">
      <c r="A1264" s="21"/>
      <c r="B1264" s="21" t="s">
        <v>7514</v>
      </c>
      <c r="D1264" s="25">
        <v>20.0</v>
      </c>
      <c r="E1264" s="27"/>
      <c r="F1264" s="25">
        <v>0.0</v>
      </c>
      <c r="G1264" s="27"/>
    </row>
    <row r="1265">
      <c r="A1265" s="21"/>
      <c r="B1265" s="21" t="s">
        <v>7515</v>
      </c>
      <c r="D1265" s="25">
        <v>20.0</v>
      </c>
      <c r="E1265" s="27"/>
      <c r="F1265" s="25">
        <v>0.0</v>
      </c>
      <c r="G1265" s="27"/>
    </row>
    <row r="1266">
      <c r="A1266" s="21"/>
      <c r="B1266" s="21" t="s">
        <v>7516</v>
      </c>
      <c r="D1266" s="25">
        <v>20.0</v>
      </c>
      <c r="E1266" s="27"/>
      <c r="F1266" s="25">
        <v>0.0</v>
      </c>
      <c r="G1266" s="27"/>
    </row>
    <row r="1267">
      <c r="A1267" s="21"/>
      <c r="B1267" s="21" t="s">
        <v>7517</v>
      </c>
      <c r="D1267" s="25">
        <v>20.0</v>
      </c>
      <c r="E1267" s="27"/>
      <c r="F1267" s="25">
        <v>0.0</v>
      </c>
      <c r="G1267" s="27"/>
    </row>
    <row r="1268">
      <c r="A1268" s="21"/>
      <c r="B1268" s="21" t="s">
        <v>7518</v>
      </c>
      <c r="D1268" s="25">
        <v>20.0</v>
      </c>
      <c r="E1268" s="27"/>
      <c r="F1268" s="25">
        <v>0.0</v>
      </c>
      <c r="G1268" s="27"/>
    </row>
    <row r="1269">
      <c r="A1269" s="21"/>
      <c r="B1269" s="21" t="s">
        <v>7519</v>
      </c>
      <c r="D1269" s="25">
        <v>20.0</v>
      </c>
      <c r="E1269" s="27"/>
      <c r="F1269" s="25">
        <v>0.0</v>
      </c>
      <c r="G1269" s="27"/>
    </row>
    <row r="1270">
      <c r="A1270" s="21"/>
      <c r="B1270" s="21" t="s">
        <v>7520</v>
      </c>
      <c r="D1270" s="25">
        <v>20.0</v>
      </c>
      <c r="E1270" s="27"/>
      <c r="F1270" s="25">
        <v>0.0</v>
      </c>
      <c r="G1270" s="27"/>
    </row>
    <row r="1271">
      <c r="A1271" s="21"/>
      <c r="B1271" s="21" t="s">
        <v>7521</v>
      </c>
      <c r="D1271" s="25">
        <v>20.0</v>
      </c>
      <c r="E1271" s="27"/>
      <c r="F1271" s="25">
        <v>0.0</v>
      </c>
      <c r="G1271" s="27"/>
    </row>
    <row r="1272">
      <c r="A1272" s="21"/>
      <c r="B1272" s="21" t="s">
        <v>7522</v>
      </c>
      <c r="D1272" s="25">
        <v>20.0</v>
      </c>
      <c r="E1272" s="27"/>
      <c r="F1272" s="25">
        <v>0.0</v>
      </c>
      <c r="G1272" s="27"/>
    </row>
    <row r="1273">
      <c r="A1273" s="21"/>
      <c r="B1273" s="21" t="s">
        <v>7523</v>
      </c>
      <c r="D1273" s="25">
        <v>20.0</v>
      </c>
      <c r="E1273" s="27"/>
      <c r="F1273" s="25">
        <v>0.0</v>
      </c>
      <c r="G1273" s="27"/>
    </row>
    <row r="1274">
      <c r="A1274" s="21"/>
      <c r="B1274" s="21" t="s">
        <v>7524</v>
      </c>
      <c r="D1274" s="25">
        <v>20.0</v>
      </c>
      <c r="E1274" s="27"/>
      <c r="F1274" s="25">
        <v>0.0</v>
      </c>
      <c r="G1274" s="27"/>
    </row>
    <row r="1275">
      <c r="A1275" s="21"/>
      <c r="B1275" s="21" t="s">
        <v>7525</v>
      </c>
      <c r="D1275" s="25">
        <v>20.0</v>
      </c>
      <c r="E1275" s="27"/>
      <c r="F1275" s="25">
        <v>0.0</v>
      </c>
      <c r="G1275" s="27"/>
    </row>
    <row r="1276">
      <c r="A1276" s="21"/>
      <c r="B1276" s="21" t="s">
        <v>7526</v>
      </c>
      <c r="D1276" s="25">
        <v>20.0</v>
      </c>
      <c r="E1276" s="27"/>
      <c r="F1276" s="25">
        <v>0.0</v>
      </c>
      <c r="G1276" s="27"/>
    </row>
    <row r="1277">
      <c r="A1277" s="21"/>
      <c r="B1277" s="21" t="s">
        <v>7527</v>
      </c>
      <c r="D1277" s="25">
        <v>20.0</v>
      </c>
      <c r="E1277" s="27"/>
      <c r="F1277" s="25">
        <v>0.0</v>
      </c>
      <c r="G1277" s="27"/>
    </row>
    <row r="1278">
      <c r="A1278" s="21"/>
      <c r="B1278" s="21" t="s">
        <v>7528</v>
      </c>
      <c r="D1278" s="25">
        <v>20.0</v>
      </c>
      <c r="E1278" s="27"/>
      <c r="F1278" s="25">
        <v>0.0</v>
      </c>
      <c r="G1278" s="27"/>
    </row>
    <row r="1279">
      <c r="A1279" s="21"/>
      <c r="B1279" s="21" t="s">
        <v>7529</v>
      </c>
      <c r="D1279" s="25">
        <v>20.0</v>
      </c>
      <c r="E1279" s="27"/>
      <c r="F1279" s="25">
        <v>0.0</v>
      </c>
      <c r="G1279" s="27"/>
    </row>
    <row r="1280">
      <c r="A1280" s="21"/>
      <c r="B1280" s="21" t="s">
        <v>7530</v>
      </c>
      <c r="D1280" s="25">
        <v>20.0</v>
      </c>
      <c r="E1280" s="27"/>
      <c r="F1280" s="25">
        <v>0.0</v>
      </c>
      <c r="G1280" s="27"/>
    </row>
    <row r="1281">
      <c r="A1281" s="21"/>
      <c r="B1281" s="21" t="s">
        <v>7531</v>
      </c>
      <c r="D1281" s="25">
        <v>20.0</v>
      </c>
      <c r="E1281" s="27"/>
      <c r="F1281" s="25">
        <v>0.0</v>
      </c>
      <c r="G1281" s="27"/>
    </row>
    <row r="1282">
      <c r="A1282" s="21"/>
      <c r="B1282" s="21" t="s">
        <v>7532</v>
      </c>
      <c r="D1282" s="25">
        <v>20.0</v>
      </c>
      <c r="E1282" s="27"/>
      <c r="F1282" s="25">
        <v>0.0</v>
      </c>
      <c r="G1282" s="27"/>
    </row>
    <row r="1283">
      <c r="A1283" s="21"/>
      <c r="B1283" s="21" t="s">
        <v>7533</v>
      </c>
      <c r="D1283" s="25">
        <v>20.0</v>
      </c>
      <c r="E1283" s="27"/>
      <c r="F1283" s="25">
        <v>3.04</v>
      </c>
      <c r="G1283" s="27"/>
    </row>
    <row r="1284">
      <c r="A1284" s="21"/>
      <c r="B1284" s="21" t="s">
        <v>7534</v>
      </c>
      <c r="D1284" s="25">
        <v>20.0</v>
      </c>
      <c r="E1284" s="27"/>
      <c r="F1284" s="25">
        <v>3.35</v>
      </c>
      <c r="G1284" s="27"/>
    </row>
    <row r="1285">
      <c r="A1285" s="21"/>
      <c r="B1285" s="21" t="s">
        <v>7535</v>
      </c>
      <c r="D1285" s="25">
        <v>20.0</v>
      </c>
      <c r="E1285" s="27"/>
      <c r="F1285" s="25">
        <v>2.93</v>
      </c>
      <c r="G1285" s="27"/>
    </row>
    <row r="1286">
      <c r="A1286" s="21"/>
      <c r="B1286" s="21" t="s">
        <v>7536</v>
      </c>
      <c r="D1286" s="25">
        <v>20.0</v>
      </c>
      <c r="E1286" s="27"/>
      <c r="F1286" s="25">
        <v>0.0</v>
      </c>
      <c r="G1286" s="27"/>
    </row>
    <row r="1287">
      <c r="A1287" s="21"/>
      <c r="B1287" s="21" t="s">
        <v>7537</v>
      </c>
      <c r="D1287" s="25">
        <v>20.0</v>
      </c>
      <c r="E1287" s="27"/>
      <c r="F1287" s="25">
        <v>4.05</v>
      </c>
      <c r="G1287" s="27"/>
    </row>
    <row r="1288">
      <c r="A1288" s="21"/>
      <c r="B1288" s="21" t="s">
        <v>7538</v>
      </c>
      <c r="D1288" s="25">
        <v>20.0</v>
      </c>
      <c r="E1288" s="27"/>
      <c r="F1288" s="25">
        <v>4.05</v>
      </c>
      <c r="G1288" s="27"/>
    </row>
    <row r="1289">
      <c r="A1289" s="21"/>
      <c r="B1289" s="21" t="s">
        <v>7539</v>
      </c>
      <c r="D1289" s="25">
        <v>20.0</v>
      </c>
      <c r="E1289" s="27"/>
      <c r="F1289" s="25">
        <v>3.12</v>
      </c>
      <c r="G1289" s="27"/>
    </row>
    <row r="1290">
      <c r="A1290" s="21"/>
      <c r="B1290" s="21" t="s">
        <v>7540</v>
      </c>
      <c r="D1290" s="25">
        <v>20.0</v>
      </c>
      <c r="E1290" s="27"/>
      <c r="F1290" s="25">
        <v>3.38</v>
      </c>
      <c r="G1290" s="27"/>
    </row>
    <row r="1291">
      <c r="A1291" s="21"/>
      <c r="B1291" s="21" t="s">
        <v>7541</v>
      </c>
      <c r="D1291" s="25">
        <v>20.0</v>
      </c>
      <c r="E1291" s="27"/>
      <c r="F1291" s="25">
        <v>2.61</v>
      </c>
      <c r="G1291" s="27"/>
    </row>
    <row r="1292">
      <c r="A1292" s="21"/>
      <c r="B1292" s="21" t="s">
        <v>7542</v>
      </c>
      <c r="D1292" s="25">
        <v>20.0</v>
      </c>
      <c r="E1292" s="27"/>
      <c r="F1292" s="25">
        <v>2.88</v>
      </c>
      <c r="G1292" s="27"/>
    </row>
    <row r="1293">
      <c r="A1293" s="21"/>
      <c r="B1293" s="21" t="s">
        <v>7543</v>
      </c>
      <c r="D1293" s="25">
        <v>20.0</v>
      </c>
      <c r="E1293" s="27"/>
      <c r="F1293" s="25">
        <v>2.62</v>
      </c>
      <c r="G1293" s="27"/>
    </row>
    <row r="1294">
      <c r="A1294" s="21"/>
      <c r="B1294" s="21" t="s">
        <v>7544</v>
      </c>
      <c r="D1294" s="25">
        <v>20.0</v>
      </c>
      <c r="E1294" s="27"/>
      <c r="F1294" s="25">
        <v>4.66</v>
      </c>
      <c r="G1294" s="27"/>
    </row>
    <row r="1295">
      <c r="A1295" s="21"/>
      <c r="B1295" s="21" t="s">
        <v>7545</v>
      </c>
      <c r="D1295" s="25">
        <v>20.0</v>
      </c>
      <c r="E1295" s="27"/>
      <c r="F1295" s="25">
        <v>3.43</v>
      </c>
      <c r="G1295" s="27"/>
    </row>
    <row r="1296">
      <c r="A1296" s="21"/>
      <c r="B1296" s="21" t="s">
        <v>7546</v>
      </c>
      <c r="D1296" s="25">
        <v>20.0</v>
      </c>
      <c r="E1296" s="27"/>
      <c r="F1296" s="25">
        <v>2.94</v>
      </c>
      <c r="G1296" s="27"/>
    </row>
    <row r="1297">
      <c r="A1297" s="21"/>
      <c r="B1297" s="21" t="s">
        <v>7547</v>
      </c>
      <c r="D1297" s="25">
        <v>20.0</v>
      </c>
      <c r="E1297" s="27"/>
      <c r="F1297" s="25">
        <v>2.79</v>
      </c>
      <c r="G1297" s="27"/>
    </row>
    <row r="1298">
      <c r="A1298" s="21"/>
      <c r="B1298" s="21" t="s">
        <v>7548</v>
      </c>
      <c r="D1298" s="25">
        <v>20.0</v>
      </c>
      <c r="E1298" s="27"/>
      <c r="F1298" s="25">
        <v>0.0</v>
      </c>
      <c r="G1298" s="27"/>
    </row>
    <row r="1299">
      <c r="A1299" s="21"/>
      <c r="B1299" s="21" t="s">
        <v>7549</v>
      </c>
      <c r="D1299" s="25">
        <v>20.0</v>
      </c>
      <c r="E1299" s="27"/>
      <c r="F1299" s="25">
        <v>2.82</v>
      </c>
      <c r="G1299" s="27"/>
    </row>
    <row r="1300">
      <c r="A1300" s="21"/>
      <c r="B1300" s="21" t="s">
        <v>7550</v>
      </c>
      <c r="D1300" s="25">
        <v>20.0</v>
      </c>
      <c r="E1300" s="27"/>
      <c r="F1300" s="25">
        <v>3.76</v>
      </c>
      <c r="G1300" s="27"/>
    </row>
    <row r="1301">
      <c r="A1301" s="21"/>
      <c r="B1301" s="21" t="s">
        <v>7551</v>
      </c>
      <c r="D1301" s="25">
        <v>20.0</v>
      </c>
      <c r="E1301" s="27"/>
      <c r="F1301" s="25">
        <v>0.0</v>
      </c>
      <c r="G1301" s="27"/>
    </row>
    <row r="1302">
      <c r="A1302" s="21"/>
      <c r="B1302" s="21" t="s">
        <v>7552</v>
      </c>
      <c r="D1302" s="25">
        <v>20.0</v>
      </c>
      <c r="E1302" s="27"/>
      <c r="F1302" s="25">
        <v>3.76</v>
      </c>
      <c r="G1302" s="27"/>
    </row>
    <row r="1303">
      <c r="A1303" s="21"/>
      <c r="B1303" s="21" t="s">
        <v>7553</v>
      </c>
      <c r="D1303" s="25">
        <v>20.0</v>
      </c>
      <c r="E1303" s="27"/>
      <c r="F1303" s="25">
        <v>2.76</v>
      </c>
      <c r="G1303" s="27"/>
    </row>
    <row r="1304">
      <c r="A1304" s="21"/>
      <c r="B1304" s="21" t="s">
        <v>7554</v>
      </c>
      <c r="D1304" s="25">
        <v>20.0</v>
      </c>
      <c r="E1304" s="27"/>
      <c r="F1304" s="25">
        <v>0.0</v>
      </c>
      <c r="G1304" s="27"/>
    </row>
    <row r="1305">
      <c r="A1305" s="21"/>
      <c r="B1305" s="21" t="s">
        <v>7555</v>
      </c>
      <c r="D1305" s="25">
        <v>20.0</v>
      </c>
      <c r="E1305" s="27"/>
      <c r="F1305" s="25">
        <v>0.85</v>
      </c>
      <c r="G1305" s="27"/>
    </row>
    <row r="1306">
      <c r="A1306" s="21"/>
      <c r="B1306" s="21" t="s">
        <v>7556</v>
      </c>
      <c r="D1306" s="25">
        <v>20.0</v>
      </c>
      <c r="E1306" s="27"/>
      <c r="F1306" s="25">
        <v>0.0</v>
      </c>
      <c r="G1306" s="27"/>
    </row>
    <row r="1307">
      <c r="A1307" s="21"/>
      <c r="B1307" s="21" t="s">
        <v>7557</v>
      </c>
      <c r="D1307" s="25">
        <v>20.0</v>
      </c>
      <c r="E1307" s="27"/>
      <c r="F1307" s="25">
        <v>0.0</v>
      </c>
      <c r="G1307" s="27"/>
    </row>
    <row r="1308">
      <c r="A1308" s="21"/>
      <c r="B1308" s="21" t="s">
        <v>7558</v>
      </c>
      <c r="D1308" s="25">
        <v>20.0</v>
      </c>
      <c r="E1308" s="27"/>
      <c r="F1308" s="25">
        <v>0.0</v>
      </c>
      <c r="G1308" s="27"/>
    </row>
    <row r="1309">
      <c r="A1309" s="21"/>
      <c r="B1309" s="21" t="s">
        <v>7559</v>
      </c>
      <c r="D1309" s="25">
        <v>20.0</v>
      </c>
      <c r="E1309" s="27"/>
      <c r="F1309" s="25">
        <v>0.0</v>
      </c>
      <c r="G1309" s="27"/>
    </row>
    <row r="1310">
      <c r="A1310" s="21"/>
      <c r="B1310" s="21" t="s">
        <v>7560</v>
      </c>
      <c r="D1310" s="25">
        <v>20.0</v>
      </c>
      <c r="E1310" s="27"/>
      <c r="F1310" s="25">
        <v>0.0</v>
      </c>
      <c r="G1310" s="27"/>
    </row>
    <row r="1311">
      <c r="A1311" s="21"/>
      <c r="B1311" s="21" t="s">
        <v>7561</v>
      </c>
      <c r="D1311" s="25">
        <v>20.0</v>
      </c>
      <c r="E1311" s="27"/>
      <c r="F1311" s="25">
        <v>0.0</v>
      </c>
      <c r="G1311" s="27"/>
    </row>
    <row r="1312">
      <c r="A1312" s="21"/>
      <c r="B1312" s="21" t="s">
        <v>7562</v>
      </c>
      <c r="D1312" s="25">
        <v>20.0</v>
      </c>
      <c r="E1312" s="27"/>
      <c r="F1312" s="25">
        <v>0.86</v>
      </c>
      <c r="G1312" s="27"/>
    </row>
    <row r="1313">
      <c r="A1313" s="21"/>
      <c r="B1313" s="21" t="s">
        <v>7563</v>
      </c>
      <c r="D1313" s="25">
        <v>20.0</v>
      </c>
      <c r="E1313" s="27"/>
      <c r="F1313" s="25">
        <v>0.0</v>
      </c>
      <c r="G1313" s="27"/>
    </row>
    <row r="1314">
      <c r="A1314" s="21"/>
      <c r="B1314" s="21" t="s">
        <v>7564</v>
      </c>
      <c r="D1314" s="25">
        <v>20.0</v>
      </c>
      <c r="E1314" s="27"/>
      <c r="F1314" s="25">
        <v>0.0</v>
      </c>
      <c r="G1314" s="27"/>
    </row>
    <row r="1315">
      <c r="A1315" s="21"/>
      <c r="B1315" s="21" t="s">
        <v>7565</v>
      </c>
      <c r="D1315" s="25">
        <v>20.0</v>
      </c>
      <c r="E1315" s="27"/>
      <c r="F1315" s="25">
        <v>1.93</v>
      </c>
      <c r="G1315" s="27"/>
    </row>
    <row r="1316">
      <c r="A1316" s="21"/>
      <c r="B1316" s="21" t="s">
        <v>7566</v>
      </c>
      <c r="D1316" s="25">
        <v>20.0</v>
      </c>
      <c r="E1316" s="27"/>
      <c r="F1316" s="25">
        <v>0.0</v>
      </c>
      <c r="G1316" s="27"/>
    </row>
    <row r="1317">
      <c r="A1317" s="21"/>
      <c r="B1317" s="21" t="s">
        <v>7567</v>
      </c>
      <c r="D1317" s="25">
        <v>20.0</v>
      </c>
      <c r="E1317" s="27"/>
      <c r="F1317" s="25">
        <v>1.08</v>
      </c>
      <c r="G1317" s="27"/>
    </row>
    <row r="1318">
      <c r="A1318" s="21"/>
      <c r="B1318" s="21" t="s">
        <v>7568</v>
      </c>
      <c r="D1318" s="25">
        <v>20.0</v>
      </c>
      <c r="E1318" s="27"/>
      <c r="F1318" s="25">
        <v>0.0</v>
      </c>
      <c r="G1318" s="27"/>
    </row>
    <row r="1319">
      <c r="A1319" s="21"/>
      <c r="B1319" s="21" t="s">
        <v>7569</v>
      </c>
      <c r="D1319" s="25">
        <v>20.0</v>
      </c>
      <c r="E1319" s="27"/>
      <c r="F1319" s="25">
        <v>0.45</v>
      </c>
      <c r="G1319" s="27"/>
    </row>
    <row r="1320">
      <c r="A1320" s="21"/>
      <c r="B1320" s="21" t="s">
        <v>7570</v>
      </c>
      <c r="D1320" s="25">
        <v>20.0</v>
      </c>
      <c r="E1320" s="27"/>
      <c r="F1320" s="25">
        <v>0.0</v>
      </c>
      <c r="G1320" s="27"/>
    </row>
    <row r="1321">
      <c r="A1321" s="21"/>
      <c r="B1321" s="21" t="s">
        <v>7571</v>
      </c>
      <c r="D1321" s="25">
        <v>20.0</v>
      </c>
      <c r="E1321" s="27"/>
      <c r="F1321" s="25">
        <v>0.0</v>
      </c>
      <c r="G1321" s="27"/>
    </row>
    <row r="1322">
      <c r="A1322" s="21"/>
      <c r="B1322" s="21" t="s">
        <v>7572</v>
      </c>
      <c r="D1322" s="25">
        <v>20.0</v>
      </c>
      <c r="E1322" s="27"/>
      <c r="F1322" s="25">
        <v>0.0</v>
      </c>
      <c r="G1322" s="27"/>
    </row>
    <row r="1323">
      <c r="A1323" s="21"/>
      <c r="B1323" s="21" t="s">
        <v>7573</v>
      </c>
      <c r="D1323" s="25">
        <v>20.0</v>
      </c>
      <c r="E1323" s="27"/>
      <c r="F1323" s="25">
        <v>0.32</v>
      </c>
      <c r="G1323" s="27"/>
    </row>
    <row r="1324">
      <c r="A1324" s="21"/>
      <c r="B1324" s="21" t="s">
        <v>7574</v>
      </c>
      <c r="D1324" s="25">
        <v>20.0</v>
      </c>
      <c r="E1324" s="27"/>
      <c r="F1324" s="25">
        <v>0.0</v>
      </c>
      <c r="G1324" s="27"/>
    </row>
    <row r="1325">
      <c r="A1325" s="21"/>
      <c r="B1325" s="21" t="s">
        <v>7575</v>
      </c>
      <c r="D1325" s="25">
        <v>20.0</v>
      </c>
      <c r="E1325" s="27"/>
      <c r="F1325" s="25">
        <v>0.3</v>
      </c>
      <c r="G1325" s="27"/>
    </row>
    <row r="1326">
      <c r="A1326" s="21"/>
      <c r="B1326" s="21" t="s">
        <v>7576</v>
      </c>
      <c r="D1326" s="25">
        <v>20.0</v>
      </c>
      <c r="E1326" s="27"/>
      <c r="F1326" s="25">
        <v>0.0</v>
      </c>
      <c r="G1326" s="27"/>
    </row>
    <row r="1327">
      <c r="A1327" s="21"/>
      <c r="B1327" s="21" t="s">
        <v>7577</v>
      </c>
      <c r="D1327" s="25">
        <v>20.0</v>
      </c>
      <c r="E1327" s="27"/>
      <c r="F1327" s="25">
        <v>1.37</v>
      </c>
      <c r="G1327" s="27"/>
    </row>
    <row r="1328">
      <c r="A1328" s="21"/>
      <c r="B1328" s="21" t="s">
        <v>7578</v>
      </c>
      <c r="D1328" s="25">
        <v>20.0</v>
      </c>
      <c r="E1328" s="27"/>
      <c r="F1328" s="25">
        <v>0.22</v>
      </c>
      <c r="G1328" s="27"/>
    </row>
    <row r="1329">
      <c r="A1329" s="21"/>
      <c r="B1329" s="21" t="s">
        <v>5995</v>
      </c>
      <c r="D1329" s="25">
        <v>20.0</v>
      </c>
      <c r="E1329" s="27"/>
      <c r="F1329" s="25">
        <v>0.99</v>
      </c>
      <c r="G1329" s="27"/>
    </row>
    <row r="1330">
      <c r="A1330" s="21"/>
      <c r="B1330" s="21" t="s">
        <v>7579</v>
      </c>
      <c r="D1330" s="25">
        <v>20.0</v>
      </c>
      <c r="E1330" s="27"/>
      <c r="F1330" s="25">
        <v>0.0</v>
      </c>
      <c r="G1330" s="27"/>
    </row>
    <row r="1331">
      <c r="A1331" s="21"/>
      <c r="B1331" s="21" t="s">
        <v>7580</v>
      </c>
      <c r="D1331" s="25">
        <v>20.0</v>
      </c>
      <c r="E1331" s="27"/>
      <c r="F1331" s="25">
        <v>0.0</v>
      </c>
      <c r="G1331" s="27"/>
    </row>
    <row r="1332">
      <c r="A1332" s="21"/>
      <c r="B1332" s="21" t="s">
        <v>7581</v>
      </c>
      <c r="D1332" s="25">
        <v>20.0</v>
      </c>
      <c r="E1332" s="27"/>
      <c r="F1332" s="25">
        <v>0.0</v>
      </c>
      <c r="G1332" s="27"/>
    </row>
    <row r="1333">
      <c r="A1333" s="21"/>
      <c r="B1333" s="21" t="s">
        <v>7582</v>
      </c>
      <c r="D1333" s="25">
        <v>20.0</v>
      </c>
      <c r="E1333" s="27"/>
      <c r="F1333" s="25">
        <v>0.0</v>
      </c>
      <c r="G1333" s="27"/>
    </row>
    <row r="1334">
      <c r="A1334" s="21"/>
      <c r="B1334" s="21" t="s">
        <v>7583</v>
      </c>
      <c r="D1334" s="25">
        <v>20.0</v>
      </c>
      <c r="E1334" s="27"/>
      <c r="F1334" s="25">
        <v>0.61</v>
      </c>
      <c r="G1334" s="27"/>
    </row>
    <row r="1335">
      <c r="A1335" s="21"/>
      <c r="B1335" s="21" t="s">
        <v>7584</v>
      </c>
      <c r="D1335" s="25">
        <v>20.0</v>
      </c>
      <c r="E1335" s="27"/>
      <c r="F1335" s="25">
        <v>0.0</v>
      </c>
      <c r="G1335" s="27"/>
    </row>
    <row r="1336">
      <c r="A1336" s="21"/>
      <c r="B1336" s="21" t="s">
        <v>7585</v>
      </c>
      <c r="D1336" s="25">
        <v>20.0</v>
      </c>
      <c r="E1336" s="27"/>
      <c r="F1336" s="25">
        <v>0.0</v>
      </c>
      <c r="G1336" s="27"/>
    </row>
    <row r="1337">
      <c r="A1337" s="21"/>
      <c r="B1337" s="21" t="s">
        <v>7586</v>
      </c>
      <c r="D1337" s="25">
        <v>20.0</v>
      </c>
      <c r="E1337" s="27"/>
      <c r="F1337" s="25">
        <v>0.45</v>
      </c>
      <c r="G1337" s="27"/>
    </row>
    <row r="1338">
      <c r="A1338" s="21"/>
      <c r="B1338" s="21" t="s">
        <v>7587</v>
      </c>
      <c r="D1338" s="25">
        <v>20.0</v>
      </c>
      <c r="E1338" s="27"/>
      <c r="F1338" s="25">
        <v>0.0</v>
      </c>
      <c r="G1338" s="27"/>
    </row>
    <row r="1339">
      <c r="A1339" s="21"/>
      <c r="B1339" s="21" t="s">
        <v>7588</v>
      </c>
      <c r="D1339" s="25">
        <v>20.0</v>
      </c>
      <c r="E1339" s="27"/>
      <c r="F1339" s="25">
        <v>0.0</v>
      </c>
      <c r="G1339" s="27"/>
    </row>
    <row r="1340">
      <c r="A1340" s="21"/>
      <c r="B1340" s="21" t="s">
        <v>7589</v>
      </c>
      <c r="D1340" s="25">
        <v>20.0</v>
      </c>
      <c r="E1340" s="27"/>
      <c r="F1340" s="25">
        <v>0.47</v>
      </c>
      <c r="G1340" s="27"/>
    </row>
    <row r="1341">
      <c r="A1341" s="21"/>
      <c r="B1341" s="21" t="s">
        <v>7590</v>
      </c>
      <c r="D1341" s="25">
        <v>20.0</v>
      </c>
      <c r="E1341" s="27"/>
      <c r="F1341" s="25">
        <v>0.0</v>
      </c>
      <c r="G1341" s="27"/>
    </row>
    <row r="1342">
      <c r="A1342" s="21"/>
      <c r="B1342" s="21" t="s">
        <v>7591</v>
      </c>
      <c r="D1342" s="25">
        <v>20.0</v>
      </c>
      <c r="E1342" s="27"/>
      <c r="F1342" s="25">
        <v>0.3</v>
      </c>
      <c r="G1342" s="27"/>
    </row>
    <row r="1343">
      <c r="A1343" s="21"/>
      <c r="B1343" s="21" t="s">
        <v>7592</v>
      </c>
      <c r="D1343" s="25">
        <v>20.0</v>
      </c>
      <c r="E1343" s="27"/>
      <c r="F1343" s="25">
        <v>0.0</v>
      </c>
      <c r="G1343" s="27"/>
    </row>
    <row r="1344">
      <c r="A1344" s="21"/>
      <c r="B1344" s="21" t="s">
        <v>7593</v>
      </c>
      <c r="D1344" s="25">
        <v>20.0</v>
      </c>
      <c r="E1344" s="27"/>
      <c r="F1344" s="25">
        <v>0.0</v>
      </c>
      <c r="G1344" s="27"/>
    </row>
    <row r="1345">
      <c r="A1345" s="21"/>
      <c r="B1345" s="21" t="s">
        <v>7594</v>
      </c>
      <c r="D1345" s="25">
        <v>20.0</v>
      </c>
      <c r="E1345" s="27"/>
      <c r="F1345" s="25">
        <v>0.0</v>
      </c>
      <c r="G1345" s="27"/>
    </row>
    <row r="1346">
      <c r="A1346" s="21"/>
      <c r="B1346" s="21" t="s">
        <v>7595</v>
      </c>
      <c r="D1346" s="25">
        <v>20.0</v>
      </c>
      <c r="E1346" s="27"/>
      <c r="F1346" s="25">
        <v>0.0</v>
      </c>
      <c r="G1346" s="27"/>
    </row>
    <row r="1347">
      <c r="A1347" s="21"/>
      <c r="B1347" s="21" t="s">
        <v>7596</v>
      </c>
      <c r="D1347" s="25">
        <v>20.0</v>
      </c>
      <c r="E1347" s="27"/>
      <c r="F1347" s="25">
        <v>0.0</v>
      </c>
      <c r="G1347" s="27"/>
    </row>
    <row r="1348">
      <c r="A1348" s="21"/>
      <c r="B1348" s="21" t="s">
        <v>7597</v>
      </c>
      <c r="D1348" s="25">
        <v>20.0</v>
      </c>
      <c r="E1348" s="27"/>
      <c r="F1348" s="25">
        <v>7.34</v>
      </c>
      <c r="G1348" s="27"/>
    </row>
    <row r="1349">
      <c r="A1349" s="21"/>
      <c r="B1349" s="21" t="s">
        <v>7598</v>
      </c>
      <c r="D1349" s="25">
        <v>20.0</v>
      </c>
      <c r="E1349" s="27"/>
      <c r="F1349" s="25">
        <v>0.0</v>
      </c>
      <c r="G1349" s="27"/>
    </row>
    <row r="1350">
      <c r="A1350" s="21"/>
      <c r="B1350" s="21" t="s">
        <v>7599</v>
      </c>
      <c r="D1350" s="25">
        <v>20.0</v>
      </c>
      <c r="E1350" s="27"/>
      <c r="F1350" s="25">
        <v>0.0</v>
      </c>
      <c r="G1350" s="27"/>
    </row>
    <row r="1351">
      <c r="A1351" s="21"/>
      <c r="B1351" s="21" t="s">
        <v>7600</v>
      </c>
      <c r="D1351" s="25">
        <v>20.0</v>
      </c>
      <c r="E1351" s="27"/>
      <c r="F1351" s="25">
        <v>0.0</v>
      </c>
      <c r="G1351" s="27"/>
    </row>
    <row r="1352">
      <c r="A1352" s="21"/>
      <c r="B1352" s="21" t="s">
        <v>7601</v>
      </c>
      <c r="D1352" s="25">
        <v>20.0</v>
      </c>
      <c r="E1352" s="27"/>
      <c r="F1352" s="25">
        <v>2.84</v>
      </c>
      <c r="G1352" s="27"/>
    </row>
    <row r="1353">
      <c r="A1353" s="21"/>
      <c r="B1353" s="21" t="s">
        <v>7602</v>
      </c>
      <c r="D1353" s="25">
        <v>20.0</v>
      </c>
      <c r="E1353" s="27"/>
      <c r="F1353" s="25">
        <v>0.0</v>
      </c>
      <c r="G1353" s="27"/>
    </row>
    <row r="1354">
      <c r="A1354" s="21"/>
      <c r="B1354" s="21" t="s">
        <v>7603</v>
      </c>
      <c r="D1354" s="25">
        <v>20.0</v>
      </c>
      <c r="E1354" s="27"/>
      <c r="F1354" s="25">
        <v>0.0</v>
      </c>
      <c r="G1354" s="27"/>
    </row>
    <row r="1355">
      <c r="A1355" s="21"/>
      <c r="B1355" s="21" t="s">
        <v>7604</v>
      </c>
      <c r="D1355" s="25">
        <v>20.0</v>
      </c>
      <c r="E1355" s="27"/>
      <c r="F1355" s="25">
        <v>0.0</v>
      </c>
      <c r="G1355" s="27"/>
    </row>
    <row r="1356">
      <c r="A1356" s="21"/>
      <c r="B1356" s="21" t="s">
        <v>7605</v>
      </c>
      <c r="D1356" s="25">
        <v>20.0</v>
      </c>
      <c r="E1356" s="27"/>
      <c r="F1356" s="25">
        <v>0.0</v>
      </c>
      <c r="G1356" s="27"/>
    </row>
    <row r="1357">
      <c r="A1357" s="21"/>
      <c r="B1357" s="21" t="s">
        <v>7606</v>
      </c>
      <c r="D1357" s="25">
        <v>20.0</v>
      </c>
      <c r="E1357" s="27"/>
      <c r="F1357" s="25">
        <v>6.13</v>
      </c>
      <c r="G1357" s="27"/>
    </row>
    <row r="1358">
      <c r="A1358" s="21"/>
      <c r="B1358" s="21" t="s">
        <v>7607</v>
      </c>
      <c r="D1358" s="25">
        <v>20.0</v>
      </c>
      <c r="E1358" s="27"/>
      <c r="F1358" s="25">
        <v>0.0</v>
      </c>
      <c r="G1358" s="27"/>
    </row>
    <row r="1359">
      <c r="A1359" s="21"/>
      <c r="B1359" s="21" t="s">
        <v>7608</v>
      </c>
      <c r="C1359" s="27"/>
      <c r="D1359" s="25">
        <v>20.0</v>
      </c>
      <c r="E1359" s="27"/>
      <c r="F1359" s="25">
        <v>2.65</v>
      </c>
      <c r="G1359" s="27"/>
    </row>
    <row r="1360">
      <c r="A1360" s="21"/>
      <c r="B1360" s="21" t="s">
        <v>7609</v>
      </c>
      <c r="D1360" s="25">
        <v>20.0</v>
      </c>
      <c r="E1360" s="27"/>
      <c r="F1360" s="25">
        <v>3.55</v>
      </c>
      <c r="G1360" s="27"/>
    </row>
    <row r="1361">
      <c r="A1361" s="21"/>
      <c r="B1361" s="21" t="s">
        <v>7610</v>
      </c>
      <c r="D1361" s="25">
        <v>20.0</v>
      </c>
      <c r="E1361" s="27"/>
      <c r="F1361" s="25">
        <v>0.0</v>
      </c>
      <c r="G1361" s="27"/>
    </row>
    <row r="1362">
      <c r="A1362" s="21"/>
      <c r="B1362" s="21" t="s">
        <v>7611</v>
      </c>
      <c r="D1362" s="25">
        <v>20.0</v>
      </c>
      <c r="E1362" s="27"/>
      <c r="F1362" s="25">
        <v>0.0</v>
      </c>
      <c r="G1362" s="27"/>
    </row>
    <row r="1363">
      <c r="A1363" s="21"/>
      <c r="B1363" s="21" t="s">
        <v>7612</v>
      </c>
      <c r="D1363" s="25">
        <v>20.0</v>
      </c>
      <c r="E1363" s="27"/>
      <c r="F1363" s="25">
        <v>0.0</v>
      </c>
      <c r="G1363" s="27"/>
    </row>
    <row r="1364">
      <c r="A1364" s="21"/>
      <c r="B1364" s="21" t="s">
        <v>7613</v>
      </c>
      <c r="D1364" s="25">
        <v>20.0</v>
      </c>
      <c r="E1364" s="27"/>
      <c r="F1364" s="25">
        <v>0.0</v>
      </c>
      <c r="G1364" s="27"/>
    </row>
    <row r="1365">
      <c r="A1365" s="21"/>
      <c r="B1365" s="21" t="s">
        <v>95</v>
      </c>
      <c r="D1365" s="25">
        <v>20.0</v>
      </c>
      <c r="E1365" s="27"/>
      <c r="F1365" s="25">
        <v>0.0</v>
      </c>
      <c r="G1365" s="27"/>
    </row>
    <row r="1366">
      <c r="A1366" s="21"/>
      <c r="B1366" s="21" t="s">
        <v>7614</v>
      </c>
      <c r="D1366" s="25">
        <v>20.0</v>
      </c>
      <c r="E1366" s="27"/>
      <c r="F1366" s="25">
        <v>0.27</v>
      </c>
      <c r="G1366" s="27"/>
    </row>
    <row r="1367">
      <c r="A1367" s="21"/>
      <c r="B1367" s="21" t="s">
        <v>7615</v>
      </c>
      <c r="D1367" s="25">
        <v>20.0</v>
      </c>
      <c r="E1367" s="27"/>
      <c r="F1367" s="25">
        <v>2.66</v>
      </c>
      <c r="G1367" s="27"/>
    </row>
    <row r="1368">
      <c r="A1368" s="21"/>
      <c r="B1368" s="21" t="s">
        <v>7616</v>
      </c>
      <c r="D1368" s="25">
        <v>20.0</v>
      </c>
      <c r="E1368" s="27"/>
      <c r="F1368" s="25">
        <v>0.0</v>
      </c>
      <c r="G1368" s="27"/>
    </row>
    <row r="1369">
      <c r="A1369" s="21"/>
      <c r="B1369" s="21" t="s">
        <v>7617</v>
      </c>
      <c r="D1369" s="25">
        <v>20.0</v>
      </c>
      <c r="E1369" s="27"/>
      <c r="F1369" s="25">
        <v>0.0</v>
      </c>
      <c r="G1369" s="27"/>
    </row>
    <row r="1370">
      <c r="A1370" s="21"/>
      <c r="B1370" s="21" t="s">
        <v>7618</v>
      </c>
      <c r="C1370" s="27"/>
      <c r="D1370" s="25">
        <v>20.0</v>
      </c>
      <c r="E1370" s="27"/>
      <c r="F1370" s="25">
        <v>0.0</v>
      </c>
      <c r="G1370" s="27"/>
    </row>
    <row r="1371">
      <c r="A1371" s="21"/>
      <c r="B1371" s="21" t="s">
        <v>7619</v>
      </c>
      <c r="D1371" s="25">
        <v>20.0</v>
      </c>
      <c r="E1371" s="27"/>
      <c r="F1371" s="25">
        <v>0.0</v>
      </c>
      <c r="G1371" s="27"/>
    </row>
    <row r="1372">
      <c r="A1372" s="21"/>
      <c r="B1372" s="21" t="s">
        <v>7620</v>
      </c>
      <c r="D1372" s="25">
        <v>20.0</v>
      </c>
      <c r="E1372" s="27"/>
      <c r="F1372" s="25">
        <v>0.0</v>
      </c>
      <c r="G1372" s="27"/>
    </row>
    <row r="1373">
      <c r="A1373" s="21"/>
      <c r="B1373" s="21" t="s">
        <v>7621</v>
      </c>
      <c r="D1373" s="25">
        <v>20.0</v>
      </c>
      <c r="E1373" s="27"/>
      <c r="F1373" s="25">
        <v>0.0</v>
      </c>
      <c r="G1373" s="27"/>
    </row>
    <row r="1374">
      <c r="A1374" s="21"/>
      <c r="B1374" s="21" t="s">
        <v>7622</v>
      </c>
      <c r="D1374" s="25">
        <v>20.0</v>
      </c>
      <c r="E1374" s="27"/>
      <c r="F1374" s="25">
        <v>0.0</v>
      </c>
      <c r="G1374" s="27"/>
    </row>
    <row r="1375">
      <c r="A1375" s="21"/>
      <c r="B1375" s="21" t="s">
        <v>7623</v>
      </c>
      <c r="D1375" s="25">
        <v>20.0</v>
      </c>
      <c r="E1375" s="27"/>
      <c r="F1375" s="25">
        <v>0.0</v>
      </c>
      <c r="G1375" s="27"/>
    </row>
    <row r="1376">
      <c r="A1376" s="21"/>
      <c r="B1376" s="21" t="s">
        <v>7624</v>
      </c>
      <c r="D1376" s="25">
        <v>20.0</v>
      </c>
      <c r="E1376" s="27"/>
      <c r="F1376" s="25">
        <v>0.0</v>
      </c>
      <c r="G1376" s="27"/>
    </row>
    <row r="1377">
      <c r="A1377" s="21"/>
      <c r="B1377" s="21" t="s">
        <v>7625</v>
      </c>
      <c r="D1377" s="25">
        <v>20.0</v>
      </c>
      <c r="E1377" s="27"/>
      <c r="F1377" s="25">
        <v>0.0</v>
      </c>
      <c r="G1377" s="27"/>
    </row>
    <row r="1378">
      <c r="A1378" s="21"/>
      <c r="B1378" s="21" t="s">
        <v>7626</v>
      </c>
      <c r="D1378" s="25">
        <v>20.0</v>
      </c>
      <c r="E1378" s="27"/>
      <c r="F1378" s="25">
        <v>2.59</v>
      </c>
      <c r="G1378" s="27"/>
    </row>
    <row r="1379">
      <c r="A1379" s="21"/>
      <c r="B1379" s="21" t="s">
        <v>7627</v>
      </c>
      <c r="D1379" s="25">
        <v>20.0</v>
      </c>
      <c r="E1379" s="27"/>
      <c r="F1379" s="25">
        <v>0.0</v>
      </c>
      <c r="G1379" s="27"/>
    </row>
    <row r="1380">
      <c r="A1380" s="21"/>
      <c r="B1380" s="21" t="s">
        <v>7628</v>
      </c>
      <c r="D1380" s="25">
        <v>20.0</v>
      </c>
      <c r="E1380" s="27"/>
      <c r="F1380" s="25">
        <v>0.0</v>
      </c>
      <c r="G1380" s="27"/>
    </row>
    <row r="1381">
      <c r="A1381" s="21"/>
      <c r="B1381" s="21" t="s">
        <v>7629</v>
      </c>
      <c r="D1381" s="25">
        <v>20.0</v>
      </c>
      <c r="E1381" s="27"/>
      <c r="F1381" s="25">
        <v>0.0</v>
      </c>
      <c r="G1381" s="27"/>
    </row>
    <row r="1382">
      <c r="A1382" s="21"/>
      <c r="B1382" s="21" t="s">
        <v>7630</v>
      </c>
      <c r="D1382" s="25">
        <v>20.0</v>
      </c>
      <c r="E1382" s="27"/>
      <c r="F1382" s="25">
        <v>0.0</v>
      </c>
      <c r="G1382" s="27"/>
    </row>
    <row r="1383">
      <c r="A1383" s="21"/>
      <c r="B1383" s="21" t="s">
        <v>7631</v>
      </c>
      <c r="D1383" s="25">
        <v>20.0</v>
      </c>
      <c r="E1383" s="27"/>
      <c r="F1383" s="25">
        <v>0.0</v>
      </c>
      <c r="G1383" s="27"/>
    </row>
    <row r="1384">
      <c r="A1384" s="21"/>
      <c r="B1384" s="21" t="s">
        <v>7632</v>
      </c>
      <c r="D1384" s="25">
        <v>20.0</v>
      </c>
      <c r="E1384" s="27"/>
      <c r="F1384" s="25">
        <v>0.0</v>
      </c>
      <c r="G1384" s="27"/>
    </row>
    <row r="1385">
      <c r="A1385" s="21"/>
      <c r="B1385" s="21" t="s">
        <v>7633</v>
      </c>
      <c r="D1385" s="25">
        <v>20.0</v>
      </c>
      <c r="E1385" s="27"/>
      <c r="F1385" s="25">
        <v>0.0</v>
      </c>
      <c r="G1385" s="27"/>
    </row>
    <row r="1386">
      <c r="A1386" s="21"/>
      <c r="B1386" s="21" t="s">
        <v>7634</v>
      </c>
      <c r="D1386" s="25">
        <v>20.0</v>
      </c>
      <c r="E1386" s="27"/>
      <c r="F1386" s="25">
        <v>2.55</v>
      </c>
      <c r="G1386" s="27"/>
    </row>
    <row r="1387">
      <c r="A1387" s="21"/>
      <c r="B1387" s="21" t="s">
        <v>7635</v>
      </c>
      <c r="D1387" s="25">
        <v>20.0</v>
      </c>
      <c r="E1387" s="27"/>
      <c r="F1387" s="25">
        <v>4.64</v>
      </c>
      <c r="G1387" s="27"/>
    </row>
    <row r="1388">
      <c r="A1388" s="21"/>
      <c r="B1388" s="21" t="s">
        <v>7636</v>
      </c>
      <c r="D1388" s="25">
        <v>20.0</v>
      </c>
      <c r="E1388" s="27"/>
      <c r="F1388" s="25">
        <v>0.0</v>
      </c>
      <c r="G1388" s="27"/>
    </row>
    <row r="1389">
      <c r="A1389" s="21"/>
      <c r="B1389" s="21" t="s">
        <v>7637</v>
      </c>
      <c r="D1389" s="25">
        <v>20.0</v>
      </c>
      <c r="E1389" s="27"/>
      <c r="F1389" s="25">
        <v>0.0</v>
      </c>
      <c r="G1389" s="27"/>
    </row>
    <row r="1390">
      <c r="A1390" s="21"/>
      <c r="B1390" s="21" t="s">
        <v>7638</v>
      </c>
      <c r="D1390" s="25">
        <v>20.0</v>
      </c>
      <c r="E1390" s="27"/>
      <c r="F1390" s="25">
        <v>0.0</v>
      </c>
      <c r="G1390" s="27"/>
    </row>
    <row r="1391">
      <c r="A1391" s="21"/>
      <c r="B1391" s="21" t="s">
        <v>7639</v>
      </c>
      <c r="D1391" s="25">
        <v>20.0</v>
      </c>
      <c r="E1391" s="27"/>
      <c r="F1391" s="25">
        <v>3.34</v>
      </c>
      <c r="G1391" s="27"/>
    </row>
    <row r="1392">
      <c r="A1392" s="21"/>
      <c r="B1392" s="21" t="s">
        <v>7640</v>
      </c>
      <c r="D1392" s="25">
        <v>20.0</v>
      </c>
      <c r="E1392" s="27"/>
      <c r="F1392" s="25">
        <v>0.0</v>
      </c>
      <c r="G1392" s="27"/>
    </row>
    <row r="1393">
      <c r="A1393" s="21"/>
      <c r="B1393" s="21" t="s">
        <v>7641</v>
      </c>
      <c r="D1393" s="25">
        <v>20.0</v>
      </c>
      <c r="E1393" s="27"/>
      <c r="F1393" s="25">
        <v>0.0</v>
      </c>
      <c r="G1393" s="27"/>
    </row>
    <row r="1394">
      <c r="A1394" s="21"/>
      <c r="B1394" s="21" t="s">
        <v>7642</v>
      </c>
      <c r="D1394" s="25">
        <v>20.0</v>
      </c>
      <c r="E1394" s="27"/>
      <c r="F1394" s="25">
        <v>3.37</v>
      </c>
      <c r="G1394" s="27"/>
    </row>
    <row r="1395">
      <c r="A1395" s="21"/>
      <c r="B1395" s="21" t="s">
        <v>7643</v>
      </c>
      <c r="D1395" s="25">
        <v>20.0</v>
      </c>
      <c r="E1395" s="27"/>
      <c r="F1395" s="25">
        <v>0.0</v>
      </c>
      <c r="G1395" s="27"/>
    </row>
    <row r="1396">
      <c r="A1396" s="21"/>
      <c r="B1396" s="21" t="s">
        <v>7644</v>
      </c>
      <c r="D1396" s="25">
        <v>20.0</v>
      </c>
      <c r="E1396" s="27"/>
      <c r="F1396" s="25">
        <v>0.0</v>
      </c>
      <c r="G1396" s="27"/>
    </row>
    <row r="1397">
      <c r="A1397" s="21"/>
      <c r="B1397" s="21" t="s">
        <v>7645</v>
      </c>
      <c r="D1397" s="25">
        <v>20.0</v>
      </c>
      <c r="E1397" s="27"/>
      <c r="F1397" s="25">
        <v>4.95</v>
      </c>
      <c r="G1397" s="27"/>
    </row>
    <row r="1398">
      <c r="A1398" s="21"/>
      <c r="B1398" s="21" t="s">
        <v>7646</v>
      </c>
      <c r="D1398" s="25">
        <v>20.0</v>
      </c>
      <c r="E1398" s="27"/>
      <c r="F1398" s="25">
        <v>0.52</v>
      </c>
      <c r="G1398" s="27"/>
    </row>
    <row r="1399">
      <c r="A1399" s="21"/>
      <c r="B1399" s="21" t="s">
        <v>7647</v>
      </c>
      <c r="D1399" s="25">
        <v>20.0</v>
      </c>
      <c r="E1399" s="27"/>
      <c r="F1399" s="25">
        <v>0.32</v>
      </c>
      <c r="G1399" s="27"/>
    </row>
    <row r="1400">
      <c r="A1400" s="21"/>
      <c r="B1400" s="21" t="s">
        <v>7648</v>
      </c>
      <c r="D1400" s="25">
        <v>20.0</v>
      </c>
      <c r="E1400" s="27"/>
      <c r="F1400" s="25">
        <v>0.0</v>
      </c>
      <c r="G1400" s="27"/>
    </row>
    <row r="1401">
      <c r="A1401" s="21"/>
      <c r="B1401" s="21" t="s">
        <v>7649</v>
      </c>
      <c r="D1401" s="25">
        <v>20.0</v>
      </c>
      <c r="E1401" s="27"/>
      <c r="F1401" s="25">
        <v>3.43</v>
      </c>
      <c r="G1401" s="27"/>
    </row>
    <row r="1402">
      <c r="A1402" s="21"/>
      <c r="B1402" s="21" t="s">
        <v>7650</v>
      </c>
      <c r="D1402" s="25">
        <v>20.0</v>
      </c>
      <c r="E1402" s="27"/>
      <c r="F1402" s="25">
        <v>0.0</v>
      </c>
      <c r="G1402" s="27"/>
    </row>
    <row r="1403">
      <c r="A1403" s="21"/>
      <c r="B1403" s="21" t="s">
        <v>7651</v>
      </c>
      <c r="D1403" s="25">
        <v>20.0</v>
      </c>
      <c r="E1403" s="27"/>
      <c r="F1403" s="25">
        <v>0.0</v>
      </c>
      <c r="G1403" s="27"/>
    </row>
    <row r="1404">
      <c r="A1404" s="21"/>
      <c r="B1404" s="21" t="s">
        <v>7652</v>
      </c>
      <c r="D1404" s="25">
        <v>20.0</v>
      </c>
      <c r="E1404" s="27"/>
      <c r="F1404" s="25">
        <v>0.0</v>
      </c>
      <c r="G1404" s="27"/>
    </row>
    <row r="1405">
      <c r="A1405" s="21"/>
      <c r="B1405" s="21" t="s">
        <v>7653</v>
      </c>
      <c r="D1405" s="25">
        <v>20.0</v>
      </c>
      <c r="E1405" s="27"/>
      <c r="F1405" s="25">
        <v>0.0</v>
      </c>
      <c r="G1405" s="27"/>
    </row>
    <row r="1406">
      <c r="A1406" s="21"/>
      <c r="B1406" s="21" t="s">
        <v>7654</v>
      </c>
      <c r="D1406" s="25">
        <v>20.0</v>
      </c>
      <c r="E1406" s="27"/>
      <c r="F1406" s="25">
        <v>4.13</v>
      </c>
      <c r="G1406" s="27"/>
    </row>
    <row r="1407">
      <c r="A1407" s="21"/>
      <c r="B1407" s="21" t="s">
        <v>7655</v>
      </c>
      <c r="D1407" s="25">
        <v>20.0</v>
      </c>
      <c r="E1407" s="27"/>
      <c r="F1407" s="25">
        <v>0.0</v>
      </c>
      <c r="G1407" s="27"/>
    </row>
    <row r="1408">
      <c r="A1408" s="21"/>
      <c r="B1408" s="21" t="s">
        <v>7656</v>
      </c>
      <c r="D1408" s="25">
        <v>20.0</v>
      </c>
      <c r="E1408" s="27"/>
      <c r="F1408" s="25">
        <v>5.26</v>
      </c>
      <c r="G1408" s="27"/>
    </row>
    <row r="1409">
      <c r="A1409" s="21"/>
      <c r="B1409" s="21" t="s">
        <v>7657</v>
      </c>
      <c r="D1409" s="25">
        <v>20.0</v>
      </c>
      <c r="E1409" s="27"/>
      <c r="F1409" s="25">
        <v>0.0</v>
      </c>
      <c r="G1409" s="27"/>
    </row>
    <row r="1410">
      <c r="A1410" s="21"/>
      <c r="B1410" s="21" t="s">
        <v>7658</v>
      </c>
      <c r="D1410" s="25">
        <v>20.0</v>
      </c>
      <c r="E1410" s="27"/>
      <c r="F1410" s="25">
        <v>7.21</v>
      </c>
      <c r="G1410" s="27"/>
    </row>
    <row r="1411">
      <c r="A1411" s="21"/>
      <c r="B1411" s="21" t="s">
        <v>1988</v>
      </c>
      <c r="D1411" s="25">
        <v>20.0</v>
      </c>
      <c r="E1411" s="27"/>
      <c r="F1411" s="25">
        <v>0.0</v>
      </c>
      <c r="G1411" s="27"/>
    </row>
    <row r="1412">
      <c r="A1412" s="21"/>
      <c r="B1412" s="21" t="s">
        <v>7659</v>
      </c>
      <c r="D1412" s="25">
        <v>20.0</v>
      </c>
      <c r="E1412" s="27"/>
      <c r="F1412" s="25">
        <v>0.0</v>
      </c>
      <c r="G1412" s="27"/>
    </row>
    <row r="1413">
      <c r="A1413" s="21"/>
      <c r="B1413" s="21" t="s">
        <v>7660</v>
      </c>
      <c r="D1413" s="25">
        <v>20.0</v>
      </c>
      <c r="E1413" s="27"/>
      <c r="F1413" s="25">
        <v>0.0</v>
      </c>
      <c r="G1413" s="27"/>
    </row>
    <row r="1414">
      <c r="A1414" s="21"/>
      <c r="B1414" s="21" t="s">
        <v>7661</v>
      </c>
      <c r="D1414" s="25">
        <v>20.0</v>
      </c>
      <c r="E1414" s="27"/>
      <c r="F1414" s="25">
        <v>0.0</v>
      </c>
      <c r="G1414" s="27"/>
    </row>
    <row r="1415">
      <c r="A1415" s="21"/>
      <c r="B1415" s="21" t="s">
        <v>7662</v>
      </c>
      <c r="D1415" s="25">
        <v>20.0</v>
      </c>
      <c r="E1415" s="27"/>
      <c r="F1415" s="25">
        <v>0.0</v>
      </c>
      <c r="G1415" s="27"/>
    </row>
    <row r="1416">
      <c r="A1416" s="21"/>
      <c r="B1416" s="21" t="s">
        <v>7663</v>
      </c>
      <c r="D1416" s="25">
        <v>20.0</v>
      </c>
      <c r="E1416" s="27"/>
      <c r="F1416" s="25">
        <v>0.0</v>
      </c>
      <c r="G1416" s="27"/>
    </row>
    <row r="1417">
      <c r="A1417" s="21"/>
      <c r="B1417" s="21" t="s">
        <v>7664</v>
      </c>
      <c r="D1417" s="25">
        <v>20.0</v>
      </c>
      <c r="E1417" s="27"/>
      <c r="F1417" s="25">
        <v>0.0</v>
      </c>
      <c r="G1417" s="27"/>
    </row>
    <row r="1418">
      <c r="A1418" s="21"/>
      <c r="B1418" s="21" t="s">
        <v>2002</v>
      </c>
      <c r="D1418" s="25">
        <v>20.0</v>
      </c>
      <c r="E1418" s="27"/>
      <c r="F1418" s="25">
        <v>0.0</v>
      </c>
      <c r="G1418" s="27"/>
    </row>
    <row r="1419">
      <c r="A1419" s="21"/>
      <c r="B1419" s="21" t="s">
        <v>7665</v>
      </c>
      <c r="D1419" s="25">
        <v>20.0</v>
      </c>
      <c r="E1419" s="27"/>
      <c r="F1419" s="25">
        <v>0.0</v>
      </c>
      <c r="G1419" s="27"/>
    </row>
    <row r="1420">
      <c r="A1420" s="21"/>
      <c r="B1420" s="21" t="s">
        <v>7666</v>
      </c>
      <c r="C1420" s="27"/>
      <c r="D1420" s="25">
        <v>20.0</v>
      </c>
      <c r="E1420" s="27"/>
      <c r="F1420" s="25">
        <v>0.0</v>
      </c>
      <c r="G1420" s="27"/>
    </row>
    <row r="1421">
      <c r="A1421" s="21"/>
      <c r="B1421" s="21" t="s">
        <v>7667</v>
      </c>
      <c r="D1421" s="25">
        <v>20.0</v>
      </c>
      <c r="E1421" s="27"/>
      <c r="F1421" s="25">
        <v>0.0</v>
      </c>
      <c r="G1421" s="27"/>
    </row>
    <row r="1422">
      <c r="A1422" s="21"/>
      <c r="B1422" s="21" t="s">
        <v>5996</v>
      </c>
      <c r="D1422" s="25">
        <v>20.0</v>
      </c>
      <c r="E1422" s="27"/>
      <c r="F1422" s="25">
        <v>3.46</v>
      </c>
      <c r="G1422" s="27"/>
    </row>
    <row r="1423">
      <c r="A1423" s="21"/>
      <c r="B1423" s="21" t="s">
        <v>7668</v>
      </c>
      <c r="D1423" s="25">
        <v>20.0</v>
      </c>
      <c r="E1423" s="27"/>
      <c r="F1423" s="25">
        <v>0.0</v>
      </c>
      <c r="G1423" s="27"/>
    </row>
    <row r="1424">
      <c r="A1424" s="21"/>
      <c r="B1424" s="21" t="s">
        <v>7669</v>
      </c>
      <c r="D1424" s="25">
        <v>20.0</v>
      </c>
      <c r="E1424" s="27"/>
      <c r="F1424" s="25">
        <v>0.0</v>
      </c>
      <c r="G1424" s="27"/>
    </row>
    <row r="1425">
      <c r="A1425" s="21"/>
      <c r="B1425" s="21" t="s">
        <v>7670</v>
      </c>
      <c r="D1425" s="25">
        <v>20.0</v>
      </c>
      <c r="E1425" s="27"/>
      <c r="F1425" s="25">
        <v>4.27</v>
      </c>
      <c r="G1425" s="27"/>
    </row>
    <row r="1426">
      <c r="A1426" s="21"/>
      <c r="B1426" s="21" t="s">
        <v>7671</v>
      </c>
      <c r="D1426" s="25">
        <v>20.0</v>
      </c>
      <c r="E1426" s="27"/>
      <c r="F1426" s="25">
        <v>0.0</v>
      </c>
      <c r="G1426" s="27"/>
    </row>
    <row r="1427">
      <c r="A1427" s="21"/>
      <c r="B1427" s="21" t="s">
        <v>7672</v>
      </c>
      <c r="D1427" s="25">
        <v>20.0</v>
      </c>
      <c r="E1427" s="27"/>
      <c r="F1427" s="25">
        <v>0.0</v>
      </c>
      <c r="G1427" s="27"/>
    </row>
    <row r="1428">
      <c r="A1428" s="21"/>
      <c r="B1428" s="21" t="s">
        <v>7673</v>
      </c>
      <c r="D1428" s="25">
        <v>20.0</v>
      </c>
      <c r="E1428" s="27"/>
      <c r="F1428" s="25">
        <v>4.22</v>
      </c>
      <c r="G1428" s="27"/>
    </row>
    <row r="1429">
      <c r="A1429" s="21"/>
      <c r="B1429" s="21" t="s">
        <v>7674</v>
      </c>
      <c r="D1429" s="25">
        <v>20.0</v>
      </c>
      <c r="E1429" s="27"/>
      <c r="F1429" s="25">
        <v>4.19</v>
      </c>
      <c r="G1429" s="27"/>
    </row>
    <row r="1430">
      <c r="A1430" s="21"/>
      <c r="B1430" s="21" t="s">
        <v>7675</v>
      </c>
      <c r="D1430" s="25">
        <v>20.0</v>
      </c>
      <c r="E1430" s="27"/>
      <c r="F1430" s="25">
        <v>6.96</v>
      </c>
      <c r="G1430" s="27"/>
    </row>
    <row r="1431">
      <c r="A1431" s="21"/>
      <c r="B1431" s="21" t="s">
        <v>7676</v>
      </c>
      <c r="D1431" s="25">
        <v>20.0</v>
      </c>
      <c r="E1431" s="27"/>
      <c r="F1431" s="25">
        <v>0.0</v>
      </c>
      <c r="G1431" s="27"/>
    </row>
    <row r="1432">
      <c r="A1432" s="21"/>
      <c r="B1432" s="21" t="s">
        <v>7677</v>
      </c>
      <c r="D1432" s="25">
        <v>20.0</v>
      </c>
      <c r="E1432" s="27"/>
      <c r="F1432" s="25">
        <v>1.08</v>
      </c>
      <c r="G1432" s="27"/>
    </row>
    <row r="1433">
      <c r="A1433" s="21"/>
      <c r="B1433" s="21" t="s">
        <v>7678</v>
      </c>
      <c r="D1433" s="25">
        <v>20.0</v>
      </c>
      <c r="E1433" s="27"/>
      <c r="F1433" s="25">
        <v>0.0</v>
      </c>
      <c r="G1433" s="27"/>
    </row>
    <row r="1434">
      <c r="A1434" s="21"/>
      <c r="B1434" s="21" t="s">
        <v>7679</v>
      </c>
      <c r="D1434" s="25">
        <v>20.0</v>
      </c>
      <c r="E1434" s="27"/>
      <c r="F1434" s="25">
        <v>1.85</v>
      </c>
      <c r="G1434" s="27"/>
    </row>
    <row r="1435">
      <c r="A1435" s="21"/>
      <c r="B1435" s="21" t="s">
        <v>7680</v>
      </c>
      <c r="D1435" s="25">
        <v>20.0</v>
      </c>
      <c r="E1435" s="27"/>
      <c r="F1435" s="25">
        <v>4.42</v>
      </c>
      <c r="G1435" s="27"/>
    </row>
    <row r="1436">
      <c r="A1436" s="21"/>
      <c r="B1436" s="21" t="s">
        <v>7681</v>
      </c>
      <c r="D1436" s="25">
        <v>20.0</v>
      </c>
      <c r="E1436" s="27"/>
      <c r="F1436" s="25">
        <v>0.0</v>
      </c>
      <c r="G1436" s="27"/>
    </row>
    <row r="1437">
      <c r="A1437" s="21"/>
      <c r="B1437" s="21" t="s">
        <v>7682</v>
      </c>
      <c r="D1437" s="25">
        <v>20.0</v>
      </c>
      <c r="E1437" s="27"/>
      <c r="F1437" s="25">
        <v>0.0</v>
      </c>
      <c r="G1437" s="27"/>
    </row>
    <row r="1438">
      <c r="A1438" s="21"/>
      <c r="B1438" s="21" t="s">
        <v>7683</v>
      </c>
      <c r="C1438" s="27"/>
      <c r="D1438" s="25">
        <v>20.0</v>
      </c>
      <c r="E1438" s="27"/>
      <c r="F1438" s="25">
        <v>0.0</v>
      </c>
      <c r="G1438" s="27"/>
    </row>
    <row r="1439">
      <c r="A1439" s="21"/>
      <c r="B1439" s="21" t="s">
        <v>7684</v>
      </c>
      <c r="D1439" s="25">
        <v>20.0</v>
      </c>
      <c r="E1439" s="27"/>
      <c r="F1439" s="25">
        <v>3.71</v>
      </c>
      <c r="G1439" s="27"/>
    </row>
    <row r="1440">
      <c r="A1440" s="21"/>
      <c r="B1440" s="21" t="s">
        <v>7685</v>
      </c>
      <c r="D1440" s="25">
        <v>20.0</v>
      </c>
      <c r="E1440" s="27"/>
      <c r="F1440" s="25">
        <v>0.0</v>
      </c>
      <c r="G1440" s="27"/>
    </row>
    <row r="1441">
      <c r="A1441" s="21"/>
      <c r="B1441" s="21" t="s">
        <v>7686</v>
      </c>
      <c r="D1441" s="25">
        <v>20.0</v>
      </c>
      <c r="E1441" s="27"/>
      <c r="F1441" s="25">
        <v>2.6</v>
      </c>
      <c r="G1441" s="27"/>
    </row>
    <row r="1442">
      <c r="A1442" s="21"/>
      <c r="B1442" s="21" t="s">
        <v>7687</v>
      </c>
      <c r="D1442" s="25">
        <v>20.0</v>
      </c>
      <c r="E1442" s="27"/>
      <c r="F1442" s="25">
        <v>0.0</v>
      </c>
      <c r="G1442" s="27"/>
    </row>
    <row r="1443">
      <c r="A1443" s="21"/>
      <c r="B1443" s="21" t="s">
        <v>7688</v>
      </c>
      <c r="D1443" s="25">
        <v>20.0</v>
      </c>
      <c r="E1443" s="27"/>
      <c r="F1443" s="25">
        <v>2.82</v>
      </c>
      <c r="G1443" s="27"/>
    </row>
    <row r="1444">
      <c r="A1444" s="21"/>
      <c r="B1444" s="21" t="s">
        <v>7689</v>
      </c>
      <c r="D1444" s="25">
        <v>20.0</v>
      </c>
      <c r="E1444" s="27"/>
      <c r="F1444" s="25">
        <v>1.5</v>
      </c>
      <c r="G1444" s="27"/>
    </row>
    <row r="1445">
      <c r="A1445" s="21"/>
      <c r="B1445" s="21" t="s">
        <v>7690</v>
      </c>
      <c r="D1445" s="25">
        <v>20.0</v>
      </c>
      <c r="E1445" s="27"/>
      <c r="F1445" s="25">
        <v>0.0</v>
      </c>
      <c r="G1445" s="27"/>
    </row>
    <row r="1446">
      <c r="A1446" s="21"/>
      <c r="B1446" s="21" t="s">
        <v>7691</v>
      </c>
      <c r="D1446" s="25">
        <v>20.0</v>
      </c>
      <c r="E1446" s="27"/>
      <c r="F1446" s="25">
        <v>0.0</v>
      </c>
      <c r="G1446" s="27"/>
    </row>
    <row r="1447">
      <c r="A1447" s="21"/>
      <c r="B1447" s="21" t="s">
        <v>7692</v>
      </c>
      <c r="D1447" s="25">
        <v>20.0</v>
      </c>
      <c r="E1447" s="27"/>
      <c r="F1447" s="25">
        <v>1.33</v>
      </c>
      <c r="G1447" s="27"/>
    </row>
    <row r="1448">
      <c r="A1448" s="21"/>
      <c r="B1448" s="21" t="s">
        <v>7693</v>
      </c>
      <c r="D1448" s="25">
        <v>20.0</v>
      </c>
      <c r="E1448" s="27"/>
      <c r="F1448" s="25">
        <v>0.0</v>
      </c>
      <c r="G1448" s="27"/>
    </row>
    <row r="1449">
      <c r="A1449" s="21"/>
      <c r="B1449" s="21" t="s">
        <v>7694</v>
      </c>
      <c r="D1449" s="25">
        <v>20.0</v>
      </c>
      <c r="E1449" s="27"/>
      <c r="F1449" s="25">
        <v>1.04</v>
      </c>
      <c r="G1449" s="27"/>
    </row>
    <row r="1450">
      <c r="A1450" s="21"/>
      <c r="B1450" s="21" t="s">
        <v>7695</v>
      </c>
      <c r="D1450" s="25">
        <v>20.0</v>
      </c>
      <c r="E1450" s="27"/>
      <c r="F1450" s="25">
        <v>0.0</v>
      </c>
      <c r="G1450" s="27"/>
    </row>
    <row r="1451">
      <c r="A1451" s="21"/>
      <c r="B1451" s="21" t="s">
        <v>7696</v>
      </c>
      <c r="C1451" s="27"/>
      <c r="D1451" s="25">
        <v>20.0</v>
      </c>
      <c r="E1451" s="27"/>
      <c r="F1451" s="25">
        <v>2.57</v>
      </c>
      <c r="G1451" s="27"/>
    </row>
    <row r="1452">
      <c r="A1452" s="21"/>
      <c r="B1452" s="21" t="s">
        <v>7697</v>
      </c>
      <c r="D1452" s="25">
        <v>20.0</v>
      </c>
      <c r="E1452" s="27"/>
      <c r="F1452" s="25">
        <v>0.0</v>
      </c>
      <c r="G1452" s="27"/>
    </row>
    <row r="1453">
      <c r="A1453" s="21"/>
      <c r="B1453" s="21" t="s">
        <v>7698</v>
      </c>
      <c r="D1453" s="25">
        <v>20.0</v>
      </c>
      <c r="E1453" s="27"/>
      <c r="F1453" s="25">
        <v>0.0</v>
      </c>
      <c r="G1453" s="27"/>
    </row>
    <row r="1454">
      <c r="A1454" s="21"/>
      <c r="B1454" s="21" t="s">
        <v>7699</v>
      </c>
      <c r="D1454" s="25">
        <v>20.0</v>
      </c>
      <c r="E1454" s="27"/>
      <c r="F1454" s="25">
        <v>0.0</v>
      </c>
      <c r="G1454" s="27"/>
    </row>
    <row r="1455">
      <c r="A1455" s="21"/>
      <c r="B1455" s="21" t="s">
        <v>7700</v>
      </c>
      <c r="D1455" s="25">
        <v>20.0</v>
      </c>
      <c r="E1455" s="27"/>
      <c r="F1455" s="25">
        <v>0.0</v>
      </c>
      <c r="G1455" s="27"/>
    </row>
    <row r="1456">
      <c r="A1456" s="21"/>
      <c r="B1456" s="21" t="s">
        <v>7701</v>
      </c>
      <c r="D1456" s="25">
        <v>20.0</v>
      </c>
      <c r="E1456" s="27"/>
      <c r="F1456" s="25">
        <v>4.69</v>
      </c>
      <c r="G1456" s="27"/>
    </row>
    <row r="1457">
      <c r="A1457" s="21"/>
      <c r="B1457" s="21" t="s">
        <v>7702</v>
      </c>
      <c r="D1457" s="25">
        <v>20.0</v>
      </c>
      <c r="E1457" s="27"/>
      <c r="F1457" s="25">
        <v>2.03</v>
      </c>
      <c r="G1457" s="27"/>
    </row>
    <row r="1458">
      <c r="A1458" s="21"/>
      <c r="B1458" s="21" t="s">
        <v>7703</v>
      </c>
      <c r="D1458" s="25">
        <v>20.0</v>
      </c>
      <c r="E1458" s="27"/>
      <c r="F1458" s="25">
        <v>2.96</v>
      </c>
      <c r="G1458" s="27"/>
    </row>
    <row r="1459">
      <c r="A1459" s="21"/>
      <c r="B1459" s="21" t="s">
        <v>7704</v>
      </c>
      <c r="D1459" s="25">
        <v>20.0</v>
      </c>
      <c r="E1459" s="27"/>
      <c r="F1459" s="25">
        <v>1.78</v>
      </c>
      <c r="G1459" s="27"/>
    </row>
    <row r="1460">
      <c r="A1460" s="21"/>
      <c r="B1460" s="21" t="s">
        <v>7705</v>
      </c>
      <c r="D1460" s="25">
        <v>20.0</v>
      </c>
      <c r="E1460" s="27"/>
      <c r="F1460" s="25">
        <v>0.0</v>
      </c>
      <c r="G1460" s="27"/>
    </row>
    <row r="1461">
      <c r="A1461" s="21"/>
      <c r="B1461" s="21" t="s">
        <v>7706</v>
      </c>
      <c r="D1461" s="25">
        <v>20.0</v>
      </c>
      <c r="E1461" s="27"/>
      <c r="F1461" s="25">
        <v>0.0</v>
      </c>
      <c r="G1461" s="27"/>
    </row>
    <row r="1462">
      <c r="A1462" s="21"/>
      <c r="B1462" s="21" t="s">
        <v>7707</v>
      </c>
      <c r="D1462" s="25">
        <v>20.0</v>
      </c>
      <c r="E1462" s="27"/>
      <c r="F1462" s="25">
        <v>0.0</v>
      </c>
      <c r="G1462" s="27"/>
    </row>
    <row r="1463">
      <c r="A1463" s="21"/>
      <c r="B1463" s="21" t="s">
        <v>7708</v>
      </c>
      <c r="D1463" s="25">
        <v>20.0</v>
      </c>
      <c r="E1463" s="27"/>
      <c r="F1463" s="25">
        <v>1.93</v>
      </c>
      <c r="G1463" s="27"/>
    </row>
    <row r="1464">
      <c r="A1464" s="21"/>
      <c r="B1464" s="21" t="s">
        <v>7709</v>
      </c>
      <c r="D1464" s="25">
        <v>20.0</v>
      </c>
      <c r="E1464" s="27"/>
      <c r="F1464" s="25">
        <v>3.03</v>
      </c>
      <c r="G1464" s="27"/>
    </row>
    <row r="1465">
      <c r="A1465" s="21"/>
      <c r="B1465" s="21" t="s">
        <v>7710</v>
      </c>
      <c r="D1465" s="25">
        <v>20.0</v>
      </c>
      <c r="E1465" s="27"/>
      <c r="F1465" s="25">
        <v>0.0</v>
      </c>
      <c r="G1465" s="27"/>
    </row>
    <row r="1466">
      <c r="A1466" s="21"/>
      <c r="B1466" s="21" t="s">
        <v>7711</v>
      </c>
      <c r="D1466" s="25">
        <v>20.0</v>
      </c>
      <c r="E1466" s="27"/>
      <c r="F1466" s="25">
        <v>0.0</v>
      </c>
      <c r="G1466" s="27"/>
    </row>
    <row r="1467">
      <c r="A1467" s="21"/>
      <c r="B1467" s="21" t="s">
        <v>7712</v>
      </c>
      <c r="D1467" s="25">
        <v>20.0</v>
      </c>
      <c r="E1467" s="27"/>
      <c r="F1467" s="25">
        <v>10.67</v>
      </c>
      <c r="G1467" s="27"/>
    </row>
    <row r="1468">
      <c r="A1468" s="21"/>
      <c r="B1468" s="21" t="s">
        <v>7713</v>
      </c>
      <c r="D1468" s="25">
        <v>20.0</v>
      </c>
      <c r="E1468" s="27"/>
      <c r="F1468" s="25">
        <v>4.42</v>
      </c>
      <c r="G1468" s="27"/>
    </row>
    <row r="1469">
      <c r="A1469" s="21"/>
      <c r="B1469" s="21" t="s">
        <v>7714</v>
      </c>
      <c r="D1469" s="25">
        <v>20.0</v>
      </c>
      <c r="E1469" s="27"/>
      <c r="F1469" s="25">
        <v>0.0</v>
      </c>
      <c r="G1469" s="27"/>
    </row>
    <row r="1470">
      <c r="A1470" s="21"/>
      <c r="B1470" s="21" t="s">
        <v>7715</v>
      </c>
      <c r="D1470" s="25">
        <v>20.0</v>
      </c>
      <c r="E1470" s="27"/>
      <c r="F1470" s="25">
        <v>0.75</v>
      </c>
      <c r="G1470" s="27"/>
    </row>
    <row r="1471">
      <c r="A1471" s="21"/>
      <c r="B1471" s="21" t="s">
        <v>7716</v>
      </c>
      <c r="D1471" s="25">
        <v>20.0</v>
      </c>
      <c r="E1471" s="27"/>
      <c r="F1471" s="25">
        <v>0.0</v>
      </c>
      <c r="G1471" s="27"/>
    </row>
    <row r="1472">
      <c r="A1472" s="21"/>
      <c r="B1472" s="21" t="s">
        <v>7717</v>
      </c>
      <c r="D1472" s="25">
        <v>20.0</v>
      </c>
      <c r="E1472" s="27"/>
      <c r="F1472" s="25">
        <v>0.0</v>
      </c>
      <c r="G1472" s="27"/>
    </row>
    <row r="1473">
      <c r="A1473" s="21"/>
      <c r="B1473" s="21" t="s">
        <v>7718</v>
      </c>
      <c r="D1473" s="25">
        <v>20.0</v>
      </c>
      <c r="E1473" s="27"/>
      <c r="F1473" s="25">
        <v>1.08</v>
      </c>
      <c r="G1473" s="27"/>
    </row>
    <row r="1474">
      <c r="A1474" s="21"/>
      <c r="B1474" s="21" t="s">
        <v>7719</v>
      </c>
      <c r="D1474" s="25">
        <v>20.0</v>
      </c>
      <c r="E1474" s="27"/>
      <c r="F1474" s="25">
        <v>3.19</v>
      </c>
      <c r="G1474" s="27"/>
    </row>
    <row r="1475">
      <c r="A1475" s="21"/>
      <c r="B1475" s="21" t="s">
        <v>7720</v>
      </c>
      <c r="D1475" s="25">
        <v>20.0</v>
      </c>
      <c r="E1475" s="27"/>
      <c r="F1475" s="25">
        <v>0.0</v>
      </c>
      <c r="G1475" s="27"/>
    </row>
    <row r="1476">
      <c r="A1476" s="21"/>
      <c r="B1476" s="21" t="s">
        <v>7721</v>
      </c>
      <c r="D1476" s="25">
        <v>20.0</v>
      </c>
      <c r="E1476" s="27"/>
      <c r="F1476" s="25">
        <v>2.06</v>
      </c>
      <c r="G1476" s="27"/>
    </row>
    <row r="1477">
      <c r="A1477" s="21"/>
      <c r="B1477" s="21" t="s">
        <v>7722</v>
      </c>
      <c r="D1477" s="25">
        <v>20.0</v>
      </c>
      <c r="E1477" s="27"/>
      <c r="F1477" s="25">
        <v>2.06</v>
      </c>
      <c r="G1477" s="27"/>
    </row>
    <row r="1478">
      <c r="A1478" s="21"/>
      <c r="B1478" s="21" t="s">
        <v>7723</v>
      </c>
      <c r="D1478" s="25">
        <v>20.0</v>
      </c>
      <c r="E1478" s="27"/>
      <c r="F1478" s="25">
        <v>0.0</v>
      </c>
      <c r="G1478" s="27"/>
    </row>
    <row r="1479">
      <c r="A1479" s="21"/>
      <c r="B1479" s="21" t="s">
        <v>7724</v>
      </c>
      <c r="D1479" s="25">
        <v>20.0</v>
      </c>
      <c r="E1479" s="27"/>
      <c r="F1479" s="25">
        <v>0.0</v>
      </c>
      <c r="G1479" s="27"/>
    </row>
    <row r="1480">
      <c r="A1480" s="21"/>
      <c r="B1480" s="21" t="s">
        <v>7725</v>
      </c>
      <c r="D1480" s="25">
        <v>20.0</v>
      </c>
      <c r="E1480" s="27"/>
      <c r="F1480" s="25">
        <v>0.0</v>
      </c>
      <c r="G1480" s="27"/>
    </row>
    <row r="1481">
      <c r="A1481" s="21"/>
      <c r="B1481" s="21" t="s">
        <v>7726</v>
      </c>
      <c r="D1481" s="25">
        <v>20.0</v>
      </c>
      <c r="E1481" s="27"/>
      <c r="F1481" s="25">
        <v>0.0</v>
      </c>
      <c r="G1481" s="27"/>
    </row>
    <row r="1482">
      <c r="A1482" s="21"/>
      <c r="B1482" s="21" t="s">
        <v>7727</v>
      </c>
      <c r="D1482" s="25">
        <v>20.0</v>
      </c>
      <c r="E1482" s="27"/>
      <c r="F1482" s="25">
        <v>4.69</v>
      </c>
      <c r="G1482" s="27"/>
    </row>
    <row r="1483">
      <c r="A1483" s="21"/>
      <c r="B1483" s="21" t="s">
        <v>7728</v>
      </c>
      <c r="C1483" s="27"/>
      <c r="D1483" s="25">
        <v>20.0</v>
      </c>
      <c r="E1483" s="27"/>
      <c r="F1483" s="25">
        <v>1.04</v>
      </c>
      <c r="G1483" s="27"/>
    </row>
    <row r="1484">
      <c r="A1484" s="21"/>
      <c r="B1484" s="21" t="s">
        <v>7729</v>
      </c>
      <c r="D1484" s="25">
        <v>20.0</v>
      </c>
      <c r="E1484" s="27"/>
      <c r="F1484" s="25">
        <v>0.0</v>
      </c>
      <c r="G1484" s="27"/>
    </row>
    <row r="1485">
      <c r="A1485" s="21"/>
      <c r="B1485" s="21" t="s">
        <v>7730</v>
      </c>
      <c r="D1485" s="25">
        <v>20.0</v>
      </c>
      <c r="E1485" s="27"/>
      <c r="F1485" s="25">
        <v>4.25</v>
      </c>
      <c r="G1485" s="27"/>
    </row>
    <row r="1486">
      <c r="A1486" s="21"/>
      <c r="B1486" s="21" t="s">
        <v>7731</v>
      </c>
      <c r="D1486" s="25">
        <v>20.0</v>
      </c>
      <c r="E1486" s="27"/>
      <c r="F1486" s="25">
        <v>0.0</v>
      </c>
      <c r="G1486" s="27"/>
    </row>
    <row r="1487">
      <c r="A1487" s="21"/>
      <c r="B1487" s="21" t="s">
        <v>7732</v>
      </c>
      <c r="D1487" s="25">
        <v>20.0</v>
      </c>
      <c r="E1487" s="27"/>
      <c r="F1487" s="25">
        <v>5.43</v>
      </c>
      <c r="G1487" s="27"/>
    </row>
    <row r="1488">
      <c r="A1488" s="21"/>
      <c r="B1488" s="21" t="s">
        <v>7733</v>
      </c>
      <c r="D1488" s="25">
        <v>20.0</v>
      </c>
      <c r="E1488" s="27"/>
      <c r="F1488" s="25">
        <v>2.14</v>
      </c>
      <c r="G1488" s="27"/>
    </row>
    <row r="1489">
      <c r="A1489" s="21"/>
      <c r="B1489" s="21" t="s">
        <v>7734</v>
      </c>
      <c r="D1489" s="25">
        <v>20.0</v>
      </c>
      <c r="E1489" s="27"/>
      <c r="F1489" s="25">
        <v>0.0</v>
      </c>
      <c r="G1489" s="27"/>
    </row>
    <row r="1490">
      <c r="A1490" s="21"/>
      <c r="B1490" s="21" t="s">
        <v>7735</v>
      </c>
      <c r="D1490" s="25">
        <v>20.0</v>
      </c>
      <c r="E1490" s="27"/>
      <c r="F1490" s="25">
        <v>0.0</v>
      </c>
      <c r="G1490" s="27"/>
    </row>
    <row r="1491">
      <c r="A1491" s="21"/>
      <c r="B1491" s="21" t="s">
        <v>7736</v>
      </c>
      <c r="D1491" s="25">
        <v>20.0</v>
      </c>
      <c r="E1491" s="27"/>
      <c r="F1491" s="25">
        <v>12.06</v>
      </c>
      <c r="G1491" s="27"/>
    </row>
    <row r="1492">
      <c r="A1492" s="21"/>
      <c r="B1492" s="21" t="s">
        <v>7737</v>
      </c>
      <c r="D1492" s="25">
        <v>20.0</v>
      </c>
      <c r="E1492" s="27"/>
      <c r="F1492" s="25">
        <v>12.71</v>
      </c>
      <c r="G1492" s="27"/>
    </row>
    <row r="1493">
      <c r="A1493" s="21"/>
      <c r="B1493" s="21" t="s">
        <v>7738</v>
      </c>
      <c r="D1493" s="25">
        <v>20.0</v>
      </c>
      <c r="E1493" s="27"/>
      <c r="F1493" s="25">
        <v>0.0</v>
      </c>
      <c r="G1493" s="27"/>
    </row>
    <row r="1494">
      <c r="A1494" s="21"/>
      <c r="B1494" s="21" t="s">
        <v>7739</v>
      </c>
      <c r="D1494" s="25">
        <v>20.0</v>
      </c>
      <c r="E1494" s="27"/>
      <c r="F1494" s="25">
        <v>0.0</v>
      </c>
      <c r="G1494" s="27"/>
    </row>
    <row r="1495">
      <c r="A1495" s="21"/>
      <c r="B1495" s="21" t="s">
        <v>7740</v>
      </c>
      <c r="D1495" s="25">
        <v>20.0</v>
      </c>
      <c r="E1495" s="27"/>
      <c r="F1495" s="25">
        <v>4.22</v>
      </c>
      <c r="G1495" s="27"/>
    </row>
    <row r="1496">
      <c r="A1496" s="21"/>
      <c r="B1496" s="21" t="s">
        <v>7741</v>
      </c>
      <c r="D1496" s="25">
        <v>20.0</v>
      </c>
      <c r="E1496" s="27"/>
      <c r="F1496" s="25">
        <v>0.0</v>
      </c>
      <c r="G1496" s="27"/>
    </row>
    <row r="1497">
      <c r="A1497" s="21"/>
      <c r="B1497" s="21" t="s">
        <v>7742</v>
      </c>
      <c r="D1497" s="25">
        <v>20.0</v>
      </c>
      <c r="E1497" s="27"/>
      <c r="F1497" s="25">
        <v>0.0</v>
      </c>
      <c r="G1497" s="27"/>
    </row>
    <row r="1498">
      <c r="A1498" s="21"/>
      <c r="B1498" s="21" t="s">
        <v>7743</v>
      </c>
      <c r="C1498" s="27"/>
      <c r="D1498" s="25">
        <v>20.0</v>
      </c>
      <c r="E1498" s="27"/>
      <c r="F1498" s="25">
        <v>6.13</v>
      </c>
      <c r="G1498" s="27"/>
    </row>
    <row r="1499">
      <c r="A1499" s="21"/>
      <c r="B1499" s="21" t="s">
        <v>7744</v>
      </c>
      <c r="C1499" s="27"/>
      <c r="D1499" s="25">
        <v>20.0</v>
      </c>
      <c r="E1499" s="27"/>
      <c r="F1499" s="25">
        <v>0.0</v>
      </c>
      <c r="G1499" s="27"/>
    </row>
    <row r="1500">
      <c r="A1500" s="21"/>
      <c r="B1500" s="21" t="s">
        <v>5997</v>
      </c>
      <c r="D1500" s="25">
        <v>20.0</v>
      </c>
      <c r="E1500" s="27"/>
      <c r="F1500" s="25">
        <v>3.46</v>
      </c>
      <c r="G1500" s="27"/>
    </row>
    <row r="1501">
      <c r="A1501" s="21"/>
      <c r="B1501" s="21" t="s">
        <v>7745</v>
      </c>
      <c r="D1501" s="25">
        <v>20.0</v>
      </c>
      <c r="E1501" s="27"/>
      <c r="F1501" s="25">
        <v>1.78</v>
      </c>
      <c r="G1501" s="27"/>
    </row>
    <row r="1502">
      <c r="A1502" s="21"/>
      <c r="B1502" s="21" t="s">
        <v>7746</v>
      </c>
      <c r="D1502" s="25">
        <v>20.0</v>
      </c>
      <c r="E1502" s="27"/>
      <c r="F1502" s="25">
        <v>0.0</v>
      </c>
      <c r="G1502" s="27"/>
    </row>
    <row r="1503">
      <c r="A1503" s="21"/>
      <c r="B1503" s="21" t="s">
        <v>7747</v>
      </c>
      <c r="D1503" s="25">
        <v>20.0</v>
      </c>
      <c r="E1503" s="27"/>
      <c r="F1503" s="25">
        <v>0.4</v>
      </c>
      <c r="G1503" s="27"/>
    </row>
    <row r="1504">
      <c r="A1504" s="21"/>
      <c r="B1504" s="21" t="s">
        <v>7748</v>
      </c>
      <c r="D1504" s="25">
        <v>20.0</v>
      </c>
      <c r="E1504" s="27"/>
      <c r="F1504" s="25">
        <v>0.0</v>
      </c>
      <c r="G1504" s="27"/>
    </row>
    <row r="1505">
      <c r="A1505" s="21"/>
      <c r="B1505" s="21" t="s">
        <v>7749</v>
      </c>
      <c r="D1505" s="25">
        <v>20.0</v>
      </c>
      <c r="E1505" s="27"/>
      <c r="F1505" s="25">
        <v>0.0</v>
      </c>
      <c r="G1505" s="27"/>
    </row>
    <row r="1506">
      <c r="A1506" s="21"/>
      <c r="B1506" s="21" t="s">
        <v>5998</v>
      </c>
      <c r="D1506" s="25">
        <v>20.0</v>
      </c>
      <c r="E1506" s="27"/>
      <c r="F1506" s="25">
        <v>4.19</v>
      </c>
      <c r="G1506" s="27"/>
    </row>
    <row r="1507">
      <c r="A1507" s="21"/>
      <c r="B1507" s="21" t="s">
        <v>7750</v>
      </c>
      <c r="D1507" s="25">
        <v>20.0</v>
      </c>
      <c r="E1507" s="27"/>
      <c r="F1507" s="25">
        <v>0.0</v>
      </c>
      <c r="G1507" s="27"/>
    </row>
    <row r="1508">
      <c r="A1508" s="21"/>
      <c r="B1508" s="21" t="s">
        <v>7751</v>
      </c>
      <c r="D1508" s="25">
        <v>20.0</v>
      </c>
      <c r="E1508" s="27"/>
      <c r="F1508" s="25">
        <v>2.44</v>
      </c>
      <c r="G1508" s="27"/>
    </row>
    <row r="1509">
      <c r="A1509" s="21"/>
      <c r="B1509" s="21" t="s">
        <v>7752</v>
      </c>
      <c r="D1509" s="25">
        <v>20.0</v>
      </c>
      <c r="E1509" s="27"/>
      <c r="F1509" s="25">
        <v>0.0</v>
      </c>
      <c r="G1509" s="27"/>
    </row>
    <row r="1510">
      <c r="A1510" s="21"/>
      <c r="B1510" s="21" t="s">
        <v>7753</v>
      </c>
      <c r="D1510" s="25">
        <v>20.0</v>
      </c>
      <c r="E1510" s="27"/>
      <c r="F1510" s="25">
        <v>5.96</v>
      </c>
      <c r="G1510" s="27"/>
    </row>
    <row r="1511">
      <c r="A1511" s="21"/>
      <c r="B1511" s="21" t="s">
        <v>7754</v>
      </c>
      <c r="D1511" s="25">
        <v>20.0</v>
      </c>
      <c r="E1511" s="27"/>
      <c r="F1511" s="25">
        <v>0.0</v>
      </c>
      <c r="G1511" s="27"/>
    </row>
    <row r="1512">
      <c r="A1512" s="21"/>
      <c r="B1512" s="21" t="s">
        <v>7755</v>
      </c>
      <c r="D1512" s="25">
        <v>20.0</v>
      </c>
      <c r="E1512" s="27"/>
      <c r="F1512" s="25">
        <v>0.0</v>
      </c>
      <c r="G1512" s="27"/>
    </row>
    <row r="1513">
      <c r="A1513" s="21"/>
      <c r="B1513" s="21" t="s">
        <v>7756</v>
      </c>
      <c r="D1513" s="25">
        <v>20.0</v>
      </c>
      <c r="E1513" s="27"/>
      <c r="F1513" s="25">
        <v>7.1</v>
      </c>
      <c r="G1513" s="27"/>
    </row>
    <row r="1514">
      <c r="A1514" s="21"/>
      <c r="B1514" s="21" t="s">
        <v>7757</v>
      </c>
      <c r="D1514" s="25">
        <v>20.0</v>
      </c>
      <c r="E1514" s="27"/>
      <c r="F1514" s="25">
        <v>3.31</v>
      </c>
      <c r="G1514" s="27"/>
    </row>
    <row r="1515">
      <c r="A1515" s="21"/>
      <c r="B1515" s="21" t="s">
        <v>7758</v>
      </c>
      <c r="D1515" s="25">
        <v>20.0</v>
      </c>
      <c r="E1515" s="27"/>
      <c r="F1515" s="25">
        <v>0.0</v>
      </c>
      <c r="G1515" s="27"/>
    </row>
    <row r="1516">
      <c r="A1516" s="21"/>
      <c r="B1516" s="21" t="s">
        <v>7759</v>
      </c>
      <c r="D1516" s="25">
        <v>20.0</v>
      </c>
      <c r="E1516" s="27"/>
      <c r="F1516" s="25">
        <v>0.0</v>
      </c>
      <c r="G1516" s="27"/>
    </row>
    <row r="1517">
      <c r="A1517" s="21"/>
      <c r="B1517" s="21" t="s">
        <v>7760</v>
      </c>
      <c r="D1517" s="25">
        <v>20.0</v>
      </c>
      <c r="E1517" s="27"/>
      <c r="F1517" s="25">
        <v>0.0</v>
      </c>
      <c r="G1517" s="27"/>
    </row>
    <row r="1518">
      <c r="A1518" s="21"/>
      <c r="B1518" s="21" t="s">
        <v>7761</v>
      </c>
      <c r="D1518" s="25">
        <v>20.0</v>
      </c>
      <c r="E1518" s="27"/>
      <c r="F1518" s="25">
        <v>0.0</v>
      </c>
      <c r="G1518" s="27"/>
    </row>
    <row r="1519">
      <c r="A1519" s="21"/>
      <c r="B1519" s="21" t="s">
        <v>7762</v>
      </c>
      <c r="D1519" s="25">
        <v>20.0</v>
      </c>
      <c r="E1519" s="27"/>
      <c r="F1519" s="25">
        <v>0.0</v>
      </c>
      <c r="G1519" s="27"/>
    </row>
    <row r="1520">
      <c r="A1520" s="21"/>
      <c r="B1520" s="21" t="s">
        <v>7763</v>
      </c>
      <c r="D1520" s="25">
        <v>20.0</v>
      </c>
      <c r="E1520" s="27"/>
      <c r="F1520" s="25">
        <v>3.12</v>
      </c>
      <c r="G1520" s="27"/>
    </row>
    <row r="1521">
      <c r="A1521" s="21"/>
      <c r="B1521" s="21" t="s">
        <v>7764</v>
      </c>
      <c r="D1521" s="25">
        <v>20.0</v>
      </c>
      <c r="E1521" s="27"/>
      <c r="F1521" s="25">
        <v>0.0</v>
      </c>
      <c r="G1521" s="27"/>
    </row>
    <row r="1522">
      <c r="A1522" s="21"/>
      <c r="B1522" s="21" t="s">
        <v>7765</v>
      </c>
      <c r="D1522" s="25">
        <v>20.0</v>
      </c>
      <c r="E1522" s="27"/>
      <c r="F1522" s="25">
        <v>0.0</v>
      </c>
      <c r="G1522" s="27"/>
    </row>
    <row r="1523">
      <c r="A1523" s="21"/>
      <c r="B1523" s="21" t="s">
        <v>7766</v>
      </c>
      <c r="D1523" s="25">
        <v>20.0</v>
      </c>
      <c r="E1523" s="27"/>
      <c r="F1523" s="25">
        <v>0.0</v>
      </c>
      <c r="G1523" s="27"/>
    </row>
    <row r="1524">
      <c r="A1524" s="21"/>
      <c r="B1524" s="21" t="s">
        <v>7767</v>
      </c>
      <c r="D1524" s="25">
        <v>20.0</v>
      </c>
      <c r="E1524" s="27"/>
      <c r="F1524" s="25">
        <v>2.82</v>
      </c>
      <c r="G1524" s="27"/>
    </row>
    <row r="1525">
      <c r="A1525" s="21"/>
      <c r="B1525" s="21" t="s">
        <v>7768</v>
      </c>
      <c r="D1525" s="25">
        <v>20.0</v>
      </c>
      <c r="E1525" s="27"/>
      <c r="F1525" s="25">
        <v>0.0</v>
      </c>
      <c r="G1525" s="27"/>
    </row>
    <row r="1526">
      <c r="A1526" s="21"/>
      <c r="B1526" s="21" t="s">
        <v>7769</v>
      </c>
      <c r="D1526" s="25">
        <v>20.0</v>
      </c>
      <c r="E1526" s="27"/>
      <c r="F1526" s="25">
        <v>0.0</v>
      </c>
      <c r="G1526" s="27"/>
    </row>
    <row r="1527">
      <c r="A1527" s="21"/>
      <c r="B1527" s="21" t="s">
        <v>7770</v>
      </c>
      <c r="D1527" s="25">
        <v>20.0</v>
      </c>
      <c r="E1527" s="27"/>
      <c r="F1527" s="25">
        <v>0.0</v>
      </c>
      <c r="G1527" s="27"/>
    </row>
    <row r="1528">
      <c r="A1528" s="21"/>
      <c r="B1528" s="21" t="s">
        <v>7771</v>
      </c>
      <c r="D1528" s="25">
        <v>20.0</v>
      </c>
      <c r="E1528" s="27"/>
      <c r="F1528" s="25">
        <v>2.14</v>
      </c>
      <c r="G1528" s="27"/>
    </row>
    <row r="1529">
      <c r="A1529" s="21"/>
      <c r="B1529" s="21" t="s">
        <v>7772</v>
      </c>
      <c r="D1529" s="25">
        <v>20.0</v>
      </c>
      <c r="E1529" s="27"/>
      <c r="F1529" s="25">
        <v>0.93</v>
      </c>
      <c r="G1529" s="27"/>
    </row>
    <row r="1530">
      <c r="A1530" s="21"/>
      <c r="B1530" s="21" t="s">
        <v>7773</v>
      </c>
      <c r="D1530" s="25">
        <v>20.0</v>
      </c>
      <c r="E1530" s="27"/>
      <c r="F1530" s="25">
        <v>2.66</v>
      </c>
      <c r="G1530" s="27"/>
    </row>
    <row r="1531">
      <c r="A1531" s="21"/>
      <c r="B1531" s="21" t="s">
        <v>7774</v>
      </c>
      <c r="D1531" s="25">
        <v>20.0</v>
      </c>
      <c r="E1531" s="27"/>
      <c r="F1531" s="25">
        <v>4.18</v>
      </c>
      <c r="G1531" s="27"/>
    </row>
    <row r="1532">
      <c r="A1532" s="21"/>
      <c r="B1532" s="21" t="s">
        <v>7775</v>
      </c>
      <c r="D1532" s="25">
        <v>20.0</v>
      </c>
      <c r="E1532" s="27"/>
      <c r="F1532" s="25">
        <v>0.0</v>
      </c>
      <c r="G1532" s="27"/>
    </row>
    <row r="1533">
      <c r="A1533" s="21"/>
      <c r="B1533" s="21" t="s">
        <v>7776</v>
      </c>
      <c r="D1533" s="25">
        <v>20.0</v>
      </c>
      <c r="E1533" s="27"/>
      <c r="F1533" s="25">
        <v>0.0</v>
      </c>
      <c r="G1533" s="27"/>
    </row>
    <row r="1534">
      <c r="A1534" s="21"/>
      <c r="B1534" s="21" t="s">
        <v>7777</v>
      </c>
      <c r="D1534" s="25">
        <v>20.0</v>
      </c>
      <c r="E1534" s="27"/>
      <c r="F1534" s="25">
        <v>0.0</v>
      </c>
      <c r="G1534" s="27"/>
    </row>
    <row r="1535">
      <c r="A1535" s="21"/>
      <c r="B1535" s="21" t="s">
        <v>7778</v>
      </c>
      <c r="D1535" s="25">
        <v>20.0</v>
      </c>
      <c r="E1535" s="27"/>
      <c r="F1535" s="25">
        <v>0.0</v>
      </c>
      <c r="G1535" s="27"/>
    </row>
    <row r="1536">
      <c r="A1536" s="21"/>
      <c r="B1536" s="21" t="s">
        <v>7779</v>
      </c>
      <c r="D1536" s="25">
        <v>20.0</v>
      </c>
      <c r="E1536" s="27"/>
      <c r="F1536" s="25">
        <v>0.0</v>
      </c>
      <c r="G1536" s="27"/>
    </row>
    <row r="1537">
      <c r="A1537" s="21"/>
      <c r="B1537" s="21" t="s">
        <v>7780</v>
      </c>
      <c r="D1537" s="25">
        <v>20.0</v>
      </c>
      <c r="E1537" s="27"/>
      <c r="F1537" s="25">
        <v>1.3</v>
      </c>
      <c r="G1537" s="27"/>
    </row>
    <row r="1538">
      <c r="A1538" s="21"/>
      <c r="B1538" s="21" t="s">
        <v>7781</v>
      </c>
      <c r="D1538" s="25">
        <v>20.0</v>
      </c>
      <c r="E1538" s="27"/>
      <c r="F1538" s="25">
        <v>0.0</v>
      </c>
      <c r="G1538" s="27"/>
    </row>
    <row r="1539">
      <c r="A1539" s="21"/>
      <c r="B1539" s="21" t="s">
        <v>7782</v>
      </c>
      <c r="D1539" s="25">
        <v>20.0</v>
      </c>
      <c r="E1539" s="27"/>
      <c r="F1539" s="25">
        <v>2.96</v>
      </c>
      <c r="G1539" s="27"/>
    </row>
    <row r="1540">
      <c r="A1540" s="21"/>
      <c r="B1540" s="21" t="s">
        <v>7783</v>
      </c>
      <c r="D1540" s="25">
        <v>20.0</v>
      </c>
      <c r="E1540" s="27"/>
      <c r="F1540" s="25">
        <v>0.0</v>
      </c>
      <c r="G1540" s="27"/>
    </row>
    <row r="1541">
      <c r="A1541" s="21"/>
      <c r="B1541" s="21" t="s">
        <v>7784</v>
      </c>
      <c r="D1541" s="25">
        <v>20.0</v>
      </c>
      <c r="E1541" s="27"/>
      <c r="F1541" s="25">
        <v>0.0</v>
      </c>
      <c r="G1541" s="27"/>
    </row>
    <row r="1542">
      <c r="A1542" s="21"/>
      <c r="B1542" s="21" t="s">
        <v>7785</v>
      </c>
      <c r="D1542" s="25">
        <v>20.0</v>
      </c>
      <c r="E1542" s="27"/>
      <c r="F1542" s="25">
        <v>1.18</v>
      </c>
      <c r="G1542" s="27"/>
    </row>
    <row r="1543">
      <c r="A1543" s="21"/>
      <c r="B1543" s="21" t="s">
        <v>7786</v>
      </c>
      <c r="D1543" s="25">
        <v>20.0</v>
      </c>
      <c r="E1543" s="27"/>
      <c r="F1543" s="25">
        <v>0.0</v>
      </c>
      <c r="G1543" s="27"/>
    </row>
    <row r="1544">
      <c r="A1544" s="21"/>
      <c r="B1544" s="21" t="s">
        <v>7787</v>
      </c>
      <c r="D1544" s="25">
        <v>20.0</v>
      </c>
      <c r="E1544" s="27"/>
      <c r="F1544" s="25">
        <v>0.0</v>
      </c>
      <c r="G1544" s="27"/>
    </row>
    <row r="1545">
      <c r="A1545" s="21"/>
      <c r="B1545" s="21" t="s">
        <v>7788</v>
      </c>
      <c r="D1545" s="25">
        <v>20.0</v>
      </c>
      <c r="E1545" s="27"/>
      <c r="F1545" s="25">
        <v>0.0</v>
      </c>
      <c r="G1545" s="27"/>
    </row>
    <row r="1546">
      <c r="A1546" s="21"/>
      <c r="B1546" s="21" t="s">
        <v>7789</v>
      </c>
      <c r="D1546" s="25">
        <v>20.0</v>
      </c>
      <c r="E1546" s="27"/>
      <c r="F1546" s="25">
        <v>3.03</v>
      </c>
      <c r="G1546" s="27"/>
    </row>
    <row r="1547">
      <c r="A1547" s="21"/>
      <c r="B1547" s="21" t="s">
        <v>7790</v>
      </c>
      <c r="D1547" s="25">
        <v>20.0</v>
      </c>
      <c r="E1547" s="27"/>
      <c r="F1547" s="25">
        <v>3.19</v>
      </c>
      <c r="G1547" s="27"/>
    </row>
    <row r="1548">
      <c r="A1548" s="21"/>
      <c r="B1548" s="21" t="s">
        <v>7791</v>
      </c>
      <c r="D1548" s="25">
        <v>20.0</v>
      </c>
      <c r="E1548" s="27"/>
      <c r="F1548" s="25">
        <v>0.0</v>
      </c>
      <c r="G1548" s="27"/>
    </row>
    <row r="1549">
      <c r="A1549" s="21"/>
      <c r="B1549" s="21" t="s">
        <v>7792</v>
      </c>
      <c r="D1549" s="25">
        <v>20.0</v>
      </c>
      <c r="E1549" s="27"/>
      <c r="F1549" s="25">
        <v>2.69</v>
      </c>
      <c r="G1549" s="27"/>
    </row>
    <row r="1550">
      <c r="A1550" s="21"/>
      <c r="B1550" s="21" t="s">
        <v>7793</v>
      </c>
      <c r="D1550" s="25">
        <v>20.0</v>
      </c>
      <c r="E1550" s="27"/>
      <c r="F1550" s="25">
        <v>0.0</v>
      </c>
      <c r="G1550" s="27"/>
    </row>
    <row r="1551">
      <c r="A1551" s="21"/>
      <c r="B1551" s="21" t="s">
        <v>7794</v>
      </c>
      <c r="D1551" s="25">
        <v>20.0</v>
      </c>
      <c r="E1551" s="27"/>
      <c r="F1551" s="25">
        <v>1.04</v>
      </c>
      <c r="G1551" s="27"/>
    </row>
    <row r="1552">
      <c r="A1552" s="21"/>
      <c r="B1552" s="21" t="s">
        <v>7795</v>
      </c>
      <c r="D1552" s="25">
        <v>20.0</v>
      </c>
      <c r="E1552" s="27"/>
      <c r="F1552" s="25">
        <v>0.26</v>
      </c>
      <c r="G1552" s="27"/>
    </row>
    <row r="1553">
      <c r="A1553" s="21"/>
      <c r="B1553" s="21" t="s">
        <v>7796</v>
      </c>
      <c r="D1553" s="25">
        <v>20.0</v>
      </c>
      <c r="E1553" s="27"/>
      <c r="F1553" s="25">
        <v>2.78</v>
      </c>
      <c r="G1553" s="27"/>
    </row>
    <row r="1554">
      <c r="A1554" s="21"/>
      <c r="B1554" s="21" t="s">
        <v>7797</v>
      </c>
      <c r="D1554" s="25">
        <v>20.0</v>
      </c>
      <c r="E1554" s="27"/>
      <c r="F1554" s="25">
        <v>4.22</v>
      </c>
      <c r="G1554" s="27"/>
    </row>
    <row r="1555">
      <c r="A1555" s="21"/>
      <c r="B1555" s="21" t="s">
        <v>7798</v>
      </c>
      <c r="D1555" s="25">
        <v>20.0</v>
      </c>
      <c r="E1555" s="27"/>
      <c r="F1555" s="25">
        <v>0.0</v>
      </c>
      <c r="G1555" s="27"/>
    </row>
    <row r="1556">
      <c r="A1556" s="21"/>
      <c r="B1556" s="21" t="s">
        <v>7799</v>
      </c>
      <c r="D1556" s="25">
        <v>20.0</v>
      </c>
      <c r="E1556" s="27"/>
      <c r="F1556" s="25">
        <v>1.08</v>
      </c>
      <c r="G1556" s="27"/>
    </row>
    <row r="1557">
      <c r="A1557" s="21"/>
      <c r="B1557" s="21" t="s">
        <v>7800</v>
      </c>
      <c r="D1557" s="25">
        <v>20.0</v>
      </c>
      <c r="E1557" s="27"/>
      <c r="F1557" s="25">
        <v>0.0</v>
      </c>
      <c r="G1557" s="27"/>
    </row>
    <row r="1558">
      <c r="A1558" s="21"/>
      <c r="B1558" s="21" t="s">
        <v>7801</v>
      </c>
      <c r="D1558" s="25">
        <v>20.0</v>
      </c>
      <c r="E1558" s="27"/>
      <c r="F1558" s="25">
        <v>0.0</v>
      </c>
      <c r="G1558" s="27"/>
    </row>
    <row r="1559">
      <c r="A1559" s="21"/>
      <c r="B1559" s="21" t="s">
        <v>7802</v>
      </c>
      <c r="D1559" s="25">
        <v>20.0</v>
      </c>
      <c r="E1559" s="27"/>
      <c r="F1559" s="25">
        <v>0.95</v>
      </c>
      <c r="G1559" s="27"/>
    </row>
    <row r="1560">
      <c r="A1560" s="21"/>
      <c r="B1560" s="21" t="s">
        <v>7803</v>
      </c>
      <c r="D1560" s="25">
        <v>20.0</v>
      </c>
      <c r="E1560" s="27"/>
      <c r="F1560" s="25">
        <v>7.06</v>
      </c>
      <c r="G1560" s="27"/>
    </row>
    <row r="1561">
      <c r="A1561" s="21"/>
      <c r="B1561" s="21" t="s">
        <v>7804</v>
      </c>
      <c r="D1561" s="25">
        <v>20.0</v>
      </c>
      <c r="E1561" s="27"/>
      <c r="F1561" s="25">
        <v>2.14</v>
      </c>
      <c r="G1561" s="27"/>
    </row>
    <row r="1562">
      <c r="A1562" s="21"/>
      <c r="B1562" s="21" t="s">
        <v>7805</v>
      </c>
      <c r="D1562" s="25">
        <v>20.0</v>
      </c>
      <c r="E1562" s="27"/>
      <c r="F1562" s="25">
        <v>3.2</v>
      </c>
      <c r="G1562" s="27"/>
    </row>
    <row r="1563">
      <c r="A1563" s="21"/>
      <c r="B1563" s="21" t="s">
        <v>7806</v>
      </c>
      <c r="D1563" s="25">
        <v>20.0</v>
      </c>
      <c r="E1563" s="27"/>
      <c r="F1563" s="25">
        <v>0.0</v>
      </c>
      <c r="G1563" s="27"/>
    </row>
    <row r="1564">
      <c r="A1564" s="21"/>
      <c r="B1564" s="21" t="s">
        <v>7807</v>
      </c>
      <c r="D1564" s="25">
        <v>20.0</v>
      </c>
      <c r="E1564" s="27"/>
      <c r="F1564" s="25">
        <v>0.0</v>
      </c>
      <c r="G1564" s="27"/>
    </row>
    <row r="1565">
      <c r="A1565" s="21"/>
      <c r="B1565" s="21" t="s">
        <v>7808</v>
      </c>
      <c r="D1565" s="25">
        <v>20.0</v>
      </c>
      <c r="E1565" s="27"/>
      <c r="F1565" s="25">
        <v>10.64</v>
      </c>
      <c r="G1565" s="27"/>
    </row>
    <row r="1566">
      <c r="A1566" s="21"/>
      <c r="B1566" s="21" t="s">
        <v>7809</v>
      </c>
      <c r="D1566" s="25">
        <v>20.0</v>
      </c>
      <c r="E1566" s="27"/>
      <c r="F1566" s="25">
        <v>0.0</v>
      </c>
      <c r="G1566" s="27"/>
    </row>
    <row r="1567">
      <c r="A1567" s="21"/>
      <c r="B1567" s="21" t="s">
        <v>7810</v>
      </c>
      <c r="D1567" s="25">
        <v>20.0</v>
      </c>
      <c r="E1567" s="27"/>
      <c r="F1567" s="25">
        <v>0.0</v>
      </c>
      <c r="G1567" s="27"/>
    </row>
    <row r="1568">
      <c r="A1568" s="21"/>
      <c r="B1568" s="21" t="s">
        <v>7811</v>
      </c>
      <c r="C1568" s="27"/>
      <c r="D1568" s="25">
        <v>20.0</v>
      </c>
      <c r="E1568" s="27"/>
      <c r="F1568" s="25">
        <v>0.0</v>
      </c>
      <c r="G1568" s="27"/>
    </row>
    <row r="1569">
      <c r="A1569" s="21"/>
      <c r="B1569" s="21" t="s">
        <v>7812</v>
      </c>
      <c r="D1569" s="25">
        <v>20.0</v>
      </c>
      <c r="E1569" s="27"/>
      <c r="F1569" s="25">
        <v>0.0</v>
      </c>
      <c r="G1569" s="27"/>
    </row>
    <row r="1570">
      <c r="A1570" s="21"/>
      <c r="B1570" s="21" t="s">
        <v>7813</v>
      </c>
      <c r="D1570" s="25">
        <v>20.0</v>
      </c>
      <c r="E1570" s="27"/>
      <c r="F1570" s="25">
        <v>0.0</v>
      </c>
      <c r="G1570" s="27"/>
    </row>
    <row r="1571">
      <c r="A1571" s="21"/>
      <c r="B1571" s="21" t="s">
        <v>7814</v>
      </c>
      <c r="D1571" s="25">
        <v>20.0</v>
      </c>
      <c r="E1571" s="27"/>
      <c r="F1571" s="25">
        <v>0.0</v>
      </c>
      <c r="G1571" s="27"/>
    </row>
    <row r="1572">
      <c r="A1572" s="21"/>
      <c r="B1572" s="21" t="s">
        <v>7815</v>
      </c>
      <c r="D1572" s="25">
        <v>20.0</v>
      </c>
      <c r="E1572" s="27"/>
      <c r="F1572" s="25">
        <v>3.51</v>
      </c>
      <c r="G1572" s="27"/>
    </row>
    <row r="1573">
      <c r="A1573" s="21"/>
      <c r="B1573" s="21" t="s">
        <v>7816</v>
      </c>
      <c r="D1573" s="25">
        <v>20.0</v>
      </c>
      <c r="E1573" s="27"/>
      <c r="F1573" s="25">
        <v>0.0</v>
      </c>
      <c r="G1573" s="27"/>
    </row>
    <row r="1574">
      <c r="A1574" s="21"/>
      <c r="B1574" s="21" t="s">
        <v>7817</v>
      </c>
      <c r="D1574" s="25">
        <v>20.0</v>
      </c>
      <c r="E1574" s="27"/>
      <c r="F1574" s="25">
        <v>0.0</v>
      </c>
      <c r="G1574" s="27"/>
    </row>
    <row r="1575">
      <c r="A1575" s="21"/>
      <c r="B1575" s="21" t="s">
        <v>7818</v>
      </c>
      <c r="D1575" s="25">
        <v>20.0</v>
      </c>
      <c r="E1575" s="27"/>
      <c r="F1575" s="25">
        <v>0.0</v>
      </c>
      <c r="G1575" s="27"/>
    </row>
    <row r="1576">
      <c r="A1576" s="21"/>
      <c r="B1576" s="21" t="s">
        <v>7819</v>
      </c>
      <c r="D1576" s="25">
        <v>20.0</v>
      </c>
      <c r="E1576" s="27"/>
      <c r="F1576" s="25">
        <v>2.42</v>
      </c>
      <c r="G1576" s="27"/>
    </row>
    <row r="1577">
      <c r="A1577" s="21"/>
      <c r="B1577" s="21" t="s">
        <v>7820</v>
      </c>
      <c r="D1577" s="25">
        <v>20.0</v>
      </c>
      <c r="E1577" s="27"/>
      <c r="F1577" s="25">
        <v>0.0</v>
      </c>
      <c r="G1577" s="27"/>
    </row>
    <row r="1578">
      <c r="A1578" s="21"/>
      <c r="B1578" s="21" t="s">
        <v>7821</v>
      </c>
      <c r="D1578" s="25">
        <v>20.0</v>
      </c>
      <c r="E1578" s="27"/>
      <c r="F1578" s="25">
        <v>4.02</v>
      </c>
      <c r="G1578" s="27"/>
    </row>
    <row r="1579">
      <c r="A1579" s="21"/>
      <c r="B1579" s="21" t="s">
        <v>7822</v>
      </c>
      <c r="D1579" s="25">
        <v>20.0</v>
      </c>
      <c r="E1579" s="27"/>
      <c r="F1579" s="25">
        <v>0.0</v>
      </c>
      <c r="G1579" s="27"/>
    </row>
    <row r="1580">
      <c r="A1580" s="21"/>
      <c r="B1580" s="21" t="s">
        <v>7823</v>
      </c>
      <c r="D1580" s="25">
        <v>20.0</v>
      </c>
      <c r="E1580" s="27"/>
      <c r="F1580" s="25">
        <v>0.0</v>
      </c>
      <c r="G1580" s="27"/>
    </row>
    <row r="1581">
      <c r="A1581" s="21"/>
      <c r="B1581" s="21" t="s">
        <v>7824</v>
      </c>
      <c r="D1581" s="25">
        <v>20.0</v>
      </c>
      <c r="E1581" s="27"/>
      <c r="F1581" s="25">
        <v>0.0</v>
      </c>
      <c r="G1581" s="27"/>
    </row>
    <row r="1582">
      <c r="A1582" s="21"/>
      <c r="B1582" s="21" t="s">
        <v>7825</v>
      </c>
      <c r="D1582" s="25">
        <v>20.0</v>
      </c>
      <c r="E1582" s="27"/>
      <c r="F1582" s="25">
        <v>0.0</v>
      </c>
      <c r="G1582" s="27"/>
    </row>
    <row r="1583">
      <c r="A1583" s="21"/>
      <c r="B1583" s="21" t="s">
        <v>7826</v>
      </c>
      <c r="D1583" s="25">
        <v>20.0</v>
      </c>
      <c r="E1583" s="27"/>
      <c r="F1583" s="25">
        <v>6.24</v>
      </c>
      <c r="G1583" s="27"/>
    </row>
    <row r="1584">
      <c r="A1584" s="21"/>
      <c r="B1584" s="21" t="s">
        <v>7827</v>
      </c>
      <c r="D1584" s="25">
        <v>20.0</v>
      </c>
      <c r="E1584" s="27"/>
      <c r="F1584" s="25">
        <v>3.31</v>
      </c>
      <c r="G1584" s="27"/>
    </row>
    <row r="1585">
      <c r="A1585" s="21"/>
      <c r="B1585" s="21" t="s">
        <v>7828</v>
      </c>
      <c r="D1585" s="25">
        <v>20.0</v>
      </c>
      <c r="E1585" s="27"/>
      <c r="F1585" s="25">
        <v>2.99</v>
      </c>
      <c r="G1585" s="27"/>
    </row>
    <row r="1586">
      <c r="A1586" s="21"/>
      <c r="B1586" s="21" t="s">
        <v>7829</v>
      </c>
      <c r="D1586" s="25">
        <v>20.0</v>
      </c>
      <c r="E1586" s="27"/>
      <c r="F1586" s="25">
        <v>0.0</v>
      </c>
      <c r="G1586" s="27"/>
    </row>
    <row r="1587">
      <c r="A1587" s="21"/>
      <c r="B1587" s="21" t="s">
        <v>7830</v>
      </c>
      <c r="D1587" s="25">
        <v>20.0</v>
      </c>
      <c r="E1587" s="27"/>
      <c r="F1587" s="25">
        <v>0.0</v>
      </c>
      <c r="G1587" s="27"/>
    </row>
    <row r="1588">
      <c r="A1588" s="21"/>
      <c r="B1588" s="21" t="s">
        <v>7831</v>
      </c>
      <c r="D1588" s="25">
        <v>20.0</v>
      </c>
      <c r="E1588" s="27"/>
      <c r="F1588" s="25">
        <v>0.0</v>
      </c>
      <c r="G1588" s="27"/>
    </row>
    <row r="1589">
      <c r="A1589" s="21"/>
      <c r="B1589" s="21" t="s">
        <v>7832</v>
      </c>
      <c r="D1589" s="25">
        <v>20.0</v>
      </c>
      <c r="E1589" s="27"/>
      <c r="F1589" s="25">
        <v>0.0</v>
      </c>
      <c r="G1589" s="27"/>
    </row>
    <row r="1590">
      <c r="A1590" s="21"/>
      <c r="B1590" s="21" t="s">
        <v>7833</v>
      </c>
      <c r="D1590" s="25">
        <v>20.0</v>
      </c>
      <c r="E1590" s="27"/>
      <c r="F1590" s="25">
        <v>0.0</v>
      </c>
      <c r="G1590" s="27"/>
    </row>
    <row r="1591">
      <c r="A1591" s="21"/>
      <c r="B1591" s="21" t="s">
        <v>7834</v>
      </c>
      <c r="D1591" s="25">
        <v>20.0</v>
      </c>
      <c r="E1591" s="27"/>
      <c r="F1591" s="25">
        <v>2.17</v>
      </c>
      <c r="G1591" s="27"/>
    </row>
    <row r="1592">
      <c r="A1592" s="21"/>
      <c r="B1592" s="21" t="s">
        <v>7835</v>
      </c>
      <c r="D1592" s="25">
        <v>20.0</v>
      </c>
      <c r="E1592" s="27"/>
      <c r="F1592" s="25">
        <v>0.0</v>
      </c>
      <c r="G1592" s="27"/>
    </row>
    <row r="1593">
      <c r="A1593" s="21"/>
      <c r="B1593" s="21" t="s">
        <v>7836</v>
      </c>
      <c r="D1593" s="25">
        <v>20.0</v>
      </c>
      <c r="E1593" s="27"/>
      <c r="F1593" s="25">
        <v>0.75</v>
      </c>
      <c r="G1593" s="27"/>
    </row>
    <row r="1594">
      <c r="A1594" s="21"/>
      <c r="B1594" s="21" t="s">
        <v>7837</v>
      </c>
      <c r="D1594" s="25">
        <v>20.0</v>
      </c>
      <c r="E1594" s="27"/>
      <c r="F1594" s="25">
        <v>0.75</v>
      </c>
      <c r="G1594" s="27"/>
    </row>
    <row r="1595">
      <c r="A1595" s="21"/>
      <c r="B1595" s="21" t="s">
        <v>7838</v>
      </c>
      <c r="D1595" s="25">
        <v>20.0</v>
      </c>
      <c r="E1595" s="27"/>
      <c r="F1595" s="25">
        <v>0.0</v>
      </c>
      <c r="G1595" s="27"/>
    </row>
    <row r="1596">
      <c r="A1596" s="21"/>
      <c r="B1596" s="21" t="s">
        <v>7839</v>
      </c>
      <c r="D1596" s="25">
        <v>20.0</v>
      </c>
      <c r="E1596" s="27"/>
      <c r="F1596" s="25">
        <v>0.0</v>
      </c>
      <c r="G1596" s="27"/>
    </row>
    <row r="1597">
      <c r="A1597" s="21"/>
      <c r="B1597" s="21" t="s">
        <v>7840</v>
      </c>
      <c r="D1597" s="25">
        <v>20.0</v>
      </c>
      <c r="E1597" s="27"/>
      <c r="F1597" s="25">
        <v>0.0</v>
      </c>
      <c r="G1597" s="27"/>
    </row>
    <row r="1598">
      <c r="A1598" s="21"/>
      <c r="B1598" s="21" t="s">
        <v>7841</v>
      </c>
      <c r="D1598" s="25">
        <v>20.0</v>
      </c>
      <c r="E1598" s="27"/>
      <c r="F1598" s="25">
        <v>6.1</v>
      </c>
      <c r="G1598" s="27"/>
    </row>
    <row r="1599">
      <c r="A1599" s="21"/>
      <c r="B1599" s="21" t="s">
        <v>7842</v>
      </c>
      <c r="D1599" s="25">
        <v>20.0</v>
      </c>
      <c r="E1599" s="27"/>
      <c r="F1599" s="25">
        <v>0.0</v>
      </c>
      <c r="G1599" s="27"/>
    </row>
    <row r="1600">
      <c r="A1600" s="21"/>
      <c r="B1600" s="21" t="s">
        <v>7843</v>
      </c>
      <c r="D1600" s="25">
        <v>20.0</v>
      </c>
      <c r="E1600" s="27"/>
      <c r="F1600" s="25">
        <v>0.0</v>
      </c>
      <c r="G1600" s="27"/>
    </row>
    <row r="1601">
      <c r="A1601" s="21"/>
      <c r="B1601" s="21" t="s">
        <v>7844</v>
      </c>
      <c r="D1601" s="25">
        <v>20.0</v>
      </c>
      <c r="E1601" s="27"/>
      <c r="F1601" s="25">
        <v>0.0</v>
      </c>
      <c r="G1601" s="27"/>
    </row>
    <row r="1602">
      <c r="A1602" s="21"/>
      <c r="B1602" s="21" t="s">
        <v>7845</v>
      </c>
      <c r="D1602" s="25">
        <v>20.0</v>
      </c>
      <c r="E1602" s="27"/>
      <c r="F1602" s="25">
        <v>0.0</v>
      </c>
      <c r="G1602" s="27"/>
    </row>
    <row r="1603">
      <c r="A1603" s="21"/>
      <c r="B1603" s="21" t="s">
        <v>7846</v>
      </c>
      <c r="D1603" s="25">
        <v>20.0</v>
      </c>
      <c r="E1603" s="27"/>
      <c r="F1603" s="25">
        <v>0.0</v>
      </c>
      <c r="G1603" s="27"/>
    </row>
    <row r="1604">
      <c r="A1604" s="21"/>
      <c r="B1604" s="21" t="s">
        <v>7847</v>
      </c>
      <c r="D1604" s="25">
        <v>20.0</v>
      </c>
      <c r="E1604" s="27"/>
      <c r="F1604" s="25">
        <v>0.0</v>
      </c>
      <c r="G1604" s="27"/>
    </row>
    <row r="1605">
      <c r="A1605" s="21"/>
      <c r="B1605" s="21" t="s">
        <v>47</v>
      </c>
      <c r="D1605" s="25">
        <v>20.0</v>
      </c>
      <c r="E1605" s="27"/>
      <c r="F1605" s="25">
        <v>0.0</v>
      </c>
      <c r="G1605" s="27"/>
    </row>
    <row r="1606">
      <c r="A1606" s="21"/>
      <c r="B1606" s="21" t="s">
        <v>7848</v>
      </c>
      <c r="D1606" s="25">
        <v>20.0</v>
      </c>
      <c r="E1606" s="27"/>
      <c r="F1606" s="25">
        <v>3.74</v>
      </c>
      <c r="G1606" s="27"/>
    </row>
    <row r="1607">
      <c r="A1607" s="21"/>
      <c r="B1607" s="21" t="s">
        <v>7849</v>
      </c>
      <c r="D1607" s="25">
        <v>20.0</v>
      </c>
      <c r="E1607" s="27"/>
      <c r="F1607" s="25">
        <v>5.67</v>
      </c>
      <c r="G1607" s="27"/>
    </row>
    <row r="1608">
      <c r="A1608" s="21"/>
      <c r="B1608" s="21" t="s">
        <v>7850</v>
      </c>
      <c r="D1608" s="25">
        <v>20.0</v>
      </c>
      <c r="E1608" s="27"/>
      <c r="F1608" s="25">
        <v>0.0</v>
      </c>
      <c r="G1608" s="27"/>
    </row>
    <row r="1609">
      <c r="A1609" s="21"/>
      <c r="B1609" s="21" t="s">
        <v>7851</v>
      </c>
      <c r="D1609" s="25">
        <v>20.0</v>
      </c>
      <c r="E1609" s="27"/>
      <c r="F1609" s="25">
        <v>4.2</v>
      </c>
      <c r="G1609" s="27"/>
    </row>
    <row r="1610">
      <c r="A1610" s="21"/>
      <c r="B1610" s="21" t="s">
        <v>7852</v>
      </c>
      <c r="D1610" s="25">
        <v>20.0</v>
      </c>
      <c r="E1610" s="27"/>
      <c r="F1610" s="25">
        <v>0.0</v>
      </c>
      <c r="G1610" s="27"/>
    </row>
    <row r="1611">
      <c r="A1611" s="21"/>
      <c r="B1611" s="21" t="s">
        <v>7853</v>
      </c>
      <c r="D1611" s="25">
        <v>20.0</v>
      </c>
      <c r="E1611" s="27"/>
      <c r="F1611" s="25">
        <v>0.0</v>
      </c>
      <c r="G1611" s="27"/>
    </row>
    <row r="1612">
      <c r="A1612" s="21"/>
      <c r="B1612" s="21" t="s">
        <v>7854</v>
      </c>
      <c r="D1612" s="25">
        <v>20.0</v>
      </c>
      <c r="E1612" s="27"/>
      <c r="F1612" s="25">
        <v>0.0</v>
      </c>
      <c r="G1612" s="27"/>
    </row>
    <row r="1613">
      <c r="A1613" s="21"/>
      <c r="B1613" s="21" t="s">
        <v>7855</v>
      </c>
      <c r="D1613" s="25">
        <v>20.0</v>
      </c>
      <c r="E1613" s="27"/>
      <c r="F1613" s="25">
        <v>0.0</v>
      </c>
      <c r="G1613" s="27"/>
    </row>
    <row r="1614">
      <c r="A1614" s="21"/>
      <c r="B1614" s="21" t="s">
        <v>7856</v>
      </c>
      <c r="D1614" s="25">
        <v>20.0</v>
      </c>
      <c r="E1614" s="27"/>
      <c r="F1614" s="25">
        <v>0.0</v>
      </c>
      <c r="G1614" s="27"/>
    </row>
    <row r="1615">
      <c r="A1615" s="21"/>
      <c r="B1615" s="21" t="s">
        <v>7857</v>
      </c>
      <c r="D1615" s="25">
        <v>20.0</v>
      </c>
      <c r="E1615" s="27"/>
      <c r="F1615" s="25">
        <v>0.0</v>
      </c>
      <c r="G1615" s="27"/>
    </row>
    <row r="1616">
      <c r="A1616" s="21"/>
      <c r="B1616" s="21" t="s">
        <v>7858</v>
      </c>
      <c r="D1616" s="25">
        <v>20.0</v>
      </c>
      <c r="E1616" s="27"/>
      <c r="F1616" s="25">
        <v>8.66</v>
      </c>
      <c r="G1616" s="27"/>
    </row>
    <row r="1617">
      <c r="A1617" s="21"/>
      <c r="B1617" s="21" t="s">
        <v>7859</v>
      </c>
      <c r="D1617" s="25">
        <v>20.0</v>
      </c>
      <c r="E1617" s="27"/>
      <c r="F1617" s="25">
        <v>0.0</v>
      </c>
      <c r="G1617" s="27"/>
    </row>
    <row r="1618">
      <c r="A1618" s="21"/>
      <c r="B1618" s="21" t="s">
        <v>5999</v>
      </c>
      <c r="D1618" s="25">
        <v>20.0</v>
      </c>
      <c r="E1618" s="27"/>
      <c r="F1618" s="25">
        <v>0.0</v>
      </c>
      <c r="G1618" s="27"/>
    </row>
    <row r="1619">
      <c r="A1619" s="21"/>
      <c r="B1619" s="21" t="s">
        <v>6000</v>
      </c>
      <c r="D1619" s="25">
        <v>20.0</v>
      </c>
      <c r="E1619" s="27"/>
      <c r="F1619" s="25">
        <v>0.0</v>
      </c>
      <c r="G1619" s="27"/>
    </row>
    <row r="1620">
      <c r="A1620" s="21"/>
      <c r="B1620" s="21" t="s">
        <v>7860</v>
      </c>
      <c r="D1620" s="25">
        <v>20.0</v>
      </c>
      <c r="E1620" s="27"/>
      <c r="F1620" s="25">
        <v>7.69</v>
      </c>
      <c r="G1620" s="27"/>
    </row>
    <row r="1621">
      <c r="A1621" s="21"/>
      <c r="B1621" s="21" t="s">
        <v>7861</v>
      </c>
      <c r="D1621" s="25">
        <v>20.0</v>
      </c>
      <c r="E1621" s="27"/>
      <c r="F1621" s="25">
        <v>5.31</v>
      </c>
      <c r="G1621" s="27"/>
    </row>
    <row r="1622">
      <c r="A1622" s="21"/>
      <c r="B1622" s="21" t="s">
        <v>7862</v>
      </c>
      <c r="D1622" s="25">
        <v>20.0</v>
      </c>
      <c r="E1622" s="27"/>
      <c r="F1622" s="25">
        <v>0.0</v>
      </c>
      <c r="G1622" s="27"/>
    </row>
    <row r="1623">
      <c r="A1623" s="21"/>
      <c r="B1623" s="21" t="s">
        <v>7863</v>
      </c>
      <c r="D1623" s="25">
        <v>20.0</v>
      </c>
      <c r="E1623" s="27"/>
      <c r="F1623" s="25">
        <v>0.0</v>
      </c>
      <c r="G1623" s="27"/>
    </row>
    <row r="1624">
      <c r="A1624" s="21"/>
      <c r="B1624" s="21" t="s">
        <v>7864</v>
      </c>
      <c r="D1624" s="25">
        <v>20.0</v>
      </c>
      <c r="E1624" s="27"/>
      <c r="F1624" s="25">
        <v>0.0</v>
      </c>
      <c r="G1624" s="27"/>
    </row>
    <row r="1625">
      <c r="A1625" s="21"/>
      <c r="B1625" s="21" t="s">
        <v>7865</v>
      </c>
      <c r="D1625" s="25">
        <v>20.0</v>
      </c>
      <c r="E1625" s="27"/>
      <c r="F1625" s="25">
        <v>0.0</v>
      </c>
      <c r="G1625" s="27"/>
    </row>
    <row r="1626">
      <c r="A1626" s="21"/>
      <c r="B1626" s="21" t="s">
        <v>7866</v>
      </c>
      <c r="D1626" s="25">
        <v>20.0</v>
      </c>
      <c r="E1626" s="27"/>
      <c r="F1626" s="25">
        <v>4.94</v>
      </c>
      <c r="G1626" s="27"/>
    </row>
    <row r="1627">
      <c r="A1627" s="21"/>
      <c r="B1627" s="21" t="s">
        <v>7867</v>
      </c>
      <c r="D1627" s="25">
        <v>20.0</v>
      </c>
      <c r="E1627" s="27"/>
      <c r="F1627" s="25">
        <v>0.0</v>
      </c>
      <c r="G1627" s="27"/>
    </row>
    <row r="1628">
      <c r="A1628" s="21"/>
      <c r="B1628" s="21" t="s">
        <v>7868</v>
      </c>
      <c r="D1628" s="25">
        <v>20.0</v>
      </c>
      <c r="E1628" s="27"/>
      <c r="F1628" s="25">
        <v>7.41</v>
      </c>
      <c r="G1628" s="27"/>
    </row>
    <row r="1629">
      <c r="A1629" s="21"/>
      <c r="B1629" s="21" t="s">
        <v>7869</v>
      </c>
      <c r="D1629" s="25">
        <v>20.0</v>
      </c>
      <c r="E1629" s="27"/>
      <c r="F1629" s="25">
        <v>18.9</v>
      </c>
      <c r="G1629" s="27"/>
    </row>
    <row r="1630">
      <c r="A1630" s="21"/>
      <c r="B1630" s="21" t="s">
        <v>7870</v>
      </c>
      <c r="D1630" s="25">
        <v>20.0</v>
      </c>
      <c r="E1630" s="27"/>
      <c r="F1630" s="25">
        <v>6.17</v>
      </c>
      <c r="G1630" s="27"/>
    </row>
    <row r="1631">
      <c r="A1631" s="21"/>
      <c r="B1631" s="21" t="s">
        <v>7871</v>
      </c>
      <c r="D1631" s="25">
        <v>20.0</v>
      </c>
      <c r="E1631" s="27"/>
      <c r="F1631" s="25">
        <v>0.0</v>
      </c>
      <c r="G1631" s="27"/>
    </row>
    <row r="1632">
      <c r="A1632" s="21"/>
      <c r="B1632" s="21" t="s">
        <v>7872</v>
      </c>
      <c r="D1632" s="25">
        <v>20.0</v>
      </c>
      <c r="E1632" s="27"/>
      <c r="F1632" s="25">
        <v>0.0</v>
      </c>
      <c r="G1632" s="27"/>
    </row>
    <row r="1633">
      <c r="A1633" s="21"/>
      <c r="B1633" s="21" t="s">
        <v>7873</v>
      </c>
      <c r="D1633" s="25">
        <v>20.0</v>
      </c>
      <c r="E1633" s="27"/>
      <c r="F1633" s="25">
        <v>0.0</v>
      </c>
      <c r="G1633" s="27"/>
    </row>
    <row r="1634">
      <c r="A1634" s="21"/>
      <c r="B1634" s="21" t="s">
        <v>7874</v>
      </c>
      <c r="D1634" s="25">
        <v>20.0</v>
      </c>
      <c r="E1634" s="27"/>
      <c r="F1634" s="25">
        <v>0.0</v>
      </c>
      <c r="G1634" s="27"/>
    </row>
    <row r="1635">
      <c r="A1635" s="21"/>
      <c r="B1635" s="21" t="s">
        <v>7875</v>
      </c>
      <c r="D1635" s="25">
        <v>20.0</v>
      </c>
      <c r="E1635" s="27"/>
      <c r="F1635" s="25">
        <v>0.0</v>
      </c>
      <c r="G1635" s="27"/>
    </row>
    <row r="1636">
      <c r="A1636" s="21"/>
      <c r="B1636" s="21" t="s">
        <v>7876</v>
      </c>
      <c r="D1636" s="25">
        <v>20.0</v>
      </c>
      <c r="E1636" s="27"/>
      <c r="F1636" s="25">
        <v>0.0</v>
      </c>
      <c r="G1636" s="27"/>
    </row>
    <row r="1637">
      <c r="A1637" s="21"/>
      <c r="B1637" s="21" t="s">
        <v>7877</v>
      </c>
      <c r="D1637" s="25">
        <v>20.0</v>
      </c>
      <c r="E1637" s="27"/>
      <c r="F1637" s="25">
        <v>0.0</v>
      </c>
      <c r="G1637" s="27"/>
    </row>
    <row r="1638">
      <c r="A1638" s="21"/>
      <c r="B1638" s="21" t="s">
        <v>7878</v>
      </c>
      <c r="D1638" s="25">
        <v>20.0</v>
      </c>
      <c r="E1638" s="27"/>
      <c r="F1638" s="25">
        <v>0.0</v>
      </c>
      <c r="G1638" s="27"/>
    </row>
    <row r="1639">
      <c r="A1639" s="21"/>
      <c r="B1639" s="21" t="s">
        <v>7879</v>
      </c>
      <c r="D1639" s="25">
        <v>20.0</v>
      </c>
      <c r="E1639" s="27"/>
      <c r="F1639" s="25">
        <v>0.0</v>
      </c>
      <c r="G1639" s="27"/>
    </row>
    <row r="1640">
      <c r="A1640" s="21"/>
      <c r="B1640" s="21" t="s">
        <v>7880</v>
      </c>
      <c r="D1640" s="25">
        <v>20.0</v>
      </c>
      <c r="E1640" s="27"/>
      <c r="F1640" s="25">
        <v>0.0</v>
      </c>
      <c r="G1640" s="27"/>
    </row>
    <row r="1641">
      <c r="A1641" s="21"/>
      <c r="B1641" s="21" t="s">
        <v>7881</v>
      </c>
      <c r="D1641" s="25">
        <v>20.0</v>
      </c>
      <c r="E1641" s="27"/>
      <c r="F1641" s="25">
        <v>0.0</v>
      </c>
      <c r="G1641" s="27"/>
    </row>
    <row r="1642">
      <c r="A1642" s="21"/>
      <c r="B1642" s="21" t="s">
        <v>7882</v>
      </c>
      <c r="D1642" s="25">
        <v>20.0</v>
      </c>
      <c r="E1642" s="27"/>
      <c r="F1642" s="25">
        <v>11.78</v>
      </c>
      <c r="G1642" s="27"/>
    </row>
    <row r="1643">
      <c r="A1643" s="21"/>
      <c r="B1643" s="21" t="s">
        <v>7883</v>
      </c>
      <c r="D1643" s="25">
        <v>20.0</v>
      </c>
      <c r="E1643" s="27"/>
      <c r="F1643" s="25">
        <v>10.84</v>
      </c>
      <c r="G1643" s="27"/>
    </row>
    <row r="1644">
      <c r="A1644" s="21"/>
      <c r="B1644" s="21" t="s">
        <v>7884</v>
      </c>
      <c r="D1644" s="25">
        <v>20.0</v>
      </c>
      <c r="E1644" s="27"/>
      <c r="F1644" s="25">
        <v>0.0</v>
      </c>
      <c r="G1644" s="27"/>
    </row>
    <row r="1645">
      <c r="A1645" s="21"/>
      <c r="B1645" s="21" t="s">
        <v>7885</v>
      </c>
      <c r="D1645" s="25">
        <v>20.0</v>
      </c>
      <c r="E1645" s="27"/>
      <c r="F1645" s="25">
        <v>0.0</v>
      </c>
      <c r="G1645" s="27"/>
    </row>
    <row r="1646">
      <c r="A1646" s="21"/>
      <c r="B1646" s="21" t="s">
        <v>7886</v>
      </c>
      <c r="D1646" s="25">
        <v>20.0</v>
      </c>
      <c r="E1646" s="27"/>
      <c r="F1646" s="25">
        <v>0.0</v>
      </c>
      <c r="G1646" s="27"/>
    </row>
    <row r="1647">
      <c r="A1647" s="21"/>
      <c r="B1647" s="21" t="s">
        <v>7887</v>
      </c>
      <c r="D1647" s="25">
        <v>20.0</v>
      </c>
      <c r="E1647" s="27"/>
      <c r="F1647" s="25">
        <v>5.23</v>
      </c>
      <c r="G1647" s="27"/>
    </row>
    <row r="1648">
      <c r="A1648" s="21"/>
      <c r="B1648" s="21" t="s">
        <v>7888</v>
      </c>
      <c r="D1648" s="25">
        <v>20.0</v>
      </c>
      <c r="E1648" s="27"/>
      <c r="F1648" s="25">
        <v>5.23</v>
      </c>
      <c r="G1648" s="27"/>
    </row>
    <row r="1649">
      <c r="A1649" s="21"/>
      <c r="B1649" s="21" t="s">
        <v>7889</v>
      </c>
      <c r="D1649" s="25">
        <v>20.0</v>
      </c>
      <c r="E1649" s="27"/>
      <c r="F1649" s="25">
        <v>9.34</v>
      </c>
      <c r="G1649" s="27"/>
    </row>
    <row r="1650">
      <c r="A1650" s="21"/>
      <c r="B1650" s="21" t="s">
        <v>7890</v>
      </c>
      <c r="D1650" s="25">
        <v>20.0</v>
      </c>
      <c r="E1650" s="27"/>
      <c r="F1650" s="25">
        <v>0.0</v>
      </c>
      <c r="G1650" s="27"/>
    </row>
    <row r="1651">
      <c r="A1651" s="21"/>
      <c r="B1651" s="21" t="s">
        <v>7891</v>
      </c>
      <c r="D1651" s="25">
        <v>20.0</v>
      </c>
      <c r="E1651" s="27"/>
      <c r="F1651" s="25">
        <v>0.0</v>
      </c>
      <c r="G1651" s="27"/>
    </row>
    <row r="1652">
      <c r="A1652" s="21"/>
      <c r="B1652" s="21" t="s">
        <v>7892</v>
      </c>
      <c r="D1652" s="25">
        <v>20.0</v>
      </c>
      <c r="E1652" s="27"/>
      <c r="F1652" s="25">
        <v>0.0</v>
      </c>
      <c r="G1652" s="27"/>
    </row>
    <row r="1653">
      <c r="A1653" s="21"/>
      <c r="B1653" s="21" t="s">
        <v>7893</v>
      </c>
      <c r="D1653" s="25">
        <v>20.0</v>
      </c>
      <c r="E1653" s="27"/>
      <c r="F1653" s="25">
        <v>0.0</v>
      </c>
      <c r="G1653" s="27"/>
    </row>
    <row r="1654">
      <c r="A1654" s="21"/>
      <c r="B1654" s="21" t="s">
        <v>7894</v>
      </c>
      <c r="D1654" s="25">
        <v>20.0</v>
      </c>
      <c r="E1654" s="27"/>
      <c r="F1654" s="25">
        <v>0.9</v>
      </c>
      <c r="G1654" s="27"/>
    </row>
    <row r="1655">
      <c r="A1655" s="21"/>
      <c r="B1655" s="21" t="s">
        <v>7895</v>
      </c>
      <c r="D1655" s="25">
        <v>20.0</v>
      </c>
      <c r="E1655" s="27"/>
      <c r="F1655" s="25">
        <v>0.0</v>
      </c>
      <c r="G1655" s="27"/>
    </row>
    <row r="1656">
      <c r="A1656" s="21"/>
      <c r="B1656" s="21" t="s">
        <v>7896</v>
      </c>
      <c r="D1656" s="25">
        <v>20.0</v>
      </c>
      <c r="E1656" s="27"/>
      <c r="F1656" s="25">
        <v>0.0</v>
      </c>
      <c r="G1656" s="27"/>
    </row>
    <row r="1657">
      <c r="A1657" s="21"/>
      <c r="B1657" s="21" t="s">
        <v>7897</v>
      </c>
      <c r="D1657" s="25">
        <v>20.0</v>
      </c>
      <c r="E1657" s="27"/>
      <c r="F1657" s="25">
        <v>4.73</v>
      </c>
      <c r="G1657" s="27"/>
    </row>
    <row r="1658">
      <c r="A1658" s="21"/>
      <c r="B1658" s="21" t="s">
        <v>7898</v>
      </c>
      <c r="D1658" s="25">
        <v>20.0</v>
      </c>
      <c r="E1658" s="27"/>
      <c r="F1658" s="25">
        <v>5.92</v>
      </c>
      <c r="G1658" s="27"/>
    </row>
    <row r="1659">
      <c r="A1659" s="21"/>
      <c r="B1659" s="21" t="s">
        <v>7899</v>
      </c>
      <c r="D1659" s="25">
        <v>20.0</v>
      </c>
      <c r="E1659" s="27"/>
      <c r="F1659" s="25">
        <v>0.0</v>
      </c>
      <c r="G1659" s="27"/>
    </row>
    <row r="1660">
      <c r="A1660" s="21"/>
      <c r="B1660" s="21" t="s">
        <v>7900</v>
      </c>
      <c r="D1660" s="25">
        <v>20.0</v>
      </c>
      <c r="E1660" s="27"/>
      <c r="F1660" s="25">
        <v>0.0</v>
      </c>
      <c r="G1660" s="27"/>
    </row>
    <row r="1661">
      <c r="A1661" s="21"/>
      <c r="B1661" s="21" t="s">
        <v>7901</v>
      </c>
      <c r="D1661" s="25">
        <v>20.0</v>
      </c>
      <c r="E1661" s="27"/>
      <c r="F1661" s="25">
        <v>4.17</v>
      </c>
      <c r="G1661" s="27"/>
    </row>
    <row r="1662">
      <c r="A1662" s="21"/>
      <c r="B1662" s="21" t="s">
        <v>7902</v>
      </c>
      <c r="D1662" s="25">
        <v>20.0</v>
      </c>
      <c r="E1662" s="27"/>
      <c r="F1662" s="25">
        <v>0.0</v>
      </c>
      <c r="G1662" s="27"/>
    </row>
    <row r="1663">
      <c r="A1663" s="21"/>
      <c r="B1663" s="21" t="s">
        <v>7903</v>
      </c>
      <c r="D1663" s="25">
        <v>20.0</v>
      </c>
      <c r="E1663" s="27"/>
      <c r="F1663" s="25">
        <v>0.53</v>
      </c>
      <c r="G1663" s="27"/>
    </row>
    <row r="1664">
      <c r="A1664" s="21"/>
      <c r="B1664" s="21" t="s">
        <v>7904</v>
      </c>
      <c r="D1664" s="25">
        <v>20.0</v>
      </c>
      <c r="E1664" s="27"/>
      <c r="F1664" s="25">
        <v>0.0</v>
      </c>
      <c r="G1664" s="27"/>
    </row>
    <row r="1665">
      <c r="A1665" s="21"/>
      <c r="B1665" s="21" t="s">
        <v>7905</v>
      </c>
      <c r="D1665" s="25">
        <v>20.0</v>
      </c>
      <c r="E1665" s="27"/>
      <c r="F1665" s="25">
        <v>0.0</v>
      </c>
      <c r="G1665" s="27"/>
    </row>
    <row r="1666">
      <c r="A1666" s="21"/>
      <c r="B1666" s="21" t="s">
        <v>7906</v>
      </c>
      <c r="D1666" s="25">
        <v>20.0</v>
      </c>
      <c r="E1666" s="27"/>
      <c r="F1666" s="25">
        <v>0.0</v>
      </c>
      <c r="G1666" s="27"/>
    </row>
    <row r="1667">
      <c r="A1667" s="21"/>
      <c r="B1667" s="21" t="s">
        <v>7907</v>
      </c>
      <c r="D1667" s="25">
        <v>20.0</v>
      </c>
      <c r="E1667" s="27"/>
      <c r="F1667" s="25">
        <v>4.38</v>
      </c>
      <c r="G1667" s="27"/>
    </row>
    <row r="1668">
      <c r="A1668" s="21"/>
      <c r="B1668" s="21" t="s">
        <v>7908</v>
      </c>
      <c r="D1668" s="25">
        <v>20.0</v>
      </c>
      <c r="E1668" s="27"/>
      <c r="F1668" s="25">
        <v>3.74</v>
      </c>
      <c r="G1668" s="27"/>
    </row>
    <row r="1669">
      <c r="A1669" s="21"/>
      <c r="B1669" s="21" t="s">
        <v>7909</v>
      </c>
      <c r="D1669" s="25">
        <v>20.0</v>
      </c>
      <c r="E1669" s="27"/>
      <c r="F1669" s="25">
        <v>6.34</v>
      </c>
      <c r="G1669" s="27"/>
    </row>
    <row r="1670">
      <c r="A1670" s="21"/>
      <c r="B1670" s="21" t="s">
        <v>7910</v>
      </c>
      <c r="D1670" s="25">
        <v>20.0</v>
      </c>
      <c r="E1670" s="27"/>
      <c r="F1670" s="25">
        <v>0.0</v>
      </c>
      <c r="G1670" s="27"/>
    </row>
    <row r="1671">
      <c r="A1671" s="21"/>
      <c r="B1671" s="21" t="s">
        <v>7911</v>
      </c>
      <c r="D1671" s="25">
        <v>20.0</v>
      </c>
      <c r="E1671" s="27"/>
      <c r="F1671" s="25">
        <v>2.81</v>
      </c>
      <c r="G1671" s="27"/>
    </row>
    <row r="1672">
      <c r="A1672" s="21"/>
      <c r="B1672" s="21" t="s">
        <v>7912</v>
      </c>
      <c r="D1672" s="25">
        <v>20.0</v>
      </c>
      <c r="E1672" s="27"/>
      <c r="F1672" s="25">
        <v>0.76</v>
      </c>
      <c r="G1672" s="27"/>
    </row>
    <row r="1673">
      <c r="A1673" s="21"/>
      <c r="B1673" s="21" t="s">
        <v>7913</v>
      </c>
      <c r="D1673" s="25">
        <v>20.0</v>
      </c>
      <c r="E1673" s="27"/>
      <c r="F1673" s="25">
        <v>0.0</v>
      </c>
      <c r="G1673" s="27"/>
    </row>
    <row r="1674">
      <c r="A1674" s="21"/>
      <c r="B1674" s="21" t="s">
        <v>7914</v>
      </c>
      <c r="D1674" s="25">
        <v>20.0</v>
      </c>
      <c r="E1674" s="27"/>
      <c r="F1674" s="25">
        <v>0.0</v>
      </c>
      <c r="G1674" s="27"/>
    </row>
    <row r="1675">
      <c r="A1675" s="21"/>
      <c r="B1675" s="21" t="s">
        <v>7915</v>
      </c>
      <c r="D1675" s="25">
        <v>20.0</v>
      </c>
      <c r="E1675" s="27"/>
      <c r="F1675" s="25">
        <v>4.2</v>
      </c>
      <c r="G1675" s="27"/>
    </row>
    <row r="1676">
      <c r="A1676" s="21"/>
      <c r="B1676" s="21" t="s">
        <v>7916</v>
      </c>
      <c r="D1676" s="25">
        <v>20.0</v>
      </c>
      <c r="E1676" s="27"/>
      <c r="F1676" s="25">
        <v>0.0</v>
      </c>
      <c r="G1676" s="27"/>
    </row>
    <row r="1677">
      <c r="A1677" s="21"/>
      <c r="B1677" s="21" t="s">
        <v>7917</v>
      </c>
      <c r="D1677" s="25">
        <v>20.0</v>
      </c>
      <c r="E1677" s="27"/>
      <c r="F1677" s="25">
        <v>0.0</v>
      </c>
      <c r="G1677" s="27"/>
    </row>
    <row r="1678">
      <c r="A1678" s="21"/>
      <c r="B1678" s="21" t="s">
        <v>7918</v>
      </c>
      <c r="D1678" s="25">
        <v>20.0</v>
      </c>
      <c r="E1678" s="27"/>
      <c r="F1678" s="25">
        <v>0.0</v>
      </c>
      <c r="G1678" s="27"/>
    </row>
    <row r="1679">
      <c r="A1679" s="21"/>
      <c r="B1679" s="21" t="s">
        <v>7919</v>
      </c>
      <c r="D1679" s="25">
        <v>20.0</v>
      </c>
      <c r="E1679" s="27"/>
      <c r="F1679" s="25">
        <v>0.83</v>
      </c>
      <c r="G1679" s="27"/>
    </row>
    <row r="1680">
      <c r="A1680" s="21"/>
      <c r="B1680" s="21" t="s">
        <v>7920</v>
      </c>
      <c r="D1680" s="25">
        <v>20.0</v>
      </c>
      <c r="E1680" s="27"/>
      <c r="F1680" s="25">
        <v>0.0</v>
      </c>
      <c r="G1680" s="27"/>
    </row>
    <row r="1681">
      <c r="A1681" s="21"/>
      <c r="B1681" s="21" t="s">
        <v>7921</v>
      </c>
      <c r="D1681" s="25">
        <v>20.0</v>
      </c>
      <c r="E1681" s="27"/>
      <c r="F1681" s="25">
        <v>0.0</v>
      </c>
      <c r="G1681" s="27"/>
    </row>
    <row r="1682">
      <c r="A1682" s="21"/>
      <c r="B1682" s="21" t="s">
        <v>7922</v>
      </c>
      <c r="D1682" s="25">
        <v>20.0</v>
      </c>
      <c r="E1682" s="27"/>
      <c r="F1682" s="25">
        <v>6.82</v>
      </c>
      <c r="G1682" s="27"/>
    </row>
    <row r="1683">
      <c r="A1683" s="21"/>
      <c r="B1683" s="21" t="s">
        <v>7923</v>
      </c>
      <c r="D1683" s="25">
        <v>20.0</v>
      </c>
      <c r="E1683" s="27"/>
      <c r="F1683" s="25">
        <v>1.73</v>
      </c>
      <c r="G1683" s="27"/>
    </row>
    <row r="1684">
      <c r="A1684" s="21"/>
      <c r="B1684" s="21" t="s">
        <v>7924</v>
      </c>
      <c r="D1684" s="25">
        <v>20.0</v>
      </c>
      <c r="E1684" s="27"/>
      <c r="F1684" s="25">
        <v>0.0</v>
      </c>
      <c r="G1684" s="27"/>
    </row>
    <row r="1685">
      <c r="A1685" s="21"/>
      <c r="B1685" s="21" t="s">
        <v>7925</v>
      </c>
      <c r="D1685" s="25">
        <v>20.0</v>
      </c>
      <c r="E1685" s="27"/>
      <c r="F1685" s="25">
        <v>0.67</v>
      </c>
      <c r="G1685" s="27"/>
    </row>
    <row r="1686">
      <c r="A1686" s="21"/>
      <c r="B1686" s="21" t="s">
        <v>7926</v>
      </c>
      <c r="D1686" s="25">
        <v>20.0</v>
      </c>
      <c r="E1686" s="27"/>
      <c r="F1686" s="25">
        <v>0.0</v>
      </c>
      <c r="G1686" s="27"/>
    </row>
    <row r="1687">
      <c r="A1687" s="21"/>
      <c r="B1687" s="21" t="s">
        <v>7927</v>
      </c>
      <c r="D1687" s="25">
        <v>20.0</v>
      </c>
      <c r="E1687" s="27"/>
      <c r="F1687" s="25">
        <v>6.94</v>
      </c>
      <c r="G1687" s="27"/>
    </row>
    <row r="1688">
      <c r="A1688" s="21"/>
      <c r="B1688" s="21" t="s">
        <v>7928</v>
      </c>
      <c r="D1688" s="25">
        <v>20.0</v>
      </c>
      <c r="E1688" s="27"/>
      <c r="F1688" s="25">
        <v>0.0</v>
      </c>
      <c r="G1688" s="27"/>
    </row>
    <row r="1689">
      <c r="A1689" s="21"/>
      <c r="B1689" s="21" t="s">
        <v>7929</v>
      </c>
      <c r="D1689" s="25">
        <v>20.0</v>
      </c>
      <c r="E1689" s="27"/>
      <c r="F1689" s="25">
        <v>10.84</v>
      </c>
      <c r="G1689" s="27"/>
    </row>
    <row r="1690">
      <c r="A1690" s="21"/>
      <c r="B1690" s="21" t="s">
        <v>7930</v>
      </c>
      <c r="D1690" s="25">
        <v>20.0</v>
      </c>
      <c r="E1690" s="27"/>
      <c r="F1690" s="25">
        <v>0.0</v>
      </c>
      <c r="G1690" s="27"/>
    </row>
    <row r="1691">
      <c r="A1691" s="21"/>
      <c r="B1691" s="21" t="s">
        <v>7931</v>
      </c>
      <c r="D1691" s="25">
        <v>20.0</v>
      </c>
      <c r="E1691" s="27"/>
      <c r="F1691" s="25">
        <v>0.0</v>
      </c>
      <c r="G1691" s="27"/>
    </row>
    <row r="1692">
      <c r="A1692" s="21"/>
      <c r="B1692" s="21" t="s">
        <v>7932</v>
      </c>
      <c r="D1692" s="25">
        <v>20.0</v>
      </c>
      <c r="E1692" s="27"/>
      <c r="F1692" s="25">
        <v>5.41</v>
      </c>
      <c r="G1692" s="27"/>
    </row>
    <row r="1693">
      <c r="A1693" s="21"/>
      <c r="B1693" s="21" t="s">
        <v>7933</v>
      </c>
      <c r="D1693" s="25">
        <v>20.0</v>
      </c>
      <c r="E1693" s="27"/>
      <c r="F1693" s="25">
        <v>0.0</v>
      </c>
      <c r="G1693" s="27"/>
    </row>
    <row r="1694">
      <c r="A1694" s="21"/>
      <c r="B1694" s="21" t="s">
        <v>7934</v>
      </c>
      <c r="D1694" s="25">
        <v>20.0</v>
      </c>
      <c r="E1694" s="27"/>
      <c r="F1694" s="25">
        <v>0.0</v>
      </c>
      <c r="G1694" s="27"/>
    </row>
    <row r="1695">
      <c r="A1695" s="21"/>
      <c r="B1695" s="21" t="s">
        <v>7935</v>
      </c>
      <c r="D1695" s="25">
        <v>20.0</v>
      </c>
      <c r="E1695" s="27"/>
      <c r="F1695" s="25">
        <v>0.0</v>
      </c>
      <c r="G1695" s="27"/>
    </row>
    <row r="1696">
      <c r="A1696" s="21"/>
      <c r="B1696" s="21" t="s">
        <v>7936</v>
      </c>
      <c r="D1696" s="25">
        <v>20.0</v>
      </c>
      <c r="E1696" s="27"/>
      <c r="F1696" s="25">
        <v>3.41</v>
      </c>
      <c r="G1696" s="27"/>
    </row>
    <row r="1697">
      <c r="A1697" s="21"/>
      <c r="B1697" s="21" t="s">
        <v>7937</v>
      </c>
      <c r="D1697" s="25">
        <v>20.0</v>
      </c>
      <c r="E1697" s="27"/>
      <c r="F1697" s="25">
        <v>0.0</v>
      </c>
      <c r="G1697" s="27"/>
    </row>
    <row r="1698">
      <c r="A1698" s="21"/>
      <c r="B1698" s="21" t="s">
        <v>7938</v>
      </c>
      <c r="D1698" s="25">
        <v>20.0</v>
      </c>
      <c r="E1698" s="27"/>
      <c r="F1698" s="25">
        <v>4.31</v>
      </c>
      <c r="G1698" s="27"/>
    </row>
    <row r="1699">
      <c r="A1699" s="21"/>
      <c r="B1699" s="21" t="s">
        <v>7939</v>
      </c>
      <c r="D1699" s="25">
        <v>20.0</v>
      </c>
      <c r="E1699" s="27"/>
      <c r="F1699" s="25">
        <v>4.31</v>
      </c>
      <c r="G1699" s="27"/>
    </row>
    <row r="1700">
      <c r="A1700" s="21"/>
      <c r="B1700" s="21" t="s">
        <v>7940</v>
      </c>
      <c r="D1700" s="25">
        <v>20.0</v>
      </c>
      <c r="E1700" s="27"/>
      <c r="F1700" s="25">
        <v>5.18</v>
      </c>
      <c r="G1700" s="27"/>
    </row>
    <row r="1701">
      <c r="A1701" s="21"/>
      <c r="B1701" s="21" t="s">
        <v>7941</v>
      </c>
      <c r="D1701" s="25">
        <v>20.0</v>
      </c>
      <c r="E1701" s="27"/>
      <c r="F1701" s="25">
        <v>0.0</v>
      </c>
      <c r="G1701" s="27"/>
    </row>
    <row r="1702">
      <c r="A1702" s="21"/>
      <c r="B1702" s="21" t="s">
        <v>7942</v>
      </c>
      <c r="D1702" s="25">
        <v>20.0</v>
      </c>
      <c r="E1702" s="27"/>
      <c r="F1702" s="25">
        <v>0.0</v>
      </c>
      <c r="G1702" s="27"/>
    </row>
    <row r="1703">
      <c r="A1703" s="21"/>
      <c r="B1703" s="21" t="s">
        <v>7943</v>
      </c>
      <c r="D1703" s="25">
        <v>20.0</v>
      </c>
      <c r="E1703" s="27"/>
      <c r="F1703" s="25">
        <v>0.0</v>
      </c>
      <c r="G1703" s="27"/>
    </row>
    <row r="1704">
      <c r="A1704" s="21"/>
      <c r="B1704" s="21" t="s">
        <v>7944</v>
      </c>
      <c r="D1704" s="25">
        <v>20.0</v>
      </c>
      <c r="E1704" s="27"/>
      <c r="F1704" s="25">
        <v>0.0</v>
      </c>
      <c r="G1704" s="27"/>
    </row>
    <row r="1705">
      <c r="A1705" s="21"/>
      <c r="B1705" s="21" t="s">
        <v>7945</v>
      </c>
      <c r="D1705" s="25">
        <v>20.0</v>
      </c>
      <c r="E1705" s="27"/>
      <c r="F1705" s="25">
        <v>0.0</v>
      </c>
      <c r="G1705" s="27"/>
    </row>
    <row r="1706">
      <c r="A1706" s="21"/>
      <c r="B1706" s="21" t="s">
        <v>7946</v>
      </c>
      <c r="D1706" s="25">
        <v>20.0</v>
      </c>
      <c r="E1706" s="27"/>
      <c r="F1706" s="25">
        <v>0.47</v>
      </c>
      <c r="G1706" s="27"/>
    </row>
    <row r="1707">
      <c r="A1707" s="21"/>
      <c r="B1707" s="21" t="s">
        <v>7947</v>
      </c>
      <c r="D1707" s="25">
        <v>20.0</v>
      </c>
      <c r="E1707" s="27"/>
      <c r="F1707" s="25">
        <v>0.0</v>
      </c>
      <c r="G1707" s="27"/>
    </row>
    <row r="1708">
      <c r="A1708" s="21"/>
      <c r="B1708" s="21" t="s">
        <v>7948</v>
      </c>
      <c r="D1708" s="25">
        <v>20.0</v>
      </c>
      <c r="E1708" s="27"/>
      <c r="F1708" s="25">
        <v>0.0</v>
      </c>
      <c r="G1708" s="27"/>
    </row>
    <row r="1709">
      <c r="A1709" s="21"/>
      <c r="B1709" s="21" t="s">
        <v>7949</v>
      </c>
      <c r="D1709" s="25">
        <v>20.0</v>
      </c>
      <c r="E1709" s="27"/>
      <c r="F1709" s="25">
        <v>0.0</v>
      </c>
      <c r="G1709" s="27"/>
    </row>
    <row r="1710">
      <c r="A1710" s="21"/>
      <c r="B1710" s="21" t="s">
        <v>7950</v>
      </c>
      <c r="D1710" s="25">
        <v>20.0</v>
      </c>
      <c r="E1710" s="27"/>
      <c r="F1710" s="25">
        <v>0.0</v>
      </c>
      <c r="G1710" s="27"/>
    </row>
    <row r="1711">
      <c r="A1711" s="21"/>
      <c r="B1711" s="21" t="s">
        <v>7951</v>
      </c>
      <c r="D1711" s="25">
        <v>20.0</v>
      </c>
      <c r="E1711" s="27"/>
      <c r="F1711" s="25">
        <v>0.0</v>
      </c>
      <c r="G1711" s="27"/>
    </row>
    <row r="1712">
      <c r="A1712" s="21"/>
      <c r="B1712" s="21" t="s">
        <v>7952</v>
      </c>
      <c r="D1712" s="25">
        <v>20.0</v>
      </c>
      <c r="E1712" s="27"/>
      <c r="F1712" s="25">
        <v>0.0</v>
      </c>
      <c r="G1712" s="27"/>
    </row>
    <row r="1713">
      <c r="A1713" s="21"/>
      <c r="B1713" s="21" t="s">
        <v>7953</v>
      </c>
      <c r="D1713" s="25">
        <v>20.0</v>
      </c>
      <c r="E1713" s="27"/>
      <c r="F1713" s="25">
        <v>0.0</v>
      </c>
      <c r="G1713" s="27"/>
    </row>
    <row r="1714">
      <c r="A1714" s="21"/>
      <c r="B1714" s="21" t="s">
        <v>7954</v>
      </c>
      <c r="D1714" s="25">
        <v>20.0</v>
      </c>
      <c r="E1714" s="27"/>
      <c r="F1714" s="25">
        <v>0.0</v>
      </c>
      <c r="G1714" s="27"/>
    </row>
    <row r="1715">
      <c r="A1715" s="21"/>
      <c r="B1715" s="21" t="s">
        <v>7955</v>
      </c>
      <c r="D1715" s="25">
        <v>20.0</v>
      </c>
      <c r="E1715" s="27"/>
      <c r="F1715" s="25">
        <v>0.0</v>
      </c>
      <c r="G1715" s="27"/>
    </row>
    <row r="1716">
      <c r="A1716" s="21"/>
      <c r="B1716" s="21" t="s">
        <v>7956</v>
      </c>
      <c r="D1716" s="25">
        <v>20.0</v>
      </c>
      <c r="E1716" s="27"/>
      <c r="F1716" s="25">
        <v>0.0</v>
      </c>
      <c r="G1716" s="27"/>
    </row>
    <row r="1717">
      <c r="A1717" s="21"/>
      <c r="B1717" s="21" t="s">
        <v>7957</v>
      </c>
      <c r="D1717" s="25">
        <v>20.0</v>
      </c>
      <c r="E1717" s="27"/>
      <c r="F1717" s="25">
        <v>0.0</v>
      </c>
      <c r="G1717" s="27"/>
    </row>
    <row r="1718">
      <c r="A1718" s="21"/>
      <c r="B1718" s="21" t="s">
        <v>7958</v>
      </c>
      <c r="D1718" s="25">
        <v>20.0</v>
      </c>
      <c r="E1718" s="27"/>
      <c r="F1718" s="25">
        <v>0.0</v>
      </c>
      <c r="G1718" s="27"/>
    </row>
    <row r="1719">
      <c r="A1719" s="21"/>
      <c r="B1719" s="21" t="s">
        <v>7959</v>
      </c>
      <c r="D1719" s="25">
        <v>20.0</v>
      </c>
      <c r="E1719" s="27"/>
      <c r="F1719" s="25">
        <v>4.03</v>
      </c>
      <c r="G1719" s="27"/>
    </row>
    <row r="1720">
      <c r="A1720" s="21"/>
      <c r="B1720" s="21" t="s">
        <v>7960</v>
      </c>
      <c r="D1720" s="25">
        <v>20.0</v>
      </c>
      <c r="E1720" s="27"/>
      <c r="F1720" s="25">
        <v>4.63</v>
      </c>
      <c r="G1720" s="27"/>
    </row>
    <row r="1721">
      <c r="A1721" s="21"/>
      <c r="B1721" s="21" t="s">
        <v>7961</v>
      </c>
      <c r="D1721" s="25">
        <v>20.0</v>
      </c>
      <c r="E1721" s="27"/>
      <c r="F1721" s="25">
        <v>2.46</v>
      </c>
      <c r="G1721" s="27"/>
    </row>
    <row r="1722">
      <c r="A1722" s="21"/>
      <c r="B1722" s="21" t="s">
        <v>565</v>
      </c>
      <c r="D1722" s="25">
        <v>20.0</v>
      </c>
      <c r="E1722" s="27"/>
      <c r="F1722" s="25">
        <v>0.0</v>
      </c>
      <c r="G1722" s="27"/>
    </row>
    <row r="1723">
      <c r="A1723" s="21"/>
      <c r="B1723" s="21" t="s">
        <v>566</v>
      </c>
      <c r="D1723" s="25">
        <v>20.0</v>
      </c>
      <c r="E1723" s="27"/>
      <c r="F1723" s="25">
        <v>0.0</v>
      </c>
      <c r="G1723" s="27"/>
    </row>
    <row r="1724">
      <c r="A1724" s="21"/>
      <c r="B1724" s="21" t="s">
        <v>567</v>
      </c>
      <c r="D1724" s="25">
        <v>20.0</v>
      </c>
      <c r="E1724" s="27"/>
      <c r="F1724" s="25">
        <v>0.0</v>
      </c>
      <c r="G1724" s="27"/>
    </row>
    <row r="1725">
      <c r="A1725" s="21"/>
      <c r="B1725" s="21" t="s">
        <v>568</v>
      </c>
      <c r="D1725" s="25">
        <v>20.0</v>
      </c>
      <c r="E1725" s="27"/>
      <c r="F1725" s="25">
        <v>0.0</v>
      </c>
      <c r="G1725" s="27"/>
    </row>
    <row r="1726">
      <c r="A1726" s="21"/>
      <c r="B1726" s="21" t="s">
        <v>7962</v>
      </c>
      <c r="D1726" s="25">
        <v>20.0</v>
      </c>
      <c r="E1726" s="27"/>
      <c r="F1726" s="25">
        <v>0.44</v>
      </c>
      <c r="G1726" s="27"/>
    </row>
    <row r="1727">
      <c r="A1727" s="21"/>
      <c r="B1727" s="21" t="s">
        <v>7963</v>
      </c>
      <c r="D1727" s="25">
        <v>20.0</v>
      </c>
      <c r="E1727" s="27"/>
      <c r="F1727" s="25">
        <v>0.0</v>
      </c>
      <c r="G1727" s="27"/>
    </row>
    <row r="1728">
      <c r="A1728" s="21"/>
      <c r="B1728" s="21" t="s">
        <v>7964</v>
      </c>
      <c r="D1728" s="25">
        <v>20.0</v>
      </c>
      <c r="E1728" s="27"/>
      <c r="F1728" s="25">
        <v>0.0</v>
      </c>
      <c r="G1728" s="27"/>
    </row>
    <row r="1729">
      <c r="A1729" s="21"/>
      <c r="B1729" s="21" t="s">
        <v>7965</v>
      </c>
      <c r="D1729" s="25">
        <v>20.0</v>
      </c>
      <c r="E1729" s="27"/>
      <c r="F1729" s="25">
        <v>4.67</v>
      </c>
      <c r="G1729" s="27"/>
    </row>
    <row r="1730">
      <c r="A1730" s="21"/>
      <c r="B1730" s="21" t="s">
        <v>7966</v>
      </c>
      <c r="D1730" s="25">
        <v>20.0</v>
      </c>
      <c r="E1730" s="27"/>
      <c r="F1730" s="25">
        <v>4.82</v>
      </c>
      <c r="G1730" s="27"/>
    </row>
    <row r="1731">
      <c r="A1731" s="21"/>
      <c r="B1731" s="21" t="s">
        <v>7967</v>
      </c>
      <c r="D1731" s="25">
        <v>20.0</v>
      </c>
      <c r="E1731" s="27"/>
      <c r="F1731" s="25">
        <v>6.97</v>
      </c>
      <c r="G1731" s="27"/>
    </row>
    <row r="1732">
      <c r="A1732" s="21"/>
      <c r="B1732" s="21" t="s">
        <v>7968</v>
      </c>
      <c r="D1732" s="25">
        <v>20.0</v>
      </c>
      <c r="E1732" s="27"/>
      <c r="F1732" s="25">
        <v>3.95</v>
      </c>
      <c r="G1732" s="27"/>
    </row>
    <row r="1733">
      <c r="A1733" s="21"/>
      <c r="B1733" s="21" t="s">
        <v>7969</v>
      </c>
      <c r="D1733" s="25">
        <v>20.0</v>
      </c>
      <c r="E1733" s="27"/>
      <c r="F1733" s="25">
        <v>0.0</v>
      </c>
      <c r="G1733" s="27"/>
    </row>
    <row r="1734">
      <c r="A1734" s="21"/>
      <c r="B1734" s="21" t="s">
        <v>7970</v>
      </c>
      <c r="D1734" s="25">
        <v>20.0</v>
      </c>
      <c r="E1734" s="27"/>
      <c r="F1734" s="25">
        <v>6.66</v>
      </c>
      <c r="G1734" s="27"/>
    </row>
    <row r="1735">
      <c r="A1735" s="21"/>
      <c r="B1735" s="21" t="s">
        <v>7971</v>
      </c>
      <c r="D1735" s="25">
        <v>20.0</v>
      </c>
      <c r="E1735" s="27"/>
      <c r="F1735" s="25">
        <v>6.23</v>
      </c>
      <c r="G1735" s="27"/>
    </row>
    <row r="1736">
      <c r="A1736" s="21"/>
      <c r="B1736" s="21" t="s">
        <v>7972</v>
      </c>
      <c r="D1736" s="25">
        <v>20.0</v>
      </c>
      <c r="E1736" s="27"/>
      <c r="F1736" s="25">
        <v>3.28</v>
      </c>
      <c r="G1736" s="27"/>
    </row>
    <row r="1737">
      <c r="A1737" s="21"/>
      <c r="B1737" s="21" t="s">
        <v>7973</v>
      </c>
      <c r="D1737" s="25">
        <v>20.0</v>
      </c>
      <c r="E1737" s="27"/>
      <c r="F1737" s="25">
        <v>5.48</v>
      </c>
      <c r="G1737" s="27"/>
    </row>
    <row r="1738">
      <c r="A1738" s="21"/>
      <c r="B1738" s="21" t="s">
        <v>7974</v>
      </c>
      <c r="C1738" s="27"/>
      <c r="D1738" s="25">
        <v>10.0</v>
      </c>
      <c r="E1738" s="27"/>
      <c r="F1738" s="25">
        <v>0.0</v>
      </c>
      <c r="G1738" s="27"/>
    </row>
    <row r="1739">
      <c r="A1739" s="21"/>
      <c r="B1739" s="21" t="s">
        <v>7975</v>
      </c>
      <c r="C1739" s="27"/>
      <c r="D1739" s="25">
        <v>10.0</v>
      </c>
      <c r="E1739" s="27"/>
      <c r="F1739" s="25">
        <v>2.85</v>
      </c>
      <c r="G1739" s="27"/>
    </row>
    <row r="1740">
      <c r="A1740" s="21"/>
      <c r="B1740" s="21" t="s">
        <v>7976</v>
      </c>
      <c r="D1740" s="25">
        <v>10.0</v>
      </c>
      <c r="E1740" s="27"/>
      <c r="F1740" s="25">
        <v>0.0</v>
      </c>
      <c r="G1740" s="27"/>
    </row>
    <row r="1741">
      <c r="A1741" s="21"/>
      <c r="B1741" s="21" t="s">
        <v>7977</v>
      </c>
      <c r="D1741" s="25">
        <v>10.0</v>
      </c>
      <c r="E1741" s="27"/>
      <c r="F1741" s="25">
        <v>0.0</v>
      </c>
      <c r="G1741" s="27"/>
    </row>
    <row r="1742">
      <c r="A1742" s="21"/>
      <c r="B1742" s="21" t="s">
        <v>7978</v>
      </c>
      <c r="D1742" s="25">
        <v>10.0</v>
      </c>
      <c r="E1742" s="27"/>
      <c r="F1742" s="25">
        <v>0.0</v>
      </c>
      <c r="G1742" s="27"/>
    </row>
    <row r="1743">
      <c r="A1743" s="21"/>
      <c r="B1743" s="21" t="s">
        <v>7979</v>
      </c>
      <c r="D1743" s="25">
        <v>10.0</v>
      </c>
      <c r="E1743" s="27"/>
      <c r="F1743" s="25">
        <v>0.0</v>
      </c>
      <c r="G1743" s="27"/>
    </row>
    <row r="1744">
      <c r="A1744" s="21"/>
      <c r="B1744" s="21" t="s">
        <v>7980</v>
      </c>
      <c r="D1744" s="25">
        <v>10.0</v>
      </c>
      <c r="E1744" s="27"/>
      <c r="F1744" s="25">
        <v>0.0</v>
      </c>
      <c r="G1744" s="27"/>
    </row>
    <row r="1745">
      <c r="A1745" s="21"/>
      <c r="B1745" s="21" t="s">
        <v>7981</v>
      </c>
      <c r="D1745" s="25">
        <v>10.0</v>
      </c>
      <c r="E1745" s="27"/>
      <c r="F1745" s="25">
        <v>0.0</v>
      </c>
      <c r="G1745" s="27"/>
    </row>
    <row r="1746">
      <c r="A1746" s="21"/>
      <c r="B1746" s="21" t="s">
        <v>7982</v>
      </c>
      <c r="D1746" s="25">
        <v>10.0</v>
      </c>
      <c r="E1746" s="27"/>
      <c r="F1746" s="25">
        <v>0.0</v>
      </c>
      <c r="G1746" s="27"/>
    </row>
    <row r="1747">
      <c r="A1747" s="21"/>
      <c r="B1747" s="21" t="s">
        <v>7983</v>
      </c>
      <c r="D1747" s="25">
        <v>10.0</v>
      </c>
      <c r="E1747" s="27"/>
      <c r="F1747" s="25">
        <v>0.0</v>
      </c>
      <c r="G1747" s="27"/>
    </row>
    <row r="1748">
      <c r="A1748" s="21"/>
      <c r="B1748" s="21" t="s">
        <v>7984</v>
      </c>
      <c r="D1748" s="25">
        <v>10.0</v>
      </c>
      <c r="E1748" s="27"/>
      <c r="F1748" s="25">
        <v>6.65</v>
      </c>
      <c r="G1748" s="27"/>
    </row>
    <row r="1749">
      <c r="A1749" s="21"/>
      <c r="B1749" s="21" t="s">
        <v>7985</v>
      </c>
      <c r="D1749" s="25">
        <v>10.0</v>
      </c>
      <c r="E1749" s="27"/>
      <c r="F1749" s="25">
        <v>3.67</v>
      </c>
      <c r="G1749" s="27"/>
    </row>
    <row r="1750">
      <c r="A1750" s="21"/>
      <c r="B1750" s="21" t="s">
        <v>7986</v>
      </c>
      <c r="D1750" s="25">
        <v>10.0</v>
      </c>
      <c r="E1750" s="27"/>
      <c r="F1750" s="25">
        <v>0.0</v>
      </c>
      <c r="G1750" s="27"/>
    </row>
    <row r="1751">
      <c r="A1751" s="21"/>
      <c r="B1751" s="21" t="s">
        <v>7987</v>
      </c>
      <c r="D1751" s="25">
        <v>10.0</v>
      </c>
      <c r="E1751" s="27"/>
      <c r="F1751" s="25">
        <v>0.0</v>
      </c>
      <c r="G1751" s="27"/>
    </row>
    <row r="1752">
      <c r="A1752" s="21"/>
      <c r="B1752" s="21" t="s">
        <v>7988</v>
      </c>
      <c r="D1752" s="25">
        <v>10.0</v>
      </c>
      <c r="E1752" s="27"/>
      <c r="F1752" s="25">
        <v>0.0</v>
      </c>
      <c r="G1752" s="27"/>
    </row>
    <row r="1753">
      <c r="A1753" s="21"/>
      <c r="B1753" s="21" t="s">
        <v>7989</v>
      </c>
      <c r="D1753" s="25">
        <v>10.0</v>
      </c>
      <c r="E1753" s="27"/>
      <c r="F1753" s="25">
        <v>0.0</v>
      </c>
      <c r="G1753" s="27"/>
    </row>
    <row r="1754">
      <c r="A1754" s="21"/>
      <c r="B1754" s="21" t="s">
        <v>7990</v>
      </c>
      <c r="D1754" s="25">
        <v>10.0</v>
      </c>
      <c r="E1754" s="27"/>
      <c r="F1754" s="25">
        <v>0.0</v>
      </c>
      <c r="G1754" s="27"/>
    </row>
    <row r="1755">
      <c r="A1755" s="21"/>
      <c r="B1755" s="21" t="s">
        <v>7991</v>
      </c>
      <c r="D1755" s="25">
        <v>10.0</v>
      </c>
      <c r="E1755" s="27"/>
      <c r="F1755" s="25">
        <v>4.67</v>
      </c>
      <c r="G1755" s="27"/>
    </row>
    <row r="1756">
      <c r="A1756" s="21"/>
      <c r="B1756" s="21" t="s">
        <v>7992</v>
      </c>
      <c r="D1756" s="25">
        <v>10.0</v>
      </c>
      <c r="E1756" s="27"/>
      <c r="F1756" s="25">
        <v>0.0</v>
      </c>
      <c r="G1756" s="27"/>
    </row>
    <row r="1757">
      <c r="A1757" s="21"/>
      <c r="B1757" s="21" t="s">
        <v>7993</v>
      </c>
      <c r="D1757" s="25">
        <v>10.0</v>
      </c>
      <c r="E1757" s="27"/>
      <c r="F1757" s="25">
        <v>0.0</v>
      </c>
      <c r="G1757" s="27"/>
    </row>
    <row r="1758">
      <c r="A1758" s="21"/>
      <c r="B1758" s="21" t="s">
        <v>7994</v>
      </c>
      <c r="D1758" s="25">
        <v>10.0</v>
      </c>
      <c r="E1758" s="27"/>
      <c r="F1758" s="25">
        <v>0.0</v>
      </c>
      <c r="G1758" s="27"/>
    </row>
    <row r="1759">
      <c r="A1759" s="21"/>
      <c r="B1759" s="21" t="s">
        <v>7995</v>
      </c>
      <c r="D1759" s="25">
        <v>10.0</v>
      </c>
      <c r="E1759" s="27"/>
      <c r="F1759" s="25">
        <v>0.0</v>
      </c>
      <c r="G1759" s="27"/>
    </row>
    <row r="1760">
      <c r="A1760" s="21"/>
      <c r="B1760" s="21" t="s">
        <v>7996</v>
      </c>
      <c r="D1760" s="25">
        <v>10.0</v>
      </c>
      <c r="E1760" s="27"/>
      <c r="F1760" s="25">
        <v>0.0</v>
      </c>
      <c r="G1760" s="27"/>
    </row>
    <row r="1761">
      <c r="A1761" s="21"/>
      <c r="B1761" s="21" t="s">
        <v>7997</v>
      </c>
      <c r="D1761" s="25">
        <v>10.0</v>
      </c>
      <c r="E1761" s="27"/>
      <c r="F1761" s="25">
        <v>3.38</v>
      </c>
      <c r="G1761" s="27"/>
    </row>
    <row r="1762">
      <c r="A1762" s="21"/>
      <c r="B1762" s="21" t="s">
        <v>7998</v>
      </c>
      <c r="D1762" s="25">
        <v>10.0</v>
      </c>
      <c r="E1762" s="27"/>
      <c r="F1762" s="25">
        <v>3.38</v>
      </c>
      <c r="G1762" s="27"/>
    </row>
    <row r="1763">
      <c r="A1763" s="21"/>
      <c r="B1763" s="21" t="s">
        <v>7999</v>
      </c>
      <c r="D1763" s="25">
        <v>10.0</v>
      </c>
      <c r="E1763" s="27"/>
      <c r="F1763" s="25">
        <v>3.7</v>
      </c>
      <c r="G1763" s="27"/>
    </row>
    <row r="1764">
      <c r="A1764" s="21"/>
      <c r="B1764" s="21" t="s">
        <v>8000</v>
      </c>
      <c r="D1764" s="25">
        <v>10.0</v>
      </c>
      <c r="E1764" s="27"/>
      <c r="F1764" s="25">
        <v>0.0</v>
      </c>
      <c r="G1764" s="27"/>
    </row>
    <row r="1765">
      <c r="A1765" s="21"/>
      <c r="B1765" s="21" t="s">
        <v>8001</v>
      </c>
      <c r="D1765" s="25">
        <v>10.0</v>
      </c>
      <c r="E1765" s="27"/>
      <c r="F1765" s="25">
        <v>0.0</v>
      </c>
      <c r="G1765" s="27"/>
    </row>
    <row r="1766">
      <c r="A1766" s="21"/>
      <c r="B1766" s="21" t="s">
        <v>6001</v>
      </c>
      <c r="D1766" s="25">
        <v>10.0</v>
      </c>
      <c r="E1766" s="27"/>
      <c r="F1766" s="25">
        <v>1.07</v>
      </c>
      <c r="G1766" s="27"/>
    </row>
    <row r="1767">
      <c r="A1767" s="21"/>
      <c r="B1767" s="21" t="s">
        <v>6002</v>
      </c>
      <c r="D1767" s="25">
        <v>10.0</v>
      </c>
      <c r="E1767" s="27"/>
      <c r="F1767" s="25">
        <v>7.94</v>
      </c>
      <c r="G1767" s="27"/>
    </row>
    <row r="1768">
      <c r="A1768" s="21"/>
      <c r="B1768" s="21" t="s">
        <v>6003</v>
      </c>
      <c r="D1768" s="25">
        <v>10.0</v>
      </c>
      <c r="E1768" s="27"/>
      <c r="F1768" s="25">
        <v>1.07</v>
      </c>
      <c r="G1768" s="27"/>
    </row>
    <row r="1769">
      <c r="A1769" s="21"/>
      <c r="B1769" s="21" t="s">
        <v>8002</v>
      </c>
      <c r="D1769" s="25">
        <v>10.0</v>
      </c>
      <c r="E1769" s="27"/>
      <c r="F1769" s="25">
        <v>0.0</v>
      </c>
      <c r="G1769" s="27"/>
    </row>
    <row r="1770">
      <c r="A1770" s="21"/>
      <c r="B1770" s="21" t="s">
        <v>8003</v>
      </c>
      <c r="D1770" s="25">
        <v>10.0</v>
      </c>
      <c r="E1770" s="27"/>
      <c r="F1770" s="25">
        <v>0.0</v>
      </c>
      <c r="G1770" s="27"/>
    </row>
    <row r="1771">
      <c r="A1771" s="21"/>
      <c r="B1771" s="21" t="s">
        <v>8004</v>
      </c>
      <c r="D1771" s="25">
        <v>10.0</v>
      </c>
      <c r="E1771" s="27"/>
      <c r="F1771" s="25">
        <v>0.0</v>
      </c>
      <c r="G1771" s="27"/>
    </row>
    <row r="1772">
      <c r="A1772" s="21"/>
      <c r="B1772" s="21" t="s">
        <v>8005</v>
      </c>
      <c r="D1772" s="25">
        <v>10.0</v>
      </c>
      <c r="E1772" s="27"/>
      <c r="F1772" s="25">
        <v>0.0</v>
      </c>
      <c r="G1772" s="27"/>
    </row>
    <row r="1773">
      <c r="A1773" s="21"/>
      <c r="B1773" s="21" t="s">
        <v>8006</v>
      </c>
      <c r="D1773" s="25">
        <v>10.0</v>
      </c>
      <c r="E1773" s="27"/>
      <c r="F1773" s="25">
        <v>0.0</v>
      </c>
      <c r="G1773" s="27"/>
    </row>
    <row r="1774">
      <c r="A1774" s="21"/>
      <c r="B1774" s="21" t="s">
        <v>8007</v>
      </c>
      <c r="D1774" s="25">
        <v>10.0</v>
      </c>
      <c r="E1774" s="27"/>
      <c r="F1774" s="25">
        <v>7.48</v>
      </c>
      <c r="G1774" s="27"/>
    </row>
    <row r="1775">
      <c r="A1775" s="21"/>
      <c r="B1775" s="21" t="s">
        <v>8008</v>
      </c>
      <c r="D1775" s="25">
        <v>10.0</v>
      </c>
      <c r="E1775" s="27"/>
      <c r="F1775" s="25">
        <v>1.79</v>
      </c>
      <c r="G1775" s="27"/>
    </row>
    <row r="1776">
      <c r="A1776" s="21"/>
      <c r="B1776" s="21" t="s">
        <v>8009</v>
      </c>
      <c r="D1776" s="25">
        <v>10.0</v>
      </c>
      <c r="E1776" s="27"/>
      <c r="F1776" s="25">
        <v>3.35</v>
      </c>
      <c r="G1776" s="27"/>
    </row>
    <row r="1777">
      <c r="A1777" s="21"/>
      <c r="B1777" s="21" t="s">
        <v>8010</v>
      </c>
      <c r="D1777" s="25">
        <v>10.0</v>
      </c>
      <c r="E1777" s="27"/>
      <c r="F1777" s="25">
        <v>0.0</v>
      </c>
      <c r="G1777" s="27"/>
    </row>
    <row r="1778">
      <c r="A1778" s="21"/>
      <c r="B1778" s="21" t="s">
        <v>8011</v>
      </c>
      <c r="D1778" s="25">
        <v>10.0</v>
      </c>
      <c r="E1778" s="27"/>
      <c r="F1778" s="25">
        <v>0.0</v>
      </c>
      <c r="G1778" s="27"/>
    </row>
    <row r="1779">
      <c r="A1779" s="21"/>
      <c r="B1779" s="21" t="s">
        <v>8012</v>
      </c>
      <c r="D1779" s="25">
        <v>10.0</v>
      </c>
      <c r="E1779" s="27"/>
      <c r="F1779" s="25">
        <v>0.0</v>
      </c>
      <c r="G1779" s="27"/>
    </row>
    <row r="1780">
      <c r="A1780" s="21"/>
      <c r="B1780" s="21" t="s">
        <v>8013</v>
      </c>
      <c r="D1780" s="25">
        <v>10.0</v>
      </c>
      <c r="E1780" s="27"/>
      <c r="F1780" s="25">
        <v>0.0</v>
      </c>
      <c r="G1780" s="27"/>
    </row>
    <row r="1781">
      <c r="A1781" s="21"/>
      <c r="B1781" s="21" t="s">
        <v>8014</v>
      </c>
      <c r="D1781" s="25">
        <v>10.0</v>
      </c>
      <c r="E1781" s="27"/>
      <c r="F1781" s="25">
        <v>0.0</v>
      </c>
      <c r="G1781" s="27"/>
    </row>
    <row r="1782">
      <c r="A1782" s="21"/>
      <c r="B1782" s="21" t="s">
        <v>8015</v>
      </c>
      <c r="D1782" s="25">
        <v>10.0</v>
      </c>
      <c r="E1782" s="27"/>
      <c r="F1782" s="25">
        <v>0.0</v>
      </c>
      <c r="G1782" s="27"/>
    </row>
    <row r="1783">
      <c r="A1783" s="21"/>
      <c r="B1783" s="21" t="s">
        <v>8016</v>
      </c>
      <c r="D1783" s="25">
        <v>10.0</v>
      </c>
      <c r="E1783" s="27"/>
      <c r="F1783" s="25">
        <v>0.0</v>
      </c>
      <c r="G1783" s="27"/>
    </row>
    <row r="1784">
      <c r="A1784" s="21"/>
      <c r="B1784" s="21" t="s">
        <v>8017</v>
      </c>
      <c r="D1784" s="25">
        <v>10.0</v>
      </c>
      <c r="E1784" s="27"/>
      <c r="F1784" s="25">
        <v>0.0</v>
      </c>
      <c r="G1784" s="27"/>
    </row>
    <row r="1785">
      <c r="A1785" s="21"/>
      <c r="B1785" s="21" t="s">
        <v>8018</v>
      </c>
      <c r="D1785" s="25">
        <v>10.0</v>
      </c>
      <c r="E1785" s="27"/>
      <c r="F1785" s="25">
        <v>0.31</v>
      </c>
      <c r="G1785" s="27"/>
    </row>
    <row r="1786">
      <c r="A1786" s="21"/>
      <c r="B1786" s="21" t="s">
        <v>8019</v>
      </c>
      <c r="D1786" s="25">
        <v>10.0</v>
      </c>
      <c r="E1786" s="27"/>
      <c r="F1786" s="25">
        <v>0.0</v>
      </c>
      <c r="G1786" s="27"/>
    </row>
    <row r="1787">
      <c r="A1787" s="21"/>
      <c r="B1787" s="21" t="s">
        <v>8020</v>
      </c>
      <c r="D1787" s="25">
        <v>10.0</v>
      </c>
      <c r="E1787" s="27"/>
      <c r="F1787" s="25">
        <v>0.0</v>
      </c>
      <c r="G1787" s="27"/>
    </row>
    <row r="1788">
      <c r="A1788" s="21"/>
      <c r="B1788" s="21" t="s">
        <v>8021</v>
      </c>
      <c r="D1788" s="25">
        <v>10.0</v>
      </c>
      <c r="E1788" s="27"/>
      <c r="F1788" s="25">
        <v>0.0</v>
      </c>
      <c r="G1788" s="27"/>
    </row>
    <row r="1789">
      <c r="A1789" s="21"/>
      <c r="B1789" s="21" t="s">
        <v>8022</v>
      </c>
      <c r="D1789" s="25">
        <v>10.0</v>
      </c>
      <c r="E1789" s="27"/>
      <c r="F1789" s="25">
        <v>0.0</v>
      </c>
      <c r="G1789" s="27"/>
    </row>
    <row r="1790">
      <c r="A1790" s="21"/>
      <c r="B1790" s="21" t="s">
        <v>8023</v>
      </c>
      <c r="D1790" s="25">
        <v>10.0</v>
      </c>
      <c r="E1790" s="27"/>
      <c r="F1790" s="25">
        <v>0.0</v>
      </c>
      <c r="G1790" s="27"/>
    </row>
    <row r="1791">
      <c r="A1791" s="21"/>
      <c r="B1791" s="21" t="s">
        <v>8024</v>
      </c>
      <c r="D1791" s="25">
        <v>10.0</v>
      </c>
      <c r="E1791" s="27"/>
      <c r="F1791" s="25">
        <v>0.0</v>
      </c>
      <c r="G1791" s="27"/>
    </row>
    <row r="1792">
      <c r="A1792" s="21"/>
      <c r="B1792" s="21" t="s">
        <v>8025</v>
      </c>
      <c r="D1792" s="25">
        <v>10.0</v>
      </c>
      <c r="E1792" s="27"/>
      <c r="F1792" s="25">
        <v>0.0</v>
      </c>
      <c r="G1792" s="27"/>
    </row>
    <row r="1793">
      <c r="A1793" s="21"/>
      <c r="B1793" s="21" t="s">
        <v>8026</v>
      </c>
      <c r="D1793" s="25">
        <v>10.0</v>
      </c>
      <c r="E1793" s="27"/>
      <c r="F1793" s="25">
        <v>0.0</v>
      </c>
      <c r="G1793" s="27"/>
    </row>
    <row r="1794">
      <c r="A1794" s="21"/>
      <c r="B1794" s="21" t="s">
        <v>8027</v>
      </c>
      <c r="D1794" s="25">
        <v>10.0</v>
      </c>
      <c r="E1794" s="27"/>
      <c r="F1794" s="25">
        <v>8.09</v>
      </c>
      <c r="G1794" s="27"/>
    </row>
    <row r="1795">
      <c r="A1795" s="21"/>
      <c r="B1795" s="21" t="s">
        <v>8028</v>
      </c>
      <c r="D1795" s="25">
        <v>10.0</v>
      </c>
      <c r="E1795" s="27"/>
      <c r="F1795" s="25">
        <v>0.0</v>
      </c>
      <c r="G1795" s="27"/>
    </row>
    <row r="1796">
      <c r="A1796" s="21"/>
      <c r="B1796" s="21" t="s">
        <v>8029</v>
      </c>
      <c r="D1796" s="25">
        <v>10.0</v>
      </c>
      <c r="E1796" s="27"/>
      <c r="F1796" s="25">
        <v>0.0</v>
      </c>
      <c r="G1796" s="27"/>
    </row>
    <row r="1797">
      <c r="A1797" s="21"/>
      <c r="B1797" s="21" t="s">
        <v>8030</v>
      </c>
      <c r="D1797" s="25">
        <v>10.0</v>
      </c>
      <c r="E1797" s="27"/>
      <c r="F1797" s="25">
        <v>0.0</v>
      </c>
      <c r="G1797" s="27"/>
    </row>
    <row r="1798">
      <c r="A1798" s="21"/>
      <c r="B1798" s="21" t="s">
        <v>8031</v>
      </c>
      <c r="D1798" s="25">
        <v>10.0</v>
      </c>
      <c r="E1798" s="27"/>
      <c r="F1798" s="25">
        <v>0.0</v>
      </c>
      <c r="G1798" s="27"/>
    </row>
    <row r="1799">
      <c r="A1799" s="21"/>
      <c r="B1799" s="21" t="s">
        <v>8032</v>
      </c>
      <c r="D1799" s="25">
        <v>10.0</v>
      </c>
      <c r="E1799" s="27"/>
      <c r="F1799" s="25">
        <v>0.0</v>
      </c>
      <c r="G1799" s="27"/>
    </row>
    <row r="1800">
      <c r="A1800" s="21"/>
      <c r="B1800" s="21" t="s">
        <v>8033</v>
      </c>
      <c r="D1800" s="25">
        <v>10.0</v>
      </c>
      <c r="E1800" s="27"/>
      <c r="F1800" s="25">
        <v>0.0</v>
      </c>
      <c r="G1800" s="27"/>
    </row>
    <row r="1801">
      <c r="A1801" s="21"/>
      <c r="B1801" s="21" t="s">
        <v>8034</v>
      </c>
      <c r="D1801" s="25">
        <v>10.0</v>
      </c>
      <c r="E1801" s="27"/>
      <c r="F1801" s="25">
        <v>0.0</v>
      </c>
      <c r="G1801" s="27"/>
    </row>
    <row r="1802">
      <c r="A1802" s="21"/>
      <c r="B1802" s="21" t="s">
        <v>8035</v>
      </c>
      <c r="D1802" s="25">
        <v>10.0</v>
      </c>
      <c r="E1802" s="27"/>
      <c r="F1802" s="25">
        <v>0.0</v>
      </c>
      <c r="G1802" s="27"/>
    </row>
    <row r="1803">
      <c r="A1803" s="21"/>
      <c r="B1803" s="21" t="s">
        <v>8036</v>
      </c>
      <c r="D1803" s="25">
        <v>10.0</v>
      </c>
      <c r="E1803" s="27"/>
      <c r="F1803" s="25">
        <v>0.0</v>
      </c>
      <c r="G1803" s="27"/>
    </row>
    <row r="1804">
      <c r="A1804" s="21"/>
      <c r="B1804" s="21" t="s">
        <v>8037</v>
      </c>
      <c r="D1804" s="25">
        <v>10.0</v>
      </c>
      <c r="E1804" s="27"/>
      <c r="F1804" s="25">
        <v>0.0</v>
      </c>
      <c r="G1804" s="27"/>
    </row>
    <row r="1805">
      <c r="A1805" s="21"/>
      <c r="B1805" s="21" t="s">
        <v>8038</v>
      </c>
      <c r="D1805" s="25">
        <v>10.0</v>
      </c>
      <c r="E1805" s="27"/>
      <c r="F1805" s="25">
        <v>0.0</v>
      </c>
      <c r="G1805" s="27"/>
    </row>
    <row r="1806">
      <c r="A1806" s="21"/>
      <c r="B1806" s="21" t="s">
        <v>8039</v>
      </c>
      <c r="D1806" s="25">
        <v>10.0</v>
      </c>
      <c r="E1806" s="27"/>
      <c r="F1806" s="25">
        <v>0.0</v>
      </c>
      <c r="G1806" s="27"/>
    </row>
    <row r="1807">
      <c r="A1807" s="21"/>
      <c r="B1807" s="21" t="s">
        <v>8040</v>
      </c>
      <c r="D1807" s="25">
        <v>10.0</v>
      </c>
      <c r="E1807" s="27"/>
      <c r="F1807" s="25">
        <v>0.0</v>
      </c>
      <c r="G1807" s="27"/>
    </row>
    <row r="1808">
      <c r="A1808" s="21"/>
      <c r="B1808" s="21" t="s">
        <v>8041</v>
      </c>
      <c r="D1808" s="25">
        <v>10.0</v>
      </c>
      <c r="E1808" s="27"/>
      <c r="F1808" s="25">
        <v>0.0</v>
      </c>
      <c r="G1808" s="27"/>
    </row>
    <row r="1809">
      <c r="A1809" s="21"/>
      <c r="B1809" s="21" t="s">
        <v>8042</v>
      </c>
      <c r="D1809" s="25">
        <v>10.0</v>
      </c>
      <c r="E1809" s="27"/>
      <c r="F1809" s="25">
        <v>0.0</v>
      </c>
      <c r="G1809" s="27"/>
    </row>
    <row r="1810">
      <c r="A1810" s="21"/>
      <c r="B1810" s="21" t="s">
        <v>8043</v>
      </c>
      <c r="D1810" s="25">
        <v>10.0</v>
      </c>
      <c r="E1810" s="27"/>
      <c r="F1810" s="25">
        <v>0.0</v>
      </c>
      <c r="G1810" s="27"/>
    </row>
    <row r="1811">
      <c r="A1811" s="21"/>
      <c r="B1811" s="21" t="s">
        <v>8044</v>
      </c>
      <c r="D1811" s="25">
        <v>10.0</v>
      </c>
      <c r="E1811" s="27"/>
      <c r="F1811" s="25">
        <v>3.57</v>
      </c>
      <c r="G1811" s="27"/>
    </row>
    <row r="1812">
      <c r="A1812" s="21"/>
      <c r="B1812" s="21" t="s">
        <v>8045</v>
      </c>
      <c r="D1812" s="25">
        <v>10.0</v>
      </c>
      <c r="E1812" s="27"/>
      <c r="F1812" s="25">
        <v>0.0</v>
      </c>
      <c r="G1812" s="27"/>
    </row>
    <row r="1813">
      <c r="A1813" s="21"/>
      <c r="B1813" s="21" t="s">
        <v>8046</v>
      </c>
      <c r="D1813" s="25">
        <v>10.0</v>
      </c>
      <c r="E1813" s="27"/>
      <c r="F1813" s="25">
        <v>0.0</v>
      </c>
      <c r="G1813" s="27"/>
    </row>
    <row r="1814">
      <c r="A1814" s="21"/>
      <c r="B1814" s="21" t="s">
        <v>8047</v>
      </c>
      <c r="D1814" s="25">
        <v>10.0</v>
      </c>
      <c r="E1814" s="27"/>
      <c r="F1814" s="25">
        <v>0.0</v>
      </c>
      <c r="G1814" s="27"/>
    </row>
    <row r="1815">
      <c r="A1815" s="21"/>
      <c r="B1815" s="21" t="s">
        <v>8048</v>
      </c>
      <c r="D1815" s="25">
        <v>10.0</v>
      </c>
      <c r="E1815" s="27"/>
      <c r="F1815" s="25">
        <v>0.0</v>
      </c>
      <c r="G1815" s="27"/>
    </row>
    <row r="1816">
      <c r="A1816" s="21"/>
      <c r="B1816" s="21" t="s">
        <v>8049</v>
      </c>
      <c r="D1816" s="25">
        <v>10.0</v>
      </c>
      <c r="E1816" s="27"/>
      <c r="F1816" s="25">
        <v>0.0</v>
      </c>
      <c r="G1816" s="27"/>
    </row>
    <row r="1817">
      <c r="A1817" s="21"/>
      <c r="B1817" s="21" t="s">
        <v>8050</v>
      </c>
      <c r="D1817" s="25">
        <v>10.0</v>
      </c>
      <c r="E1817" s="27"/>
      <c r="F1817" s="25">
        <v>0.0</v>
      </c>
      <c r="G1817" s="27"/>
    </row>
    <row r="1818">
      <c r="A1818" s="21"/>
      <c r="B1818" s="21" t="s">
        <v>8051</v>
      </c>
      <c r="D1818" s="25">
        <v>10.0</v>
      </c>
      <c r="E1818" s="27"/>
      <c r="F1818" s="25">
        <v>0.0</v>
      </c>
      <c r="G1818" s="27"/>
    </row>
    <row r="1819">
      <c r="A1819" s="21"/>
      <c r="B1819" s="21" t="s">
        <v>8052</v>
      </c>
      <c r="D1819" s="25">
        <v>10.0</v>
      </c>
      <c r="E1819" s="27"/>
      <c r="F1819" s="25">
        <v>0.0</v>
      </c>
      <c r="G1819" s="27"/>
    </row>
    <row r="1820">
      <c r="A1820" s="21"/>
      <c r="B1820" s="21" t="s">
        <v>8053</v>
      </c>
      <c r="D1820" s="25">
        <v>10.0</v>
      </c>
      <c r="E1820" s="27"/>
      <c r="F1820" s="25">
        <v>0.0</v>
      </c>
      <c r="G1820" s="27"/>
    </row>
    <row r="1821">
      <c r="A1821" s="21"/>
      <c r="B1821" s="21" t="s">
        <v>8054</v>
      </c>
      <c r="D1821" s="25">
        <v>10.0</v>
      </c>
      <c r="E1821" s="27"/>
      <c r="F1821" s="25">
        <v>0.0</v>
      </c>
      <c r="G1821" s="27"/>
    </row>
    <row r="1822">
      <c r="A1822" s="21"/>
      <c r="B1822" s="21" t="s">
        <v>8055</v>
      </c>
      <c r="D1822" s="25">
        <v>10.0</v>
      </c>
      <c r="E1822" s="27"/>
      <c r="F1822" s="25">
        <v>7.94</v>
      </c>
      <c r="G1822" s="27"/>
    </row>
    <row r="1823">
      <c r="A1823" s="21"/>
      <c r="B1823" s="21" t="s">
        <v>8056</v>
      </c>
      <c r="D1823" s="25">
        <v>10.0</v>
      </c>
      <c r="E1823" s="27"/>
      <c r="F1823" s="25">
        <v>0.0</v>
      </c>
      <c r="G1823" s="27"/>
    </row>
    <row r="1824">
      <c r="A1824" s="21"/>
      <c r="B1824" s="21" t="s">
        <v>8057</v>
      </c>
      <c r="D1824" s="25">
        <v>10.0</v>
      </c>
      <c r="E1824" s="27"/>
      <c r="F1824" s="25">
        <v>0.0</v>
      </c>
      <c r="G1824" s="27"/>
    </row>
    <row r="1825">
      <c r="A1825" s="21"/>
      <c r="B1825" s="21" t="s">
        <v>8058</v>
      </c>
      <c r="D1825" s="25">
        <v>10.0</v>
      </c>
      <c r="E1825" s="27"/>
      <c r="F1825" s="25">
        <v>0.0</v>
      </c>
      <c r="G1825" s="27"/>
    </row>
    <row r="1826">
      <c r="A1826" s="21"/>
      <c r="B1826" s="21" t="s">
        <v>8059</v>
      </c>
      <c r="D1826" s="25">
        <v>10.0</v>
      </c>
      <c r="E1826" s="27"/>
      <c r="F1826" s="25">
        <v>8.11</v>
      </c>
      <c r="G1826" s="27"/>
    </row>
    <row r="1827">
      <c r="A1827" s="21"/>
      <c r="B1827" s="21" t="s">
        <v>8060</v>
      </c>
      <c r="D1827" s="25">
        <v>10.0</v>
      </c>
      <c r="E1827" s="27"/>
      <c r="F1827" s="25">
        <v>0.0</v>
      </c>
      <c r="G1827" s="27"/>
    </row>
    <row r="1828">
      <c r="A1828" s="21"/>
      <c r="B1828" s="21" t="s">
        <v>8061</v>
      </c>
      <c r="D1828" s="25">
        <v>10.0</v>
      </c>
      <c r="E1828" s="27"/>
      <c r="F1828" s="25">
        <v>0.0</v>
      </c>
      <c r="G1828" s="27"/>
    </row>
    <row r="1829">
      <c r="A1829" s="21"/>
      <c r="B1829" s="21" t="s">
        <v>8062</v>
      </c>
      <c r="D1829" s="25">
        <v>10.0</v>
      </c>
      <c r="E1829" s="27"/>
      <c r="F1829" s="25">
        <v>0.0</v>
      </c>
      <c r="G1829" s="27"/>
    </row>
    <row r="1830">
      <c r="A1830" s="21"/>
      <c r="B1830" s="21" t="s">
        <v>8063</v>
      </c>
      <c r="D1830" s="25">
        <v>10.0</v>
      </c>
      <c r="E1830" s="27"/>
      <c r="F1830" s="25">
        <v>0.0</v>
      </c>
      <c r="G1830" s="27"/>
    </row>
    <row r="1831">
      <c r="A1831" s="21"/>
      <c r="B1831" s="21" t="s">
        <v>8064</v>
      </c>
      <c r="D1831" s="25">
        <v>10.0</v>
      </c>
      <c r="E1831" s="27"/>
      <c r="F1831" s="25">
        <v>0.0</v>
      </c>
      <c r="G1831" s="27"/>
    </row>
    <row r="1832">
      <c r="A1832" s="21"/>
      <c r="B1832" s="21" t="s">
        <v>8065</v>
      </c>
      <c r="D1832" s="25">
        <v>10.0</v>
      </c>
      <c r="E1832" s="27"/>
      <c r="F1832" s="25">
        <v>0.0</v>
      </c>
      <c r="G1832" s="27"/>
    </row>
    <row r="1833">
      <c r="A1833" s="21"/>
      <c r="B1833" s="21" t="s">
        <v>8066</v>
      </c>
      <c r="D1833" s="25">
        <v>10.0</v>
      </c>
      <c r="E1833" s="27"/>
      <c r="F1833" s="25">
        <v>0.0</v>
      </c>
      <c r="G1833" s="27"/>
    </row>
    <row r="1834">
      <c r="A1834" s="21"/>
      <c r="B1834" s="21" t="s">
        <v>8067</v>
      </c>
      <c r="D1834" s="25">
        <v>10.0</v>
      </c>
      <c r="E1834" s="27"/>
      <c r="F1834" s="25">
        <v>0.0</v>
      </c>
      <c r="G1834" s="27"/>
    </row>
    <row r="1835">
      <c r="A1835" s="21"/>
      <c r="B1835" s="21" t="s">
        <v>8068</v>
      </c>
      <c r="D1835" s="25">
        <v>10.0</v>
      </c>
      <c r="E1835" s="27"/>
      <c r="F1835" s="25">
        <v>0.0</v>
      </c>
      <c r="G1835" s="27"/>
    </row>
    <row r="1836">
      <c r="A1836" s="21"/>
      <c r="B1836" s="21" t="s">
        <v>8069</v>
      </c>
      <c r="D1836" s="25">
        <v>10.0</v>
      </c>
      <c r="E1836" s="27"/>
      <c r="F1836" s="25">
        <v>0.0</v>
      </c>
      <c r="G1836" s="27"/>
    </row>
    <row r="1837">
      <c r="A1837" s="21"/>
      <c r="B1837" s="21" t="s">
        <v>8070</v>
      </c>
      <c r="D1837" s="25">
        <v>10.0</v>
      </c>
      <c r="E1837" s="27"/>
      <c r="F1837" s="25">
        <v>0.0</v>
      </c>
      <c r="G1837" s="27"/>
    </row>
    <row r="1838">
      <c r="A1838" s="21"/>
      <c r="B1838" s="21" t="s">
        <v>8071</v>
      </c>
      <c r="D1838" s="25">
        <v>10.0</v>
      </c>
      <c r="E1838" s="27"/>
      <c r="F1838" s="25">
        <v>0.0</v>
      </c>
      <c r="G1838" s="27"/>
    </row>
    <row r="1839">
      <c r="A1839" s="21"/>
      <c r="B1839" s="21" t="s">
        <v>8072</v>
      </c>
      <c r="D1839" s="25">
        <v>10.0</v>
      </c>
      <c r="E1839" s="27"/>
      <c r="F1839" s="25">
        <v>0.0</v>
      </c>
      <c r="G1839" s="27"/>
    </row>
    <row r="1840">
      <c r="A1840" s="21"/>
      <c r="B1840" s="21" t="s">
        <v>8073</v>
      </c>
      <c r="D1840" s="25">
        <v>10.0</v>
      </c>
      <c r="E1840" s="27"/>
      <c r="F1840" s="25">
        <v>0.0</v>
      </c>
      <c r="G1840" s="27"/>
    </row>
    <row r="1841">
      <c r="A1841" s="21"/>
      <c r="B1841" s="21" t="s">
        <v>8074</v>
      </c>
      <c r="D1841" s="25">
        <v>10.0</v>
      </c>
      <c r="E1841" s="27"/>
      <c r="F1841" s="25">
        <v>0.0</v>
      </c>
      <c r="G1841" s="27"/>
    </row>
    <row r="1842">
      <c r="A1842" s="21"/>
      <c r="B1842" s="21" t="s">
        <v>8075</v>
      </c>
      <c r="D1842" s="25">
        <v>10.0</v>
      </c>
      <c r="E1842" s="27"/>
      <c r="F1842" s="25">
        <v>0.0</v>
      </c>
      <c r="G1842" s="27"/>
    </row>
    <row r="1843">
      <c r="A1843" s="21"/>
      <c r="B1843" s="21" t="s">
        <v>8076</v>
      </c>
      <c r="D1843" s="25">
        <v>10.0</v>
      </c>
      <c r="E1843" s="27"/>
      <c r="F1843" s="25">
        <v>0.0</v>
      </c>
      <c r="G1843" s="27"/>
    </row>
    <row r="1844">
      <c r="A1844" s="21"/>
      <c r="B1844" s="21" t="s">
        <v>8077</v>
      </c>
      <c r="D1844" s="25">
        <v>10.0</v>
      </c>
      <c r="E1844" s="27"/>
      <c r="F1844" s="25">
        <v>0.0</v>
      </c>
      <c r="G1844" s="27"/>
    </row>
    <row r="1845">
      <c r="A1845" s="21"/>
      <c r="B1845" s="21" t="s">
        <v>8078</v>
      </c>
      <c r="D1845" s="25">
        <v>10.0</v>
      </c>
      <c r="E1845" s="27"/>
      <c r="F1845" s="25">
        <v>0.0</v>
      </c>
      <c r="G1845" s="27"/>
    </row>
    <row r="1846">
      <c r="A1846" s="21"/>
      <c r="B1846" s="21" t="s">
        <v>8079</v>
      </c>
      <c r="D1846" s="25">
        <v>10.0</v>
      </c>
      <c r="E1846" s="27"/>
      <c r="F1846" s="25">
        <v>0.0</v>
      </c>
      <c r="G1846" s="27"/>
    </row>
    <row r="1847">
      <c r="A1847" s="21"/>
      <c r="B1847" s="21" t="s">
        <v>8080</v>
      </c>
      <c r="D1847" s="25">
        <v>10.0</v>
      </c>
      <c r="E1847" s="27"/>
      <c r="F1847" s="25">
        <v>0.0</v>
      </c>
      <c r="G1847" s="27"/>
    </row>
    <row r="1848">
      <c r="A1848" s="21"/>
      <c r="B1848" s="21" t="s">
        <v>8081</v>
      </c>
      <c r="D1848" s="25">
        <v>10.0</v>
      </c>
      <c r="E1848" s="27"/>
      <c r="F1848" s="25">
        <v>0.0</v>
      </c>
      <c r="G1848" s="27"/>
    </row>
    <row r="1849">
      <c r="A1849" s="21"/>
      <c r="B1849" s="21" t="s">
        <v>8082</v>
      </c>
      <c r="D1849" s="25">
        <v>10.0</v>
      </c>
      <c r="E1849" s="27"/>
      <c r="F1849" s="25">
        <v>0.0</v>
      </c>
      <c r="G1849" s="27"/>
    </row>
    <row r="1850">
      <c r="A1850" s="21"/>
      <c r="B1850" s="21" t="s">
        <v>8083</v>
      </c>
      <c r="D1850" s="25">
        <v>10.0</v>
      </c>
      <c r="E1850" s="27"/>
      <c r="F1850" s="25">
        <v>0.0</v>
      </c>
      <c r="G1850" s="27"/>
    </row>
    <row r="1851">
      <c r="A1851" s="21"/>
      <c r="B1851" s="21" t="s">
        <v>8084</v>
      </c>
      <c r="D1851" s="25">
        <v>10.0</v>
      </c>
      <c r="E1851" s="27"/>
      <c r="F1851" s="25">
        <v>0.0</v>
      </c>
      <c r="G1851" s="27"/>
    </row>
    <row r="1852">
      <c r="A1852" s="21"/>
      <c r="B1852" s="21" t="s">
        <v>8085</v>
      </c>
      <c r="D1852" s="25">
        <v>10.0</v>
      </c>
      <c r="E1852" s="27"/>
      <c r="F1852" s="25">
        <v>0.0</v>
      </c>
      <c r="G1852" s="27"/>
    </row>
    <row r="1853">
      <c r="A1853" s="21"/>
      <c r="B1853" s="21" t="s">
        <v>8086</v>
      </c>
      <c r="D1853" s="25">
        <v>10.0</v>
      </c>
      <c r="E1853" s="27"/>
      <c r="F1853" s="25">
        <v>0.0</v>
      </c>
      <c r="G1853" s="27"/>
    </row>
    <row r="1854">
      <c r="A1854" s="21"/>
      <c r="B1854" s="21" t="s">
        <v>8087</v>
      </c>
      <c r="D1854" s="25">
        <v>10.0</v>
      </c>
      <c r="E1854" s="27"/>
      <c r="F1854" s="25">
        <v>0.0</v>
      </c>
      <c r="G1854" s="27"/>
    </row>
    <row r="1855">
      <c r="A1855" s="21"/>
      <c r="B1855" s="21" t="s">
        <v>8088</v>
      </c>
      <c r="D1855" s="25">
        <v>10.0</v>
      </c>
      <c r="E1855" s="27"/>
      <c r="F1855" s="25">
        <v>0.0</v>
      </c>
      <c r="G1855" s="27"/>
    </row>
    <row r="1856">
      <c r="A1856" s="21"/>
      <c r="B1856" s="21" t="s">
        <v>8089</v>
      </c>
      <c r="D1856" s="25">
        <v>10.0</v>
      </c>
      <c r="E1856" s="27"/>
      <c r="F1856" s="25">
        <v>0.0</v>
      </c>
      <c r="G1856" s="27"/>
    </row>
    <row r="1857">
      <c r="A1857" s="21"/>
      <c r="B1857" s="21" t="s">
        <v>8090</v>
      </c>
      <c r="D1857" s="25">
        <v>10.0</v>
      </c>
      <c r="E1857" s="27"/>
      <c r="F1857" s="25">
        <v>0.0</v>
      </c>
      <c r="G1857" s="27"/>
    </row>
    <row r="1858">
      <c r="A1858" s="21"/>
      <c r="B1858" s="21" t="s">
        <v>8091</v>
      </c>
      <c r="D1858" s="25">
        <v>10.0</v>
      </c>
      <c r="E1858" s="27"/>
      <c r="F1858" s="25">
        <v>0.0</v>
      </c>
      <c r="G1858" s="27"/>
    </row>
    <row r="1859">
      <c r="A1859" s="21"/>
      <c r="B1859" s="21" t="s">
        <v>8092</v>
      </c>
      <c r="D1859" s="25">
        <v>10.0</v>
      </c>
      <c r="E1859" s="27"/>
      <c r="F1859" s="25">
        <v>0.0</v>
      </c>
      <c r="G1859" s="27"/>
    </row>
    <row r="1860">
      <c r="A1860" s="21"/>
      <c r="B1860" s="21" t="s">
        <v>8093</v>
      </c>
      <c r="D1860" s="25">
        <v>10.0</v>
      </c>
      <c r="E1860" s="27"/>
      <c r="F1860" s="25">
        <v>0.0</v>
      </c>
      <c r="G1860" s="27"/>
    </row>
    <row r="1861">
      <c r="A1861" s="21"/>
      <c r="B1861" s="21" t="s">
        <v>8094</v>
      </c>
      <c r="D1861" s="25">
        <v>10.0</v>
      </c>
      <c r="E1861" s="27"/>
      <c r="F1861" s="25">
        <v>0.0</v>
      </c>
      <c r="G1861" s="27"/>
    </row>
    <row r="1862">
      <c r="A1862" s="21"/>
      <c r="B1862" s="21" t="s">
        <v>8095</v>
      </c>
      <c r="D1862" s="25">
        <v>10.0</v>
      </c>
      <c r="E1862" s="27"/>
      <c r="F1862" s="25">
        <v>0.0</v>
      </c>
      <c r="G1862" s="27"/>
    </row>
    <row r="1863">
      <c r="A1863" s="21"/>
      <c r="B1863" s="21" t="s">
        <v>8096</v>
      </c>
      <c r="D1863" s="25">
        <v>10.0</v>
      </c>
      <c r="E1863" s="27"/>
      <c r="F1863" s="25">
        <v>4.66</v>
      </c>
      <c r="G1863" s="27"/>
    </row>
    <row r="1864">
      <c r="A1864" s="21"/>
      <c r="B1864" s="21" t="s">
        <v>8097</v>
      </c>
      <c r="D1864" s="25">
        <v>10.0</v>
      </c>
      <c r="E1864" s="27"/>
      <c r="F1864" s="25">
        <v>8.92</v>
      </c>
      <c r="G1864" s="27"/>
    </row>
    <row r="1865">
      <c r="A1865" s="21"/>
      <c r="B1865" s="21" t="s">
        <v>8098</v>
      </c>
      <c r="D1865" s="25">
        <v>10.0</v>
      </c>
      <c r="E1865" s="27"/>
      <c r="F1865" s="25">
        <v>4.17</v>
      </c>
      <c r="G1865" s="27"/>
    </row>
    <row r="1866">
      <c r="A1866" s="21"/>
      <c r="B1866" s="21" t="s">
        <v>8099</v>
      </c>
      <c r="D1866" s="25">
        <v>10.0</v>
      </c>
      <c r="E1866" s="27"/>
      <c r="F1866" s="25">
        <v>0.0</v>
      </c>
      <c r="G1866" s="27"/>
    </row>
    <row r="1867">
      <c r="A1867" s="21"/>
      <c r="B1867" s="21" t="s">
        <v>8100</v>
      </c>
      <c r="D1867" s="25">
        <v>10.0</v>
      </c>
      <c r="E1867" s="27"/>
      <c r="F1867" s="25">
        <v>0.0</v>
      </c>
      <c r="G1867" s="27"/>
    </row>
    <row r="1868">
      <c r="A1868" s="21"/>
      <c r="B1868" s="21" t="s">
        <v>8101</v>
      </c>
      <c r="D1868" s="25">
        <v>10.0</v>
      </c>
      <c r="E1868" s="27"/>
      <c r="F1868" s="25">
        <v>0.0</v>
      </c>
      <c r="G1868" s="27"/>
    </row>
    <row r="1869">
      <c r="A1869" s="21"/>
      <c r="B1869" s="21" t="s">
        <v>8102</v>
      </c>
      <c r="D1869" s="25">
        <v>10.0</v>
      </c>
      <c r="E1869" s="27"/>
      <c r="F1869" s="25">
        <v>0.0</v>
      </c>
      <c r="G1869" s="27"/>
    </row>
    <row r="1870">
      <c r="A1870" s="21"/>
      <c r="B1870" s="21" t="s">
        <v>8103</v>
      </c>
      <c r="D1870" s="25">
        <v>10.0</v>
      </c>
      <c r="E1870" s="27"/>
      <c r="F1870" s="25">
        <v>0.0</v>
      </c>
      <c r="G1870" s="27"/>
    </row>
    <row r="1871">
      <c r="A1871" s="21"/>
      <c r="B1871" s="21" t="s">
        <v>8104</v>
      </c>
      <c r="D1871" s="25">
        <v>10.0</v>
      </c>
      <c r="E1871" s="27"/>
      <c r="F1871" s="25">
        <v>0.0</v>
      </c>
      <c r="G1871" s="27"/>
    </row>
    <row r="1872">
      <c r="A1872" s="21"/>
      <c r="B1872" s="21" t="s">
        <v>8105</v>
      </c>
      <c r="D1872" s="25">
        <v>10.0</v>
      </c>
      <c r="E1872" s="27"/>
      <c r="F1872" s="25">
        <v>0.0</v>
      </c>
      <c r="G1872" s="27"/>
    </row>
    <row r="1873">
      <c r="A1873" s="21"/>
      <c r="B1873" s="21" t="s">
        <v>8106</v>
      </c>
      <c r="D1873" s="25">
        <v>10.0</v>
      </c>
      <c r="E1873" s="27"/>
      <c r="F1873" s="25">
        <v>0.0</v>
      </c>
      <c r="G1873" s="27"/>
    </row>
    <row r="1874">
      <c r="A1874" s="21"/>
      <c r="B1874" s="21" t="s">
        <v>8107</v>
      </c>
      <c r="D1874" s="25">
        <v>10.0</v>
      </c>
      <c r="E1874" s="27"/>
      <c r="F1874" s="25">
        <v>0.0</v>
      </c>
      <c r="G1874" s="27"/>
    </row>
    <row r="1875">
      <c r="A1875" s="21"/>
      <c r="B1875" s="21" t="s">
        <v>8108</v>
      </c>
      <c r="D1875" s="25">
        <v>10.0</v>
      </c>
      <c r="E1875" s="27"/>
      <c r="F1875" s="25">
        <v>0.0</v>
      </c>
      <c r="G1875" s="27"/>
    </row>
    <row r="1876">
      <c r="A1876" s="21"/>
      <c r="B1876" s="21" t="s">
        <v>8109</v>
      </c>
      <c r="D1876" s="25">
        <v>10.0</v>
      </c>
      <c r="E1876" s="27"/>
      <c r="F1876" s="25">
        <v>0.0</v>
      </c>
      <c r="G1876" s="27"/>
    </row>
    <row r="1877">
      <c r="A1877" s="21"/>
      <c r="B1877" s="21" t="s">
        <v>8110</v>
      </c>
      <c r="D1877" s="25">
        <v>10.0</v>
      </c>
      <c r="E1877" s="27"/>
      <c r="F1877" s="25">
        <v>0.0</v>
      </c>
      <c r="G1877" s="27"/>
    </row>
    <row r="1878">
      <c r="A1878" s="21"/>
      <c r="B1878" s="21" t="s">
        <v>8111</v>
      </c>
      <c r="D1878" s="25">
        <v>10.0</v>
      </c>
      <c r="E1878" s="27"/>
      <c r="F1878" s="25">
        <v>0.0</v>
      </c>
      <c r="G1878" s="27"/>
    </row>
    <row r="1879">
      <c r="A1879" s="21"/>
      <c r="B1879" s="21" t="s">
        <v>8112</v>
      </c>
      <c r="D1879" s="25">
        <v>10.0</v>
      </c>
      <c r="E1879" s="27"/>
      <c r="F1879" s="25">
        <v>0.0</v>
      </c>
      <c r="G1879" s="27"/>
    </row>
    <row r="1880">
      <c r="A1880" s="21"/>
      <c r="B1880" s="21" t="s">
        <v>8113</v>
      </c>
      <c r="D1880" s="25">
        <v>10.0</v>
      </c>
      <c r="E1880" s="27"/>
      <c r="F1880" s="25">
        <v>0.0</v>
      </c>
      <c r="G1880" s="27"/>
    </row>
    <row r="1881">
      <c r="A1881" s="21"/>
      <c r="B1881" s="21" t="s">
        <v>8114</v>
      </c>
      <c r="D1881" s="25">
        <v>10.0</v>
      </c>
      <c r="E1881" s="27"/>
      <c r="F1881" s="25">
        <v>0.0</v>
      </c>
      <c r="G1881" s="27"/>
    </row>
    <row r="1882">
      <c r="A1882" s="21"/>
      <c r="B1882" s="21" t="s">
        <v>8115</v>
      </c>
      <c r="D1882" s="25">
        <v>10.0</v>
      </c>
      <c r="E1882" s="27"/>
      <c r="F1882" s="25">
        <v>0.0</v>
      </c>
      <c r="G1882" s="27"/>
    </row>
    <row r="1883">
      <c r="A1883" s="21"/>
      <c r="B1883" s="21" t="s">
        <v>8116</v>
      </c>
      <c r="D1883" s="25">
        <v>10.0</v>
      </c>
      <c r="E1883" s="27"/>
      <c r="F1883" s="25">
        <v>0.0</v>
      </c>
      <c r="G1883" s="27"/>
    </row>
    <row r="1884">
      <c r="A1884" s="21"/>
      <c r="B1884" s="21" t="s">
        <v>8117</v>
      </c>
      <c r="D1884" s="25">
        <v>10.0</v>
      </c>
      <c r="E1884" s="27"/>
      <c r="F1884" s="25">
        <v>0.0</v>
      </c>
      <c r="G1884" s="27"/>
    </row>
    <row r="1885">
      <c r="A1885" s="21"/>
      <c r="B1885" s="21" t="s">
        <v>8118</v>
      </c>
      <c r="D1885" s="25">
        <v>10.0</v>
      </c>
      <c r="E1885" s="27"/>
      <c r="F1885" s="25">
        <v>0.0</v>
      </c>
      <c r="G1885" s="27"/>
    </row>
    <row r="1886">
      <c r="A1886" s="21"/>
      <c r="B1886" s="21" t="s">
        <v>8119</v>
      </c>
      <c r="D1886" s="25">
        <v>10.0</v>
      </c>
      <c r="E1886" s="27"/>
      <c r="F1886" s="25">
        <v>0.0</v>
      </c>
      <c r="G1886" s="27"/>
    </row>
    <row r="1887">
      <c r="A1887" s="21"/>
      <c r="B1887" s="21" t="s">
        <v>8120</v>
      </c>
      <c r="D1887" s="25">
        <v>10.0</v>
      </c>
      <c r="E1887" s="27"/>
      <c r="F1887" s="25">
        <v>4.17</v>
      </c>
      <c r="G1887" s="27"/>
    </row>
    <row r="1888">
      <c r="A1888" s="21"/>
      <c r="B1888" s="21" t="s">
        <v>8121</v>
      </c>
      <c r="D1888" s="25">
        <v>10.0</v>
      </c>
      <c r="E1888" s="27"/>
      <c r="F1888" s="25">
        <v>0.0</v>
      </c>
      <c r="G1888" s="27"/>
    </row>
    <row r="1889">
      <c r="A1889" s="21"/>
      <c r="B1889" s="21" t="s">
        <v>8122</v>
      </c>
      <c r="D1889" s="25">
        <v>10.0</v>
      </c>
      <c r="E1889" s="27"/>
      <c r="F1889" s="25">
        <v>0.0</v>
      </c>
      <c r="G1889" s="27"/>
    </row>
    <row r="1890">
      <c r="A1890" s="21"/>
      <c r="B1890" s="21" t="s">
        <v>8123</v>
      </c>
      <c r="D1890" s="25">
        <v>10.0</v>
      </c>
      <c r="E1890" s="27"/>
      <c r="F1890" s="25">
        <v>0.0</v>
      </c>
      <c r="G1890" s="27"/>
    </row>
    <row r="1891">
      <c r="A1891" s="21"/>
      <c r="B1891" s="21" t="s">
        <v>8124</v>
      </c>
      <c r="D1891" s="25">
        <v>10.0</v>
      </c>
      <c r="E1891" s="27"/>
      <c r="F1891" s="25">
        <v>0.0</v>
      </c>
      <c r="G1891" s="27"/>
    </row>
    <row r="1892">
      <c r="A1892" s="21"/>
      <c r="B1892" s="21" t="s">
        <v>8125</v>
      </c>
      <c r="D1892" s="25">
        <v>10.0</v>
      </c>
      <c r="E1892" s="27"/>
      <c r="F1892" s="25">
        <v>0.0</v>
      </c>
      <c r="G1892" s="27"/>
    </row>
    <row r="1893">
      <c r="A1893" s="21"/>
      <c r="B1893" s="21" t="s">
        <v>8126</v>
      </c>
      <c r="D1893" s="25">
        <v>10.0</v>
      </c>
      <c r="E1893" s="27"/>
      <c r="F1893" s="25">
        <v>0.0</v>
      </c>
      <c r="G1893" s="27"/>
    </row>
    <row r="1894">
      <c r="A1894" s="21"/>
      <c r="B1894" s="21" t="s">
        <v>8127</v>
      </c>
      <c r="D1894" s="25">
        <v>10.0</v>
      </c>
      <c r="E1894" s="27"/>
      <c r="F1894" s="25">
        <v>0.0</v>
      </c>
      <c r="G1894" s="27"/>
    </row>
    <row r="1895">
      <c r="A1895" s="21"/>
      <c r="B1895" s="21" t="s">
        <v>8128</v>
      </c>
      <c r="D1895" s="25">
        <v>10.0</v>
      </c>
      <c r="E1895" s="27"/>
      <c r="F1895" s="25">
        <v>0.0</v>
      </c>
      <c r="G1895" s="27"/>
    </row>
    <row r="1896">
      <c r="A1896" s="21"/>
      <c r="B1896" s="21" t="s">
        <v>8129</v>
      </c>
      <c r="D1896" s="25">
        <v>10.0</v>
      </c>
      <c r="E1896" s="27"/>
      <c r="F1896" s="25">
        <v>0.0</v>
      </c>
      <c r="G1896" s="27"/>
    </row>
    <row r="1897">
      <c r="A1897" s="21"/>
      <c r="B1897" s="21" t="s">
        <v>8130</v>
      </c>
      <c r="D1897" s="25">
        <v>10.0</v>
      </c>
      <c r="E1897" s="27"/>
      <c r="F1897" s="25">
        <v>0.0</v>
      </c>
      <c r="G1897" s="27"/>
    </row>
    <row r="1898">
      <c r="A1898" s="21"/>
      <c r="B1898" s="21" t="s">
        <v>8131</v>
      </c>
      <c r="D1898" s="25">
        <v>10.0</v>
      </c>
      <c r="E1898" s="27"/>
      <c r="F1898" s="25">
        <v>0.0</v>
      </c>
      <c r="G1898" s="27"/>
    </row>
    <row r="1899">
      <c r="A1899" s="21"/>
      <c r="B1899" s="21" t="s">
        <v>8132</v>
      </c>
      <c r="D1899" s="25">
        <v>10.0</v>
      </c>
      <c r="E1899" s="27"/>
      <c r="F1899" s="25">
        <v>0.0</v>
      </c>
      <c r="G1899" s="27"/>
    </row>
    <row r="1900">
      <c r="A1900" s="21"/>
      <c r="B1900" s="21" t="s">
        <v>8133</v>
      </c>
      <c r="D1900" s="25">
        <v>10.0</v>
      </c>
      <c r="E1900" s="27"/>
      <c r="F1900" s="25">
        <v>0.0</v>
      </c>
      <c r="G1900" s="27"/>
    </row>
    <row r="1901">
      <c r="A1901" s="21"/>
      <c r="B1901" s="21" t="s">
        <v>8134</v>
      </c>
      <c r="D1901" s="25">
        <v>10.0</v>
      </c>
      <c r="E1901" s="27"/>
      <c r="F1901" s="25">
        <v>0.0</v>
      </c>
      <c r="G1901" s="27"/>
    </row>
    <row r="1902">
      <c r="A1902" s="21"/>
      <c r="B1902" s="21" t="s">
        <v>8135</v>
      </c>
      <c r="D1902" s="25">
        <v>10.0</v>
      </c>
      <c r="E1902" s="27"/>
      <c r="F1902" s="25">
        <v>0.0</v>
      </c>
      <c r="G1902" s="27"/>
    </row>
    <row r="1903">
      <c r="A1903" s="21"/>
      <c r="B1903" s="21" t="s">
        <v>8136</v>
      </c>
      <c r="D1903" s="25">
        <v>10.0</v>
      </c>
      <c r="E1903" s="27"/>
      <c r="F1903" s="25">
        <v>7.51</v>
      </c>
      <c r="G1903" s="27"/>
    </row>
    <row r="1904">
      <c r="A1904" s="21"/>
      <c r="B1904" s="21" t="s">
        <v>8137</v>
      </c>
      <c r="D1904" s="25">
        <v>10.0</v>
      </c>
      <c r="E1904" s="27"/>
      <c r="F1904" s="25">
        <v>0.0</v>
      </c>
      <c r="G1904" s="27"/>
    </row>
    <row r="1905">
      <c r="A1905" s="21"/>
      <c r="B1905" s="21" t="s">
        <v>8138</v>
      </c>
      <c r="D1905" s="25">
        <v>10.0</v>
      </c>
      <c r="E1905" s="27"/>
      <c r="F1905" s="25">
        <v>0.0</v>
      </c>
      <c r="G1905" s="27"/>
    </row>
    <row r="1906">
      <c r="A1906" s="21"/>
      <c r="B1906" s="21" t="s">
        <v>8139</v>
      </c>
      <c r="D1906" s="25">
        <v>10.0</v>
      </c>
      <c r="E1906" s="27"/>
      <c r="F1906" s="25">
        <v>0.0</v>
      </c>
      <c r="G1906" s="27"/>
    </row>
    <row r="1907">
      <c r="A1907" s="21"/>
      <c r="B1907" s="21" t="s">
        <v>8140</v>
      </c>
      <c r="D1907" s="25">
        <v>10.0</v>
      </c>
      <c r="E1907" s="27"/>
      <c r="F1907" s="25">
        <v>0.0</v>
      </c>
      <c r="G1907" s="27"/>
    </row>
    <row r="1908">
      <c r="A1908" s="21"/>
      <c r="B1908" s="21" t="s">
        <v>8141</v>
      </c>
      <c r="D1908" s="25">
        <v>10.0</v>
      </c>
      <c r="E1908" s="27"/>
      <c r="F1908" s="25">
        <v>0.0</v>
      </c>
      <c r="G1908" s="27"/>
    </row>
    <row r="1909">
      <c r="A1909" s="21"/>
      <c r="B1909" s="21" t="s">
        <v>8142</v>
      </c>
      <c r="D1909" s="25">
        <v>10.0</v>
      </c>
      <c r="E1909" s="27"/>
      <c r="F1909" s="25">
        <v>0.0</v>
      </c>
      <c r="G1909" s="27"/>
    </row>
    <row r="1910">
      <c r="A1910" s="21"/>
      <c r="B1910" s="21" t="s">
        <v>8143</v>
      </c>
      <c r="D1910" s="25">
        <v>10.0</v>
      </c>
      <c r="E1910" s="27"/>
      <c r="F1910" s="25">
        <v>0.0</v>
      </c>
      <c r="G1910" s="27"/>
    </row>
    <row r="1911">
      <c r="A1911" s="21"/>
      <c r="B1911" s="21" t="s">
        <v>8144</v>
      </c>
      <c r="D1911" s="25">
        <v>10.0</v>
      </c>
      <c r="E1911" s="27"/>
      <c r="F1911" s="25">
        <v>0.0</v>
      </c>
      <c r="G1911" s="27"/>
    </row>
    <row r="1912">
      <c r="A1912" s="21"/>
      <c r="B1912" s="21" t="s">
        <v>8145</v>
      </c>
      <c r="D1912" s="25">
        <v>10.0</v>
      </c>
      <c r="E1912" s="27"/>
      <c r="F1912" s="25">
        <v>0.0</v>
      </c>
      <c r="G1912" s="27"/>
    </row>
    <row r="1913">
      <c r="A1913" s="21"/>
      <c r="B1913" s="21" t="s">
        <v>8146</v>
      </c>
      <c r="D1913" s="25">
        <v>10.0</v>
      </c>
      <c r="E1913" s="27"/>
      <c r="F1913" s="25">
        <v>0.0</v>
      </c>
      <c r="G1913" s="27"/>
    </row>
    <row r="1914">
      <c r="A1914" s="21"/>
      <c r="B1914" s="21" t="s">
        <v>8147</v>
      </c>
      <c r="D1914" s="25">
        <v>10.0</v>
      </c>
      <c r="E1914" s="27"/>
      <c r="F1914" s="25">
        <v>0.0</v>
      </c>
      <c r="G1914" s="27"/>
    </row>
    <row r="1915">
      <c r="A1915" s="21"/>
      <c r="B1915" s="21" t="s">
        <v>8148</v>
      </c>
      <c r="D1915" s="25">
        <v>10.0</v>
      </c>
      <c r="E1915" s="27"/>
      <c r="F1915" s="25">
        <v>0.0</v>
      </c>
      <c r="G1915" s="27"/>
    </row>
    <row r="1916">
      <c r="A1916" s="21"/>
      <c r="B1916" s="21" t="s">
        <v>8149</v>
      </c>
      <c r="D1916" s="25">
        <v>10.0</v>
      </c>
      <c r="E1916" s="27"/>
      <c r="F1916" s="25">
        <v>0.0</v>
      </c>
      <c r="G1916" s="27"/>
    </row>
    <row r="1917">
      <c r="A1917" s="21"/>
      <c r="B1917" s="21" t="s">
        <v>8150</v>
      </c>
      <c r="D1917" s="25">
        <v>10.0</v>
      </c>
      <c r="E1917" s="27"/>
      <c r="F1917" s="25">
        <v>0.0</v>
      </c>
      <c r="G1917" s="27"/>
    </row>
    <row r="1918">
      <c r="A1918" s="21"/>
      <c r="B1918" s="21" t="s">
        <v>8151</v>
      </c>
      <c r="D1918" s="25">
        <v>10.0</v>
      </c>
      <c r="E1918" s="27"/>
      <c r="F1918" s="25">
        <v>5.91</v>
      </c>
      <c r="G1918" s="27"/>
    </row>
    <row r="1919">
      <c r="A1919" s="21"/>
      <c r="B1919" s="21" t="s">
        <v>8152</v>
      </c>
      <c r="D1919" s="25">
        <v>10.0</v>
      </c>
      <c r="E1919" s="27"/>
      <c r="F1919" s="25">
        <v>0.0</v>
      </c>
      <c r="G1919" s="27"/>
    </row>
    <row r="1920">
      <c r="A1920" s="21"/>
      <c r="B1920" s="21" t="s">
        <v>8153</v>
      </c>
      <c r="D1920" s="25">
        <v>10.0</v>
      </c>
      <c r="E1920" s="27"/>
      <c r="F1920" s="25">
        <v>0.0</v>
      </c>
      <c r="G1920" s="27"/>
    </row>
    <row r="1921">
      <c r="A1921" s="21"/>
      <c r="B1921" s="21" t="s">
        <v>8154</v>
      </c>
      <c r="D1921" s="25">
        <v>10.0</v>
      </c>
      <c r="E1921" s="27"/>
      <c r="F1921" s="25">
        <v>0.0</v>
      </c>
      <c r="G1921" s="27"/>
    </row>
    <row r="1922">
      <c r="A1922" s="21"/>
      <c r="B1922" s="21" t="s">
        <v>8155</v>
      </c>
      <c r="D1922" s="25">
        <v>10.0</v>
      </c>
      <c r="E1922" s="27"/>
      <c r="F1922" s="25">
        <v>5.3</v>
      </c>
      <c r="G1922" s="27"/>
    </row>
    <row r="1923">
      <c r="A1923" s="21"/>
      <c r="B1923" s="21" t="s">
        <v>8156</v>
      </c>
      <c r="D1923" s="25">
        <v>10.0</v>
      </c>
      <c r="E1923" s="27"/>
      <c r="F1923" s="25">
        <v>0.0</v>
      </c>
      <c r="G1923" s="27"/>
    </row>
    <row r="1924">
      <c r="A1924" s="21"/>
      <c r="B1924" s="21" t="s">
        <v>8157</v>
      </c>
      <c r="D1924" s="25">
        <v>10.0</v>
      </c>
      <c r="E1924" s="27"/>
      <c r="F1924" s="25">
        <v>0.0</v>
      </c>
      <c r="G1924" s="27"/>
    </row>
    <row r="1925">
      <c r="A1925" s="21"/>
      <c r="B1925" s="21" t="s">
        <v>8158</v>
      </c>
      <c r="D1925" s="25">
        <v>10.0</v>
      </c>
      <c r="E1925" s="27"/>
      <c r="F1925" s="25">
        <v>0.0</v>
      </c>
      <c r="G1925" s="27"/>
    </row>
    <row r="1926">
      <c r="A1926" s="21"/>
      <c r="B1926" s="21" t="s">
        <v>8159</v>
      </c>
      <c r="D1926" s="25">
        <v>10.0</v>
      </c>
      <c r="E1926" s="27"/>
      <c r="F1926" s="25">
        <v>0.0</v>
      </c>
      <c r="G1926" s="27"/>
    </row>
    <row r="1927">
      <c r="A1927" s="21"/>
      <c r="B1927" s="21" t="s">
        <v>8160</v>
      </c>
      <c r="D1927" s="25">
        <v>10.0</v>
      </c>
      <c r="E1927" s="27"/>
      <c r="F1927" s="25">
        <v>0.0</v>
      </c>
      <c r="G1927" s="27"/>
    </row>
    <row r="1928">
      <c r="A1928" s="21"/>
      <c r="B1928" s="21" t="s">
        <v>8161</v>
      </c>
      <c r="D1928" s="25">
        <v>10.0</v>
      </c>
      <c r="E1928" s="27"/>
      <c r="F1928" s="25">
        <v>0.0</v>
      </c>
      <c r="G1928" s="27"/>
    </row>
    <row r="1929">
      <c r="A1929" s="21"/>
      <c r="B1929" s="21" t="s">
        <v>8162</v>
      </c>
      <c r="D1929" s="25">
        <v>10.0</v>
      </c>
      <c r="E1929" s="27"/>
      <c r="F1929" s="25">
        <v>0.0</v>
      </c>
      <c r="G1929" s="27"/>
    </row>
    <row r="1930">
      <c r="A1930" s="21"/>
      <c r="B1930" s="21" t="s">
        <v>8163</v>
      </c>
      <c r="D1930" s="25">
        <v>10.0</v>
      </c>
      <c r="E1930" s="27"/>
      <c r="F1930" s="25">
        <v>0.0</v>
      </c>
      <c r="G1930" s="27"/>
    </row>
    <row r="1931">
      <c r="A1931" s="21"/>
      <c r="B1931" s="21" t="s">
        <v>8164</v>
      </c>
      <c r="D1931" s="25">
        <v>10.0</v>
      </c>
      <c r="E1931" s="27"/>
      <c r="F1931" s="25">
        <v>0.0</v>
      </c>
      <c r="G1931" s="27"/>
    </row>
    <row r="1932">
      <c r="A1932" s="21"/>
      <c r="B1932" s="21" t="s">
        <v>8165</v>
      </c>
      <c r="D1932" s="25">
        <v>10.0</v>
      </c>
      <c r="E1932" s="27"/>
      <c r="F1932" s="25">
        <v>0.0</v>
      </c>
      <c r="G1932" s="27"/>
    </row>
    <row r="1933">
      <c r="A1933" s="21"/>
      <c r="B1933" s="21" t="s">
        <v>8166</v>
      </c>
      <c r="D1933" s="25">
        <v>10.0</v>
      </c>
      <c r="E1933" s="27"/>
      <c r="F1933" s="25">
        <v>0.0</v>
      </c>
      <c r="G1933" s="27"/>
    </row>
    <row r="1934">
      <c r="A1934" s="21"/>
      <c r="B1934" s="21" t="s">
        <v>8167</v>
      </c>
      <c r="D1934" s="25">
        <v>10.0</v>
      </c>
      <c r="E1934" s="27"/>
      <c r="F1934" s="25">
        <v>0.0</v>
      </c>
      <c r="G1934" s="27"/>
    </row>
    <row r="1935">
      <c r="A1935" s="21"/>
      <c r="B1935" s="21" t="s">
        <v>8168</v>
      </c>
      <c r="D1935" s="25">
        <v>10.0</v>
      </c>
      <c r="E1935" s="27"/>
      <c r="F1935" s="25">
        <v>0.0</v>
      </c>
      <c r="G1935" s="27"/>
    </row>
    <row r="1936">
      <c r="A1936" s="21"/>
      <c r="B1936" s="21" t="s">
        <v>8169</v>
      </c>
      <c r="D1936" s="25">
        <v>10.0</v>
      </c>
      <c r="E1936" s="27"/>
      <c r="F1936" s="25">
        <v>0.0</v>
      </c>
      <c r="G1936" s="27"/>
    </row>
    <row r="1937">
      <c r="A1937" s="21"/>
      <c r="B1937" s="21" t="s">
        <v>8170</v>
      </c>
      <c r="D1937" s="25">
        <v>10.0</v>
      </c>
      <c r="E1937" s="27"/>
      <c r="F1937" s="25">
        <v>0.0</v>
      </c>
      <c r="G1937" s="27"/>
    </row>
    <row r="1938">
      <c r="A1938" s="21"/>
      <c r="B1938" s="21" t="s">
        <v>8171</v>
      </c>
      <c r="D1938" s="25">
        <v>10.0</v>
      </c>
      <c r="E1938" s="27"/>
      <c r="F1938" s="25">
        <v>0.0</v>
      </c>
      <c r="G1938" s="27"/>
    </row>
    <row r="1939">
      <c r="A1939" s="21"/>
      <c r="B1939" s="21" t="s">
        <v>8172</v>
      </c>
      <c r="D1939" s="25">
        <v>10.0</v>
      </c>
      <c r="E1939" s="27"/>
      <c r="F1939" s="25">
        <v>0.0</v>
      </c>
      <c r="G1939" s="27"/>
    </row>
    <row r="1940">
      <c r="A1940" s="21"/>
      <c r="B1940" s="21" t="s">
        <v>8173</v>
      </c>
      <c r="D1940" s="25">
        <v>10.0</v>
      </c>
      <c r="E1940" s="27"/>
      <c r="F1940" s="25">
        <v>0.0</v>
      </c>
      <c r="G1940" s="27"/>
    </row>
    <row r="1941">
      <c r="A1941" s="21"/>
      <c r="B1941" s="21" t="s">
        <v>8174</v>
      </c>
      <c r="D1941" s="25">
        <v>10.0</v>
      </c>
      <c r="E1941" s="27"/>
      <c r="F1941" s="25">
        <v>0.0</v>
      </c>
      <c r="G1941" s="27"/>
    </row>
    <row r="1942">
      <c r="A1942" s="21"/>
      <c r="B1942" s="21" t="s">
        <v>8175</v>
      </c>
      <c r="D1942" s="25">
        <v>10.0</v>
      </c>
      <c r="E1942" s="27"/>
      <c r="F1942" s="25">
        <v>0.0</v>
      </c>
      <c r="G1942" s="27"/>
    </row>
    <row r="1943">
      <c r="A1943" s="21"/>
      <c r="B1943" s="21" t="s">
        <v>8176</v>
      </c>
      <c r="D1943" s="25">
        <v>10.0</v>
      </c>
      <c r="E1943" s="27"/>
      <c r="F1943" s="25">
        <v>0.0</v>
      </c>
      <c r="G1943" s="27"/>
    </row>
    <row r="1944">
      <c r="A1944" s="21"/>
      <c r="B1944" s="21" t="s">
        <v>8177</v>
      </c>
      <c r="D1944" s="25">
        <v>10.0</v>
      </c>
      <c r="E1944" s="27"/>
      <c r="F1944" s="25">
        <v>0.0</v>
      </c>
      <c r="G1944" s="27"/>
    </row>
    <row r="1945">
      <c r="A1945" s="21"/>
      <c r="B1945" s="21" t="s">
        <v>8178</v>
      </c>
      <c r="D1945" s="25">
        <v>10.0</v>
      </c>
      <c r="E1945" s="27"/>
      <c r="F1945" s="25">
        <v>0.0</v>
      </c>
      <c r="G1945" s="27"/>
    </row>
    <row r="1946">
      <c r="A1946" s="21"/>
      <c r="B1946" s="21" t="s">
        <v>8179</v>
      </c>
      <c r="D1946" s="25">
        <v>10.0</v>
      </c>
      <c r="E1946" s="27"/>
      <c r="F1946" s="25">
        <v>0.0</v>
      </c>
      <c r="G1946" s="27"/>
    </row>
    <row r="1947">
      <c r="A1947" s="21"/>
      <c r="B1947" s="21" t="s">
        <v>8180</v>
      </c>
      <c r="D1947" s="25">
        <v>10.0</v>
      </c>
      <c r="E1947" s="27"/>
      <c r="F1947" s="25">
        <v>0.0</v>
      </c>
      <c r="G1947" s="27"/>
    </row>
    <row r="1948">
      <c r="A1948" s="21"/>
      <c r="B1948" s="21" t="s">
        <v>8181</v>
      </c>
      <c r="D1948" s="25">
        <v>10.0</v>
      </c>
      <c r="E1948" s="27"/>
      <c r="F1948" s="25">
        <v>0.0</v>
      </c>
      <c r="G1948" s="27"/>
    </row>
    <row r="1949">
      <c r="A1949" s="21"/>
      <c r="B1949" s="21" t="s">
        <v>8182</v>
      </c>
      <c r="D1949" s="25">
        <v>10.0</v>
      </c>
      <c r="E1949" s="27"/>
      <c r="F1949" s="25">
        <v>0.0</v>
      </c>
      <c r="G1949" s="27"/>
    </row>
    <row r="1950">
      <c r="A1950" s="21"/>
      <c r="B1950" s="21" t="s">
        <v>8183</v>
      </c>
      <c r="D1950" s="25">
        <v>10.0</v>
      </c>
      <c r="E1950" s="27"/>
      <c r="F1950" s="25">
        <v>0.0</v>
      </c>
      <c r="G1950" s="27"/>
    </row>
    <row r="1951">
      <c r="A1951" s="21"/>
      <c r="B1951" s="21" t="s">
        <v>8184</v>
      </c>
      <c r="D1951" s="25">
        <v>10.0</v>
      </c>
      <c r="E1951" s="27"/>
      <c r="F1951" s="25">
        <v>0.0</v>
      </c>
      <c r="G1951" s="27"/>
    </row>
    <row r="1952">
      <c r="A1952" s="21"/>
      <c r="B1952" s="21" t="s">
        <v>8185</v>
      </c>
      <c r="D1952" s="25">
        <v>10.0</v>
      </c>
      <c r="E1952" s="27"/>
      <c r="F1952" s="25">
        <v>0.0</v>
      </c>
      <c r="G1952" s="27"/>
    </row>
    <row r="1953">
      <c r="A1953" s="21"/>
      <c r="B1953" s="21" t="s">
        <v>8186</v>
      </c>
      <c r="D1953" s="25">
        <v>10.0</v>
      </c>
      <c r="E1953" s="27"/>
      <c r="F1953" s="25">
        <v>0.0</v>
      </c>
      <c r="G1953" s="27"/>
    </row>
    <row r="1954">
      <c r="A1954" s="21"/>
      <c r="B1954" s="21" t="s">
        <v>8187</v>
      </c>
      <c r="D1954" s="25">
        <v>10.0</v>
      </c>
      <c r="E1954" s="27"/>
      <c r="F1954" s="25">
        <v>0.0</v>
      </c>
      <c r="G1954" s="27"/>
    </row>
    <row r="1955">
      <c r="A1955" s="21"/>
      <c r="B1955" s="21" t="s">
        <v>8188</v>
      </c>
      <c r="D1955" s="25">
        <v>10.0</v>
      </c>
      <c r="E1955" s="27"/>
      <c r="F1955" s="25">
        <v>0.0</v>
      </c>
      <c r="G1955" s="27"/>
    </row>
    <row r="1956">
      <c r="A1956" s="21"/>
      <c r="B1956" s="21" t="s">
        <v>8189</v>
      </c>
      <c r="D1956" s="25">
        <v>10.0</v>
      </c>
      <c r="E1956" s="27"/>
      <c r="F1956" s="25">
        <v>0.0</v>
      </c>
      <c r="G1956" s="27"/>
    </row>
    <row r="1957">
      <c r="A1957" s="21"/>
      <c r="B1957" s="21" t="s">
        <v>8190</v>
      </c>
      <c r="D1957" s="25">
        <v>10.0</v>
      </c>
      <c r="E1957" s="27"/>
      <c r="F1957" s="25">
        <v>0.0</v>
      </c>
      <c r="G1957" s="27"/>
    </row>
    <row r="1958">
      <c r="A1958" s="21"/>
      <c r="B1958" s="21" t="s">
        <v>8191</v>
      </c>
      <c r="D1958" s="25">
        <v>10.0</v>
      </c>
      <c r="E1958" s="27"/>
      <c r="F1958" s="25">
        <v>0.0</v>
      </c>
      <c r="G1958" s="27"/>
    </row>
    <row r="1959">
      <c r="A1959" s="21"/>
      <c r="B1959" s="21" t="s">
        <v>8192</v>
      </c>
      <c r="D1959" s="25">
        <v>10.0</v>
      </c>
      <c r="E1959" s="27"/>
      <c r="F1959" s="25">
        <v>0.0</v>
      </c>
      <c r="G1959" s="27"/>
    </row>
    <row r="1960">
      <c r="A1960" s="21"/>
      <c r="B1960" s="21" t="s">
        <v>8193</v>
      </c>
      <c r="D1960" s="25">
        <v>10.0</v>
      </c>
      <c r="E1960" s="27"/>
      <c r="F1960" s="25">
        <v>0.0</v>
      </c>
      <c r="G1960" s="27"/>
    </row>
    <row r="1961">
      <c r="A1961" s="21"/>
      <c r="B1961" s="21" t="s">
        <v>8194</v>
      </c>
      <c r="D1961" s="25">
        <v>10.0</v>
      </c>
      <c r="E1961" s="27"/>
      <c r="F1961" s="25">
        <v>0.0</v>
      </c>
      <c r="G1961" s="27"/>
    </row>
    <row r="1962">
      <c r="A1962" s="21"/>
      <c r="B1962" s="21" t="s">
        <v>8195</v>
      </c>
      <c r="D1962" s="25">
        <v>10.0</v>
      </c>
      <c r="E1962" s="27"/>
      <c r="F1962" s="25">
        <v>0.0</v>
      </c>
      <c r="G1962" s="27"/>
    </row>
    <row r="1963">
      <c r="A1963" s="21"/>
      <c r="B1963" s="21" t="s">
        <v>8196</v>
      </c>
      <c r="D1963" s="25">
        <v>10.0</v>
      </c>
      <c r="E1963" s="27"/>
      <c r="F1963" s="25">
        <v>0.0</v>
      </c>
      <c r="G1963" s="27"/>
    </row>
    <row r="1964">
      <c r="A1964" s="21"/>
      <c r="B1964" s="21" t="s">
        <v>8197</v>
      </c>
      <c r="D1964" s="25">
        <v>10.0</v>
      </c>
      <c r="E1964" s="27"/>
      <c r="F1964" s="25">
        <v>0.0</v>
      </c>
      <c r="G1964" s="27"/>
    </row>
    <row r="1965">
      <c r="A1965" s="21"/>
      <c r="B1965" s="21" t="s">
        <v>8198</v>
      </c>
      <c r="D1965" s="25">
        <v>10.0</v>
      </c>
      <c r="E1965" s="27"/>
      <c r="F1965" s="25">
        <v>0.0</v>
      </c>
      <c r="G1965" s="27"/>
    </row>
    <row r="1966">
      <c r="A1966" s="21"/>
      <c r="B1966" s="21" t="s">
        <v>8199</v>
      </c>
      <c r="D1966" s="25">
        <v>10.0</v>
      </c>
      <c r="E1966" s="27"/>
      <c r="F1966" s="25">
        <v>0.0</v>
      </c>
      <c r="G1966" s="27"/>
    </row>
    <row r="1967">
      <c r="A1967" s="21"/>
      <c r="B1967" s="21" t="s">
        <v>8200</v>
      </c>
      <c r="D1967" s="25">
        <v>10.0</v>
      </c>
      <c r="E1967" s="27"/>
      <c r="F1967" s="25">
        <v>0.0</v>
      </c>
      <c r="G1967" s="27"/>
    </row>
    <row r="1968">
      <c r="A1968" s="21"/>
      <c r="B1968" s="21" t="s">
        <v>8201</v>
      </c>
      <c r="D1968" s="25">
        <v>10.0</v>
      </c>
      <c r="E1968" s="27"/>
      <c r="F1968" s="25">
        <v>0.0</v>
      </c>
      <c r="G1968" s="27"/>
    </row>
    <row r="1969">
      <c r="A1969" s="21"/>
      <c r="B1969" s="21" t="s">
        <v>8202</v>
      </c>
      <c r="D1969" s="25">
        <v>10.0</v>
      </c>
      <c r="E1969" s="27"/>
      <c r="F1969" s="25">
        <v>6.1</v>
      </c>
      <c r="G1969" s="27"/>
    </row>
    <row r="1970">
      <c r="A1970" s="21"/>
      <c r="B1970" s="21" t="s">
        <v>8203</v>
      </c>
      <c r="D1970" s="25">
        <v>10.0</v>
      </c>
      <c r="E1970" s="27"/>
      <c r="F1970" s="25">
        <v>0.0</v>
      </c>
      <c r="G1970" s="27"/>
    </row>
    <row r="1971">
      <c r="A1971" s="21"/>
      <c r="B1971" s="21" t="s">
        <v>8204</v>
      </c>
      <c r="D1971" s="25">
        <v>10.0</v>
      </c>
      <c r="E1971" s="27"/>
      <c r="F1971" s="25">
        <v>0.0</v>
      </c>
      <c r="G1971" s="27"/>
    </row>
    <row r="1972">
      <c r="A1972" s="21"/>
      <c r="B1972" s="21" t="s">
        <v>8205</v>
      </c>
      <c r="D1972" s="25">
        <v>10.0</v>
      </c>
      <c r="E1972" s="27"/>
      <c r="F1972" s="25">
        <v>0.0</v>
      </c>
      <c r="G1972" s="27"/>
    </row>
    <row r="1973">
      <c r="A1973" s="21"/>
      <c r="B1973" s="21" t="s">
        <v>8206</v>
      </c>
      <c r="D1973" s="25">
        <v>10.0</v>
      </c>
      <c r="E1973" s="27"/>
      <c r="F1973" s="25">
        <v>0.0</v>
      </c>
      <c r="G1973" s="27"/>
    </row>
    <row r="1974">
      <c r="A1974" s="21"/>
      <c r="B1974" s="21" t="s">
        <v>8207</v>
      </c>
      <c r="D1974" s="25">
        <v>10.0</v>
      </c>
      <c r="E1974" s="27"/>
      <c r="F1974" s="25">
        <v>0.0</v>
      </c>
      <c r="G1974" s="27"/>
    </row>
    <row r="1975">
      <c r="A1975" s="21"/>
      <c r="B1975" s="21" t="s">
        <v>8208</v>
      </c>
      <c r="D1975" s="25">
        <v>10.0</v>
      </c>
      <c r="E1975" s="27"/>
      <c r="F1975" s="25">
        <v>0.0</v>
      </c>
      <c r="G1975" s="27"/>
    </row>
    <row r="1976">
      <c r="A1976" s="21"/>
      <c r="B1976" s="21" t="s">
        <v>8209</v>
      </c>
      <c r="D1976" s="25">
        <v>10.0</v>
      </c>
      <c r="E1976" s="27"/>
      <c r="F1976" s="25">
        <v>0.0</v>
      </c>
      <c r="G1976" s="27"/>
    </row>
    <row r="1977">
      <c r="A1977" s="21"/>
      <c r="B1977" s="21" t="s">
        <v>8210</v>
      </c>
      <c r="D1977" s="25">
        <v>10.0</v>
      </c>
      <c r="E1977" s="27"/>
      <c r="F1977" s="25">
        <v>0.0</v>
      </c>
      <c r="G1977" s="27"/>
    </row>
    <row r="1978">
      <c r="A1978" s="21"/>
      <c r="B1978" s="21" t="s">
        <v>8211</v>
      </c>
      <c r="D1978" s="25">
        <v>10.0</v>
      </c>
      <c r="E1978" s="27"/>
      <c r="F1978" s="25">
        <v>0.0</v>
      </c>
      <c r="G1978" s="27"/>
    </row>
    <row r="1979">
      <c r="A1979" s="21"/>
      <c r="B1979" s="21" t="s">
        <v>8212</v>
      </c>
      <c r="D1979" s="25">
        <v>10.0</v>
      </c>
      <c r="E1979" s="27"/>
      <c r="F1979" s="25">
        <v>4.22</v>
      </c>
      <c r="G1979" s="27"/>
    </row>
    <row r="1980">
      <c r="A1980" s="21"/>
      <c r="B1980" s="21" t="s">
        <v>8213</v>
      </c>
      <c r="D1980" s="25">
        <v>10.0</v>
      </c>
      <c r="E1980" s="27"/>
      <c r="F1980" s="25">
        <v>0.0</v>
      </c>
      <c r="G1980" s="27"/>
    </row>
    <row r="1981">
      <c r="A1981" s="21"/>
      <c r="B1981" s="21" t="s">
        <v>8214</v>
      </c>
      <c r="D1981" s="25">
        <v>10.0</v>
      </c>
      <c r="E1981" s="27"/>
      <c r="F1981" s="25">
        <v>0.0</v>
      </c>
      <c r="G1981" s="27"/>
    </row>
    <row r="1982">
      <c r="A1982" s="21"/>
      <c r="B1982" s="21" t="s">
        <v>8215</v>
      </c>
      <c r="D1982" s="25">
        <v>10.0</v>
      </c>
      <c r="E1982" s="27"/>
      <c r="F1982" s="25">
        <v>0.0</v>
      </c>
      <c r="G1982" s="27"/>
    </row>
    <row r="1983">
      <c r="A1983" s="21"/>
      <c r="B1983" s="21" t="s">
        <v>8216</v>
      </c>
      <c r="D1983" s="25">
        <v>10.0</v>
      </c>
      <c r="E1983" s="27"/>
      <c r="F1983" s="25">
        <v>0.0</v>
      </c>
      <c r="G1983" s="27"/>
    </row>
    <row r="1984">
      <c r="A1984" s="21"/>
      <c r="B1984" s="21" t="s">
        <v>8217</v>
      </c>
      <c r="D1984" s="25">
        <v>10.0</v>
      </c>
      <c r="E1984" s="27"/>
      <c r="F1984" s="25">
        <v>0.0</v>
      </c>
      <c r="G1984" s="27"/>
    </row>
    <row r="1985">
      <c r="A1985" s="21"/>
      <c r="B1985" s="21" t="s">
        <v>8218</v>
      </c>
      <c r="D1985" s="25">
        <v>10.0</v>
      </c>
      <c r="E1985" s="27"/>
      <c r="F1985" s="25">
        <v>7.17</v>
      </c>
      <c r="G1985" s="27"/>
    </row>
    <row r="1986">
      <c r="A1986" s="21"/>
      <c r="B1986" s="21" t="s">
        <v>8219</v>
      </c>
      <c r="D1986" s="25">
        <v>10.0</v>
      </c>
      <c r="E1986" s="27"/>
      <c r="F1986" s="25">
        <v>0.0</v>
      </c>
      <c r="G1986" s="27"/>
    </row>
    <row r="1987">
      <c r="A1987" s="21"/>
      <c r="B1987" s="21" t="s">
        <v>8220</v>
      </c>
      <c r="D1987" s="25">
        <v>10.0</v>
      </c>
      <c r="E1987" s="27"/>
      <c r="F1987" s="25">
        <v>0.0</v>
      </c>
      <c r="G1987" s="27"/>
    </row>
    <row r="1988">
      <c r="A1988" s="21"/>
      <c r="B1988" s="21" t="s">
        <v>8221</v>
      </c>
      <c r="D1988" s="25">
        <v>10.0</v>
      </c>
      <c r="E1988" s="27"/>
      <c r="F1988" s="25">
        <v>0.0</v>
      </c>
      <c r="G1988" s="27"/>
    </row>
    <row r="1989">
      <c r="A1989" s="21"/>
      <c r="B1989" s="21" t="s">
        <v>8222</v>
      </c>
      <c r="D1989" s="25">
        <v>10.0</v>
      </c>
      <c r="E1989" s="27"/>
      <c r="F1989" s="25">
        <v>7.1</v>
      </c>
      <c r="G1989" s="27"/>
    </row>
    <row r="1990">
      <c r="A1990" s="21"/>
      <c r="B1990" s="21" t="s">
        <v>8223</v>
      </c>
      <c r="D1990" s="25">
        <v>10.0</v>
      </c>
      <c r="E1990" s="27"/>
      <c r="F1990" s="25">
        <v>0.0</v>
      </c>
      <c r="G1990" s="27"/>
    </row>
    <row r="1991">
      <c r="A1991" s="21"/>
      <c r="B1991" s="21" t="s">
        <v>8224</v>
      </c>
      <c r="D1991" s="25">
        <v>10.0</v>
      </c>
      <c r="E1991" s="27"/>
      <c r="F1991" s="25">
        <v>0.0</v>
      </c>
      <c r="G1991" s="27"/>
    </row>
    <row r="1992">
      <c r="A1992" s="21"/>
      <c r="B1992" s="21" t="s">
        <v>8225</v>
      </c>
      <c r="D1992" s="25">
        <v>10.0</v>
      </c>
      <c r="E1992" s="27"/>
      <c r="F1992" s="25">
        <v>0.0</v>
      </c>
      <c r="G1992" s="27"/>
    </row>
    <row r="1993">
      <c r="A1993" s="21"/>
      <c r="B1993" s="21" t="s">
        <v>8226</v>
      </c>
      <c r="D1993" s="25">
        <v>10.0</v>
      </c>
      <c r="E1993" s="27"/>
      <c r="F1993" s="25">
        <v>0.0</v>
      </c>
      <c r="G1993" s="27"/>
    </row>
    <row r="1994">
      <c r="A1994" s="21"/>
      <c r="B1994" s="21" t="s">
        <v>8227</v>
      </c>
      <c r="D1994" s="25">
        <v>10.0</v>
      </c>
      <c r="E1994" s="27"/>
      <c r="F1994" s="25">
        <v>0.0</v>
      </c>
      <c r="G1994" s="27"/>
    </row>
    <row r="1995">
      <c r="A1995" s="21"/>
      <c r="B1995" s="21" t="s">
        <v>8228</v>
      </c>
      <c r="D1995" s="25">
        <v>10.0</v>
      </c>
      <c r="E1995" s="27"/>
      <c r="F1995" s="25">
        <v>0.0</v>
      </c>
      <c r="G1995" s="27"/>
    </row>
    <row r="1996">
      <c r="A1996" s="21"/>
      <c r="B1996" s="21" t="s">
        <v>8229</v>
      </c>
      <c r="D1996" s="25">
        <v>10.0</v>
      </c>
      <c r="E1996" s="27"/>
      <c r="F1996" s="25">
        <v>0.0</v>
      </c>
      <c r="G1996" s="27"/>
    </row>
    <row r="1997">
      <c r="A1997" s="21"/>
      <c r="B1997" s="21" t="s">
        <v>8230</v>
      </c>
      <c r="D1997" s="25">
        <v>10.0</v>
      </c>
      <c r="E1997" s="27"/>
      <c r="F1997" s="25">
        <v>0.0</v>
      </c>
      <c r="G1997" s="27"/>
    </row>
    <row r="1998">
      <c r="A1998" s="21"/>
      <c r="B1998" s="21" t="s">
        <v>8231</v>
      </c>
      <c r="D1998" s="25">
        <v>10.0</v>
      </c>
      <c r="E1998" s="27"/>
      <c r="F1998" s="25">
        <v>0.0</v>
      </c>
      <c r="G1998" s="27"/>
    </row>
    <row r="1999">
      <c r="A1999" s="21"/>
      <c r="B1999" s="21" t="s">
        <v>8232</v>
      </c>
      <c r="D1999" s="25">
        <v>10.0</v>
      </c>
      <c r="E1999" s="27"/>
      <c r="F1999" s="25">
        <v>0.0</v>
      </c>
      <c r="G1999" s="27"/>
    </row>
    <row r="2000">
      <c r="A2000" s="21"/>
      <c r="B2000" s="21" t="s">
        <v>8233</v>
      </c>
      <c r="D2000" s="25">
        <v>10.0</v>
      </c>
      <c r="E2000" s="27"/>
      <c r="F2000" s="25">
        <v>0.0</v>
      </c>
      <c r="G2000" s="27"/>
    </row>
    <row r="2001">
      <c r="A2001" s="21"/>
      <c r="B2001" s="21" t="s">
        <v>8234</v>
      </c>
      <c r="D2001" s="25">
        <v>10.0</v>
      </c>
      <c r="E2001" s="27"/>
      <c r="F2001" s="25">
        <v>0.0</v>
      </c>
      <c r="G2001" s="27"/>
    </row>
    <row r="2002">
      <c r="A2002" s="21"/>
      <c r="B2002" s="21" t="s">
        <v>8235</v>
      </c>
      <c r="D2002" s="25">
        <v>10.0</v>
      </c>
      <c r="E2002" s="27"/>
      <c r="F2002" s="25">
        <v>0.0</v>
      </c>
      <c r="G2002" s="27"/>
    </row>
    <row r="2003">
      <c r="A2003" s="21"/>
      <c r="B2003" s="21" t="s">
        <v>8236</v>
      </c>
      <c r="D2003" s="25">
        <v>10.0</v>
      </c>
      <c r="E2003" s="27"/>
      <c r="F2003" s="25">
        <v>0.0</v>
      </c>
      <c r="G2003" s="27"/>
    </row>
    <row r="2004">
      <c r="A2004" s="21"/>
      <c r="B2004" s="21" t="s">
        <v>8237</v>
      </c>
      <c r="D2004" s="25">
        <v>10.0</v>
      </c>
      <c r="E2004" s="27"/>
      <c r="F2004" s="25">
        <v>0.0</v>
      </c>
      <c r="G2004" s="27"/>
    </row>
    <row r="2005">
      <c r="A2005" s="21"/>
      <c r="B2005" s="21" t="s">
        <v>8238</v>
      </c>
      <c r="D2005" s="25">
        <v>10.0</v>
      </c>
      <c r="E2005" s="27"/>
      <c r="F2005" s="25">
        <v>0.0</v>
      </c>
      <c r="G2005" s="27"/>
    </row>
    <row r="2006">
      <c r="A2006" s="21"/>
      <c r="B2006" s="21" t="s">
        <v>8239</v>
      </c>
      <c r="D2006" s="25">
        <v>10.0</v>
      </c>
      <c r="E2006" s="27"/>
      <c r="F2006" s="25">
        <v>0.0</v>
      </c>
      <c r="G2006" s="27"/>
    </row>
    <row r="2007">
      <c r="A2007" s="21"/>
      <c r="B2007" s="21" t="s">
        <v>8240</v>
      </c>
      <c r="D2007" s="25">
        <v>10.0</v>
      </c>
      <c r="E2007" s="27"/>
      <c r="F2007" s="25">
        <v>0.0</v>
      </c>
      <c r="G2007" s="27"/>
    </row>
    <row r="2008">
      <c r="A2008" s="21"/>
      <c r="B2008" s="21" t="s">
        <v>8241</v>
      </c>
      <c r="D2008" s="25">
        <v>10.0</v>
      </c>
      <c r="E2008" s="27"/>
      <c r="F2008" s="25">
        <v>0.0</v>
      </c>
      <c r="G2008" s="27"/>
    </row>
    <row r="2009">
      <c r="A2009" s="21"/>
      <c r="B2009" s="21" t="s">
        <v>8242</v>
      </c>
      <c r="D2009" s="25">
        <v>10.0</v>
      </c>
      <c r="E2009" s="27"/>
      <c r="F2009" s="25">
        <v>0.0</v>
      </c>
      <c r="G2009" s="27"/>
    </row>
    <row r="2010">
      <c r="A2010" s="21"/>
      <c r="B2010" s="21" t="s">
        <v>8243</v>
      </c>
      <c r="D2010" s="25">
        <v>10.0</v>
      </c>
      <c r="E2010" s="27"/>
      <c r="F2010" s="25">
        <v>0.0</v>
      </c>
      <c r="G2010" s="27"/>
    </row>
    <row r="2011">
      <c r="A2011" s="21"/>
      <c r="B2011" s="21" t="s">
        <v>8244</v>
      </c>
      <c r="D2011" s="25">
        <v>10.0</v>
      </c>
      <c r="E2011" s="27"/>
      <c r="F2011" s="25">
        <v>0.0</v>
      </c>
      <c r="G2011" s="27"/>
    </row>
    <row r="2012">
      <c r="A2012" s="21"/>
      <c r="B2012" s="21" t="s">
        <v>8245</v>
      </c>
      <c r="D2012" s="25">
        <v>10.0</v>
      </c>
      <c r="E2012" s="27"/>
      <c r="F2012" s="25">
        <v>0.0</v>
      </c>
      <c r="G2012" s="27"/>
    </row>
    <row r="2013">
      <c r="A2013" s="21"/>
      <c r="B2013" s="21" t="s">
        <v>8246</v>
      </c>
      <c r="D2013" s="25">
        <v>10.0</v>
      </c>
      <c r="E2013" s="27"/>
      <c r="F2013" s="25">
        <v>0.0</v>
      </c>
      <c r="G2013" s="27"/>
    </row>
    <row r="2014">
      <c r="A2014" s="21"/>
      <c r="B2014" s="21" t="s">
        <v>8247</v>
      </c>
      <c r="D2014" s="25">
        <v>10.0</v>
      </c>
      <c r="E2014" s="27"/>
      <c r="F2014" s="25">
        <v>0.0</v>
      </c>
      <c r="G2014" s="27"/>
    </row>
    <row r="2015">
      <c r="A2015" s="21"/>
      <c r="B2015" s="21" t="s">
        <v>8248</v>
      </c>
      <c r="D2015" s="25">
        <v>10.0</v>
      </c>
      <c r="E2015" s="27"/>
      <c r="F2015" s="25">
        <v>0.0</v>
      </c>
      <c r="G2015" s="27"/>
    </row>
    <row r="2016">
      <c r="A2016" s="21"/>
      <c r="B2016" s="21" t="s">
        <v>8249</v>
      </c>
      <c r="D2016" s="25">
        <v>10.0</v>
      </c>
      <c r="E2016" s="27"/>
      <c r="F2016" s="25">
        <v>0.0</v>
      </c>
      <c r="G2016" s="27"/>
    </row>
    <row r="2017">
      <c r="A2017" s="21"/>
      <c r="B2017" s="21" t="s">
        <v>8250</v>
      </c>
      <c r="D2017" s="25">
        <v>10.0</v>
      </c>
      <c r="E2017" s="27"/>
      <c r="F2017" s="25">
        <v>0.0</v>
      </c>
      <c r="G2017" s="27"/>
    </row>
    <row r="2018">
      <c r="A2018" s="21"/>
      <c r="B2018" s="21" t="s">
        <v>8251</v>
      </c>
      <c r="D2018" s="25">
        <v>10.0</v>
      </c>
      <c r="E2018" s="27"/>
      <c r="F2018" s="25">
        <v>0.0</v>
      </c>
      <c r="G2018" s="27"/>
    </row>
    <row r="2019">
      <c r="A2019" s="21"/>
      <c r="B2019" s="21" t="s">
        <v>8252</v>
      </c>
      <c r="D2019" s="25">
        <v>10.0</v>
      </c>
      <c r="E2019" s="27"/>
      <c r="F2019" s="25">
        <v>0.0</v>
      </c>
      <c r="G2019" s="27"/>
    </row>
    <row r="2020">
      <c r="A2020" s="21"/>
      <c r="B2020" s="21" t="s">
        <v>8253</v>
      </c>
      <c r="D2020" s="25">
        <v>10.0</v>
      </c>
      <c r="E2020" s="27"/>
      <c r="F2020" s="25">
        <v>0.0</v>
      </c>
      <c r="G2020" s="27"/>
    </row>
    <row r="2021">
      <c r="A2021" s="21"/>
      <c r="B2021" s="21" t="s">
        <v>8254</v>
      </c>
      <c r="D2021" s="25">
        <v>10.0</v>
      </c>
      <c r="E2021" s="27"/>
      <c r="F2021" s="25">
        <v>0.0</v>
      </c>
      <c r="G2021" s="27"/>
    </row>
    <row r="2022">
      <c r="A2022" s="21"/>
      <c r="B2022" s="21" t="s">
        <v>8255</v>
      </c>
      <c r="D2022" s="25">
        <v>10.0</v>
      </c>
      <c r="E2022" s="27"/>
      <c r="F2022" s="25">
        <v>0.0</v>
      </c>
      <c r="G2022" s="27"/>
    </row>
    <row r="2023">
      <c r="A2023" s="21"/>
      <c r="B2023" s="21" t="s">
        <v>8256</v>
      </c>
      <c r="D2023" s="25">
        <v>10.0</v>
      </c>
      <c r="E2023" s="27"/>
      <c r="F2023" s="25">
        <v>0.0</v>
      </c>
      <c r="G2023" s="27"/>
    </row>
    <row r="2024">
      <c r="A2024" s="21"/>
      <c r="B2024" s="21" t="s">
        <v>8257</v>
      </c>
      <c r="D2024" s="25">
        <v>10.0</v>
      </c>
      <c r="E2024" s="27"/>
      <c r="F2024" s="25">
        <v>0.0</v>
      </c>
      <c r="G2024" s="27"/>
    </row>
    <row r="2025">
      <c r="A2025" s="21"/>
      <c r="B2025" s="21" t="s">
        <v>8258</v>
      </c>
      <c r="D2025" s="25">
        <v>10.0</v>
      </c>
      <c r="E2025" s="27"/>
      <c r="F2025" s="25">
        <v>0.0</v>
      </c>
      <c r="G2025" s="27"/>
    </row>
    <row r="2026">
      <c r="A2026" s="21"/>
      <c r="B2026" s="21" t="s">
        <v>8259</v>
      </c>
      <c r="D2026" s="25">
        <v>10.0</v>
      </c>
      <c r="E2026" s="27"/>
      <c r="F2026" s="25">
        <v>0.0</v>
      </c>
      <c r="G2026" s="27"/>
    </row>
    <row r="2027">
      <c r="A2027" s="21"/>
      <c r="B2027" s="21" t="s">
        <v>8260</v>
      </c>
      <c r="D2027" s="25">
        <v>10.0</v>
      </c>
      <c r="E2027" s="27"/>
      <c r="F2027" s="25">
        <v>0.0</v>
      </c>
      <c r="G2027" s="27"/>
    </row>
    <row r="2028">
      <c r="A2028" s="21"/>
      <c r="B2028" s="21" t="s">
        <v>8261</v>
      </c>
      <c r="D2028" s="25">
        <v>10.0</v>
      </c>
      <c r="E2028" s="27"/>
      <c r="F2028" s="25">
        <v>0.0</v>
      </c>
      <c r="G2028" s="27"/>
    </row>
    <row r="2029">
      <c r="A2029" s="21"/>
      <c r="B2029" s="21" t="s">
        <v>8262</v>
      </c>
      <c r="D2029" s="25">
        <v>10.0</v>
      </c>
      <c r="E2029" s="27"/>
      <c r="F2029" s="25">
        <v>0.0</v>
      </c>
      <c r="G2029" s="27"/>
    </row>
    <row r="2030">
      <c r="A2030" s="21"/>
      <c r="B2030" s="21" t="s">
        <v>8263</v>
      </c>
      <c r="D2030" s="25">
        <v>10.0</v>
      </c>
      <c r="E2030" s="27"/>
      <c r="F2030" s="25">
        <v>0.0</v>
      </c>
      <c r="G2030" s="27"/>
    </row>
    <row r="2031">
      <c r="A2031" s="21"/>
      <c r="B2031" s="21" t="s">
        <v>8264</v>
      </c>
      <c r="D2031" s="25">
        <v>10.0</v>
      </c>
      <c r="E2031" s="27"/>
      <c r="F2031" s="25">
        <v>0.0</v>
      </c>
      <c r="G2031" s="27"/>
    </row>
    <row r="2032">
      <c r="A2032" s="21"/>
      <c r="B2032" s="21" t="s">
        <v>8265</v>
      </c>
      <c r="D2032" s="25">
        <v>10.0</v>
      </c>
      <c r="E2032" s="27"/>
      <c r="F2032" s="25">
        <v>0.0</v>
      </c>
      <c r="G2032" s="27"/>
    </row>
    <row r="2033">
      <c r="A2033" s="21"/>
      <c r="B2033" s="21" t="s">
        <v>8266</v>
      </c>
      <c r="D2033" s="25">
        <v>10.0</v>
      </c>
      <c r="E2033" s="27"/>
      <c r="F2033" s="25">
        <v>0.0</v>
      </c>
      <c r="G2033" s="27"/>
    </row>
    <row r="2034">
      <c r="A2034" s="21"/>
      <c r="B2034" s="21" t="s">
        <v>8267</v>
      </c>
      <c r="D2034" s="25">
        <v>10.0</v>
      </c>
      <c r="E2034" s="27"/>
      <c r="F2034" s="25">
        <v>0.0</v>
      </c>
      <c r="G2034" s="27"/>
    </row>
    <row r="2035">
      <c r="A2035" s="21"/>
      <c r="B2035" s="21" t="s">
        <v>8268</v>
      </c>
      <c r="D2035" s="25">
        <v>10.0</v>
      </c>
      <c r="E2035" s="27"/>
      <c r="F2035" s="25">
        <v>0.0</v>
      </c>
      <c r="G2035" s="27"/>
    </row>
    <row r="2036">
      <c r="A2036" s="21"/>
      <c r="B2036" s="21" t="s">
        <v>8269</v>
      </c>
      <c r="D2036" s="25">
        <v>10.0</v>
      </c>
      <c r="E2036" s="27"/>
      <c r="F2036" s="25">
        <v>0.0</v>
      </c>
      <c r="G2036" s="27"/>
    </row>
    <row r="2037">
      <c r="A2037" s="21"/>
      <c r="B2037" s="21" t="s">
        <v>8270</v>
      </c>
      <c r="D2037" s="25">
        <v>10.0</v>
      </c>
      <c r="E2037" s="27"/>
      <c r="F2037" s="25">
        <v>0.0</v>
      </c>
      <c r="G2037" s="27"/>
    </row>
    <row r="2038">
      <c r="A2038" s="21"/>
      <c r="B2038" s="21" t="s">
        <v>8271</v>
      </c>
      <c r="D2038" s="25">
        <v>10.0</v>
      </c>
      <c r="E2038" s="27"/>
      <c r="F2038" s="25">
        <v>0.0</v>
      </c>
      <c r="G2038" s="27"/>
    </row>
    <row r="2039">
      <c r="A2039" s="21"/>
      <c r="B2039" s="21" t="s">
        <v>8272</v>
      </c>
      <c r="D2039" s="25">
        <v>10.0</v>
      </c>
      <c r="E2039" s="27"/>
      <c r="F2039" s="25">
        <v>3.67</v>
      </c>
      <c r="G2039" s="27"/>
    </row>
    <row r="2040">
      <c r="A2040" s="21"/>
      <c r="B2040" s="21" t="s">
        <v>8273</v>
      </c>
      <c r="D2040" s="25">
        <v>10.0</v>
      </c>
      <c r="E2040" s="27"/>
      <c r="F2040" s="25">
        <v>1.85</v>
      </c>
      <c r="G2040" s="27"/>
    </row>
    <row r="2041">
      <c r="A2041" s="21"/>
      <c r="B2041" s="21" t="s">
        <v>8274</v>
      </c>
      <c r="D2041" s="25">
        <v>10.0</v>
      </c>
      <c r="E2041" s="27"/>
      <c r="F2041" s="25">
        <v>1.63</v>
      </c>
      <c r="G2041" s="27"/>
    </row>
    <row r="2042">
      <c r="A2042" s="21"/>
      <c r="B2042" s="21" t="s">
        <v>8275</v>
      </c>
      <c r="D2042" s="25">
        <v>10.0</v>
      </c>
      <c r="E2042" s="27"/>
      <c r="F2042" s="25">
        <v>0.0</v>
      </c>
      <c r="G2042" s="27"/>
    </row>
    <row r="2043">
      <c r="A2043" s="21"/>
      <c r="B2043" s="21" t="s">
        <v>8276</v>
      </c>
      <c r="D2043" s="25">
        <v>10.0</v>
      </c>
      <c r="E2043" s="27"/>
      <c r="F2043" s="25">
        <v>2.41</v>
      </c>
      <c r="G2043" s="27"/>
    </row>
    <row r="2044">
      <c r="A2044" s="21"/>
      <c r="B2044" s="21" t="s">
        <v>8277</v>
      </c>
      <c r="D2044" s="25">
        <v>10.0</v>
      </c>
      <c r="E2044" s="27"/>
      <c r="F2044" s="25">
        <v>2.56</v>
      </c>
      <c r="G2044" s="27"/>
    </row>
    <row r="2045">
      <c r="A2045" s="21"/>
      <c r="B2045" s="21" t="s">
        <v>8278</v>
      </c>
      <c r="D2045" s="25">
        <v>10.0</v>
      </c>
      <c r="E2045" s="27"/>
      <c r="F2045" s="25">
        <v>0.0</v>
      </c>
      <c r="G2045" s="27"/>
    </row>
    <row r="2046">
      <c r="A2046" s="21"/>
      <c r="B2046" s="21" t="s">
        <v>8279</v>
      </c>
      <c r="D2046" s="25">
        <v>10.0</v>
      </c>
      <c r="E2046" s="27"/>
      <c r="F2046" s="25">
        <v>0.0</v>
      </c>
      <c r="G2046" s="27"/>
    </row>
    <row r="2047">
      <c r="A2047" s="21"/>
      <c r="B2047" s="21" t="s">
        <v>8280</v>
      </c>
      <c r="D2047" s="25">
        <v>10.0</v>
      </c>
      <c r="E2047" s="27"/>
      <c r="F2047" s="25">
        <v>0.0</v>
      </c>
      <c r="G2047" s="27"/>
    </row>
    <row r="2048">
      <c r="A2048" s="21"/>
      <c r="B2048" s="21" t="s">
        <v>8281</v>
      </c>
      <c r="D2048" s="25">
        <v>10.0</v>
      </c>
      <c r="E2048" s="27"/>
      <c r="F2048" s="25">
        <v>0.0</v>
      </c>
      <c r="G2048" s="27"/>
    </row>
    <row r="2049">
      <c r="A2049" s="21"/>
      <c r="B2049" s="21" t="s">
        <v>8282</v>
      </c>
      <c r="D2049" s="25">
        <v>10.0</v>
      </c>
      <c r="E2049" s="27"/>
      <c r="F2049" s="25">
        <v>0.0</v>
      </c>
      <c r="G2049" s="27"/>
    </row>
    <row r="2050">
      <c r="A2050" s="21"/>
      <c r="B2050" s="21" t="s">
        <v>8283</v>
      </c>
      <c r="D2050" s="25">
        <v>10.0</v>
      </c>
      <c r="E2050" s="27"/>
      <c r="F2050" s="25">
        <v>0.0</v>
      </c>
      <c r="G2050" s="27"/>
    </row>
    <row r="2051">
      <c r="A2051" s="21"/>
      <c r="B2051" s="21" t="s">
        <v>8284</v>
      </c>
      <c r="D2051" s="25">
        <v>10.0</v>
      </c>
      <c r="E2051" s="27"/>
      <c r="F2051" s="25">
        <v>0.0</v>
      </c>
      <c r="G2051" s="27"/>
    </row>
    <row r="2052">
      <c r="A2052" s="21"/>
      <c r="B2052" s="21" t="s">
        <v>8285</v>
      </c>
      <c r="D2052" s="25">
        <v>10.0</v>
      </c>
      <c r="E2052" s="27"/>
      <c r="F2052" s="25">
        <v>0.0</v>
      </c>
      <c r="G2052" s="27"/>
    </row>
    <row r="2053">
      <c r="A2053" s="21"/>
      <c r="B2053" s="21" t="s">
        <v>8286</v>
      </c>
      <c r="D2053" s="25">
        <v>10.0</v>
      </c>
      <c r="E2053" s="27"/>
      <c r="F2053" s="25">
        <v>0.0</v>
      </c>
      <c r="G2053" s="27"/>
    </row>
    <row r="2054">
      <c r="A2054" s="21"/>
      <c r="B2054" s="21" t="s">
        <v>8287</v>
      </c>
      <c r="D2054" s="25">
        <v>10.0</v>
      </c>
      <c r="E2054" s="27"/>
      <c r="F2054" s="25">
        <v>0.0</v>
      </c>
      <c r="G2054" s="27"/>
    </row>
    <row r="2055">
      <c r="A2055" s="21"/>
      <c r="B2055" s="21" t="s">
        <v>8288</v>
      </c>
      <c r="D2055" s="25">
        <v>10.0</v>
      </c>
      <c r="E2055" s="27"/>
      <c r="F2055" s="25">
        <v>0.0</v>
      </c>
      <c r="G2055" s="27"/>
    </row>
    <row r="2056">
      <c r="A2056" s="21"/>
      <c r="B2056" s="21" t="s">
        <v>8289</v>
      </c>
      <c r="D2056" s="25">
        <v>10.0</v>
      </c>
      <c r="E2056" s="27"/>
      <c r="F2056" s="25">
        <v>0.0</v>
      </c>
      <c r="G2056" s="27"/>
    </row>
    <row r="2057">
      <c r="A2057" s="21"/>
      <c r="B2057" s="21" t="s">
        <v>8290</v>
      </c>
      <c r="D2057" s="25">
        <v>10.0</v>
      </c>
      <c r="E2057" s="27"/>
      <c r="F2057" s="25">
        <v>0.0</v>
      </c>
      <c r="G2057" s="27"/>
    </row>
    <row r="2058">
      <c r="A2058" s="21"/>
      <c r="B2058" s="21" t="s">
        <v>8291</v>
      </c>
      <c r="D2058" s="25">
        <v>10.0</v>
      </c>
      <c r="E2058" s="27"/>
      <c r="F2058" s="25">
        <v>0.0</v>
      </c>
      <c r="G2058" s="27"/>
    </row>
    <row r="2059">
      <c r="A2059" s="21"/>
      <c r="B2059" s="21" t="s">
        <v>8292</v>
      </c>
      <c r="D2059" s="25">
        <v>10.0</v>
      </c>
      <c r="E2059" s="27"/>
      <c r="F2059" s="25">
        <v>0.0</v>
      </c>
      <c r="G2059" s="27"/>
    </row>
    <row r="2060">
      <c r="A2060" s="21"/>
      <c r="B2060" s="21" t="s">
        <v>8293</v>
      </c>
      <c r="D2060" s="25">
        <v>10.0</v>
      </c>
      <c r="E2060" s="27"/>
      <c r="F2060" s="25">
        <v>1.01</v>
      </c>
      <c r="G2060" s="27"/>
    </row>
    <row r="2061">
      <c r="A2061" s="21"/>
      <c r="B2061" s="21" t="s">
        <v>8294</v>
      </c>
      <c r="D2061" s="25">
        <v>10.0</v>
      </c>
      <c r="E2061" s="27"/>
      <c r="F2061" s="25">
        <v>0.0</v>
      </c>
      <c r="G2061" s="27"/>
    </row>
    <row r="2062">
      <c r="A2062" s="21"/>
      <c r="B2062" s="21" t="s">
        <v>8295</v>
      </c>
      <c r="D2062" s="25">
        <v>10.0</v>
      </c>
      <c r="E2062" s="27"/>
      <c r="F2062" s="25">
        <v>0.0</v>
      </c>
      <c r="G2062" s="27"/>
    </row>
    <row r="2063">
      <c r="A2063" s="21"/>
      <c r="B2063" s="21" t="s">
        <v>8296</v>
      </c>
      <c r="D2063" s="25">
        <v>10.0</v>
      </c>
      <c r="E2063" s="27"/>
      <c r="F2063" s="25">
        <v>0.0</v>
      </c>
      <c r="G2063" s="27"/>
    </row>
    <row r="2064">
      <c r="A2064" s="21"/>
      <c r="B2064" s="21" t="s">
        <v>8297</v>
      </c>
      <c r="D2064" s="25">
        <v>10.0</v>
      </c>
      <c r="E2064" s="27"/>
      <c r="F2064" s="25">
        <v>0.0</v>
      </c>
      <c r="G2064" s="27"/>
    </row>
    <row r="2065">
      <c r="A2065" s="21"/>
      <c r="B2065" s="21" t="s">
        <v>8298</v>
      </c>
      <c r="D2065" s="25">
        <v>10.0</v>
      </c>
      <c r="E2065" s="27"/>
      <c r="F2065" s="25">
        <v>0.0</v>
      </c>
      <c r="G2065" s="27"/>
    </row>
    <row r="2066">
      <c r="A2066" s="21"/>
      <c r="B2066" s="21" t="s">
        <v>8299</v>
      </c>
      <c r="D2066" s="25">
        <v>10.0</v>
      </c>
      <c r="E2066" s="27"/>
      <c r="F2066" s="25">
        <v>0.0</v>
      </c>
      <c r="G2066" s="27"/>
    </row>
    <row r="2067">
      <c r="A2067" s="21"/>
      <c r="B2067" s="21" t="s">
        <v>8300</v>
      </c>
      <c r="D2067" s="25">
        <v>10.0</v>
      </c>
      <c r="E2067" s="27"/>
      <c r="F2067" s="25">
        <v>0.0</v>
      </c>
      <c r="G2067" s="27"/>
    </row>
    <row r="2068">
      <c r="A2068" s="21"/>
      <c r="B2068" s="21" t="s">
        <v>8301</v>
      </c>
      <c r="D2068" s="25">
        <v>10.0</v>
      </c>
      <c r="E2068" s="27"/>
      <c r="F2068" s="25">
        <v>0.0</v>
      </c>
      <c r="G2068" s="27"/>
    </row>
    <row r="2069">
      <c r="A2069" s="21"/>
      <c r="B2069" s="21" t="s">
        <v>8302</v>
      </c>
      <c r="D2069" s="25">
        <v>10.0</v>
      </c>
      <c r="E2069" s="27"/>
      <c r="F2069" s="25">
        <v>0.0</v>
      </c>
      <c r="G2069" s="27"/>
    </row>
    <row r="2070">
      <c r="A2070" s="21"/>
      <c r="B2070" s="21" t="s">
        <v>8303</v>
      </c>
      <c r="D2070" s="25">
        <v>10.0</v>
      </c>
      <c r="E2070" s="27"/>
      <c r="F2070" s="25">
        <v>0.0</v>
      </c>
      <c r="G2070" s="27"/>
    </row>
    <row r="2071">
      <c r="A2071" s="21"/>
      <c r="B2071" s="21" t="s">
        <v>8304</v>
      </c>
      <c r="D2071" s="25">
        <v>10.0</v>
      </c>
      <c r="E2071" s="27"/>
      <c r="F2071" s="25">
        <v>0.0</v>
      </c>
      <c r="G2071" s="27"/>
    </row>
    <row r="2072">
      <c r="A2072" s="21"/>
      <c r="B2072" s="21" t="s">
        <v>8305</v>
      </c>
      <c r="D2072" s="25">
        <v>10.0</v>
      </c>
      <c r="E2072" s="27"/>
      <c r="F2072" s="25">
        <v>0.0</v>
      </c>
      <c r="G2072" s="27"/>
    </row>
    <row r="2073">
      <c r="A2073" s="21"/>
      <c r="B2073" s="21" t="s">
        <v>8306</v>
      </c>
      <c r="D2073" s="25">
        <v>10.0</v>
      </c>
      <c r="E2073" s="27"/>
      <c r="F2073" s="25">
        <v>0.0</v>
      </c>
      <c r="G2073" s="27"/>
    </row>
    <row r="2074">
      <c r="A2074" s="21"/>
      <c r="B2074" s="21" t="s">
        <v>8307</v>
      </c>
      <c r="D2074" s="25">
        <v>10.0</v>
      </c>
      <c r="E2074" s="27"/>
      <c r="F2074" s="25">
        <v>0.0</v>
      </c>
      <c r="G2074" s="27"/>
    </row>
    <row r="2075">
      <c r="A2075" s="21"/>
      <c r="B2075" s="21" t="s">
        <v>8308</v>
      </c>
      <c r="D2075" s="25">
        <v>10.0</v>
      </c>
      <c r="E2075" s="27"/>
      <c r="F2075" s="25">
        <v>0.0</v>
      </c>
      <c r="G2075" s="27"/>
    </row>
    <row r="2076">
      <c r="A2076" s="21"/>
      <c r="B2076" s="21" t="s">
        <v>8309</v>
      </c>
      <c r="D2076" s="25">
        <v>10.0</v>
      </c>
      <c r="E2076" s="27"/>
      <c r="F2076" s="25">
        <v>0.0</v>
      </c>
      <c r="G2076" s="27"/>
    </row>
    <row r="2077">
      <c r="A2077" s="21"/>
      <c r="B2077" s="21" t="s">
        <v>8310</v>
      </c>
      <c r="D2077" s="25">
        <v>10.0</v>
      </c>
      <c r="E2077" s="27"/>
      <c r="F2077" s="25">
        <v>4.66</v>
      </c>
      <c r="G2077" s="27"/>
    </row>
    <row r="2078">
      <c r="A2078" s="21"/>
      <c r="B2078" s="21" t="s">
        <v>8311</v>
      </c>
      <c r="D2078" s="25">
        <v>10.0</v>
      </c>
      <c r="E2078" s="27"/>
      <c r="F2078" s="25">
        <v>0.0</v>
      </c>
      <c r="G2078" s="27"/>
    </row>
    <row r="2079">
      <c r="A2079" s="21"/>
      <c r="B2079" s="21" t="s">
        <v>8312</v>
      </c>
      <c r="D2079" s="25">
        <v>10.0</v>
      </c>
      <c r="E2079" s="27"/>
      <c r="F2079" s="25">
        <v>0.0</v>
      </c>
      <c r="G2079" s="27"/>
    </row>
    <row r="2080">
      <c r="A2080" s="21"/>
      <c r="B2080" s="21" t="s">
        <v>8313</v>
      </c>
      <c r="D2080" s="25">
        <v>10.0</v>
      </c>
      <c r="E2080" s="27"/>
      <c r="F2080" s="25">
        <v>3.2</v>
      </c>
      <c r="G2080" s="27"/>
    </row>
    <row r="2081">
      <c r="A2081" s="21"/>
      <c r="B2081" s="21" t="s">
        <v>8314</v>
      </c>
      <c r="D2081" s="25">
        <v>10.0</v>
      </c>
      <c r="E2081" s="27"/>
      <c r="F2081" s="25">
        <v>0.0</v>
      </c>
      <c r="G2081" s="27"/>
    </row>
    <row r="2082">
      <c r="A2082" s="21"/>
      <c r="B2082" s="21" t="s">
        <v>8315</v>
      </c>
      <c r="D2082" s="25">
        <v>10.0</v>
      </c>
      <c r="E2082" s="27"/>
      <c r="F2082" s="25">
        <v>0.0</v>
      </c>
      <c r="G2082" s="27"/>
    </row>
    <row r="2083">
      <c r="A2083" s="21"/>
      <c r="B2083" s="21" t="s">
        <v>8316</v>
      </c>
      <c r="D2083" s="25">
        <v>10.0</v>
      </c>
      <c r="E2083" s="27"/>
      <c r="F2083" s="25">
        <v>0.0</v>
      </c>
      <c r="G2083" s="27"/>
    </row>
    <row r="2084">
      <c r="A2084" s="21"/>
      <c r="B2084" s="21" t="s">
        <v>8317</v>
      </c>
      <c r="D2084" s="25">
        <v>10.0</v>
      </c>
      <c r="E2084" s="27"/>
      <c r="F2084" s="25">
        <v>3.2</v>
      </c>
      <c r="G2084" s="27"/>
    </row>
    <row r="2085">
      <c r="A2085" s="21"/>
      <c r="B2085" s="21" t="s">
        <v>8318</v>
      </c>
      <c r="D2085" s="25">
        <v>10.0</v>
      </c>
      <c r="E2085" s="27"/>
      <c r="F2085" s="25">
        <v>0.0</v>
      </c>
      <c r="G2085" s="27"/>
    </row>
    <row r="2086">
      <c r="A2086" s="21"/>
      <c r="B2086" s="21" t="s">
        <v>8319</v>
      </c>
      <c r="D2086" s="25">
        <v>10.0</v>
      </c>
      <c r="E2086" s="27"/>
      <c r="F2086" s="25">
        <v>0.0</v>
      </c>
      <c r="G2086" s="27"/>
    </row>
    <row r="2087">
      <c r="A2087" s="21"/>
      <c r="B2087" s="21" t="s">
        <v>8320</v>
      </c>
      <c r="D2087" s="25">
        <v>10.0</v>
      </c>
      <c r="E2087" s="27"/>
      <c r="F2087" s="25">
        <v>0.0</v>
      </c>
      <c r="G2087" s="27"/>
    </row>
    <row r="2088">
      <c r="A2088" s="21"/>
      <c r="B2088" s="21" t="s">
        <v>8321</v>
      </c>
      <c r="D2088" s="25">
        <v>10.0</v>
      </c>
      <c r="E2088" s="27"/>
      <c r="F2088" s="25">
        <v>0.0</v>
      </c>
      <c r="G2088" s="27"/>
    </row>
    <row r="2089">
      <c r="A2089" s="21"/>
      <c r="B2089" s="21" t="s">
        <v>8322</v>
      </c>
      <c r="D2089" s="25">
        <v>10.0</v>
      </c>
      <c r="E2089" s="27"/>
      <c r="F2089" s="25">
        <v>0.0</v>
      </c>
      <c r="G2089" s="27"/>
    </row>
    <row r="2090">
      <c r="A2090" s="21"/>
      <c r="B2090" s="21" t="s">
        <v>8323</v>
      </c>
      <c r="D2090" s="25">
        <v>10.0</v>
      </c>
      <c r="E2090" s="27"/>
      <c r="F2090" s="25">
        <v>0.0</v>
      </c>
      <c r="G2090" s="27"/>
    </row>
    <row r="2091">
      <c r="A2091" s="21"/>
      <c r="B2091" s="21" t="s">
        <v>8324</v>
      </c>
      <c r="D2091" s="25">
        <v>10.0</v>
      </c>
      <c r="E2091" s="27"/>
      <c r="F2091" s="25">
        <v>0.0</v>
      </c>
      <c r="G2091" s="27"/>
    </row>
    <row r="2092">
      <c r="A2092" s="21"/>
      <c r="B2092" s="21" t="s">
        <v>8325</v>
      </c>
      <c r="D2092" s="25">
        <v>10.0</v>
      </c>
      <c r="E2092" s="27"/>
      <c r="F2092" s="25">
        <v>0.0</v>
      </c>
      <c r="G2092" s="27"/>
    </row>
    <row r="2093">
      <c r="A2093" s="21"/>
      <c r="B2093" s="21" t="s">
        <v>8326</v>
      </c>
      <c r="D2093" s="25">
        <v>10.0</v>
      </c>
      <c r="E2093" s="27"/>
      <c r="F2093" s="25">
        <v>0.0</v>
      </c>
      <c r="G2093" s="27"/>
    </row>
    <row r="2094">
      <c r="A2094" s="21"/>
      <c r="B2094" s="21" t="s">
        <v>8327</v>
      </c>
      <c r="D2094" s="25">
        <v>10.0</v>
      </c>
      <c r="E2094" s="27"/>
      <c r="F2094" s="25">
        <v>0.93</v>
      </c>
      <c r="G2094" s="27"/>
    </row>
    <row r="2095">
      <c r="A2095" s="21"/>
      <c r="B2095" s="21" t="s">
        <v>8328</v>
      </c>
      <c r="D2095" s="25">
        <v>10.0</v>
      </c>
      <c r="E2095" s="27"/>
      <c r="F2095" s="25">
        <v>0.0</v>
      </c>
      <c r="G2095" s="27"/>
    </row>
    <row r="2096">
      <c r="A2096" s="21"/>
      <c r="B2096" s="21" t="s">
        <v>8329</v>
      </c>
      <c r="D2096" s="25">
        <v>10.0</v>
      </c>
      <c r="E2096" s="27"/>
      <c r="F2096" s="25">
        <v>2.38</v>
      </c>
      <c r="G2096" s="27"/>
    </row>
    <row r="2097">
      <c r="A2097" s="21"/>
      <c r="B2097" s="21" t="s">
        <v>8330</v>
      </c>
      <c r="D2097" s="25">
        <v>10.0</v>
      </c>
      <c r="E2097" s="27"/>
      <c r="F2097" s="25">
        <v>0.0</v>
      </c>
      <c r="G2097" s="27"/>
    </row>
    <row r="2098">
      <c r="A2098" s="21"/>
      <c r="B2098" s="21" t="s">
        <v>8331</v>
      </c>
      <c r="D2098" s="25">
        <v>10.0</v>
      </c>
      <c r="E2098" s="27"/>
      <c r="F2098" s="25">
        <v>0.0</v>
      </c>
      <c r="G2098" s="27"/>
    </row>
    <row r="2099">
      <c r="A2099" s="21"/>
      <c r="B2099" s="21" t="s">
        <v>8332</v>
      </c>
      <c r="D2099" s="25">
        <v>10.0</v>
      </c>
      <c r="E2099" s="27"/>
      <c r="F2099" s="25">
        <v>0.0</v>
      </c>
      <c r="G2099" s="27"/>
    </row>
    <row r="2100">
      <c r="A2100" s="21"/>
      <c r="B2100" s="21" t="s">
        <v>8333</v>
      </c>
      <c r="D2100" s="25">
        <v>10.0</v>
      </c>
      <c r="E2100" s="27"/>
      <c r="F2100" s="25">
        <v>0.0</v>
      </c>
      <c r="G2100" s="27"/>
    </row>
    <row r="2101">
      <c r="A2101" s="21"/>
      <c r="B2101" s="21" t="s">
        <v>8334</v>
      </c>
      <c r="D2101" s="25">
        <v>10.0</v>
      </c>
      <c r="E2101" s="27"/>
      <c r="F2101" s="25">
        <v>0.0</v>
      </c>
      <c r="G2101" s="27"/>
    </row>
    <row r="2102">
      <c r="A2102" s="21"/>
      <c r="B2102" s="21" t="s">
        <v>8335</v>
      </c>
      <c r="D2102" s="25">
        <v>10.0</v>
      </c>
      <c r="E2102" s="27"/>
      <c r="F2102" s="25">
        <v>0.0</v>
      </c>
      <c r="G2102" s="27"/>
    </row>
    <row r="2103">
      <c r="A2103" s="21"/>
      <c r="B2103" s="21" t="s">
        <v>8336</v>
      </c>
      <c r="D2103" s="25">
        <v>10.0</v>
      </c>
      <c r="E2103" s="27"/>
      <c r="F2103" s="25">
        <v>0.0</v>
      </c>
      <c r="G2103" s="27"/>
    </row>
    <row r="2104">
      <c r="A2104" s="21"/>
      <c r="B2104" s="21" t="s">
        <v>8337</v>
      </c>
      <c r="D2104" s="25">
        <v>10.0</v>
      </c>
      <c r="E2104" s="27"/>
      <c r="F2104" s="25">
        <v>0.0</v>
      </c>
      <c r="G2104" s="27"/>
    </row>
    <row r="2105">
      <c r="A2105" s="21"/>
      <c r="B2105" s="21" t="s">
        <v>8338</v>
      </c>
      <c r="D2105" s="25">
        <v>10.0</v>
      </c>
      <c r="E2105" s="27"/>
      <c r="F2105" s="25">
        <v>0.0</v>
      </c>
      <c r="G2105" s="27"/>
    </row>
    <row r="2106">
      <c r="A2106" s="21"/>
      <c r="B2106" s="21" t="s">
        <v>8339</v>
      </c>
      <c r="D2106" s="25">
        <v>10.0</v>
      </c>
      <c r="E2106" s="27"/>
      <c r="F2106" s="25">
        <v>0.0</v>
      </c>
      <c r="G2106" s="27"/>
    </row>
    <row r="2107">
      <c r="A2107" s="21"/>
      <c r="B2107" s="21" t="s">
        <v>8340</v>
      </c>
      <c r="D2107" s="25">
        <v>10.0</v>
      </c>
      <c r="E2107" s="27"/>
      <c r="F2107" s="25">
        <v>0.0</v>
      </c>
      <c r="G2107" s="27"/>
    </row>
    <row r="2108">
      <c r="A2108" s="21"/>
      <c r="B2108" s="21" t="s">
        <v>8341</v>
      </c>
      <c r="D2108" s="25">
        <v>10.0</v>
      </c>
      <c r="E2108" s="27"/>
      <c r="F2108" s="25">
        <v>0.0</v>
      </c>
      <c r="G2108" s="27"/>
    </row>
    <row r="2109">
      <c r="A2109" s="21"/>
      <c r="B2109" s="21" t="s">
        <v>8342</v>
      </c>
      <c r="D2109" s="25">
        <v>10.0</v>
      </c>
      <c r="E2109" s="27"/>
      <c r="F2109" s="25">
        <v>0.0</v>
      </c>
      <c r="G2109" s="27"/>
    </row>
    <row r="2110">
      <c r="A2110" s="21"/>
      <c r="B2110" s="21" t="s">
        <v>8343</v>
      </c>
      <c r="D2110" s="25">
        <v>10.0</v>
      </c>
      <c r="E2110" s="27"/>
      <c r="F2110" s="25">
        <v>2.61</v>
      </c>
      <c r="G2110" s="27"/>
    </row>
    <row r="2111">
      <c r="A2111" s="21"/>
      <c r="B2111" s="21" t="s">
        <v>8344</v>
      </c>
      <c r="D2111" s="25">
        <v>10.0</v>
      </c>
      <c r="E2111" s="27"/>
      <c r="F2111" s="25">
        <v>0.0</v>
      </c>
      <c r="G2111" s="27"/>
    </row>
    <row r="2112">
      <c r="A2112" s="21"/>
      <c r="B2112" s="21" t="s">
        <v>8345</v>
      </c>
      <c r="D2112" s="25">
        <v>10.0</v>
      </c>
      <c r="E2112" s="27"/>
      <c r="F2112" s="25">
        <v>0.0</v>
      </c>
      <c r="G2112" s="27"/>
    </row>
    <row r="2113">
      <c r="A2113" s="21"/>
      <c r="B2113" s="21" t="s">
        <v>8346</v>
      </c>
      <c r="D2113" s="25">
        <v>10.0</v>
      </c>
      <c r="E2113" s="27"/>
      <c r="F2113" s="25">
        <v>0.0</v>
      </c>
      <c r="G2113" s="27"/>
    </row>
    <row r="2114">
      <c r="A2114" s="21"/>
      <c r="B2114" s="21" t="s">
        <v>8347</v>
      </c>
      <c r="D2114" s="25">
        <v>10.0</v>
      </c>
      <c r="E2114" s="27"/>
      <c r="F2114" s="25">
        <v>0.0</v>
      </c>
      <c r="G2114" s="27"/>
    </row>
    <row r="2115">
      <c r="A2115" s="21"/>
      <c r="B2115" s="21" t="s">
        <v>8348</v>
      </c>
      <c r="D2115" s="25">
        <v>10.0</v>
      </c>
      <c r="E2115" s="27"/>
      <c r="F2115" s="25">
        <v>0.0</v>
      </c>
      <c r="G2115" s="27"/>
    </row>
    <row r="2116">
      <c r="A2116" s="21"/>
      <c r="B2116" s="21" t="s">
        <v>8349</v>
      </c>
      <c r="D2116" s="25">
        <v>10.0</v>
      </c>
      <c r="E2116" s="27"/>
      <c r="F2116" s="25">
        <v>0.0</v>
      </c>
      <c r="G2116" s="27"/>
    </row>
    <row r="2117">
      <c r="A2117" s="21"/>
      <c r="B2117" s="21" t="s">
        <v>8350</v>
      </c>
      <c r="D2117" s="25">
        <v>10.0</v>
      </c>
      <c r="E2117" s="27"/>
      <c r="F2117" s="25">
        <v>0.0</v>
      </c>
      <c r="G2117" s="27"/>
    </row>
    <row r="2118">
      <c r="A2118" s="21"/>
      <c r="B2118" s="21" t="s">
        <v>8351</v>
      </c>
      <c r="D2118" s="25">
        <v>10.0</v>
      </c>
      <c r="E2118" s="27"/>
      <c r="F2118" s="25">
        <v>0.0</v>
      </c>
      <c r="G2118" s="27"/>
    </row>
    <row r="2119">
      <c r="A2119" s="21"/>
      <c r="B2119" s="21" t="s">
        <v>8352</v>
      </c>
      <c r="D2119" s="25">
        <v>10.0</v>
      </c>
      <c r="E2119" s="27"/>
      <c r="F2119" s="25">
        <v>0.0</v>
      </c>
      <c r="G2119" s="27"/>
    </row>
    <row r="2120">
      <c r="A2120" s="21"/>
      <c r="B2120" s="21" t="s">
        <v>8353</v>
      </c>
      <c r="D2120" s="25">
        <v>10.0</v>
      </c>
      <c r="E2120" s="27"/>
      <c r="F2120" s="25">
        <v>0.0</v>
      </c>
      <c r="G2120" s="27"/>
    </row>
    <row r="2121">
      <c r="A2121" s="21"/>
      <c r="B2121" s="21" t="s">
        <v>8354</v>
      </c>
      <c r="D2121" s="25">
        <v>10.0</v>
      </c>
      <c r="E2121" s="27"/>
      <c r="F2121" s="25">
        <v>0.0</v>
      </c>
      <c r="G2121" s="27"/>
    </row>
    <row r="2122">
      <c r="A2122" s="21"/>
      <c r="B2122" s="21" t="s">
        <v>8355</v>
      </c>
      <c r="D2122" s="25">
        <v>10.0</v>
      </c>
      <c r="E2122" s="27"/>
      <c r="F2122" s="25">
        <v>0.0</v>
      </c>
      <c r="G2122" s="27"/>
    </row>
    <row r="2123">
      <c r="A2123" s="21"/>
      <c r="B2123" s="21" t="s">
        <v>8356</v>
      </c>
      <c r="D2123" s="25">
        <v>10.0</v>
      </c>
      <c r="E2123" s="27"/>
      <c r="F2123" s="25">
        <v>0.0</v>
      </c>
      <c r="G2123" s="27"/>
    </row>
    <row r="2124">
      <c r="A2124" s="21"/>
      <c r="B2124" s="21" t="s">
        <v>8357</v>
      </c>
      <c r="D2124" s="25">
        <v>10.0</v>
      </c>
      <c r="E2124" s="27"/>
      <c r="F2124" s="25">
        <v>0.0</v>
      </c>
      <c r="G2124" s="27"/>
    </row>
    <row r="2125">
      <c r="A2125" s="21"/>
      <c r="B2125" s="21" t="s">
        <v>8358</v>
      </c>
      <c r="D2125" s="25">
        <v>10.0</v>
      </c>
      <c r="E2125" s="27"/>
      <c r="F2125" s="25">
        <v>0.0</v>
      </c>
      <c r="G2125" s="27"/>
    </row>
    <row r="2126">
      <c r="A2126" s="21"/>
      <c r="B2126" s="21" t="s">
        <v>8359</v>
      </c>
      <c r="D2126" s="25">
        <v>10.0</v>
      </c>
      <c r="E2126" s="27"/>
      <c r="F2126" s="25">
        <v>0.0</v>
      </c>
      <c r="G2126" s="27"/>
    </row>
    <row r="2127">
      <c r="A2127" s="21"/>
      <c r="B2127" s="21" t="s">
        <v>8360</v>
      </c>
      <c r="D2127" s="25">
        <v>10.0</v>
      </c>
      <c r="E2127" s="27"/>
      <c r="F2127" s="25">
        <v>0.0</v>
      </c>
      <c r="G2127" s="27"/>
    </row>
    <row r="2128">
      <c r="A2128" s="21"/>
      <c r="B2128" s="21" t="s">
        <v>8361</v>
      </c>
      <c r="D2128" s="25">
        <v>10.0</v>
      </c>
      <c r="E2128" s="27"/>
      <c r="F2128" s="25">
        <v>0.0</v>
      </c>
      <c r="G2128" s="27"/>
    </row>
    <row r="2129">
      <c r="A2129" s="21"/>
      <c r="B2129" s="21" t="s">
        <v>8362</v>
      </c>
      <c r="D2129" s="25">
        <v>10.0</v>
      </c>
      <c r="E2129" s="27"/>
      <c r="F2129" s="25">
        <v>1.02</v>
      </c>
      <c r="G2129" s="27"/>
    </row>
    <row r="2130">
      <c r="A2130" s="21"/>
      <c r="B2130" s="21" t="s">
        <v>8363</v>
      </c>
      <c r="D2130" s="25">
        <v>10.0</v>
      </c>
      <c r="E2130" s="27"/>
      <c r="F2130" s="25">
        <v>0.9</v>
      </c>
      <c r="G2130" s="27"/>
    </row>
    <row r="2131">
      <c r="A2131" s="21"/>
      <c r="B2131" s="21" t="s">
        <v>8364</v>
      </c>
      <c r="D2131" s="25">
        <v>10.0</v>
      </c>
      <c r="E2131" s="27"/>
      <c r="F2131" s="25">
        <v>0.0</v>
      </c>
      <c r="G2131" s="27"/>
    </row>
    <row r="2132">
      <c r="A2132" s="21"/>
      <c r="B2132" s="21" t="s">
        <v>8365</v>
      </c>
      <c r="D2132" s="25">
        <v>10.0</v>
      </c>
      <c r="E2132" s="27"/>
      <c r="F2132" s="25">
        <v>0.0</v>
      </c>
      <c r="G2132" s="27"/>
    </row>
    <row r="2133">
      <c r="A2133" s="21"/>
      <c r="B2133" s="21" t="s">
        <v>8366</v>
      </c>
      <c r="D2133" s="25">
        <v>10.0</v>
      </c>
      <c r="E2133" s="27"/>
      <c r="F2133" s="25">
        <v>0.0</v>
      </c>
      <c r="G2133" s="27"/>
    </row>
    <row r="2134">
      <c r="A2134" s="21"/>
      <c r="B2134" s="21" t="s">
        <v>8367</v>
      </c>
      <c r="D2134" s="25">
        <v>10.0</v>
      </c>
      <c r="E2134" s="27"/>
      <c r="F2134" s="25">
        <v>0.0</v>
      </c>
      <c r="G2134" s="27"/>
    </row>
    <row r="2135">
      <c r="A2135" s="21"/>
      <c r="B2135" s="21" t="s">
        <v>8368</v>
      </c>
      <c r="D2135" s="25">
        <v>10.0</v>
      </c>
      <c r="E2135" s="27"/>
      <c r="F2135" s="25">
        <v>0.0</v>
      </c>
      <c r="G2135" s="27"/>
    </row>
    <row r="2136">
      <c r="A2136" s="21"/>
      <c r="B2136" s="21" t="s">
        <v>8369</v>
      </c>
      <c r="D2136" s="25">
        <v>10.0</v>
      </c>
      <c r="E2136" s="27"/>
      <c r="F2136" s="25">
        <v>3.48</v>
      </c>
      <c r="G2136" s="27"/>
    </row>
    <row r="2137">
      <c r="A2137" s="21"/>
      <c r="B2137" s="21" t="s">
        <v>8370</v>
      </c>
      <c r="D2137" s="25">
        <v>10.0</v>
      </c>
      <c r="E2137" s="27"/>
      <c r="F2137" s="25">
        <v>4.74</v>
      </c>
      <c r="G2137" s="27"/>
    </row>
    <row r="2138">
      <c r="A2138" s="21"/>
      <c r="B2138" s="21" t="s">
        <v>8371</v>
      </c>
      <c r="D2138" s="25">
        <v>10.0</v>
      </c>
      <c r="E2138" s="27"/>
      <c r="F2138" s="25">
        <v>0.0</v>
      </c>
      <c r="G2138" s="27"/>
    </row>
    <row r="2139">
      <c r="A2139" s="21"/>
      <c r="B2139" s="21" t="s">
        <v>8372</v>
      </c>
      <c r="D2139" s="25">
        <v>10.0</v>
      </c>
      <c r="E2139" s="27"/>
      <c r="F2139" s="25">
        <v>0.0</v>
      </c>
      <c r="G2139" s="27"/>
    </row>
    <row r="2140">
      <c r="A2140" s="21"/>
      <c r="B2140" s="21" t="s">
        <v>8373</v>
      </c>
      <c r="D2140" s="25">
        <v>10.0</v>
      </c>
      <c r="E2140" s="27"/>
      <c r="F2140" s="25">
        <v>0.0</v>
      </c>
      <c r="G2140" s="27"/>
    </row>
    <row r="2141">
      <c r="A2141" s="21"/>
      <c r="B2141" s="21" t="s">
        <v>8374</v>
      </c>
      <c r="D2141" s="25">
        <v>10.0</v>
      </c>
      <c r="E2141" s="27"/>
      <c r="F2141" s="25">
        <v>0.0</v>
      </c>
      <c r="G2141" s="27"/>
    </row>
    <row r="2142">
      <c r="A2142" s="21"/>
      <c r="B2142" s="21" t="s">
        <v>8375</v>
      </c>
      <c r="D2142" s="25">
        <v>10.0</v>
      </c>
      <c r="E2142" s="27"/>
      <c r="F2142" s="25">
        <v>0.0</v>
      </c>
      <c r="G2142" s="27"/>
    </row>
    <row r="2143">
      <c r="A2143" s="21"/>
      <c r="B2143" s="21" t="s">
        <v>8376</v>
      </c>
      <c r="D2143" s="25">
        <v>10.0</v>
      </c>
      <c r="E2143" s="27"/>
      <c r="F2143" s="25">
        <v>0.0</v>
      </c>
      <c r="G2143" s="27"/>
    </row>
    <row r="2144">
      <c r="A2144" s="21"/>
      <c r="B2144" s="21" t="s">
        <v>8377</v>
      </c>
      <c r="C2144" s="27"/>
      <c r="D2144" s="25">
        <v>10.0</v>
      </c>
      <c r="E2144" s="27"/>
      <c r="F2144" s="25">
        <v>0.0</v>
      </c>
      <c r="G2144" s="27"/>
    </row>
    <row r="2145">
      <c r="A2145" s="21"/>
      <c r="B2145" s="21" t="s">
        <v>8378</v>
      </c>
      <c r="D2145" s="25">
        <v>10.0</v>
      </c>
      <c r="E2145" s="27"/>
      <c r="F2145" s="25">
        <v>0.0</v>
      </c>
      <c r="G2145" s="27"/>
    </row>
    <row r="2146">
      <c r="A2146" s="21"/>
      <c r="B2146" s="21" t="s">
        <v>8379</v>
      </c>
      <c r="D2146" s="25">
        <v>10.0</v>
      </c>
      <c r="E2146" s="27"/>
      <c r="F2146" s="25">
        <v>0.0</v>
      </c>
      <c r="G2146" s="27"/>
    </row>
    <row r="2147">
      <c r="A2147" s="21"/>
      <c r="B2147" s="21" t="s">
        <v>8380</v>
      </c>
      <c r="D2147" s="25">
        <v>10.0</v>
      </c>
      <c r="E2147" s="27"/>
      <c r="F2147" s="25">
        <v>0.0</v>
      </c>
      <c r="G2147" s="27"/>
    </row>
    <row r="2148">
      <c r="A2148" s="21"/>
      <c r="B2148" s="21" t="s">
        <v>8381</v>
      </c>
      <c r="D2148" s="25">
        <v>10.0</v>
      </c>
      <c r="E2148" s="27"/>
      <c r="F2148" s="25">
        <v>0.0</v>
      </c>
      <c r="G2148" s="27"/>
    </row>
    <row r="2149">
      <c r="A2149" s="21"/>
      <c r="B2149" s="21" t="s">
        <v>8382</v>
      </c>
      <c r="D2149" s="25">
        <v>10.0</v>
      </c>
      <c r="E2149" s="27"/>
      <c r="F2149" s="25">
        <v>0.0</v>
      </c>
      <c r="G2149" s="27"/>
    </row>
    <row r="2150">
      <c r="A2150" s="21"/>
      <c r="B2150" s="21" t="s">
        <v>2615</v>
      </c>
      <c r="D2150" s="25">
        <v>10.0</v>
      </c>
      <c r="E2150" s="27"/>
      <c r="F2150" s="25">
        <v>0.0</v>
      </c>
      <c r="G2150" s="27"/>
    </row>
    <row r="2151">
      <c r="A2151" s="21"/>
      <c r="B2151" s="21" t="s">
        <v>8383</v>
      </c>
      <c r="D2151" s="25">
        <v>10.0</v>
      </c>
      <c r="E2151" s="27"/>
      <c r="F2151" s="25">
        <v>0.0</v>
      </c>
      <c r="G2151" s="27"/>
    </row>
    <row r="2152">
      <c r="A2152" s="21"/>
      <c r="B2152" s="21" t="s">
        <v>8384</v>
      </c>
      <c r="D2152" s="25">
        <v>10.0</v>
      </c>
      <c r="E2152" s="27"/>
      <c r="F2152" s="25">
        <v>0.0</v>
      </c>
      <c r="G2152" s="27"/>
    </row>
    <row r="2153">
      <c r="A2153" s="21"/>
      <c r="B2153" s="21" t="s">
        <v>8385</v>
      </c>
      <c r="D2153" s="25">
        <v>10.0</v>
      </c>
      <c r="E2153" s="27"/>
      <c r="F2153" s="25">
        <v>0.0</v>
      </c>
      <c r="G2153" s="27"/>
    </row>
    <row r="2154">
      <c r="A2154" s="21"/>
      <c r="B2154" s="21" t="s">
        <v>50</v>
      </c>
      <c r="D2154" s="25">
        <v>10.0</v>
      </c>
      <c r="E2154" s="27"/>
      <c r="F2154" s="25">
        <v>0.0</v>
      </c>
      <c r="G2154" s="27"/>
    </row>
    <row r="2155">
      <c r="A2155" s="21"/>
      <c r="B2155" s="21" t="s">
        <v>8386</v>
      </c>
      <c r="D2155" s="25">
        <v>10.0</v>
      </c>
      <c r="E2155" s="27"/>
      <c r="F2155" s="25">
        <v>0.0</v>
      </c>
      <c r="G2155" s="27"/>
    </row>
    <row r="2156">
      <c r="A2156" s="21"/>
      <c r="B2156" s="21" t="s">
        <v>8387</v>
      </c>
      <c r="D2156" s="25">
        <v>10.0</v>
      </c>
      <c r="E2156" s="27"/>
      <c r="F2156" s="25">
        <v>0.0</v>
      </c>
      <c r="G2156" s="27"/>
    </row>
    <row r="2157">
      <c r="A2157" s="21"/>
      <c r="B2157" s="21" t="s">
        <v>8388</v>
      </c>
      <c r="D2157" s="25">
        <v>10.0</v>
      </c>
      <c r="E2157" s="27"/>
      <c r="F2157" s="25">
        <v>0.0</v>
      </c>
      <c r="G2157" s="27"/>
    </row>
    <row r="2158">
      <c r="A2158" s="21"/>
      <c r="B2158" s="21" t="s">
        <v>8389</v>
      </c>
      <c r="D2158" s="25">
        <v>10.0</v>
      </c>
      <c r="E2158" s="27"/>
      <c r="F2158" s="25">
        <v>0.0</v>
      </c>
      <c r="G2158" s="27"/>
    </row>
    <row r="2159">
      <c r="A2159" s="21"/>
      <c r="B2159" s="21" t="s">
        <v>8390</v>
      </c>
      <c r="D2159" s="25">
        <v>10.0</v>
      </c>
      <c r="E2159" s="27"/>
      <c r="F2159" s="25">
        <v>0.0</v>
      </c>
      <c r="G2159" s="27"/>
    </row>
    <row r="2160">
      <c r="A2160" s="21"/>
      <c r="B2160" s="21" t="s">
        <v>8391</v>
      </c>
      <c r="D2160" s="25">
        <v>10.0</v>
      </c>
      <c r="E2160" s="27"/>
      <c r="F2160" s="25">
        <v>1.33</v>
      </c>
      <c r="G2160" s="27"/>
    </row>
    <row r="2161">
      <c r="A2161" s="21"/>
      <c r="B2161" s="21" t="s">
        <v>8392</v>
      </c>
      <c r="D2161" s="25">
        <v>10.0</v>
      </c>
      <c r="E2161" s="27"/>
      <c r="F2161" s="25">
        <v>0.0</v>
      </c>
      <c r="G2161" s="27"/>
    </row>
    <row r="2162">
      <c r="A2162" s="21"/>
      <c r="B2162" s="21" t="s">
        <v>8393</v>
      </c>
      <c r="D2162" s="25">
        <v>10.0</v>
      </c>
      <c r="E2162" s="27"/>
      <c r="F2162" s="25">
        <v>0.0</v>
      </c>
      <c r="G2162" s="27"/>
    </row>
    <row r="2163">
      <c r="A2163" s="21"/>
      <c r="B2163" s="21" t="s">
        <v>8394</v>
      </c>
      <c r="D2163" s="25">
        <v>10.0</v>
      </c>
      <c r="E2163" s="27"/>
      <c r="F2163" s="25">
        <v>0.0</v>
      </c>
      <c r="G2163" s="27"/>
    </row>
    <row r="2164">
      <c r="A2164" s="21"/>
      <c r="B2164" s="21" t="s">
        <v>8395</v>
      </c>
      <c r="D2164" s="25">
        <v>10.0</v>
      </c>
      <c r="E2164" s="27"/>
      <c r="F2164" s="25">
        <v>0.0</v>
      </c>
      <c r="G2164" s="27"/>
    </row>
    <row r="2165">
      <c r="A2165" s="21"/>
      <c r="B2165" s="21" t="s">
        <v>8396</v>
      </c>
      <c r="D2165" s="25">
        <v>10.0</v>
      </c>
      <c r="E2165" s="27"/>
      <c r="F2165" s="25">
        <v>0.0</v>
      </c>
      <c r="G2165" s="27"/>
    </row>
    <row r="2166">
      <c r="A2166" s="21"/>
      <c r="B2166" s="21" t="s">
        <v>8397</v>
      </c>
      <c r="D2166" s="25">
        <v>10.0</v>
      </c>
      <c r="E2166" s="27"/>
      <c r="F2166" s="25">
        <v>0.0</v>
      </c>
      <c r="G2166" s="27"/>
    </row>
    <row r="2167">
      <c r="A2167" s="21"/>
      <c r="B2167" s="21" t="s">
        <v>8398</v>
      </c>
      <c r="D2167" s="25">
        <v>10.0</v>
      </c>
      <c r="E2167" s="27"/>
      <c r="F2167" s="25">
        <v>0.0</v>
      </c>
      <c r="G2167" s="27"/>
    </row>
    <row r="2168">
      <c r="A2168" s="21"/>
      <c r="B2168" s="21" t="s">
        <v>8399</v>
      </c>
      <c r="D2168" s="25">
        <v>10.0</v>
      </c>
      <c r="E2168" s="27"/>
      <c r="F2168" s="25">
        <v>0.0</v>
      </c>
      <c r="G2168" s="27"/>
    </row>
    <row r="2169">
      <c r="A2169" s="21"/>
      <c r="B2169" s="21" t="s">
        <v>8400</v>
      </c>
      <c r="D2169" s="25">
        <v>10.0</v>
      </c>
      <c r="E2169" s="27"/>
      <c r="F2169" s="25">
        <v>0.0</v>
      </c>
      <c r="G2169" s="27"/>
    </row>
    <row r="2170">
      <c r="A2170" s="21"/>
      <c r="B2170" s="21" t="s">
        <v>8401</v>
      </c>
      <c r="D2170" s="25">
        <v>10.0</v>
      </c>
      <c r="E2170" s="27"/>
      <c r="F2170" s="25">
        <v>0.0</v>
      </c>
      <c r="G2170" s="27"/>
    </row>
    <row r="2171">
      <c r="A2171" s="21"/>
      <c r="B2171" s="21" t="s">
        <v>8402</v>
      </c>
      <c r="D2171" s="25">
        <v>10.0</v>
      </c>
      <c r="E2171" s="27"/>
      <c r="F2171" s="25">
        <v>0.0</v>
      </c>
      <c r="G2171" s="27"/>
    </row>
    <row r="2172">
      <c r="A2172" s="21"/>
      <c r="B2172" s="21" t="s">
        <v>8403</v>
      </c>
      <c r="D2172" s="25">
        <v>10.0</v>
      </c>
      <c r="E2172" s="27"/>
      <c r="F2172" s="25">
        <v>0.0</v>
      </c>
      <c r="G2172" s="27"/>
    </row>
    <row r="2173">
      <c r="A2173" s="21"/>
      <c r="B2173" s="21" t="s">
        <v>8404</v>
      </c>
      <c r="D2173" s="25">
        <v>10.0</v>
      </c>
      <c r="E2173" s="27"/>
      <c r="F2173" s="25">
        <v>0.0</v>
      </c>
      <c r="G2173" s="27"/>
    </row>
    <row r="2174">
      <c r="A2174" s="21"/>
      <c r="B2174" s="21" t="s">
        <v>8405</v>
      </c>
      <c r="D2174" s="25">
        <v>10.0</v>
      </c>
      <c r="E2174" s="27"/>
      <c r="F2174" s="25">
        <v>0.0</v>
      </c>
      <c r="G2174" s="27"/>
    </row>
    <row r="2175">
      <c r="A2175" s="21"/>
      <c r="B2175" s="21" t="s">
        <v>8406</v>
      </c>
      <c r="D2175" s="25">
        <v>10.0</v>
      </c>
      <c r="E2175" s="27"/>
      <c r="F2175" s="25">
        <v>0.0</v>
      </c>
      <c r="G2175" s="27"/>
    </row>
    <row r="2176">
      <c r="A2176" s="21"/>
      <c r="B2176" s="21" t="s">
        <v>8407</v>
      </c>
      <c r="D2176" s="25">
        <v>10.0</v>
      </c>
      <c r="E2176" s="27"/>
      <c r="F2176" s="25">
        <v>0.0</v>
      </c>
      <c r="G2176" s="27"/>
    </row>
    <row r="2177">
      <c r="A2177" s="21"/>
      <c r="B2177" s="21" t="s">
        <v>8408</v>
      </c>
      <c r="D2177" s="25">
        <v>10.0</v>
      </c>
      <c r="E2177" s="27"/>
      <c r="F2177" s="25">
        <v>0.0</v>
      </c>
      <c r="G2177" s="27"/>
    </row>
    <row r="2178">
      <c r="A2178" s="21"/>
      <c r="B2178" s="21" t="s">
        <v>8409</v>
      </c>
      <c r="D2178" s="25">
        <v>10.0</v>
      </c>
      <c r="E2178" s="27"/>
      <c r="F2178" s="25">
        <v>1.75</v>
      </c>
      <c r="G2178" s="27"/>
    </row>
    <row r="2179">
      <c r="A2179" s="21"/>
      <c r="B2179" s="21" t="s">
        <v>8410</v>
      </c>
      <c r="D2179" s="25">
        <v>10.0</v>
      </c>
      <c r="E2179" s="27"/>
      <c r="F2179" s="25">
        <v>6.87</v>
      </c>
      <c r="G2179" s="27"/>
    </row>
    <row r="2180">
      <c r="A2180" s="21"/>
      <c r="B2180" s="21" t="s">
        <v>8411</v>
      </c>
      <c r="D2180" s="25">
        <v>10.0</v>
      </c>
      <c r="E2180" s="27"/>
      <c r="F2180" s="25">
        <v>0.0</v>
      </c>
      <c r="G2180" s="27"/>
    </row>
    <row r="2181">
      <c r="A2181" s="21"/>
      <c r="B2181" s="21" t="s">
        <v>8412</v>
      </c>
      <c r="D2181" s="25">
        <v>10.0</v>
      </c>
      <c r="E2181" s="27"/>
      <c r="F2181" s="25">
        <v>3.48</v>
      </c>
      <c r="G2181" s="27"/>
    </row>
    <row r="2182">
      <c r="A2182" s="21"/>
      <c r="B2182" s="21" t="s">
        <v>8413</v>
      </c>
      <c r="D2182" s="25">
        <v>10.0</v>
      </c>
      <c r="E2182" s="27"/>
      <c r="F2182" s="25">
        <v>3.48</v>
      </c>
      <c r="G2182" s="27"/>
    </row>
    <row r="2183">
      <c r="A2183" s="21"/>
      <c r="B2183" s="21" t="s">
        <v>8414</v>
      </c>
      <c r="D2183" s="25">
        <v>10.0</v>
      </c>
      <c r="E2183" s="27"/>
      <c r="F2183" s="25">
        <v>3.48</v>
      </c>
      <c r="G2183" s="27"/>
    </row>
    <row r="2184">
      <c r="A2184" s="21"/>
      <c r="B2184" s="21" t="s">
        <v>8415</v>
      </c>
      <c r="D2184" s="25">
        <v>10.0</v>
      </c>
      <c r="E2184" s="27"/>
      <c r="F2184" s="25">
        <v>0.0</v>
      </c>
      <c r="G2184" s="27"/>
    </row>
    <row r="2185">
      <c r="A2185" s="21"/>
      <c r="B2185" s="21" t="s">
        <v>8416</v>
      </c>
      <c r="D2185" s="25">
        <v>10.0</v>
      </c>
      <c r="E2185" s="27"/>
      <c r="F2185" s="25">
        <v>3.48</v>
      </c>
      <c r="G2185" s="27"/>
    </row>
    <row r="2186">
      <c r="A2186" s="21"/>
      <c r="B2186" s="21" t="s">
        <v>8417</v>
      </c>
      <c r="D2186" s="25">
        <v>10.0</v>
      </c>
      <c r="E2186" s="27"/>
      <c r="F2186" s="25">
        <v>3.48</v>
      </c>
      <c r="G2186" s="27"/>
    </row>
    <row r="2187">
      <c r="A2187" s="21"/>
      <c r="B2187" s="21" t="s">
        <v>8418</v>
      </c>
      <c r="D2187" s="25">
        <v>10.0</v>
      </c>
      <c r="E2187" s="27"/>
      <c r="F2187" s="25">
        <v>5.86</v>
      </c>
      <c r="G2187" s="27"/>
    </row>
    <row r="2188">
      <c r="A2188" s="21"/>
      <c r="B2188" s="21" t="s">
        <v>8419</v>
      </c>
      <c r="D2188" s="25">
        <v>10.0</v>
      </c>
      <c r="E2188" s="27"/>
      <c r="F2188" s="25">
        <v>4.79</v>
      </c>
      <c r="G2188" s="27"/>
    </row>
    <row r="2189">
      <c r="A2189" s="21"/>
      <c r="B2189" s="21" t="s">
        <v>8420</v>
      </c>
      <c r="D2189" s="25">
        <v>10.0</v>
      </c>
      <c r="E2189" s="27"/>
      <c r="F2189" s="25">
        <v>3.31</v>
      </c>
      <c r="G2189" s="27"/>
    </row>
    <row r="2190">
      <c r="A2190" s="21"/>
      <c r="B2190" s="21" t="s">
        <v>8421</v>
      </c>
      <c r="D2190" s="25">
        <v>10.0</v>
      </c>
      <c r="E2190" s="27"/>
      <c r="F2190" s="25">
        <v>0.9</v>
      </c>
      <c r="G2190" s="27"/>
    </row>
    <row r="2191">
      <c r="A2191" s="21"/>
      <c r="B2191" s="21" t="s">
        <v>8422</v>
      </c>
      <c r="D2191" s="25">
        <v>10.0</v>
      </c>
      <c r="E2191" s="27"/>
      <c r="F2191" s="25">
        <v>0.0</v>
      </c>
      <c r="G2191" s="27"/>
    </row>
    <row r="2192">
      <c r="A2192" s="21"/>
      <c r="B2192" s="21" t="s">
        <v>8423</v>
      </c>
      <c r="D2192" s="25">
        <v>10.0</v>
      </c>
      <c r="E2192" s="27"/>
      <c r="F2192" s="25">
        <v>0.0</v>
      </c>
      <c r="G2192" s="27"/>
    </row>
    <row r="2193">
      <c r="A2193" s="21"/>
      <c r="B2193" s="21" t="s">
        <v>8424</v>
      </c>
      <c r="D2193" s="25">
        <v>10.0</v>
      </c>
      <c r="E2193" s="27"/>
      <c r="F2193" s="25">
        <v>3.12</v>
      </c>
      <c r="G2193" s="27"/>
    </row>
    <row r="2194">
      <c r="A2194" s="21"/>
      <c r="B2194" s="21" t="s">
        <v>8425</v>
      </c>
      <c r="D2194" s="25">
        <v>10.0</v>
      </c>
      <c r="E2194" s="27"/>
      <c r="F2194" s="25">
        <v>0.0</v>
      </c>
      <c r="G2194" s="27"/>
    </row>
    <row r="2195">
      <c r="A2195" s="21"/>
      <c r="B2195" s="21" t="s">
        <v>8426</v>
      </c>
      <c r="D2195" s="25">
        <v>10.0</v>
      </c>
      <c r="E2195" s="27"/>
      <c r="F2195" s="25">
        <v>0.0</v>
      </c>
      <c r="G2195" s="27"/>
    </row>
    <row r="2196">
      <c r="A2196" s="21"/>
      <c r="B2196" s="21" t="s">
        <v>8427</v>
      </c>
      <c r="D2196" s="25">
        <v>10.0</v>
      </c>
      <c r="E2196" s="27"/>
      <c r="F2196" s="25">
        <v>0.0</v>
      </c>
      <c r="G2196" s="27"/>
    </row>
    <row r="2197">
      <c r="A2197" s="21"/>
      <c r="B2197" s="21" t="s">
        <v>8428</v>
      </c>
      <c r="D2197" s="25">
        <v>10.0</v>
      </c>
      <c r="E2197" s="27"/>
      <c r="F2197" s="25">
        <v>0.0</v>
      </c>
      <c r="G2197" s="27"/>
    </row>
    <row r="2198">
      <c r="A2198" s="21"/>
      <c r="B2198" s="21" t="s">
        <v>8429</v>
      </c>
      <c r="D2198" s="25">
        <v>10.0</v>
      </c>
      <c r="E2198" s="27"/>
      <c r="F2198" s="25">
        <v>0.0</v>
      </c>
      <c r="G2198" s="27"/>
    </row>
    <row r="2199">
      <c r="A2199" s="21"/>
      <c r="B2199" s="21" t="s">
        <v>8430</v>
      </c>
      <c r="D2199" s="25">
        <v>10.0</v>
      </c>
      <c r="E2199" s="27"/>
      <c r="F2199" s="25">
        <v>0.0</v>
      </c>
      <c r="G2199" s="27"/>
    </row>
    <row r="2200">
      <c r="A2200" s="21"/>
      <c r="B2200" s="21" t="s">
        <v>8431</v>
      </c>
      <c r="D2200" s="25">
        <v>10.0</v>
      </c>
      <c r="E2200" s="27"/>
      <c r="F2200" s="25">
        <v>0.0</v>
      </c>
      <c r="G2200" s="27"/>
    </row>
    <row r="2201">
      <c r="A2201" s="21"/>
      <c r="B2201" s="21" t="s">
        <v>8432</v>
      </c>
      <c r="D2201" s="25">
        <v>10.0</v>
      </c>
      <c r="E2201" s="27"/>
      <c r="F2201" s="25">
        <v>0.0</v>
      </c>
      <c r="G2201" s="27"/>
    </row>
    <row r="2202">
      <c r="A2202" s="21"/>
      <c r="B2202" s="21" t="s">
        <v>8433</v>
      </c>
      <c r="D2202" s="25">
        <v>10.0</v>
      </c>
      <c r="E2202" s="27"/>
      <c r="F2202" s="25">
        <v>0.0</v>
      </c>
      <c r="G2202" s="27"/>
    </row>
    <row r="2203">
      <c r="A2203" s="21"/>
      <c r="B2203" s="21" t="s">
        <v>8434</v>
      </c>
      <c r="D2203" s="25">
        <v>10.0</v>
      </c>
      <c r="E2203" s="27"/>
      <c r="F2203" s="25">
        <v>0.0</v>
      </c>
      <c r="G2203" s="27"/>
    </row>
    <row r="2204">
      <c r="A2204" s="21"/>
      <c r="B2204" s="21" t="s">
        <v>8435</v>
      </c>
      <c r="D2204" s="25">
        <v>10.0</v>
      </c>
      <c r="E2204" s="27"/>
      <c r="F2204" s="25">
        <v>0.0</v>
      </c>
      <c r="G2204" s="27"/>
    </row>
    <row r="2205">
      <c r="A2205" s="21"/>
      <c r="B2205" s="21" t="s">
        <v>8436</v>
      </c>
      <c r="D2205" s="25">
        <v>10.0</v>
      </c>
      <c r="E2205" s="27"/>
      <c r="F2205" s="25">
        <v>0.0</v>
      </c>
      <c r="G2205" s="27"/>
    </row>
    <row r="2206">
      <c r="A2206" s="21"/>
      <c r="B2206" s="21" t="s">
        <v>8437</v>
      </c>
      <c r="D2206" s="25">
        <v>10.0</v>
      </c>
      <c r="E2206" s="27"/>
      <c r="F2206" s="25">
        <v>0.0</v>
      </c>
      <c r="G2206" s="27"/>
    </row>
    <row r="2207">
      <c r="A2207" s="21"/>
      <c r="B2207" s="21" t="s">
        <v>8438</v>
      </c>
      <c r="D2207" s="25">
        <v>10.0</v>
      </c>
      <c r="E2207" s="27"/>
      <c r="F2207" s="25">
        <v>0.0</v>
      </c>
      <c r="G2207" s="27"/>
    </row>
    <row r="2208">
      <c r="A2208" s="21"/>
      <c r="B2208" s="21" t="s">
        <v>8439</v>
      </c>
      <c r="D2208" s="25">
        <v>10.0</v>
      </c>
      <c r="E2208" s="27"/>
      <c r="F2208" s="25">
        <v>0.0</v>
      </c>
      <c r="G2208" s="27"/>
    </row>
    <row r="2209">
      <c r="A2209" s="21"/>
      <c r="B2209" s="21" t="s">
        <v>8440</v>
      </c>
      <c r="D2209" s="25">
        <v>10.0</v>
      </c>
      <c r="E2209" s="27"/>
      <c r="F2209" s="25">
        <v>0.0</v>
      </c>
      <c r="G2209" s="27"/>
    </row>
    <row r="2210">
      <c r="A2210" s="21"/>
      <c r="B2210" s="21" t="s">
        <v>8441</v>
      </c>
      <c r="D2210" s="25">
        <v>10.0</v>
      </c>
      <c r="E2210" s="27"/>
      <c r="F2210" s="25">
        <v>4.64</v>
      </c>
      <c r="G2210" s="27"/>
    </row>
    <row r="2211">
      <c r="A2211" s="21"/>
      <c r="B2211" s="21" t="s">
        <v>8442</v>
      </c>
      <c r="C2211" s="27"/>
      <c r="D2211" s="25">
        <v>10.0</v>
      </c>
      <c r="E2211" s="27"/>
      <c r="F2211" s="25">
        <v>2.61</v>
      </c>
      <c r="G2211" s="27"/>
    </row>
    <row r="2212">
      <c r="A2212" s="21"/>
      <c r="B2212" s="21" t="s">
        <v>8443</v>
      </c>
      <c r="D2212" s="25">
        <v>10.0</v>
      </c>
      <c r="E2212" s="27"/>
      <c r="F2212" s="25">
        <v>0.0</v>
      </c>
      <c r="G2212" s="27"/>
    </row>
    <row r="2213">
      <c r="A2213" s="21"/>
      <c r="B2213" s="21" t="s">
        <v>8444</v>
      </c>
      <c r="D2213" s="25">
        <v>10.0</v>
      </c>
      <c r="E2213" s="27"/>
      <c r="F2213" s="25">
        <v>0.0</v>
      </c>
      <c r="G2213" s="27"/>
    </row>
    <row r="2214">
      <c r="A2214" s="21"/>
      <c r="B2214" s="21" t="s">
        <v>8445</v>
      </c>
      <c r="D2214" s="25">
        <v>10.0</v>
      </c>
      <c r="E2214" s="27"/>
      <c r="F2214" s="25">
        <v>0.0</v>
      </c>
      <c r="G2214" s="27"/>
    </row>
    <row r="2215">
      <c r="A2215" s="21"/>
      <c r="B2215" s="21" t="s">
        <v>8446</v>
      </c>
      <c r="D2215" s="25">
        <v>10.0</v>
      </c>
      <c r="E2215" s="27"/>
      <c r="F2215" s="25">
        <v>0.0</v>
      </c>
      <c r="G2215" s="27"/>
    </row>
    <row r="2216">
      <c r="A2216" s="21"/>
      <c r="B2216" s="21" t="s">
        <v>8447</v>
      </c>
      <c r="D2216" s="25">
        <v>10.0</v>
      </c>
      <c r="E2216" s="27"/>
      <c r="F2216" s="25">
        <v>0.0</v>
      </c>
      <c r="G2216" s="27"/>
    </row>
    <row r="2217">
      <c r="A2217" s="21"/>
      <c r="B2217" s="21" t="s">
        <v>8448</v>
      </c>
      <c r="D2217" s="25">
        <v>10.0</v>
      </c>
      <c r="E2217" s="27"/>
      <c r="F2217" s="25">
        <v>0.0</v>
      </c>
      <c r="G2217" s="27"/>
    </row>
    <row r="2218">
      <c r="A2218" s="21"/>
      <c r="B2218" s="21" t="s">
        <v>8449</v>
      </c>
      <c r="D2218" s="25">
        <v>10.0</v>
      </c>
      <c r="E2218" s="27"/>
      <c r="F2218" s="25">
        <v>0.0</v>
      </c>
      <c r="G2218" s="27"/>
    </row>
    <row r="2219">
      <c r="A2219" s="21"/>
      <c r="B2219" s="21" t="s">
        <v>8450</v>
      </c>
      <c r="D2219" s="25">
        <v>10.0</v>
      </c>
      <c r="E2219" s="27"/>
      <c r="F2219" s="25">
        <v>2.45</v>
      </c>
      <c r="G2219" s="27"/>
    </row>
    <row r="2220">
      <c r="A2220" s="21"/>
      <c r="B2220" s="21" t="s">
        <v>8451</v>
      </c>
      <c r="D2220" s="25">
        <v>10.0</v>
      </c>
      <c r="E2220" s="27"/>
      <c r="F2220" s="25">
        <v>0.0</v>
      </c>
      <c r="G2220" s="27"/>
    </row>
    <row r="2221">
      <c r="A2221" s="21"/>
      <c r="B2221" s="21" t="s">
        <v>8452</v>
      </c>
      <c r="D2221" s="25">
        <v>10.0</v>
      </c>
      <c r="E2221" s="27"/>
      <c r="F2221" s="25">
        <v>0.0</v>
      </c>
      <c r="G2221" s="27"/>
    </row>
    <row r="2222">
      <c r="A2222" s="21"/>
      <c r="B2222" s="21" t="s">
        <v>8453</v>
      </c>
      <c r="D2222" s="25">
        <v>10.0</v>
      </c>
      <c r="E2222" s="27"/>
      <c r="F2222" s="25">
        <v>0.0</v>
      </c>
      <c r="G2222" s="27"/>
    </row>
    <row r="2223">
      <c r="A2223" s="21"/>
      <c r="B2223" s="21" t="s">
        <v>8454</v>
      </c>
      <c r="D2223" s="25">
        <v>10.0</v>
      </c>
      <c r="E2223" s="27"/>
      <c r="F2223" s="25">
        <v>0.0</v>
      </c>
      <c r="G2223" s="27"/>
    </row>
    <row r="2224">
      <c r="A2224" s="21"/>
      <c r="B2224" s="21" t="s">
        <v>8455</v>
      </c>
      <c r="D2224" s="25">
        <v>10.0</v>
      </c>
      <c r="E2224" s="27"/>
      <c r="F2224" s="25">
        <v>0.0</v>
      </c>
      <c r="G2224" s="27"/>
    </row>
    <row r="2225">
      <c r="A2225" s="21"/>
      <c r="B2225" s="21" t="s">
        <v>8456</v>
      </c>
      <c r="D2225" s="25">
        <v>10.0</v>
      </c>
      <c r="E2225" s="27"/>
      <c r="F2225" s="25">
        <v>3.19</v>
      </c>
      <c r="G2225" s="27"/>
    </row>
    <row r="2226">
      <c r="A2226" s="21"/>
      <c r="B2226" s="21" t="s">
        <v>8457</v>
      </c>
      <c r="D2226" s="25">
        <v>10.0</v>
      </c>
      <c r="E2226" s="27"/>
      <c r="F2226" s="25">
        <v>4.98</v>
      </c>
      <c r="G2226" s="27"/>
    </row>
    <row r="2227">
      <c r="A2227" s="21"/>
      <c r="B2227" s="21" t="s">
        <v>8458</v>
      </c>
      <c r="D2227" s="25">
        <v>10.0</v>
      </c>
      <c r="E2227" s="27"/>
      <c r="F2227" s="25">
        <v>0.0</v>
      </c>
      <c r="G2227" s="27"/>
    </row>
    <row r="2228">
      <c r="A2228" s="21"/>
      <c r="B2228" s="21" t="s">
        <v>8459</v>
      </c>
      <c r="D2228" s="25">
        <v>10.0</v>
      </c>
      <c r="E2228" s="27"/>
      <c r="F2228" s="25">
        <v>2.68</v>
      </c>
      <c r="G2228" s="27"/>
    </row>
    <row r="2229">
      <c r="A2229" s="21"/>
      <c r="B2229" s="21" t="s">
        <v>8460</v>
      </c>
      <c r="D2229" s="25">
        <v>10.0</v>
      </c>
      <c r="E2229" s="27"/>
      <c r="F2229" s="25">
        <v>0.0</v>
      </c>
      <c r="G2229" s="27"/>
    </row>
    <row r="2230">
      <c r="A2230" s="21"/>
      <c r="B2230" s="21" t="s">
        <v>8461</v>
      </c>
      <c r="D2230" s="25">
        <v>10.0</v>
      </c>
      <c r="E2230" s="27"/>
      <c r="F2230" s="25">
        <v>0.0</v>
      </c>
      <c r="G2230" s="27"/>
    </row>
    <row r="2231">
      <c r="A2231" s="21"/>
      <c r="B2231" s="21" t="s">
        <v>8462</v>
      </c>
      <c r="D2231" s="25">
        <v>10.0</v>
      </c>
      <c r="E2231" s="27"/>
      <c r="F2231" s="25">
        <v>0.0</v>
      </c>
      <c r="G2231" s="27"/>
    </row>
    <row r="2232">
      <c r="A2232" s="21"/>
      <c r="B2232" s="21" t="s">
        <v>8463</v>
      </c>
      <c r="D2232" s="25">
        <v>10.0</v>
      </c>
      <c r="E2232" s="27"/>
      <c r="F2232" s="25">
        <v>0.0</v>
      </c>
      <c r="G2232" s="27"/>
    </row>
    <row r="2233">
      <c r="A2233" s="21"/>
      <c r="B2233" s="21" t="s">
        <v>8464</v>
      </c>
      <c r="D2233" s="25">
        <v>10.0</v>
      </c>
      <c r="E2233" s="27"/>
      <c r="F2233" s="25">
        <v>0.0</v>
      </c>
      <c r="G2233" s="27"/>
    </row>
    <row r="2234">
      <c r="A2234" s="21"/>
      <c r="B2234" s="21" t="s">
        <v>8465</v>
      </c>
      <c r="D2234" s="25">
        <v>10.0</v>
      </c>
      <c r="E2234" s="27"/>
      <c r="F2234" s="25">
        <v>3.35</v>
      </c>
      <c r="G2234" s="27"/>
    </row>
    <row r="2235">
      <c r="A2235" s="21"/>
      <c r="B2235" s="21" t="s">
        <v>8466</v>
      </c>
      <c r="D2235" s="25">
        <v>10.0</v>
      </c>
      <c r="E2235" s="27"/>
      <c r="F2235" s="25">
        <v>0.95</v>
      </c>
      <c r="G2235" s="27"/>
    </row>
    <row r="2236">
      <c r="A2236" s="21"/>
      <c r="B2236" s="21" t="s">
        <v>8467</v>
      </c>
      <c r="D2236" s="25">
        <v>10.0</v>
      </c>
      <c r="E2236" s="27"/>
      <c r="F2236" s="25">
        <v>0.0</v>
      </c>
      <c r="G2236" s="27"/>
    </row>
    <row r="2237">
      <c r="A2237" s="21"/>
      <c r="B2237" s="21" t="s">
        <v>8468</v>
      </c>
      <c r="D2237" s="25">
        <v>10.0</v>
      </c>
      <c r="E2237" s="27"/>
      <c r="F2237" s="25">
        <v>0.0</v>
      </c>
      <c r="G2237" s="27"/>
    </row>
    <row r="2238">
      <c r="A2238" s="21"/>
      <c r="B2238" s="21" t="s">
        <v>8469</v>
      </c>
      <c r="D2238" s="25">
        <v>10.0</v>
      </c>
      <c r="E2238" s="27"/>
      <c r="F2238" s="25">
        <v>0.0</v>
      </c>
      <c r="G2238" s="27"/>
    </row>
    <row r="2239">
      <c r="A2239" s="21"/>
      <c r="B2239" s="21" t="s">
        <v>8470</v>
      </c>
      <c r="D2239" s="25">
        <v>10.0</v>
      </c>
      <c r="E2239" s="27"/>
      <c r="F2239" s="25">
        <v>0.0</v>
      </c>
      <c r="G2239" s="27"/>
    </row>
    <row r="2240">
      <c r="A2240" s="21"/>
      <c r="B2240" s="21" t="s">
        <v>8471</v>
      </c>
      <c r="D2240" s="25">
        <v>10.0</v>
      </c>
      <c r="E2240" s="27"/>
      <c r="F2240" s="25">
        <v>3.32</v>
      </c>
      <c r="G2240" s="27"/>
    </row>
    <row r="2241">
      <c r="A2241" s="21"/>
      <c r="B2241" s="21" t="s">
        <v>8472</v>
      </c>
      <c r="D2241" s="25">
        <v>10.0</v>
      </c>
      <c r="E2241" s="27"/>
      <c r="F2241" s="25">
        <v>0.0</v>
      </c>
      <c r="G2241" s="27"/>
    </row>
    <row r="2242">
      <c r="A2242" s="21"/>
      <c r="B2242" s="21" t="s">
        <v>8473</v>
      </c>
      <c r="D2242" s="25">
        <v>10.0</v>
      </c>
      <c r="E2242" s="27"/>
      <c r="F2242" s="25">
        <v>3.35</v>
      </c>
      <c r="G2242" s="27"/>
    </row>
    <row r="2243">
      <c r="A2243" s="21"/>
      <c r="B2243" s="21" t="s">
        <v>8474</v>
      </c>
      <c r="D2243" s="25">
        <v>10.0</v>
      </c>
      <c r="E2243" s="27"/>
      <c r="F2243" s="25">
        <v>0.0</v>
      </c>
      <c r="G2243" s="27"/>
    </row>
    <row r="2244">
      <c r="A2244" s="21"/>
      <c r="B2244" s="21" t="s">
        <v>8475</v>
      </c>
      <c r="D2244" s="25">
        <v>10.0</v>
      </c>
      <c r="E2244" s="27"/>
      <c r="F2244" s="25">
        <v>4.05</v>
      </c>
      <c r="G2244" s="27"/>
    </row>
    <row r="2245">
      <c r="A2245" s="21"/>
      <c r="B2245" s="21" t="s">
        <v>8476</v>
      </c>
      <c r="D2245" s="25">
        <v>10.0</v>
      </c>
      <c r="E2245" s="27"/>
      <c r="F2245" s="25">
        <v>4.22</v>
      </c>
      <c r="G2245" s="27"/>
    </row>
    <row r="2246">
      <c r="A2246" s="21"/>
      <c r="B2246" s="21" t="s">
        <v>8477</v>
      </c>
      <c r="D2246" s="25">
        <v>10.0</v>
      </c>
      <c r="E2246" s="27"/>
      <c r="F2246" s="25">
        <v>0.0</v>
      </c>
      <c r="G2246" s="27"/>
    </row>
    <row r="2247">
      <c r="A2247" s="21"/>
      <c r="B2247" s="21" t="s">
        <v>8478</v>
      </c>
      <c r="D2247" s="25">
        <v>10.0</v>
      </c>
      <c r="E2247" s="27"/>
      <c r="F2247" s="25">
        <v>0.0</v>
      </c>
      <c r="G2247" s="27"/>
    </row>
    <row r="2248">
      <c r="A2248" s="21"/>
      <c r="B2248" s="21" t="s">
        <v>8479</v>
      </c>
      <c r="D2248" s="25">
        <v>10.0</v>
      </c>
      <c r="E2248" s="27"/>
      <c r="F2248" s="25">
        <v>1.53</v>
      </c>
      <c r="G2248" s="27"/>
    </row>
    <row r="2249">
      <c r="A2249" s="21"/>
      <c r="B2249" s="21" t="s">
        <v>8480</v>
      </c>
      <c r="D2249" s="25">
        <v>10.0</v>
      </c>
      <c r="E2249" s="27"/>
      <c r="F2249" s="25">
        <v>0.0</v>
      </c>
      <c r="G2249" s="27"/>
    </row>
    <row r="2250">
      <c r="A2250" s="21"/>
      <c r="B2250" s="21" t="s">
        <v>8481</v>
      </c>
      <c r="D2250" s="25">
        <v>10.0</v>
      </c>
      <c r="E2250" s="27"/>
      <c r="F2250" s="25">
        <v>3.26</v>
      </c>
      <c r="G2250" s="27"/>
    </row>
    <row r="2251">
      <c r="A2251" s="21"/>
      <c r="B2251" s="21" t="s">
        <v>8482</v>
      </c>
      <c r="D2251" s="25">
        <v>10.0</v>
      </c>
      <c r="E2251" s="27"/>
      <c r="F2251" s="25">
        <v>2.14</v>
      </c>
      <c r="G2251" s="27"/>
    </row>
    <row r="2252">
      <c r="A2252" s="21"/>
      <c r="B2252" s="21" t="s">
        <v>8483</v>
      </c>
      <c r="D2252" s="25">
        <v>10.0</v>
      </c>
      <c r="E2252" s="27"/>
      <c r="F2252" s="25">
        <v>0.0</v>
      </c>
      <c r="G2252" s="27"/>
    </row>
    <row r="2253">
      <c r="A2253" s="21"/>
      <c r="B2253" s="21" t="s">
        <v>8484</v>
      </c>
      <c r="D2253" s="25">
        <v>10.0</v>
      </c>
      <c r="E2253" s="27"/>
      <c r="F2253" s="25">
        <v>0.0</v>
      </c>
      <c r="G2253" s="27"/>
    </row>
    <row r="2254">
      <c r="A2254" s="21"/>
      <c r="B2254" s="21" t="s">
        <v>8485</v>
      </c>
      <c r="D2254" s="25">
        <v>10.0</v>
      </c>
      <c r="E2254" s="27"/>
      <c r="F2254" s="25">
        <v>0.0</v>
      </c>
      <c r="G2254" s="27"/>
    </row>
    <row r="2255">
      <c r="A2255" s="21"/>
      <c r="B2255" s="21" t="s">
        <v>8486</v>
      </c>
      <c r="D2255" s="25">
        <v>10.0</v>
      </c>
      <c r="E2255" s="27"/>
      <c r="F2255" s="25">
        <v>0.0</v>
      </c>
      <c r="G2255" s="27"/>
    </row>
    <row r="2256">
      <c r="A2256" s="21"/>
      <c r="B2256" s="21" t="s">
        <v>8487</v>
      </c>
      <c r="D2256" s="25">
        <v>10.0</v>
      </c>
      <c r="E2256" s="27"/>
      <c r="F2256" s="25">
        <v>8.54</v>
      </c>
      <c r="G2256" s="27"/>
    </row>
    <row r="2257">
      <c r="A2257" s="21"/>
      <c r="B2257" s="21" t="s">
        <v>8488</v>
      </c>
      <c r="D2257" s="25">
        <v>10.0</v>
      </c>
      <c r="E2257" s="27"/>
      <c r="F2257" s="25">
        <v>5.86</v>
      </c>
      <c r="G2257" s="27"/>
    </row>
    <row r="2258">
      <c r="A2258" s="21"/>
      <c r="B2258" s="21" t="s">
        <v>8489</v>
      </c>
      <c r="D2258" s="25">
        <v>10.0</v>
      </c>
      <c r="E2258" s="27"/>
      <c r="F2258" s="25">
        <v>7.06</v>
      </c>
      <c r="G2258" s="27"/>
    </row>
    <row r="2259">
      <c r="A2259" s="21"/>
      <c r="B2259" s="21" t="s">
        <v>8490</v>
      </c>
      <c r="D2259" s="25">
        <v>10.0</v>
      </c>
      <c r="E2259" s="27"/>
      <c r="F2259" s="25">
        <v>1.68</v>
      </c>
      <c r="G2259" s="27"/>
    </row>
    <row r="2260">
      <c r="A2260" s="21"/>
      <c r="B2260" s="21" t="s">
        <v>8491</v>
      </c>
      <c r="D2260" s="25">
        <v>10.0</v>
      </c>
      <c r="E2260" s="27"/>
      <c r="F2260" s="25">
        <v>0.9</v>
      </c>
      <c r="G2260" s="27"/>
    </row>
    <row r="2261">
      <c r="A2261" s="21"/>
      <c r="B2261" s="21" t="s">
        <v>8492</v>
      </c>
      <c r="C2261" s="27"/>
      <c r="D2261" s="25">
        <v>10.0</v>
      </c>
      <c r="E2261" s="27"/>
      <c r="F2261" s="25">
        <v>4.77</v>
      </c>
      <c r="G2261" s="27"/>
    </row>
    <row r="2262">
      <c r="A2262" s="21"/>
      <c r="B2262" s="21" t="s">
        <v>8493</v>
      </c>
      <c r="D2262" s="25">
        <v>10.0</v>
      </c>
      <c r="E2262" s="27"/>
      <c r="F2262" s="25">
        <v>0.0</v>
      </c>
      <c r="G2262" s="27"/>
    </row>
    <row r="2263">
      <c r="A2263" s="21"/>
      <c r="B2263" s="21" t="s">
        <v>8494</v>
      </c>
      <c r="D2263" s="25">
        <v>10.0</v>
      </c>
      <c r="E2263" s="27"/>
      <c r="F2263" s="25">
        <v>0.0</v>
      </c>
      <c r="G2263" s="27"/>
    </row>
    <row r="2264">
      <c r="A2264" s="21"/>
      <c r="B2264" s="21" t="s">
        <v>8495</v>
      </c>
      <c r="D2264" s="25">
        <v>10.0</v>
      </c>
      <c r="E2264" s="27"/>
      <c r="F2264" s="25">
        <v>5.73</v>
      </c>
      <c r="G2264" s="27"/>
    </row>
    <row r="2265">
      <c r="A2265" s="21"/>
      <c r="B2265" s="21" t="s">
        <v>8496</v>
      </c>
      <c r="D2265" s="25">
        <v>10.0</v>
      </c>
      <c r="E2265" s="27"/>
      <c r="F2265" s="25">
        <v>0.0</v>
      </c>
      <c r="G2265" s="27"/>
    </row>
    <row r="2266">
      <c r="A2266" s="21"/>
      <c r="B2266" s="21" t="s">
        <v>8497</v>
      </c>
      <c r="D2266" s="25">
        <v>10.0</v>
      </c>
      <c r="E2266" s="27"/>
      <c r="F2266" s="25">
        <v>0.0</v>
      </c>
      <c r="G2266" s="27"/>
    </row>
    <row r="2267">
      <c r="A2267" s="21"/>
      <c r="B2267" s="21" t="s">
        <v>8498</v>
      </c>
      <c r="D2267" s="25">
        <v>10.0</v>
      </c>
      <c r="E2267" s="27"/>
      <c r="F2267" s="25">
        <v>0.0</v>
      </c>
      <c r="G2267" s="27"/>
    </row>
    <row r="2268">
      <c r="A2268" s="21"/>
      <c r="B2268" s="21" t="s">
        <v>8499</v>
      </c>
      <c r="D2268" s="25">
        <v>10.0</v>
      </c>
      <c r="E2268" s="27"/>
      <c r="F2268" s="25">
        <v>0.0</v>
      </c>
      <c r="G2268" s="27"/>
    </row>
    <row r="2269">
      <c r="A2269" s="21"/>
      <c r="B2269" s="21" t="s">
        <v>8500</v>
      </c>
      <c r="D2269" s="25">
        <v>10.0</v>
      </c>
      <c r="E2269" s="27"/>
      <c r="F2269" s="25">
        <v>0.0</v>
      </c>
      <c r="G2269" s="27"/>
    </row>
    <row r="2270">
      <c r="A2270" s="21"/>
      <c r="B2270" s="21" t="s">
        <v>8501</v>
      </c>
      <c r="D2270" s="25">
        <v>10.0</v>
      </c>
      <c r="E2270" s="27"/>
      <c r="F2270" s="25">
        <v>0.0</v>
      </c>
      <c r="G2270" s="27"/>
    </row>
    <row r="2271">
      <c r="A2271" s="21"/>
      <c r="B2271" s="21" t="s">
        <v>8502</v>
      </c>
      <c r="D2271" s="25">
        <v>10.0</v>
      </c>
      <c r="E2271" s="27"/>
      <c r="F2271" s="25">
        <v>0.0</v>
      </c>
      <c r="G2271" s="27"/>
    </row>
    <row r="2272">
      <c r="A2272" s="21"/>
      <c r="B2272" s="21" t="s">
        <v>8503</v>
      </c>
      <c r="D2272" s="25">
        <v>10.0</v>
      </c>
      <c r="E2272" s="27"/>
      <c r="F2272" s="25">
        <v>4.64</v>
      </c>
      <c r="G2272" s="27"/>
    </row>
    <row r="2273">
      <c r="A2273" s="21"/>
      <c r="B2273" s="21" t="s">
        <v>8504</v>
      </c>
      <c r="D2273" s="25">
        <v>10.0</v>
      </c>
      <c r="E2273" s="27"/>
      <c r="F2273" s="25">
        <v>0.0</v>
      </c>
      <c r="G2273" s="27"/>
    </row>
    <row r="2274">
      <c r="A2274" s="21"/>
      <c r="B2274" s="21" t="s">
        <v>8505</v>
      </c>
      <c r="D2274" s="25">
        <v>10.0</v>
      </c>
      <c r="E2274" s="27"/>
      <c r="F2274" s="25">
        <v>2.61</v>
      </c>
      <c r="G2274" s="27"/>
    </row>
    <row r="2275">
      <c r="A2275" s="21"/>
      <c r="B2275" s="21" t="s">
        <v>8506</v>
      </c>
      <c r="D2275" s="25">
        <v>10.0</v>
      </c>
      <c r="E2275" s="27"/>
      <c r="F2275" s="25">
        <v>0.0</v>
      </c>
      <c r="G2275" s="27"/>
    </row>
    <row r="2276">
      <c r="A2276" s="21"/>
      <c r="B2276" s="21" t="s">
        <v>8507</v>
      </c>
      <c r="D2276" s="25">
        <v>10.0</v>
      </c>
      <c r="E2276" s="27"/>
      <c r="F2276" s="25">
        <v>0.0</v>
      </c>
      <c r="G2276" s="27"/>
    </row>
    <row r="2277">
      <c r="A2277" s="21"/>
      <c r="B2277" s="21" t="s">
        <v>8508</v>
      </c>
      <c r="D2277" s="25">
        <v>10.0</v>
      </c>
      <c r="E2277" s="27"/>
      <c r="F2277" s="25">
        <v>0.0</v>
      </c>
      <c r="G2277" s="27"/>
    </row>
    <row r="2278">
      <c r="A2278" s="21"/>
      <c r="B2278" s="21" t="s">
        <v>8509</v>
      </c>
      <c r="C2278" s="27"/>
      <c r="D2278" s="25">
        <v>10.0</v>
      </c>
      <c r="E2278" s="27"/>
      <c r="F2278" s="25">
        <v>0.0</v>
      </c>
      <c r="G2278" s="27"/>
    </row>
    <row r="2279">
      <c r="A2279" s="21"/>
      <c r="B2279" s="21" t="s">
        <v>8510</v>
      </c>
      <c r="D2279" s="25">
        <v>10.0</v>
      </c>
      <c r="E2279" s="27"/>
      <c r="F2279" s="25">
        <v>0.0</v>
      </c>
      <c r="G2279" s="27"/>
    </row>
    <row r="2280">
      <c r="A2280" s="21"/>
      <c r="B2280" s="21" t="s">
        <v>8511</v>
      </c>
      <c r="D2280" s="25">
        <v>10.0</v>
      </c>
      <c r="E2280" s="27"/>
      <c r="F2280" s="25">
        <v>0.0</v>
      </c>
      <c r="G2280" s="27"/>
    </row>
    <row r="2281">
      <c r="A2281" s="21"/>
      <c r="B2281" s="21" t="s">
        <v>8512</v>
      </c>
      <c r="D2281" s="25">
        <v>10.0</v>
      </c>
      <c r="E2281" s="27"/>
      <c r="F2281" s="25">
        <v>0.0</v>
      </c>
      <c r="G2281" s="27"/>
    </row>
    <row r="2282">
      <c r="A2282" s="21"/>
      <c r="B2282" s="21" t="s">
        <v>8513</v>
      </c>
      <c r="D2282" s="25">
        <v>10.0</v>
      </c>
      <c r="E2282" s="27"/>
      <c r="F2282" s="25">
        <v>0.0</v>
      </c>
      <c r="G2282" s="27"/>
    </row>
    <row r="2283">
      <c r="A2283" s="21"/>
      <c r="B2283" s="21" t="s">
        <v>8514</v>
      </c>
      <c r="D2283" s="25">
        <v>10.0</v>
      </c>
      <c r="E2283" s="27"/>
      <c r="F2283" s="25">
        <v>0.0</v>
      </c>
      <c r="G2283" s="27"/>
    </row>
    <row r="2284">
      <c r="A2284" s="21"/>
      <c r="B2284" s="21" t="s">
        <v>8515</v>
      </c>
      <c r="D2284" s="25">
        <v>10.0</v>
      </c>
      <c r="E2284" s="27"/>
      <c r="F2284" s="25">
        <v>1.89</v>
      </c>
      <c r="G2284" s="27"/>
    </row>
    <row r="2285">
      <c r="A2285" s="21"/>
      <c r="B2285" s="21" t="s">
        <v>8516</v>
      </c>
      <c r="D2285" s="25">
        <v>10.0</v>
      </c>
      <c r="E2285" s="27"/>
      <c r="F2285" s="25">
        <v>2.45</v>
      </c>
      <c r="G2285" s="27"/>
    </row>
    <row r="2286">
      <c r="A2286" s="21"/>
      <c r="B2286" s="21" t="s">
        <v>8517</v>
      </c>
      <c r="D2286" s="25">
        <v>10.0</v>
      </c>
      <c r="E2286" s="27"/>
      <c r="F2286" s="25">
        <v>0.0</v>
      </c>
      <c r="G2286" s="27"/>
    </row>
    <row r="2287">
      <c r="A2287" s="21"/>
      <c r="B2287" s="21" t="s">
        <v>8518</v>
      </c>
      <c r="D2287" s="25">
        <v>10.0</v>
      </c>
      <c r="E2287" s="27"/>
      <c r="F2287" s="25">
        <v>0.0</v>
      </c>
      <c r="G2287" s="27"/>
    </row>
    <row r="2288">
      <c r="A2288" s="21"/>
      <c r="B2288" s="21" t="s">
        <v>8519</v>
      </c>
      <c r="D2288" s="25">
        <v>10.0</v>
      </c>
      <c r="E2288" s="27"/>
      <c r="F2288" s="25">
        <v>0.0</v>
      </c>
      <c r="G2288" s="27"/>
    </row>
    <row r="2289">
      <c r="A2289" s="21"/>
      <c r="B2289" s="21" t="s">
        <v>8520</v>
      </c>
      <c r="D2289" s="25">
        <v>10.0</v>
      </c>
      <c r="E2289" s="27"/>
      <c r="F2289" s="25">
        <v>0.0</v>
      </c>
      <c r="G2289" s="27"/>
    </row>
    <row r="2290">
      <c r="A2290" s="21"/>
      <c r="B2290" s="21" t="s">
        <v>8521</v>
      </c>
      <c r="D2290" s="25">
        <v>10.0</v>
      </c>
      <c r="E2290" s="27"/>
      <c r="F2290" s="25">
        <v>0.0</v>
      </c>
      <c r="G2290" s="27"/>
    </row>
    <row r="2291">
      <c r="A2291" s="21"/>
      <c r="B2291" s="21" t="s">
        <v>8522</v>
      </c>
      <c r="D2291" s="25">
        <v>10.0</v>
      </c>
      <c r="E2291" s="27"/>
      <c r="F2291" s="25">
        <v>0.0</v>
      </c>
      <c r="G2291" s="27"/>
    </row>
    <row r="2292">
      <c r="A2292" s="21"/>
      <c r="B2292" s="21" t="s">
        <v>8523</v>
      </c>
      <c r="D2292" s="25">
        <v>10.0</v>
      </c>
      <c r="E2292" s="27"/>
      <c r="F2292" s="25">
        <v>3.65</v>
      </c>
      <c r="G2292" s="27"/>
    </row>
    <row r="2293">
      <c r="A2293" s="21"/>
      <c r="B2293" s="21" t="s">
        <v>8524</v>
      </c>
      <c r="D2293" s="25">
        <v>10.0</v>
      </c>
      <c r="E2293" s="27"/>
      <c r="F2293" s="25">
        <v>0.0</v>
      </c>
      <c r="G2293" s="27"/>
    </row>
    <row r="2294">
      <c r="A2294" s="21"/>
      <c r="B2294" s="21" t="s">
        <v>8525</v>
      </c>
      <c r="D2294" s="25">
        <v>10.0</v>
      </c>
      <c r="E2294" s="27"/>
      <c r="F2294" s="25">
        <v>3.81</v>
      </c>
      <c r="G2294" s="27"/>
    </row>
    <row r="2295">
      <c r="A2295" s="21"/>
      <c r="B2295" s="21" t="s">
        <v>8526</v>
      </c>
      <c r="D2295" s="25">
        <v>10.0</v>
      </c>
      <c r="E2295" s="27"/>
      <c r="F2295" s="25">
        <v>0.0</v>
      </c>
      <c r="G2295" s="27"/>
    </row>
    <row r="2296">
      <c r="A2296" s="21"/>
      <c r="B2296" s="21" t="s">
        <v>8527</v>
      </c>
      <c r="D2296" s="25">
        <v>10.0</v>
      </c>
      <c r="E2296" s="27"/>
      <c r="F2296" s="25">
        <v>6.39</v>
      </c>
      <c r="G2296" s="27"/>
    </row>
    <row r="2297">
      <c r="A2297" s="21"/>
      <c r="B2297" s="21" t="s">
        <v>8528</v>
      </c>
      <c r="D2297" s="25">
        <v>10.0</v>
      </c>
      <c r="E2297" s="27"/>
      <c r="F2297" s="25">
        <v>3.35</v>
      </c>
      <c r="G2297" s="27"/>
    </row>
    <row r="2298">
      <c r="A2298" s="21"/>
      <c r="B2298" s="21" t="s">
        <v>8529</v>
      </c>
      <c r="D2298" s="25">
        <v>10.0</v>
      </c>
      <c r="E2298" s="27"/>
      <c r="F2298" s="25">
        <v>1.08</v>
      </c>
      <c r="G2298" s="27"/>
    </row>
    <row r="2299">
      <c r="A2299" s="21"/>
      <c r="B2299" s="21" t="s">
        <v>8530</v>
      </c>
      <c r="D2299" s="25">
        <v>10.0</v>
      </c>
      <c r="E2299" s="27"/>
      <c r="F2299" s="25">
        <v>3.35</v>
      </c>
      <c r="G2299" s="27"/>
    </row>
    <row r="2300">
      <c r="A2300" s="21"/>
      <c r="B2300" s="21" t="s">
        <v>8531</v>
      </c>
      <c r="D2300" s="25">
        <v>10.0</v>
      </c>
      <c r="E2300" s="27"/>
      <c r="F2300" s="25">
        <v>0.93</v>
      </c>
      <c r="G2300" s="27"/>
    </row>
    <row r="2301">
      <c r="A2301" s="21"/>
      <c r="B2301" s="21" t="s">
        <v>8532</v>
      </c>
      <c r="D2301" s="25">
        <v>10.0</v>
      </c>
      <c r="E2301" s="27"/>
      <c r="F2301" s="25">
        <v>0.0</v>
      </c>
      <c r="G2301" s="27"/>
    </row>
    <row r="2302">
      <c r="A2302" s="21"/>
      <c r="B2302" s="21" t="s">
        <v>8533</v>
      </c>
      <c r="D2302" s="25">
        <v>10.0</v>
      </c>
      <c r="E2302" s="27"/>
      <c r="F2302" s="25">
        <v>7.23</v>
      </c>
      <c r="G2302" s="27"/>
    </row>
    <row r="2303">
      <c r="A2303" s="21"/>
      <c r="B2303" s="21" t="s">
        <v>8534</v>
      </c>
      <c r="D2303" s="25">
        <v>10.0</v>
      </c>
      <c r="E2303" s="27"/>
      <c r="F2303" s="25">
        <v>0.0</v>
      </c>
      <c r="G2303" s="27"/>
    </row>
    <row r="2304">
      <c r="A2304" s="21"/>
      <c r="B2304" s="21" t="s">
        <v>8535</v>
      </c>
      <c r="D2304" s="25">
        <v>10.0</v>
      </c>
      <c r="E2304" s="27"/>
      <c r="F2304" s="25">
        <v>0.0</v>
      </c>
      <c r="G2304" s="27"/>
    </row>
    <row r="2305">
      <c r="A2305" s="21"/>
      <c r="B2305" s="21" t="s">
        <v>8536</v>
      </c>
      <c r="D2305" s="25">
        <v>10.0</v>
      </c>
      <c r="E2305" s="27"/>
      <c r="F2305" s="25">
        <v>0.0</v>
      </c>
      <c r="G2305" s="27"/>
    </row>
    <row r="2306">
      <c r="A2306" s="21"/>
      <c r="B2306" s="21" t="s">
        <v>8537</v>
      </c>
      <c r="D2306" s="25">
        <v>10.0</v>
      </c>
      <c r="E2306" s="27"/>
      <c r="F2306" s="25">
        <v>0.0</v>
      </c>
      <c r="G2306" s="27"/>
    </row>
    <row r="2307">
      <c r="A2307" s="21"/>
      <c r="B2307" s="21" t="s">
        <v>8538</v>
      </c>
      <c r="C2307" s="27"/>
      <c r="D2307" s="25">
        <v>10.0</v>
      </c>
      <c r="E2307" s="27"/>
      <c r="F2307" s="25">
        <v>0.0</v>
      </c>
      <c r="G2307" s="27"/>
    </row>
    <row r="2308">
      <c r="A2308" s="21"/>
      <c r="B2308" s="21" t="s">
        <v>8539</v>
      </c>
      <c r="D2308" s="25">
        <v>10.0</v>
      </c>
      <c r="E2308" s="27"/>
      <c r="F2308" s="25">
        <v>0.0</v>
      </c>
      <c r="G2308" s="27"/>
    </row>
    <row r="2309">
      <c r="A2309" s="21"/>
      <c r="B2309" s="21" t="s">
        <v>8540</v>
      </c>
      <c r="D2309" s="25">
        <v>10.0</v>
      </c>
      <c r="E2309" s="27"/>
      <c r="F2309" s="25">
        <v>0.0</v>
      </c>
      <c r="G2309" s="27"/>
    </row>
    <row r="2310">
      <c r="A2310" s="21"/>
      <c r="B2310" s="21" t="s">
        <v>8541</v>
      </c>
      <c r="D2310" s="25">
        <v>10.0</v>
      </c>
      <c r="E2310" s="27"/>
      <c r="F2310" s="25">
        <v>0.0</v>
      </c>
      <c r="G2310" s="27"/>
    </row>
    <row r="2311">
      <c r="A2311" s="21"/>
      <c r="B2311" s="21" t="s">
        <v>8542</v>
      </c>
      <c r="D2311" s="25">
        <v>10.0</v>
      </c>
      <c r="E2311" s="27"/>
      <c r="F2311" s="25">
        <v>0.0</v>
      </c>
      <c r="G2311" s="27"/>
    </row>
    <row r="2312">
      <c r="A2312" s="21"/>
      <c r="B2312" s="21" t="s">
        <v>8543</v>
      </c>
      <c r="D2312" s="25">
        <v>10.0</v>
      </c>
      <c r="E2312" s="27"/>
      <c r="F2312" s="25">
        <v>0.0</v>
      </c>
      <c r="G2312" s="27"/>
    </row>
    <row r="2313">
      <c r="A2313" s="21"/>
      <c r="B2313" s="21" t="s">
        <v>8544</v>
      </c>
      <c r="D2313" s="25">
        <v>10.0</v>
      </c>
      <c r="E2313" s="27"/>
      <c r="F2313" s="25">
        <v>0.0</v>
      </c>
      <c r="G2313" s="27"/>
    </row>
    <row r="2314">
      <c r="A2314" s="21"/>
      <c r="B2314" s="21" t="s">
        <v>8545</v>
      </c>
      <c r="D2314" s="25">
        <v>10.0</v>
      </c>
      <c r="E2314" s="27"/>
      <c r="F2314" s="25">
        <v>0.0</v>
      </c>
      <c r="G2314" s="27"/>
    </row>
    <row r="2315">
      <c r="A2315" s="21"/>
      <c r="B2315" s="21" t="s">
        <v>8546</v>
      </c>
      <c r="D2315" s="25">
        <v>10.0</v>
      </c>
      <c r="E2315" s="27"/>
      <c r="F2315" s="25">
        <v>0.0</v>
      </c>
      <c r="G2315" s="27"/>
    </row>
    <row r="2316">
      <c r="A2316" s="21"/>
      <c r="B2316" s="21" t="s">
        <v>8547</v>
      </c>
      <c r="D2316" s="25">
        <v>10.0</v>
      </c>
      <c r="E2316" s="27"/>
      <c r="F2316" s="25">
        <v>0.0</v>
      </c>
      <c r="G2316" s="27"/>
    </row>
    <row r="2317">
      <c r="A2317" s="21"/>
      <c r="B2317" s="21" t="s">
        <v>8548</v>
      </c>
      <c r="D2317" s="25">
        <v>10.0</v>
      </c>
      <c r="E2317" s="27"/>
      <c r="F2317" s="25">
        <v>0.0</v>
      </c>
      <c r="G2317" s="27"/>
    </row>
    <row r="2318">
      <c r="A2318" s="21"/>
      <c r="B2318" s="21" t="s">
        <v>8549</v>
      </c>
      <c r="D2318" s="25">
        <v>10.0</v>
      </c>
      <c r="E2318" s="27"/>
      <c r="F2318" s="25">
        <v>0.0</v>
      </c>
      <c r="G2318" s="27"/>
    </row>
    <row r="2319">
      <c r="A2319" s="21"/>
      <c r="B2319" s="21" t="s">
        <v>8550</v>
      </c>
      <c r="D2319" s="25">
        <v>10.0</v>
      </c>
      <c r="E2319" s="27"/>
      <c r="F2319" s="25">
        <v>0.0</v>
      </c>
      <c r="G2319" s="27"/>
    </row>
    <row r="2320">
      <c r="A2320" s="21"/>
      <c r="B2320" s="21" t="s">
        <v>8551</v>
      </c>
      <c r="D2320" s="25">
        <v>10.0</v>
      </c>
      <c r="E2320" s="27"/>
      <c r="F2320" s="25">
        <v>0.0</v>
      </c>
      <c r="G2320" s="27"/>
    </row>
    <row r="2321">
      <c r="A2321" s="21"/>
      <c r="B2321" s="21" t="s">
        <v>8552</v>
      </c>
      <c r="D2321" s="25">
        <v>10.0</v>
      </c>
      <c r="E2321" s="27"/>
      <c r="F2321" s="25">
        <v>0.0</v>
      </c>
      <c r="G2321" s="27"/>
    </row>
    <row r="2322">
      <c r="A2322" s="21"/>
      <c r="B2322" s="21" t="s">
        <v>8553</v>
      </c>
      <c r="D2322" s="25">
        <v>10.0</v>
      </c>
      <c r="E2322" s="27"/>
      <c r="F2322" s="25">
        <v>0.0</v>
      </c>
      <c r="G2322" s="27"/>
    </row>
    <row r="2323">
      <c r="A2323" s="21"/>
      <c r="B2323" s="21" t="s">
        <v>8554</v>
      </c>
      <c r="D2323" s="25">
        <v>10.0</v>
      </c>
      <c r="E2323" s="27"/>
      <c r="F2323" s="25">
        <v>0.0</v>
      </c>
      <c r="G2323" s="27"/>
    </row>
    <row r="2324">
      <c r="A2324" s="21"/>
      <c r="B2324" s="21" t="s">
        <v>8555</v>
      </c>
      <c r="D2324" s="25">
        <v>10.0</v>
      </c>
      <c r="E2324" s="27"/>
      <c r="F2324" s="25">
        <v>0.0</v>
      </c>
      <c r="G2324" s="27"/>
    </row>
    <row r="2325">
      <c r="A2325" s="21"/>
      <c r="B2325" s="21" t="s">
        <v>8556</v>
      </c>
      <c r="D2325" s="25">
        <v>10.0</v>
      </c>
      <c r="E2325" s="27"/>
      <c r="F2325" s="25">
        <v>0.0</v>
      </c>
      <c r="G2325" s="27"/>
    </row>
    <row r="2326">
      <c r="A2326" s="21"/>
      <c r="B2326" s="21" t="s">
        <v>8557</v>
      </c>
      <c r="D2326" s="25">
        <v>10.0</v>
      </c>
      <c r="E2326" s="27"/>
      <c r="F2326" s="25">
        <v>0.0</v>
      </c>
      <c r="G2326" s="27"/>
    </row>
    <row r="2327">
      <c r="A2327" s="21"/>
      <c r="B2327" s="21" t="s">
        <v>8558</v>
      </c>
      <c r="D2327" s="25">
        <v>10.0</v>
      </c>
      <c r="E2327" s="27"/>
      <c r="F2327" s="25">
        <v>0.0</v>
      </c>
      <c r="G2327" s="27"/>
    </row>
    <row r="2328">
      <c r="A2328" s="21"/>
      <c r="B2328" s="21" t="s">
        <v>8559</v>
      </c>
      <c r="D2328" s="25">
        <v>10.0</v>
      </c>
      <c r="E2328" s="27"/>
      <c r="F2328" s="25">
        <v>0.0</v>
      </c>
      <c r="G2328" s="27"/>
    </row>
    <row r="2329">
      <c r="A2329" s="21"/>
      <c r="B2329" s="21" t="s">
        <v>8560</v>
      </c>
      <c r="D2329" s="25">
        <v>10.0</v>
      </c>
      <c r="E2329" s="27"/>
      <c r="F2329" s="25">
        <v>0.0</v>
      </c>
      <c r="G2329" s="27"/>
    </row>
    <row r="2330">
      <c r="A2330" s="21"/>
      <c r="B2330" s="21" t="s">
        <v>8561</v>
      </c>
      <c r="D2330" s="25">
        <v>10.0</v>
      </c>
      <c r="E2330" s="27"/>
      <c r="F2330" s="25">
        <v>0.0</v>
      </c>
      <c r="G2330" s="27"/>
    </row>
    <row r="2331">
      <c r="A2331" s="21"/>
      <c r="B2331" s="21" t="s">
        <v>8562</v>
      </c>
      <c r="D2331" s="25">
        <v>10.0</v>
      </c>
      <c r="E2331" s="27"/>
      <c r="F2331" s="25">
        <v>0.0</v>
      </c>
      <c r="G2331" s="27"/>
    </row>
    <row r="2332">
      <c r="A2332" s="21"/>
      <c r="B2332" s="21" t="s">
        <v>8563</v>
      </c>
      <c r="D2332" s="25">
        <v>10.0</v>
      </c>
      <c r="E2332" s="27"/>
      <c r="F2332" s="25">
        <v>0.0</v>
      </c>
      <c r="G2332" s="27"/>
    </row>
    <row r="2333">
      <c r="A2333" s="21"/>
      <c r="B2333" s="21" t="s">
        <v>8564</v>
      </c>
      <c r="D2333" s="25">
        <v>10.0</v>
      </c>
      <c r="E2333" s="27"/>
      <c r="F2333" s="25">
        <v>0.0</v>
      </c>
      <c r="G2333" s="27"/>
    </row>
    <row r="2334">
      <c r="A2334" s="21"/>
      <c r="B2334" s="21" t="s">
        <v>8565</v>
      </c>
      <c r="D2334" s="25">
        <v>10.0</v>
      </c>
      <c r="E2334" s="27"/>
      <c r="F2334" s="25">
        <v>0.0</v>
      </c>
      <c r="G2334" s="27"/>
    </row>
    <row r="2335">
      <c r="A2335" s="21"/>
      <c r="B2335" s="21" t="s">
        <v>8566</v>
      </c>
      <c r="D2335" s="25">
        <v>10.0</v>
      </c>
      <c r="E2335" s="27"/>
      <c r="F2335" s="25">
        <v>0.0</v>
      </c>
      <c r="G2335" s="27"/>
    </row>
    <row r="2336">
      <c r="A2336" s="21"/>
      <c r="B2336" s="21" t="s">
        <v>8567</v>
      </c>
      <c r="D2336" s="25">
        <v>10.0</v>
      </c>
      <c r="E2336" s="27"/>
      <c r="F2336" s="25">
        <v>0.0</v>
      </c>
      <c r="G2336" s="27"/>
    </row>
    <row r="2337">
      <c r="A2337" s="21"/>
      <c r="B2337" s="21" t="s">
        <v>8568</v>
      </c>
      <c r="D2337" s="25">
        <v>10.0</v>
      </c>
      <c r="E2337" s="27"/>
      <c r="F2337" s="25">
        <v>0.0</v>
      </c>
      <c r="G2337" s="27"/>
    </row>
    <row r="2338">
      <c r="A2338" s="21"/>
      <c r="B2338" s="21" t="s">
        <v>8569</v>
      </c>
      <c r="D2338" s="25">
        <v>10.0</v>
      </c>
      <c r="E2338" s="27"/>
      <c r="F2338" s="25">
        <v>0.0</v>
      </c>
      <c r="G2338" s="27"/>
    </row>
    <row r="2339">
      <c r="A2339" s="21"/>
      <c r="B2339" s="21" t="s">
        <v>8570</v>
      </c>
      <c r="D2339" s="25">
        <v>10.0</v>
      </c>
      <c r="E2339" s="27"/>
      <c r="F2339" s="25">
        <v>0.0</v>
      </c>
      <c r="G2339" s="27"/>
    </row>
    <row r="2340">
      <c r="A2340" s="21"/>
      <c r="B2340" s="21" t="s">
        <v>8571</v>
      </c>
      <c r="D2340" s="25">
        <v>10.0</v>
      </c>
      <c r="E2340" s="27"/>
      <c r="F2340" s="25">
        <v>0.0</v>
      </c>
      <c r="G2340" s="27"/>
    </row>
    <row r="2341">
      <c r="A2341" s="21"/>
      <c r="B2341" s="21" t="s">
        <v>8572</v>
      </c>
      <c r="D2341" s="25">
        <v>10.0</v>
      </c>
      <c r="E2341" s="27"/>
      <c r="F2341" s="25">
        <v>0.0</v>
      </c>
      <c r="G2341" s="27"/>
    </row>
    <row r="2342">
      <c r="A2342" s="21"/>
      <c r="B2342" s="21" t="s">
        <v>8573</v>
      </c>
      <c r="D2342" s="25">
        <v>10.0</v>
      </c>
      <c r="E2342" s="27"/>
      <c r="F2342" s="25">
        <v>8.35</v>
      </c>
      <c r="G2342" s="27"/>
    </row>
    <row r="2343">
      <c r="A2343" s="21"/>
      <c r="B2343" s="21" t="s">
        <v>8574</v>
      </c>
      <c r="D2343" s="25">
        <v>10.0</v>
      </c>
      <c r="E2343" s="27"/>
      <c r="F2343" s="25">
        <v>0.0</v>
      </c>
      <c r="G2343" s="27"/>
    </row>
    <row r="2344">
      <c r="A2344" s="21"/>
      <c r="B2344" s="21" t="s">
        <v>8575</v>
      </c>
      <c r="D2344" s="25">
        <v>10.0</v>
      </c>
      <c r="E2344" s="27"/>
      <c r="F2344" s="25">
        <v>0.0</v>
      </c>
      <c r="G2344" s="27"/>
    </row>
    <row r="2345">
      <c r="A2345" s="21"/>
      <c r="B2345" s="21" t="s">
        <v>8576</v>
      </c>
      <c r="D2345" s="25">
        <v>10.0</v>
      </c>
      <c r="E2345" s="27"/>
      <c r="F2345" s="25">
        <v>4.52</v>
      </c>
      <c r="G2345" s="27"/>
    </row>
    <row r="2346">
      <c r="A2346" s="21"/>
      <c r="B2346" s="21" t="s">
        <v>8577</v>
      </c>
      <c r="D2346" s="25">
        <v>10.0</v>
      </c>
      <c r="E2346" s="27"/>
      <c r="F2346" s="25">
        <v>0.66</v>
      </c>
      <c r="G2346" s="27"/>
    </row>
    <row r="2347">
      <c r="A2347" s="21"/>
      <c r="B2347" s="21" t="s">
        <v>8578</v>
      </c>
      <c r="D2347" s="25">
        <v>10.0</v>
      </c>
      <c r="E2347" s="27"/>
      <c r="F2347" s="25">
        <v>0.0</v>
      </c>
      <c r="G2347" s="27"/>
    </row>
    <row r="2348">
      <c r="A2348" s="21"/>
      <c r="B2348" s="21" t="s">
        <v>8579</v>
      </c>
      <c r="D2348" s="25">
        <v>10.0</v>
      </c>
      <c r="E2348" s="27"/>
      <c r="F2348" s="25">
        <v>0.0</v>
      </c>
      <c r="G2348" s="27"/>
    </row>
    <row r="2349">
      <c r="A2349" s="21"/>
      <c r="B2349" s="21" t="s">
        <v>8580</v>
      </c>
      <c r="D2349" s="25">
        <v>10.0</v>
      </c>
      <c r="E2349" s="27"/>
      <c r="F2349" s="25">
        <v>0.0</v>
      </c>
      <c r="G2349" s="27"/>
    </row>
    <row r="2350">
      <c r="A2350" s="21"/>
      <c r="B2350" s="21" t="s">
        <v>8581</v>
      </c>
      <c r="D2350" s="25">
        <v>10.0</v>
      </c>
      <c r="E2350" s="27"/>
      <c r="F2350" s="25">
        <v>0.0</v>
      </c>
      <c r="G2350" s="27"/>
    </row>
    <row r="2351">
      <c r="A2351" s="21"/>
      <c r="B2351" s="21" t="s">
        <v>8582</v>
      </c>
      <c r="D2351" s="25">
        <v>10.0</v>
      </c>
      <c r="E2351" s="27"/>
      <c r="F2351" s="25">
        <v>0.0</v>
      </c>
      <c r="G2351" s="27"/>
    </row>
    <row r="2352">
      <c r="A2352" s="21"/>
      <c r="B2352" s="21" t="s">
        <v>8583</v>
      </c>
      <c r="D2352" s="25">
        <v>10.0</v>
      </c>
      <c r="E2352" s="27"/>
      <c r="F2352" s="25">
        <v>0.0</v>
      </c>
      <c r="G2352" s="27"/>
    </row>
    <row r="2353">
      <c r="A2353" s="21"/>
      <c r="B2353" s="21" t="s">
        <v>8584</v>
      </c>
      <c r="D2353" s="25">
        <v>10.0</v>
      </c>
      <c r="E2353" s="27"/>
      <c r="F2353" s="25">
        <v>0.0</v>
      </c>
      <c r="G2353" s="27"/>
    </row>
    <row r="2354">
      <c r="A2354" s="21"/>
      <c r="B2354" s="21" t="s">
        <v>8585</v>
      </c>
      <c r="D2354" s="25">
        <v>10.0</v>
      </c>
      <c r="E2354" s="27"/>
      <c r="F2354" s="25">
        <v>0.0</v>
      </c>
      <c r="G2354" s="27"/>
    </row>
    <row r="2355">
      <c r="A2355" s="21"/>
      <c r="B2355" s="21" t="s">
        <v>8586</v>
      </c>
      <c r="D2355" s="25">
        <v>10.0</v>
      </c>
      <c r="E2355" s="27"/>
      <c r="F2355" s="25">
        <v>0.0</v>
      </c>
      <c r="G2355" s="27"/>
    </row>
    <row r="2356">
      <c r="A2356" s="21"/>
      <c r="B2356" s="21" t="s">
        <v>8587</v>
      </c>
      <c r="D2356" s="25">
        <v>10.0</v>
      </c>
      <c r="E2356" s="27"/>
      <c r="F2356" s="25">
        <v>0.0</v>
      </c>
      <c r="G2356" s="27"/>
    </row>
    <row r="2357">
      <c r="A2357" s="21"/>
      <c r="B2357" s="21" t="s">
        <v>8588</v>
      </c>
      <c r="D2357" s="25">
        <v>10.0</v>
      </c>
      <c r="E2357" s="27"/>
      <c r="F2357" s="25">
        <v>0.0</v>
      </c>
      <c r="G2357" s="27"/>
    </row>
    <row r="2358">
      <c r="A2358" s="21"/>
      <c r="B2358" s="21" t="s">
        <v>8589</v>
      </c>
      <c r="D2358" s="25">
        <v>10.0</v>
      </c>
      <c r="E2358" s="27"/>
      <c r="F2358" s="25">
        <v>0.0</v>
      </c>
      <c r="G2358" s="27"/>
    </row>
    <row r="2359">
      <c r="A2359" s="21"/>
      <c r="B2359" s="21" t="s">
        <v>8590</v>
      </c>
      <c r="D2359" s="25">
        <v>10.0</v>
      </c>
      <c r="E2359" s="27"/>
      <c r="F2359" s="25">
        <v>0.0</v>
      </c>
      <c r="G2359" s="27"/>
    </row>
    <row r="2360">
      <c r="A2360" s="21"/>
      <c r="B2360" s="21" t="s">
        <v>8591</v>
      </c>
      <c r="D2360" s="25">
        <v>10.0</v>
      </c>
      <c r="E2360" s="27"/>
      <c r="F2360" s="25">
        <v>0.0</v>
      </c>
      <c r="G2360" s="27"/>
    </row>
    <row r="2361">
      <c r="A2361" s="21"/>
      <c r="B2361" s="21" t="s">
        <v>8592</v>
      </c>
      <c r="D2361" s="25">
        <v>10.0</v>
      </c>
      <c r="E2361" s="27"/>
      <c r="F2361" s="25">
        <v>5.06</v>
      </c>
      <c r="G2361" s="27"/>
    </row>
    <row r="2362">
      <c r="A2362" s="21"/>
      <c r="B2362" s="21" t="s">
        <v>8593</v>
      </c>
      <c r="D2362" s="25">
        <v>10.0</v>
      </c>
      <c r="E2362" s="27"/>
      <c r="F2362" s="25">
        <v>0.0</v>
      </c>
      <c r="G2362" s="27"/>
    </row>
    <row r="2363">
      <c r="A2363" s="21"/>
      <c r="B2363" s="21" t="s">
        <v>8594</v>
      </c>
      <c r="D2363" s="25">
        <v>10.0</v>
      </c>
      <c r="E2363" s="27"/>
      <c r="F2363" s="25">
        <v>0.0</v>
      </c>
      <c r="G2363" s="27"/>
    </row>
    <row r="2364">
      <c r="A2364" s="21"/>
      <c r="B2364" s="21" t="s">
        <v>8595</v>
      </c>
      <c r="D2364" s="25">
        <v>10.0</v>
      </c>
      <c r="E2364" s="27"/>
      <c r="F2364" s="25">
        <v>0.0</v>
      </c>
      <c r="G2364" s="27"/>
    </row>
    <row r="2365">
      <c r="A2365" s="21"/>
      <c r="B2365" s="21" t="s">
        <v>8596</v>
      </c>
      <c r="D2365" s="25">
        <v>10.0</v>
      </c>
      <c r="E2365" s="27"/>
      <c r="F2365" s="25">
        <v>0.0</v>
      </c>
      <c r="G2365" s="27"/>
    </row>
    <row r="2366">
      <c r="A2366" s="21"/>
      <c r="B2366" s="21" t="s">
        <v>8597</v>
      </c>
      <c r="D2366" s="25">
        <v>10.0</v>
      </c>
      <c r="E2366" s="27"/>
      <c r="F2366" s="25">
        <v>0.0</v>
      </c>
      <c r="G2366" s="27"/>
    </row>
    <row r="2367">
      <c r="A2367" s="21"/>
      <c r="B2367" s="21" t="s">
        <v>8598</v>
      </c>
      <c r="D2367" s="25">
        <v>10.0</v>
      </c>
      <c r="E2367" s="27"/>
      <c r="F2367" s="25">
        <v>0.0</v>
      </c>
      <c r="G2367" s="27"/>
    </row>
    <row r="2368">
      <c r="A2368" s="21"/>
      <c r="B2368" s="21" t="s">
        <v>8599</v>
      </c>
      <c r="D2368" s="25">
        <v>10.0</v>
      </c>
      <c r="E2368" s="27"/>
      <c r="F2368" s="25">
        <v>0.0</v>
      </c>
      <c r="G2368" s="27"/>
    </row>
    <row r="2369">
      <c r="A2369" s="21"/>
      <c r="B2369" s="21" t="s">
        <v>8600</v>
      </c>
      <c r="D2369" s="25">
        <v>10.0</v>
      </c>
      <c r="E2369" s="27"/>
      <c r="F2369" s="25">
        <v>0.0</v>
      </c>
      <c r="G2369" s="27"/>
    </row>
    <row r="2370">
      <c r="A2370" s="21"/>
      <c r="B2370" s="21" t="s">
        <v>8601</v>
      </c>
      <c r="D2370" s="25">
        <v>10.0</v>
      </c>
      <c r="E2370" s="27"/>
      <c r="F2370" s="25">
        <v>0.0</v>
      </c>
      <c r="G2370" s="27"/>
    </row>
    <row r="2371">
      <c r="A2371" s="21"/>
      <c r="B2371" s="21" t="s">
        <v>8602</v>
      </c>
      <c r="D2371" s="25">
        <v>10.0</v>
      </c>
      <c r="E2371" s="27"/>
      <c r="F2371" s="25">
        <v>0.0</v>
      </c>
      <c r="G2371" s="27"/>
    </row>
    <row r="2372">
      <c r="A2372" s="21"/>
      <c r="B2372" s="21" t="s">
        <v>8603</v>
      </c>
      <c r="D2372" s="25">
        <v>10.0</v>
      </c>
      <c r="E2372" s="27"/>
      <c r="F2372" s="25">
        <v>0.0</v>
      </c>
      <c r="G2372" s="27"/>
    </row>
    <row r="2373">
      <c r="A2373" s="21"/>
      <c r="B2373" s="21" t="s">
        <v>8604</v>
      </c>
      <c r="D2373" s="25">
        <v>10.0</v>
      </c>
      <c r="E2373" s="27"/>
      <c r="F2373" s="25">
        <v>0.0</v>
      </c>
      <c r="G2373" s="27"/>
    </row>
    <row r="2374">
      <c r="A2374" s="21"/>
      <c r="B2374" s="21" t="s">
        <v>8605</v>
      </c>
      <c r="D2374" s="25">
        <v>10.0</v>
      </c>
      <c r="E2374" s="27"/>
      <c r="F2374" s="25">
        <v>0.0</v>
      </c>
      <c r="G2374" s="27"/>
    </row>
    <row r="2375">
      <c r="A2375" s="21"/>
      <c r="B2375" s="21" t="s">
        <v>8606</v>
      </c>
      <c r="D2375" s="25">
        <v>10.0</v>
      </c>
      <c r="E2375" s="27"/>
      <c r="F2375" s="25">
        <v>0.0</v>
      </c>
      <c r="G2375" s="27"/>
    </row>
    <row r="2376">
      <c r="A2376" s="21"/>
      <c r="B2376" s="21" t="s">
        <v>8607</v>
      </c>
      <c r="D2376" s="25">
        <v>10.0</v>
      </c>
      <c r="E2376" s="27"/>
      <c r="F2376" s="25">
        <v>0.0</v>
      </c>
      <c r="G2376" s="27"/>
    </row>
    <row r="2377">
      <c r="A2377" s="21"/>
      <c r="B2377" s="21" t="s">
        <v>8608</v>
      </c>
      <c r="D2377" s="25">
        <v>10.0</v>
      </c>
      <c r="E2377" s="27"/>
      <c r="F2377" s="25">
        <v>0.0</v>
      </c>
      <c r="G2377" s="27"/>
    </row>
    <row r="2378">
      <c r="A2378" s="21"/>
      <c r="B2378" s="21" t="s">
        <v>8609</v>
      </c>
      <c r="D2378" s="25">
        <v>10.0</v>
      </c>
      <c r="E2378" s="27"/>
      <c r="F2378" s="25">
        <v>0.0</v>
      </c>
      <c r="G2378" s="27"/>
    </row>
    <row r="2379">
      <c r="A2379" s="21"/>
      <c r="B2379" s="21" t="s">
        <v>8610</v>
      </c>
      <c r="D2379" s="25">
        <v>10.0</v>
      </c>
      <c r="E2379" s="27"/>
      <c r="F2379" s="25">
        <v>0.0</v>
      </c>
      <c r="G2379" s="27"/>
    </row>
    <row r="2380">
      <c r="A2380" s="21"/>
      <c r="B2380" s="21" t="s">
        <v>8611</v>
      </c>
      <c r="D2380" s="25">
        <v>10.0</v>
      </c>
      <c r="E2380" s="27"/>
      <c r="F2380" s="25">
        <v>0.0</v>
      </c>
      <c r="G2380" s="27"/>
    </row>
    <row r="2381">
      <c r="A2381" s="21"/>
      <c r="B2381" s="21" t="s">
        <v>8612</v>
      </c>
      <c r="C2381" s="27"/>
      <c r="D2381" s="25">
        <v>10.0</v>
      </c>
      <c r="E2381" s="27"/>
      <c r="F2381" s="25">
        <v>7.89</v>
      </c>
      <c r="G2381" s="27"/>
    </row>
    <row r="2382">
      <c r="A2382" s="21"/>
      <c r="B2382" s="21" t="s">
        <v>8613</v>
      </c>
      <c r="D2382" s="25">
        <v>10.0</v>
      </c>
      <c r="E2382" s="27"/>
      <c r="F2382" s="25">
        <v>0.0</v>
      </c>
      <c r="G2382" s="27"/>
    </row>
    <row r="2383">
      <c r="A2383" s="21"/>
      <c r="B2383" s="21" t="s">
        <v>8614</v>
      </c>
      <c r="D2383" s="25">
        <v>10.0</v>
      </c>
      <c r="E2383" s="27"/>
      <c r="F2383" s="25">
        <v>0.0</v>
      </c>
      <c r="G2383" s="27"/>
    </row>
    <row r="2384">
      <c r="A2384" s="21"/>
      <c r="B2384" s="21" t="s">
        <v>8615</v>
      </c>
      <c r="D2384" s="25">
        <v>10.0</v>
      </c>
      <c r="E2384" s="27"/>
      <c r="F2384" s="25">
        <v>0.0</v>
      </c>
      <c r="G2384" s="27"/>
    </row>
    <row r="2385">
      <c r="A2385" s="21"/>
      <c r="B2385" s="21" t="s">
        <v>8616</v>
      </c>
      <c r="D2385" s="25">
        <v>10.0</v>
      </c>
      <c r="E2385" s="27"/>
      <c r="F2385" s="25">
        <v>0.0</v>
      </c>
      <c r="G2385" s="27"/>
    </row>
    <row r="2386">
      <c r="A2386" s="21"/>
      <c r="B2386" s="21" t="s">
        <v>8617</v>
      </c>
      <c r="D2386" s="25">
        <v>10.0</v>
      </c>
      <c r="E2386" s="27"/>
      <c r="F2386" s="25">
        <v>0.0</v>
      </c>
      <c r="G2386" s="27"/>
    </row>
    <row r="2387">
      <c r="A2387" s="21"/>
      <c r="B2387" s="21" t="s">
        <v>8618</v>
      </c>
      <c r="D2387" s="25">
        <v>10.0</v>
      </c>
      <c r="E2387" s="27"/>
      <c r="F2387" s="25">
        <v>0.0</v>
      </c>
      <c r="G2387" s="27"/>
    </row>
    <row r="2388">
      <c r="A2388" s="21"/>
      <c r="B2388" s="21" t="s">
        <v>8619</v>
      </c>
      <c r="D2388" s="25">
        <v>10.0</v>
      </c>
      <c r="E2388" s="27"/>
      <c r="F2388" s="25">
        <v>0.7</v>
      </c>
      <c r="G2388" s="27"/>
    </row>
    <row r="2389">
      <c r="A2389" s="21"/>
      <c r="B2389" s="21" t="s">
        <v>8620</v>
      </c>
      <c r="D2389" s="25">
        <v>10.0</v>
      </c>
      <c r="E2389" s="27"/>
      <c r="F2389" s="25">
        <v>0.0</v>
      </c>
      <c r="G2389" s="27"/>
    </row>
    <row r="2390">
      <c r="A2390" s="21"/>
      <c r="B2390" s="21" t="s">
        <v>8621</v>
      </c>
      <c r="D2390" s="25">
        <v>10.0</v>
      </c>
      <c r="E2390" s="27"/>
      <c r="F2390" s="25">
        <v>0.0</v>
      </c>
      <c r="G2390" s="27"/>
    </row>
    <row r="2391">
      <c r="A2391" s="21"/>
      <c r="B2391" s="21" t="s">
        <v>8622</v>
      </c>
      <c r="D2391" s="25">
        <v>10.0</v>
      </c>
      <c r="E2391" s="27"/>
      <c r="F2391" s="25">
        <v>0.0</v>
      </c>
      <c r="G2391" s="27"/>
    </row>
    <row r="2392">
      <c r="A2392" s="21"/>
      <c r="B2392" s="21" t="s">
        <v>8623</v>
      </c>
      <c r="D2392" s="25">
        <v>10.0</v>
      </c>
      <c r="E2392" s="27"/>
      <c r="F2392" s="25">
        <v>0.0</v>
      </c>
      <c r="G2392" s="27"/>
    </row>
    <row r="2393">
      <c r="A2393" s="21"/>
      <c r="B2393" s="21" t="s">
        <v>8624</v>
      </c>
      <c r="D2393" s="25">
        <v>10.0</v>
      </c>
      <c r="E2393" s="27"/>
      <c r="F2393" s="25">
        <v>0.0</v>
      </c>
      <c r="G2393" s="27"/>
    </row>
    <row r="2394">
      <c r="A2394" s="21"/>
      <c r="B2394" s="21" t="s">
        <v>8625</v>
      </c>
      <c r="D2394" s="25">
        <v>10.0</v>
      </c>
      <c r="E2394" s="27"/>
      <c r="F2394" s="25">
        <v>0.0</v>
      </c>
      <c r="G2394" s="27"/>
    </row>
    <row r="2395">
      <c r="A2395" s="21"/>
      <c r="B2395" s="21" t="s">
        <v>8626</v>
      </c>
      <c r="D2395" s="25">
        <v>10.0</v>
      </c>
      <c r="E2395" s="27"/>
      <c r="F2395" s="25">
        <v>0.0</v>
      </c>
      <c r="G2395" s="27"/>
    </row>
    <row r="2396">
      <c r="A2396" s="21"/>
      <c r="B2396" s="21" t="s">
        <v>8627</v>
      </c>
      <c r="D2396" s="25">
        <v>10.0</v>
      </c>
      <c r="E2396" s="27"/>
      <c r="F2396" s="25">
        <v>0.0</v>
      </c>
      <c r="G2396" s="27"/>
    </row>
    <row r="2397">
      <c r="A2397" s="21"/>
      <c r="B2397" s="21" t="s">
        <v>8628</v>
      </c>
      <c r="D2397" s="25">
        <v>10.0</v>
      </c>
      <c r="E2397" s="27"/>
      <c r="F2397" s="25">
        <v>0.0</v>
      </c>
      <c r="G2397" s="27"/>
    </row>
    <row r="2398">
      <c r="A2398" s="21"/>
      <c r="B2398" s="21" t="s">
        <v>8629</v>
      </c>
      <c r="D2398" s="25">
        <v>10.0</v>
      </c>
      <c r="E2398" s="27"/>
      <c r="F2398" s="25">
        <v>0.0</v>
      </c>
      <c r="G2398" s="27"/>
    </row>
    <row r="2399">
      <c r="A2399" s="21"/>
      <c r="B2399" s="21" t="s">
        <v>8630</v>
      </c>
      <c r="D2399" s="25">
        <v>10.0</v>
      </c>
      <c r="E2399" s="27"/>
      <c r="F2399" s="25">
        <v>0.0</v>
      </c>
      <c r="G2399" s="27"/>
    </row>
    <row r="2400">
      <c r="A2400" s="21"/>
      <c r="B2400" s="21" t="s">
        <v>8631</v>
      </c>
      <c r="D2400" s="25">
        <v>10.0</v>
      </c>
      <c r="E2400" s="27"/>
      <c r="F2400" s="25">
        <v>0.0</v>
      </c>
      <c r="G2400" s="27"/>
    </row>
    <row r="2401">
      <c r="A2401" s="21"/>
      <c r="B2401" s="21" t="s">
        <v>8632</v>
      </c>
      <c r="D2401" s="25">
        <v>10.0</v>
      </c>
      <c r="E2401" s="27"/>
      <c r="F2401" s="25">
        <v>0.0</v>
      </c>
      <c r="G2401" s="27"/>
    </row>
    <row r="2402">
      <c r="A2402" s="21"/>
      <c r="B2402" s="21" t="s">
        <v>8633</v>
      </c>
      <c r="D2402" s="25">
        <v>10.0</v>
      </c>
      <c r="E2402" s="27"/>
      <c r="F2402" s="25">
        <v>0.0</v>
      </c>
      <c r="G2402" s="27"/>
    </row>
    <row r="2403">
      <c r="A2403" s="21"/>
      <c r="B2403" s="21" t="s">
        <v>8634</v>
      </c>
      <c r="D2403" s="25">
        <v>10.0</v>
      </c>
      <c r="E2403" s="27"/>
      <c r="F2403" s="25">
        <v>0.0</v>
      </c>
      <c r="G2403" s="27"/>
    </row>
    <row r="2404">
      <c r="A2404" s="21"/>
      <c r="B2404" s="21" t="s">
        <v>8635</v>
      </c>
      <c r="D2404" s="25">
        <v>10.0</v>
      </c>
      <c r="E2404" s="27"/>
      <c r="F2404" s="25">
        <v>0.0</v>
      </c>
      <c r="G2404" s="27"/>
    </row>
    <row r="2405">
      <c r="A2405" s="21"/>
      <c r="B2405" s="21" t="s">
        <v>8636</v>
      </c>
      <c r="D2405" s="25">
        <v>10.0</v>
      </c>
      <c r="E2405" s="27"/>
      <c r="F2405" s="25">
        <v>0.0</v>
      </c>
      <c r="G2405" s="27"/>
    </row>
    <row r="2406">
      <c r="A2406" s="21"/>
      <c r="B2406" s="21" t="s">
        <v>8637</v>
      </c>
      <c r="D2406" s="25">
        <v>10.0</v>
      </c>
      <c r="E2406" s="27"/>
      <c r="F2406" s="25">
        <v>1.08</v>
      </c>
      <c r="G2406" s="27"/>
    </row>
    <row r="2407">
      <c r="A2407" s="21"/>
      <c r="B2407" s="21" t="s">
        <v>8638</v>
      </c>
      <c r="D2407" s="25">
        <v>10.0</v>
      </c>
      <c r="E2407" s="27"/>
      <c r="F2407" s="25">
        <v>0.0</v>
      </c>
      <c r="G2407" s="27"/>
    </row>
    <row r="2408">
      <c r="A2408" s="21"/>
      <c r="B2408" s="21" t="s">
        <v>8639</v>
      </c>
      <c r="D2408" s="25">
        <v>10.0</v>
      </c>
      <c r="E2408" s="27"/>
      <c r="F2408" s="25">
        <v>0.0</v>
      </c>
      <c r="G2408" s="27"/>
    </row>
    <row r="2409">
      <c r="A2409" s="21"/>
      <c r="B2409" s="21" t="s">
        <v>8640</v>
      </c>
      <c r="D2409" s="25">
        <v>10.0</v>
      </c>
      <c r="E2409" s="27"/>
      <c r="F2409" s="25">
        <v>0.0</v>
      </c>
      <c r="G2409" s="27"/>
    </row>
    <row r="2410">
      <c r="A2410" s="21"/>
      <c r="B2410" s="21" t="s">
        <v>8641</v>
      </c>
      <c r="D2410" s="25">
        <v>10.0</v>
      </c>
      <c r="E2410" s="27"/>
      <c r="F2410" s="25">
        <v>0.0</v>
      </c>
      <c r="G2410" s="27"/>
    </row>
    <row r="2411">
      <c r="A2411" s="21"/>
      <c r="B2411" s="21" t="s">
        <v>8642</v>
      </c>
      <c r="D2411" s="25">
        <v>10.0</v>
      </c>
      <c r="E2411" s="27"/>
      <c r="F2411" s="25">
        <v>0.0</v>
      </c>
      <c r="G2411" s="27"/>
    </row>
    <row r="2412">
      <c r="A2412" s="21"/>
      <c r="B2412" s="21" t="s">
        <v>8643</v>
      </c>
      <c r="D2412" s="25">
        <v>10.0</v>
      </c>
      <c r="E2412" s="27"/>
      <c r="F2412" s="25">
        <v>0.0</v>
      </c>
      <c r="G2412" s="27"/>
    </row>
    <row r="2413">
      <c r="A2413" s="21"/>
      <c r="B2413" s="21" t="s">
        <v>8644</v>
      </c>
      <c r="D2413" s="25">
        <v>10.0</v>
      </c>
      <c r="E2413" s="27"/>
      <c r="F2413" s="25">
        <v>0.0</v>
      </c>
      <c r="G2413" s="27"/>
    </row>
    <row r="2414">
      <c r="A2414" s="21"/>
      <c r="B2414" s="21" t="s">
        <v>8645</v>
      </c>
      <c r="D2414" s="25">
        <v>10.0</v>
      </c>
      <c r="E2414" s="27"/>
      <c r="F2414" s="25">
        <v>0.0</v>
      </c>
      <c r="G2414" s="27"/>
    </row>
    <row r="2415">
      <c r="A2415" s="21"/>
      <c r="B2415" s="21" t="s">
        <v>8646</v>
      </c>
      <c r="D2415" s="25">
        <v>10.0</v>
      </c>
      <c r="E2415" s="27"/>
      <c r="F2415" s="25">
        <v>0.0</v>
      </c>
      <c r="G2415" s="27"/>
    </row>
    <row r="2416">
      <c r="A2416" s="21"/>
      <c r="B2416" s="21" t="s">
        <v>8647</v>
      </c>
      <c r="D2416" s="25">
        <v>10.0</v>
      </c>
      <c r="E2416" s="27"/>
      <c r="F2416" s="25">
        <v>0.0</v>
      </c>
      <c r="G2416" s="27"/>
    </row>
    <row r="2417">
      <c r="A2417" s="21"/>
      <c r="B2417" s="21" t="s">
        <v>8648</v>
      </c>
      <c r="D2417" s="25">
        <v>10.0</v>
      </c>
      <c r="E2417" s="27"/>
      <c r="F2417" s="25">
        <v>0.0</v>
      </c>
      <c r="G2417" s="27"/>
    </row>
    <row r="2418">
      <c r="A2418" s="21"/>
      <c r="B2418" s="21" t="s">
        <v>8649</v>
      </c>
      <c r="D2418" s="25">
        <v>10.0</v>
      </c>
      <c r="E2418" s="27"/>
      <c r="F2418" s="25">
        <v>0.0</v>
      </c>
      <c r="G2418" s="27"/>
    </row>
    <row r="2419">
      <c r="A2419" s="21"/>
      <c r="B2419" s="21" t="s">
        <v>8650</v>
      </c>
      <c r="D2419" s="25">
        <v>10.0</v>
      </c>
      <c r="E2419" s="27"/>
      <c r="F2419" s="25">
        <v>0.0</v>
      </c>
      <c r="G2419" s="27"/>
    </row>
    <row r="2420">
      <c r="A2420" s="21"/>
      <c r="B2420" s="21" t="s">
        <v>8651</v>
      </c>
      <c r="D2420" s="25">
        <v>10.0</v>
      </c>
      <c r="E2420" s="27"/>
      <c r="F2420" s="25">
        <v>0.0</v>
      </c>
      <c r="G2420" s="27"/>
    </row>
    <row r="2421">
      <c r="A2421" s="21"/>
      <c r="B2421" s="21" t="s">
        <v>8652</v>
      </c>
      <c r="D2421" s="25">
        <v>10.0</v>
      </c>
      <c r="E2421" s="27"/>
      <c r="F2421" s="25">
        <v>8.66</v>
      </c>
      <c r="G2421" s="27"/>
    </row>
    <row r="2422">
      <c r="A2422" s="21"/>
      <c r="B2422" s="21" t="s">
        <v>8653</v>
      </c>
      <c r="D2422" s="25">
        <v>10.0</v>
      </c>
      <c r="E2422" s="27"/>
      <c r="F2422" s="25">
        <v>0.0</v>
      </c>
      <c r="G2422" s="27"/>
    </row>
    <row r="2423">
      <c r="A2423" s="21"/>
      <c r="B2423" s="21" t="s">
        <v>8654</v>
      </c>
      <c r="D2423" s="25">
        <v>10.0</v>
      </c>
      <c r="E2423" s="27"/>
      <c r="F2423" s="25">
        <v>0.0</v>
      </c>
      <c r="G2423" s="27"/>
    </row>
    <row r="2424">
      <c r="A2424" s="21"/>
      <c r="B2424" s="21" t="s">
        <v>8655</v>
      </c>
      <c r="D2424" s="25">
        <v>10.0</v>
      </c>
      <c r="E2424" s="27"/>
      <c r="F2424" s="25">
        <v>0.0</v>
      </c>
      <c r="G2424" s="27"/>
    </row>
    <row r="2425">
      <c r="A2425" s="21"/>
      <c r="B2425" s="21" t="s">
        <v>8656</v>
      </c>
      <c r="D2425" s="25">
        <v>10.0</v>
      </c>
      <c r="E2425" s="27"/>
      <c r="F2425" s="25">
        <v>0.0</v>
      </c>
      <c r="G2425" s="27"/>
    </row>
    <row r="2426">
      <c r="A2426" s="21"/>
      <c r="B2426" s="21" t="s">
        <v>8657</v>
      </c>
      <c r="D2426" s="25">
        <v>10.0</v>
      </c>
      <c r="E2426" s="27"/>
      <c r="F2426" s="25">
        <v>0.0</v>
      </c>
      <c r="G2426" s="27"/>
    </row>
    <row r="2427">
      <c r="A2427" s="21"/>
      <c r="B2427" s="21" t="s">
        <v>8658</v>
      </c>
      <c r="D2427" s="25">
        <v>10.0</v>
      </c>
      <c r="E2427" s="27"/>
      <c r="F2427" s="25">
        <v>0.0</v>
      </c>
      <c r="G2427" s="27"/>
    </row>
    <row r="2428">
      <c r="A2428" s="21"/>
      <c r="B2428" s="21" t="s">
        <v>8659</v>
      </c>
      <c r="D2428" s="25">
        <v>10.0</v>
      </c>
      <c r="E2428" s="27"/>
      <c r="F2428" s="25">
        <v>0.0</v>
      </c>
      <c r="G2428" s="27"/>
    </row>
    <row r="2429">
      <c r="A2429" s="21"/>
      <c r="B2429" s="21" t="s">
        <v>8660</v>
      </c>
      <c r="D2429" s="25">
        <v>10.0</v>
      </c>
      <c r="E2429" s="27"/>
      <c r="F2429" s="25">
        <v>0.0</v>
      </c>
      <c r="G2429" s="27"/>
    </row>
    <row r="2430">
      <c r="A2430" s="21"/>
      <c r="B2430" s="21" t="s">
        <v>8661</v>
      </c>
      <c r="D2430" s="25">
        <v>10.0</v>
      </c>
      <c r="E2430" s="27"/>
      <c r="F2430" s="25">
        <v>0.0</v>
      </c>
      <c r="G2430" s="27"/>
    </row>
    <row r="2431">
      <c r="A2431" s="21"/>
      <c r="B2431" s="21" t="s">
        <v>8662</v>
      </c>
      <c r="D2431" s="25">
        <v>10.0</v>
      </c>
      <c r="E2431" s="27"/>
      <c r="F2431" s="25">
        <v>0.0</v>
      </c>
      <c r="G2431" s="27"/>
    </row>
    <row r="2432">
      <c r="A2432" s="21"/>
      <c r="B2432" s="21" t="s">
        <v>8663</v>
      </c>
      <c r="D2432" s="25">
        <v>10.0</v>
      </c>
      <c r="E2432" s="27"/>
      <c r="F2432" s="25">
        <v>0.0</v>
      </c>
      <c r="G2432" s="27"/>
    </row>
    <row r="2433">
      <c r="A2433" s="21"/>
      <c r="B2433" s="21" t="s">
        <v>8664</v>
      </c>
      <c r="D2433" s="25">
        <v>10.0</v>
      </c>
      <c r="E2433" s="27"/>
      <c r="F2433" s="25">
        <v>0.0</v>
      </c>
      <c r="G2433" s="27"/>
    </row>
    <row r="2434">
      <c r="A2434" s="21"/>
      <c r="B2434" s="21" t="s">
        <v>8665</v>
      </c>
      <c r="D2434" s="25">
        <v>10.0</v>
      </c>
      <c r="E2434" s="27"/>
      <c r="F2434" s="25">
        <v>0.0</v>
      </c>
      <c r="G2434" s="27"/>
    </row>
    <row r="2435">
      <c r="A2435" s="21"/>
      <c r="B2435" s="21" t="s">
        <v>8666</v>
      </c>
      <c r="D2435" s="25">
        <v>10.0</v>
      </c>
      <c r="E2435" s="27"/>
      <c r="F2435" s="25">
        <v>0.0</v>
      </c>
      <c r="G2435" s="27"/>
    </row>
    <row r="2436">
      <c r="A2436" s="21"/>
      <c r="B2436" s="21" t="s">
        <v>8667</v>
      </c>
      <c r="D2436" s="25">
        <v>10.0</v>
      </c>
      <c r="E2436" s="27"/>
      <c r="F2436" s="25">
        <v>0.0</v>
      </c>
      <c r="G2436" s="27"/>
    </row>
    <row r="2437">
      <c r="A2437" s="21"/>
      <c r="B2437" s="21" t="s">
        <v>8668</v>
      </c>
      <c r="D2437" s="25">
        <v>10.0</v>
      </c>
      <c r="E2437" s="27"/>
      <c r="F2437" s="25">
        <v>6.87</v>
      </c>
      <c r="G2437" s="27"/>
    </row>
    <row r="2438">
      <c r="A2438" s="21"/>
      <c r="B2438" s="21" t="s">
        <v>8669</v>
      </c>
      <c r="D2438" s="25">
        <v>10.0</v>
      </c>
      <c r="E2438" s="27"/>
      <c r="F2438" s="25">
        <v>0.0</v>
      </c>
      <c r="G2438" s="27"/>
    </row>
    <row r="2439">
      <c r="A2439" s="21"/>
      <c r="B2439" s="21" t="s">
        <v>8670</v>
      </c>
      <c r="D2439" s="25">
        <v>10.0</v>
      </c>
      <c r="E2439" s="27"/>
      <c r="F2439" s="25">
        <v>0.0</v>
      </c>
      <c r="G2439" s="27"/>
    </row>
    <row r="2440">
      <c r="A2440" s="21"/>
      <c r="B2440" s="21" t="s">
        <v>8671</v>
      </c>
      <c r="D2440" s="25">
        <v>10.0</v>
      </c>
      <c r="E2440" s="27"/>
      <c r="F2440" s="25">
        <v>0.0</v>
      </c>
      <c r="G2440" s="27"/>
    </row>
    <row r="2441">
      <c r="A2441" s="21"/>
      <c r="B2441" s="21" t="s">
        <v>8672</v>
      </c>
      <c r="D2441" s="25">
        <v>10.0</v>
      </c>
      <c r="E2441" s="27"/>
      <c r="F2441" s="25">
        <v>0.0</v>
      </c>
      <c r="G2441" s="27"/>
    </row>
    <row r="2442">
      <c r="A2442" s="21"/>
      <c r="B2442" s="21" t="s">
        <v>8673</v>
      </c>
      <c r="D2442" s="25">
        <v>10.0</v>
      </c>
      <c r="E2442" s="27"/>
      <c r="F2442" s="25">
        <v>0.0</v>
      </c>
      <c r="G2442" s="27"/>
    </row>
    <row r="2443">
      <c r="A2443" s="21"/>
      <c r="B2443" s="21" t="s">
        <v>8674</v>
      </c>
      <c r="D2443" s="25">
        <v>10.0</v>
      </c>
      <c r="E2443" s="27"/>
      <c r="F2443" s="25">
        <v>0.0</v>
      </c>
      <c r="G2443" s="27"/>
    </row>
    <row r="2444">
      <c r="A2444" s="21"/>
      <c r="B2444" s="21" t="s">
        <v>8675</v>
      </c>
      <c r="D2444" s="25">
        <v>10.0</v>
      </c>
      <c r="E2444" s="27"/>
      <c r="F2444" s="25">
        <v>0.0</v>
      </c>
      <c r="G2444" s="27"/>
    </row>
    <row r="2445">
      <c r="A2445" s="21"/>
      <c r="B2445" s="21" t="s">
        <v>8676</v>
      </c>
      <c r="D2445" s="25">
        <v>10.0</v>
      </c>
      <c r="E2445" s="27"/>
      <c r="F2445" s="25">
        <v>0.0</v>
      </c>
      <c r="G2445" s="27"/>
    </row>
    <row r="2446">
      <c r="A2446" s="21"/>
      <c r="B2446" s="21" t="s">
        <v>8677</v>
      </c>
      <c r="D2446" s="25">
        <v>10.0</v>
      </c>
      <c r="E2446" s="27"/>
      <c r="F2446" s="25">
        <v>0.0</v>
      </c>
      <c r="G2446" s="27"/>
    </row>
    <row r="2447">
      <c r="A2447" s="21"/>
      <c r="B2447" s="21" t="s">
        <v>8678</v>
      </c>
      <c r="D2447" s="25">
        <v>10.0</v>
      </c>
      <c r="E2447" s="27"/>
      <c r="F2447" s="25">
        <v>0.0</v>
      </c>
      <c r="G2447" s="27"/>
    </row>
    <row r="2448">
      <c r="A2448" s="21"/>
      <c r="B2448" s="21" t="s">
        <v>8679</v>
      </c>
      <c r="D2448" s="25">
        <v>10.0</v>
      </c>
      <c r="E2448" s="27"/>
      <c r="F2448" s="25">
        <v>0.0</v>
      </c>
      <c r="G2448" s="27"/>
    </row>
    <row r="2449">
      <c r="A2449" s="21"/>
      <c r="B2449" s="21" t="s">
        <v>8680</v>
      </c>
      <c r="D2449" s="25">
        <v>10.0</v>
      </c>
      <c r="E2449" s="27"/>
      <c r="F2449" s="25">
        <v>0.0</v>
      </c>
      <c r="G2449" s="27"/>
    </row>
    <row r="2450">
      <c r="A2450" s="21"/>
      <c r="B2450" s="21" t="s">
        <v>8681</v>
      </c>
      <c r="D2450" s="25">
        <v>10.0</v>
      </c>
      <c r="E2450" s="27"/>
      <c r="F2450" s="25">
        <v>6.54</v>
      </c>
      <c r="G2450" s="27"/>
    </row>
    <row r="2451">
      <c r="A2451" s="21"/>
      <c r="B2451" s="21" t="s">
        <v>8682</v>
      </c>
      <c r="D2451" s="25">
        <v>10.0</v>
      </c>
      <c r="E2451" s="27"/>
      <c r="F2451" s="25">
        <v>0.0</v>
      </c>
      <c r="G2451" s="27"/>
    </row>
    <row r="2452">
      <c r="A2452" s="21"/>
      <c r="B2452" s="21" t="s">
        <v>8683</v>
      </c>
      <c r="D2452" s="25">
        <v>10.0</v>
      </c>
      <c r="E2452" s="27"/>
      <c r="F2452" s="25">
        <v>0.0</v>
      </c>
      <c r="G2452" s="27"/>
    </row>
    <row r="2453">
      <c r="A2453" s="21"/>
      <c r="B2453" s="21" t="s">
        <v>8684</v>
      </c>
      <c r="D2453" s="25">
        <v>10.0</v>
      </c>
      <c r="E2453" s="27"/>
      <c r="F2453" s="25">
        <v>0.0</v>
      </c>
      <c r="G2453" s="27"/>
    </row>
    <row r="2454">
      <c r="A2454" s="21"/>
      <c r="B2454" s="21" t="s">
        <v>8685</v>
      </c>
      <c r="D2454" s="25">
        <v>10.0</v>
      </c>
      <c r="E2454" s="27"/>
      <c r="F2454" s="25">
        <v>0.0</v>
      </c>
      <c r="G2454" s="27"/>
    </row>
    <row r="2455">
      <c r="A2455" s="21"/>
      <c r="B2455" s="21" t="s">
        <v>8686</v>
      </c>
      <c r="D2455" s="25">
        <v>10.0</v>
      </c>
      <c r="E2455" s="27"/>
      <c r="F2455" s="25">
        <v>0.0</v>
      </c>
      <c r="G2455" s="27"/>
    </row>
    <row r="2456">
      <c r="A2456" s="21"/>
      <c r="B2456" s="21" t="s">
        <v>8687</v>
      </c>
      <c r="D2456" s="25">
        <v>10.0</v>
      </c>
      <c r="E2456" s="27"/>
      <c r="F2456" s="25">
        <v>0.0</v>
      </c>
      <c r="G2456" s="27"/>
    </row>
    <row r="2457">
      <c r="A2457" s="21"/>
      <c r="B2457" s="21" t="s">
        <v>8688</v>
      </c>
      <c r="D2457" s="25">
        <v>10.0</v>
      </c>
      <c r="E2457" s="27"/>
      <c r="F2457" s="25">
        <v>0.0</v>
      </c>
      <c r="G2457" s="27"/>
    </row>
    <row r="2458">
      <c r="A2458" s="21"/>
      <c r="B2458" s="21" t="s">
        <v>8689</v>
      </c>
      <c r="D2458" s="25">
        <v>10.0</v>
      </c>
      <c r="E2458" s="27"/>
      <c r="F2458" s="25">
        <v>0.0</v>
      </c>
      <c r="G2458" s="27"/>
    </row>
    <row r="2459">
      <c r="A2459" s="21"/>
      <c r="B2459" s="21" t="s">
        <v>8690</v>
      </c>
      <c r="D2459" s="25">
        <v>10.0</v>
      </c>
      <c r="E2459" s="27"/>
      <c r="F2459" s="25">
        <v>0.0</v>
      </c>
      <c r="G2459" s="27"/>
    </row>
    <row r="2460">
      <c r="A2460" s="21"/>
      <c r="B2460" s="21" t="s">
        <v>8691</v>
      </c>
      <c r="D2460" s="25">
        <v>10.0</v>
      </c>
      <c r="E2460" s="27"/>
      <c r="F2460" s="25">
        <v>0.0</v>
      </c>
      <c r="G2460" s="27"/>
    </row>
    <row r="2461">
      <c r="A2461" s="21"/>
      <c r="B2461" s="21" t="s">
        <v>8692</v>
      </c>
      <c r="D2461" s="25">
        <v>10.0</v>
      </c>
      <c r="E2461" s="27"/>
      <c r="F2461" s="25">
        <v>0.0</v>
      </c>
      <c r="G2461" s="27"/>
    </row>
    <row r="2462">
      <c r="A2462" s="21"/>
      <c r="B2462" s="21" t="s">
        <v>8693</v>
      </c>
      <c r="D2462" s="25">
        <v>10.0</v>
      </c>
      <c r="E2462" s="27"/>
      <c r="F2462" s="25">
        <v>0.0</v>
      </c>
      <c r="G2462" s="27"/>
    </row>
    <row r="2463">
      <c r="A2463" s="21"/>
      <c r="B2463" s="21" t="s">
        <v>8694</v>
      </c>
      <c r="D2463" s="25">
        <v>10.0</v>
      </c>
      <c r="E2463" s="27"/>
      <c r="F2463" s="25">
        <v>0.0</v>
      </c>
      <c r="G2463" s="27"/>
    </row>
    <row r="2464">
      <c r="A2464" s="21"/>
      <c r="B2464" s="21" t="s">
        <v>8695</v>
      </c>
      <c r="D2464" s="25">
        <v>10.0</v>
      </c>
      <c r="E2464" s="27"/>
      <c r="F2464" s="25">
        <v>4.11</v>
      </c>
      <c r="G2464" s="27"/>
    </row>
    <row r="2465">
      <c r="A2465" s="21"/>
      <c r="B2465" s="21" t="s">
        <v>8696</v>
      </c>
      <c r="D2465" s="25">
        <v>10.0</v>
      </c>
      <c r="E2465" s="27"/>
      <c r="F2465" s="25">
        <v>4.11</v>
      </c>
      <c r="G2465" s="27"/>
    </row>
    <row r="2466">
      <c r="A2466" s="21"/>
      <c r="B2466" s="21" t="s">
        <v>8697</v>
      </c>
      <c r="D2466" s="25">
        <v>10.0</v>
      </c>
      <c r="E2466" s="27"/>
      <c r="F2466" s="25">
        <v>0.93</v>
      </c>
      <c r="G2466" s="27"/>
    </row>
    <row r="2467">
      <c r="A2467" s="21"/>
      <c r="B2467" s="21" t="s">
        <v>8698</v>
      </c>
      <c r="D2467" s="25">
        <v>10.0</v>
      </c>
      <c r="E2467" s="27"/>
      <c r="F2467" s="25">
        <v>0.0</v>
      </c>
      <c r="G2467" s="27"/>
    </row>
    <row r="2468">
      <c r="A2468" s="21"/>
      <c r="B2468" s="21" t="s">
        <v>8699</v>
      </c>
      <c r="D2468" s="25">
        <v>10.0</v>
      </c>
      <c r="E2468" s="27"/>
      <c r="F2468" s="25">
        <v>0.0</v>
      </c>
      <c r="G2468" s="27"/>
    </row>
    <row r="2469">
      <c r="A2469" s="21"/>
      <c r="B2469" s="21" t="s">
        <v>8700</v>
      </c>
      <c r="D2469" s="25">
        <v>10.0</v>
      </c>
      <c r="E2469" s="27"/>
      <c r="F2469" s="25">
        <v>0.0</v>
      </c>
      <c r="G2469" s="27"/>
    </row>
    <row r="2470">
      <c r="A2470" s="21"/>
      <c r="B2470" s="21" t="s">
        <v>8701</v>
      </c>
      <c r="D2470" s="25">
        <v>10.0</v>
      </c>
      <c r="E2470" s="27"/>
      <c r="F2470" s="25">
        <v>0.0</v>
      </c>
      <c r="G2470" s="27"/>
    </row>
    <row r="2471">
      <c r="A2471" s="21"/>
      <c r="B2471" s="21" t="s">
        <v>8702</v>
      </c>
      <c r="D2471" s="25">
        <v>10.0</v>
      </c>
      <c r="E2471" s="27"/>
      <c r="F2471" s="25">
        <v>0.0</v>
      </c>
      <c r="G2471" s="27"/>
    </row>
    <row r="2472">
      <c r="A2472" s="21"/>
      <c r="B2472" s="21" t="s">
        <v>8703</v>
      </c>
      <c r="D2472" s="25">
        <v>10.0</v>
      </c>
      <c r="E2472" s="27"/>
      <c r="F2472" s="25">
        <v>0.0</v>
      </c>
      <c r="G2472" s="27"/>
    </row>
    <row r="2473">
      <c r="A2473" s="21"/>
      <c r="B2473" s="21" t="s">
        <v>8704</v>
      </c>
      <c r="D2473" s="25">
        <v>10.0</v>
      </c>
      <c r="E2473" s="27"/>
      <c r="F2473" s="25">
        <v>0.0</v>
      </c>
      <c r="G2473" s="27"/>
    </row>
    <row r="2474">
      <c r="A2474" s="21"/>
      <c r="B2474" s="21" t="s">
        <v>8705</v>
      </c>
      <c r="D2474" s="25">
        <v>10.0</v>
      </c>
      <c r="E2474" s="27"/>
      <c r="F2474" s="25">
        <v>0.0</v>
      </c>
      <c r="G2474" s="27"/>
    </row>
    <row r="2475">
      <c r="A2475" s="21"/>
      <c r="B2475" s="21" t="s">
        <v>8706</v>
      </c>
      <c r="D2475" s="25">
        <v>10.0</v>
      </c>
      <c r="E2475" s="27"/>
      <c r="F2475" s="25">
        <v>0.0</v>
      </c>
      <c r="G2475" s="27"/>
    </row>
    <row r="2476">
      <c r="A2476" s="21"/>
      <c r="B2476" s="21" t="s">
        <v>8707</v>
      </c>
      <c r="D2476" s="25">
        <v>10.0</v>
      </c>
      <c r="E2476" s="27"/>
      <c r="F2476" s="25">
        <v>0.0</v>
      </c>
      <c r="G2476" s="27"/>
    </row>
    <row r="2477">
      <c r="A2477" s="21"/>
      <c r="B2477" s="21" t="s">
        <v>8708</v>
      </c>
      <c r="D2477" s="25">
        <v>10.0</v>
      </c>
      <c r="E2477" s="27"/>
      <c r="F2477" s="25">
        <v>1.45</v>
      </c>
      <c r="G2477" s="27"/>
    </row>
    <row r="2478">
      <c r="A2478" s="21"/>
      <c r="B2478" s="21" t="s">
        <v>8709</v>
      </c>
      <c r="D2478" s="25">
        <v>10.0</v>
      </c>
      <c r="E2478" s="27"/>
      <c r="F2478" s="25">
        <v>8.92</v>
      </c>
      <c r="G2478" s="27"/>
    </row>
    <row r="2479">
      <c r="A2479" s="21"/>
      <c r="B2479" s="21" t="s">
        <v>8710</v>
      </c>
      <c r="D2479" s="25">
        <v>10.0</v>
      </c>
      <c r="E2479" s="27"/>
      <c r="F2479" s="25">
        <v>0.0</v>
      </c>
      <c r="G2479" s="27"/>
    </row>
    <row r="2480">
      <c r="A2480" s="21"/>
      <c r="B2480" s="21" t="s">
        <v>8711</v>
      </c>
      <c r="D2480" s="25">
        <v>10.0</v>
      </c>
      <c r="E2480" s="27"/>
      <c r="F2480" s="25">
        <v>0.0</v>
      </c>
      <c r="G2480" s="27"/>
    </row>
    <row r="2481">
      <c r="A2481" s="21"/>
      <c r="B2481" s="21" t="s">
        <v>8712</v>
      </c>
      <c r="D2481" s="25">
        <v>10.0</v>
      </c>
      <c r="E2481" s="27"/>
      <c r="F2481" s="25">
        <v>0.0</v>
      </c>
      <c r="G2481" s="27"/>
    </row>
    <row r="2482">
      <c r="A2482" s="21"/>
      <c r="B2482" s="21" t="s">
        <v>8713</v>
      </c>
      <c r="D2482" s="25">
        <v>10.0</v>
      </c>
      <c r="E2482" s="27"/>
      <c r="F2482" s="25">
        <v>0.0</v>
      </c>
      <c r="G2482" s="27"/>
    </row>
    <row r="2483">
      <c r="A2483" s="21"/>
      <c r="B2483" s="21" t="s">
        <v>8714</v>
      </c>
      <c r="D2483" s="25">
        <v>10.0</v>
      </c>
      <c r="E2483" s="27"/>
      <c r="F2483" s="25">
        <v>0.0</v>
      </c>
      <c r="G2483" s="27"/>
    </row>
    <row r="2484">
      <c r="A2484" s="21"/>
      <c r="B2484" s="21" t="s">
        <v>8715</v>
      </c>
      <c r="D2484" s="25">
        <v>10.0</v>
      </c>
      <c r="E2484" s="27"/>
      <c r="F2484" s="25">
        <v>0.0</v>
      </c>
      <c r="G2484" s="27"/>
    </row>
    <row r="2485">
      <c r="A2485" s="21"/>
      <c r="B2485" s="21" t="s">
        <v>8716</v>
      </c>
      <c r="D2485" s="25">
        <v>10.0</v>
      </c>
      <c r="E2485" s="27"/>
      <c r="F2485" s="25">
        <v>0.0</v>
      </c>
      <c r="G2485" s="27"/>
    </row>
    <row r="2486">
      <c r="A2486" s="21"/>
      <c r="B2486" s="21" t="s">
        <v>8717</v>
      </c>
      <c r="D2486" s="25">
        <v>10.0</v>
      </c>
      <c r="E2486" s="27"/>
      <c r="F2486" s="25">
        <v>0.0</v>
      </c>
      <c r="G2486" s="27"/>
    </row>
    <row r="2487">
      <c r="A2487" s="21"/>
      <c r="B2487" s="21" t="s">
        <v>8718</v>
      </c>
      <c r="D2487" s="25">
        <v>10.0</v>
      </c>
      <c r="E2487" s="27"/>
      <c r="F2487" s="25">
        <v>0.0</v>
      </c>
      <c r="G2487" s="27"/>
    </row>
    <row r="2488">
      <c r="A2488" s="21"/>
      <c r="B2488" s="21" t="s">
        <v>8719</v>
      </c>
      <c r="D2488" s="25">
        <v>10.0</v>
      </c>
      <c r="E2488" s="27"/>
      <c r="F2488" s="25">
        <v>0.0</v>
      </c>
      <c r="G2488" s="27"/>
    </row>
    <row r="2489">
      <c r="A2489" s="21"/>
      <c r="B2489" s="21" t="s">
        <v>8720</v>
      </c>
      <c r="D2489" s="25">
        <v>10.0</v>
      </c>
      <c r="E2489" s="27"/>
      <c r="F2489" s="25">
        <v>0.0</v>
      </c>
      <c r="G2489" s="27"/>
    </row>
    <row r="2490">
      <c r="A2490" s="21"/>
      <c r="B2490" s="21" t="s">
        <v>8721</v>
      </c>
      <c r="D2490" s="25">
        <v>10.0</v>
      </c>
      <c r="E2490" s="27"/>
      <c r="F2490" s="25">
        <v>0.0</v>
      </c>
      <c r="G2490" s="27"/>
    </row>
    <row r="2491">
      <c r="A2491" s="21"/>
      <c r="B2491" s="21" t="s">
        <v>8722</v>
      </c>
      <c r="D2491" s="25">
        <v>10.0</v>
      </c>
      <c r="E2491" s="27"/>
      <c r="F2491" s="25">
        <v>0.0</v>
      </c>
      <c r="G2491" s="27"/>
    </row>
    <row r="2492">
      <c r="A2492" s="21"/>
      <c r="B2492" s="21" t="s">
        <v>8723</v>
      </c>
      <c r="D2492" s="25">
        <v>10.0</v>
      </c>
      <c r="E2492" s="27"/>
      <c r="F2492" s="25">
        <v>5.45</v>
      </c>
      <c r="G2492" s="27"/>
    </row>
    <row r="2493">
      <c r="A2493" s="21"/>
      <c r="B2493" s="21" t="s">
        <v>8724</v>
      </c>
      <c r="D2493" s="25">
        <v>10.0</v>
      </c>
      <c r="E2493" s="27"/>
      <c r="F2493" s="25">
        <v>0.0</v>
      </c>
      <c r="G2493" s="27"/>
    </row>
    <row r="2494">
      <c r="A2494" s="21"/>
      <c r="B2494" s="21" t="s">
        <v>8725</v>
      </c>
      <c r="D2494" s="25">
        <v>10.0</v>
      </c>
      <c r="E2494" s="27"/>
      <c r="F2494" s="25">
        <v>0.0</v>
      </c>
      <c r="G2494" s="27"/>
    </row>
    <row r="2495">
      <c r="A2495" s="21"/>
      <c r="B2495" s="21" t="s">
        <v>8726</v>
      </c>
      <c r="D2495" s="25">
        <v>10.0</v>
      </c>
      <c r="E2495" s="27"/>
      <c r="F2495" s="25">
        <v>0.0</v>
      </c>
      <c r="G2495" s="27"/>
    </row>
    <row r="2496">
      <c r="A2496" s="21"/>
      <c r="B2496" s="21" t="s">
        <v>8727</v>
      </c>
      <c r="D2496" s="25">
        <v>10.0</v>
      </c>
      <c r="E2496" s="27"/>
      <c r="F2496" s="25">
        <v>0.0</v>
      </c>
      <c r="G2496" s="27"/>
    </row>
    <row r="2497">
      <c r="A2497" s="21"/>
      <c r="B2497" s="21" t="s">
        <v>8728</v>
      </c>
      <c r="D2497" s="25">
        <v>10.0</v>
      </c>
      <c r="E2497" s="27"/>
      <c r="F2497" s="25">
        <v>0.0</v>
      </c>
      <c r="G2497" s="27"/>
    </row>
    <row r="2498">
      <c r="A2498" s="21"/>
      <c r="B2498" s="21" t="s">
        <v>8729</v>
      </c>
      <c r="D2498" s="25">
        <v>10.0</v>
      </c>
      <c r="E2498" s="27"/>
      <c r="F2498" s="25">
        <v>0.0</v>
      </c>
      <c r="G2498" s="27"/>
    </row>
    <row r="2499">
      <c r="A2499" s="21"/>
      <c r="B2499" s="21" t="s">
        <v>8730</v>
      </c>
      <c r="D2499" s="25">
        <v>10.0</v>
      </c>
      <c r="E2499" s="27"/>
      <c r="F2499" s="25">
        <v>0.0</v>
      </c>
      <c r="G2499" s="27"/>
    </row>
    <row r="2500">
      <c r="A2500" s="21"/>
      <c r="B2500" s="21" t="s">
        <v>8731</v>
      </c>
      <c r="D2500" s="25">
        <v>10.0</v>
      </c>
      <c r="E2500" s="27"/>
      <c r="F2500" s="25">
        <v>0.0</v>
      </c>
      <c r="G2500" s="27"/>
    </row>
    <row r="2501">
      <c r="A2501" s="21"/>
      <c r="B2501" s="21" t="s">
        <v>8732</v>
      </c>
      <c r="D2501" s="25">
        <v>10.0</v>
      </c>
      <c r="E2501" s="27"/>
      <c r="F2501" s="25">
        <v>0.0</v>
      </c>
      <c r="G2501" s="27"/>
    </row>
    <row r="2502">
      <c r="A2502" s="21"/>
      <c r="B2502" s="21" t="s">
        <v>8733</v>
      </c>
      <c r="D2502" s="25">
        <v>10.0</v>
      </c>
      <c r="E2502" s="27"/>
      <c r="F2502" s="25">
        <v>0.0</v>
      </c>
      <c r="G2502" s="27"/>
    </row>
    <row r="2503">
      <c r="A2503" s="21"/>
      <c r="B2503" s="21" t="s">
        <v>8734</v>
      </c>
      <c r="D2503" s="25">
        <v>10.0</v>
      </c>
      <c r="E2503" s="27"/>
      <c r="F2503" s="25">
        <v>0.0</v>
      </c>
      <c r="G2503" s="27"/>
    </row>
    <row r="2504">
      <c r="A2504" s="21"/>
      <c r="B2504" s="21" t="s">
        <v>8735</v>
      </c>
      <c r="D2504" s="25">
        <v>10.0</v>
      </c>
      <c r="E2504" s="27"/>
      <c r="F2504" s="25">
        <v>0.0</v>
      </c>
      <c r="G2504" s="27"/>
    </row>
    <row r="2505">
      <c r="A2505" s="21"/>
      <c r="B2505" s="21" t="s">
        <v>8736</v>
      </c>
      <c r="D2505" s="25">
        <v>10.0</v>
      </c>
      <c r="E2505" s="27"/>
      <c r="F2505" s="25">
        <v>0.0</v>
      </c>
      <c r="G2505" s="27"/>
    </row>
    <row r="2506">
      <c r="A2506" s="21"/>
      <c r="B2506" s="21" t="s">
        <v>8737</v>
      </c>
      <c r="D2506" s="25">
        <v>10.0</v>
      </c>
      <c r="E2506" s="27"/>
      <c r="F2506" s="25">
        <v>0.0</v>
      </c>
      <c r="G2506" s="27"/>
    </row>
    <row r="2507">
      <c r="A2507" s="21"/>
      <c r="B2507" s="21" t="s">
        <v>8738</v>
      </c>
      <c r="D2507" s="25">
        <v>10.0</v>
      </c>
      <c r="E2507" s="27"/>
      <c r="F2507" s="25">
        <v>0.0</v>
      </c>
      <c r="G2507" s="27"/>
    </row>
    <row r="2508">
      <c r="A2508" s="21"/>
      <c r="B2508" s="21" t="s">
        <v>8739</v>
      </c>
      <c r="D2508" s="25">
        <v>10.0</v>
      </c>
      <c r="E2508" s="27"/>
      <c r="F2508" s="25">
        <v>0.0</v>
      </c>
      <c r="G2508" s="27"/>
    </row>
    <row r="2509">
      <c r="A2509" s="21"/>
      <c r="B2509" s="21" t="s">
        <v>8740</v>
      </c>
      <c r="D2509" s="25">
        <v>10.0</v>
      </c>
      <c r="E2509" s="27"/>
      <c r="F2509" s="25">
        <v>0.0</v>
      </c>
      <c r="G2509" s="27"/>
    </row>
    <row r="2510">
      <c r="A2510" s="21"/>
      <c r="B2510" s="21" t="s">
        <v>8741</v>
      </c>
      <c r="D2510" s="25">
        <v>10.0</v>
      </c>
      <c r="E2510" s="27"/>
      <c r="F2510" s="25">
        <v>0.0</v>
      </c>
      <c r="G2510" s="27"/>
    </row>
    <row r="2511">
      <c r="A2511" s="21"/>
      <c r="B2511" s="21" t="s">
        <v>8742</v>
      </c>
      <c r="D2511" s="25">
        <v>10.0</v>
      </c>
      <c r="E2511" s="27"/>
      <c r="F2511" s="25">
        <v>0.0</v>
      </c>
      <c r="G2511" s="27"/>
    </row>
    <row r="2512">
      <c r="A2512" s="21"/>
      <c r="B2512" s="21" t="s">
        <v>8743</v>
      </c>
      <c r="D2512" s="25">
        <v>10.0</v>
      </c>
      <c r="E2512" s="27"/>
      <c r="F2512" s="25">
        <v>0.0</v>
      </c>
      <c r="G2512" s="27"/>
    </row>
    <row r="2513">
      <c r="A2513" s="21"/>
      <c r="B2513" s="21" t="s">
        <v>8744</v>
      </c>
      <c r="D2513" s="25">
        <v>10.0</v>
      </c>
      <c r="E2513" s="27"/>
      <c r="F2513" s="25">
        <v>0.0</v>
      </c>
      <c r="G2513" s="27"/>
    </row>
    <row r="2514">
      <c r="A2514" s="21"/>
      <c r="B2514" s="21" t="s">
        <v>8745</v>
      </c>
      <c r="D2514" s="25">
        <v>10.0</v>
      </c>
      <c r="E2514" s="27"/>
      <c r="F2514" s="25">
        <v>0.0</v>
      </c>
      <c r="G2514" s="27"/>
    </row>
    <row r="2515">
      <c r="A2515" s="21"/>
      <c r="B2515" s="21" t="s">
        <v>8746</v>
      </c>
      <c r="D2515" s="25">
        <v>10.0</v>
      </c>
      <c r="E2515" s="27"/>
      <c r="F2515" s="25">
        <v>0.0</v>
      </c>
      <c r="G2515" s="27"/>
    </row>
    <row r="2516">
      <c r="A2516" s="21"/>
      <c r="B2516" s="21" t="s">
        <v>8747</v>
      </c>
      <c r="D2516" s="25">
        <v>10.0</v>
      </c>
      <c r="E2516" s="27"/>
      <c r="F2516" s="25">
        <v>0.0</v>
      </c>
      <c r="G2516" s="27"/>
    </row>
    <row r="2517">
      <c r="A2517" s="21"/>
      <c r="B2517" s="21" t="s">
        <v>8748</v>
      </c>
      <c r="D2517" s="25">
        <v>10.0</v>
      </c>
      <c r="E2517" s="27"/>
      <c r="F2517" s="25">
        <v>0.0</v>
      </c>
      <c r="G2517" s="27"/>
    </row>
    <row r="2518">
      <c r="A2518" s="21"/>
      <c r="B2518" s="21" t="s">
        <v>8749</v>
      </c>
      <c r="D2518" s="25">
        <v>10.0</v>
      </c>
      <c r="E2518" s="27"/>
      <c r="F2518" s="25">
        <v>0.0</v>
      </c>
      <c r="G2518" s="27"/>
    </row>
    <row r="2519">
      <c r="A2519" s="21"/>
      <c r="B2519" s="21" t="s">
        <v>8750</v>
      </c>
      <c r="D2519" s="25">
        <v>10.0</v>
      </c>
      <c r="E2519" s="27"/>
      <c r="F2519" s="25">
        <v>0.0</v>
      </c>
      <c r="G2519" s="27"/>
    </row>
    <row r="2520">
      <c r="A2520" s="21"/>
      <c r="B2520" s="21" t="s">
        <v>8751</v>
      </c>
      <c r="D2520" s="25">
        <v>10.0</v>
      </c>
      <c r="E2520" s="27"/>
      <c r="F2520" s="25">
        <v>0.0</v>
      </c>
      <c r="G2520" s="27"/>
    </row>
    <row r="2521">
      <c r="A2521" s="21"/>
      <c r="B2521" s="21" t="s">
        <v>8752</v>
      </c>
      <c r="D2521" s="25">
        <v>10.0</v>
      </c>
      <c r="E2521" s="27"/>
      <c r="F2521" s="25">
        <v>0.0</v>
      </c>
      <c r="G2521" s="27"/>
    </row>
    <row r="2522">
      <c r="A2522" s="21"/>
      <c r="B2522" s="21" t="s">
        <v>8753</v>
      </c>
      <c r="D2522" s="25">
        <v>10.0</v>
      </c>
      <c r="E2522" s="27"/>
      <c r="F2522" s="25">
        <v>0.0</v>
      </c>
      <c r="G2522" s="27"/>
    </row>
    <row r="2523">
      <c r="A2523" s="21"/>
      <c r="B2523" s="21" t="s">
        <v>8754</v>
      </c>
      <c r="D2523" s="25">
        <v>10.0</v>
      </c>
      <c r="E2523" s="27"/>
      <c r="F2523" s="25">
        <v>0.0</v>
      </c>
      <c r="G2523" s="27"/>
    </row>
    <row r="2524">
      <c r="A2524" s="21"/>
      <c r="B2524" s="21" t="s">
        <v>8755</v>
      </c>
      <c r="D2524" s="25">
        <v>10.0</v>
      </c>
      <c r="E2524" s="27"/>
      <c r="F2524" s="25">
        <v>0.0</v>
      </c>
      <c r="G2524" s="27"/>
    </row>
    <row r="2525">
      <c r="A2525" s="21"/>
      <c r="B2525" s="21" t="s">
        <v>8756</v>
      </c>
      <c r="D2525" s="25">
        <v>10.0</v>
      </c>
      <c r="E2525" s="27"/>
      <c r="F2525" s="25">
        <v>0.0</v>
      </c>
      <c r="G2525" s="27"/>
    </row>
    <row r="2526">
      <c r="A2526" s="21"/>
      <c r="B2526" s="21" t="s">
        <v>8757</v>
      </c>
      <c r="D2526" s="25">
        <v>10.0</v>
      </c>
      <c r="E2526" s="27"/>
      <c r="F2526" s="25">
        <v>6.1</v>
      </c>
      <c r="G2526" s="27"/>
    </row>
    <row r="2527">
      <c r="A2527" s="21"/>
      <c r="B2527" s="21" t="s">
        <v>8758</v>
      </c>
      <c r="D2527" s="25">
        <v>10.0</v>
      </c>
      <c r="E2527" s="27"/>
      <c r="F2527" s="25">
        <v>0.0</v>
      </c>
      <c r="G2527" s="27"/>
    </row>
    <row r="2528">
      <c r="A2528" s="21"/>
      <c r="B2528" s="21" t="s">
        <v>8759</v>
      </c>
      <c r="D2528" s="25">
        <v>10.0</v>
      </c>
      <c r="E2528" s="27"/>
      <c r="F2528" s="25">
        <v>0.0</v>
      </c>
      <c r="G2528" s="27"/>
    </row>
    <row r="2529">
      <c r="A2529" s="21"/>
      <c r="B2529" s="21" t="s">
        <v>8760</v>
      </c>
      <c r="D2529" s="25">
        <v>10.0</v>
      </c>
      <c r="E2529" s="27"/>
      <c r="F2529" s="25">
        <v>0.0</v>
      </c>
      <c r="G2529" s="27"/>
    </row>
    <row r="2530">
      <c r="A2530" s="21"/>
      <c r="B2530" s="21" t="s">
        <v>8761</v>
      </c>
      <c r="D2530" s="25">
        <v>10.0</v>
      </c>
      <c r="E2530" s="27"/>
      <c r="F2530" s="25">
        <v>0.0</v>
      </c>
      <c r="G2530" s="27"/>
    </row>
    <row r="2531">
      <c r="A2531" s="21"/>
      <c r="B2531" s="21" t="s">
        <v>8762</v>
      </c>
      <c r="D2531" s="25">
        <v>10.0</v>
      </c>
      <c r="E2531" s="27"/>
      <c r="F2531" s="25">
        <v>0.0</v>
      </c>
      <c r="G2531" s="27"/>
    </row>
    <row r="2532">
      <c r="A2532" s="21"/>
      <c r="B2532" s="21" t="s">
        <v>8763</v>
      </c>
      <c r="D2532" s="25">
        <v>10.0</v>
      </c>
      <c r="E2532" s="27"/>
      <c r="F2532" s="25">
        <v>0.0</v>
      </c>
      <c r="G2532" s="27"/>
    </row>
    <row r="2533">
      <c r="A2533" s="21"/>
      <c r="B2533" s="21" t="s">
        <v>8764</v>
      </c>
      <c r="D2533" s="25">
        <v>10.0</v>
      </c>
      <c r="E2533" s="27"/>
      <c r="F2533" s="25">
        <v>0.0</v>
      </c>
      <c r="G2533" s="27"/>
    </row>
    <row r="2534">
      <c r="A2534" s="21"/>
      <c r="B2534" s="21" t="s">
        <v>8765</v>
      </c>
      <c r="D2534" s="25">
        <v>10.0</v>
      </c>
      <c r="E2534" s="27"/>
      <c r="F2534" s="25">
        <v>0.0</v>
      </c>
      <c r="G2534" s="27"/>
    </row>
    <row r="2535">
      <c r="A2535" s="21"/>
      <c r="B2535" s="21" t="s">
        <v>8766</v>
      </c>
      <c r="D2535" s="25">
        <v>10.0</v>
      </c>
      <c r="E2535" s="27"/>
      <c r="F2535" s="25">
        <v>0.0</v>
      </c>
      <c r="G2535" s="27"/>
    </row>
    <row r="2536">
      <c r="A2536" s="21"/>
      <c r="B2536" s="21" t="s">
        <v>8767</v>
      </c>
      <c r="D2536" s="25">
        <v>10.0</v>
      </c>
      <c r="E2536" s="27"/>
      <c r="F2536" s="25">
        <v>0.0</v>
      </c>
      <c r="G2536" s="27"/>
    </row>
    <row r="2537">
      <c r="A2537" s="21"/>
      <c r="B2537" s="21" t="s">
        <v>8768</v>
      </c>
      <c r="D2537" s="25">
        <v>10.0</v>
      </c>
      <c r="E2537" s="27"/>
      <c r="F2537" s="25">
        <v>0.0</v>
      </c>
      <c r="G2537" s="27"/>
    </row>
    <row r="2538">
      <c r="A2538" s="21"/>
      <c r="B2538" s="21" t="s">
        <v>8769</v>
      </c>
      <c r="D2538" s="25">
        <v>10.0</v>
      </c>
      <c r="E2538" s="27"/>
      <c r="F2538" s="25">
        <v>5.35</v>
      </c>
      <c r="G2538" s="27"/>
    </row>
    <row r="2539">
      <c r="A2539" s="21"/>
      <c r="B2539" s="21" t="s">
        <v>8770</v>
      </c>
      <c r="D2539" s="25">
        <v>10.0</v>
      </c>
      <c r="E2539" s="27"/>
      <c r="F2539" s="25">
        <v>0.0</v>
      </c>
      <c r="G2539" s="27"/>
    </row>
    <row r="2540">
      <c r="A2540" s="21"/>
      <c r="B2540" s="21" t="s">
        <v>8771</v>
      </c>
      <c r="D2540" s="25">
        <v>10.0</v>
      </c>
      <c r="E2540" s="27"/>
      <c r="F2540" s="25">
        <v>0.0</v>
      </c>
      <c r="G2540" s="27"/>
    </row>
    <row r="2541">
      <c r="A2541" s="21"/>
      <c r="B2541" s="21" t="s">
        <v>8772</v>
      </c>
      <c r="D2541" s="25">
        <v>10.0</v>
      </c>
      <c r="E2541" s="27"/>
      <c r="F2541" s="25">
        <v>0.0</v>
      </c>
      <c r="G2541" s="27"/>
    </row>
    <row r="2542">
      <c r="A2542" s="21"/>
      <c r="B2542" s="21" t="s">
        <v>8773</v>
      </c>
      <c r="D2542" s="25">
        <v>10.0</v>
      </c>
      <c r="E2542" s="27"/>
      <c r="F2542" s="25">
        <v>0.0</v>
      </c>
      <c r="G2542" s="27"/>
    </row>
    <row r="2543">
      <c r="A2543" s="31"/>
      <c r="B2543" s="31" t="e">
        <v>#NAME?</v>
      </c>
      <c r="C2543" s="27"/>
      <c r="D2543" s="25">
        <v>0.0</v>
      </c>
      <c r="E2543" s="27"/>
      <c r="F2543" s="25">
        <v>0.0</v>
      </c>
      <c r="G2543" s="27"/>
    </row>
    <row r="2544">
      <c r="A2544" s="21"/>
      <c r="B2544" s="21" t="s">
        <v>2695</v>
      </c>
      <c r="D2544" s="25">
        <v>0.0</v>
      </c>
      <c r="E2544" s="27"/>
      <c r="F2544" s="25">
        <v>0.0</v>
      </c>
      <c r="G2544" s="27"/>
    </row>
    <row r="2545">
      <c r="A2545" s="21"/>
      <c r="B2545" s="21" t="s">
        <v>8774</v>
      </c>
      <c r="D2545" s="25">
        <v>0.0</v>
      </c>
      <c r="E2545" s="27"/>
      <c r="F2545" s="25">
        <v>0.0</v>
      </c>
      <c r="G2545" s="27"/>
    </row>
    <row r="2546">
      <c r="A2546" s="21"/>
      <c r="B2546" s="21" t="s">
        <v>8775</v>
      </c>
      <c r="D2546" s="25">
        <v>0.0</v>
      </c>
      <c r="E2546" s="27"/>
      <c r="F2546" s="25">
        <v>0.0</v>
      </c>
      <c r="G2546" s="27"/>
    </row>
    <row r="2547">
      <c r="A2547" s="21"/>
      <c r="B2547" s="21" t="s">
        <v>8776</v>
      </c>
      <c r="D2547" s="25">
        <v>0.0</v>
      </c>
      <c r="E2547" s="27"/>
      <c r="F2547" s="25">
        <v>0.0</v>
      </c>
      <c r="G2547" s="27"/>
    </row>
    <row r="2548">
      <c r="A2548" s="21"/>
      <c r="B2548" s="21" t="s">
        <v>8777</v>
      </c>
      <c r="D2548" s="25">
        <v>0.0</v>
      </c>
      <c r="E2548" s="27"/>
      <c r="F2548" s="25">
        <v>0.0</v>
      </c>
      <c r="G2548" s="27"/>
    </row>
    <row r="2549">
      <c r="A2549" s="21"/>
      <c r="B2549" s="21" t="s">
        <v>8778</v>
      </c>
      <c r="D2549" s="25">
        <v>0.0</v>
      </c>
      <c r="E2549" s="27"/>
      <c r="F2549" s="25">
        <v>0.0</v>
      </c>
      <c r="G2549" s="27"/>
    </row>
    <row r="2550">
      <c r="A2550" s="21"/>
      <c r="B2550" s="21" t="s">
        <v>597</v>
      </c>
      <c r="D2550" s="25">
        <v>0.0</v>
      </c>
      <c r="E2550" s="27"/>
      <c r="F2550" s="25">
        <v>0.0</v>
      </c>
      <c r="G2550" s="27"/>
    </row>
    <row r="2551">
      <c r="A2551" s="21"/>
      <c r="B2551" s="21" t="s">
        <v>8779</v>
      </c>
      <c r="D2551" s="25">
        <v>0.0</v>
      </c>
      <c r="E2551" s="27"/>
      <c r="F2551" s="25">
        <v>0.0</v>
      </c>
      <c r="G2551" s="27"/>
    </row>
    <row r="2552">
      <c r="A2552" s="21"/>
      <c r="B2552" s="21" t="s">
        <v>8780</v>
      </c>
      <c r="D2552" s="25">
        <v>0.0</v>
      </c>
      <c r="E2552" s="27"/>
      <c r="F2552" s="25">
        <v>0.0</v>
      </c>
      <c r="G2552" s="27"/>
    </row>
    <row r="2553">
      <c r="A2553" s="21"/>
      <c r="B2553" s="21" t="s">
        <v>8781</v>
      </c>
      <c r="D2553" s="25">
        <v>0.0</v>
      </c>
      <c r="E2553" s="27"/>
      <c r="F2553" s="25">
        <v>0.0</v>
      </c>
      <c r="G2553" s="27"/>
    </row>
    <row r="2554">
      <c r="A2554" s="21"/>
      <c r="B2554" s="21" t="s">
        <v>8782</v>
      </c>
      <c r="D2554" s="25">
        <v>0.0</v>
      </c>
      <c r="E2554" s="27"/>
      <c r="F2554" s="25">
        <v>0.0</v>
      </c>
      <c r="G2554" s="27"/>
    </row>
    <row r="2555">
      <c r="A2555" s="21"/>
      <c r="B2555" s="21" t="s">
        <v>8783</v>
      </c>
      <c r="D2555" s="25">
        <v>0.0</v>
      </c>
      <c r="E2555" s="27"/>
      <c r="F2555" s="25">
        <v>0.0</v>
      </c>
      <c r="G2555" s="27"/>
    </row>
    <row r="2556">
      <c r="A2556" s="21"/>
      <c r="B2556" s="21" t="s">
        <v>8784</v>
      </c>
      <c r="D2556" s="25">
        <v>0.0</v>
      </c>
      <c r="E2556" s="27"/>
      <c r="F2556" s="25">
        <v>0.0</v>
      </c>
      <c r="G2556" s="27"/>
    </row>
    <row r="2557">
      <c r="A2557" s="21"/>
      <c r="B2557" s="21" t="s">
        <v>8785</v>
      </c>
      <c r="C2557" s="27"/>
      <c r="D2557" s="25">
        <v>0.0</v>
      </c>
      <c r="E2557" s="27"/>
      <c r="F2557" s="25">
        <v>2.85</v>
      </c>
      <c r="G2557" s="27"/>
    </row>
    <row r="2558">
      <c r="A2558" s="21"/>
      <c r="B2558" s="21" t="s">
        <v>8786</v>
      </c>
      <c r="D2558" s="25">
        <v>0.0</v>
      </c>
      <c r="E2558" s="27"/>
      <c r="F2558" s="25">
        <v>0.0</v>
      </c>
      <c r="G2558" s="27"/>
    </row>
    <row r="2559">
      <c r="A2559" s="21"/>
      <c r="B2559" s="21" t="s">
        <v>8787</v>
      </c>
      <c r="D2559" s="25">
        <v>0.0</v>
      </c>
      <c r="E2559" s="27"/>
      <c r="F2559" s="25">
        <v>0.0</v>
      </c>
      <c r="G2559" s="27"/>
    </row>
    <row r="2560">
      <c r="A2560" s="21"/>
      <c r="B2560" s="21" t="s">
        <v>8788</v>
      </c>
      <c r="D2560" s="25">
        <v>0.0</v>
      </c>
      <c r="E2560" s="27"/>
      <c r="F2560" s="25">
        <v>0.0</v>
      </c>
      <c r="G2560" s="27"/>
    </row>
    <row r="2561">
      <c r="A2561" s="21"/>
      <c r="B2561" s="21" t="s">
        <v>8789</v>
      </c>
      <c r="D2561" s="25">
        <v>0.0</v>
      </c>
      <c r="E2561" s="27"/>
      <c r="F2561" s="25">
        <v>0.0</v>
      </c>
      <c r="G2561" s="27"/>
    </row>
    <row r="2562">
      <c r="A2562" s="21"/>
      <c r="B2562" s="21" t="s">
        <v>8790</v>
      </c>
      <c r="D2562" s="25">
        <v>0.0</v>
      </c>
      <c r="E2562" s="27"/>
      <c r="F2562" s="25">
        <v>0.0</v>
      </c>
      <c r="G2562" s="27"/>
    </row>
    <row r="2563">
      <c r="A2563" s="21"/>
      <c r="B2563" s="21" t="s">
        <v>8791</v>
      </c>
      <c r="D2563" s="25">
        <v>0.0</v>
      </c>
      <c r="E2563" s="27"/>
      <c r="F2563" s="25">
        <v>0.0</v>
      </c>
      <c r="G2563" s="27"/>
    </row>
    <row r="2564">
      <c r="A2564" s="21"/>
      <c r="B2564" s="21" t="s">
        <v>8792</v>
      </c>
      <c r="D2564" s="25">
        <v>0.0</v>
      </c>
      <c r="E2564" s="27"/>
      <c r="F2564" s="25">
        <v>0.0</v>
      </c>
      <c r="G2564" s="27"/>
    </row>
    <row r="2565">
      <c r="A2565" s="21"/>
      <c r="B2565" s="21" t="s">
        <v>8793</v>
      </c>
      <c r="D2565" s="25">
        <v>0.0</v>
      </c>
      <c r="E2565" s="27"/>
      <c r="F2565" s="25">
        <v>0.0</v>
      </c>
      <c r="G2565" s="27"/>
    </row>
    <row r="2566">
      <c r="A2566" s="21"/>
      <c r="B2566" s="21" t="s">
        <v>8794</v>
      </c>
      <c r="D2566" s="25">
        <v>0.0</v>
      </c>
      <c r="E2566" s="27"/>
      <c r="F2566" s="25">
        <v>0.0</v>
      </c>
      <c r="G2566" s="27"/>
    </row>
    <row r="2567">
      <c r="A2567" s="21"/>
      <c r="B2567" s="21" t="s">
        <v>8795</v>
      </c>
      <c r="D2567" s="25">
        <v>0.0</v>
      </c>
      <c r="E2567" s="27"/>
      <c r="F2567" s="25">
        <v>0.0</v>
      </c>
      <c r="G2567" s="27"/>
    </row>
    <row r="2568">
      <c r="A2568" s="21"/>
      <c r="B2568" s="21" t="s">
        <v>8796</v>
      </c>
      <c r="D2568" s="25">
        <v>0.0</v>
      </c>
      <c r="E2568" s="27"/>
      <c r="F2568" s="25">
        <v>0.0</v>
      </c>
      <c r="G2568" s="27"/>
    </row>
    <row r="2569">
      <c r="A2569" s="21"/>
      <c r="B2569" s="21" t="s">
        <v>8797</v>
      </c>
      <c r="D2569" s="25">
        <v>0.0</v>
      </c>
      <c r="E2569" s="27"/>
      <c r="F2569" s="25">
        <v>0.0</v>
      </c>
      <c r="G2569" s="27"/>
    </row>
    <row r="2570">
      <c r="A2570" s="21"/>
      <c r="B2570" s="21" t="s">
        <v>8798</v>
      </c>
      <c r="D2570" s="25">
        <v>0.0</v>
      </c>
      <c r="E2570" s="27"/>
      <c r="F2570" s="25">
        <v>0.0</v>
      </c>
      <c r="G2570" s="27"/>
    </row>
    <row r="2571">
      <c r="A2571" s="21"/>
      <c r="B2571" s="21" t="s">
        <v>8799</v>
      </c>
      <c r="D2571" s="25">
        <v>0.0</v>
      </c>
      <c r="E2571" s="27"/>
      <c r="F2571" s="25">
        <v>0.0</v>
      </c>
      <c r="G2571" s="27"/>
    </row>
    <row r="2572">
      <c r="A2572" s="21"/>
      <c r="B2572" s="21" t="s">
        <v>8800</v>
      </c>
      <c r="D2572" s="25">
        <v>0.0</v>
      </c>
      <c r="E2572" s="27"/>
      <c r="F2572" s="25">
        <v>0.0</v>
      </c>
      <c r="G2572" s="27"/>
    </row>
    <row r="2573">
      <c r="A2573" s="21"/>
      <c r="B2573" s="21" t="s">
        <v>8801</v>
      </c>
      <c r="D2573" s="25">
        <v>0.0</v>
      </c>
      <c r="E2573" s="27"/>
      <c r="F2573" s="25">
        <v>0.0</v>
      </c>
      <c r="G2573" s="27"/>
    </row>
    <row r="2574">
      <c r="A2574" s="21"/>
      <c r="B2574" s="21" t="s">
        <v>8802</v>
      </c>
      <c r="D2574" s="25">
        <v>0.0</v>
      </c>
      <c r="E2574" s="27"/>
      <c r="F2574" s="25">
        <v>0.0</v>
      </c>
      <c r="G2574" s="27"/>
    </row>
    <row r="2575">
      <c r="A2575" s="21"/>
      <c r="B2575" s="21" t="s">
        <v>8803</v>
      </c>
      <c r="D2575" s="25">
        <v>0.0</v>
      </c>
      <c r="E2575" s="27"/>
      <c r="F2575" s="25">
        <v>0.0</v>
      </c>
      <c r="G2575" s="27"/>
    </row>
    <row r="2576">
      <c r="A2576" s="21"/>
      <c r="B2576" s="21" t="s">
        <v>8804</v>
      </c>
      <c r="D2576" s="25">
        <v>0.0</v>
      </c>
      <c r="E2576" s="27"/>
      <c r="F2576" s="25">
        <v>0.0</v>
      </c>
      <c r="G2576" s="27"/>
    </row>
    <row r="2577">
      <c r="A2577" s="21"/>
      <c r="B2577" s="21" t="s">
        <v>8805</v>
      </c>
      <c r="D2577" s="25">
        <v>0.0</v>
      </c>
      <c r="E2577" s="27"/>
      <c r="F2577" s="25">
        <v>0.0</v>
      </c>
      <c r="G2577" s="27"/>
    </row>
    <row r="2578">
      <c r="A2578" s="21"/>
      <c r="B2578" s="21" t="s">
        <v>8806</v>
      </c>
      <c r="D2578" s="25">
        <v>0.0</v>
      </c>
      <c r="E2578" s="27"/>
      <c r="F2578" s="25">
        <v>0.0</v>
      </c>
      <c r="G2578" s="27"/>
    </row>
    <row r="2579">
      <c r="A2579" s="21"/>
      <c r="B2579" s="21" t="s">
        <v>8807</v>
      </c>
      <c r="D2579" s="25">
        <v>0.0</v>
      </c>
      <c r="E2579" s="27"/>
      <c r="F2579" s="25">
        <v>0.0</v>
      </c>
      <c r="G2579" s="27"/>
    </row>
    <row r="2580">
      <c r="A2580" s="21"/>
      <c r="B2580" s="21" t="s">
        <v>8808</v>
      </c>
      <c r="D2580" s="25">
        <v>0.0</v>
      </c>
      <c r="E2580" s="27"/>
      <c r="F2580" s="25">
        <v>0.0</v>
      </c>
      <c r="G2580" s="27"/>
    </row>
    <row r="2581">
      <c r="A2581" s="21"/>
      <c r="B2581" s="21" t="s">
        <v>8809</v>
      </c>
      <c r="D2581" s="25">
        <v>0.0</v>
      </c>
      <c r="E2581" s="27"/>
      <c r="F2581" s="25">
        <v>0.0</v>
      </c>
      <c r="G2581" s="27"/>
    </row>
    <row r="2582">
      <c r="A2582" s="21"/>
      <c r="B2582" s="21" t="s">
        <v>8810</v>
      </c>
      <c r="D2582" s="25">
        <v>0.0</v>
      </c>
      <c r="E2582" s="27"/>
      <c r="F2582" s="25">
        <v>0.0</v>
      </c>
      <c r="G2582" s="27"/>
    </row>
    <row r="2583">
      <c r="A2583" s="21"/>
      <c r="B2583" s="21" t="s">
        <v>8811</v>
      </c>
      <c r="D2583" s="25">
        <v>0.0</v>
      </c>
      <c r="E2583" s="27"/>
      <c r="F2583" s="25">
        <v>0.0</v>
      </c>
      <c r="G2583" s="27"/>
    </row>
    <row r="2584">
      <c r="A2584" s="21"/>
      <c r="B2584" s="21" t="s">
        <v>8812</v>
      </c>
      <c r="D2584" s="25">
        <v>0.0</v>
      </c>
      <c r="E2584" s="27"/>
      <c r="F2584" s="25">
        <v>0.0</v>
      </c>
      <c r="G2584" s="27"/>
    </row>
    <row r="2585">
      <c r="A2585" s="21"/>
      <c r="B2585" s="21" t="s">
        <v>8813</v>
      </c>
      <c r="D2585" s="25">
        <v>0.0</v>
      </c>
      <c r="E2585" s="27"/>
      <c r="F2585" s="25">
        <v>0.0</v>
      </c>
      <c r="G2585" s="27"/>
    </row>
    <row r="2586">
      <c r="A2586" s="21"/>
      <c r="B2586" s="21" t="s">
        <v>8814</v>
      </c>
      <c r="D2586" s="25">
        <v>0.0</v>
      </c>
      <c r="E2586" s="27"/>
      <c r="F2586" s="25">
        <v>0.0</v>
      </c>
      <c r="G2586" s="27"/>
    </row>
    <row r="2587">
      <c r="A2587" s="21"/>
      <c r="B2587" s="21" t="s">
        <v>8815</v>
      </c>
      <c r="D2587" s="25">
        <v>0.0</v>
      </c>
      <c r="E2587" s="27"/>
      <c r="F2587" s="25">
        <v>0.0</v>
      </c>
      <c r="G2587" s="27"/>
    </row>
    <row r="2588">
      <c r="A2588" s="21"/>
      <c r="B2588" s="21" t="s">
        <v>8816</v>
      </c>
      <c r="D2588" s="25">
        <v>0.0</v>
      </c>
      <c r="E2588" s="27"/>
      <c r="F2588" s="25">
        <v>0.0</v>
      </c>
      <c r="G2588" s="27"/>
    </row>
    <row r="2589">
      <c r="A2589" s="21"/>
      <c r="B2589" s="21" t="s">
        <v>8817</v>
      </c>
      <c r="D2589" s="25">
        <v>0.0</v>
      </c>
      <c r="E2589" s="27"/>
      <c r="F2589" s="25">
        <v>0.0</v>
      </c>
      <c r="G2589" s="27"/>
    </row>
    <row r="2590">
      <c r="A2590" s="21"/>
      <c r="B2590" s="21" t="s">
        <v>8818</v>
      </c>
      <c r="D2590" s="25">
        <v>0.0</v>
      </c>
      <c r="E2590" s="27"/>
      <c r="F2590" s="25">
        <v>0.0</v>
      </c>
      <c r="G2590" s="27"/>
    </row>
    <row r="2591">
      <c r="A2591" s="21"/>
      <c r="B2591" s="21" t="s">
        <v>8819</v>
      </c>
      <c r="D2591" s="25">
        <v>0.0</v>
      </c>
      <c r="E2591" s="27"/>
      <c r="F2591" s="25">
        <v>0.0</v>
      </c>
      <c r="G2591" s="27"/>
    </row>
    <row r="2592">
      <c r="A2592" s="21"/>
      <c r="B2592" s="21" t="s">
        <v>8820</v>
      </c>
      <c r="D2592" s="25">
        <v>0.0</v>
      </c>
      <c r="E2592" s="27"/>
      <c r="F2592" s="25">
        <v>0.0</v>
      </c>
      <c r="G2592" s="27"/>
    </row>
    <row r="2593">
      <c r="A2593" s="21"/>
      <c r="B2593" s="21" t="s">
        <v>8821</v>
      </c>
      <c r="D2593" s="25">
        <v>0.0</v>
      </c>
      <c r="E2593" s="27"/>
      <c r="F2593" s="25">
        <v>0.0</v>
      </c>
      <c r="G2593" s="27"/>
    </row>
    <row r="2594">
      <c r="A2594" s="21"/>
      <c r="B2594" s="21" t="s">
        <v>8822</v>
      </c>
      <c r="D2594" s="25">
        <v>0.0</v>
      </c>
      <c r="E2594" s="27"/>
      <c r="F2594" s="25">
        <v>0.0</v>
      </c>
      <c r="G2594" s="27"/>
    </row>
    <row r="2595">
      <c r="A2595" s="21"/>
      <c r="B2595" s="21" t="s">
        <v>8823</v>
      </c>
      <c r="D2595" s="25">
        <v>0.0</v>
      </c>
      <c r="E2595" s="27"/>
      <c r="F2595" s="25">
        <v>0.0</v>
      </c>
      <c r="G2595" s="27"/>
    </row>
    <row r="2596">
      <c r="A2596" s="21"/>
      <c r="B2596" s="21" t="s">
        <v>8824</v>
      </c>
      <c r="D2596" s="25">
        <v>0.0</v>
      </c>
      <c r="E2596" s="27"/>
      <c r="F2596" s="25">
        <v>0.0</v>
      </c>
      <c r="G2596" s="27"/>
    </row>
    <row r="2597">
      <c r="A2597" s="21"/>
      <c r="B2597" s="21" t="s">
        <v>8825</v>
      </c>
      <c r="D2597" s="25">
        <v>0.0</v>
      </c>
      <c r="E2597" s="27"/>
      <c r="F2597" s="25">
        <v>0.0</v>
      </c>
      <c r="G2597" s="27"/>
    </row>
    <row r="2598">
      <c r="A2598" s="21"/>
      <c r="B2598" s="21" t="s">
        <v>8826</v>
      </c>
      <c r="D2598" s="25">
        <v>0.0</v>
      </c>
      <c r="E2598" s="27"/>
      <c r="F2598" s="25">
        <v>0.0</v>
      </c>
      <c r="G2598" s="27"/>
    </row>
    <row r="2599">
      <c r="A2599" s="21"/>
      <c r="B2599" s="21" t="s">
        <v>8827</v>
      </c>
      <c r="D2599" s="25">
        <v>0.0</v>
      </c>
      <c r="E2599" s="27"/>
      <c r="F2599" s="25">
        <v>0.0</v>
      </c>
      <c r="G2599" s="27"/>
    </row>
    <row r="2600">
      <c r="A2600" s="21"/>
      <c r="B2600" s="21" t="s">
        <v>8828</v>
      </c>
      <c r="D2600" s="25">
        <v>0.0</v>
      </c>
      <c r="E2600" s="27"/>
      <c r="F2600" s="25">
        <v>0.0</v>
      </c>
      <c r="G2600" s="27"/>
    </row>
    <row r="2601">
      <c r="A2601" s="21"/>
      <c r="B2601" s="21" t="s">
        <v>8829</v>
      </c>
      <c r="D2601" s="25">
        <v>0.0</v>
      </c>
      <c r="E2601" s="27"/>
      <c r="F2601" s="25">
        <v>0.0</v>
      </c>
      <c r="G2601" s="27"/>
    </row>
    <row r="2602">
      <c r="A2602" s="21"/>
      <c r="B2602" s="21" t="s">
        <v>8830</v>
      </c>
      <c r="D2602" s="25">
        <v>0.0</v>
      </c>
      <c r="E2602" s="27"/>
      <c r="F2602" s="25">
        <v>0.0</v>
      </c>
      <c r="G2602" s="27"/>
    </row>
    <row r="2603">
      <c r="A2603" s="21"/>
      <c r="B2603" s="21" t="s">
        <v>8831</v>
      </c>
      <c r="D2603" s="25">
        <v>0.0</v>
      </c>
      <c r="E2603" s="27"/>
      <c r="F2603" s="25">
        <v>0.0</v>
      </c>
      <c r="G2603" s="27"/>
    </row>
    <row r="2604">
      <c r="A2604" s="21"/>
      <c r="B2604" s="21" t="s">
        <v>8832</v>
      </c>
      <c r="D2604" s="25">
        <v>0.0</v>
      </c>
      <c r="E2604" s="27"/>
      <c r="F2604" s="25">
        <v>0.0</v>
      </c>
      <c r="G2604" s="27"/>
    </row>
    <row r="2605">
      <c r="A2605" s="21"/>
      <c r="B2605" s="21" t="s">
        <v>2772</v>
      </c>
      <c r="D2605" s="25">
        <v>0.0</v>
      </c>
      <c r="E2605" s="27"/>
      <c r="F2605" s="25">
        <v>0.0</v>
      </c>
      <c r="G2605" s="27"/>
    </row>
    <row r="2606">
      <c r="A2606" s="21"/>
      <c r="B2606" s="21" t="s">
        <v>8833</v>
      </c>
      <c r="D2606" s="25">
        <v>0.0</v>
      </c>
      <c r="E2606" s="27"/>
      <c r="F2606" s="25">
        <v>0.0</v>
      </c>
      <c r="G2606" s="27"/>
    </row>
    <row r="2607">
      <c r="A2607" s="21"/>
      <c r="B2607" s="21" t="s">
        <v>8834</v>
      </c>
      <c r="D2607" s="25">
        <v>0.0</v>
      </c>
      <c r="E2607" s="27"/>
      <c r="F2607" s="25">
        <v>0.0</v>
      </c>
      <c r="G2607" s="27"/>
    </row>
    <row r="2608">
      <c r="A2608" s="21"/>
      <c r="B2608" s="21" t="s">
        <v>8835</v>
      </c>
      <c r="D2608" s="25">
        <v>0.0</v>
      </c>
      <c r="E2608" s="27"/>
      <c r="F2608" s="25">
        <v>0.0</v>
      </c>
      <c r="G2608" s="27"/>
    </row>
    <row r="2609">
      <c r="A2609" s="21"/>
      <c r="B2609" s="21" t="s">
        <v>8836</v>
      </c>
      <c r="D2609" s="25">
        <v>0.0</v>
      </c>
      <c r="E2609" s="27"/>
      <c r="F2609" s="25">
        <v>0.0</v>
      </c>
      <c r="G2609" s="27"/>
    </row>
    <row r="2610">
      <c r="A2610" s="21"/>
      <c r="B2610" s="21" t="s">
        <v>8837</v>
      </c>
      <c r="D2610" s="25">
        <v>0.0</v>
      </c>
      <c r="E2610" s="27"/>
      <c r="F2610" s="25">
        <v>0.0</v>
      </c>
      <c r="G2610" s="27"/>
    </row>
    <row r="2611">
      <c r="A2611" s="21"/>
      <c r="B2611" s="21" t="s">
        <v>8838</v>
      </c>
      <c r="D2611" s="25">
        <v>0.0</v>
      </c>
      <c r="E2611" s="27"/>
      <c r="F2611" s="25">
        <v>0.0</v>
      </c>
      <c r="G2611" s="27"/>
    </row>
    <row r="2612">
      <c r="A2612" s="21"/>
      <c r="B2612" s="21" t="s">
        <v>8839</v>
      </c>
      <c r="D2612" s="25">
        <v>0.0</v>
      </c>
      <c r="E2612" s="27"/>
      <c r="F2612" s="25">
        <v>0.0</v>
      </c>
      <c r="G2612" s="27"/>
    </row>
    <row r="2613">
      <c r="A2613" s="21"/>
      <c r="B2613" s="21" t="s">
        <v>8840</v>
      </c>
      <c r="D2613" s="25">
        <v>0.0</v>
      </c>
      <c r="E2613" s="27"/>
      <c r="F2613" s="25">
        <v>0.0</v>
      </c>
      <c r="G2613" s="27"/>
    </row>
    <row r="2614">
      <c r="A2614" s="21"/>
      <c r="B2614" s="21" t="s">
        <v>8841</v>
      </c>
      <c r="D2614" s="25">
        <v>0.0</v>
      </c>
      <c r="E2614" s="27"/>
      <c r="F2614" s="25">
        <v>0.0</v>
      </c>
      <c r="G2614" s="27"/>
    </row>
    <row r="2615">
      <c r="A2615" s="21"/>
      <c r="B2615" s="21" t="s">
        <v>8842</v>
      </c>
      <c r="D2615" s="25">
        <v>0.0</v>
      </c>
      <c r="E2615" s="27"/>
      <c r="F2615" s="25">
        <v>0.0</v>
      </c>
      <c r="G2615" s="27"/>
    </row>
    <row r="2616">
      <c r="A2616" s="21"/>
      <c r="B2616" s="21" t="s">
        <v>8843</v>
      </c>
      <c r="D2616" s="25">
        <v>0.0</v>
      </c>
      <c r="E2616" s="27"/>
      <c r="F2616" s="25">
        <v>0.0</v>
      </c>
      <c r="G2616" s="27"/>
    </row>
    <row r="2617">
      <c r="A2617" s="21"/>
      <c r="B2617" s="21" t="s">
        <v>8844</v>
      </c>
      <c r="D2617" s="25">
        <v>0.0</v>
      </c>
      <c r="E2617" s="27"/>
      <c r="F2617" s="25">
        <v>0.0</v>
      </c>
      <c r="G2617" s="27"/>
    </row>
    <row r="2618">
      <c r="A2618" s="21"/>
      <c r="B2618" s="21" t="s">
        <v>8845</v>
      </c>
      <c r="D2618" s="25">
        <v>0.0</v>
      </c>
      <c r="E2618" s="27"/>
      <c r="F2618" s="25">
        <v>0.0</v>
      </c>
      <c r="G2618" s="27"/>
    </row>
    <row r="2619">
      <c r="A2619" s="21"/>
      <c r="B2619" s="21" t="s">
        <v>8846</v>
      </c>
      <c r="D2619" s="25">
        <v>0.0</v>
      </c>
      <c r="E2619" s="27"/>
      <c r="F2619" s="25">
        <v>0.0</v>
      </c>
      <c r="G2619" s="27"/>
    </row>
    <row r="2620">
      <c r="A2620" s="21"/>
      <c r="B2620" s="21" t="s">
        <v>8847</v>
      </c>
      <c r="D2620" s="25">
        <v>0.0</v>
      </c>
      <c r="E2620" s="27"/>
      <c r="F2620" s="25">
        <v>0.0</v>
      </c>
      <c r="G2620" s="27"/>
    </row>
    <row r="2621">
      <c r="A2621" s="21"/>
      <c r="B2621" s="21" t="s">
        <v>8848</v>
      </c>
      <c r="D2621" s="25">
        <v>0.0</v>
      </c>
      <c r="E2621" s="27"/>
      <c r="F2621" s="25">
        <v>0.0</v>
      </c>
      <c r="G2621" s="27"/>
    </row>
    <row r="2622">
      <c r="A2622" s="21"/>
      <c r="B2622" s="21" t="s">
        <v>8849</v>
      </c>
      <c r="D2622" s="25">
        <v>0.0</v>
      </c>
      <c r="E2622" s="27"/>
      <c r="F2622" s="25">
        <v>0.0</v>
      </c>
      <c r="G2622" s="27"/>
    </row>
    <row r="2623">
      <c r="A2623" s="21"/>
      <c r="B2623" s="21" t="s">
        <v>8850</v>
      </c>
      <c r="D2623" s="25">
        <v>0.0</v>
      </c>
      <c r="E2623" s="27"/>
      <c r="F2623" s="25">
        <v>0.0</v>
      </c>
      <c r="G2623" s="27"/>
    </row>
    <row r="2624">
      <c r="A2624" s="21"/>
      <c r="B2624" s="21" t="s">
        <v>8851</v>
      </c>
      <c r="D2624" s="25">
        <v>0.0</v>
      </c>
      <c r="E2624" s="27"/>
      <c r="F2624" s="25">
        <v>0.0</v>
      </c>
      <c r="G2624" s="27"/>
    </row>
    <row r="2625">
      <c r="A2625" s="21"/>
      <c r="B2625" s="21" t="s">
        <v>8852</v>
      </c>
      <c r="D2625" s="25">
        <v>0.0</v>
      </c>
      <c r="E2625" s="27"/>
      <c r="F2625" s="25">
        <v>0.0</v>
      </c>
      <c r="G2625" s="27"/>
    </row>
    <row r="2626">
      <c r="A2626" s="21"/>
      <c r="B2626" s="21" t="s">
        <v>8853</v>
      </c>
      <c r="D2626" s="25">
        <v>0.0</v>
      </c>
      <c r="E2626" s="27"/>
      <c r="F2626" s="25">
        <v>0.0</v>
      </c>
      <c r="G2626" s="27"/>
    </row>
    <row r="2627">
      <c r="A2627" s="21"/>
      <c r="B2627" s="21" t="s">
        <v>8854</v>
      </c>
      <c r="D2627" s="25">
        <v>0.0</v>
      </c>
      <c r="E2627" s="27"/>
      <c r="F2627" s="25">
        <v>0.0</v>
      </c>
      <c r="G2627" s="27"/>
    </row>
    <row r="2628">
      <c r="A2628" s="21"/>
      <c r="B2628" s="21" t="s">
        <v>8855</v>
      </c>
      <c r="D2628" s="25">
        <v>0.0</v>
      </c>
      <c r="E2628" s="27"/>
      <c r="F2628" s="25">
        <v>0.0</v>
      </c>
      <c r="G2628" s="27"/>
    </row>
    <row r="2629">
      <c r="A2629" s="21"/>
      <c r="B2629" s="21" t="s">
        <v>8856</v>
      </c>
      <c r="D2629" s="25">
        <v>0.0</v>
      </c>
      <c r="E2629" s="27"/>
      <c r="F2629" s="25">
        <v>0.0</v>
      </c>
      <c r="G2629" s="27"/>
    </row>
    <row r="2630">
      <c r="A2630" s="21"/>
      <c r="B2630" s="21" t="s">
        <v>8857</v>
      </c>
      <c r="D2630" s="25">
        <v>0.0</v>
      </c>
      <c r="E2630" s="27"/>
      <c r="F2630" s="25">
        <v>0.0</v>
      </c>
      <c r="G2630" s="27"/>
    </row>
    <row r="2631">
      <c r="A2631" s="21"/>
      <c r="B2631" s="21" t="s">
        <v>8858</v>
      </c>
      <c r="D2631" s="25">
        <v>0.0</v>
      </c>
      <c r="E2631" s="27"/>
      <c r="F2631" s="25">
        <v>0.0</v>
      </c>
      <c r="G2631" s="27"/>
    </row>
    <row r="2632">
      <c r="A2632" s="21"/>
      <c r="B2632" s="21" t="s">
        <v>8859</v>
      </c>
      <c r="D2632" s="25">
        <v>0.0</v>
      </c>
      <c r="E2632" s="27"/>
      <c r="F2632" s="25">
        <v>0.0</v>
      </c>
      <c r="G2632" s="27"/>
    </row>
    <row r="2633">
      <c r="A2633" s="21"/>
      <c r="B2633" s="21" t="s">
        <v>8860</v>
      </c>
      <c r="D2633" s="25">
        <v>0.0</v>
      </c>
      <c r="E2633" s="27"/>
      <c r="F2633" s="25">
        <v>0.0</v>
      </c>
      <c r="G2633" s="27"/>
    </row>
    <row r="2634">
      <c r="A2634" s="21"/>
      <c r="B2634" s="21" t="s">
        <v>8861</v>
      </c>
      <c r="D2634" s="25">
        <v>0.0</v>
      </c>
      <c r="E2634" s="27"/>
      <c r="F2634" s="25">
        <v>0.0</v>
      </c>
      <c r="G2634" s="27"/>
    </row>
    <row r="2635">
      <c r="A2635" s="21"/>
      <c r="B2635" s="21" t="s">
        <v>8862</v>
      </c>
      <c r="D2635" s="25">
        <v>0.0</v>
      </c>
      <c r="E2635" s="27"/>
      <c r="F2635" s="25">
        <v>0.0</v>
      </c>
      <c r="G2635" s="27"/>
    </row>
    <row r="2636">
      <c r="A2636" s="21"/>
      <c r="B2636" s="21" t="s">
        <v>8863</v>
      </c>
      <c r="D2636" s="25">
        <v>0.0</v>
      </c>
      <c r="E2636" s="27"/>
      <c r="F2636" s="25">
        <v>0.0</v>
      </c>
      <c r="G2636" s="27"/>
    </row>
    <row r="2637">
      <c r="A2637" s="21"/>
      <c r="B2637" s="21" t="s">
        <v>8864</v>
      </c>
      <c r="D2637" s="25">
        <v>0.0</v>
      </c>
      <c r="E2637" s="27"/>
      <c r="F2637" s="25">
        <v>0.0</v>
      </c>
      <c r="G2637" s="27"/>
    </row>
    <row r="2638">
      <c r="A2638" s="21"/>
      <c r="B2638" s="21" t="s">
        <v>8865</v>
      </c>
      <c r="D2638" s="25">
        <v>0.0</v>
      </c>
      <c r="E2638" s="27"/>
      <c r="F2638" s="25">
        <v>0.0</v>
      </c>
      <c r="G2638" s="27"/>
    </row>
    <row r="2639">
      <c r="A2639" s="21"/>
      <c r="B2639" s="21" t="s">
        <v>8866</v>
      </c>
      <c r="D2639" s="25">
        <v>0.0</v>
      </c>
      <c r="E2639" s="27"/>
      <c r="F2639" s="25">
        <v>0.0</v>
      </c>
      <c r="G2639" s="27"/>
    </row>
    <row r="2640">
      <c r="A2640" s="21"/>
      <c r="B2640" s="21" t="s">
        <v>8867</v>
      </c>
      <c r="D2640" s="25">
        <v>0.0</v>
      </c>
      <c r="E2640" s="27"/>
      <c r="F2640" s="25">
        <v>0.0</v>
      </c>
      <c r="G2640" s="27"/>
    </row>
    <row r="2641">
      <c r="A2641" s="21"/>
      <c r="B2641" s="21" t="s">
        <v>8868</v>
      </c>
      <c r="D2641" s="25">
        <v>0.0</v>
      </c>
      <c r="E2641" s="27"/>
      <c r="F2641" s="25">
        <v>0.0</v>
      </c>
      <c r="G2641" s="27"/>
    </row>
    <row r="2642">
      <c r="A2642" s="21"/>
      <c r="B2642" s="21" t="s">
        <v>8869</v>
      </c>
      <c r="D2642" s="25">
        <v>0.0</v>
      </c>
      <c r="E2642" s="27"/>
      <c r="F2642" s="25">
        <v>0.0</v>
      </c>
      <c r="G2642" s="27"/>
    </row>
    <row r="2643">
      <c r="A2643" s="21"/>
      <c r="B2643" s="21" t="s">
        <v>8870</v>
      </c>
      <c r="D2643" s="25">
        <v>0.0</v>
      </c>
      <c r="E2643" s="27"/>
      <c r="F2643" s="25">
        <v>0.0</v>
      </c>
      <c r="G2643" s="27"/>
    </row>
    <row r="2644">
      <c r="A2644" s="21"/>
      <c r="B2644" s="21" t="s">
        <v>8871</v>
      </c>
      <c r="D2644" s="25">
        <v>0.0</v>
      </c>
      <c r="E2644" s="27"/>
      <c r="F2644" s="25">
        <v>0.0</v>
      </c>
      <c r="G2644" s="27"/>
    </row>
    <row r="2645">
      <c r="A2645" s="21"/>
      <c r="B2645" s="21" t="s">
        <v>8872</v>
      </c>
      <c r="D2645" s="25">
        <v>0.0</v>
      </c>
      <c r="E2645" s="27"/>
      <c r="F2645" s="25">
        <v>0.0</v>
      </c>
      <c r="G2645" s="27"/>
    </row>
    <row r="2646">
      <c r="A2646" s="21"/>
      <c r="B2646" s="21" t="s">
        <v>8873</v>
      </c>
      <c r="D2646" s="25">
        <v>0.0</v>
      </c>
      <c r="E2646" s="27"/>
      <c r="F2646" s="25">
        <v>0.0</v>
      </c>
      <c r="G2646" s="27"/>
    </row>
    <row r="2647">
      <c r="A2647" s="21"/>
      <c r="B2647" s="21" t="s">
        <v>8874</v>
      </c>
      <c r="D2647" s="25">
        <v>0.0</v>
      </c>
      <c r="E2647" s="27"/>
      <c r="F2647" s="25">
        <v>0.0</v>
      </c>
      <c r="G2647" s="27"/>
    </row>
    <row r="2648">
      <c r="A2648" s="21"/>
      <c r="B2648" s="21" t="s">
        <v>8875</v>
      </c>
      <c r="D2648" s="25">
        <v>0.0</v>
      </c>
      <c r="E2648" s="27"/>
      <c r="F2648" s="25">
        <v>0.0</v>
      </c>
      <c r="G2648" s="27"/>
    </row>
    <row r="2649">
      <c r="A2649" s="21"/>
      <c r="B2649" s="21" t="s">
        <v>8876</v>
      </c>
      <c r="D2649" s="25">
        <v>0.0</v>
      </c>
      <c r="E2649" s="27"/>
      <c r="F2649" s="25">
        <v>0.0</v>
      </c>
      <c r="G2649" s="27"/>
    </row>
    <row r="2650">
      <c r="A2650" s="21"/>
      <c r="B2650" s="21" t="s">
        <v>8877</v>
      </c>
      <c r="D2650" s="25">
        <v>0.0</v>
      </c>
      <c r="E2650" s="27"/>
      <c r="F2650" s="25">
        <v>0.0</v>
      </c>
      <c r="G2650" s="27"/>
    </row>
    <row r="2651">
      <c r="A2651" s="21"/>
      <c r="B2651" s="21" t="s">
        <v>8878</v>
      </c>
      <c r="D2651" s="25">
        <v>0.0</v>
      </c>
      <c r="E2651" s="27"/>
      <c r="F2651" s="25">
        <v>0.0</v>
      </c>
      <c r="G2651" s="27"/>
    </row>
    <row r="2652">
      <c r="A2652" s="21"/>
      <c r="B2652" s="21" t="s">
        <v>8879</v>
      </c>
      <c r="D2652" s="25">
        <v>0.0</v>
      </c>
      <c r="E2652" s="27"/>
      <c r="F2652" s="25">
        <v>4.67</v>
      </c>
      <c r="G2652" s="27"/>
    </row>
    <row r="2653">
      <c r="A2653" s="21"/>
      <c r="B2653" s="21" t="s">
        <v>8880</v>
      </c>
      <c r="D2653" s="25">
        <v>0.0</v>
      </c>
      <c r="E2653" s="27"/>
      <c r="F2653" s="25">
        <v>0.0</v>
      </c>
      <c r="G2653" s="27"/>
    </row>
    <row r="2654">
      <c r="A2654" s="21"/>
      <c r="B2654" s="21" t="s">
        <v>8881</v>
      </c>
      <c r="D2654" s="25">
        <v>0.0</v>
      </c>
      <c r="E2654" s="27"/>
      <c r="F2654" s="25">
        <v>0.0</v>
      </c>
      <c r="G2654" s="27"/>
    </row>
    <row r="2655">
      <c r="A2655" s="21"/>
      <c r="B2655" s="21" t="s">
        <v>8882</v>
      </c>
      <c r="D2655" s="25">
        <v>0.0</v>
      </c>
      <c r="E2655" s="27"/>
      <c r="F2655" s="25">
        <v>0.0</v>
      </c>
      <c r="G2655" s="27"/>
    </row>
    <row r="2656">
      <c r="A2656" s="21"/>
      <c r="B2656" s="21" t="s">
        <v>8883</v>
      </c>
      <c r="D2656" s="25">
        <v>0.0</v>
      </c>
      <c r="E2656" s="27"/>
      <c r="F2656" s="25">
        <v>0.0</v>
      </c>
      <c r="G2656" s="27"/>
    </row>
    <row r="2657">
      <c r="A2657" s="21"/>
      <c r="B2657" s="21" t="s">
        <v>8884</v>
      </c>
      <c r="D2657" s="25">
        <v>0.0</v>
      </c>
      <c r="E2657" s="27"/>
      <c r="F2657" s="25">
        <v>0.0</v>
      </c>
      <c r="G2657" s="27"/>
    </row>
    <row r="2658">
      <c r="A2658" s="21"/>
      <c r="B2658" s="21" t="s">
        <v>8885</v>
      </c>
      <c r="D2658" s="25">
        <v>0.0</v>
      </c>
      <c r="E2658" s="27"/>
      <c r="F2658" s="25">
        <v>0.0</v>
      </c>
      <c r="G2658" s="27"/>
    </row>
    <row r="2659">
      <c r="A2659" s="21"/>
      <c r="B2659" s="21" t="s">
        <v>8886</v>
      </c>
      <c r="D2659" s="25">
        <v>0.0</v>
      </c>
      <c r="E2659" s="27"/>
      <c r="F2659" s="25">
        <v>0.0</v>
      </c>
      <c r="G2659" s="27"/>
    </row>
    <row r="2660">
      <c r="A2660" s="21"/>
      <c r="B2660" s="21" t="s">
        <v>8887</v>
      </c>
      <c r="D2660" s="25">
        <v>0.0</v>
      </c>
      <c r="E2660" s="27"/>
      <c r="F2660" s="25">
        <v>0.0</v>
      </c>
      <c r="G2660" s="27"/>
    </row>
    <row r="2661">
      <c r="A2661" s="21"/>
      <c r="B2661" s="21" t="s">
        <v>8888</v>
      </c>
      <c r="D2661" s="25">
        <v>0.0</v>
      </c>
      <c r="E2661" s="27"/>
      <c r="F2661" s="25">
        <v>0.0</v>
      </c>
      <c r="G2661" s="27"/>
    </row>
    <row r="2662">
      <c r="A2662" s="21"/>
      <c r="B2662" s="21" t="s">
        <v>8889</v>
      </c>
      <c r="D2662" s="25">
        <v>0.0</v>
      </c>
      <c r="E2662" s="27"/>
      <c r="F2662" s="25">
        <v>0.0</v>
      </c>
      <c r="G2662" s="27"/>
    </row>
    <row r="2663">
      <c r="A2663" s="21"/>
      <c r="B2663" s="21" t="s">
        <v>8890</v>
      </c>
      <c r="D2663" s="25">
        <v>0.0</v>
      </c>
      <c r="E2663" s="27"/>
      <c r="F2663" s="25">
        <v>0.0</v>
      </c>
      <c r="G2663" s="27"/>
    </row>
    <row r="2664">
      <c r="A2664" s="21"/>
      <c r="B2664" s="21" t="s">
        <v>8891</v>
      </c>
      <c r="D2664" s="25">
        <v>0.0</v>
      </c>
      <c r="E2664" s="27"/>
      <c r="F2664" s="25">
        <v>0.0</v>
      </c>
      <c r="G2664" s="27"/>
    </row>
    <row r="2665">
      <c r="A2665" s="21"/>
      <c r="B2665" s="21" t="s">
        <v>8892</v>
      </c>
      <c r="D2665" s="25">
        <v>0.0</v>
      </c>
      <c r="E2665" s="27"/>
      <c r="F2665" s="25">
        <v>0.0</v>
      </c>
      <c r="G2665" s="27"/>
    </row>
    <row r="2666">
      <c r="A2666" s="21"/>
      <c r="B2666" s="21" t="s">
        <v>8893</v>
      </c>
      <c r="D2666" s="25">
        <v>0.0</v>
      </c>
      <c r="E2666" s="27"/>
      <c r="F2666" s="25">
        <v>0.0</v>
      </c>
      <c r="G2666" s="27"/>
    </row>
    <row r="2667">
      <c r="A2667" s="21"/>
      <c r="B2667" s="21" t="s">
        <v>8894</v>
      </c>
      <c r="D2667" s="25">
        <v>0.0</v>
      </c>
      <c r="E2667" s="27"/>
      <c r="F2667" s="25">
        <v>0.0</v>
      </c>
      <c r="G2667" s="27"/>
    </row>
    <row r="2668">
      <c r="A2668" s="21"/>
      <c r="B2668" s="21" t="s">
        <v>8895</v>
      </c>
      <c r="D2668" s="25">
        <v>0.0</v>
      </c>
      <c r="E2668" s="27"/>
      <c r="F2668" s="25">
        <v>0.0</v>
      </c>
      <c r="G2668" s="27"/>
    </row>
    <row r="2669">
      <c r="A2669" s="21"/>
      <c r="B2669" s="21" t="s">
        <v>8896</v>
      </c>
      <c r="D2669" s="25">
        <v>0.0</v>
      </c>
      <c r="E2669" s="27"/>
      <c r="F2669" s="25">
        <v>0.0</v>
      </c>
      <c r="G2669" s="27"/>
    </row>
    <row r="2670">
      <c r="A2670" s="21"/>
      <c r="B2670" s="21" t="s">
        <v>8897</v>
      </c>
      <c r="D2670" s="25">
        <v>0.0</v>
      </c>
      <c r="E2670" s="27"/>
      <c r="F2670" s="25">
        <v>0.0</v>
      </c>
      <c r="G2670" s="27"/>
    </row>
    <row r="2671">
      <c r="A2671" s="21"/>
      <c r="B2671" s="21" t="s">
        <v>8898</v>
      </c>
      <c r="D2671" s="25">
        <v>0.0</v>
      </c>
      <c r="E2671" s="27"/>
      <c r="F2671" s="25">
        <v>0.0</v>
      </c>
      <c r="G2671" s="27"/>
    </row>
    <row r="2672">
      <c r="A2672" s="21"/>
      <c r="B2672" s="21" t="s">
        <v>8899</v>
      </c>
      <c r="D2672" s="25">
        <v>0.0</v>
      </c>
      <c r="E2672" s="27"/>
      <c r="F2672" s="25">
        <v>0.0</v>
      </c>
      <c r="G2672" s="27"/>
    </row>
    <row r="2673">
      <c r="A2673" s="21"/>
      <c r="B2673" s="21" t="s">
        <v>8900</v>
      </c>
      <c r="D2673" s="25">
        <v>0.0</v>
      </c>
      <c r="E2673" s="27"/>
      <c r="F2673" s="25">
        <v>0.0</v>
      </c>
      <c r="G2673" s="27"/>
    </row>
    <row r="2674">
      <c r="A2674" s="21"/>
      <c r="B2674" s="21" t="s">
        <v>8901</v>
      </c>
      <c r="D2674" s="25">
        <v>0.0</v>
      </c>
      <c r="E2674" s="27"/>
      <c r="F2674" s="25">
        <v>0.0</v>
      </c>
      <c r="G2674" s="27"/>
    </row>
    <row r="2675">
      <c r="A2675" s="21"/>
      <c r="B2675" s="21" t="s">
        <v>8902</v>
      </c>
      <c r="D2675" s="25">
        <v>0.0</v>
      </c>
      <c r="E2675" s="27"/>
      <c r="F2675" s="25">
        <v>0.0</v>
      </c>
      <c r="G2675" s="27"/>
    </row>
    <row r="2676">
      <c r="A2676" s="21"/>
      <c r="B2676" s="21" t="s">
        <v>8903</v>
      </c>
      <c r="D2676" s="25">
        <v>0.0</v>
      </c>
      <c r="E2676" s="27"/>
      <c r="F2676" s="25">
        <v>0.0</v>
      </c>
      <c r="G2676" s="27"/>
    </row>
    <row r="2677">
      <c r="A2677" s="21"/>
      <c r="B2677" s="21" t="s">
        <v>8904</v>
      </c>
      <c r="D2677" s="25">
        <v>0.0</v>
      </c>
      <c r="E2677" s="27"/>
      <c r="F2677" s="25">
        <v>0.0</v>
      </c>
      <c r="G2677" s="27"/>
    </row>
    <row r="2678">
      <c r="A2678" s="21"/>
      <c r="B2678" s="21" t="s">
        <v>8905</v>
      </c>
      <c r="D2678" s="25">
        <v>0.0</v>
      </c>
      <c r="E2678" s="27"/>
      <c r="F2678" s="25">
        <v>0.0</v>
      </c>
      <c r="G2678" s="27"/>
    </row>
    <row r="2679">
      <c r="A2679" s="21"/>
      <c r="B2679" s="21" t="s">
        <v>6004</v>
      </c>
      <c r="D2679" s="25">
        <v>0.0</v>
      </c>
      <c r="E2679" s="27"/>
      <c r="F2679" s="25">
        <v>0.0</v>
      </c>
      <c r="G2679" s="27"/>
    </row>
    <row r="2680">
      <c r="A2680" s="21"/>
      <c r="B2680" s="21" t="s">
        <v>6005</v>
      </c>
      <c r="D2680" s="25">
        <v>0.0</v>
      </c>
      <c r="E2680" s="27"/>
      <c r="F2680" s="25">
        <v>0.0</v>
      </c>
      <c r="G2680" s="27"/>
    </row>
    <row r="2681">
      <c r="A2681" s="21"/>
      <c r="B2681" s="21" t="s">
        <v>8906</v>
      </c>
      <c r="D2681" s="25">
        <v>0.0</v>
      </c>
      <c r="E2681" s="27"/>
      <c r="F2681" s="25">
        <v>0.0</v>
      </c>
      <c r="G2681" s="27"/>
    </row>
    <row r="2682">
      <c r="A2682" s="21"/>
      <c r="B2682" s="21" t="s">
        <v>8907</v>
      </c>
      <c r="D2682" s="25">
        <v>0.0</v>
      </c>
      <c r="E2682" s="27"/>
      <c r="F2682" s="25">
        <v>0.0</v>
      </c>
      <c r="G2682" s="27"/>
    </row>
    <row r="2683">
      <c r="A2683" s="21"/>
      <c r="B2683" s="21" t="s">
        <v>8908</v>
      </c>
      <c r="D2683" s="25">
        <v>0.0</v>
      </c>
      <c r="E2683" s="27"/>
      <c r="F2683" s="25">
        <v>0.0</v>
      </c>
      <c r="G2683" s="27"/>
    </row>
    <row r="2684">
      <c r="A2684" s="21"/>
      <c r="B2684" s="21" t="s">
        <v>8909</v>
      </c>
      <c r="D2684" s="25">
        <v>0.0</v>
      </c>
      <c r="E2684" s="27"/>
      <c r="F2684" s="25">
        <v>0.0</v>
      </c>
      <c r="G2684" s="27"/>
    </row>
    <row r="2685">
      <c r="A2685" s="21"/>
      <c r="B2685" s="21" t="s">
        <v>8910</v>
      </c>
      <c r="D2685" s="25">
        <v>0.0</v>
      </c>
      <c r="E2685" s="27"/>
      <c r="F2685" s="25">
        <v>0.0</v>
      </c>
      <c r="G2685" s="27"/>
    </row>
    <row r="2686">
      <c r="A2686" s="21"/>
      <c r="B2686" s="21" t="s">
        <v>8911</v>
      </c>
      <c r="D2686" s="25">
        <v>0.0</v>
      </c>
      <c r="E2686" s="27"/>
      <c r="F2686" s="25">
        <v>0.0</v>
      </c>
      <c r="G2686" s="27"/>
    </row>
    <row r="2687">
      <c r="A2687" s="21"/>
      <c r="B2687" s="21" t="s">
        <v>8912</v>
      </c>
      <c r="D2687" s="25">
        <v>0.0</v>
      </c>
      <c r="E2687" s="27"/>
      <c r="F2687" s="25">
        <v>0.0</v>
      </c>
      <c r="G2687" s="27"/>
    </row>
    <row r="2688">
      <c r="A2688" s="21"/>
      <c r="B2688" s="21" t="s">
        <v>8913</v>
      </c>
      <c r="D2688" s="25">
        <v>0.0</v>
      </c>
      <c r="E2688" s="27"/>
      <c r="F2688" s="25">
        <v>0.0</v>
      </c>
      <c r="G2688" s="27"/>
    </row>
    <row r="2689">
      <c r="A2689" s="21"/>
      <c r="B2689" s="21" t="s">
        <v>8914</v>
      </c>
      <c r="C2689" s="27"/>
      <c r="D2689" s="25">
        <v>0.0</v>
      </c>
      <c r="E2689" s="27"/>
      <c r="F2689" s="25">
        <v>0.0</v>
      </c>
      <c r="G2689" s="27"/>
    </row>
    <row r="2690">
      <c r="A2690" s="21"/>
      <c r="B2690" s="21" t="s">
        <v>8915</v>
      </c>
      <c r="D2690" s="25">
        <v>0.0</v>
      </c>
      <c r="E2690" s="27"/>
      <c r="F2690" s="25">
        <v>0.0</v>
      </c>
      <c r="G2690" s="27"/>
    </row>
    <row r="2691">
      <c r="A2691" s="21"/>
      <c r="B2691" s="21" t="s">
        <v>8916</v>
      </c>
      <c r="D2691" s="25">
        <v>0.0</v>
      </c>
      <c r="E2691" s="27"/>
      <c r="F2691" s="25">
        <v>0.0</v>
      </c>
      <c r="G2691" s="27"/>
    </row>
    <row r="2692">
      <c r="A2692" s="21"/>
      <c r="B2692" s="21" t="s">
        <v>8917</v>
      </c>
      <c r="D2692" s="25">
        <v>0.0</v>
      </c>
      <c r="E2692" s="27"/>
      <c r="F2692" s="25">
        <v>6.87</v>
      </c>
      <c r="G2692" s="27"/>
    </row>
    <row r="2693">
      <c r="A2693" s="21"/>
      <c r="B2693" s="21" t="s">
        <v>8918</v>
      </c>
      <c r="D2693" s="25">
        <v>0.0</v>
      </c>
      <c r="E2693" s="27"/>
      <c r="F2693" s="25">
        <v>0.0</v>
      </c>
      <c r="G2693" s="27"/>
    </row>
    <row r="2694">
      <c r="A2694" s="21"/>
      <c r="B2694" s="21" t="s">
        <v>8919</v>
      </c>
      <c r="D2694" s="25">
        <v>0.0</v>
      </c>
      <c r="E2694" s="27"/>
      <c r="F2694" s="25">
        <v>0.0</v>
      </c>
      <c r="G2694" s="27"/>
    </row>
    <row r="2695">
      <c r="A2695" s="21"/>
      <c r="B2695" s="21" t="s">
        <v>8920</v>
      </c>
      <c r="D2695" s="25">
        <v>0.0</v>
      </c>
      <c r="E2695" s="27"/>
      <c r="F2695" s="25">
        <v>0.0</v>
      </c>
      <c r="G2695" s="27"/>
    </row>
    <row r="2696">
      <c r="A2696" s="21"/>
      <c r="B2696" s="21" t="s">
        <v>8921</v>
      </c>
      <c r="D2696" s="25">
        <v>0.0</v>
      </c>
      <c r="E2696" s="27"/>
      <c r="F2696" s="25">
        <v>0.0</v>
      </c>
      <c r="G2696" s="27"/>
    </row>
    <row r="2697">
      <c r="A2697" s="21"/>
      <c r="B2697" s="21" t="s">
        <v>8922</v>
      </c>
      <c r="D2697" s="25">
        <v>0.0</v>
      </c>
      <c r="E2697" s="27"/>
      <c r="F2697" s="25">
        <v>0.0</v>
      </c>
      <c r="G2697" s="27"/>
    </row>
    <row r="2698">
      <c r="A2698" s="21"/>
      <c r="B2698" s="21" t="s">
        <v>8923</v>
      </c>
      <c r="D2698" s="25">
        <v>0.0</v>
      </c>
      <c r="E2698" s="27"/>
      <c r="F2698" s="25">
        <v>0.0</v>
      </c>
      <c r="G2698" s="27"/>
    </row>
    <row r="2699">
      <c r="A2699" s="21"/>
      <c r="B2699" s="21" t="s">
        <v>6006</v>
      </c>
      <c r="D2699" s="25">
        <v>0.0</v>
      </c>
      <c r="E2699" s="27"/>
      <c r="F2699" s="25">
        <v>0.0</v>
      </c>
      <c r="G2699" s="27"/>
    </row>
    <row r="2700">
      <c r="A2700" s="21"/>
      <c r="B2700" s="21" t="s">
        <v>8924</v>
      </c>
      <c r="D2700" s="25">
        <v>0.0</v>
      </c>
      <c r="E2700" s="27"/>
      <c r="F2700" s="25">
        <v>0.0</v>
      </c>
      <c r="G2700" s="27"/>
    </row>
    <row r="2701">
      <c r="A2701" s="21"/>
      <c r="B2701" s="21" t="s">
        <v>8925</v>
      </c>
      <c r="D2701" s="25">
        <v>0.0</v>
      </c>
      <c r="E2701" s="27"/>
      <c r="F2701" s="25">
        <v>0.0</v>
      </c>
      <c r="G2701" s="27"/>
    </row>
    <row r="2702">
      <c r="A2702" s="21"/>
      <c r="B2702" s="21" t="s">
        <v>8926</v>
      </c>
      <c r="D2702" s="25">
        <v>0.0</v>
      </c>
      <c r="E2702" s="27"/>
      <c r="F2702" s="25">
        <v>0.0</v>
      </c>
      <c r="G2702" s="27"/>
    </row>
    <row r="2703">
      <c r="A2703" s="21"/>
      <c r="B2703" s="21" t="s">
        <v>8927</v>
      </c>
      <c r="D2703" s="25">
        <v>0.0</v>
      </c>
      <c r="E2703" s="27"/>
      <c r="F2703" s="25">
        <v>0.0</v>
      </c>
      <c r="G2703" s="27"/>
    </row>
    <row r="2704">
      <c r="A2704" s="21"/>
      <c r="B2704" s="21" t="s">
        <v>8928</v>
      </c>
      <c r="D2704" s="25">
        <v>0.0</v>
      </c>
      <c r="E2704" s="27"/>
      <c r="F2704" s="25">
        <v>0.0</v>
      </c>
      <c r="G2704" s="27"/>
    </row>
    <row r="2705">
      <c r="A2705" s="21"/>
      <c r="B2705" s="21" t="s">
        <v>8929</v>
      </c>
      <c r="D2705" s="25">
        <v>0.0</v>
      </c>
      <c r="E2705" s="27"/>
      <c r="F2705" s="25">
        <v>0.0</v>
      </c>
      <c r="G2705" s="27"/>
    </row>
    <row r="2706">
      <c r="A2706" s="21"/>
      <c r="B2706" s="21" t="s">
        <v>8930</v>
      </c>
      <c r="D2706" s="25">
        <v>0.0</v>
      </c>
      <c r="E2706" s="27"/>
      <c r="F2706" s="25">
        <v>0.0</v>
      </c>
      <c r="G2706" s="27"/>
    </row>
    <row r="2707">
      <c r="A2707" s="21"/>
      <c r="B2707" s="21" t="s">
        <v>8931</v>
      </c>
      <c r="D2707" s="25">
        <v>0.0</v>
      </c>
      <c r="E2707" s="27"/>
      <c r="F2707" s="25">
        <v>0.0</v>
      </c>
      <c r="G2707" s="27"/>
    </row>
    <row r="2708">
      <c r="A2708" s="21"/>
      <c r="B2708" s="21" t="s">
        <v>8932</v>
      </c>
      <c r="D2708" s="25">
        <v>0.0</v>
      </c>
      <c r="E2708" s="27"/>
      <c r="F2708" s="25">
        <v>0.0</v>
      </c>
      <c r="G2708" s="27"/>
    </row>
    <row r="2709">
      <c r="A2709" s="21"/>
      <c r="B2709" s="21" t="s">
        <v>8933</v>
      </c>
      <c r="D2709" s="25">
        <v>0.0</v>
      </c>
      <c r="E2709" s="27"/>
      <c r="F2709" s="25">
        <v>0.0</v>
      </c>
      <c r="G2709" s="27"/>
    </row>
    <row r="2710">
      <c r="A2710" s="21"/>
      <c r="B2710" s="21" t="s">
        <v>8934</v>
      </c>
      <c r="D2710" s="25">
        <v>0.0</v>
      </c>
      <c r="E2710" s="27"/>
      <c r="F2710" s="25">
        <v>0.0</v>
      </c>
      <c r="G2710" s="27"/>
    </row>
    <row r="2711">
      <c r="A2711" s="21"/>
      <c r="B2711" s="21" t="s">
        <v>8935</v>
      </c>
      <c r="D2711" s="25">
        <v>0.0</v>
      </c>
      <c r="E2711" s="27"/>
      <c r="F2711" s="25">
        <v>0.0</v>
      </c>
      <c r="G2711" s="27"/>
    </row>
    <row r="2712">
      <c r="A2712" s="21"/>
      <c r="B2712" s="21" t="s">
        <v>8936</v>
      </c>
      <c r="D2712" s="25">
        <v>0.0</v>
      </c>
      <c r="E2712" s="27"/>
      <c r="F2712" s="25">
        <v>0.0</v>
      </c>
      <c r="G2712" s="27"/>
    </row>
    <row r="2713">
      <c r="A2713" s="21"/>
      <c r="B2713" s="21" t="s">
        <v>6007</v>
      </c>
      <c r="D2713" s="25">
        <v>0.0</v>
      </c>
      <c r="E2713" s="27"/>
      <c r="F2713" s="25">
        <v>0.0</v>
      </c>
      <c r="G2713" s="27"/>
    </row>
    <row r="2714">
      <c r="A2714" s="21"/>
      <c r="B2714" s="21" t="s">
        <v>8937</v>
      </c>
      <c r="D2714" s="25">
        <v>0.0</v>
      </c>
      <c r="E2714" s="27"/>
      <c r="F2714" s="25">
        <v>0.0</v>
      </c>
      <c r="G2714" s="27"/>
    </row>
    <row r="2715">
      <c r="A2715" s="21"/>
      <c r="B2715" s="21" t="s">
        <v>8938</v>
      </c>
      <c r="D2715" s="25">
        <v>0.0</v>
      </c>
      <c r="E2715" s="27"/>
      <c r="F2715" s="25">
        <v>0.0</v>
      </c>
      <c r="G2715" s="27"/>
    </row>
    <row r="2716">
      <c r="A2716" s="21"/>
      <c r="B2716" s="21" t="s">
        <v>8939</v>
      </c>
      <c r="D2716" s="25">
        <v>0.0</v>
      </c>
      <c r="E2716" s="27"/>
      <c r="F2716" s="25">
        <v>0.0</v>
      </c>
      <c r="G2716" s="27"/>
    </row>
    <row r="2717">
      <c r="A2717" s="21"/>
      <c r="B2717" s="21" t="s">
        <v>8940</v>
      </c>
      <c r="D2717" s="25">
        <v>0.0</v>
      </c>
      <c r="E2717" s="27"/>
      <c r="F2717" s="25">
        <v>0.0</v>
      </c>
      <c r="G2717" s="27"/>
    </row>
    <row r="2718">
      <c r="A2718" s="21"/>
      <c r="B2718" s="21" t="s">
        <v>8941</v>
      </c>
      <c r="D2718" s="25">
        <v>0.0</v>
      </c>
      <c r="E2718" s="27"/>
      <c r="F2718" s="25">
        <v>0.0</v>
      </c>
      <c r="G2718" s="27"/>
    </row>
    <row r="2719">
      <c r="A2719" s="21"/>
      <c r="B2719" s="21" t="s">
        <v>8942</v>
      </c>
      <c r="D2719" s="25">
        <v>0.0</v>
      </c>
      <c r="E2719" s="27"/>
      <c r="F2719" s="25">
        <v>0.0</v>
      </c>
      <c r="G2719" s="27"/>
    </row>
    <row r="2720">
      <c r="A2720" s="21"/>
      <c r="B2720" s="21" t="s">
        <v>8943</v>
      </c>
      <c r="D2720" s="25">
        <v>0.0</v>
      </c>
      <c r="E2720" s="27"/>
      <c r="F2720" s="25">
        <v>0.0</v>
      </c>
      <c r="G2720" s="27"/>
    </row>
    <row r="2721">
      <c r="A2721" s="21"/>
      <c r="B2721" s="21" t="s">
        <v>8944</v>
      </c>
      <c r="D2721" s="25">
        <v>0.0</v>
      </c>
      <c r="E2721" s="27"/>
      <c r="F2721" s="25">
        <v>0.0</v>
      </c>
      <c r="G2721" s="27"/>
    </row>
    <row r="2722">
      <c r="A2722" s="21"/>
      <c r="B2722" s="21" t="s">
        <v>8945</v>
      </c>
      <c r="D2722" s="25">
        <v>0.0</v>
      </c>
      <c r="E2722" s="27"/>
      <c r="F2722" s="25">
        <v>0.0</v>
      </c>
      <c r="G2722" s="27"/>
    </row>
    <row r="2723">
      <c r="A2723" s="21"/>
      <c r="B2723" s="21" t="s">
        <v>8946</v>
      </c>
      <c r="D2723" s="25">
        <v>0.0</v>
      </c>
      <c r="E2723" s="27"/>
      <c r="F2723" s="25">
        <v>10.91</v>
      </c>
      <c r="G2723" s="27"/>
    </row>
    <row r="2724">
      <c r="A2724" s="21"/>
      <c r="B2724" s="21" t="s">
        <v>8947</v>
      </c>
      <c r="D2724" s="25">
        <v>0.0</v>
      </c>
      <c r="E2724" s="27"/>
      <c r="F2724" s="25">
        <v>0.0</v>
      </c>
      <c r="G2724" s="27"/>
    </row>
    <row r="2725">
      <c r="A2725" s="21"/>
      <c r="B2725" s="21" t="s">
        <v>8948</v>
      </c>
      <c r="D2725" s="25">
        <v>0.0</v>
      </c>
      <c r="E2725" s="27"/>
      <c r="F2725" s="25">
        <v>0.0</v>
      </c>
      <c r="G2725" s="27"/>
    </row>
    <row r="2726">
      <c r="A2726" s="21"/>
      <c r="B2726" s="21" t="s">
        <v>8949</v>
      </c>
      <c r="D2726" s="25">
        <v>0.0</v>
      </c>
      <c r="E2726" s="27"/>
      <c r="F2726" s="25">
        <v>0.0</v>
      </c>
      <c r="G2726" s="27"/>
    </row>
    <row r="2727">
      <c r="A2727" s="21"/>
      <c r="B2727" s="21" t="s">
        <v>8950</v>
      </c>
      <c r="D2727" s="25">
        <v>0.0</v>
      </c>
      <c r="E2727" s="27"/>
      <c r="F2727" s="25">
        <v>0.0</v>
      </c>
      <c r="G2727" s="27"/>
    </row>
    <row r="2728">
      <c r="A2728" s="21"/>
      <c r="B2728" s="21" t="s">
        <v>8951</v>
      </c>
      <c r="D2728" s="25">
        <v>0.0</v>
      </c>
      <c r="E2728" s="27"/>
      <c r="F2728" s="25">
        <v>0.0</v>
      </c>
      <c r="G2728" s="27"/>
    </row>
    <row r="2729">
      <c r="A2729" s="21"/>
      <c r="B2729" s="21" t="s">
        <v>6008</v>
      </c>
      <c r="D2729" s="25">
        <v>0.0</v>
      </c>
      <c r="E2729" s="27"/>
      <c r="F2729" s="25">
        <v>0.31</v>
      </c>
      <c r="G2729" s="27"/>
    </row>
    <row r="2730">
      <c r="A2730" s="21"/>
      <c r="B2730" s="21" t="s">
        <v>6009</v>
      </c>
      <c r="D2730" s="25">
        <v>0.0</v>
      </c>
      <c r="E2730" s="27"/>
      <c r="F2730" s="25">
        <v>0.0</v>
      </c>
      <c r="G2730" s="27"/>
    </row>
    <row r="2731">
      <c r="A2731" s="21"/>
      <c r="B2731" s="21" t="s">
        <v>6010</v>
      </c>
      <c r="D2731" s="25">
        <v>0.0</v>
      </c>
      <c r="E2731" s="27"/>
      <c r="F2731" s="25">
        <v>0.31</v>
      </c>
      <c r="G2731" s="27"/>
    </row>
    <row r="2732">
      <c r="A2732" s="21"/>
      <c r="B2732" s="21" t="s">
        <v>8952</v>
      </c>
      <c r="D2732" s="25">
        <v>0.0</v>
      </c>
      <c r="E2732" s="27"/>
      <c r="F2732" s="25">
        <v>0.0</v>
      </c>
      <c r="G2732" s="27"/>
    </row>
    <row r="2733">
      <c r="A2733" s="21"/>
      <c r="B2733" s="21" t="s">
        <v>8953</v>
      </c>
      <c r="D2733" s="25">
        <v>0.0</v>
      </c>
      <c r="E2733" s="27"/>
      <c r="F2733" s="25">
        <v>0.0</v>
      </c>
      <c r="G2733" s="27"/>
    </row>
    <row r="2734">
      <c r="A2734" s="21"/>
      <c r="B2734" s="21" t="s">
        <v>8954</v>
      </c>
      <c r="D2734" s="25">
        <v>0.0</v>
      </c>
      <c r="E2734" s="27"/>
      <c r="F2734" s="25">
        <v>0.0</v>
      </c>
      <c r="G2734" s="27"/>
    </row>
    <row r="2735">
      <c r="A2735" s="21"/>
      <c r="B2735" s="21" t="s">
        <v>8955</v>
      </c>
      <c r="D2735" s="25">
        <v>0.0</v>
      </c>
      <c r="E2735" s="27"/>
      <c r="F2735" s="25">
        <v>0.0</v>
      </c>
      <c r="G2735" s="27"/>
    </row>
    <row r="2736">
      <c r="A2736" s="21"/>
      <c r="B2736" s="21" t="s">
        <v>8956</v>
      </c>
      <c r="D2736" s="25">
        <v>0.0</v>
      </c>
      <c r="E2736" s="27"/>
      <c r="F2736" s="25">
        <v>0.0</v>
      </c>
      <c r="G2736" s="27"/>
    </row>
    <row r="2737">
      <c r="A2737" s="21"/>
      <c r="B2737" s="21" t="s">
        <v>8957</v>
      </c>
      <c r="D2737" s="25">
        <v>0.0</v>
      </c>
      <c r="E2737" s="27"/>
      <c r="F2737" s="25">
        <v>0.0</v>
      </c>
      <c r="G2737" s="27"/>
    </row>
    <row r="2738">
      <c r="A2738" s="21"/>
      <c r="B2738" s="21" t="s">
        <v>8958</v>
      </c>
      <c r="D2738" s="25">
        <v>0.0</v>
      </c>
      <c r="E2738" s="27"/>
      <c r="F2738" s="25">
        <v>0.0</v>
      </c>
      <c r="G2738" s="27"/>
    </row>
    <row r="2739">
      <c r="A2739" s="21"/>
      <c r="B2739" s="21" t="s">
        <v>8959</v>
      </c>
      <c r="D2739" s="25">
        <v>0.0</v>
      </c>
      <c r="E2739" s="27"/>
      <c r="F2739" s="25">
        <v>0.0</v>
      </c>
      <c r="G2739" s="27"/>
    </row>
    <row r="2740">
      <c r="A2740" s="21"/>
      <c r="B2740" s="21" t="s">
        <v>8960</v>
      </c>
      <c r="D2740" s="25">
        <v>0.0</v>
      </c>
      <c r="E2740" s="27"/>
      <c r="F2740" s="25">
        <v>0.0</v>
      </c>
      <c r="G2740" s="27"/>
    </row>
    <row r="2741">
      <c r="A2741" s="21"/>
      <c r="B2741" s="21" t="s">
        <v>8961</v>
      </c>
      <c r="D2741" s="25">
        <v>0.0</v>
      </c>
      <c r="E2741" s="27"/>
      <c r="F2741" s="25">
        <v>0.0</v>
      </c>
      <c r="G2741" s="27"/>
    </row>
    <row r="2742">
      <c r="A2742" s="21"/>
      <c r="B2742" s="21" t="s">
        <v>8962</v>
      </c>
      <c r="D2742" s="25">
        <v>0.0</v>
      </c>
      <c r="E2742" s="27"/>
      <c r="F2742" s="25">
        <v>0.0</v>
      </c>
      <c r="G2742" s="27"/>
    </row>
    <row r="2743">
      <c r="A2743" s="21"/>
      <c r="B2743" s="21" t="s">
        <v>8963</v>
      </c>
      <c r="D2743" s="25">
        <v>0.0</v>
      </c>
      <c r="E2743" s="27"/>
      <c r="F2743" s="25">
        <v>0.0</v>
      </c>
      <c r="G2743" s="27"/>
    </row>
    <row r="2744">
      <c r="A2744" s="21"/>
      <c r="B2744" s="21" t="s">
        <v>8964</v>
      </c>
      <c r="D2744" s="25">
        <v>0.0</v>
      </c>
      <c r="E2744" s="27"/>
      <c r="F2744" s="25">
        <v>0.0</v>
      </c>
      <c r="G2744" s="27"/>
    </row>
    <row r="2745">
      <c r="A2745" s="21"/>
      <c r="B2745" s="21" t="s">
        <v>8965</v>
      </c>
      <c r="D2745" s="25">
        <v>0.0</v>
      </c>
      <c r="E2745" s="27"/>
      <c r="F2745" s="25">
        <v>1.07</v>
      </c>
      <c r="G2745" s="27"/>
    </row>
    <row r="2746">
      <c r="A2746" s="21"/>
      <c r="B2746" s="21" t="s">
        <v>8966</v>
      </c>
      <c r="D2746" s="25">
        <v>0.0</v>
      </c>
      <c r="E2746" s="27"/>
      <c r="F2746" s="25">
        <v>0.0</v>
      </c>
      <c r="G2746" s="27"/>
    </row>
    <row r="2747">
      <c r="A2747" s="21"/>
      <c r="B2747" s="21" t="s">
        <v>8967</v>
      </c>
      <c r="D2747" s="25">
        <v>0.0</v>
      </c>
      <c r="E2747" s="27"/>
      <c r="F2747" s="25">
        <v>0.0</v>
      </c>
      <c r="G2747" s="27"/>
    </row>
    <row r="2748">
      <c r="A2748" s="21"/>
      <c r="B2748" s="21" t="s">
        <v>8968</v>
      </c>
      <c r="D2748" s="25">
        <v>0.0</v>
      </c>
      <c r="E2748" s="27"/>
      <c r="F2748" s="25">
        <v>0.0</v>
      </c>
      <c r="G2748" s="27"/>
    </row>
    <row r="2749">
      <c r="A2749" s="21"/>
      <c r="B2749" s="21" t="s">
        <v>8969</v>
      </c>
      <c r="D2749" s="25">
        <v>0.0</v>
      </c>
      <c r="E2749" s="27"/>
      <c r="F2749" s="25">
        <v>0.0</v>
      </c>
      <c r="G2749" s="27"/>
    </row>
    <row r="2750">
      <c r="A2750" s="21"/>
      <c r="B2750" s="21" t="s">
        <v>8970</v>
      </c>
      <c r="D2750" s="25">
        <v>0.0</v>
      </c>
      <c r="E2750" s="27"/>
      <c r="F2750" s="25">
        <v>0.0</v>
      </c>
      <c r="G2750" s="27"/>
    </row>
    <row r="2751">
      <c r="A2751" s="21"/>
      <c r="B2751" s="21" t="s">
        <v>8971</v>
      </c>
      <c r="D2751" s="25">
        <v>0.0</v>
      </c>
      <c r="E2751" s="27"/>
      <c r="F2751" s="25">
        <v>0.0</v>
      </c>
      <c r="G2751" s="27"/>
    </row>
    <row r="2752">
      <c r="A2752" s="21"/>
      <c r="B2752" s="21" t="s">
        <v>8972</v>
      </c>
      <c r="D2752" s="25">
        <v>0.0</v>
      </c>
      <c r="E2752" s="27"/>
      <c r="F2752" s="25">
        <v>0.0</v>
      </c>
      <c r="G2752" s="27"/>
    </row>
    <row r="2753">
      <c r="A2753" s="21"/>
      <c r="B2753" s="21" t="s">
        <v>8973</v>
      </c>
      <c r="D2753" s="25">
        <v>0.0</v>
      </c>
      <c r="E2753" s="27"/>
      <c r="F2753" s="25">
        <v>0.0</v>
      </c>
      <c r="G2753" s="27"/>
    </row>
    <row r="2754">
      <c r="A2754" s="21"/>
      <c r="B2754" s="21" t="s">
        <v>8974</v>
      </c>
      <c r="D2754" s="25">
        <v>0.0</v>
      </c>
      <c r="E2754" s="27"/>
      <c r="F2754" s="25">
        <v>0.0</v>
      </c>
      <c r="G2754" s="27"/>
    </row>
    <row r="2755">
      <c r="A2755" s="21"/>
      <c r="B2755" s="21" t="s">
        <v>8975</v>
      </c>
      <c r="D2755" s="25">
        <v>0.0</v>
      </c>
      <c r="E2755" s="27"/>
      <c r="F2755" s="25">
        <v>0.0</v>
      </c>
      <c r="G2755" s="27"/>
    </row>
    <row r="2756">
      <c r="A2756" s="21"/>
      <c r="B2756" s="21" t="s">
        <v>8976</v>
      </c>
      <c r="D2756" s="25">
        <v>0.0</v>
      </c>
      <c r="E2756" s="27"/>
      <c r="F2756" s="25">
        <v>0.0</v>
      </c>
      <c r="G2756" s="27"/>
    </row>
    <row r="2757">
      <c r="A2757" s="21"/>
      <c r="B2757" s="21" t="s">
        <v>8977</v>
      </c>
      <c r="D2757" s="25">
        <v>0.0</v>
      </c>
      <c r="E2757" s="27"/>
      <c r="F2757" s="25">
        <v>0.0</v>
      </c>
      <c r="G2757" s="27"/>
    </row>
    <row r="2758">
      <c r="A2758" s="21"/>
      <c r="B2758" s="21" t="s">
        <v>8978</v>
      </c>
      <c r="D2758" s="25">
        <v>0.0</v>
      </c>
      <c r="E2758" s="27"/>
      <c r="F2758" s="25">
        <v>0.0</v>
      </c>
      <c r="G2758" s="27"/>
    </row>
    <row r="2759">
      <c r="A2759" s="21"/>
      <c r="B2759" s="21" t="s">
        <v>8979</v>
      </c>
      <c r="D2759" s="25">
        <v>0.0</v>
      </c>
      <c r="E2759" s="27"/>
      <c r="F2759" s="25">
        <v>0.0</v>
      </c>
      <c r="G2759" s="27"/>
    </row>
    <row r="2760">
      <c r="A2760" s="21"/>
      <c r="B2760" s="21" t="s">
        <v>8980</v>
      </c>
      <c r="D2760" s="25">
        <v>0.0</v>
      </c>
      <c r="E2760" s="27"/>
      <c r="F2760" s="25">
        <v>0.0</v>
      </c>
      <c r="G2760" s="27"/>
    </row>
    <row r="2761">
      <c r="A2761" s="21"/>
      <c r="B2761" s="21" t="s">
        <v>8981</v>
      </c>
      <c r="D2761" s="25">
        <v>0.0</v>
      </c>
      <c r="E2761" s="27"/>
      <c r="F2761" s="25">
        <v>0.0</v>
      </c>
      <c r="G2761" s="27"/>
    </row>
    <row r="2762">
      <c r="A2762" s="21"/>
      <c r="B2762" s="21" t="s">
        <v>8982</v>
      </c>
      <c r="D2762" s="25">
        <v>0.0</v>
      </c>
      <c r="E2762" s="27"/>
      <c r="F2762" s="25">
        <v>0.0</v>
      </c>
      <c r="G2762" s="27"/>
    </row>
    <row r="2763">
      <c r="A2763" s="21"/>
      <c r="B2763" s="21" t="s">
        <v>8983</v>
      </c>
      <c r="D2763" s="25">
        <v>0.0</v>
      </c>
      <c r="E2763" s="27"/>
      <c r="F2763" s="25">
        <v>0.0</v>
      </c>
      <c r="G2763" s="27"/>
    </row>
    <row r="2764">
      <c r="A2764" s="21"/>
      <c r="B2764" s="21" t="s">
        <v>8984</v>
      </c>
      <c r="D2764" s="25">
        <v>0.0</v>
      </c>
      <c r="E2764" s="27"/>
      <c r="F2764" s="25">
        <v>0.0</v>
      </c>
      <c r="G2764" s="27"/>
    </row>
    <row r="2765">
      <c r="A2765" s="21"/>
      <c r="B2765" s="21" t="s">
        <v>8985</v>
      </c>
      <c r="D2765" s="25">
        <v>0.0</v>
      </c>
      <c r="E2765" s="27"/>
      <c r="F2765" s="25">
        <v>0.0</v>
      </c>
      <c r="G2765" s="27"/>
    </row>
    <row r="2766">
      <c r="A2766" s="21"/>
      <c r="B2766" s="21" t="s">
        <v>8986</v>
      </c>
      <c r="D2766" s="25">
        <v>0.0</v>
      </c>
      <c r="E2766" s="27"/>
      <c r="F2766" s="25">
        <v>0.0</v>
      </c>
      <c r="G2766" s="27"/>
    </row>
    <row r="2767">
      <c r="A2767" s="21"/>
      <c r="B2767" s="21" t="s">
        <v>8987</v>
      </c>
      <c r="D2767" s="25">
        <v>0.0</v>
      </c>
      <c r="E2767" s="27"/>
      <c r="F2767" s="25">
        <v>0.0</v>
      </c>
      <c r="G2767" s="27"/>
    </row>
    <row r="2768">
      <c r="A2768" s="21"/>
      <c r="B2768" s="21" t="s">
        <v>8988</v>
      </c>
      <c r="D2768" s="25">
        <v>0.0</v>
      </c>
      <c r="E2768" s="27"/>
      <c r="F2768" s="25">
        <v>0.0</v>
      </c>
      <c r="G2768" s="27"/>
    </row>
    <row r="2769">
      <c r="A2769" s="21"/>
      <c r="B2769" s="21" t="s">
        <v>8989</v>
      </c>
      <c r="D2769" s="25">
        <v>0.0</v>
      </c>
      <c r="E2769" s="27"/>
      <c r="F2769" s="25">
        <v>0.0</v>
      </c>
      <c r="G2769" s="27"/>
    </row>
    <row r="2770">
      <c r="A2770" s="21"/>
      <c r="B2770" s="21" t="s">
        <v>8990</v>
      </c>
      <c r="D2770" s="25">
        <v>0.0</v>
      </c>
      <c r="E2770" s="27"/>
      <c r="F2770" s="25">
        <v>0.0</v>
      </c>
      <c r="G2770" s="27"/>
    </row>
    <row r="2771">
      <c r="A2771" s="21"/>
      <c r="B2771" s="21" t="s">
        <v>8991</v>
      </c>
      <c r="D2771" s="25">
        <v>0.0</v>
      </c>
      <c r="E2771" s="27"/>
      <c r="F2771" s="25">
        <v>0.0</v>
      </c>
      <c r="G2771" s="27"/>
    </row>
    <row r="2772">
      <c r="A2772" s="21"/>
      <c r="B2772" s="21" t="s">
        <v>6011</v>
      </c>
      <c r="D2772" s="25">
        <v>0.0</v>
      </c>
      <c r="E2772" s="27"/>
      <c r="F2772" s="25">
        <v>0.0</v>
      </c>
      <c r="G2772" s="27"/>
    </row>
    <row r="2773">
      <c r="A2773" s="21"/>
      <c r="B2773" s="21" t="s">
        <v>6012</v>
      </c>
      <c r="D2773" s="25">
        <v>0.0</v>
      </c>
      <c r="E2773" s="27"/>
      <c r="F2773" s="25">
        <v>0.0</v>
      </c>
      <c r="G2773" s="27"/>
    </row>
    <row r="2774">
      <c r="A2774" s="21"/>
      <c r="B2774" s="21" t="s">
        <v>6013</v>
      </c>
      <c r="D2774" s="25">
        <v>0.0</v>
      </c>
      <c r="E2774" s="27"/>
      <c r="F2774" s="25">
        <v>5.85</v>
      </c>
      <c r="G2774" s="27"/>
    </row>
    <row r="2775">
      <c r="A2775" s="21"/>
      <c r="B2775" s="21" t="s">
        <v>6014</v>
      </c>
      <c r="D2775" s="25">
        <v>0.0</v>
      </c>
      <c r="E2775" s="27"/>
      <c r="F2775" s="25">
        <v>0.0</v>
      </c>
      <c r="G2775" s="27"/>
    </row>
    <row r="2776">
      <c r="A2776" s="21"/>
      <c r="B2776" s="21" t="s">
        <v>6015</v>
      </c>
      <c r="D2776" s="25">
        <v>0.0</v>
      </c>
      <c r="E2776" s="27"/>
      <c r="F2776" s="25">
        <v>0.0</v>
      </c>
      <c r="G2776" s="27"/>
    </row>
    <row r="2777">
      <c r="A2777" s="21"/>
      <c r="B2777" s="21" t="s">
        <v>6016</v>
      </c>
      <c r="D2777" s="25">
        <v>0.0</v>
      </c>
      <c r="E2777" s="27"/>
      <c r="F2777" s="25">
        <v>0.0</v>
      </c>
      <c r="G2777" s="27"/>
    </row>
    <row r="2778">
      <c r="A2778" s="21"/>
      <c r="B2778" s="21" t="s">
        <v>6017</v>
      </c>
      <c r="D2778" s="25">
        <v>0.0</v>
      </c>
      <c r="E2778" s="27"/>
      <c r="F2778" s="25">
        <v>0.0</v>
      </c>
      <c r="G2778" s="27"/>
    </row>
    <row r="2779">
      <c r="A2779" s="21"/>
      <c r="B2779" s="21" t="s">
        <v>6018</v>
      </c>
      <c r="D2779" s="25">
        <v>0.0</v>
      </c>
      <c r="E2779" s="27"/>
      <c r="F2779" s="25">
        <v>0.0</v>
      </c>
      <c r="G2779" s="27"/>
    </row>
    <row r="2780">
      <c r="A2780" s="21"/>
      <c r="B2780" s="21" t="s">
        <v>6019</v>
      </c>
      <c r="D2780" s="25">
        <v>0.0</v>
      </c>
      <c r="E2780" s="27"/>
      <c r="F2780" s="25">
        <v>0.0</v>
      </c>
      <c r="G2780" s="27"/>
    </row>
    <row r="2781">
      <c r="A2781" s="21"/>
      <c r="B2781" s="21" t="s">
        <v>6020</v>
      </c>
      <c r="D2781" s="25">
        <v>0.0</v>
      </c>
      <c r="E2781" s="27"/>
      <c r="F2781" s="25">
        <v>0.0</v>
      </c>
      <c r="G2781" s="27"/>
    </row>
    <row r="2782">
      <c r="A2782" s="21"/>
      <c r="B2782" s="21" t="s">
        <v>6021</v>
      </c>
      <c r="D2782" s="25">
        <v>0.0</v>
      </c>
      <c r="E2782" s="27"/>
      <c r="F2782" s="25">
        <v>0.0</v>
      </c>
      <c r="G2782" s="27"/>
    </row>
    <row r="2783">
      <c r="A2783" s="21"/>
      <c r="B2783" s="21" t="s">
        <v>6022</v>
      </c>
      <c r="D2783" s="25">
        <v>0.0</v>
      </c>
      <c r="E2783" s="27"/>
      <c r="F2783" s="25">
        <v>0.0</v>
      </c>
      <c r="G2783" s="27"/>
    </row>
    <row r="2784">
      <c r="A2784" s="21"/>
      <c r="B2784" s="21" t="s">
        <v>6023</v>
      </c>
      <c r="D2784" s="25">
        <v>0.0</v>
      </c>
      <c r="E2784" s="27"/>
      <c r="F2784" s="25">
        <v>0.0</v>
      </c>
      <c r="G2784" s="27"/>
    </row>
    <row r="2785">
      <c r="A2785" s="21"/>
      <c r="B2785" s="21" t="s">
        <v>6024</v>
      </c>
      <c r="D2785" s="25">
        <v>0.0</v>
      </c>
      <c r="E2785" s="27"/>
      <c r="F2785" s="25">
        <v>0.0</v>
      </c>
      <c r="G2785" s="27"/>
    </row>
    <row r="2786">
      <c r="A2786" s="21"/>
      <c r="B2786" s="21" t="s">
        <v>6025</v>
      </c>
      <c r="D2786" s="25">
        <v>0.0</v>
      </c>
      <c r="E2786" s="27"/>
      <c r="F2786" s="25">
        <v>0.0</v>
      </c>
      <c r="G2786" s="27"/>
    </row>
    <row r="2787">
      <c r="A2787" s="21"/>
      <c r="B2787" s="21" t="s">
        <v>6026</v>
      </c>
      <c r="D2787" s="25">
        <v>0.0</v>
      </c>
      <c r="E2787" s="27"/>
      <c r="F2787" s="25">
        <v>0.0</v>
      </c>
      <c r="G2787" s="27"/>
    </row>
    <row r="2788">
      <c r="A2788" s="21"/>
      <c r="B2788" s="21" t="s">
        <v>6027</v>
      </c>
      <c r="D2788" s="25">
        <v>0.0</v>
      </c>
      <c r="E2788" s="27"/>
      <c r="F2788" s="25">
        <v>0.0</v>
      </c>
      <c r="G2788" s="27"/>
    </row>
    <row r="2789">
      <c r="A2789" s="21"/>
      <c r="B2789" s="21" t="s">
        <v>6028</v>
      </c>
      <c r="D2789" s="25">
        <v>0.0</v>
      </c>
      <c r="E2789" s="27"/>
      <c r="F2789" s="25">
        <v>0.0</v>
      </c>
      <c r="G2789" s="27"/>
    </row>
    <row r="2790">
      <c r="A2790" s="21"/>
      <c r="B2790" s="21" t="s">
        <v>6029</v>
      </c>
      <c r="D2790" s="25">
        <v>0.0</v>
      </c>
      <c r="E2790" s="27"/>
      <c r="F2790" s="25">
        <v>0.0</v>
      </c>
      <c r="G2790" s="27"/>
    </row>
    <row r="2791">
      <c r="A2791" s="21"/>
      <c r="B2791" s="21" t="s">
        <v>6030</v>
      </c>
      <c r="D2791" s="25">
        <v>0.0</v>
      </c>
      <c r="E2791" s="27"/>
      <c r="F2791" s="25">
        <v>0.0</v>
      </c>
      <c r="G2791" s="27"/>
    </row>
    <row r="2792">
      <c r="A2792" s="21"/>
      <c r="B2792" s="21" t="s">
        <v>6031</v>
      </c>
      <c r="D2792" s="25">
        <v>0.0</v>
      </c>
      <c r="E2792" s="27"/>
      <c r="F2792" s="25">
        <v>0.0</v>
      </c>
      <c r="G2792" s="27"/>
    </row>
    <row r="2793">
      <c r="A2793" s="21"/>
      <c r="B2793" s="21" t="s">
        <v>6032</v>
      </c>
      <c r="D2793" s="25">
        <v>0.0</v>
      </c>
      <c r="E2793" s="27"/>
      <c r="F2793" s="25">
        <v>0.0</v>
      </c>
      <c r="G2793" s="27"/>
    </row>
    <row r="2794">
      <c r="A2794" s="21"/>
      <c r="B2794" s="21" t="s">
        <v>6033</v>
      </c>
      <c r="D2794" s="25">
        <v>0.0</v>
      </c>
      <c r="E2794" s="27"/>
      <c r="F2794" s="25">
        <v>0.0</v>
      </c>
      <c r="G2794" s="27"/>
    </row>
    <row r="2795">
      <c r="A2795" s="21"/>
      <c r="B2795" s="21" t="s">
        <v>6034</v>
      </c>
      <c r="D2795" s="25">
        <v>0.0</v>
      </c>
      <c r="E2795" s="27"/>
      <c r="F2795" s="25">
        <v>0.0</v>
      </c>
      <c r="G2795" s="27"/>
    </row>
    <row r="2796">
      <c r="A2796" s="21"/>
      <c r="B2796" s="21" t="s">
        <v>6035</v>
      </c>
      <c r="D2796" s="25">
        <v>0.0</v>
      </c>
      <c r="E2796" s="27"/>
      <c r="F2796" s="25">
        <v>0.0</v>
      </c>
      <c r="G2796" s="27"/>
    </row>
    <row r="2797">
      <c r="A2797" s="21"/>
      <c r="B2797" s="21" t="s">
        <v>6036</v>
      </c>
      <c r="D2797" s="25">
        <v>0.0</v>
      </c>
      <c r="E2797" s="27"/>
      <c r="F2797" s="25">
        <v>0.0</v>
      </c>
      <c r="G2797" s="27"/>
    </row>
    <row r="2798">
      <c r="A2798" s="21"/>
      <c r="B2798" s="21" t="s">
        <v>8992</v>
      </c>
      <c r="D2798" s="25">
        <v>0.0</v>
      </c>
      <c r="E2798" s="27"/>
      <c r="F2798" s="25">
        <v>0.0</v>
      </c>
      <c r="G2798" s="27"/>
    </row>
    <row r="2799">
      <c r="A2799" s="21"/>
      <c r="B2799" s="21" t="s">
        <v>8993</v>
      </c>
      <c r="D2799" s="25">
        <v>0.0</v>
      </c>
      <c r="E2799" s="27"/>
      <c r="F2799" s="25">
        <v>0.0</v>
      </c>
      <c r="G2799" s="27"/>
    </row>
    <row r="2800">
      <c r="A2800" s="21"/>
      <c r="B2800" s="21" t="s">
        <v>8994</v>
      </c>
      <c r="D2800" s="25">
        <v>0.0</v>
      </c>
      <c r="E2800" s="27"/>
      <c r="F2800" s="25">
        <v>0.0</v>
      </c>
      <c r="G2800" s="27"/>
    </row>
    <row r="2801">
      <c r="A2801" s="21"/>
      <c r="B2801" s="21" t="s">
        <v>8995</v>
      </c>
      <c r="D2801" s="25">
        <v>0.0</v>
      </c>
      <c r="E2801" s="27"/>
      <c r="F2801" s="25">
        <v>0.0</v>
      </c>
      <c r="G2801" s="27"/>
    </row>
    <row r="2802">
      <c r="A2802" s="21"/>
      <c r="B2802" s="21" t="s">
        <v>8996</v>
      </c>
      <c r="D2802" s="25">
        <v>0.0</v>
      </c>
      <c r="E2802" s="27"/>
      <c r="F2802" s="25">
        <v>0.0</v>
      </c>
      <c r="G2802" s="27"/>
    </row>
    <row r="2803">
      <c r="A2803" s="21"/>
      <c r="B2803" s="21" t="s">
        <v>8997</v>
      </c>
      <c r="D2803" s="25">
        <v>0.0</v>
      </c>
      <c r="E2803" s="27"/>
      <c r="F2803" s="25">
        <v>0.0</v>
      </c>
      <c r="G2803" s="27"/>
    </row>
    <row r="2804">
      <c r="A2804" s="21"/>
      <c r="B2804" s="21" t="s">
        <v>8998</v>
      </c>
      <c r="D2804" s="25">
        <v>0.0</v>
      </c>
      <c r="E2804" s="27"/>
      <c r="F2804" s="25">
        <v>0.0</v>
      </c>
      <c r="G2804" s="27"/>
    </row>
    <row r="2805">
      <c r="A2805" s="21"/>
      <c r="B2805" s="21" t="s">
        <v>8999</v>
      </c>
      <c r="D2805" s="25">
        <v>0.0</v>
      </c>
      <c r="E2805" s="27"/>
      <c r="F2805" s="25">
        <v>0.0</v>
      </c>
      <c r="G2805" s="27"/>
    </row>
    <row r="2806">
      <c r="A2806" s="21"/>
      <c r="B2806" s="21" t="s">
        <v>9000</v>
      </c>
      <c r="D2806" s="25">
        <v>0.0</v>
      </c>
      <c r="E2806" s="27"/>
      <c r="F2806" s="25">
        <v>0.0</v>
      </c>
      <c r="G2806" s="27"/>
    </row>
    <row r="2807">
      <c r="A2807" s="21"/>
      <c r="B2807" s="21" t="s">
        <v>9001</v>
      </c>
      <c r="D2807" s="25">
        <v>0.0</v>
      </c>
      <c r="E2807" s="27"/>
      <c r="F2807" s="25">
        <v>6.05</v>
      </c>
      <c r="G2807" s="27"/>
    </row>
    <row r="2808">
      <c r="A2808" s="21"/>
      <c r="B2808" s="21" t="s">
        <v>9002</v>
      </c>
      <c r="D2808" s="25">
        <v>0.0</v>
      </c>
      <c r="E2808" s="27"/>
      <c r="F2808" s="25">
        <v>0.0</v>
      </c>
      <c r="G2808" s="27"/>
    </row>
    <row r="2809">
      <c r="A2809" s="21"/>
      <c r="B2809" s="21" t="s">
        <v>9003</v>
      </c>
      <c r="D2809" s="25">
        <v>0.0</v>
      </c>
      <c r="E2809" s="27"/>
      <c r="F2809" s="25">
        <v>0.0</v>
      </c>
      <c r="G2809" s="27"/>
    </row>
    <row r="2810">
      <c r="A2810" s="21"/>
      <c r="B2810" s="21" t="s">
        <v>9004</v>
      </c>
      <c r="D2810" s="25">
        <v>0.0</v>
      </c>
      <c r="E2810" s="27"/>
      <c r="F2810" s="25">
        <v>0.0</v>
      </c>
      <c r="G2810" s="27"/>
    </row>
    <row r="2811">
      <c r="A2811" s="21"/>
      <c r="B2811" s="21" t="s">
        <v>9005</v>
      </c>
      <c r="D2811" s="25">
        <v>0.0</v>
      </c>
      <c r="E2811" s="27"/>
      <c r="F2811" s="25">
        <v>0.0</v>
      </c>
      <c r="G2811" s="27"/>
    </row>
    <row r="2812">
      <c r="A2812" s="21"/>
      <c r="B2812" s="21" t="s">
        <v>9006</v>
      </c>
      <c r="D2812" s="25">
        <v>0.0</v>
      </c>
      <c r="E2812" s="27"/>
      <c r="F2812" s="25">
        <v>0.0</v>
      </c>
      <c r="G2812" s="27"/>
    </row>
    <row r="2813">
      <c r="A2813" s="21"/>
      <c r="B2813" s="21" t="s">
        <v>9007</v>
      </c>
      <c r="D2813" s="25">
        <v>0.0</v>
      </c>
      <c r="E2813" s="27"/>
      <c r="F2813" s="25">
        <v>0.0</v>
      </c>
      <c r="G2813" s="27"/>
    </row>
    <row r="2814">
      <c r="A2814" s="21"/>
      <c r="B2814" s="21" t="s">
        <v>9008</v>
      </c>
      <c r="D2814" s="25">
        <v>0.0</v>
      </c>
      <c r="E2814" s="27"/>
      <c r="F2814" s="25">
        <v>0.0</v>
      </c>
      <c r="G2814" s="27"/>
    </row>
    <row r="2815">
      <c r="A2815" s="21"/>
      <c r="B2815" s="21" t="s">
        <v>9009</v>
      </c>
      <c r="D2815" s="25">
        <v>0.0</v>
      </c>
      <c r="E2815" s="27"/>
      <c r="F2815" s="25">
        <v>0.0</v>
      </c>
      <c r="G2815" s="27"/>
    </row>
    <row r="2816">
      <c r="A2816" s="21"/>
      <c r="B2816" s="21" t="s">
        <v>9010</v>
      </c>
      <c r="D2816" s="25">
        <v>0.0</v>
      </c>
      <c r="E2816" s="27"/>
      <c r="F2816" s="25">
        <v>0.0</v>
      </c>
      <c r="G2816" s="27"/>
    </row>
    <row r="2817">
      <c r="A2817" s="21"/>
      <c r="B2817" s="21" t="s">
        <v>9011</v>
      </c>
      <c r="D2817" s="25">
        <v>0.0</v>
      </c>
      <c r="E2817" s="27"/>
      <c r="F2817" s="25">
        <v>0.0</v>
      </c>
      <c r="G2817" s="27"/>
    </row>
    <row r="2818">
      <c r="A2818" s="21"/>
      <c r="B2818" s="21" t="s">
        <v>9012</v>
      </c>
      <c r="D2818" s="25">
        <v>0.0</v>
      </c>
      <c r="E2818" s="27"/>
      <c r="F2818" s="25">
        <v>0.0</v>
      </c>
      <c r="G2818" s="27"/>
    </row>
    <row r="2819">
      <c r="A2819" s="21"/>
      <c r="B2819" s="21" t="s">
        <v>9013</v>
      </c>
      <c r="D2819" s="25">
        <v>0.0</v>
      </c>
      <c r="E2819" s="27"/>
      <c r="F2819" s="25">
        <v>0.0</v>
      </c>
      <c r="G2819" s="27"/>
    </row>
    <row r="2820">
      <c r="A2820" s="21"/>
      <c r="B2820" s="21" t="s">
        <v>9014</v>
      </c>
      <c r="D2820" s="25">
        <v>0.0</v>
      </c>
      <c r="E2820" s="27"/>
      <c r="F2820" s="25">
        <v>0.0</v>
      </c>
      <c r="G2820" s="27"/>
    </row>
    <row r="2821">
      <c r="A2821" s="21"/>
      <c r="B2821" s="21" t="s">
        <v>9015</v>
      </c>
      <c r="D2821" s="25">
        <v>0.0</v>
      </c>
      <c r="E2821" s="27"/>
      <c r="F2821" s="25">
        <v>0.0</v>
      </c>
      <c r="G2821" s="27"/>
    </row>
    <row r="2822">
      <c r="A2822" s="21"/>
      <c r="B2822" s="21" t="s">
        <v>9016</v>
      </c>
      <c r="D2822" s="25">
        <v>0.0</v>
      </c>
      <c r="E2822" s="27"/>
      <c r="F2822" s="25">
        <v>0.0</v>
      </c>
      <c r="G2822" s="27"/>
    </row>
    <row r="2823">
      <c r="A2823" s="21"/>
      <c r="B2823" s="21" t="s">
        <v>9017</v>
      </c>
      <c r="D2823" s="25">
        <v>0.0</v>
      </c>
      <c r="E2823" s="27"/>
      <c r="F2823" s="25">
        <v>0.0</v>
      </c>
      <c r="G2823" s="27"/>
    </row>
    <row r="2824">
      <c r="A2824" s="21"/>
      <c r="B2824" s="21" t="s">
        <v>9018</v>
      </c>
      <c r="D2824" s="25">
        <v>0.0</v>
      </c>
      <c r="E2824" s="27"/>
      <c r="F2824" s="25">
        <v>0.0</v>
      </c>
      <c r="G2824" s="27"/>
    </row>
    <row r="2825">
      <c r="A2825" s="21"/>
      <c r="B2825" s="21" t="s">
        <v>9019</v>
      </c>
      <c r="D2825" s="25">
        <v>0.0</v>
      </c>
      <c r="E2825" s="27"/>
      <c r="F2825" s="25">
        <v>0.0</v>
      </c>
      <c r="G2825" s="27"/>
    </row>
    <row r="2826">
      <c r="A2826" s="21"/>
      <c r="B2826" s="21" t="s">
        <v>9020</v>
      </c>
      <c r="D2826" s="25">
        <v>0.0</v>
      </c>
      <c r="E2826" s="27"/>
      <c r="F2826" s="25">
        <v>0.0</v>
      </c>
      <c r="G2826" s="27"/>
    </row>
    <row r="2827">
      <c r="A2827" s="21"/>
      <c r="B2827" s="21" t="s">
        <v>9021</v>
      </c>
      <c r="D2827" s="25">
        <v>0.0</v>
      </c>
      <c r="E2827" s="27"/>
      <c r="F2827" s="25">
        <v>0.0</v>
      </c>
      <c r="G2827" s="27"/>
    </row>
    <row r="2828">
      <c r="A2828" s="21"/>
      <c r="B2828" s="21" t="s">
        <v>9022</v>
      </c>
      <c r="D2828" s="25">
        <v>0.0</v>
      </c>
      <c r="E2828" s="27"/>
      <c r="F2828" s="25">
        <v>0.0</v>
      </c>
      <c r="G2828" s="27"/>
    </row>
    <row r="2829">
      <c r="A2829" s="21"/>
      <c r="B2829" s="21" t="s">
        <v>9023</v>
      </c>
      <c r="D2829" s="25">
        <v>0.0</v>
      </c>
      <c r="E2829" s="27"/>
      <c r="F2829" s="25">
        <v>0.0</v>
      </c>
      <c r="G2829" s="27"/>
    </row>
    <row r="2830">
      <c r="A2830" s="21"/>
      <c r="B2830" s="21" t="s">
        <v>9024</v>
      </c>
      <c r="D2830" s="25">
        <v>0.0</v>
      </c>
      <c r="E2830" s="27"/>
      <c r="F2830" s="25">
        <v>0.0</v>
      </c>
      <c r="G2830" s="27"/>
    </row>
    <row r="2831">
      <c r="A2831" s="21"/>
      <c r="B2831" s="21" t="s">
        <v>9025</v>
      </c>
      <c r="D2831" s="25">
        <v>0.0</v>
      </c>
      <c r="E2831" s="27"/>
      <c r="F2831" s="25">
        <v>8.54</v>
      </c>
      <c r="G2831" s="27"/>
    </row>
    <row r="2832">
      <c r="A2832" s="21"/>
      <c r="B2832" s="21" t="s">
        <v>9026</v>
      </c>
      <c r="D2832" s="25">
        <v>0.0</v>
      </c>
      <c r="E2832" s="27"/>
      <c r="F2832" s="25">
        <v>0.0</v>
      </c>
      <c r="G2832" s="27"/>
    </row>
    <row r="2833">
      <c r="A2833" s="21"/>
      <c r="B2833" s="21" t="s">
        <v>9027</v>
      </c>
      <c r="D2833" s="25">
        <v>0.0</v>
      </c>
      <c r="E2833" s="27"/>
      <c r="F2833" s="25">
        <v>0.0</v>
      </c>
      <c r="G2833" s="27"/>
    </row>
    <row r="2834">
      <c r="A2834" s="21"/>
      <c r="B2834" s="21" t="s">
        <v>9028</v>
      </c>
      <c r="D2834" s="25">
        <v>0.0</v>
      </c>
      <c r="E2834" s="27"/>
      <c r="F2834" s="25">
        <v>0.0</v>
      </c>
      <c r="G2834" s="27"/>
    </row>
    <row r="2835">
      <c r="A2835" s="21"/>
      <c r="B2835" s="21" t="s">
        <v>9029</v>
      </c>
      <c r="D2835" s="25">
        <v>0.0</v>
      </c>
      <c r="E2835" s="27"/>
      <c r="F2835" s="25">
        <v>0.0</v>
      </c>
      <c r="G2835" s="27"/>
    </row>
    <row r="2836">
      <c r="A2836" s="21"/>
      <c r="B2836" s="21" t="s">
        <v>9030</v>
      </c>
      <c r="D2836" s="25">
        <v>0.0</v>
      </c>
      <c r="E2836" s="27"/>
      <c r="F2836" s="25">
        <v>0.0</v>
      </c>
      <c r="G2836" s="27"/>
    </row>
    <row r="2837">
      <c r="A2837" s="21"/>
      <c r="B2837" s="21" t="s">
        <v>9031</v>
      </c>
      <c r="D2837" s="25">
        <v>0.0</v>
      </c>
      <c r="E2837" s="27"/>
      <c r="F2837" s="25">
        <v>0.0</v>
      </c>
      <c r="G2837" s="27"/>
    </row>
    <row r="2838">
      <c r="A2838" s="21"/>
      <c r="B2838" s="21" t="s">
        <v>9032</v>
      </c>
      <c r="D2838" s="25">
        <v>0.0</v>
      </c>
      <c r="E2838" s="27"/>
      <c r="F2838" s="25">
        <v>0.0</v>
      </c>
      <c r="G2838" s="27"/>
    </row>
    <row r="2839">
      <c r="A2839" s="21"/>
      <c r="B2839" s="21" t="s">
        <v>9033</v>
      </c>
      <c r="D2839" s="25">
        <v>0.0</v>
      </c>
      <c r="E2839" s="27"/>
      <c r="F2839" s="25">
        <v>0.0</v>
      </c>
      <c r="G2839" s="27"/>
    </row>
    <row r="2840">
      <c r="A2840" s="21"/>
      <c r="B2840" s="21" t="s">
        <v>9034</v>
      </c>
      <c r="D2840" s="25">
        <v>0.0</v>
      </c>
      <c r="E2840" s="27"/>
      <c r="F2840" s="25">
        <v>0.0</v>
      </c>
      <c r="G2840" s="27"/>
    </row>
    <row r="2841">
      <c r="A2841" s="21"/>
      <c r="B2841" s="21" t="s">
        <v>9035</v>
      </c>
      <c r="D2841" s="25">
        <v>0.0</v>
      </c>
      <c r="E2841" s="27"/>
      <c r="F2841" s="25">
        <v>0.0</v>
      </c>
      <c r="G2841" s="27"/>
    </row>
    <row r="2842">
      <c r="A2842" s="21"/>
      <c r="B2842" s="21" t="s">
        <v>9036</v>
      </c>
      <c r="D2842" s="25">
        <v>0.0</v>
      </c>
      <c r="E2842" s="27"/>
      <c r="F2842" s="25">
        <v>0.0</v>
      </c>
      <c r="G2842" s="27"/>
    </row>
    <row r="2843">
      <c r="A2843" s="21"/>
      <c r="B2843" s="21" t="s">
        <v>9037</v>
      </c>
      <c r="D2843" s="25">
        <v>0.0</v>
      </c>
      <c r="E2843" s="27"/>
      <c r="F2843" s="25">
        <v>0.0</v>
      </c>
      <c r="G2843" s="27"/>
    </row>
    <row r="2844">
      <c r="A2844" s="21"/>
      <c r="B2844" s="21" t="s">
        <v>9038</v>
      </c>
      <c r="D2844" s="25">
        <v>0.0</v>
      </c>
      <c r="E2844" s="27"/>
      <c r="F2844" s="25">
        <v>0.0</v>
      </c>
      <c r="G2844" s="27"/>
    </row>
    <row r="2845">
      <c r="A2845" s="21"/>
      <c r="B2845" s="21" t="s">
        <v>9039</v>
      </c>
      <c r="D2845" s="25">
        <v>0.0</v>
      </c>
      <c r="E2845" s="27"/>
      <c r="F2845" s="25">
        <v>0.0</v>
      </c>
      <c r="G2845" s="27"/>
    </row>
    <row r="2846">
      <c r="A2846" s="21"/>
      <c r="B2846" s="21" t="s">
        <v>9040</v>
      </c>
      <c r="D2846" s="25">
        <v>0.0</v>
      </c>
      <c r="E2846" s="27"/>
      <c r="F2846" s="25">
        <v>0.0</v>
      </c>
      <c r="G2846" s="27"/>
    </row>
    <row r="2847">
      <c r="A2847" s="21"/>
      <c r="B2847" s="21" t="s">
        <v>9041</v>
      </c>
      <c r="D2847" s="25">
        <v>0.0</v>
      </c>
      <c r="E2847" s="27"/>
      <c r="F2847" s="25">
        <v>0.0</v>
      </c>
      <c r="G2847" s="27"/>
    </row>
    <row r="2848">
      <c r="A2848" s="21"/>
      <c r="B2848" s="21" t="s">
        <v>9042</v>
      </c>
      <c r="D2848" s="25">
        <v>0.0</v>
      </c>
      <c r="E2848" s="27"/>
      <c r="F2848" s="25">
        <v>0.0</v>
      </c>
      <c r="G2848" s="27"/>
    </row>
    <row r="2849">
      <c r="A2849" s="21"/>
      <c r="B2849" s="21" t="s">
        <v>9043</v>
      </c>
      <c r="D2849" s="25">
        <v>0.0</v>
      </c>
      <c r="E2849" s="27"/>
      <c r="F2849" s="25">
        <v>0.0</v>
      </c>
      <c r="G2849" s="27"/>
    </row>
    <row r="2850">
      <c r="A2850" s="21"/>
      <c r="B2850" s="21" t="s">
        <v>51</v>
      </c>
      <c r="D2850" s="25">
        <v>0.0</v>
      </c>
      <c r="E2850" s="27"/>
      <c r="F2850" s="25">
        <v>0.0</v>
      </c>
      <c r="G2850" s="27"/>
    </row>
    <row r="2851">
      <c r="A2851" s="21"/>
      <c r="B2851" s="21" t="s">
        <v>9044</v>
      </c>
      <c r="D2851" s="25">
        <v>0.0</v>
      </c>
      <c r="E2851" s="27"/>
      <c r="F2851" s="25">
        <v>0.0</v>
      </c>
      <c r="G2851" s="27"/>
    </row>
    <row r="2852">
      <c r="A2852" s="21"/>
      <c r="B2852" s="21" t="s">
        <v>9045</v>
      </c>
      <c r="D2852" s="25">
        <v>0.0</v>
      </c>
      <c r="E2852" s="27"/>
      <c r="F2852" s="25">
        <v>0.0</v>
      </c>
      <c r="G2852" s="27"/>
    </row>
    <row r="2853">
      <c r="A2853" s="21"/>
      <c r="B2853" s="21" t="s">
        <v>9046</v>
      </c>
      <c r="D2853" s="25">
        <v>0.0</v>
      </c>
      <c r="E2853" s="27"/>
      <c r="F2853" s="25">
        <v>0.0</v>
      </c>
      <c r="G2853" s="27"/>
    </row>
    <row r="2854">
      <c r="A2854" s="21"/>
      <c r="B2854" s="21" t="s">
        <v>9047</v>
      </c>
      <c r="D2854" s="25">
        <v>0.0</v>
      </c>
      <c r="E2854" s="27"/>
      <c r="F2854" s="25">
        <v>0.0</v>
      </c>
      <c r="G2854" s="27"/>
    </row>
    <row r="2855">
      <c r="A2855" s="21"/>
      <c r="B2855" s="21" t="s">
        <v>9048</v>
      </c>
      <c r="D2855" s="25">
        <v>0.0</v>
      </c>
      <c r="E2855" s="27"/>
      <c r="F2855" s="25">
        <v>0.0</v>
      </c>
      <c r="G2855" s="27"/>
    </row>
    <row r="2856">
      <c r="A2856" s="21"/>
      <c r="B2856" s="21" t="s">
        <v>9049</v>
      </c>
      <c r="D2856" s="25">
        <v>0.0</v>
      </c>
      <c r="E2856" s="27"/>
      <c r="F2856" s="25">
        <v>0.0</v>
      </c>
      <c r="G2856" s="27"/>
    </row>
    <row r="2857">
      <c r="A2857" s="21"/>
      <c r="B2857" s="21" t="s">
        <v>9050</v>
      </c>
      <c r="D2857" s="25">
        <v>0.0</v>
      </c>
      <c r="E2857" s="27"/>
      <c r="F2857" s="25">
        <v>0.0</v>
      </c>
      <c r="G2857" s="27"/>
    </row>
    <row r="2858">
      <c r="A2858" s="21"/>
      <c r="B2858" s="21" t="s">
        <v>9051</v>
      </c>
      <c r="D2858" s="25">
        <v>0.0</v>
      </c>
      <c r="E2858" s="27"/>
      <c r="F2858" s="25">
        <v>0.0</v>
      </c>
      <c r="G2858" s="27"/>
    </row>
    <row r="2859">
      <c r="A2859" s="21"/>
      <c r="B2859" s="21" t="s">
        <v>9052</v>
      </c>
      <c r="D2859" s="25">
        <v>0.0</v>
      </c>
      <c r="E2859" s="27"/>
      <c r="F2859" s="25">
        <v>0.0</v>
      </c>
      <c r="G2859" s="27"/>
    </row>
    <row r="2860">
      <c r="A2860" s="21"/>
      <c r="B2860" s="21" t="s">
        <v>9053</v>
      </c>
      <c r="D2860" s="25">
        <v>0.0</v>
      </c>
      <c r="E2860" s="27"/>
      <c r="F2860" s="25">
        <v>0.0</v>
      </c>
      <c r="G2860" s="27"/>
    </row>
    <row r="2861">
      <c r="A2861" s="21"/>
      <c r="B2861" s="21" t="s">
        <v>9054</v>
      </c>
      <c r="D2861" s="25">
        <v>0.0</v>
      </c>
      <c r="E2861" s="27"/>
      <c r="F2861" s="25">
        <v>0.0</v>
      </c>
      <c r="G2861" s="27"/>
    </row>
    <row r="2862">
      <c r="A2862" s="21"/>
      <c r="B2862" s="21" t="s">
        <v>9055</v>
      </c>
      <c r="D2862" s="25">
        <v>0.0</v>
      </c>
      <c r="E2862" s="27"/>
      <c r="F2862" s="25">
        <v>0.0</v>
      </c>
      <c r="G2862" s="27"/>
    </row>
    <row r="2863">
      <c r="A2863" s="21"/>
      <c r="B2863" s="21" t="s">
        <v>9056</v>
      </c>
      <c r="D2863" s="25">
        <v>0.0</v>
      </c>
      <c r="E2863" s="27"/>
      <c r="F2863" s="25">
        <v>0.0</v>
      </c>
      <c r="G2863" s="27"/>
    </row>
    <row r="2864">
      <c r="A2864" s="21"/>
      <c r="B2864" s="21" t="s">
        <v>9057</v>
      </c>
      <c r="D2864" s="25">
        <v>0.0</v>
      </c>
      <c r="E2864" s="27"/>
      <c r="F2864" s="25">
        <v>0.0</v>
      </c>
      <c r="G2864" s="27"/>
    </row>
    <row r="2865">
      <c r="A2865" s="21"/>
      <c r="B2865" s="21" t="s">
        <v>9058</v>
      </c>
      <c r="D2865" s="25">
        <v>0.0</v>
      </c>
      <c r="E2865" s="27"/>
      <c r="F2865" s="25">
        <v>0.0</v>
      </c>
      <c r="G2865" s="27"/>
    </row>
    <row r="2866">
      <c r="A2866" s="21"/>
      <c r="B2866" s="21" t="s">
        <v>9059</v>
      </c>
      <c r="D2866" s="25">
        <v>0.0</v>
      </c>
      <c r="E2866" s="27"/>
      <c r="F2866" s="25">
        <v>0.0</v>
      </c>
      <c r="G2866" s="27"/>
    </row>
    <row r="2867">
      <c r="A2867" s="21"/>
      <c r="B2867" s="21" t="s">
        <v>9060</v>
      </c>
      <c r="D2867" s="25">
        <v>0.0</v>
      </c>
      <c r="E2867" s="27"/>
      <c r="F2867" s="25">
        <v>0.0</v>
      </c>
      <c r="G2867" s="27"/>
    </row>
    <row r="2868">
      <c r="A2868" s="21"/>
      <c r="B2868" s="21" t="s">
        <v>9061</v>
      </c>
      <c r="D2868" s="25">
        <v>0.0</v>
      </c>
      <c r="E2868" s="27"/>
      <c r="F2868" s="25">
        <v>0.0</v>
      </c>
      <c r="G2868" s="27"/>
    </row>
    <row r="2869">
      <c r="A2869" s="21"/>
      <c r="B2869" s="21" t="s">
        <v>9062</v>
      </c>
      <c r="D2869" s="25">
        <v>0.0</v>
      </c>
      <c r="E2869" s="27"/>
      <c r="F2869" s="25">
        <v>0.0</v>
      </c>
      <c r="G2869" s="27"/>
    </row>
    <row r="2870">
      <c r="A2870" s="21"/>
      <c r="B2870" s="21" t="s">
        <v>9063</v>
      </c>
      <c r="D2870" s="25">
        <v>0.0</v>
      </c>
      <c r="E2870" s="27"/>
      <c r="F2870" s="25">
        <v>0.0</v>
      </c>
      <c r="G2870" s="27"/>
    </row>
    <row r="2871">
      <c r="A2871" s="21"/>
      <c r="B2871" s="21" t="s">
        <v>9064</v>
      </c>
      <c r="D2871" s="25">
        <v>0.0</v>
      </c>
      <c r="E2871" s="27"/>
      <c r="F2871" s="25">
        <v>0.0</v>
      </c>
      <c r="G2871" s="27"/>
    </row>
    <row r="2872">
      <c r="A2872" s="21"/>
      <c r="B2872" s="21" t="s">
        <v>9065</v>
      </c>
      <c r="D2872" s="25">
        <v>0.0</v>
      </c>
      <c r="E2872" s="27"/>
      <c r="F2872" s="25">
        <v>0.0</v>
      </c>
      <c r="G2872" s="27"/>
    </row>
    <row r="2873">
      <c r="A2873" s="21"/>
      <c r="B2873" s="21" t="s">
        <v>9066</v>
      </c>
      <c r="D2873" s="25">
        <v>0.0</v>
      </c>
      <c r="E2873" s="27"/>
      <c r="F2873" s="25">
        <v>0.0</v>
      </c>
      <c r="G2873" s="27"/>
    </row>
    <row r="2874">
      <c r="A2874" s="21"/>
      <c r="B2874" s="21" t="s">
        <v>9067</v>
      </c>
      <c r="D2874" s="25">
        <v>0.0</v>
      </c>
      <c r="E2874" s="27"/>
      <c r="F2874" s="25">
        <v>0.0</v>
      </c>
      <c r="G2874" s="27"/>
    </row>
    <row r="2875">
      <c r="A2875" s="21"/>
      <c r="B2875" s="21" t="s">
        <v>9068</v>
      </c>
      <c r="D2875" s="25">
        <v>0.0</v>
      </c>
      <c r="E2875" s="27"/>
      <c r="F2875" s="25">
        <v>0.0</v>
      </c>
      <c r="G2875" s="27"/>
    </row>
    <row r="2876">
      <c r="A2876" s="21"/>
      <c r="B2876" s="21" t="s">
        <v>9069</v>
      </c>
      <c r="D2876" s="25">
        <v>0.0</v>
      </c>
      <c r="E2876" s="27"/>
      <c r="F2876" s="25">
        <v>0.0</v>
      </c>
      <c r="G2876" s="27"/>
    </row>
    <row r="2877">
      <c r="A2877" s="21"/>
      <c r="B2877" s="21" t="s">
        <v>9070</v>
      </c>
      <c r="D2877" s="25">
        <v>0.0</v>
      </c>
      <c r="E2877" s="27"/>
      <c r="F2877" s="25">
        <v>0.0</v>
      </c>
      <c r="G2877" s="27"/>
    </row>
    <row r="2878">
      <c r="A2878" s="21"/>
      <c r="B2878" s="21" t="s">
        <v>9071</v>
      </c>
      <c r="D2878" s="25">
        <v>0.0</v>
      </c>
      <c r="E2878" s="27"/>
      <c r="F2878" s="25">
        <v>0.0</v>
      </c>
      <c r="G2878" s="27"/>
    </row>
    <row r="2879">
      <c r="A2879" s="21"/>
      <c r="B2879" s="21" t="s">
        <v>9072</v>
      </c>
      <c r="D2879" s="25">
        <v>0.0</v>
      </c>
      <c r="E2879" s="27"/>
      <c r="F2879" s="25">
        <v>0.0</v>
      </c>
      <c r="G2879" s="27"/>
    </row>
    <row r="2880">
      <c r="A2880" s="21"/>
      <c r="B2880" s="21" t="s">
        <v>9073</v>
      </c>
      <c r="D2880" s="25">
        <v>0.0</v>
      </c>
      <c r="E2880" s="27"/>
      <c r="F2880" s="25">
        <v>0.0</v>
      </c>
      <c r="G2880" s="27"/>
    </row>
    <row r="2881">
      <c r="A2881" s="21"/>
      <c r="B2881" s="21" t="s">
        <v>9074</v>
      </c>
      <c r="D2881" s="25">
        <v>0.0</v>
      </c>
      <c r="E2881" s="27"/>
      <c r="F2881" s="25">
        <v>0.0</v>
      </c>
      <c r="G2881" s="27"/>
    </row>
    <row r="2882">
      <c r="A2882" s="21"/>
      <c r="B2882" s="21" t="s">
        <v>9075</v>
      </c>
      <c r="D2882" s="25">
        <v>0.0</v>
      </c>
      <c r="E2882" s="27"/>
      <c r="F2882" s="25">
        <v>0.0</v>
      </c>
      <c r="G2882" s="27"/>
    </row>
    <row r="2883">
      <c r="A2883" s="21"/>
      <c r="B2883" s="21" t="s">
        <v>9076</v>
      </c>
      <c r="D2883" s="25">
        <v>0.0</v>
      </c>
      <c r="E2883" s="27"/>
      <c r="F2883" s="25">
        <v>0.0</v>
      </c>
      <c r="G2883" s="27"/>
    </row>
    <row r="2884">
      <c r="A2884" s="21"/>
      <c r="B2884" s="21" t="s">
        <v>2907</v>
      </c>
      <c r="D2884" s="25">
        <v>0.0</v>
      </c>
      <c r="E2884" s="27"/>
      <c r="F2884" s="25">
        <v>0.0</v>
      </c>
      <c r="G2884" s="27"/>
    </row>
    <row r="2885">
      <c r="A2885" s="21"/>
      <c r="B2885" s="21" t="s">
        <v>9077</v>
      </c>
      <c r="D2885" s="25">
        <v>0.0</v>
      </c>
      <c r="E2885" s="27"/>
      <c r="F2885" s="25">
        <v>0.0</v>
      </c>
      <c r="G2885" s="27"/>
    </row>
    <row r="2886">
      <c r="A2886" s="21"/>
      <c r="B2886" s="21" t="s">
        <v>9078</v>
      </c>
      <c r="D2886" s="25">
        <v>0.0</v>
      </c>
      <c r="E2886" s="27"/>
      <c r="F2886" s="25">
        <v>0.0</v>
      </c>
      <c r="G2886" s="27"/>
    </row>
    <row r="2887">
      <c r="A2887" s="21"/>
      <c r="B2887" s="21" t="s">
        <v>9079</v>
      </c>
      <c r="D2887" s="25">
        <v>0.0</v>
      </c>
      <c r="E2887" s="27"/>
      <c r="F2887" s="25">
        <v>0.0</v>
      </c>
      <c r="G2887" s="27"/>
    </row>
    <row r="2888">
      <c r="A2888" s="21"/>
      <c r="B2888" s="21" t="s">
        <v>9080</v>
      </c>
      <c r="D2888" s="25">
        <v>0.0</v>
      </c>
      <c r="E2888" s="27"/>
      <c r="F2888" s="25">
        <v>0.0</v>
      </c>
      <c r="G2888" s="27"/>
    </row>
    <row r="2889">
      <c r="A2889" s="21"/>
      <c r="B2889" s="21" t="s">
        <v>9081</v>
      </c>
      <c r="D2889" s="25">
        <v>0.0</v>
      </c>
      <c r="E2889" s="27"/>
      <c r="F2889" s="25">
        <v>0.0</v>
      </c>
      <c r="G2889" s="27"/>
    </row>
    <row r="2890">
      <c r="A2890" s="21"/>
      <c r="B2890" s="21" t="s">
        <v>9082</v>
      </c>
      <c r="D2890" s="25">
        <v>0.0</v>
      </c>
      <c r="E2890" s="27"/>
      <c r="F2890" s="25">
        <v>0.0</v>
      </c>
      <c r="G2890" s="27"/>
    </row>
    <row r="2891">
      <c r="A2891" s="21"/>
      <c r="B2891" s="21" t="s">
        <v>9083</v>
      </c>
      <c r="D2891" s="25">
        <v>0.0</v>
      </c>
      <c r="E2891" s="27"/>
      <c r="F2891" s="25">
        <v>0.0</v>
      </c>
      <c r="G2891" s="27"/>
    </row>
    <row r="2892">
      <c r="A2892" s="21"/>
      <c r="B2892" s="21" t="s">
        <v>9084</v>
      </c>
      <c r="D2892" s="25">
        <v>0.0</v>
      </c>
      <c r="E2892" s="27"/>
      <c r="F2892" s="25">
        <v>0.0</v>
      </c>
      <c r="G2892" s="27"/>
    </row>
    <row r="2893">
      <c r="A2893" s="21"/>
      <c r="B2893" s="21" t="s">
        <v>9085</v>
      </c>
      <c r="D2893" s="25">
        <v>0.0</v>
      </c>
      <c r="E2893" s="27"/>
      <c r="F2893" s="25">
        <v>0.0</v>
      </c>
      <c r="G2893" s="27"/>
    </row>
    <row r="2894">
      <c r="A2894" s="21"/>
      <c r="B2894" s="21" t="s">
        <v>9086</v>
      </c>
      <c r="D2894" s="25">
        <v>0.0</v>
      </c>
      <c r="E2894" s="27"/>
      <c r="F2894" s="25">
        <v>0.0</v>
      </c>
      <c r="G2894" s="27"/>
    </row>
    <row r="2895">
      <c r="A2895" s="21"/>
      <c r="B2895" s="21" t="s">
        <v>9087</v>
      </c>
      <c r="D2895" s="25">
        <v>0.0</v>
      </c>
      <c r="E2895" s="27"/>
      <c r="F2895" s="25">
        <v>0.0</v>
      </c>
      <c r="G2895" s="27"/>
    </row>
    <row r="2896">
      <c r="A2896" s="21"/>
      <c r="B2896" s="21" t="s">
        <v>9088</v>
      </c>
      <c r="D2896" s="25">
        <v>0.0</v>
      </c>
      <c r="E2896" s="27"/>
      <c r="F2896" s="25">
        <v>0.0</v>
      </c>
      <c r="G2896" s="27"/>
    </row>
    <row r="2897">
      <c r="A2897" s="21"/>
      <c r="B2897" s="21" t="s">
        <v>9089</v>
      </c>
      <c r="D2897" s="25">
        <v>0.0</v>
      </c>
      <c r="E2897" s="27"/>
      <c r="F2897" s="25">
        <v>0.0</v>
      </c>
      <c r="G2897" s="27"/>
    </row>
    <row r="2898">
      <c r="A2898" s="21"/>
      <c r="B2898" s="21" t="s">
        <v>9090</v>
      </c>
      <c r="D2898" s="25">
        <v>0.0</v>
      </c>
      <c r="E2898" s="27"/>
      <c r="F2898" s="25">
        <v>0.0</v>
      </c>
      <c r="G2898" s="27"/>
    </row>
    <row r="2899">
      <c r="A2899" s="21"/>
      <c r="B2899" s="21" t="s">
        <v>9091</v>
      </c>
      <c r="D2899" s="25">
        <v>0.0</v>
      </c>
      <c r="E2899" s="27"/>
      <c r="F2899" s="25">
        <v>0.0</v>
      </c>
      <c r="G2899" s="27"/>
    </row>
    <row r="2900">
      <c r="A2900" s="21"/>
      <c r="B2900" s="21" t="s">
        <v>9092</v>
      </c>
      <c r="D2900" s="25">
        <v>0.0</v>
      </c>
      <c r="E2900" s="27"/>
      <c r="F2900" s="25">
        <v>0.0</v>
      </c>
      <c r="G2900" s="27"/>
    </row>
    <row r="2901">
      <c r="A2901" s="21"/>
      <c r="B2901" s="21" t="s">
        <v>9093</v>
      </c>
      <c r="D2901" s="25">
        <v>0.0</v>
      </c>
      <c r="E2901" s="27"/>
      <c r="F2901" s="25">
        <v>0.0</v>
      </c>
      <c r="G2901" s="27"/>
    </row>
    <row r="2902">
      <c r="A2902" s="21"/>
      <c r="B2902" s="21" t="s">
        <v>9094</v>
      </c>
      <c r="D2902" s="25">
        <v>0.0</v>
      </c>
      <c r="E2902" s="27"/>
      <c r="F2902" s="25">
        <v>0.0</v>
      </c>
      <c r="G2902" s="27"/>
    </row>
    <row r="2903">
      <c r="A2903" s="21"/>
      <c r="B2903" s="21" t="s">
        <v>9095</v>
      </c>
      <c r="D2903" s="25">
        <v>0.0</v>
      </c>
      <c r="E2903" s="27"/>
      <c r="F2903" s="25">
        <v>0.0</v>
      </c>
      <c r="G2903" s="27"/>
    </row>
    <row r="2904">
      <c r="A2904" s="21"/>
      <c r="B2904" s="21" t="s">
        <v>9096</v>
      </c>
      <c r="D2904" s="25">
        <v>0.0</v>
      </c>
      <c r="E2904" s="27"/>
      <c r="F2904" s="25">
        <v>0.0</v>
      </c>
      <c r="G2904" s="27"/>
    </row>
    <row r="2905">
      <c r="A2905" s="21"/>
      <c r="B2905" s="21" t="s">
        <v>9097</v>
      </c>
      <c r="D2905" s="25">
        <v>0.0</v>
      </c>
      <c r="E2905" s="27"/>
      <c r="F2905" s="25">
        <v>0.0</v>
      </c>
      <c r="G2905" s="27"/>
    </row>
    <row r="2906">
      <c r="A2906" s="21"/>
      <c r="B2906" s="21" t="s">
        <v>9098</v>
      </c>
      <c r="D2906" s="25">
        <v>0.0</v>
      </c>
      <c r="E2906" s="27"/>
      <c r="F2906" s="25">
        <v>0.0</v>
      </c>
      <c r="G2906" s="27"/>
    </row>
    <row r="2907">
      <c r="A2907" s="21"/>
      <c r="B2907" s="21" t="s">
        <v>9099</v>
      </c>
      <c r="D2907" s="25">
        <v>0.0</v>
      </c>
      <c r="E2907" s="27"/>
      <c r="F2907" s="25">
        <v>0.0</v>
      </c>
      <c r="G2907" s="27"/>
    </row>
    <row r="2908">
      <c r="A2908" s="21"/>
      <c r="B2908" s="21" t="s">
        <v>9100</v>
      </c>
      <c r="D2908" s="25">
        <v>0.0</v>
      </c>
      <c r="E2908" s="27"/>
      <c r="F2908" s="25">
        <v>0.0</v>
      </c>
      <c r="G2908" s="27"/>
    </row>
    <row r="2909">
      <c r="A2909" s="21"/>
      <c r="B2909" s="21" t="s">
        <v>9101</v>
      </c>
      <c r="D2909" s="25">
        <v>0.0</v>
      </c>
      <c r="E2909" s="27"/>
      <c r="F2909" s="25">
        <v>0.0</v>
      </c>
      <c r="G2909" s="27"/>
    </row>
    <row r="2910">
      <c r="A2910" s="21"/>
      <c r="B2910" s="21" t="s">
        <v>9102</v>
      </c>
      <c r="D2910" s="25">
        <v>0.0</v>
      </c>
      <c r="E2910" s="27"/>
      <c r="F2910" s="25">
        <v>0.0</v>
      </c>
      <c r="G2910" s="27"/>
    </row>
    <row r="2911">
      <c r="A2911" s="21"/>
      <c r="B2911" s="21" t="s">
        <v>9103</v>
      </c>
      <c r="D2911" s="25">
        <v>0.0</v>
      </c>
      <c r="E2911" s="27"/>
      <c r="F2911" s="25">
        <v>0.0</v>
      </c>
      <c r="G2911" s="27"/>
    </row>
    <row r="2912">
      <c r="A2912" s="21"/>
      <c r="B2912" s="21" t="s">
        <v>9104</v>
      </c>
      <c r="D2912" s="25">
        <v>0.0</v>
      </c>
      <c r="E2912" s="27"/>
      <c r="F2912" s="25">
        <v>0.0</v>
      </c>
      <c r="G2912" s="27"/>
    </row>
    <row r="2913">
      <c r="A2913" s="21"/>
      <c r="B2913" s="21" t="s">
        <v>9105</v>
      </c>
      <c r="D2913" s="25">
        <v>0.0</v>
      </c>
      <c r="E2913" s="27"/>
      <c r="F2913" s="25">
        <v>0.0</v>
      </c>
      <c r="G2913" s="27"/>
    </row>
    <row r="2914">
      <c r="A2914" s="21"/>
      <c r="B2914" s="21" t="s">
        <v>9106</v>
      </c>
      <c r="D2914" s="25">
        <v>0.0</v>
      </c>
      <c r="E2914" s="27"/>
      <c r="F2914" s="25">
        <v>0.0</v>
      </c>
      <c r="G2914" s="27"/>
    </row>
    <row r="2915">
      <c r="A2915" s="21"/>
      <c r="B2915" s="21" t="s">
        <v>9107</v>
      </c>
      <c r="D2915" s="25">
        <v>0.0</v>
      </c>
      <c r="E2915" s="27"/>
      <c r="F2915" s="25">
        <v>0.0</v>
      </c>
      <c r="G2915" s="27"/>
    </row>
    <row r="2916">
      <c r="A2916" s="21"/>
      <c r="B2916" s="21" t="s">
        <v>9108</v>
      </c>
      <c r="D2916" s="25">
        <v>0.0</v>
      </c>
      <c r="E2916" s="27"/>
      <c r="F2916" s="25">
        <v>0.0</v>
      </c>
      <c r="G2916" s="27"/>
    </row>
    <row r="2917">
      <c r="A2917" s="21"/>
      <c r="B2917" s="21" t="s">
        <v>9109</v>
      </c>
      <c r="D2917" s="25">
        <v>0.0</v>
      </c>
      <c r="E2917" s="27"/>
      <c r="F2917" s="25">
        <v>0.0</v>
      </c>
      <c r="G2917" s="27"/>
    </row>
    <row r="2918">
      <c r="A2918" s="21"/>
      <c r="B2918" s="21" t="s">
        <v>9110</v>
      </c>
      <c r="D2918" s="25">
        <v>0.0</v>
      </c>
      <c r="E2918" s="27"/>
      <c r="F2918" s="25">
        <v>0.0</v>
      </c>
      <c r="G2918" s="27"/>
    </row>
    <row r="2919">
      <c r="A2919" s="21"/>
      <c r="B2919" s="21" t="s">
        <v>9111</v>
      </c>
      <c r="D2919" s="25">
        <v>0.0</v>
      </c>
      <c r="E2919" s="27"/>
      <c r="F2919" s="25">
        <v>0.0</v>
      </c>
      <c r="G2919" s="27"/>
    </row>
    <row r="2920">
      <c r="A2920" s="21"/>
      <c r="B2920" s="21" t="s">
        <v>9112</v>
      </c>
      <c r="D2920" s="25">
        <v>0.0</v>
      </c>
      <c r="E2920" s="27"/>
      <c r="F2920" s="25">
        <v>0.0</v>
      </c>
      <c r="G2920" s="27"/>
    </row>
    <row r="2921">
      <c r="A2921" s="21"/>
      <c r="B2921" s="21" t="s">
        <v>9113</v>
      </c>
      <c r="D2921" s="25">
        <v>0.0</v>
      </c>
      <c r="E2921" s="27"/>
      <c r="F2921" s="25">
        <v>0.0</v>
      </c>
      <c r="G2921" s="27"/>
    </row>
    <row r="2922">
      <c r="A2922" s="21"/>
      <c r="B2922" s="21" t="s">
        <v>9114</v>
      </c>
      <c r="D2922" s="25">
        <v>0.0</v>
      </c>
      <c r="E2922" s="27"/>
      <c r="F2922" s="25">
        <v>0.0</v>
      </c>
      <c r="G2922" s="27"/>
    </row>
    <row r="2923">
      <c r="A2923" s="21"/>
      <c r="B2923" s="21" t="s">
        <v>9115</v>
      </c>
      <c r="D2923" s="25">
        <v>0.0</v>
      </c>
      <c r="E2923" s="27"/>
      <c r="F2923" s="25">
        <v>0.0</v>
      </c>
      <c r="G2923" s="27"/>
    </row>
    <row r="2924">
      <c r="A2924" s="21"/>
      <c r="B2924" s="21" t="s">
        <v>9116</v>
      </c>
      <c r="D2924" s="25">
        <v>0.0</v>
      </c>
      <c r="E2924" s="27"/>
      <c r="F2924" s="25">
        <v>0.0</v>
      </c>
      <c r="G2924" s="27"/>
    </row>
    <row r="2925">
      <c r="A2925" s="21"/>
      <c r="B2925" s="21" t="s">
        <v>9117</v>
      </c>
      <c r="D2925" s="25">
        <v>0.0</v>
      </c>
      <c r="E2925" s="27"/>
      <c r="F2925" s="25">
        <v>5.12</v>
      </c>
      <c r="G2925" s="27"/>
    </row>
    <row r="2926">
      <c r="A2926" s="21"/>
      <c r="B2926" s="21" t="s">
        <v>9118</v>
      </c>
      <c r="D2926" s="25">
        <v>0.0</v>
      </c>
      <c r="E2926" s="27"/>
      <c r="F2926" s="25">
        <v>0.0</v>
      </c>
      <c r="G2926" s="27"/>
    </row>
    <row r="2927">
      <c r="A2927" s="21"/>
      <c r="B2927" s="21" t="s">
        <v>9119</v>
      </c>
      <c r="D2927" s="25">
        <v>0.0</v>
      </c>
      <c r="E2927" s="27"/>
      <c r="F2927" s="25">
        <v>0.0</v>
      </c>
      <c r="G2927" s="27"/>
    </row>
    <row r="2928">
      <c r="A2928" s="21"/>
      <c r="B2928" s="21" t="s">
        <v>9120</v>
      </c>
      <c r="D2928" s="25">
        <v>0.0</v>
      </c>
      <c r="E2928" s="27"/>
      <c r="F2928" s="25">
        <v>0.0</v>
      </c>
      <c r="G2928" s="27"/>
    </row>
    <row r="2929">
      <c r="A2929" s="21"/>
      <c r="B2929" s="21" t="s">
        <v>9121</v>
      </c>
      <c r="D2929" s="25">
        <v>0.0</v>
      </c>
      <c r="E2929" s="27"/>
      <c r="F2929" s="25">
        <v>0.0</v>
      </c>
      <c r="G2929" s="27"/>
    </row>
    <row r="2930">
      <c r="A2930" s="21"/>
      <c r="B2930" s="21" t="s">
        <v>9122</v>
      </c>
      <c r="D2930" s="25">
        <v>0.0</v>
      </c>
      <c r="E2930" s="27"/>
      <c r="F2930" s="25">
        <v>0.0</v>
      </c>
      <c r="G2930" s="27"/>
    </row>
    <row r="2931">
      <c r="A2931" s="21"/>
      <c r="B2931" s="21" t="s">
        <v>9123</v>
      </c>
      <c r="D2931" s="25">
        <v>0.0</v>
      </c>
      <c r="E2931" s="27"/>
      <c r="F2931" s="25">
        <v>0.0</v>
      </c>
      <c r="G2931" s="27"/>
    </row>
    <row r="2932">
      <c r="A2932" s="21"/>
      <c r="B2932" s="21" t="s">
        <v>9124</v>
      </c>
      <c r="D2932" s="25">
        <v>0.0</v>
      </c>
      <c r="E2932" s="27"/>
      <c r="F2932" s="25">
        <v>0.0</v>
      </c>
      <c r="G2932" s="27"/>
    </row>
    <row r="2933">
      <c r="A2933" s="21"/>
      <c r="B2933" s="21" t="s">
        <v>9125</v>
      </c>
      <c r="D2933" s="25">
        <v>0.0</v>
      </c>
      <c r="E2933" s="27"/>
      <c r="F2933" s="25">
        <v>0.0</v>
      </c>
      <c r="G2933" s="27"/>
    </row>
    <row r="2934">
      <c r="A2934" s="21"/>
      <c r="B2934" s="21" t="s">
        <v>9126</v>
      </c>
      <c r="D2934" s="25">
        <v>0.0</v>
      </c>
      <c r="E2934" s="27"/>
      <c r="F2934" s="25">
        <v>0.0</v>
      </c>
      <c r="G2934" s="27"/>
    </row>
    <row r="2935">
      <c r="A2935" s="21"/>
      <c r="B2935" s="21" t="s">
        <v>9127</v>
      </c>
      <c r="D2935" s="25">
        <v>0.0</v>
      </c>
      <c r="E2935" s="27"/>
      <c r="F2935" s="25">
        <v>0.0</v>
      </c>
      <c r="G2935" s="27"/>
    </row>
    <row r="2936">
      <c r="A2936" s="21"/>
      <c r="B2936" s="21" t="s">
        <v>9128</v>
      </c>
      <c r="D2936" s="25">
        <v>0.0</v>
      </c>
      <c r="E2936" s="27"/>
      <c r="F2936" s="25">
        <v>0.0</v>
      </c>
      <c r="G2936" s="27"/>
    </row>
    <row r="2937">
      <c r="A2937" s="21"/>
      <c r="B2937" s="21" t="s">
        <v>9129</v>
      </c>
      <c r="D2937" s="25">
        <v>0.0</v>
      </c>
      <c r="E2937" s="27"/>
      <c r="F2937" s="25">
        <v>0.0</v>
      </c>
      <c r="G2937" s="27"/>
    </row>
    <row r="2938">
      <c r="A2938" s="21"/>
      <c r="B2938" s="21" t="s">
        <v>9130</v>
      </c>
      <c r="D2938" s="25">
        <v>0.0</v>
      </c>
      <c r="E2938" s="27"/>
      <c r="F2938" s="25">
        <v>0.0</v>
      </c>
      <c r="G2938" s="27"/>
    </row>
    <row r="2939">
      <c r="A2939" s="21"/>
      <c r="B2939" s="21" t="s">
        <v>9131</v>
      </c>
      <c r="D2939" s="25">
        <v>0.0</v>
      </c>
      <c r="E2939" s="27"/>
      <c r="F2939" s="25">
        <v>0.0</v>
      </c>
      <c r="G2939" s="27"/>
    </row>
    <row r="2940">
      <c r="A2940" s="21"/>
      <c r="B2940" s="21" t="s">
        <v>9132</v>
      </c>
      <c r="D2940" s="25">
        <v>0.0</v>
      </c>
      <c r="E2940" s="27"/>
      <c r="F2940" s="25">
        <v>0.0</v>
      </c>
      <c r="G2940" s="27"/>
    </row>
    <row r="2941">
      <c r="A2941" s="21"/>
      <c r="B2941" s="21" t="s">
        <v>9133</v>
      </c>
      <c r="D2941" s="25">
        <v>0.0</v>
      </c>
      <c r="E2941" s="27"/>
      <c r="F2941" s="25">
        <v>0.0</v>
      </c>
      <c r="G2941" s="27"/>
    </row>
    <row r="2942">
      <c r="A2942" s="21"/>
      <c r="B2942" s="21" t="s">
        <v>9134</v>
      </c>
      <c r="D2942" s="25">
        <v>0.0</v>
      </c>
      <c r="E2942" s="27"/>
      <c r="F2942" s="25">
        <v>0.0</v>
      </c>
      <c r="G2942" s="27"/>
    </row>
    <row r="2943">
      <c r="A2943" s="21"/>
      <c r="B2943" s="21" t="s">
        <v>9135</v>
      </c>
      <c r="D2943" s="25">
        <v>0.0</v>
      </c>
      <c r="E2943" s="27"/>
      <c r="F2943" s="25">
        <v>0.0</v>
      </c>
      <c r="G2943" s="27"/>
    </row>
    <row r="2944">
      <c r="A2944" s="21"/>
      <c r="B2944" s="21" t="s">
        <v>9136</v>
      </c>
      <c r="D2944" s="25">
        <v>0.0</v>
      </c>
      <c r="E2944" s="27"/>
      <c r="F2944" s="25">
        <v>0.31</v>
      </c>
      <c r="G2944" s="27"/>
    </row>
    <row r="2945">
      <c r="A2945" s="21"/>
      <c r="B2945" s="21" t="s">
        <v>9137</v>
      </c>
      <c r="D2945" s="25">
        <v>0.0</v>
      </c>
      <c r="E2945" s="27"/>
      <c r="F2945" s="25">
        <v>0.0</v>
      </c>
      <c r="G2945" s="27"/>
    </row>
    <row r="2946">
      <c r="A2946" s="21"/>
      <c r="B2946" s="21" t="s">
        <v>9138</v>
      </c>
      <c r="D2946" s="25">
        <v>0.0</v>
      </c>
      <c r="E2946" s="27"/>
      <c r="F2946" s="25">
        <v>0.0</v>
      </c>
      <c r="G2946" s="27"/>
    </row>
    <row r="2947">
      <c r="A2947" s="21"/>
      <c r="B2947" s="21" t="s">
        <v>9139</v>
      </c>
      <c r="D2947" s="25">
        <v>0.0</v>
      </c>
      <c r="E2947" s="27"/>
      <c r="F2947" s="25">
        <v>0.0</v>
      </c>
      <c r="G2947" s="27"/>
    </row>
    <row r="2948">
      <c r="A2948" s="21"/>
      <c r="B2948" s="21" t="s">
        <v>2996</v>
      </c>
      <c r="D2948" s="25">
        <v>0.0</v>
      </c>
      <c r="E2948" s="27"/>
      <c r="F2948" s="25">
        <v>0.0</v>
      </c>
      <c r="G2948" s="27"/>
    </row>
    <row r="2949">
      <c r="A2949" s="21"/>
      <c r="B2949" s="21" t="s">
        <v>3361</v>
      </c>
      <c r="D2949" s="25">
        <v>0.0</v>
      </c>
      <c r="E2949" s="27"/>
      <c r="F2949" s="25">
        <v>0.0</v>
      </c>
      <c r="G2949" s="27"/>
    </row>
    <row r="2950">
      <c r="A2950" s="21"/>
      <c r="B2950" s="21" t="s">
        <v>3362</v>
      </c>
      <c r="D2950" s="25">
        <v>0.0</v>
      </c>
      <c r="E2950" s="27"/>
      <c r="F2950" s="25">
        <v>0.0</v>
      </c>
      <c r="G2950" s="27"/>
    </row>
    <row r="2951">
      <c r="A2951" s="21"/>
      <c r="B2951" s="21" t="s">
        <v>4014</v>
      </c>
      <c r="D2951" s="25">
        <v>0.0</v>
      </c>
      <c r="E2951" s="27"/>
      <c r="F2951" s="25">
        <v>0.0</v>
      </c>
      <c r="G2951" s="27"/>
    </row>
    <row r="2952">
      <c r="A2952" s="21"/>
      <c r="B2952" s="21" t="s">
        <v>4296</v>
      </c>
      <c r="D2952" s="25">
        <v>0.0</v>
      </c>
      <c r="E2952" s="27"/>
      <c r="F2952" s="25">
        <v>0.0</v>
      </c>
      <c r="G2952" s="27"/>
    </row>
    <row r="2953">
      <c r="A2953" s="21"/>
      <c r="B2953" s="21" t="s">
        <v>4297</v>
      </c>
      <c r="D2953" s="25">
        <v>0.0</v>
      </c>
      <c r="E2953" s="27"/>
      <c r="F2953" s="25">
        <v>0.0</v>
      </c>
      <c r="G2953" s="27"/>
    </row>
    <row r="2954">
      <c r="A2954" s="21"/>
      <c r="B2954" s="21" t="s">
        <v>4582</v>
      </c>
      <c r="D2954" s="25">
        <v>0.0</v>
      </c>
      <c r="E2954" s="27"/>
      <c r="F2954" s="25">
        <v>0.0</v>
      </c>
      <c r="G2954" s="27"/>
    </row>
    <row r="2955">
      <c r="A2955" s="21"/>
      <c r="B2955" s="21" t="s">
        <v>9140</v>
      </c>
      <c r="D2955" s="25">
        <v>0.0</v>
      </c>
      <c r="E2955" s="27"/>
      <c r="F2955" s="25">
        <v>0.0</v>
      </c>
      <c r="G2955" s="27"/>
    </row>
    <row r="2956">
      <c r="A2956" s="21"/>
      <c r="B2956" s="21" t="s">
        <v>9141</v>
      </c>
      <c r="D2956" s="25">
        <v>0.0</v>
      </c>
      <c r="E2956" s="27"/>
      <c r="F2956" s="25">
        <v>0.0</v>
      </c>
      <c r="G2956" s="27"/>
    </row>
    <row r="2957">
      <c r="A2957" s="21"/>
      <c r="B2957" s="21" t="s">
        <v>9142</v>
      </c>
      <c r="D2957" s="25">
        <v>0.0</v>
      </c>
      <c r="E2957" s="27"/>
      <c r="F2957" s="25">
        <v>0.0</v>
      </c>
      <c r="G2957" s="27"/>
    </row>
    <row r="2958">
      <c r="A2958" s="21"/>
      <c r="B2958" s="21" t="s">
        <v>9143</v>
      </c>
      <c r="D2958" s="25">
        <v>0.0</v>
      </c>
      <c r="E2958" s="27"/>
      <c r="F2958" s="25">
        <v>0.0</v>
      </c>
      <c r="G2958" s="27"/>
    </row>
    <row r="2959">
      <c r="A2959" s="21"/>
      <c r="B2959" s="21" t="s">
        <v>9144</v>
      </c>
      <c r="D2959" s="25">
        <v>0.0</v>
      </c>
      <c r="E2959" s="27"/>
      <c r="F2959" s="25">
        <v>0.0</v>
      </c>
      <c r="G2959" s="27"/>
    </row>
    <row r="2960">
      <c r="A2960" s="21"/>
      <c r="B2960" s="21" t="s">
        <v>9145</v>
      </c>
      <c r="D2960" s="25">
        <v>0.0</v>
      </c>
      <c r="E2960" s="27"/>
      <c r="F2960" s="25">
        <v>0.0</v>
      </c>
      <c r="G2960" s="27"/>
    </row>
    <row r="2961">
      <c r="A2961" s="21"/>
      <c r="B2961" s="21" t="s">
        <v>9146</v>
      </c>
      <c r="D2961" s="25">
        <v>0.0</v>
      </c>
      <c r="E2961" s="27"/>
      <c r="F2961" s="25">
        <v>0.0</v>
      </c>
      <c r="G2961" s="27"/>
    </row>
    <row r="2962">
      <c r="A2962" s="21"/>
      <c r="B2962" s="21" t="s">
        <v>9147</v>
      </c>
      <c r="D2962" s="25">
        <v>0.0</v>
      </c>
      <c r="E2962" s="27"/>
      <c r="F2962" s="25">
        <v>0.0</v>
      </c>
      <c r="G2962" s="27"/>
    </row>
    <row r="2963">
      <c r="A2963" s="21"/>
      <c r="B2963" s="21" t="s">
        <v>9148</v>
      </c>
      <c r="D2963" s="25">
        <v>0.0</v>
      </c>
      <c r="E2963" s="27"/>
      <c r="F2963" s="25">
        <v>0.0</v>
      </c>
      <c r="G2963" s="27"/>
    </row>
    <row r="2964">
      <c r="A2964" s="21"/>
      <c r="B2964" s="21" t="s">
        <v>9149</v>
      </c>
      <c r="D2964" s="25">
        <v>0.0</v>
      </c>
      <c r="E2964" s="27"/>
      <c r="F2964" s="25">
        <v>0.0</v>
      </c>
      <c r="G2964" s="27"/>
    </row>
    <row r="2965">
      <c r="A2965" s="21"/>
      <c r="B2965" s="21" t="s">
        <v>9150</v>
      </c>
      <c r="D2965" s="25">
        <v>0.0</v>
      </c>
      <c r="E2965" s="27"/>
      <c r="F2965" s="25">
        <v>0.0</v>
      </c>
      <c r="G2965" s="27"/>
    </row>
    <row r="2966">
      <c r="A2966" s="21"/>
      <c r="B2966" s="21" t="s">
        <v>9151</v>
      </c>
      <c r="D2966" s="25">
        <v>0.0</v>
      </c>
      <c r="E2966" s="27"/>
      <c r="F2966" s="25">
        <v>0.0</v>
      </c>
      <c r="G2966" s="27"/>
    </row>
    <row r="2967">
      <c r="A2967" s="21"/>
      <c r="B2967" s="21" t="s">
        <v>9152</v>
      </c>
      <c r="D2967" s="25">
        <v>0.0</v>
      </c>
      <c r="E2967" s="27"/>
      <c r="F2967" s="25">
        <v>0.0</v>
      </c>
      <c r="G2967" s="27"/>
    </row>
    <row r="2968">
      <c r="A2968" s="21"/>
      <c r="B2968" s="21" t="s">
        <v>9153</v>
      </c>
      <c r="D2968" s="25">
        <v>0.0</v>
      </c>
      <c r="E2968" s="27"/>
      <c r="F2968" s="25">
        <v>0.0</v>
      </c>
      <c r="G2968" s="27"/>
    </row>
    <row r="2969">
      <c r="A2969" s="21"/>
      <c r="B2969" s="21" t="s">
        <v>9154</v>
      </c>
      <c r="D2969" s="25">
        <v>0.0</v>
      </c>
      <c r="E2969" s="27"/>
      <c r="F2969" s="25">
        <v>0.0</v>
      </c>
      <c r="G2969" s="27"/>
    </row>
    <row r="2970">
      <c r="A2970" s="21"/>
      <c r="B2970" s="21" t="s">
        <v>9155</v>
      </c>
      <c r="D2970" s="25">
        <v>0.0</v>
      </c>
      <c r="E2970" s="27"/>
      <c r="F2970" s="25">
        <v>0.0</v>
      </c>
      <c r="G2970" s="27"/>
    </row>
    <row r="2971">
      <c r="A2971" s="21"/>
      <c r="B2971" s="21" t="s">
        <v>9156</v>
      </c>
      <c r="D2971" s="25">
        <v>0.0</v>
      </c>
      <c r="E2971" s="27"/>
      <c r="F2971" s="25">
        <v>0.0</v>
      </c>
      <c r="G2971" s="27"/>
    </row>
    <row r="2972">
      <c r="A2972" s="21"/>
      <c r="B2972" s="21" t="s">
        <v>9157</v>
      </c>
      <c r="D2972" s="25">
        <v>0.0</v>
      </c>
      <c r="E2972" s="27"/>
      <c r="F2972" s="25">
        <v>0.0</v>
      </c>
      <c r="G2972" s="27"/>
    </row>
    <row r="2973">
      <c r="A2973" s="21"/>
      <c r="B2973" s="21" t="s">
        <v>9158</v>
      </c>
      <c r="D2973" s="25">
        <v>0.0</v>
      </c>
      <c r="E2973" s="27"/>
      <c r="F2973" s="25">
        <v>0.0</v>
      </c>
      <c r="G2973" s="27"/>
    </row>
    <row r="2974">
      <c r="A2974" s="21"/>
      <c r="B2974" s="21" t="s">
        <v>4664</v>
      </c>
      <c r="D2974" s="25">
        <v>0.0</v>
      </c>
      <c r="E2974" s="27"/>
      <c r="F2974" s="25">
        <v>0.0</v>
      </c>
      <c r="G2974" s="27"/>
    </row>
    <row r="2975">
      <c r="A2975" s="21"/>
      <c r="B2975" s="21" t="s">
        <v>4665</v>
      </c>
      <c r="D2975" s="25">
        <v>0.0</v>
      </c>
      <c r="E2975" s="27"/>
      <c r="F2975" s="25">
        <v>0.0</v>
      </c>
      <c r="G2975" s="27"/>
    </row>
    <row r="2976">
      <c r="A2976" s="21"/>
      <c r="B2976" s="21" t="s">
        <v>9159</v>
      </c>
      <c r="D2976" s="25">
        <v>0.0</v>
      </c>
      <c r="E2976" s="27"/>
      <c r="F2976" s="25">
        <v>0.0</v>
      </c>
      <c r="G2976" s="27"/>
    </row>
    <row r="2977">
      <c r="A2977" s="21"/>
      <c r="B2977" s="21" t="s">
        <v>9160</v>
      </c>
      <c r="D2977" s="25">
        <v>0.0</v>
      </c>
      <c r="E2977" s="27"/>
      <c r="F2977" s="25">
        <v>0.0</v>
      </c>
      <c r="G2977" s="27"/>
    </row>
    <row r="2978">
      <c r="A2978" s="21"/>
      <c r="B2978" s="21" t="s">
        <v>9161</v>
      </c>
      <c r="D2978" s="25">
        <v>0.0</v>
      </c>
      <c r="E2978" s="27"/>
      <c r="F2978" s="25">
        <v>0.0</v>
      </c>
      <c r="G2978" s="27"/>
    </row>
    <row r="2979">
      <c r="A2979" s="21"/>
      <c r="B2979" s="21" t="s">
        <v>9162</v>
      </c>
      <c r="D2979" s="25">
        <v>0.0</v>
      </c>
      <c r="E2979" s="27"/>
      <c r="F2979" s="25">
        <v>0.0</v>
      </c>
      <c r="G2979" s="27"/>
    </row>
    <row r="2980">
      <c r="A2980" s="21"/>
      <c r="B2980" s="21" t="s">
        <v>9163</v>
      </c>
      <c r="D2980" s="25">
        <v>0.0</v>
      </c>
      <c r="E2980" s="27"/>
      <c r="F2980" s="25">
        <v>0.0</v>
      </c>
      <c r="G2980" s="27"/>
    </row>
    <row r="2981">
      <c r="A2981" s="21"/>
      <c r="B2981" s="21" t="s">
        <v>9164</v>
      </c>
      <c r="D2981" s="25">
        <v>0.0</v>
      </c>
      <c r="E2981" s="27"/>
      <c r="F2981" s="25">
        <v>0.0</v>
      </c>
      <c r="G2981" s="27"/>
    </row>
    <row r="2982">
      <c r="A2982" s="21"/>
      <c r="B2982" s="21" t="s">
        <v>9165</v>
      </c>
      <c r="D2982" s="25">
        <v>0.0</v>
      </c>
      <c r="E2982" s="27"/>
      <c r="F2982" s="25">
        <v>0.0</v>
      </c>
      <c r="G2982" s="27"/>
    </row>
    <row r="2983">
      <c r="A2983" s="21"/>
      <c r="B2983" s="21" t="s">
        <v>9166</v>
      </c>
      <c r="D2983" s="25">
        <v>0.0</v>
      </c>
      <c r="E2983" s="27"/>
      <c r="F2983" s="25">
        <v>0.0</v>
      </c>
      <c r="G2983" s="27"/>
    </row>
    <row r="2984">
      <c r="A2984" s="21"/>
      <c r="B2984" s="21" t="s">
        <v>9167</v>
      </c>
      <c r="D2984" s="25">
        <v>0.0</v>
      </c>
      <c r="E2984" s="27"/>
      <c r="F2984" s="25">
        <v>4.22</v>
      </c>
      <c r="G2984" s="27"/>
    </row>
    <row r="2985">
      <c r="A2985" s="21"/>
      <c r="B2985" s="21" t="s">
        <v>9168</v>
      </c>
      <c r="D2985" s="25">
        <v>0.0</v>
      </c>
      <c r="E2985" s="27"/>
      <c r="F2985" s="25">
        <v>0.0</v>
      </c>
      <c r="G2985" s="27"/>
    </row>
    <row r="2986">
      <c r="A2986" s="21"/>
      <c r="B2986" s="21" t="s">
        <v>9169</v>
      </c>
      <c r="D2986" s="25">
        <v>0.0</v>
      </c>
      <c r="E2986" s="27"/>
      <c r="F2986" s="25">
        <v>0.0</v>
      </c>
      <c r="G2986" s="27"/>
    </row>
    <row r="2987">
      <c r="A2987" s="21"/>
      <c r="B2987" s="21" t="s">
        <v>9170</v>
      </c>
      <c r="D2987" s="25">
        <v>0.0</v>
      </c>
      <c r="E2987" s="27"/>
      <c r="F2987" s="25">
        <v>0.0</v>
      </c>
      <c r="G2987" s="27"/>
    </row>
    <row r="2988">
      <c r="A2988" s="21"/>
      <c r="B2988" s="21" t="s">
        <v>9171</v>
      </c>
      <c r="D2988" s="25">
        <v>0.0</v>
      </c>
      <c r="E2988" s="27"/>
      <c r="F2988" s="25">
        <v>0.0</v>
      </c>
      <c r="G2988" s="27"/>
    </row>
    <row r="2989">
      <c r="A2989" s="21"/>
      <c r="B2989" s="21" t="s">
        <v>9172</v>
      </c>
      <c r="D2989" s="25">
        <v>0.0</v>
      </c>
      <c r="E2989" s="27"/>
      <c r="F2989" s="25">
        <v>0.0</v>
      </c>
      <c r="G2989" s="27"/>
    </row>
    <row r="2990">
      <c r="A2990" s="21"/>
      <c r="B2990" s="21" t="s">
        <v>9173</v>
      </c>
      <c r="D2990" s="25">
        <v>0.0</v>
      </c>
      <c r="E2990" s="27"/>
      <c r="F2990" s="25">
        <v>0.0</v>
      </c>
      <c r="G2990" s="27"/>
    </row>
    <row r="2991">
      <c r="A2991" s="21"/>
      <c r="B2991" s="21" t="s">
        <v>9174</v>
      </c>
      <c r="D2991" s="25">
        <v>0.0</v>
      </c>
      <c r="E2991" s="27"/>
      <c r="F2991" s="25">
        <v>0.0</v>
      </c>
      <c r="G2991" s="27"/>
    </row>
    <row r="2992">
      <c r="A2992" s="21"/>
      <c r="B2992" s="21" t="s">
        <v>9175</v>
      </c>
      <c r="D2992" s="25">
        <v>0.0</v>
      </c>
      <c r="E2992" s="27"/>
      <c r="F2992" s="25">
        <v>0.0</v>
      </c>
      <c r="G2992" s="27"/>
    </row>
    <row r="2993">
      <c r="A2993" s="21"/>
      <c r="B2993" s="21" t="s">
        <v>9176</v>
      </c>
      <c r="D2993" s="25">
        <v>0.0</v>
      </c>
      <c r="E2993" s="27"/>
      <c r="F2993" s="25">
        <v>0.0</v>
      </c>
      <c r="G2993" s="27"/>
    </row>
    <row r="2994">
      <c r="A2994" s="21"/>
      <c r="B2994" s="21" t="s">
        <v>9177</v>
      </c>
      <c r="D2994" s="25">
        <v>0.0</v>
      </c>
      <c r="E2994" s="27"/>
      <c r="F2994" s="25">
        <v>0.0</v>
      </c>
      <c r="G2994" s="27"/>
    </row>
    <row r="2995">
      <c r="A2995" s="21"/>
      <c r="B2995" s="21" t="s">
        <v>9178</v>
      </c>
      <c r="D2995" s="25">
        <v>0.0</v>
      </c>
      <c r="E2995" s="27"/>
      <c r="F2995" s="25">
        <v>0.0</v>
      </c>
      <c r="G2995" s="27"/>
    </row>
    <row r="2996">
      <c r="A2996" s="21"/>
      <c r="B2996" s="21" t="s">
        <v>9179</v>
      </c>
      <c r="D2996" s="25">
        <v>0.0</v>
      </c>
      <c r="E2996" s="27"/>
      <c r="F2996" s="25">
        <v>0.0</v>
      </c>
      <c r="G2996" s="27"/>
    </row>
    <row r="2997">
      <c r="A2997" s="21"/>
      <c r="B2997" s="21" t="s">
        <v>9180</v>
      </c>
      <c r="D2997" s="25">
        <v>0.0</v>
      </c>
      <c r="E2997" s="27"/>
      <c r="F2997" s="25">
        <v>0.0</v>
      </c>
      <c r="G2997" s="27"/>
    </row>
    <row r="2998">
      <c r="A2998" s="21"/>
      <c r="B2998" s="21" t="s">
        <v>9181</v>
      </c>
      <c r="D2998" s="25">
        <v>0.0</v>
      </c>
      <c r="E2998" s="27"/>
      <c r="F2998" s="25">
        <v>0.0</v>
      </c>
      <c r="G2998" s="27"/>
    </row>
    <row r="2999">
      <c r="A2999" s="21"/>
      <c r="B2999" s="21" t="s">
        <v>9182</v>
      </c>
      <c r="D2999" s="25">
        <v>0.0</v>
      </c>
      <c r="E2999" s="27"/>
      <c r="F2999" s="25">
        <v>0.0</v>
      </c>
      <c r="G2999" s="27"/>
    </row>
    <row r="3000">
      <c r="A3000" s="21"/>
      <c r="B3000" s="21" t="s">
        <v>9183</v>
      </c>
      <c r="D3000" s="25">
        <v>0.0</v>
      </c>
      <c r="E3000" s="27"/>
      <c r="F3000" s="25">
        <v>0.0</v>
      </c>
      <c r="G3000" s="27"/>
    </row>
    <row r="3001">
      <c r="A3001" s="21"/>
      <c r="B3001" s="21" t="s">
        <v>9184</v>
      </c>
      <c r="D3001" s="25">
        <v>0.0</v>
      </c>
      <c r="E3001" s="27"/>
      <c r="F3001" s="25">
        <v>0.0</v>
      </c>
      <c r="G3001" s="27"/>
    </row>
    <row r="3002">
      <c r="A3002" s="21"/>
      <c r="B3002" s="21" t="s">
        <v>9185</v>
      </c>
      <c r="D3002" s="25">
        <v>0.0</v>
      </c>
      <c r="E3002" s="27"/>
      <c r="F3002" s="25">
        <v>0.0</v>
      </c>
      <c r="G3002" s="27"/>
    </row>
    <row r="3003">
      <c r="A3003" s="21"/>
      <c r="B3003" s="21" t="s">
        <v>9186</v>
      </c>
      <c r="D3003" s="25">
        <v>0.0</v>
      </c>
      <c r="E3003" s="27"/>
      <c r="F3003" s="25">
        <v>0.0</v>
      </c>
      <c r="G3003" s="27"/>
    </row>
    <row r="3004">
      <c r="A3004" s="21"/>
      <c r="B3004" s="21" t="s">
        <v>9187</v>
      </c>
      <c r="D3004" s="25">
        <v>0.0</v>
      </c>
      <c r="E3004" s="27"/>
      <c r="F3004" s="25">
        <v>0.0</v>
      </c>
      <c r="G3004" s="27"/>
    </row>
    <row r="3005">
      <c r="A3005" s="21"/>
      <c r="B3005" s="21" t="s">
        <v>9188</v>
      </c>
      <c r="D3005" s="25">
        <v>0.0</v>
      </c>
      <c r="E3005" s="27"/>
      <c r="F3005" s="25">
        <v>0.0</v>
      </c>
      <c r="G3005" s="27"/>
    </row>
    <row r="3006">
      <c r="A3006" s="21"/>
      <c r="B3006" s="21" t="s">
        <v>9189</v>
      </c>
      <c r="D3006" s="25">
        <v>0.0</v>
      </c>
      <c r="E3006" s="27"/>
      <c r="F3006" s="25">
        <v>0.0</v>
      </c>
      <c r="G3006" s="27"/>
    </row>
    <row r="3007">
      <c r="A3007" s="21"/>
      <c r="B3007" s="21" t="s">
        <v>9190</v>
      </c>
      <c r="D3007" s="25">
        <v>0.0</v>
      </c>
      <c r="E3007" s="27"/>
      <c r="F3007" s="25">
        <v>0.0</v>
      </c>
      <c r="G3007" s="27"/>
    </row>
    <row r="3008">
      <c r="A3008" s="21"/>
      <c r="B3008" s="21" t="s">
        <v>9191</v>
      </c>
      <c r="D3008" s="25">
        <v>0.0</v>
      </c>
      <c r="E3008" s="27"/>
      <c r="F3008" s="25">
        <v>0.0</v>
      </c>
      <c r="G3008" s="27"/>
    </row>
    <row r="3009">
      <c r="A3009" s="21"/>
      <c r="B3009" s="21" t="s">
        <v>9192</v>
      </c>
      <c r="D3009" s="25">
        <v>0.0</v>
      </c>
      <c r="E3009" s="27"/>
      <c r="F3009" s="25">
        <v>0.0</v>
      </c>
      <c r="G3009" s="27"/>
    </row>
    <row r="3010">
      <c r="A3010" s="21"/>
      <c r="B3010" s="21" t="s">
        <v>9193</v>
      </c>
      <c r="D3010" s="25">
        <v>0.0</v>
      </c>
      <c r="E3010" s="27"/>
      <c r="F3010" s="25">
        <v>0.0</v>
      </c>
      <c r="G3010" s="27"/>
    </row>
    <row r="3011">
      <c r="A3011" s="21"/>
      <c r="B3011" s="21" t="s">
        <v>9194</v>
      </c>
      <c r="D3011" s="25">
        <v>0.0</v>
      </c>
      <c r="E3011" s="27"/>
      <c r="F3011" s="25">
        <v>0.0</v>
      </c>
      <c r="G3011" s="27"/>
    </row>
    <row r="3012">
      <c r="A3012" s="21"/>
      <c r="B3012" s="21" t="s">
        <v>9195</v>
      </c>
      <c r="D3012" s="25">
        <v>0.0</v>
      </c>
      <c r="E3012" s="27"/>
      <c r="F3012" s="25">
        <v>0.0</v>
      </c>
      <c r="G3012" s="27"/>
    </row>
    <row r="3013">
      <c r="A3013" s="21"/>
      <c r="B3013" s="21" t="s">
        <v>9196</v>
      </c>
      <c r="D3013" s="25">
        <v>0.0</v>
      </c>
      <c r="E3013" s="27"/>
      <c r="F3013" s="25">
        <v>0.0</v>
      </c>
      <c r="G3013" s="27"/>
    </row>
    <row r="3014">
      <c r="A3014" s="21"/>
      <c r="B3014" s="21" t="s">
        <v>9197</v>
      </c>
      <c r="D3014" s="25">
        <v>0.0</v>
      </c>
      <c r="E3014" s="27"/>
      <c r="F3014" s="25">
        <v>0.0</v>
      </c>
      <c r="G3014" s="27"/>
    </row>
    <row r="3015">
      <c r="A3015" s="21"/>
      <c r="B3015" s="21" t="s">
        <v>9198</v>
      </c>
      <c r="D3015" s="25">
        <v>0.0</v>
      </c>
      <c r="E3015" s="27"/>
      <c r="F3015" s="25">
        <v>0.0</v>
      </c>
      <c r="G3015" s="27"/>
    </row>
    <row r="3016">
      <c r="A3016" s="21"/>
      <c r="B3016" s="21" t="s">
        <v>4666</v>
      </c>
      <c r="D3016" s="25">
        <v>0.0</v>
      </c>
      <c r="E3016" s="27"/>
      <c r="F3016" s="25">
        <v>0.0</v>
      </c>
      <c r="G3016" s="27"/>
    </row>
    <row r="3017">
      <c r="A3017" s="21"/>
      <c r="B3017" s="21" t="s">
        <v>9199</v>
      </c>
      <c r="D3017" s="25">
        <v>0.0</v>
      </c>
      <c r="E3017" s="27"/>
      <c r="F3017" s="25">
        <v>0.0</v>
      </c>
      <c r="G3017" s="27"/>
    </row>
    <row r="3018">
      <c r="A3018" s="21"/>
      <c r="B3018" s="21" t="s">
        <v>9200</v>
      </c>
      <c r="D3018" s="25">
        <v>0.0</v>
      </c>
      <c r="E3018" s="27"/>
      <c r="F3018" s="25">
        <v>0.0</v>
      </c>
      <c r="G3018" s="27"/>
    </row>
    <row r="3019">
      <c r="A3019" s="21"/>
      <c r="B3019" s="21" t="s">
        <v>9201</v>
      </c>
      <c r="D3019" s="25">
        <v>0.0</v>
      </c>
      <c r="E3019" s="27"/>
      <c r="F3019" s="25">
        <v>0.0</v>
      </c>
      <c r="G3019" s="27"/>
    </row>
    <row r="3020">
      <c r="A3020" s="21"/>
      <c r="B3020" s="21" t="s">
        <v>9202</v>
      </c>
      <c r="D3020" s="25">
        <v>0.0</v>
      </c>
      <c r="E3020" s="27"/>
      <c r="F3020" s="25">
        <v>0.0</v>
      </c>
      <c r="G3020" s="27"/>
    </row>
    <row r="3021">
      <c r="A3021" s="21"/>
      <c r="B3021" s="21" t="s">
        <v>9203</v>
      </c>
      <c r="D3021" s="25">
        <v>0.0</v>
      </c>
      <c r="E3021" s="27"/>
      <c r="F3021" s="25">
        <v>0.0</v>
      </c>
      <c r="G3021" s="27"/>
    </row>
    <row r="3022">
      <c r="A3022" s="21"/>
      <c r="B3022" s="21" t="s">
        <v>9204</v>
      </c>
      <c r="D3022" s="25">
        <v>0.0</v>
      </c>
      <c r="E3022" s="27"/>
      <c r="F3022" s="25">
        <v>0.0</v>
      </c>
      <c r="G3022" s="27"/>
    </row>
    <row r="3023">
      <c r="A3023" s="21"/>
      <c r="B3023" s="21" t="s">
        <v>9205</v>
      </c>
      <c r="D3023" s="25">
        <v>0.0</v>
      </c>
      <c r="E3023" s="27"/>
      <c r="F3023" s="25">
        <v>0.0</v>
      </c>
      <c r="G3023" s="27"/>
    </row>
    <row r="3024">
      <c r="A3024" s="21"/>
      <c r="B3024" s="21" t="s">
        <v>9206</v>
      </c>
      <c r="D3024" s="25">
        <v>0.0</v>
      </c>
      <c r="E3024" s="27"/>
      <c r="F3024" s="25">
        <v>0.0</v>
      </c>
      <c r="G3024" s="27"/>
    </row>
    <row r="3025">
      <c r="A3025" s="21"/>
      <c r="B3025" s="21" t="s">
        <v>9207</v>
      </c>
      <c r="D3025" s="25">
        <v>0.0</v>
      </c>
      <c r="E3025" s="27"/>
      <c r="F3025" s="25">
        <v>0.0</v>
      </c>
      <c r="G3025" s="27"/>
    </row>
    <row r="3026">
      <c r="A3026" s="21"/>
      <c r="B3026" s="21" t="s">
        <v>9208</v>
      </c>
      <c r="D3026" s="25">
        <v>0.0</v>
      </c>
      <c r="E3026" s="27"/>
      <c r="F3026" s="25">
        <v>0.0</v>
      </c>
      <c r="G3026" s="27"/>
    </row>
    <row r="3027">
      <c r="A3027" s="21"/>
      <c r="B3027" s="21" t="s">
        <v>9209</v>
      </c>
      <c r="D3027" s="25">
        <v>0.0</v>
      </c>
      <c r="E3027" s="27"/>
      <c r="F3027" s="25">
        <v>0.0</v>
      </c>
      <c r="G3027" s="27"/>
    </row>
    <row r="3028">
      <c r="A3028" s="21"/>
      <c r="B3028" s="21" t="s">
        <v>9210</v>
      </c>
      <c r="D3028" s="25">
        <v>0.0</v>
      </c>
      <c r="E3028" s="27"/>
      <c r="F3028" s="25">
        <v>0.0</v>
      </c>
      <c r="G3028" s="27"/>
    </row>
    <row r="3029">
      <c r="A3029" s="21"/>
      <c r="B3029" s="21" t="s">
        <v>9211</v>
      </c>
      <c r="D3029" s="25">
        <v>0.0</v>
      </c>
      <c r="E3029" s="27"/>
      <c r="F3029" s="25">
        <v>0.0</v>
      </c>
      <c r="G3029" s="27"/>
    </row>
    <row r="3030">
      <c r="A3030" s="21"/>
      <c r="B3030" s="21" t="s">
        <v>9212</v>
      </c>
      <c r="D3030" s="25">
        <v>0.0</v>
      </c>
      <c r="E3030" s="27"/>
      <c r="F3030" s="25">
        <v>0.0</v>
      </c>
      <c r="G3030" s="27"/>
    </row>
    <row r="3031">
      <c r="A3031" s="21"/>
      <c r="B3031" s="21" t="s">
        <v>9213</v>
      </c>
      <c r="D3031" s="25">
        <v>0.0</v>
      </c>
      <c r="E3031" s="27"/>
      <c r="F3031" s="25">
        <v>0.0</v>
      </c>
      <c r="G3031" s="27"/>
    </row>
    <row r="3032">
      <c r="A3032" s="21"/>
      <c r="B3032" s="21" t="s">
        <v>9214</v>
      </c>
      <c r="D3032" s="25">
        <v>0.0</v>
      </c>
      <c r="E3032" s="27"/>
      <c r="F3032" s="25">
        <v>0.0</v>
      </c>
      <c r="G3032" s="27"/>
    </row>
    <row r="3033">
      <c r="A3033" s="21"/>
      <c r="B3033" s="21" t="s">
        <v>9215</v>
      </c>
      <c r="D3033" s="25">
        <v>0.0</v>
      </c>
      <c r="E3033" s="27"/>
      <c r="F3033" s="25">
        <v>0.0</v>
      </c>
      <c r="G3033" s="27"/>
    </row>
    <row r="3034">
      <c r="A3034" s="21"/>
      <c r="B3034" s="21" t="s">
        <v>9216</v>
      </c>
      <c r="D3034" s="25">
        <v>0.0</v>
      </c>
      <c r="E3034" s="27"/>
      <c r="F3034" s="25">
        <v>0.0</v>
      </c>
      <c r="G3034" s="27"/>
    </row>
    <row r="3035">
      <c r="A3035" s="21"/>
      <c r="B3035" s="21" t="s">
        <v>9217</v>
      </c>
      <c r="D3035" s="25">
        <v>0.0</v>
      </c>
      <c r="E3035" s="27"/>
      <c r="F3035" s="25">
        <v>0.0</v>
      </c>
      <c r="G3035" s="27"/>
    </row>
    <row r="3036">
      <c r="A3036" s="21"/>
      <c r="B3036" s="21" t="s">
        <v>9218</v>
      </c>
      <c r="D3036" s="25">
        <v>0.0</v>
      </c>
      <c r="E3036" s="27"/>
      <c r="F3036" s="25">
        <v>0.0</v>
      </c>
      <c r="G3036" s="27"/>
    </row>
    <row r="3037">
      <c r="A3037" s="21"/>
      <c r="B3037" s="21" t="s">
        <v>9219</v>
      </c>
      <c r="D3037" s="25">
        <v>0.0</v>
      </c>
      <c r="E3037" s="27"/>
      <c r="F3037" s="25">
        <v>0.0</v>
      </c>
      <c r="G3037" s="27"/>
    </row>
    <row r="3038">
      <c r="A3038" s="21"/>
      <c r="B3038" s="21" t="s">
        <v>9220</v>
      </c>
      <c r="D3038" s="25">
        <v>0.0</v>
      </c>
      <c r="E3038" s="27"/>
      <c r="F3038" s="25">
        <v>0.0</v>
      </c>
      <c r="G3038" s="27"/>
    </row>
    <row r="3039">
      <c r="A3039" s="21"/>
      <c r="B3039" s="21" t="s">
        <v>9221</v>
      </c>
      <c r="D3039" s="25">
        <v>0.0</v>
      </c>
      <c r="E3039" s="27"/>
      <c r="F3039" s="25">
        <v>0.0</v>
      </c>
      <c r="G3039" s="27"/>
    </row>
    <row r="3040">
      <c r="A3040" s="21"/>
      <c r="B3040" s="21" t="s">
        <v>9222</v>
      </c>
      <c r="D3040" s="25">
        <v>0.0</v>
      </c>
      <c r="E3040" s="27"/>
      <c r="F3040" s="25">
        <v>0.0</v>
      </c>
      <c r="G3040" s="27"/>
    </row>
    <row r="3041">
      <c r="A3041" s="21"/>
      <c r="B3041" s="21" t="s">
        <v>9223</v>
      </c>
      <c r="D3041" s="25">
        <v>0.0</v>
      </c>
      <c r="E3041" s="27"/>
      <c r="F3041" s="25">
        <v>0.0</v>
      </c>
      <c r="G3041" s="27"/>
    </row>
    <row r="3042">
      <c r="A3042" s="21"/>
      <c r="B3042" s="21" t="s">
        <v>9224</v>
      </c>
      <c r="D3042" s="25">
        <v>0.0</v>
      </c>
      <c r="E3042" s="27"/>
      <c r="F3042" s="25">
        <v>0.0</v>
      </c>
      <c r="G3042" s="27"/>
    </row>
    <row r="3043">
      <c r="A3043" s="21"/>
      <c r="B3043" s="21" t="s">
        <v>9225</v>
      </c>
      <c r="D3043" s="25">
        <v>0.0</v>
      </c>
      <c r="E3043" s="27"/>
      <c r="F3043" s="25">
        <v>0.0</v>
      </c>
      <c r="G3043" s="27"/>
    </row>
    <row r="3044">
      <c r="A3044" s="21"/>
      <c r="B3044" s="21" t="s">
        <v>9226</v>
      </c>
      <c r="D3044" s="25">
        <v>0.0</v>
      </c>
      <c r="E3044" s="27"/>
      <c r="F3044" s="25">
        <v>0.0</v>
      </c>
      <c r="G3044" s="27"/>
    </row>
    <row r="3045">
      <c r="A3045" s="21"/>
      <c r="B3045" s="21" t="s">
        <v>9227</v>
      </c>
      <c r="D3045" s="25">
        <v>0.0</v>
      </c>
      <c r="E3045" s="27"/>
      <c r="F3045" s="25">
        <v>0.0</v>
      </c>
      <c r="G3045" s="27"/>
    </row>
    <row r="3046">
      <c r="A3046" s="21"/>
      <c r="B3046" s="21" t="s">
        <v>9228</v>
      </c>
      <c r="D3046" s="25">
        <v>0.0</v>
      </c>
      <c r="E3046" s="27"/>
      <c r="F3046" s="25">
        <v>0.0</v>
      </c>
      <c r="G3046" s="27"/>
    </row>
    <row r="3047">
      <c r="A3047" s="21"/>
      <c r="B3047" s="21" t="s">
        <v>9229</v>
      </c>
      <c r="D3047" s="25">
        <v>0.0</v>
      </c>
      <c r="E3047" s="27"/>
      <c r="F3047" s="25">
        <v>0.0</v>
      </c>
      <c r="G3047" s="27"/>
    </row>
    <row r="3048">
      <c r="A3048" s="21"/>
      <c r="B3048" s="21" t="s">
        <v>9230</v>
      </c>
      <c r="D3048" s="25">
        <v>0.0</v>
      </c>
      <c r="E3048" s="27"/>
      <c r="F3048" s="25">
        <v>0.0</v>
      </c>
      <c r="G3048" s="27"/>
    </row>
    <row r="3049">
      <c r="A3049" s="21"/>
      <c r="B3049" s="21" t="s">
        <v>9231</v>
      </c>
      <c r="D3049" s="25">
        <v>0.0</v>
      </c>
      <c r="E3049" s="27"/>
      <c r="F3049" s="25">
        <v>0.0</v>
      </c>
      <c r="G3049" s="27"/>
    </row>
    <row r="3050">
      <c r="A3050" s="21"/>
      <c r="B3050" s="21" t="s">
        <v>9232</v>
      </c>
      <c r="D3050" s="25">
        <v>0.0</v>
      </c>
      <c r="E3050" s="27"/>
      <c r="F3050" s="25">
        <v>0.0</v>
      </c>
      <c r="G3050" s="27"/>
    </row>
    <row r="3051">
      <c r="A3051" s="21"/>
      <c r="B3051" s="21" t="s">
        <v>9233</v>
      </c>
      <c r="D3051" s="25">
        <v>0.0</v>
      </c>
      <c r="E3051" s="27"/>
      <c r="F3051" s="25">
        <v>0.0</v>
      </c>
      <c r="G3051" s="27"/>
    </row>
    <row r="3052">
      <c r="A3052" s="21"/>
      <c r="B3052" s="21" t="s">
        <v>9234</v>
      </c>
      <c r="D3052" s="25">
        <v>0.0</v>
      </c>
      <c r="E3052" s="27"/>
      <c r="F3052" s="25">
        <v>0.0</v>
      </c>
      <c r="G3052" s="27"/>
    </row>
    <row r="3053">
      <c r="A3053" s="21"/>
      <c r="B3053" s="21" t="s">
        <v>9235</v>
      </c>
      <c r="D3053" s="25">
        <v>0.0</v>
      </c>
      <c r="E3053" s="27"/>
      <c r="F3053" s="25">
        <v>0.0</v>
      </c>
      <c r="G3053" s="27"/>
    </row>
    <row r="3054">
      <c r="A3054" s="21"/>
      <c r="B3054" s="21" t="s">
        <v>9236</v>
      </c>
      <c r="D3054" s="25">
        <v>0.0</v>
      </c>
      <c r="E3054" s="27"/>
      <c r="F3054" s="25">
        <v>0.0</v>
      </c>
      <c r="G3054" s="27"/>
    </row>
    <row r="3055">
      <c r="A3055" s="21"/>
      <c r="B3055" s="21" t="s">
        <v>9237</v>
      </c>
      <c r="D3055" s="25">
        <v>0.0</v>
      </c>
      <c r="E3055" s="27"/>
      <c r="F3055" s="25">
        <v>0.0</v>
      </c>
      <c r="G3055" s="27"/>
    </row>
    <row r="3056">
      <c r="A3056" s="21"/>
      <c r="B3056" s="21" t="s">
        <v>9238</v>
      </c>
      <c r="D3056" s="25">
        <v>0.0</v>
      </c>
      <c r="E3056" s="27"/>
      <c r="F3056" s="25">
        <v>0.0</v>
      </c>
      <c r="G3056" s="27"/>
    </row>
    <row r="3057">
      <c r="A3057" s="21"/>
      <c r="B3057" s="21" t="s">
        <v>9239</v>
      </c>
      <c r="D3057" s="25">
        <v>0.0</v>
      </c>
      <c r="E3057" s="27"/>
      <c r="F3057" s="25">
        <v>0.0</v>
      </c>
      <c r="G3057" s="27"/>
    </row>
    <row r="3058">
      <c r="A3058" s="21"/>
      <c r="B3058" s="21" t="s">
        <v>9240</v>
      </c>
      <c r="D3058" s="25">
        <v>0.0</v>
      </c>
      <c r="E3058" s="27"/>
      <c r="F3058" s="25">
        <v>0.0</v>
      </c>
      <c r="G3058" s="27"/>
    </row>
    <row r="3059">
      <c r="A3059" s="21"/>
      <c r="B3059" s="21" t="s">
        <v>9241</v>
      </c>
      <c r="D3059" s="25">
        <v>0.0</v>
      </c>
      <c r="E3059" s="27"/>
      <c r="F3059" s="25">
        <v>0.0</v>
      </c>
      <c r="G3059" s="27"/>
    </row>
    <row r="3060">
      <c r="A3060" s="21"/>
      <c r="B3060" s="21" t="s">
        <v>9242</v>
      </c>
      <c r="D3060" s="25">
        <v>0.0</v>
      </c>
      <c r="E3060" s="27"/>
      <c r="F3060" s="25">
        <v>0.0</v>
      </c>
      <c r="G3060" s="27"/>
    </row>
    <row r="3061">
      <c r="A3061" s="21"/>
      <c r="B3061" s="21" t="s">
        <v>9243</v>
      </c>
      <c r="D3061" s="25">
        <v>0.0</v>
      </c>
      <c r="E3061" s="27"/>
      <c r="F3061" s="25">
        <v>0.0</v>
      </c>
      <c r="G3061" s="27"/>
    </row>
    <row r="3062">
      <c r="A3062" s="21"/>
      <c r="B3062" s="21" t="s">
        <v>9244</v>
      </c>
      <c r="D3062" s="25">
        <v>0.0</v>
      </c>
      <c r="E3062" s="27"/>
      <c r="F3062" s="25">
        <v>0.0</v>
      </c>
      <c r="G3062" s="27"/>
    </row>
    <row r="3063">
      <c r="A3063" s="21"/>
      <c r="B3063" s="21" t="s">
        <v>9245</v>
      </c>
      <c r="D3063" s="25">
        <v>0.0</v>
      </c>
      <c r="E3063" s="27"/>
      <c r="F3063" s="25">
        <v>0.0</v>
      </c>
      <c r="G3063" s="27"/>
    </row>
    <row r="3064">
      <c r="A3064" s="21"/>
      <c r="B3064" s="21" t="s">
        <v>9246</v>
      </c>
      <c r="D3064" s="25">
        <v>0.0</v>
      </c>
      <c r="E3064" s="27"/>
      <c r="F3064" s="25">
        <v>0.0</v>
      </c>
      <c r="G3064" s="27"/>
    </row>
    <row r="3065">
      <c r="A3065" s="21"/>
      <c r="B3065" s="21" t="s">
        <v>9247</v>
      </c>
      <c r="D3065" s="25">
        <v>0.0</v>
      </c>
      <c r="E3065" s="27"/>
      <c r="F3065" s="25">
        <v>0.0</v>
      </c>
      <c r="G3065" s="27"/>
    </row>
    <row r="3066">
      <c r="A3066" s="21"/>
      <c r="B3066" s="21" t="s">
        <v>9248</v>
      </c>
      <c r="D3066" s="25">
        <v>0.0</v>
      </c>
      <c r="E3066" s="27"/>
      <c r="F3066" s="25">
        <v>0.0</v>
      </c>
      <c r="G3066" s="27"/>
    </row>
    <row r="3067">
      <c r="A3067" s="21"/>
      <c r="B3067" s="21" t="s">
        <v>9249</v>
      </c>
      <c r="D3067" s="25">
        <v>0.0</v>
      </c>
      <c r="E3067" s="27"/>
      <c r="F3067" s="25">
        <v>0.0</v>
      </c>
      <c r="G3067" s="27"/>
    </row>
    <row r="3068">
      <c r="A3068" s="21"/>
      <c r="B3068" s="21" t="s">
        <v>9250</v>
      </c>
      <c r="D3068" s="25">
        <v>0.0</v>
      </c>
      <c r="E3068" s="27"/>
      <c r="F3068" s="25">
        <v>0.0</v>
      </c>
      <c r="G3068" s="27"/>
    </row>
    <row r="3069">
      <c r="A3069" s="21"/>
      <c r="B3069" s="21" t="s">
        <v>9251</v>
      </c>
      <c r="D3069" s="25">
        <v>0.0</v>
      </c>
      <c r="E3069" s="27"/>
      <c r="F3069" s="25">
        <v>0.0</v>
      </c>
      <c r="G3069" s="27"/>
    </row>
    <row r="3070">
      <c r="A3070" s="21"/>
      <c r="B3070" s="21" t="s">
        <v>9252</v>
      </c>
      <c r="D3070" s="25">
        <v>0.0</v>
      </c>
      <c r="E3070" s="27"/>
      <c r="F3070" s="25">
        <v>0.0</v>
      </c>
      <c r="G3070" s="27"/>
    </row>
    <row r="3071">
      <c r="A3071" s="21"/>
      <c r="B3071" s="21" t="s">
        <v>9253</v>
      </c>
      <c r="D3071" s="25">
        <v>0.0</v>
      </c>
      <c r="E3071" s="27"/>
      <c r="F3071" s="25">
        <v>0.0</v>
      </c>
      <c r="G3071" s="27"/>
    </row>
    <row r="3072">
      <c r="A3072" s="21"/>
      <c r="B3072" s="21" t="s">
        <v>9254</v>
      </c>
      <c r="D3072" s="25">
        <v>0.0</v>
      </c>
      <c r="E3072" s="27"/>
      <c r="F3072" s="25">
        <v>0.0</v>
      </c>
      <c r="G3072" s="27"/>
    </row>
    <row r="3073">
      <c r="A3073" s="21"/>
      <c r="B3073" s="21" t="s">
        <v>9255</v>
      </c>
      <c r="D3073" s="25">
        <v>0.0</v>
      </c>
      <c r="E3073" s="27"/>
      <c r="F3073" s="25">
        <v>0.0</v>
      </c>
      <c r="G3073" s="27"/>
    </row>
    <row r="3074">
      <c r="A3074" s="21"/>
      <c r="B3074" s="21" t="s">
        <v>9256</v>
      </c>
      <c r="D3074" s="25">
        <v>0.0</v>
      </c>
      <c r="E3074" s="27"/>
      <c r="F3074" s="25">
        <v>0.0</v>
      </c>
      <c r="G3074" s="27"/>
    </row>
    <row r="3075">
      <c r="A3075" s="21"/>
      <c r="B3075" s="21" t="s">
        <v>9257</v>
      </c>
      <c r="D3075" s="25">
        <v>0.0</v>
      </c>
      <c r="E3075" s="27"/>
      <c r="F3075" s="25">
        <v>0.0</v>
      </c>
      <c r="G3075" s="27"/>
    </row>
    <row r="3076">
      <c r="A3076" s="21"/>
      <c r="B3076" s="21" t="s">
        <v>9258</v>
      </c>
      <c r="D3076" s="25">
        <v>0.0</v>
      </c>
      <c r="E3076" s="27"/>
      <c r="F3076" s="25">
        <v>0.0</v>
      </c>
      <c r="G3076" s="27"/>
    </row>
    <row r="3077">
      <c r="A3077" s="21"/>
      <c r="B3077" s="21" t="s">
        <v>9259</v>
      </c>
      <c r="D3077" s="25">
        <v>0.0</v>
      </c>
      <c r="E3077" s="27"/>
      <c r="F3077" s="25">
        <v>0.0</v>
      </c>
      <c r="G3077" s="27"/>
    </row>
    <row r="3078">
      <c r="A3078" s="21"/>
      <c r="B3078" s="21" t="s">
        <v>9260</v>
      </c>
      <c r="D3078" s="25">
        <v>0.0</v>
      </c>
      <c r="E3078" s="27"/>
      <c r="F3078" s="25">
        <v>0.0</v>
      </c>
      <c r="G3078" s="27"/>
    </row>
    <row r="3079">
      <c r="A3079" s="21"/>
      <c r="B3079" s="21" t="s">
        <v>9261</v>
      </c>
      <c r="D3079" s="25">
        <v>0.0</v>
      </c>
      <c r="E3079" s="27"/>
      <c r="F3079" s="25">
        <v>0.0</v>
      </c>
      <c r="G3079" s="27"/>
    </row>
    <row r="3080">
      <c r="A3080" s="21"/>
      <c r="B3080" s="21" t="s">
        <v>9262</v>
      </c>
      <c r="D3080" s="25">
        <v>0.0</v>
      </c>
      <c r="E3080" s="27"/>
      <c r="F3080" s="25">
        <v>0.0</v>
      </c>
      <c r="G3080" s="27"/>
    </row>
    <row r="3081">
      <c r="A3081" s="21"/>
      <c r="B3081" s="21" t="s">
        <v>9263</v>
      </c>
      <c r="D3081" s="25">
        <v>0.0</v>
      </c>
      <c r="E3081" s="27"/>
      <c r="F3081" s="25">
        <v>0.0</v>
      </c>
      <c r="G3081" s="27"/>
    </row>
    <row r="3082">
      <c r="A3082" s="21"/>
      <c r="B3082" s="21" t="s">
        <v>9264</v>
      </c>
      <c r="D3082" s="25">
        <v>0.0</v>
      </c>
      <c r="E3082" s="27"/>
      <c r="F3082" s="25">
        <v>0.0</v>
      </c>
      <c r="G3082" s="27"/>
    </row>
    <row r="3083">
      <c r="A3083" s="21"/>
      <c r="B3083" s="21" t="s">
        <v>9265</v>
      </c>
      <c r="D3083" s="25">
        <v>0.0</v>
      </c>
      <c r="E3083" s="27"/>
      <c r="F3083" s="25">
        <v>0.0</v>
      </c>
      <c r="G3083" s="27"/>
    </row>
    <row r="3084">
      <c r="A3084" s="21"/>
      <c r="B3084" s="21" t="s">
        <v>9266</v>
      </c>
      <c r="D3084" s="25">
        <v>0.0</v>
      </c>
      <c r="E3084" s="27"/>
      <c r="F3084" s="25">
        <v>0.0</v>
      </c>
      <c r="G3084" s="27"/>
    </row>
    <row r="3085">
      <c r="A3085" s="21"/>
      <c r="B3085" s="21" t="s">
        <v>9267</v>
      </c>
      <c r="D3085" s="25">
        <v>0.0</v>
      </c>
      <c r="E3085" s="27"/>
      <c r="F3085" s="25">
        <v>0.0</v>
      </c>
      <c r="G3085" s="27"/>
    </row>
    <row r="3086">
      <c r="A3086" s="21"/>
      <c r="B3086" s="21" t="s">
        <v>9268</v>
      </c>
      <c r="D3086" s="25">
        <v>0.0</v>
      </c>
      <c r="E3086" s="27"/>
      <c r="F3086" s="25">
        <v>0.0</v>
      </c>
      <c r="G3086" s="27"/>
    </row>
    <row r="3087">
      <c r="A3087" s="21"/>
      <c r="B3087" s="21" t="s">
        <v>9269</v>
      </c>
      <c r="D3087" s="25">
        <v>0.0</v>
      </c>
      <c r="E3087" s="27"/>
      <c r="F3087" s="25">
        <v>0.0</v>
      </c>
      <c r="G3087" s="27"/>
    </row>
    <row r="3088">
      <c r="A3088" s="21"/>
      <c r="B3088" s="21" t="s">
        <v>9270</v>
      </c>
      <c r="D3088" s="25">
        <v>0.0</v>
      </c>
      <c r="E3088" s="27"/>
      <c r="F3088" s="25">
        <v>0.0</v>
      </c>
      <c r="G3088" s="27"/>
    </row>
    <row r="3089">
      <c r="A3089" s="21"/>
      <c r="B3089" s="21" t="s">
        <v>9271</v>
      </c>
      <c r="D3089" s="25">
        <v>0.0</v>
      </c>
      <c r="E3089" s="27"/>
      <c r="F3089" s="25">
        <v>0.0</v>
      </c>
      <c r="G3089" s="27"/>
    </row>
    <row r="3090">
      <c r="A3090" s="21"/>
      <c r="B3090" s="21" t="s">
        <v>9272</v>
      </c>
      <c r="D3090" s="25">
        <v>0.0</v>
      </c>
      <c r="E3090" s="27"/>
      <c r="F3090" s="25">
        <v>0.0</v>
      </c>
      <c r="G3090" s="27"/>
    </row>
    <row r="3091">
      <c r="A3091" s="21"/>
      <c r="B3091" s="21" t="s">
        <v>9273</v>
      </c>
      <c r="D3091" s="25">
        <v>0.0</v>
      </c>
      <c r="E3091" s="27"/>
      <c r="F3091" s="25">
        <v>0.0</v>
      </c>
      <c r="G3091" s="27"/>
    </row>
    <row r="3092">
      <c r="A3092" s="21"/>
      <c r="B3092" s="21" t="s">
        <v>9274</v>
      </c>
      <c r="D3092" s="25">
        <v>0.0</v>
      </c>
      <c r="E3092" s="27"/>
      <c r="F3092" s="25">
        <v>0.0</v>
      </c>
      <c r="G3092" s="27"/>
    </row>
    <row r="3093">
      <c r="A3093" s="21"/>
      <c r="B3093" s="21" t="s">
        <v>9275</v>
      </c>
      <c r="D3093" s="25">
        <v>0.0</v>
      </c>
      <c r="E3093" s="27"/>
      <c r="F3093" s="25">
        <v>0.0</v>
      </c>
      <c r="G3093" s="27"/>
    </row>
    <row r="3094">
      <c r="A3094" s="21"/>
      <c r="B3094" s="21" t="s">
        <v>9276</v>
      </c>
      <c r="D3094" s="25">
        <v>0.0</v>
      </c>
      <c r="E3094" s="27"/>
      <c r="F3094" s="25">
        <v>0.0</v>
      </c>
      <c r="G3094" s="27"/>
    </row>
    <row r="3095">
      <c r="A3095" s="21"/>
      <c r="B3095" s="21" t="s">
        <v>9277</v>
      </c>
      <c r="D3095" s="25">
        <v>0.0</v>
      </c>
      <c r="E3095" s="27"/>
      <c r="F3095" s="25">
        <v>7.89</v>
      </c>
      <c r="G3095" s="27"/>
    </row>
    <row r="3096">
      <c r="A3096" s="21"/>
      <c r="B3096" s="21" t="s">
        <v>9278</v>
      </c>
      <c r="D3096" s="25">
        <v>0.0</v>
      </c>
      <c r="E3096" s="27"/>
      <c r="F3096" s="25">
        <v>0.0</v>
      </c>
      <c r="G3096" s="27"/>
    </row>
    <row r="3097">
      <c r="A3097" s="21"/>
      <c r="B3097" s="21" t="s">
        <v>9279</v>
      </c>
      <c r="D3097" s="25">
        <v>0.0</v>
      </c>
      <c r="E3097" s="27"/>
      <c r="F3097" s="25">
        <v>0.0</v>
      </c>
      <c r="G3097" s="27"/>
    </row>
    <row r="3098">
      <c r="A3098" s="21"/>
      <c r="B3098" s="21" t="s">
        <v>9280</v>
      </c>
      <c r="D3098" s="25">
        <v>0.0</v>
      </c>
      <c r="E3098" s="27"/>
      <c r="F3098" s="25">
        <v>0.0</v>
      </c>
      <c r="G3098" s="27"/>
    </row>
    <row r="3099">
      <c r="A3099" s="21"/>
      <c r="B3099" s="21" t="s">
        <v>9281</v>
      </c>
      <c r="D3099" s="25">
        <v>0.0</v>
      </c>
      <c r="E3099" s="27"/>
      <c r="F3099" s="25">
        <v>5.86</v>
      </c>
      <c r="G3099" s="27"/>
    </row>
    <row r="3100">
      <c r="A3100" s="21"/>
      <c r="B3100" s="21" t="s">
        <v>9282</v>
      </c>
      <c r="D3100" s="25">
        <v>0.0</v>
      </c>
      <c r="E3100" s="27"/>
      <c r="F3100" s="25">
        <v>0.0</v>
      </c>
      <c r="G3100" s="27"/>
    </row>
    <row r="3101">
      <c r="A3101" s="21"/>
      <c r="B3101" s="21" t="s">
        <v>9283</v>
      </c>
      <c r="D3101" s="25">
        <v>0.0</v>
      </c>
      <c r="E3101" s="27"/>
      <c r="F3101" s="25">
        <v>0.0</v>
      </c>
      <c r="G3101" s="27"/>
    </row>
    <row r="3102">
      <c r="A3102" s="21"/>
      <c r="B3102" s="21" t="s">
        <v>9284</v>
      </c>
      <c r="D3102" s="25">
        <v>0.0</v>
      </c>
      <c r="E3102" s="27"/>
      <c r="F3102" s="25">
        <v>0.0</v>
      </c>
      <c r="G3102" s="27"/>
    </row>
    <row r="3103">
      <c r="A3103" s="21"/>
      <c r="B3103" s="21" t="s">
        <v>9285</v>
      </c>
      <c r="D3103" s="25">
        <v>0.0</v>
      </c>
      <c r="E3103" s="27"/>
      <c r="F3103" s="25">
        <v>0.0</v>
      </c>
      <c r="G3103" s="27"/>
    </row>
    <row r="3104">
      <c r="A3104" s="21"/>
      <c r="B3104" s="21" t="s">
        <v>9286</v>
      </c>
      <c r="D3104" s="25">
        <v>0.0</v>
      </c>
      <c r="E3104" s="27"/>
      <c r="F3104" s="25">
        <v>0.0</v>
      </c>
      <c r="G3104" s="27"/>
    </row>
    <row r="3105">
      <c r="A3105" s="21"/>
      <c r="B3105" s="21" t="s">
        <v>9287</v>
      </c>
      <c r="D3105" s="25">
        <v>0.0</v>
      </c>
      <c r="E3105" s="27"/>
      <c r="F3105" s="25">
        <v>0.0</v>
      </c>
      <c r="G3105" s="27"/>
    </row>
    <row r="3106">
      <c r="A3106" s="21"/>
      <c r="B3106" s="21" t="s">
        <v>9288</v>
      </c>
      <c r="D3106" s="25">
        <v>0.0</v>
      </c>
      <c r="E3106" s="27"/>
      <c r="F3106" s="25">
        <v>0.0</v>
      </c>
      <c r="G3106" s="27"/>
    </row>
    <row r="3107">
      <c r="A3107" s="21"/>
      <c r="B3107" s="21" t="s">
        <v>9289</v>
      </c>
      <c r="D3107" s="25">
        <v>0.0</v>
      </c>
      <c r="E3107" s="27"/>
      <c r="F3107" s="25">
        <v>0.0</v>
      </c>
      <c r="G3107" s="27"/>
    </row>
    <row r="3108">
      <c r="A3108" s="21"/>
      <c r="B3108" s="21" t="s">
        <v>9290</v>
      </c>
      <c r="D3108" s="25">
        <v>0.0</v>
      </c>
      <c r="E3108" s="27"/>
      <c r="F3108" s="25">
        <v>0.0</v>
      </c>
      <c r="G3108" s="27"/>
    </row>
    <row r="3109">
      <c r="A3109" s="21"/>
      <c r="B3109" s="21" t="s">
        <v>9291</v>
      </c>
      <c r="D3109" s="25">
        <v>0.0</v>
      </c>
      <c r="E3109" s="27"/>
      <c r="F3109" s="25">
        <v>0.0</v>
      </c>
      <c r="G3109" s="27"/>
    </row>
    <row r="3110">
      <c r="A3110" s="21"/>
      <c r="B3110" s="21" t="s">
        <v>9292</v>
      </c>
      <c r="D3110" s="25">
        <v>0.0</v>
      </c>
      <c r="E3110" s="27"/>
      <c r="F3110" s="25">
        <v>0.0</v>
      </c>
      <c r="G3110" s="27"/>
    </row>
    <row r="3111">
      <c r="A3111" s="21"/>
      <c r="B3111" s="21" t="s">
        <v>9293</v>
      </c>
      <c r="D3111" s="25">
        <v>0.0</v>
      </c>
      <c r="E3111" s="27"/>
      <c r="F3111" s="25">
        <v>0.0</v>
      </c>
      <c r="G3111" s="27"/>
    </row>
    <row r="3112">
      <c r="A3112" s="21"/>
      <c r="B3112" s="21" t="s">
        <v>9294</v>
      </c>
      <c r="D3112" s="25">
        <v>0.0</v>
      </c>
      <c r="E3112" s="27"/>
      <c r="F3112" s="25">
        <v>0.0</v>
      </c>
      <c r="G3112" s="27"/>
    </row>
    <row r="3113">
      <c r="A3113" s="21"/>
      <c r="B3113" s="21" t="s">
        <v>9295</v>
      </c>
      <c r="D3113" s="25">
        <v>0.0</v>
      </c>
      <c r="E3113" s="27"/>
      <c r="F3113" s="25">
        <v>0.0</v>
      </c>
      <c r="G3113" s="27"/>
    </row>
    <row r="3114">
      <c r="A3114" s="21"/>
      <c r="B3114" s="21" t="s">
        <v>9296</v>
      </c>
      <c r="D3114" s="25">
        <v>0.0</v>
      </c>
      <c r="E3114" s="27"/>
      <c r="F3114" s="25">
        <v>0.0</v>
      </c>
      <c r="G3114" s="27"/>
    </row>
    <row r="3115">
      <c r="A3115" s="21"/>
      <c r="B3115" s="21" t="s">
        <v>9297</v>
      </c>
      <c r="D3115" s="25">
        <v>0.0</v>
      </c>
      <c r="E3115" s="27"/>
      <c r="F3115" s="25">
        <v>0.0</v>
      </c>
      <c r="G3115" s="27"/>
    </row>
    <row r="3116">
      <c r="A3116" s="21"/>
      <c r="B3116" s="21" t="s">
        <v>9298</v>
      </c>
      <c r="D3116" s="25">
        <v>0.0</v>
      </c>
      <c r="E3116" s="27"/>
      <c r="F3116" s="25">
        <v>0.0</v>
      </c>
      <c r="G3116" s="27"/>
    </row>
    <row r="3117">
      <c r="A3117" s="21"/>
      <c r="B3117" s="21" t="s">
        <v>9299</v>
      </c>
      <c r="D3117" s="25">
        <v>0.0</v>
      </c>
      <c r="E3117" s="27"/>
      <c r="F3117" s="25">
        <v>0.0</v>
      </c>
      <c r="G3117" s="27"/>
    </row>
    <row r="3118">
      <c r="A3118" s="21"/>
      <c r="B3118" s="21" t="s">
        <v>9300</v>
      </c>
      <c r="D3118" s="25">
        <v>0.0</v>
      </c>
      <c r="E3118" s="27"/>
      <c r="F3118" s="25">
        <v>0.0</v>
      </c>
      <c r="G3118" s="27"/>
    </row>
    <row r="3119">
      <c r="A3119" s="21"/>
      <c r="B3119" s="21" t="s">
        <v>9301</v>
      </c>
      <c r="D3119" s="25">
        <v>0.0</v>
      </c>
      <c r="E3119" s="27"/>
      <c r="F3119" s="25">
        <v>0.0</v>
      </c>
      <c r="G3119" s="27"/>
    </row>
    <row r="3120">
      <c r="A3120" s="21"/>
      <c r="B3120" s="21" t="s">
        <v>9302</v>
      </c>
      <c r="D3120" s="25">
        <v>0.0</v>
      </c>
      <c r="E3120" s="27"/>
      <c r="F3120" s="25">
        <v>0.0</v>
      </c>
      <c r="G3120" s="27"/>
    </row>
    <row r="3121">
      <c r="A3121" s="21"/>
      <c r="B3121" s="21" t="s">
        <v>9303</v>
      </c>
      <c r="D3121" s="25">
        <v>0.0</v>
      </c>
      <c r="E3121" s="27"/>
      <c r="F3121" s="25">
        <v>0.0</v>
      </c>
      <c r="G3121" s="27"/>
    </row>
    <row r="3122">
      <c r="A3122" s="21"/>
      <c r="B3122" s="21" t="s">
        <v>9304</v>
      </c>
      <c r="D3122" s="25">
        <v>0.0</v>
      </c>
      <c r="E3122" s="27"/>
      <c r="F3122" s="25">
        <v>0.0</v>
      </c>
      <c r="G3122" s="27"/>
    </row>
    <row r="3123">
      <c r="A3123" s="21"/>
      <c r="B3123" s="21" t="s">
        <v>9305</v>
      </c>
      <c r="D3123" s="25">
        <v>0.0</v>
      </c>
      <c r="E3123" s="27"/>
      <c r="F3123" s="25">
        <v>0.0</v>
      </c>
      <c r="G3123" s="27"/>
    </row>
    <row r="3124">
      <c r="A3124" s="21"/>
      <c r="B3124" s="21" t="s">
        <v>9306</v>
      </c>
      <c r="D3124" s="25">
        <v>0.0</v>
      </c>
      <c r="E3124" s="27"/>
      <c r="F3124" s="25">
        <v>0.0</v>
      </c>
      <c r="G3124" s="27"/>
    </row>
    <row r="3125">
      <c r="A3125" s="21"/>
      <c r="B3125" s="21" t="s">
        <v>9307</v>
      </c>
      <c r="D3125" s="25">
        <v>0.0</v>
      </c>
      <c r="E3125" s="27"/>
      <c r="F3125" s="25">
        <v>0.0</v>
      </c>
      <c r="G3125" s="27"/>
    </row>
    <row r="3126">
      <c r="A3126" s="21"/>
      <c r="B3126" s="21" t="s">
        <v>9308</v>
      </c>
      <c r="D3126" s="25">
        <v>0.0</v>
      </c>
      <c r="E3126" s="27"/>
      <c r="F3126" s="25">
        <v>0.0</v>
      </c>
      <c r="G3126" s="27"/>
    </row>
    <row r="3127">
      <c r="A3127" s="21"/>
      <c r="B3127" s="21" t="s">
        <v>9309</v>
      </c>
      <c r="D3127" s="25">
        <v>0.0</v>
      </c>
      <c r="E3127" s="27"/>
      <c r="F3127" s="25">
        <v>0.0</v>
      </c>
      <c r="G3127" s="27"/>
    </row>
    <row r="3128">
      <c r="A3128" s="21"/>
      <c r="B3128" s="21" t="s">
        <v>9310</v>
      </c>
      <c r="D3128" s="25">
        <v>0.0</v>
      </c>
      <c r="E3128" s="27"/>
      <c r="F3128" s="25">
        <v>0.0</v>
      </c>
      <c r="G3128" s="27"/>
    </row>
    <row r="3129">
      <c r="A3129" s="21"/>
      <c r="B3129" s="21" t="s">
        <v>9311</v>
      </c>
      <c r="D3129" s="25">
        <v>0.0</v>
      </c>
      <c r="E3129" s="27"/>
      <c r="F3129" s="25">
        <v>0.0</v>
      </c>
      <c r="G3129" s="27"/>
    </row>
    <row r="3130">
      <c r="A3130" s="21"/>
      <c r="B3130" s="21" t="s">
        <v>9312</v>
      </c>
      <c r="D3130" s="25">
        <v>0.0</v>
      </c>
      <c r="E3130" s="27"/>
      <c r="F3130" s="25">
        <v>0.0</v>
      </c>
      <c r="G3130" s="27"/>
    </row>
    <row r="3131">
      <c r="A3131" s="21"/>
      <c r="B3131" s="21" t="s">
        <v>9313</v>
      </c>
      <c r="D3131" s="25">
        <v>0.0</v>
      </c>
      <c r="E3131" s="27"/>
      <c r="F3131" s="25">
        <v>0.0</v>
      </c>
      <c r="G3131" s="27"/>
    </row>
    <row r="3132">
      <c r="A3132" s="21"/>
      <c r="B3132" s="21" t="s">
        <v>9314</v>
      </c>
      <c r="D3132" s="25">
        <v>0.0</v>
      </c>
      <c r="E3132" s="27"/>
      <c r="F3132" s="25">
        <v>0.0</v>
      </c>
      <c r="G3132" s="27"/>
    </row>
    <row r="3133">
      <c r="A3133" s="21"/>
      <c r="B3133" s="21" t="s">
        <v>9315</v>
      </c>
      <c r="D3133" s="25">
        <v>0.0</v>
      </c>
      <c r="E3133" s="27"/>
      <c r="F3133" s="25">
        <v>0.0</v>
      </c>
      <c r="G3133" s="27"/>
    </row>
    <row r="3134">
      <c r="A3134" s="21"/>
      <c r="B3134" s="21" t="s">
        <v>9316</v>
      </c>
      <c r="D3134" s="25">
        <v>0.0</v>
      </c>
      <c r="E3134" s="27"/>
      <c r="F3134" s="25">
        <v>0.0</v>
      </c>
      <c r="G3134" s="27"/>
    </row>
    <row r="3135">
      <c r="A3135" s="21"/>
      <c r="B3135" s="21" t="s">
        <v>9317</v>
      </c>
      <c r="D3135" s="25">
        <v>0.0</v>
      </c>
      <c r="E3135" s="27"/>
      <c r="F3135" s="25">
        <v>0.0</v>
      </c>
      <c r="G3135" s="27"/>
    </row>
    <row r="3136">
      <c r="A3136" s="21"/>
      <c r="B3136" s="21" t="s">
        <v>9318</v>
      </c>
      <c r="D3136" s="25">
        <v>0.0</v>
      </c>
      <c r="E3136" s="27"/>
      <c r="F3136" s="25">
        <v>0.0</v>
      </c>
      <c r="G3136" s="27"/>
    </row>
    <row r="3137">
      <c r="A3137" s="21"/>
      <c r="B3137" s="21" t="s">
        <v>9319</v>
      </c>
      <c r="D3137" s="25">
        <v>0.0</v>
      </c>
      <c r="E3137" s="27"/>
      <c r="F3137" s="25">
        <v>0.0</v>
      </c>
      <c r="G3137" s="27"/>
    </row>
    <row r="3138">
      <c r="A3138" s="21"/>
      <c r="B3138" s="21" t="s">
        <v>9320</v>
      </c>
      <c r="D3138" s="25">
        <v>0.0</v>
      </c>
      <c r="E3138" s="27"/>
      <c r="F3138" s="25">
        <v>0.0</v>
      </c>
      <c r="G3138" s="27"/>
    </row>
    <row r="3139">
      <c r="A3139" s="21"/>
      <c r="B3139" s="21" t="s">
        <v>9321</v>
      </c>
      <c r="D3139" s="25">
        <v>0.0</v>
      </c>
      <c r="E3139" s="27"/>
      <c r="F3139" s="25">
        <v>0.0</v>
      </c>
      <c r="G3139" s="27"/>
    </row>
    <row r="3140">
      <c r="A3140" s="21"/>
      <c r="B3140" s="21" t="s">
        <v>9322</v>
      </c>
      <c r="D3140" s="25">
        <v>0.0</v>
      </c>
      <c r="E3140" s="27"/>
      <c r="F3140" s="25">
        <v>0.0</v>
      </c>
      <c r="G3140" s="27"/>
    </row>
    <row r="3141">
      <c r="A3141" s="21"/>
      <c r="B3141" s="21" t="s">
        <v>9323</v>
      </c>
      <c r="D3141" s="25">
        <v>0.0</v>
      </c>
      <c r="E3141" s="27"/>
      <c r="F3141" s="25">
        <v>0.0</v>
      </c>
      <c r="G3141" s="27"/>
    </row>
    <row r="3142">
      <c r="A3142" s="21"/>
      <c r="B3142" s="21" t="s">
        <v>9324</v>
      </c>
      <c r="D3142" s="25">
        <v>0.0</v>
      </c>
      <c r="E3142" s="27"/>
      <c r="F3142" s="25">
        <v>0.0</v>
      </c>
      <c r="G3142" s="27"/>
    </row>
    <row r="3143">
      <c r="A3143" s="21"/>
      <c r="B3143" s="21" t="s">
        <v>9325</v>
      </c>
      <c r="D3143" s="25">
        <v>0.0</v>
      </c>
      <c r="E3143" s="27"/>
      <c r="F3143" s="25">
        <v>0.0</v>
      </c>
      <c r="G3143" s="27"/>
    </row>
    <row r="3144">
      <c r="A3144" s="21"/>
      <c r="B3144" s="21" t="s">
        <v>9326</v>
      </c>
      <c r="D3144" s="25">
        <v>0.0</v>
      </c>
      <c r="E3144" s="27"/>
      <c r="F3144" s="25">
        <v>0.0</v>
      </c>
      <c r="G3144" s="27"/>
    </row>
    <row r="3145">
      <c r="A3145" s="21"/>
      <c r="B3145" s="21" t="s">
        <v>9327</v>
      </c>
      <c r="D3145" s="25">
        <v>0.0</v>
      </c>
      <c r="E3145" s="27"/>
      <c r="F3145" s="25">
        <v>0.0</v>
      </c>
      <c r="G3145" s="27"/>
    </row>
    <row r="3146">
      <c r="A3146" s="21"/>
      <c r="B3146" s="21" t="s">
        <v>9328</v>
      </c>
      <c r="D3146" s="25">
        <v>0.0</v>
      </c>
      <c r="E3146" s="27"/>
      <c r="F3146" s="25">
        <v>0.0</v>
      </c>
      <c r="G3146" s="27"/>
    </row>
    <row r="3147">
      <c r="A3147" s="21"/>
      <c r="B3147" s="21" t="s">
        <v>9329</v>
      </c>
      <c r="D3147" s="25">
        <v>0.0</v>
      </c>
      <c r="E3147" s="27"/>
      <c r="F3147" s="25">
        <v>0.0</v>
      </c>
      <c r="G3147" s="27"/>
    </row>
    <row r="3148">
      <c r="A3148" s="21"/>
      <c r="B3148" s="21" t="s">
        <v>9330</v>
      </c>
      <c r="D3148" s="25">
        <v>0.0</v>
      </c>
      <c r="E3148" s="27"/>
      <c r="F3148" s="25">
        <v>0.0</v>
      </c>
      <c r="G3148" s="27"/>
    </row>
    <row r="3149">
      <c r="A3149" s="21"/>
      <c r="B3149" s="21" t="s">
        <v>9331</v>
      </c>
      <c r="D3149" s="25">
        <v>0.0</v>
      </c>
      <c r="E3149" s="27"/>
      <c r="F3149" s="25">
        <v>0.0</v>
      </c>
      <c r="G3149" s="27"/>
    </row>
    <row r="3150">
      <c r="A3150" s="21"/>
      <c r="B3150" s="21" t="s">
        <v>9332</v>
      </c>
      <c r="D3150" s="25">
        <v>0.0</v>
      </c>
      <c r="E3150" s="27"/>
      <c r="F3150" s="25">
        <v>0.0</v>
      </c>
      <c r="G3150" s="27"/>
    </row>
    <row r="3151">
      <c r="A3151" s="21"/>
      <c r="B3151" s="21" t="s">
        <v>9333</v>
      </c>
      <c r="D3151" s="25">
        <v>0.0</v>
      </c>
      <c r="E3151" s="27"/>
      <c r="F3151" s="25">
        <v>0.0</v>
      </c>
      <c r="G3151" s="27"/>
    </row>
    <row r="3152">
      <c r="A3152" s="21"/>
      <c r="B3152" s="21" t="s">
        <v>9334</v>
      </c>
      <c r="D3152" s="25">
        <v>0.0</v>
      </c>
      <c r="E3152" s="27"/>
      <c r="F3152" s="25">
        <v>0.0</v>
      </c>
      <c r="G3152" s="27"/>
    </row>
    <row r="3153">
      <c r="A3153" s="21"/>
      <c r="B3153" s="21" t="s">
        <v>9335</v>
      </c>
      <c r="D3153" s="25">
        <v>0.0</v>
      </c>
      <c r="E3153" s="27"/>
      <c r="F3153" s="25">
        <v>0.0</v>
      </c>
      <c r="G3153" s="27"/>
    </row>
    <row r="3154">
      <c r="A3154" s="21"/>
      <c r="B3154" s="21" t="s">
        <v>9336</v>
      </c>
      <c r="D3154" s="25">
        <v>0.0</v>
      </c>
      <c r="E3154" s="27"/>
      <c r="F3154" s="25">
        <v>0.0</v>
      </c>
      <c r="G3154" s="27"/>
    </row>
    <row r="3155">
      <c r="A3155" s="21"/>
      <c r="B3155" s="21" t="s">
        <v>9337</v>
      </c>
      <c r="D3155" s="25">
        <v>0.0</v>
      </c>
      <c r="E3155" s="27"/>
      <c r="F3155" s="25">
        <v>0.0</v>
      </c>
      <c r="G3155" s="27"/>
    </row>
    <row r="3156">
      <c r="A3156" s="21"/>
      <c r="B3156" s="21" t="s">
        <v>9338</v>
      </c>
      <c r="D3156" s="25">
        <v>0.0</v>
      </c>
      <c r="E3156" s="27"/>
      <c r="F3156" s="25">
        <v>0.0</v>
      </c>
      <c r="G3156" s="27"/>
    </row>
    <row r="3157">
      <c r="A3157" s="21"/>
      <c r="B3157" s="21" t="s">
        <v>9339</v>
      </c>
      <c r="D3157" s="25">
        <v>0.0</v>
      </c>
      <c r="E3157" s="27"/>
      <c r="F3157" s="25">
        <v>0.0</v>
      </c>
      <c r="G3157" s="27"/>
    </row>
    <row r="3158">
      <c r="A3158" s="21"/>
      <c r="B3158" s="21" t="s">
        <v>9340</v>
      </c>
      <c r="D3158" s="25">
        <v>0.0</v>
      </c>
      <c r="E3158" s="27"/>
      <c r="F3158" s="25">
        <v>0.0</v>
      </c>
      <c r="G3158" s="27"/>
    </row>
    <row r="3159">
      <c r="A3159" s="21"/>
      <c r="B3159" s="21" t="s">
        <v>9341</v>
      </c>
      <c r="D3159" s="25">
        <v>0.0</v>
      </c>
      <c r="E3159" s="27"/>
      <c r="F3159" s="25">
        <v>0.0</v>
      </c>
      <c r="G3159" s="27"/>
    </row>
    <row r="3160">
      <c r="A3160" s="21"/>
      <c r="B3160" s="21" t="s">
        <v>9342</v>
      </c>
      <c r="D3160" s="25">
        <v>0.0</v>
      </c>
      <c r="E3160" s="27"/>
      <c r="F3160" s="25">
        <v>0.0</v>
      </c>
      <c r="G3160" s="27"/>
    </row>
    <row r="3161">
      <c r="A3161" s="21"/>
      <c r="B3161" s="21" t="s">
        <v>9343</v>
      </c>
      <c r="D3161" s="25">
        <v>0.0</v>
      </c>
      <c r="E3161" s="27"/>
      <c r="F3161" s="25">
        <v>0.0</v>
      </c>
      <c r="G3161" s="27"/>
    </row>
    <row r="3162">
      <c r="A3162" s="21"/>
      <c r="B3162" s="21" t="s">
        <v>9344</v>
      </c>
      <c r="D3162" s="25">
        <v>0.0</v>
      </c>
      <c r="E3162" s="27"/>
      <c r="F3162" s="25">
        <v>0.0</v>
      </c>
      <c r="G3162" s="27"/>
    </row>
    <row r="3163">
      <c r="A3163" s="21"/>
      <c r="B3163" s="21" t="s">
        <v>9345</v>
      </c>
      <c r="D3163" s="25">
        <v>0.0</v>
      </c>
      <c r="E3163" s="27"/>
      <c r="F3163" s="25">
        <v>0.0</v>
      </c>
      <c r="G3163" s="27"/>
    </row>
    <row r="3164">
      <c r="A3164" s="21"/>
      <c r="B3164" s="21" t="s">
        <v>9346</v>
      </c>
      <c r="D3164" s="25">
        <v>0.0</v>
      </c>
      <c r="E3164" s="27"/>
      <c r="F3164" s="25">
        <v>0.0</v>
      </c>
      <c r="G3164" s="27"/>
    </row>
    <row r="3165">
      <c r="A3165" s="21"/>
      <c r="B3165" s="21" t="s">
        <v>9347</v>
      </c>
      <c r="D3165" s="25">
        <v>0.0</v>
      </c>
      <c r="E3165" s="27"/>
      <c r="F3165" s="25">
        <v>0.0</v>
      </c>
      <c r="G3165" s="27"/>
    </row>
    <row r="3166">
      <c r="A3166" s="21"/>
      <c r="B3166" s="21" t="s">
        <v>9348</v>
      </c>
      <c r="D3166" s="25">
        <v>0.0</v>
      </c>
      <c r="E3166" s="27"/>
      <c r="F3166" s="25">
        <v>0.0</v>
      </c>
      <c r="G3166" s="27"/>
    </row>
    <row r="3167">
      <c r="A3167" s="21"/>
      <c r="B3167" s="21" t="s">
        <v>9349</v>
      </c>
      <c r="D3167" s="25">
        <v>0.0</v>
      </c>
      <c r="E3167" s="27"/>
      <c r="F3167" s="25">
        <v>0.0</v>
      </c>
      <c r="G3167" s="27"/>
    </row>
    <row r="3168">
      <c r="A3168" s="21"/>
      <c r="B3168" s="21" t="s">
        <v>9350</v>
      </c>
      <c r="D3168" s="25">
        <v>0.0</v>
      </c>
      <c r="E3168" s="27"/>
      <c r="F3168" s="25">
        <v>0.0</v>
      </c>
      <c r="G3168" s="27"/>
    </row>
    <row r="3169">
      <c r="A3169" s="21"/>
      <c r="B3169" s="21" t="s">
        <v>9351</v>
      </c>
      <c r="D3169" s="25">
        <v>0.0</v>
      </c>
      <c r="E3169" s="27"/>
      <c r="F3169" s="25">
        <v>0.0</v>
      </c>
      <c r="G3169" s="27"/>
    </row>
    <row r="3170">
      <c r="A3170" s="21"/>
      <c r="B3170" s="21" t="s">
        <v>9352</v>
      </c>
      <c r="D3170" s="25">
        <v>0.0</v>
      </c>
      <c r="E3170" s="27"/>
      <c r="F3170" s="25">
        <v>0.0</v>
      </c>
      <c r="G3170" s="27"/>
    </row>
    <row r="3171">
      <c r="A3171" s="21"/>
      <c r="B3171" s="21" t="s">
        <v>9353</v>
      </c>
      <c r="D3171" s="25">
        <v>0.0</v>
      </c>
      <c r="E3171" s="27"/>
      <c r="F3171" s="25">
        <v>0.0</v>
      </c>
      <c r="G3171" s="27"/>
    </row>
    <row r="3172">
      <c r="A3172" s="21"/>
      <c r="B3172" s="21" t="s">
        <v>9354</v>
      </c>
      <c r="D3172" s="25">
        <v>0.0</v>
      </c>
      <c r="E3172" s="27"/>
      <c r="F3172" s="25">
        <v>0.0</v>
      </c>
      <c r="G3172" s="27"/>
    </row>
    <row r="3173">
      <c r="A3173" s="21"/>
      <c r="B3173" s="21" t="s">
        <v>9355</v>
      </c>
      <c r="D3173" s="25">
        <v>0.0</v>
      </c>
      <c r="E3173" s="27"/>
      <c r="F3173" s="25">
        <v>0.0</v>
      </c>
      <c r="G3173" s="27"/>
    </row>
    <row r="3174">
      <c r="A3174" s="21"/>
      <c r="B3174" s="21" t="s">
        <v>9356</v>
      </c>
      <c r="D3174" s="25">
        <v>0.0</v>
      </c>
      <c r="E3174" s="27"/>
      <c r="F3174" s="25">
        <v>0.0</v>
      </c>
      <c r="G3174" s="27"/>
    </row>
    <row r="3175">
      <c r="A3175" s="21"/>
      <c r="B3175" s="21" t="s">
        <v>9357</v>
      </c>
      <c r="D3175" s="25">
        <v>0.0</v>
      </c>
      <c r="E3175" s="27"/>
      <c r="F3175" s="25">
        <v>0.0</v>
      </c>
      <c r="G3175" s="27"/>
    </row>
    <row r="3176">
      <c r="A3176" s="21"/>
      <c r="B3176" s="21" t="s">
        <v>9358</v>
      </c>
      <c r="D3176" s="25">
        <v>0.0</v>
      </c>
      <c r="E3176" s="27"/>
      <c r="F3176" s="25">
        <v>0.0</v>
      </c>
      <c r="G3176" s="27"/>
    </row>
    <row r="3177">
      <c r="A3177" s="21"/>
      <c r="B3177" s="21" t="s">
        <v>4667</v>
      </c>
      <c r="D3177" s="25">
        <v>0.0</v>
      </c>
      <c r="E3177" s="27"/>
      <c r="F3177" s="25">
        <v>0.0</v>
      </c>
      <c r="G3177" s="27"/>
    </row>
    <row r="3178">
      <c r="A3178" s="21"/>
      <c r="B3178" s="21" t="s">
        <v>9359</v>
      </c>
      <c r="D3178" s="25">
        <v>0.0</v>
      </c>
      <c r="E3178" s="27"/>
      <c r="F3178" s="25">
        <v>0.0</v>
      </c>
      <c r="G3178" s="27"/>
    </row>
    <row r="3179">
      <c r="A3179" s="21"/>
      <c r="B3179" s="21" t="s">
        <v>9360</v>
      </c>
      <c r="D3179" s="25">
        <v>0.0</v>
      </c>
      <c r="E3179" s="27"/>
      <c r="F3179" s="25">
        <v>0.0</v>
      </c>
      <c r="G3179" s="27"/>
    </row>
    <row r="3180">
      <c r="A3180" s="21"/>
      <c r="B3180" s="21" t="s">
        <v>9361</v>
      </c>
      <c r="D3180" s="25">
        <v>0.0</v>
      </c>
      <c r="E3180" s="27"/>
      <c r="F3180" s="25">
        <v>0.0</v>
      </c>
      <c r="G3180" s="27"/>
    </row>
    <row r="3181">
      <c r="A3181" s="21"/>
      <c r="B3181" s="21" t="s">
        <v>9362</v>
      </c>
      <c r="D3181" s="25">
        <v>0.0</v>
      </c>
      <c r="E3181" s="27"/>
      <c r="F3181" s="25">
        <v>0.0</v>
      </c>
      <c r="G3181" s="27"/>
    </row>
    <row r="3182">
      <c r="A3182" s="21"/>
      <c r="B3182" s="21" t="s">
        <v>9363</v>
      </c>
      <c r="D3182" s="25">
        <v>0.0</v>
      </c>
      <c r="E3182" s="27"/>
      <c r="F3182" s="25">
        <v>0.0</v>
      </c>
      <c r="G3182" s="27"/>
    </row>
    <row r="3183">
      <c r="A3183" s="21"/>
      <c r="B3183" s="21" t="s">
        <v>9364</v>
      </c>
      <c r="D3183" s="25">
        <v>0.0</v>
      </c>
      <c r="E3183" s="27"/>
      <c r="F3183" s="25">
        <v>0.0</v>
      </c>
      <c r="G3183" s="27"/>
    </row>
    <row r="3184">
      <c r="A3184" s="21"/>
      <c r="B3184" s="21" t="s">
        <v>9365</v>
      </c>
      <c r="D3184" s="25">
        <v>0.0</v>
      </c>
      <c r="E3184" s="27"/>
      <c r="F3184" s="25">
        <v>0.0</v>
      </c>
      <c r="G3184" s="27"/>
    </row>
    <row r="3185">
      <c r="A3185" s="21"/>
      <c r="B3185" s="21" t="s">
        <v>9366</v>
      </c>
      <c r="D3185" s="25">
        <v>0.0</v>
      </c>
      <c r="E3185" s="27"/>
      <c r="F3185" s="25">
        <v>0.0</v>
      </c>
      <c r="G3185" s="27"/>
    </row>
    <row r="3186">
      <c r="A3186" s="21"/>
      <c r="B3186" s="21" t="s">
        <v>9367</v>
      </c>
      <c r="D3186" s="25">
        <v>0.0</v>
      </c>
      <c r="E3186" s="27"/>
      <c r="F3186" s="25">
        <v>0.0</v>
      </c>
      <c r="G3186" s="27"/>
    </row>
    <row r="3187">
      <c r="A3187" s="21"/>
      <c r="B3187" s="21" t="s">
        <v>9368</v>
      </c>
      <c r="D3187" s="25">
        <v>0.0</v>
      </c>
      <c r="E3187" s="27"/>
      <c r="F3187" s="25">
        <v>0.0</v>
      </c>
      <c r="G3187" s="27"/>
    </row>
    <row r="3188">
      <c r="A3188" s="21"/>
      <c r="B3188" s="21" t="s">
        <v>9369</v>
      </c>
      <c r="D3188" s="25">
        <v>0.0</v>
      </c>
      <c r="E3188" s="27"/>
      <c r="F3188" s="25">
        <v>0.0</v>
      </c>
      <c r="G3188" s="27"/>
    </row>
    <row r="3189">
      <c r="A3189" s="21"/>
      <c r="B3189" s="21" t="s">
        <v>9370</v>
      </c>
      <c r="D3189" s="25">
        <v>0.0</v>
      </c>
      <c r="E3189" s="27"/>
      <c r="F3189" s="25">
        <v>0.0</v>
      </c>
      <c r="G3189" s="27"/>
    </row>
    <row r="3190">
      <c r="A3190" s="21"/>
      <c r="B3190" s="21" t="s">
        <v>9371</v>
      </c>
      <c r="D3190" s="25">
        <v>0.0</v>
      </c>
      <c r="E3190" s="27"/>
      <c r="F3190" s="25">
        <v>0.0</v>
      </c>
      <c r="G3190" s="27"/>
    </row>
    <row r="3191">
      <c r="A3191" s="21"/>
      <c r="B3191" s="21" t="s">
        <v>9372</v>
      </c>
      <c r="D3191" s="25">
        <v>0.0</v>
      </c>
      <c r="E3191" s="27"/>
      <c r="F3191" s="25">
        <v>0.0</v>
      </c>
      <c r="G3191" s="27"/>
    </row>
    <row r="3192">
      <c r="A3192" s="21"/>
      <c r="B3192" s="21" t="s">
        <v>9373</v>
      </c>
      <c r="D3192" s="25">
        <v>0.0</v>
      </c>
      <c r="E3192" s="27"/>
      <c r="F3192" s="25">
        <v>0.0</v>
      </c>
      <c r="G3192" s="27"/>
    </row>
    <row r="3193">
      <c r="A3193" s="21"/>
      <c r="B3193" s="21" t="s">
        <v>9374</v>
      </c>
      <c r="D3193" s="25">
        <v>0.0</v>
      </c>
      <c r="E3193" s="27"/>
      <c r="F3193" s="25">
        <v>0.0</v>
      </c>
      <c r="G3193" s="27"/>
    </row>
    <row r="3194">
      <c r="A3194" s="21"/>
      <c r="B3194" s="21" t="s">
        <v>9375</v>
      </c>
      <c r="D3194" s="25">
        <v>0.0</v>
      </c>
      <c r="E3194" s="27"/>
      <c r="F3194" s="25">
        <v>0.0</v>
      </c>
      <c r="G3194" s="27"/>
    </row>
    <row r="3195">
      <c r="A3195" s="21"/>
      <c r="B3195" s="21" t="s">
        <v>9376</v>
      </c>
      <c r="D3195" s="25">
        <v>0.0</v>
      </c>
      <c r="E3195" s="27"/>
      <c r="F3195" s="25">
        <v>0.0</v>
      </c>
      <c r="G3195" s="27"/>
    </row>
    <row r="3196">
      <c r="A3196" s="21"/>
      <c r="B3196" s="21" t="s">
        <v>9377</v>
      </c>
      <c r="D3196" s="25">
        <v>0.0</v>
      </c>
      <c r="E3196" s="27"/>
      <c r="F3196" s="25">
        <v>0.0</v>
      </c>
      <c r="G3196" s="27"/>
    </row>
    <row r="3197">
      <c r="A3197" s="21"/>
      <c r="B3197" s="21" t="s">
        <v>9378</v>
      </c>
      <c r="D3197" s="25">
        <v>0.0</v>
      </c>
      <c r="E3197" s="27"/>
      <c r="F3197" s="25">
        <v>0.0</v>
      </c>
      <c r="G3197" s="27"/>
    </row>
    <row r="3198">
      <c r="A3198" s="21"/>
      <c r="B3198" s="21" t="s">
        <v>9379</v>
      </c>
      <c r="D3198" s="25">
        <v>0.0</v>
      </c>
      <c r="E3198" s="27"/>
      <c r="F3198" s="25">
        <v>0.0</v>
      </c>
      <c r="G3198" s="27"/>
    </row>
    <row r="3199">
      <c r="A3199" s="21"/>
      <c r="B3199" s="21" t="s">
        <v>9380</v>
      </c>
      <c r="D3199" s="25">
        <v>0.0</v>
      </c>
      <c r="E3199" s="27"/>
      <c r="F3199" s="25">
        <v>0.0</v>
      </c>
      <c r="G3199" s="27"/>
    </row>
    <row r="3200">
      <c r="A3200" s="21"/>
      <c r="B3200" s="21" t="s">
        <v>9381</v>
      </c>
      <c r="D3200" s="25">
        <v>0.0</v>
      </c>
      <c r="E3200" s="27"/>
      <c r="F3200" s="25">
        <v>0.0</v>
      </c>
      <c r="G3200" s="27"/>
    </row>
    <row r="3201">
      <c r="A3201" s="21"/>
      <c r="B3201" s="21" t="s">
        <v>9382</v>
      </c>
      <c r="D3201" s="25">
        <v>0.0</v>
      </c>
      <c r="E3201" s="27"/>
      <c r="F3201" s="25">
        <v>0.0</v>
      </c>
      <c r="G3201" s="27"/>
    </row>
    <row r="3202">
      <c r="A3202" s="21"/>
      <c r="B3202" s="21" t="s">
        <v>9383</v>
      </c>
      <c r="D3202" s="25">
        <v>0.0</v>
      </c>
      <c r="E3202" s="27"/>
      <c r="F3202" s="25">
        <v>0.0</v>
      </c>
      <c r="G3202" s="27"/>
    </row>
    <row r="3203">
      <c r="A3203" s="21"/>
      <c r="B3203" s="21" t="s">
        <v>9384</v>
      </c>
      <c r="D3203" s="25">
        <v>0.0</v>
      </c>
      <c r="E3203" s="27"/>
      <c r="F3203" s="25">
        <v>0.0</v>
      </c>
      <c r="G3203" s="27"/>
    </row>
    <row r="3204">
      <c r="A3204" s="21"/>
      <c r="B3204" s="21" t="s">
        <v>4668</v>
      </c>
      <c r="D3204" s="25">
        <v>0.0</v>
      </c>
      <c r="E3204" s="27"/>
      <c r="F3204" s="25">
        <v>0.0</v>
      </c>
      <c r="G3204" s="27"/>
    </row>
    <row r="3205">
      <c r="A3205" s="21"/>
      <c r="B3205" s="21" t="s">
        <v>9385</v>
      </c>
      <c r="D3205" s="25">
        <v>0.0</v>
      </c>
      <c r="E3205" s="27"/>
      <c r="F3205" s="25">
        <v>0.0</v>
      </c>
      <c r="G3205" s="27"/>
    </row>
    <row r="3206">
      <c r="A3206" s="21"/>
      <c r="B3206" s="21" t="s">
        <v>9386</v>
      </c>
      <c r="D3206" s="25">
        <v>0.0</v>
      </c>
      <c r="E3206" s="27"/>
      <c r="F3206" s="25">
        <v>0.0</v>
      </c>
      <c r="G3206" s="27"/>
    </row>
    <row r="3207">
      <c r="A3207" s="21"/>
      <c r="B3207" s="21" t="s">
        <v>9387</v>
      </c>
      <c r="D3207" s="25">
        <v>0.0</v>
      </c>
      <c r="E3207" s="27"/>
      <c r="F3207" s="25">
        <v>0.0</v>
      </c>
      <c r="G3207" s="27"/>
    </row>
    <row r="3208">
      <c r="A3208" s="21"/>
      <c r="B3208" s="21" t="s">
        <v>9388</v>
      </c>
      <c r="D3208" s="25">
        <v>0.0</v>
      </c>
      <c r="E3208" s="27"/>
      <c r="F3208" s="25">
        <v>0.0</v>
      </c>
      <c r="G3208" s="27"/>
    </row>
    <row r="3209">
      <c r="A3209" s="21"/>
      <c r="B3209" s="21" t="s">
        <v>9389</v>
      </c>
      <c r="D3209" s="25">
        <v>0.0</v>
      </c>
      <c r="E3209" s="27"/>
      <c r="F3209" s="25">
        <v>0.0</v>
      </c>
      <c r="G3209" s="27"/>
    </row>
    <row r="3210">
      <c r="A3210" s="21"/>
      <c r="B3210" s="21" t="s">
        <v>9390</v>
      </c>
      <c r="D3210" s="25">
        <v>0.0</v>
      </c>
      <c r="E3210" s="27"/>
      <c r="F3210" s="25">
        <v>0.0</v>
      </c>
      <c r="G3210" s="27"/>
    </row>
    <row r="3211">
      <c r="A3211" s="21"/>
      <c r="B3211" s="21" t="s">
        <v>9391</v>
      </c>
      <c r="D3211" s="25">
        <v>0.0</v>
      </c>
      <c r="E3211" s="27"/>
      <c r="F3211" s="25">
        <v>0.0</v>
      </c>
      <c r="G3211" s="27"/>
    </row>
    <row r="3212">
      <c r="A3212" s="21"/>
      <c r="B3212" s="21" t="s">
        <v>9392</v>
      </c>
      <c r="D3212" s="25">
        <v>0.0</v>
      </c>
      <c r="E3212" s="27"/>
      <c r="F3212" s="25">
        <v>0.0</v>
      </c>
      <c r="G3212" s="27"/>
    </row>
    <row r="3213">
      <c r="A3213" s="21"/>
      <c r="B3213" s="21" t="s">
        <v>9393</v>
      </c>
      <c r="D3213" s="25">
        <v>0.0</v>
      </c>
      <c r="E3213" s="27"/>
      <c r="F3213" s="25">
        <v>0.0</v>
      </c>
      <c r="G3213" s="27"/>
    </row>
    <row r="3214">
      <c r="A3214" s="21"/>
      <c r="B3214" s="21" t="s">
        <v>9394</v>
      </c>
      <c r="D3214" s="25">
        <v>0.0</v>
      </c>
      <c r="E3214" s="27"/>
      <c r="F3214" s="25">
        <v>0.0</v>
      </c>
      <c r="G3214" s="27"/>
    </row>
    <row r="3215">
      <c r="A3215" s="21"/>
      <c r="B3215" s="21" t="s">
        <v>9395</v>
      </c>
      <c r="D3215" s="25">
        <v>0.0</v>
      </c>
      <c r="E3215" s="27"/>
      <c r="F3215" s="25">
        <v>0.0</v>
      </c>
      <c r="G3215" s="27"/>
    </row>
    <row r="3216">
      <c r="A3216" s="21"/>
      <c r="B3216" s="21" t="s">
        <v>9396</v>
      </c>
      <c r="D3216" s="25">
        <v>0.0</v>
      </c>
      <c r="E3216" s="27"/>
      <c r="F3216" s="25">
        <v>0.0</v>
      </c>
      <c r="G3216" s="27"/>
    </row>
    <row r="3217">
      <c r="A3217" s="21"/>
      <c r="B3217" s="21" t="s">
        <v>9397</v>
      </c>
      <c r="D3217" s="25">
        <v>0.0</v>
      </c>
      <c r="E3217" s="27"/>
      <c r="F3217" s="25">
        <v>0.0</v>
      </c>
      <c r="G3217" s="27"/>
    </row>
    <row r="3218">
      <c r="A3218" s="21"/>
      <c r="B3218" s="21" t="s">
        <v>9398</v>
      </c>
      <c r="D3218" s="25">
        <v>0.0</v>
      </c>
      <c r="E3218" s="27"/>
      <c r="F3218" s="25">
        <v>0.0</v>
      </c>
      <c r="G3218" s="27"/>
    </row>
    <row r="3219">
      <c r="A3219" s="21"/>
      <c r="B3219" s="21" t="s">
        <v>9399</v>
      </c>
      <c r="D3219" s="25">
        <v>0.0</v>
      </c>
      <c r="E3219" s="27"/>
      <c r="F3219" s="25">
        <v>0.0</v>
      </c>
      <c r="G3219" s="27"/>
    </row>
    <row r="3220">
      <c r="A3220" s="21"/>
      <c r="B3220" s="21" t="s">
        <v>9400</v>
      </c>
      <c r="D3220" s="25">
        <v>0.0</v>
      </c>
      <c r="E3220" s="27"/>
      <c r="F3220" s="25">
        <v>3.87</v>
      </c>
      <c r="G3220" s="27"/>
    </row>
    <row r="3221">
      <c r="A3221" s="21"/>
      <c r="B3221" s="21" t="s">
        <v>9401</v>
      </c>
      <c r="D3221" s="25">
        <v>0.0</v>
      </c>
      <c r="E3221" s="27"/>
      <c r="F3221" s="25">
        <v>3.87</v>
      </c>
      <c r="G3221" s="27"/>
    </row>
    <row r="3222">
      <c r="A3222" s="21"/>
      <c r="B3222" s="21" t="s">
        <v>9402</v>
      </c>
      <c r="D3222" s="25">
        <v>0.0</v>
      </c>
      <c r="E3222" s="27"/>
      <c r="F3222" s="25">
        <v>0.0</v>
      </c>
      <c r="G3222" s="27"/>
    </row>
    <row r="3223">
      <c r="A3223" s="21"/>
      <c r="B3223" s="21" t="s">
        <v>9403</v>
      </c>
      <c r="D3223" s="25">
        <v>0.0</v>
      </c>
      <c r="E3223" s="27"/>
      <c r="F3223" s="25">
        <v>0.0</v>
      </c>
      <c r="G3223" s="27"/>
    </row>
    <row r="3224">
      <c r="A3224" s="21"/>
      <c r="B3224" s="21" t="s">
        <v>9404</v>
      </c>
      <c r="D3224" s="25">
        <v>0.0</v>
      </c>
      <c r="E3224" s="27"/>
      <c r="F3224" s="25">
        <v>0.0</v>
      </c>
      <c r="G3224" s="27"/>
    </row>
    <row r="3225">
      <c r="A3225" s="21"/>
      <c r="B3225" s="21" t="s">
        <v>9405</v>
      </c>
      <c r="D3225" s="25">
        <v>0.0</v>
      </c>
      <c r="E3225" s="27"/>
      <c r="F3225" s="25">
        <v>0.0</v>
      </c>
      <c r="G3225" s="27"/>
    </row>
    <row r="3226">
      <c r="A3226" s="21"/>
      <c r="B3226" s="21" t="s">
        <v>9406</v>
      </c>
      <c r="D3226" s="25">
        <v>0.0</v>
      </c>
      <c r="E3226" s="27"/>
      <c r="F3226" s="25">
        <v>0.0</v>
      </c>
      <c r="G3226" s="27"/>
    </row>
    <row r="3227">
      <c r="A3227" s="21"/>
      <c r="B3227" s="21" t="s">
        <v>9407</v>
      </c>
      <c r="D3227" s="25">
        <v>0.0</v>
      </c>
      <c r="E3227" s="27"/>
      <c r="F3227" s="25">
        <v>0.0</v>
      </c>
      <c r="G3227" s="27"/>
    </row>
    <row r="3228">
      <c r="A3228" s="21"/>
      <c r="B3228" s="21" t="s">
        <v>9408</v>
      </c>
      <c r="D3228" s="25">
        <v>0.0</v>
      </c>
      <c r="E3228" s="27"/>
      <c r="F3228" s="25">
        <v>0.0</v>
      </c>
      <c r="G3228" s="27"/>
    </row>
    <row r="3229">
      <c r="A3229" s="21"/>
      <c r="B3229" s="21" t="s">
        <v>9409</v>
      </c>
      <c r="D3229" s="25">
        <v>0.0</v>
      </c>
      <c r="E3229" s="27"/>
      <c r="F3229" s="25">
        <v>0.0</v>
      </c>
      <c r="G3229" s="27"/>
    </row>
    <row r="3230">
      <c r="A3230" s="21"/>
      <c r="B3230" s="21" t="s">
        <v>9410</v>
      </c>
      <c r="D3230" s="25">
        <v>0.0</v>
      </c>
      <c r="E3230" s="27"/>
      <c r="F3230" s="25">
        <v>0.0</v>
      </c>
      <c r="G3230" s="27"/>
    </row>
    <row r="3231">
      <c r="A3231" s="21"/>
      <c r="B3231" s="21" t="s">
        <v>9411</v>
      </c>
      <c r="D3231" s="25">
        <v>0.0</v>
      </c>
      <c r="E3231" s="27"/>
      <c r="F3231" s="25">
        <v>0.0</v>
      </c>
      <c r="G3231" s="27"/>
    </row>
    <row r="3232">
      <c r="A3232" s="21"/>
      <c r="B3232" s="21" t="s">
        <v>9412</v>
      </c>
      <c r="D3232" s="25">
        <v>0.0</v>
      </c>
      <c r="E3232" s="27"/>
      <c r="F3232" s="25">
        <v>0.0</v>
      </c>
      <c r="G3232" s="27"/>
    </row>
    <row r="3233">
      <c r="A3233" s="21"/>
      <c r="B3233" s="21" t="s">
        <v>9413</v>
      </c>
      <c r="D3233" s="25">
        <v>0.0</v>
      </c>
      <c r="E3233" s="27"/>
      <c r="F3233" s="25">
        <v>0.0</v>
      </c>
      <c r="G3233" s="27"/>
    </row>
    <row r="3234">
      <c r="A3234" s="21"/>
      <c r="B3234" s="21" t="s">
        <v>9414</v>
      </c>
      <c r="D3234" s="25">
        <v>0.0</v>
      </c>
      <c r="E3234" s="27"/>
      <c r="F3234" s="25">
        <v>0.0</v>
      </c>
      <c r="G3234" s="27"/>
    </row>
    <row r="3235">
      <c r="A3235" s="21"/>
      <c r="B3235" s="21" t="s">
        <v>9415</v>
      </c>
      <c r="D3235" s="25">
        <v>0.0</v>
      </c>
      <c r="E3235" s="27"/>
      <c r="F3235" s="25">
        <v>0.0</v>
      </c>
      <c r="G3235" s="27"/>
    </row>
    <row r="3236">
      <c r="A3236" s="21"/>
      <c r="B3236" s="21" t="s">
        <v>9416</v>
      </c>
      <c r="D3236" s="25">
        <v>0.0</v>
      </c>
      <c r="E3236" s="27"/>
      <c r="F3236" s="25">
        <v>0.0</v>
      </c>
      <c r="G3236" s="27"/>
    </row>
    <row r="3237">
      <c r="A3237" s="21"/>
      <c r="B3237" s="21" t="s">
        <v>9417</v>
      </c>
      <c r="D3237" s="25">
        <v>0.0</v>
      </c>
      <c r="E3237" s="27"/>
      <c r="F3237" s="25">
        <v>0.0</v>
      </c>
      <c r="G3237" s="27"/>
    </row>
    <row r="3238">
      <c r="A3238" s="21"/>
      <c r="B3238" s="21" t="s">
        <v>9418</v>
      </c>
      <c r="D3238" s="25">
        <v>0.0</v>
      </c>
      <c r="E3238" s="27"/>
      <c r="F3238" s="25">
        <v>0.0</v>
      </c>
      <c r="G3238" s="27"/>
    </row>
    <row r="3239">
      <c r="A3239" s="21"/>
      <c r="B3239" s="21" t="s">
        <v>9419</v>
      </c>
      <c r="D3239" s="25">
        <v>0.0</v>
      </c>
      <c r="E3239" s="27"/>
      <c r="F3239" s="25">
        <v>0.0</v>
      </c>
      <c r="G3239" s="27"/>
    </row>
    <row r="3240">
      <c r="A3240" s="21"/>
      <c r="B3240" s="21" t="s">
        <v>9420</v>
      </c>
      <c r="D3240" s="25">
        <v>0.0</v>
      </c>
      <c r="E3240" s="27"/>
      <c r="F3240" s="25">
        <v>0.0</v>
      </c>
      <c r="G3240" s="27"/>
    </row>
    <row r="3241">
      <c r="A3241" s="21"/>
      <c r="B3241" s="21" t="s">
        <v>9421</v>
      </c>
      <c r="D3241" s="25">
        <v>0.0</v>
      </c>
      <c r="E3241" s="27"/>
      <c r="F3241" s="25">
        <v>0.0</v>
      </c>
      <c r="G3241" s="27"/>
    </row>
    <row r="3242">
      <c r="A3242" s="21"/>
      <c r="B3242" s="21" t="s">
        <v>9422</v>
      </c>
      <c r="D3242" s="25">
        <v>0.0</v>
      </c>
      <c r="E3242" s="27"/>
      <c r="F3242" s="25">
        <v>0.0</v>
      </c>
      <c r="G3242" s="27"/>
    </row>
    <row r="3243">
      <c r="A3243" s="21"/>
      <c r="B3243" s="21" t="s">
        <v>9423</v>
      </c>
      <c r="D3243" s="25">
        <v>0.0</v>
      </c>
      <c r="E3243" s="27"/>
      <c r="F3243" s="25">
        <v>0.0</v>
      </c>
      <c r="G3243" s="27"/>
    </row>
    <row r="3244">
      <c r="A3244" s="21"/>
      <c r="B3244" s="21" t="s">
        <v>9424</v>
      </c>
      <c r="D3244" s="25">
        <v>0.0</v>
      </c>
      <c r="E3244" s="27"/>
      <c r="F3244" s="25">
        <v>0.0</v>
      </c>
      <c r="G3244" s="27"/>
    </row>
    <row r="3245">
      <c r="A3245" s="21"/>
      <c r="B3245" s="21" t="s">
        <v>9425</v>
      </c>
      <c r="D3245" s="25">
        <v>0.0</v>
      </c>
      <c r="E3245" s="27"/>
      <c r="F3245" s="25">
        <v>0.0</v>
      </c>
      <c r="G3245" s="27"/>
    </row>
    <row r="3246">
      <c r="A3246" s="21"/>
      <c r="B3246" s="21" t="s">
        <v>9426</v>
      </c>
      <c r="D3246" s="25">
        <v>0.0</v>
      </c>
      <c r="E3246" s="27"/>
      <c r="F3246" s="25">
        <v>0.0</v>
      </c>
      <c r="G3246" s="27"/>
    </row>
    <row r="3247">
      <c r="A3247" s="21"/>
      <c r="B3247" s="21" t="s">
        <v>9427</v>
      </c>
      <c r="D3247" s="25">
        <v>0.0</v>
      </c>
      <c r="E3247" s="27"/>
      <c r="F3247" s="25">
        <v>0.0</v>
      </c>
      <c r="G3247" s="27"/>
    </row>
    <row r="3248">
      <c r="A3248" s="21"/>
      <c r="B3248" s="21" t="s">
        <v>9428</v>
      </c>
      <c r="D3248" s="25">
        <v>0.0</v>
      </c>
      <c r="E3248" s="27"/>
      <c r="F3248" s="25">
        <v>6.6</v>
      </c>
      <c r="G3248" s="27"/>
    </row>
    <row r="3249">
      <c r="A3249" s="21"/>
      <c r="B3249" s="21" t="s">
        <v>9429</v>
      </c>
      <c r="D3249" s="25">
        <v>0.0</v>
      </c>
      <c r="E3249" s="27"/>
      <c r="F3249" s="25">
        <v>0.0</v>
      </c>
      <c r="G3249" s="27"/>
    </row>
    <row r="3250">
      <c r="A3250" s="21"/>
      <c r="B3250" s="21" t="s">
        <v>9430</v>
      </c>
      <c r="D3250" s="25">
        <v>0.0</v>
      </c>
      <c r="E3250" s="27"/>
      <c r="F3250" s="25">
        <v>0.0</v>
      </c>
      <c r="G3250" s="27"/>
    </row>
    <row r="3251">
      <c r="A3251" s="21"/>
      <c r="B3251" s="21" t="s">
        <v>9431</v>
      </c>
      <c r="D3251" s="25">
        <v>0.0</v>
      </c>
      <c r="E3251" s="27"/>
      <c r="F3251" s="25">
        <v>0.0</v>
      </c>
      <c r="G3251" s="27"/>
    </row>
    <row r="3252">
      <c r="A3252" s="21"/>
      <c r="B3252" s="21" t="s">
        <v>9432</v>
      </c>
      <c r="D3252" s="25">
        <v>0.0</v>
      </c>
      <c r="E3252" s="27"/>
      <c r="F3252" s="25">
        <v>0.0</v>
      </c>
      <c r="G3252" s="27"/>
    </row>
    <row r="3253">
      <c r="A3253" s="21"/>
      <c r="B3253" s="21" t="s">
        <v>9433</v>
      </c>
      <c r="D3253" s="25">
        <v>0.0</v>
      </c>
      <c r="E3253" s="27"/>
      <c r="F3253" s="25">
        <v>0.0</v>
      </c>
      <c r="G3253" s="27"/>
    </row>
    <row r="3254">
      <c r="A3254" s="21"/>
      <c r="B3254" s="21" t="s">
        <v>9434</v>
      </c>
      <c r="D3254" s="25">
        <v>0.0</v>
      </c>
      <c r="E3254" s="27"/>
      <c r="F3254" s="25">
        <v>0.0</v>
      </c>
      <c r="G3254" s="27"/>
    </row>
    <row r="3255">
      <c r="A3255" s="21"/>
      <c r="B3255" s="21" t="s">
        <v>9435</v>
      </c>
      <c r="D3255" s="25">
        <v>0.0</v>
      </c>
      <c r="E3255" s="27"/>
      <c r="F3255" s="25">
        <v>0.0</v>
      </c>
      <c r="G3255" s="27"/>
    </row>
    <row r="3256">
      <c r="A3256" s="21"/>
      <c r="B3256" s="21" t="s">
        <v>9436</v>
      </c>
      <c r="D3256" s="25">
        <v>0.0</v>
      </c>
      <c r="E3256" s="27"/>
      <c r="F3256" s="25">
        <v>0.0</v>
      </c>
      <c r="G3256" s="27"/>
    </row>
    <row r="3257">
      <c r="A3257" s="21"/>
      <c r="B3257" s="21" t="s">
        <v>9437</v>
      </c>
      <c r="D3257" s="25">
        <v>0.0</v>
      </c>
      <c r="E3257" s="27"/>
      <c r="F3257" s="25">
        <v>0.0</v>
      </c>
      <c r="G3257" s="27"/>
    </row>
    <row r="3258">
      <c r="A3258" s="21"/>
      <c r="B3258" s="21" t="s">
        <v>9438</v>
      </c>
      <c r="D3258" s="25">
        <v>0.0</v>
      </c>
      <c r="E3258" s="27"/>
      <c r="F3258" s="25">
        <v>0.0</v>
      </c>
      <c r="G3258" s="27"/>
    </row>
    <row r="3259">
      <c r="A3259" s="21"/>
      <c r="B3259" s="21" t="s">
        <v>9439</v>
      </c>
      <c r="D3259" s="25">
        <v>0.0</v>
      </c>
      <c r="E3259" s="27"/>
      <c r="F3259" s="25">
        <v>5.92</v>
      </c>
      <c r="G3259" s="27"/>
    </row>
    <row r="3260">
      <c r="A3260" s="21"/>
      <c r="B3260" s="21" t="s">
        <v>9440</v>
      </c>
      <c r="D3260" s="25">
        <v>0.0</v>
      </c>
      <c r="E3260" s="27"/>
      <c r="F3260" s="25">
        <v>0.0</v>
      </c>
      <c r="G3260" s="27"/>
    </row>
    <row r="3261">
      <c r="A3261" s="21"/>
      <c r="B3261" s="21" t="s">
        <v>9441</v>
      </c>
      <c r="D3261" s="25">
        <v>0.0</v>
      </c>
      <c r="E3261" s="27"/>
      <c r="F3261" s="25">
        <v>0.0</v>
      </c>
      <c r="G3261" s="27"/>
    </row>
    <row r="3262">
      <c r="A3262" s="21"/>
      <c r="B3262" s="21" t="s">
        <v>9442</v>
      </c>
      <c r="D3262" s="25">
        <v>0.0</v>
      </c>
      <c r="E3262" s="27"/>
      <c r="F3262" s="25">
        <v>0.0</v>
      </c>
      <c r="G3262" s="27"/>
    </row>
    <row r="3263">
      <c r="A3263" s="21"/>
      <c r="B3263" s="21" t="s">
        <v>9443</v>
      </c>
      <c r="D3263" s="25">
        <v>0.0</v>
      </c>
      <c r="E3263" s="27"/>
      <c r="F3263" s="25">
        <v>0.0</v>
      </c>
      <c r="G3263" s="27"/>
    </row>
    <row r="3264">
      <c r="A3264" s="21"/>
      <c r="B3264" s="21" t="s">
        <v>9444</v>
      </c>
      <c r="D3264" s="25">
        <v>0.0</v>
      </c>
      <c r="E3264" s="27"/>
      <c r="F3264" s="25">
        <v>0.0</v>
      </c>
      <c r="G3264" s="27"/>
    </row>
    <row r="3265">
      <c r="A3265" s="21"/>
      <c r="B3265" s="21" t="s">
        <v>9445</v>
      </c>
      <c r="D3265" s="25">
        <v>0.0</v>
      </c>
      <c r="E3265" s="27"/>
      <c r="F3265" s="25">
        <v>0.0</v>
      </c>
      <c r="G3265" s="27"/>
    </row>
    <row r="3266">
      <c r="A3266" s="21"/>
      <c r="B3266" s="21" t="s">
        <v>9446</v>
      </c>
      <c r="D3266" s="25">
        <v>0.0</v>
      </c>
      <c r="E3266" s="27"/>
      <c r="F3266" s="25">
        <v>0.0</v>
      </c>
      <c r="G3266" s="27"/>
    </row>
    <row r="3267">
      <c r="A3267" s="21"/>
      <c r="B3267" s="21" t="s">
        <v>9447</v>
      </c>
      <c r="D3267" s="25">
        <v>0.0</v>
      </c>
      <c r="E3267" s="27"/>
      <c r="F3267" s="25">
        <v>0.0</v>
      </c>
      <c r="G3267" s="27"/>
    </row>
    <row r="3268">
      <c r="A3268" s="21"/>
      <c r="B3268" s="21" t="s">
        <v>9448</v>
      </c>
      <c r="D3268" s="25">
        <v>0.0</v>
      </c>
      <c r="E3268" s="27"/>
      <c r="F3268" s="25">
        <v>0.0</v>
      </c>
      <c r="G3268" s="27"/>
    </row>
    <row r="3269">
      <c r="A3269" s="21"/>
      <c r="B3269" s="21" t="s">
        <v>9449</v>
      </c>
      <c r="D3269" s="25">
        <v>0.0</v>
      </c>
      <c r="E3269" s="27"/>
      <c r="F3269" s="25">
        <v>0.0</v>
      </c>
      <c r="G3269" s="27"/>
    </row>
    <row r="3270">
      <c r="A3270" s="21"/>
      <c r="B3270" s="21" t="s">
        <v>9450</v>
      </c>
      <c r="D3270" s="25">
        <v>0.0</v>
      </c>
      <c r="E3270" s="27"/>
      <c r="F3270" s="25">
        <v>0.0</v>
      </c>
      <c r="G3270" s="27"/>
    </row>
    <row r="3271">
      <c r="A3271" s="21"/>
      <c r="B3271" s="21" t="s">
        <v>9451</v>
      </c>
      <c r="D3271" s="25">
        <v>0.0</v>
      </c>
      <c r="E3271" s="27"/>
      <c r="F3271" s="25">
        <v>0.0</v>
      </c>
      <c r="G3271" s="27"/>
    </row>
    <row r="3272">
      <c r="A3272" s="21"/>
      <c r="B3272" s="21" t="s">
        <v>9452</v>
      </c>
      <c r="D3272" s="25">
        <v>0.0</v>
      </c>
      <c r="E3272" s="27"/>
      <c r="F3272" s="25">
        <v>0.0</v>
      </c>
      <c r="G3272" s="27"/>
    </row>
    <row r="3273">
      <c r="A3273" s="21"/>
      <c r="B3273" s="21" t="s">
        <v>9453</v>
      </c>
      <c r="D3273" s="25">
        <v>0.0</v>
      </c>
      <c r="E3273" s="27"/>
      <c r="F3273" s="25">
        <v>0.0</v>
      </c>
      <c r="G3273" s="27"/>
    </row>
    <row r="3274">
      <c r="A3274" s="21"/>
      <c r="B3274" s="21" t="s">
        <v>9454</v>
      </c>
      <c r="D3274" s="25">
        <v>0.0</v>
      </c>
      <c r="E3274" s="27"/>
      <c r="F3274" s="25">
        <v>0.0</v>
      </c>
      <c r="G3274" s="27"/>
    </row>
    <row r="3275">
      <c r="A3275" s="21"/>
      <c r="B3275" s="21" t="s">
        <v>9455</v>
      </c>
      <c r="D3275" s="25">
        <v>0.0</v>
      </c>
      <c r="E3275" s="27"/>
      <c r="F3275" s="25">
        <v>0.0</v>
      </c>
      <c r="G3275" s="27"/>
    </row>
    <row r="3276">
      <c r="A3276" s="21"/>
      <c r="B3276" s="21" t="s">
        <v>9456</v>
      </c>
      <c r="D3276" s="25">
        <v>0.0</v>
      </c>
      <c r="E3276" s="27"/>
      <c r="F3276" s="25">
        <v>0.0</v>
      </c>
      <c r="G3276" s="27"/>
    </row>
    <row r="3277">
      <c r="A3277" s="21"/>
      <c r="B3277" s="21" t="s">
        <v>46</v>
      </c>
      <c r="D3277" s="25">
        <v>0.0</v>
      </c>
      <c r="E3277" s="27"/>
      <c r="F3277" s="25">
        <v>0.0</v>
      </c>
      <c r="G3277" s="27"/>
    </row>
    <row r="3278">
      <c r="A3278" s="21"/>
      <c r="B3278" s="21" t="s">
        <v>9457</v>
      </c>
      <c r="D3278" s="25">
        <v>0.0</v>
      </c>
      <c r="E3278" s="27"/>
      <c r="F3278" s="25">
        <v>0.0</v>
      </c>
      <c r="G3278" s="27"/>
    </row>
    <row r="3279">
      <c r="A3279" s="21"/>
      <c r="B3279" s="21" t="s">
        <v>9458</v>
      </c>
      <c r="D3279" s="25">
        <v>0.0</v>
      </c>
      <c r="E3279" s="27"/>
      <c r="F3279" s="25">
        <v>0.0</v>
      </c>
      <c r="G3279" s="27"/>
    </row>
    <row r="3280">
      <c r="A3280" s="21"/>
      <c r="B3280" s="21" t="s">
        <v>9459</v>
      </c>
      <c r="D3280" s="25">
        <v>0.0</v>
      </c>
      <c r="E3280" s="27"/>
      <c r="F3280" s="25">
        <v>0.0</v>
      </c>
      <c r="G3280" s="27"/>
    </row>
    <row r="3281">
      <c r="A3281" s="21"/>
      <c r="B3281" s="21" t="s">
        <v>9460</v>
      </c>
      <c r="D3281" s="25">
        <v>0.0</v>
      </c>
      <c r="E3281" s="27"/>
      <c r="F3281" s="25">
        <v>0.0</v>
      </c>
      <c r="G3281" s="27"/>
    </row>
    <row r="3282">
      <c r="A3282" s="21"/>
      <c r="B3282" s="21" t="s">
        <v>9461</v>
      </c>
      <c r="D3282" s="25">
        <v>0.0</v>
      </c>
      <c r="E3282" s="27"/>
      <c r="F3282" s="25">
        <v>0.0</v>
      </c>
      <c r="G3282" s="27"/>
    </row>
    <row r="3283">
      <c r="A3283" s="21"/>
      <c r="B3283" s="21" t="s">
        <v>9462</v>
      </c>
      <c r="D3283" s="25">
        <v>0.0</v>
      </c>
      <c r="E3283" s="27"/>
      <c r="F3283" s="25">
        <v>0.0</v>
      </c>
      <c r="G3283" s="27"/>
    </row>
    <row r="3284">
      <c r="A3284" s="21"/>
      <c r="B3284" s="21" t="s">
        <v>9463</v>
      </c>
      <c r="D3284" s="25">
        <v>0.0</v>
      </c>
      <c r="E3284" s="27"/>
      <c r="F3284" s="25">
        <v>0.0</v>
      </c>
      <c r="G3284" s="27"/>
    </row>
    <row r="3285">
      <c r="A3285" s="21"/>
      <c r="B3285" s="21" t="s">
        <v>9464</v>
      </c>
      <c r="D3285" s="25">
        <v>0.0</v>
      </c>
      <c r="E3285" s="27"/>
      <c r="F3285" s="25">
        <v>0.0</v>
      </c>
      <c r="G3285" s="27"/>
    </row>
    <row r="3286">
      <c r="A3286" s="21"/>
      <c r="B3286" s="21" t="s">
        <v>9465</v>
      </c>
      <c r="D3286" s="25">
        <v>0.0</v>
      </c>
      <c r="E3286" s="27"/>
      <c r="F3286" s="25">
        <v>0.0</v>
      </c>
      <c r="G3286" s="27"/>
    </row>
    <row r="3287">
      <c r="A3287" s="21"/>
      <c r="B3287" s="21" t="s">
        <v>9466</v>
      </c>
      <c r="D3287" s="25">
        <v>0.0</v>
      </c>
      <c r="E3287" s="27"/>
      <c r="F3287" s="25">
        <v>0.0</v>
      </c>
      <c r="G3287" s="27"/>
    </row>
    <row r="3288">
      <c r="A3288" s="21"/>
      <c r="B3288" s="21" t="s">
        <v>9467</v>
      </c>
      <c r="D3288" s="25">
        <v>0.0</v>
      </c>
      <c r="E3288" s="27"/>
      <c r="F3288" s="25">
        <v>0.0</v>
      </c>
      <c r="G3288" s="27"/>
    </row>
    <row r="3289">
      <c r="A3289" s="21"/>
      <c r="B3289" s="21" t="s">
        <v>9468</v>
      </c>
      <c r="D3289" s="25">
        <v>0.0</v>
      </c>
      <c r="E3289" s="27"/>
      <c r="F3289" s="25">
        <v>0.0</v>
      </c>
      <c r="G3289" s="27"/>
    </row>
    <row r="3290">
      <c r="A3290" s="21"/>
      <c r="B3290" s="21" t="s">
        <v>9469</v>
      </c>
      <c r="D3290" s="25">
        <v>0.0</v>
      </c>
      <c r="E3290" s="27"/>
      <c r="F3290" s="25">
        <v>0.0</v>
      </c>
      <c r="G3290" s="27"/>
    </row>
    <row r="3291">
      <c r="A3291" s="21"/>
      <c r="B3291" s="21" t="s">
        <v>9470</v>
      </c>
      <c r="D3291" s="25">
        <v>0.0</v>
      </c>
      <c r="E3291" s="27"/>
      <c r="F3291" s="25">
        <v>0.0</v>
      </c>
      <c r="G3291" s="27"/>
    </row>
    <row r="3292">
      <c r="A3292" s="21"/>
      <c r="B3292" s="21" t="s">
        <v>9471</v>
      </c>
      <c r="D3292" s="25">
        <v>0.0</v>
      </c>
      <c r="E3292" s="27"/>
      <c r="F3292" s="25">
        <v>0.0</v>
      </c>
      <c r="G3292" s="27"/>
    </row>
    <row r="3293">
      <c r="A3293" s="21"/>
      <c r="B3293" s="21" t="s">
        <v>9472</v>
      </c>
      <c r="D3293" s="25">
        <v>0.0</v>
      </c>
      <c r="E3293" s="27"/>
      <c r="F3293" s="25">
        <v>0.0</v>
      </c>
      <c r="G3293" s="27"/>
    </row>
    <row r="3294">
      <c r="A3294" s="21"/>
      <c r="B3294" s="21" t="s">
        <v>9473</v>
      </c>
      <c r="D3294" s="25">
        <v>0.0</v>
      </c>
      <c r="E3294" s="27"/>
      <c r="F3294" s="25">
        <v>0.0</v>
      </c>
      <c r="G3294" s="27"/>
    </row>
    <row r="3295">
      <c r="A3295" s="21"/>
      <c r="B3295" s="21" t="s">
        <v>9474</v>
      </c>
      <c r="D3295" s="25">
        <v>0.0</v>
      </c>
      <c r="E3295" s="27"/>
      <c r="F3295" s="25">
        <v>0.0</v>
      </c>
      <c r="G3295" s="27"/>
    </row>
    <row r="3296">
      <c r="A3296" s="21"/>
      <c r="B3296" s="21" t="s">
        <v>9475</v>
      </c>
      <c r="D3296" s="25">
        <v>0.0</v>
      </c>
      <c r="E3296" s="27"/>
      <c r="F3296" s="25">
        <v>0.0</v>
      </c>
      <c r="G3296" s="27"/>
    </row>
    <row r="3297">
      <c r="A3297" s="21"/>
      <c r="B3297" s="21" t="s">
        <v>9476</v>
      </c>
      <c r="D3297" s="25">
        <v>0.0</v>
      </c>
      <c r="E3297" s="27"/>
      <c r="F3297" s="25">
        <v>0.0</v>
      </c>
      <c r="G3297" s="27"/>
    </row>
    <row r="3298">
      <c r="A3298" s="21"/>
      <c r="B3298" s="21" t="s">
        <v>9477</v>
      </c>
      <c r="D3298" s="25">
        <v>0.0</v>
      </c>
      <c r="E3298" s="27"/>
      <c r="F3298" s="25">
        <v>0.0</v>
      </c>
      <c r="G3298" s="27"/>
    </row>
    <row r="3299">
      <c r="A3299" s="21"/>
      <c r="B3299" s="21" t="s">
        <v>9478</v>
      </c>
      <c r="D3299" s="25">
        <v>0.0</v>
      </c>
      <c r="E3299" s="27"/>
      <c r="F3299" s="25">
        <v>0.0</v>
      </c>
      <c r="G3299" s="27"/>
    </row>
    <row r="3300">
      <c r="A3300" s="21"/>
      <c r="B3300" s="21" t="s">
        <v>9479</v>
      </c>
      <c r="D3300" s="25">
        <v>0.0</v>
      </c>
      <c r="E3300" s="27"/>
      <c r="F3300" s="25">
        <v>0.0</v>
      </c>
      <c r="G3300" s="27"/>
    </row>
    <row r="3301">
      <c r="A3301" s="21"/>
      <c r="B3301" s="21" t="s">
        <v>9480</v>
      </c>
      <c r="D3301" s="25">
        <v>0.0</v>
      </c>
      <c r="E3301" s="27"/>
      <c r="F3301" s="25">
        <v>0.0</v>
      </c>
      <c r="G3301" s="27"/>
    </row>
    <row r="3302">
      <c r="A3302" s="21"/>
      <c r="B3302" s="21" t="s">
        <v>9481</v>
      </c>
      <c r="D3302" s="25">
        <v>0.0</v>
      </c>
      <c r="E3302" s="27"/>
      <c r="F3302" s="25">
        <v>0.0</v>
      </c>
      <c r="G3302" s="27"/>
    </row>
    <row r="3303">
      <c r="A3303" s="21"/>
      <c r="B3303" s="21" t="s">
        <v>9482</v>
      </c>
      <c r="D3303" s="25">
        <v>0.0</v>
      </c>
      <c r="E3303" s="27"/>
      <c r="F3303" s="25">
        <v>0.0</v>
      </c>
      <c r="G3303" s="27"/>
    </row>
    <row r="3304">
      <c r="A3304" s="21"/>
      <c r="B3304" s="21" t="s">
        <v>9483</v>
      </c>
      <c r="D3304" s="25">
        <v>0.0</v>
      </c>
      <c r="E3304" s="27"/>
      <c r="F3304" s="25">
        <v>0.0</v>
      </c>
      <c r="G3304" s="27"/>
    </row>
    <row r="3305">
      <c r="A3305" s="21"/>
      <c r="B3305" s="21" t="s">
        <v>9484</v>
      </c>
      <c r="D3305" s="25">
        <v>0.0</v>
      </c>
      <c r="E3305" s="27"/>
      <c r="F3305" s="25">
        <v>0.0</v>
      </c>
      <c r="G3305" s="27"/>
    </row>
    <row r="3306">
      <c r="A3306" s="21"/>
      <c r="B3306" s="21" t="s">
        <v>9485</v>
      </c>
      <c r="D3306" s="25">
        <v>0.0</v>
      </c>
      <c r="E3306" s="27"/>
      <c r="F3306" s="25">
        <v>0.0</v>
      </c>
      <c r="G3306" s="27"/>
    </row>
    <row r="3307">
      <c r="A3307" s="21"/>
      <c r="B3307" s="21" t="s">
        <v>9486</v>
      </c>
      <c r="D3307" s="25">
        <v>0.0</v>
      </c>
      <c r="E3307" s="27"/>
      <c r="F3307" s="25">
        <v>0.0</v>
      </c>
      <c r="G3307" s="27"/>
    </row>
    <row r="3308">
      <c r="A3308" s="21"/>
      <c r="B3308" s="21" t="s">
        <v>9487</v>
      </c>
      <c r="D3308" s="25">
        <v>0.0</v>
      </c>
      <c r="E3308" s="27"/>
      <c r="F3308" s="25">
        <v>0.0</v>
      </c>
      <c r="G3308" s="27"/>
    </row>
    <row r="3309">
      <c r="A3309" s="21"/>
      <c r="B3309" s="21" t="s">
        <v>9488</v>
      </c>
      <c r="D3309" s="25">
        <v>0.0</v>
      </c>
      <c r="E3309" s="27"/>
      <c r="F3309" s="25">
        <v>0.0</v>
      </c>
      <c r="G3309" s="27"/>
    </row>
    <row r="3310">
      <c r="A3310" s="21"/>
      <c r="B3310" s="21" t="s">
        <v>9489</v>
      </c>
      <c r="D3310" s="25">
        <v>0.0</v>
      </c>
      <c r="E3310" s="27"/>
      <c r="F3310" s="25">
        <v>0.0</v>
      </c>
      <c r="G3310" s="27"/>
    </row>
    <row r="3311">
      <c r="A3311" s="21"/>
      <c r="B3311" s="21" t="s">
        <v>9490</v>
      </c>
      <c r="D3311" s="25">
        <v>0.0</v>
      </c>
      <c r="E3311" s="27"/>
      <c r="F3311" s="25">
        <v>0.0</v>
      </c>
      <c r="G3311" s="27"/>
    </row>
    <row r="3312">
      <c r="A3312" s="21"/>
      <c r="B3312" s="21" t="s">
        <v>9491</v>
      </c>
      <c r="D3312" s="25">
        <v>0.0</v>
      </c>
      <c r="E3312" s="27"/>
      <c r="F3312" s="25">
        <v>0.0</v>
      </c>
      <c r="G3312" s="27"/>
    </row>
    <row r="3313">
      <c r="A3313" s="21"/>
      <c r="B3313" s="21" t="s">
        <v>9492</v>
      </c>
      <c r="D3313" s="25">
        <v>0.0</v>
      </c>
      <c r="E3313" s="27"/>
      <c r="F3313" s="25">
        <v>0.0</v>
      </c>
      <c r="G3313" s="27"/>
    </row>
    <row r="3314">
      <c r="A3314" s="21"/>
      <c r="B3314" s="21" t="s">
        <v>9493</v>
      </c>
      <c r="D3314" s="25">
        <v>0.0</v>
      </c>
      <c r="E3314" s="27"/>
      <c r="F3314" s="25">
        <v>0.0</v>
      </c>
      <c r="G3314" s="27"/>
    </row>
    <row r="3315">
      <c r="A3315" s="21"/>
      <c r="B3315" s="21" t="s">
        <v>9494</v>
      </c>
      <c r="D3315" s="25">
        <v>0.0</v>
      </c>
      <c r="E3315" s="27"/>
      <c r="F3315" s="25">
        <v>0.0</v>
      </c>
      <c r="G3315" s="27"/>
    </row>
    <row r="3316">
      <c r="A3316" s="21"/>
      <c r="B3316" s="21" t="s">
        <v>9495</v>
      </c>
      <c r="D3316" s="25">
        <v>0.0</v>
      </c>
      <c r="E3316" s="27"/>
      <c r="F3316" s="25">
        <v>0.0</v>
      </c>
      <c r="G3316" s="27"/>
    </row>
    <row r="3317">
      <c r="A3317" s="21"/>
      <c r="B3317" s="21" t="s">
        <v>9496</v>
      </c>
      <c r="D3317" s="25">
        <v>0.0</v>
      </c>
      <c r="E3317" s="27"/>
      <c r="F3317" s="25">
        <v>0.0</v>
      </c>
      <c r="G3317" s="27"/>
    </row>
    <row r="3318">
      <c r="A3318" s="21"/>
      <c r="B3318" s="21" t="s">
        <v>9497</v>
      </c>
      <c r="D3318" s="25">
        <v>0.0</v>
      </c>
      <c r="E3318" s="27"/>
      <c r="F3318" s="25">
        <v>0.0</v>
      </c>
      <c r="G3318" s="27"/>
    </row>
    <row r="3319">
      <c r="A3319" s="21"/>
      <c r="B3319" s="21" t="s">
        <v>9498</v>
      </c>
      <c r="D3319" s="25">
        <v>0.0</v>
      </c>
      <c r="E3319" s="27"/>
      <c r="F3319" s="25">
        <v>0.0</v>
      </c>
      <c r="G3319" s="27"/>
    </row>
    <row r="3320">
      <c r="A3320" s="21"/>
      <c r="B3320" s="21" t="s">
        <v>9499</v>
      </c>
      <c r="D3320" s="25">
        <v>0.0</v>
      </c>
      <c r="E3320" s="27"/>
      <c r="F3320" s="25">
        <v>0.0</v>
      </c>
      <c r="G3320" s="27"/>
    </row>
    <row r="3321">
      <c r="A3321" s="21"/>
      <c r="B3321" s="21" t="s">
        <v>9500</v>
      </c>
      <c r="D3321" s="25">
        <v>0.0</v>
      </c>
      <c r="E3321" s="27"/>
      <c r="F3321" s="25">
        <v>0.0</v>
      </c>
      <c r="G3321" s="27"/>
    </row>
    <row r="3322">
      <c r="A3322" s="21"/>
      <c r="B3322" s="21" t="s">
        <v>9501</v>
      </c>
      <c r="D3322" s="25">
        <v>0.0</v>
      </c>
      <c r="E3322" s="27"/>
      <c r="F3322" s="25">
        <v>0.0</v>
      </c>
      <c r="G3322" s="27"/>
    </row>
    <row r="3323">
      <c r="A3323" s="21"/>
      <c r="B3323" s="21" t="s">
        <v>9502</v>
      </c>
      <c r="D3323" s="25">
        <v>0.0</v>
      </c>
      <c r="E3323" s="27"/>
      <c r="F3323" s="25">
        <v>0.0</v>
      </c>
      <c r="G3323" s="27"/>
    </row>
    <row r="3324">
      <c r="A3324" s="21"/>
      <c r="B3324" s="21" t="s">
        <v>9503</v>
      </c>
      <c r="D3324" s="25">
        <v>0.0</v>
      </c>
      <c r="E3324" s="27"/>
      <c r="F3324" s="25">
        <v>0.0</v>
      </c>
      <c r="G3324" s="27"/>
    </row>
    <row r="3325">
      <c r="A3325" s="21"/>
      <c r="B3325" s="21" t="s">
        <v>9504</v>
      </c>
      <c r="D3325" s="25">
        <v>0.0</v>
      </c>
      <c r="E3325" s="27"/>
      <c r="F3325" s="25">
        <v>0.0</v>
      </c>
      <c r="G3325" s="27"/>
    </row>
    <row r="3326">
      <c r="A3326" s="21"/>
      <c r="B3326" s="21" t="s">
        <v>9505</v>
      </c>
      <c r="D3326" s="25">
        <v>0.0</v>
      </c>
      <c r="E3326" s="27"/>
      <c r="F3326" s="25">
        <v>0.0</v>
      </c>
      <c r="G3326" s="27"/>
    </row>
    <row r="3327">
      <c r="A3327" s="21"/>
      <c r="B3327" s="21" t="s">
        <v>9506</v>
      </c>
      <c r="D3327" s="25">
        <v>0.0</v>
      </c>
      <c r="E3327" s="27"/>
      <c r="F3327" s="25">
        <v>0.0</v>
      </c>
      <c r="G3327" s="27"/>
    </row>
    <row r="3328">
      <c r="A3328" s="21"/>
      <c r="B3328" s="21" t="s">
        <v>9507</v>
      </c>
      <c r="D3328" s="25">
        <v>0.0</v>
      </c>
      <c r="E3328" s="27"/>
      <c r="F3328" s="25">
        <v>0.0</v>
      </c>
      <c r="G3328" s="27"/>
    </row>
    <row r="3329">
      <c r="A3329" s="21"/>
      <c r="B3329" s="21" t="s">
        <v>9508</v>
      </c>
      <c r="D3329" s="25">
        <v>0.0</v>
      </c>
      <c r="E3329" s="27"/>
      <c r="F3329" s="25">
        <v>0.0</v>
      </c>
      <c r="G3329" s="27"/>
    </row>
    <row r="3330">
      <c r="A3330" s="21"/>
      <c r="B3330" s="21" t="s">
        <v>9509</v>
      </c>
      <c r="D3330" s="25">
        <v>0.0</v>
      </c>
      <c r="E3330" s="27"/>
      <c r="F3330" s="25">
        <v>0.0</v>
      </c>
      <c r="G3330" s="27"/>
    </row>
    <row r="3331">
      <c r="A3331" s="21"/>
      <c r="B3331" s="21" t="s">
        <v>9510</v>
      </c>
      <c r="D3331" s="25">
        <v>0.0</v>
      </c>
      <c r="E3331" s="27"/>
      <c r="F3331" s="25">
        <v>0.0</v>
      </c>
      <c r="G3331" s="27"/>
    </row>
    <row r="3332">
      <c r="A3332" s="21"/>
      <c r="B3332" s="21" t="s">
        <v>9511</v>
      </c>
      <c r="D3332" s="25">
        <v>0.0</v>
      </c>
      <c r="E3332" s="27"/>
      <c r="F3332" s="25">
        <v>0.0</v>
      </c>
      <c r="G3332" s="27"/>
    </row>
    <row r="3333">
      <c r="A3333" s="21"/>
      <c r="B3333" s="21" t="s">
        <v>9512</v>
      </c>
      <c r="D3333" s="25">
        <v>0.0</v>
      </c>
      <c r="E3333" s="27"/>
      <c r="F3333" s="25">
        <v>3.87</v>
      </c>
      <c r="G3333" s="27"/>
    </row>
    <row r="3334">
      <c r="A3334" s="21"/>
      <c r="B3334" s="21" t="s">
        <v>9513</v>
      </c>
      <c r="D3334" s="25">
        <v>0.0</v>
      </c>
      <c r="E3334" s="27"/>
      <c r="F3334" s="25">
        <v>0.0</v>
      </c>
      <c r="G3334" s="27"/>
    </row>
    <row r="3335">
      <c r="A3335" s="21"/>
      <c r="B3335" s="21" t="s">
        <v>9514</v>
      </c>
      <c r="D3335" s="25">
        <v>0.0</v>
      </c>
      <c r="E3335" s="27"/>
      <c r="F3335" s="25">
        <v>0.0</v>
      </c>
      <c r="G3335" s="27"/>
    </row>
    <row r="3336">
      <c r="A3336" s="21"/>
      <c r="B3336" s="21" t="s">
        <v>9515</v>
      </c>
      <c r="D3336" s="25">
        <v>0.0</v>
      </c>
      <c r="E3336" s="27"/>
      <c r="F3336" s="25">
        <v>4.38</v>
      </c>
      <c r="G3336" s="27"/>
    </row>
    <row r="3337">
      <c r="A3337" s="21"/>
      <c r="B3337" s="21" t="s">
        <v>9516</v>
      </c>
      <c r="D3337" s="25">
        <v>0.0</v>
      </c>
      <c r="E3337" s="27"/>
      <c r="F3337" s="25">
        <v>0.0</v>
      </c>
      <c r="G3337" s="27"/>
    </row>
    <row r="3338">
      <c r="A3338" s="21"/>
      <c r="B3338" s="21" t="s">
        <v>9517</v>
      </c>
      <c r="D3338" s="25">
        <v>0.0</v>
      </c>
      <c r="E3338" s="27"/>
      <c r="F3338" s="25">
        <v>0.0</v>
      </c>
      <c r="G3338" s="27"/>
    </row>
    <row r="3339">
      <c r="A3339" s="21"/>
      <c r="B3339" s="21" t="s">
        <v>9518</v>
      </c>
      <c r="D3339" s="25">
        <v>0.0</v>
      </c>
      <c r="E3339" s="27"/>
      <c r="F3339" s="25">
        <v>0.0</v>
      </c>
      <c r="G3339" s="27"/>
    </row>
    <row r="3340">
      <c r="A3340" s="21"/>
      <c r="B3340" s="21" t="s">
        <v>9519</v>
      </c>
      <c r="D3340" s="25">
        <v>0.0</v>
      </c>
      <c r="E3340" s="27"/>
      <c r="F3340" s="25">
        <v>0.0</v>
      </c>
      <c r="G3340" s="27"/>
    </row>
    <row r="3341">
      <c r="A3341" s="21"/>
      <c r="B3341" s="21" t="s">
        <v>9520</v>
      </c>
      <c r="D3341" s="25">
        <v>0.0</v>
      </c>
      <c r="E3341" s="27"/>
      <c r="F3341" s="25">
        <v>0.0</v>
      </c>
      <c r="G3341" s="27"/>
    </row>
    <row r="3342">
      <c r="A3342" s="21"/>
      <c r="B3342" s="21" t="s">
        <v>9521</v>
      </c>
      <c r="D3342" s="25">
        <v>0.0</v>
      </c>
      <c r="E3342" s="27"/>
      <c r="F3342" s="25">
        <v>0.0</v>
      </c>
      <c r="G3342" s="27"/>
    </row>
    <row r="3343">
      <c r="A3343" s="21"/>
      <c r="B3343" s="21" t="s">
        <v>9522</v>
      </c>
      <c r="D3343" s="25">
        <v>0.0</v>
      </c>
      <c r="E3343" s="27"/>
      <c r="F3343" s="25">
        <v>0.0</v>
      </c>
      <c r="G3343" s="27"/>
    </row>
    <row r="3344">
      <c r="A3344" s="21"/>
      <c r="B3344" s="21" t="s">
        <v>9523</v>
      </c>
      <c r="D3344" s="25">
        <v>0.0</v>
      </c>
      <c r="E3344" s="27"/>
      <c r="F3344" s="25">
        <v>0.0</v>
      </c>
      <c r="G3344" s="27"/>
    </row>
    <row r="3345">
      <c r="A3345" s="21"/>
      <c r="B3345" s="21" t="s">
        <v>9524</v>
      </c>
      <c r="D3345" s="25">
        <v>0.0</v>
      </c>
      <c r="E3345" s="27"/>
      <c r="F3345" s="25">
        <v>0.0</v>
      </c>
      <c r="G3345" s="27"/>
    </row>
    <row r="3346">
      <c r="A3346" s="21"/>
      <c r="B3346" s="21" t="s">
        <v>9525</v>
      </c>
      <c r="D3346" s="25">
        <v>0.0</v>
      </c>
      <c r="E3346" s="27"/>
      <c r="F3346" s="25">
        <v>0.0</v>
      </c>
      <c r="G3346" s="27"/>
    </row>
    <row r="3347">
      <c r="A3347" s="21"/>
      <c r="B3347" s="21" t="s">
        <v>9526</v>
      </c>
      <c r="D3347" s="25">
        <v>0.0</v>
      </c>
      <c r="E3347" s="27"/>
      <c r="F3347" s="25">
        <v>0.0</v>
      </c>
      <c r="G3347" s="27"/>
    </row>
    <row r="3348">
      <c r="A3348" s="21"/>
      <c r="B3348" s="21" t="s">
        <v>9527</v>
      </c>
      <c r="D3348" s="25">
        <v>0.0</v>
      </c>
      <c r="E3348" s="27"/>
      <c r="F3348" s="25">
        <v>0.0</v>
      </c>
      <c r="G3348" s="27"/>
    </row>
    <row r="3349">
      <c r="A3349" s="21"/>
      <c r="B3349" s="21" t="s">
        <v>9528</v>
      </c>
      <c r="D3349" s="25">
        <v>0.0</v>
      </c>
      <c r="E3349" s="27"/>
      <c r="F3349" s="25">
        <v>0.0</v>
      </c>
      <c r="G3349" s="27"/>
    </row>
    <row r="3350">
      <c r="A3350" s="21"/>
      <c r="B3350" s="21" t="s">
        <v>9529</v>
      </c>
      <c r="D3350" s="25">
        <v>0.0</v>
      </c>
      <c r="E3350" s="27"/>
      <c r="F3350" s="25">
        <v>0.0</v>
      </c>
      <c r="G3350" s="27"/>
    </row>
    <row r="3351">
      <c r="A3351" s="21"/>
      <c r="B3351" s="21" t="s">
        <v>9530</v>
      </c>
      <c r="D3351" s="25">
        <v>0.0</v>
      </c>
      <c r="E3351" s="27"/>
      <c r="F3351" s="25">
        <v>0.0</v>
      </c>
      <c r="G3351" s="27"/>
    </row>
    <row r="3352">
      <c r="A3352" s="21"/>
      <c r="B3352" s="21" t="s">
        <v>9531</v>
      </c>
      <c r="D3352" s="25">
        <v>0.0</v>
      </c>
      <c r="E3352" s="27"/>
      <c r="F3352" s="25">
        <v>0.0</v>
      </c>
      <c r="G3352" s="27"/>
    </row>
    <row r="3353">
      <c r="A3353" s="21"/>
      <c r="B3353" s="21" t="s">
        <v>9532</v>
      </c>
      <c r="D3353" s="25">
        <v>0.0</v>
      </c>
      <c r="E3353" s="27"/>
      <c r="F3353" s="25">
        <v>0.0</v>
      </c>
      <c r="G3353" s="27"/>
    </row>
    <row r="3354">
      <c r="A3354" s="21"/>
      <c r="B3354" s="21" t="s">
        <v>9533</v>
      </c>
      <c r="D3354" s="25">
        <v>0.0</v>
      </c>
      <c r="E3354" s="27"/>
      <c r="F3354" s="25">
        <v>0.0</v>
      </c>
      <c r="G3354" s="27"/>
    </row>
    <row r="3355">
      <c r="A3355" s="21"/>
      <c r="B3355" s="21" t="s">
        <v>9534</v>
      </c>
      <c r="D3355" s="25">
        <v>0.0</v>
      </c>
      <c r="E3355" s="27"/>
      <c r="F3355" s="25">
        <v>0.0</v>
      </c>
      <c r="G3355" s="27"/>
    </row>
    <row r="3356">
      <c r="A3356" s="21"/>
      <c r="B3356" s="21" t="s">
        <v>9535</v>
      </c>
      <c r="D3356" s="25">
        <v>0.0</v>
      </c>
      <c r="E3356" s="27"/>
      <c r="F3356" s="25">
        <v>0.0</v>
      </c>
      <c r="G3356" s="27"/>
    </row>
    <row r="3357">
      <c r="A3357" s="21"/>
      <c r="B3357" s="21" t="s">
        <v>9536</v>
      </c>
      <c r="D3357" s="25">
        <v>0.0</v>
      </c>
      <c r="E3357" s="27"/>
      <c r="F3357" s="25">
        <v>0.0</v>
      </c>
      <c r="G3357" s="27"/>
    </row>
    <row r="3358">
      <c r="A3358" s="21"/>
      <c r="B3358" s="21" t="s">
        <v>9537</v>
      </c>
      <c r="D3358" s="25">
        <v>0.0</v>
      </c>
      <c r="E3358" s="27"/>
      <c r="F3358" s="25">
        <v>0.0</v>
      </c>
      <c r="G3358" s="27"/>
    </row>
    <row r="3359">
      <c r="A3359" s="21"/>
      <c r="B3359" s="21" t="s">
        <v>9538</v>
      </c>
      <c r="D3359" s="25">
        <v>0.0</v>
      </c>
      <c r="E3359" s="27"/>
      <c r="F3359" s="25">
        <v>0.0</v>
      </c>
      <c r="G3359" s="27"/>
    </row>
    <row r="3360">
      <c r="A3360" s="21"/>
      <c r="B3360" s="21" t="s">
        <v>9539</v>
      </c>
      <c r="D3360" s="25">
        <v>0.0</v>
      </c>
      <c r="E3360" s="27"/>
      <c r="F3360" s="25">
        <v>0.0</v>
      </c>
      <c r="G3360" s="27"/>
    </row>
    <row r="3361">
      <c r="A3361" s="21"/>
      <c r="B3361" s="21" t="s">
        <v>9540</v>
      </c>
      <c r="D3361" s="25">
        <v>0.0</v>
      </c>
      <c r="E3361" s="27"/>
      <c r="F3361" s="25">
        <v>0.0</v>
      </c>
      <c r="G3361" s="27"/>
    </row>
    <row r="3362">
      <c r="A3362" s="21"/>
      <c r="B3362" s="21" t="s">
        <v>9541</v>
      </c>
      <c r="D3362" s="25">
        <v>0.0</v>
      </c>
      <c r="E3362" s="27"/>
      <c r="F3362" s="25">
        <v>0.0</v>
      </c>
      <c r="G3362" s="27"/>
    </row>
    <row r="3363">
      <c r="A3363" s="21"/>
      <c r="B3363" s="21" t="s">
        <v>9542</v>
      </c>
      <c r="D3363" s="25">
        <v>0.0</v>
      </c>
      <c r="E3363" s="27"/>
      <c r="F3363" s="25">
        <v>0.0</v>
      </c>
      <c r="G3363" s="27"/>
    </row>
    <row r="3364">
      <c r="A3364" s="21"/>
      <c r="B3364" s="21" t="s">
        <v>9543</v>
      </c>
      <c r="D3364" s="25">
        <v>0.0</v>
      </c>
      <c r="E3364" s="27"/>
      <c r="F3364" s="25">
        <v>0.0</v>
      </c>
      <c r="G3364" s="27"/>
    </row>
    <row r="3365">
      <c r="A3365" s="21"/>
      <c r="B3365" s="21" t="s">
        <v>9544</v>
      </c>
      <c r="D3365" s="25">
        <v>0.0</v>
      </c>
      <c r="E3365" s="27"/>
      <c r="F3365" s="25">
        <v>0.0</v>
      </c>
      <c r="G3365" s="27"/>
    </row>
    <row r="3366">
      <c r="A3366" s="21"/>
      <c r="B3366" s="21" t="s">
        <v>9545</v>
      </c>
      <c r="D3366" s="25">
        <v>0.0</v>
      </c>
      <c r="E3366" s="27"/>
      <c r="F3366" s="25">
        <v>0.0</v>
      </c>
      <c r="G3366" s="27"/>
    </row>
    <row r="3367">
      <c r="A3367" s="21"/>
      <c r="B3367" s="21" t="s">
        <v>9546</v>
      </c>
      <c r="D3367" s="25">
        <v>0.0</v>
      </c>
      <c r="E3367" s="27"/>
      <c r="F3367" s="25">
        <v>0.0</v>
      </c>
      <c r="G3367" s="27"/>
    </row>
    <row r="3368">
      <c r="A3368" s="21"/>
      <c r="B3368" s="21" t="s">
        <v>9547</v>
      </c>
      <c r="D3368" s="25">
        <v>0.0</v>
      </c>
      <c r="E3368" s="27"/>
      <c r="F3368" s="25">
        <v>0.0</v>
      </c>
      <c r="G3368" s="27"/>
    </row>
    <row r="3369">
      <c r="A3369" s="21"/>
      <c r="B3369" s="21" t="s">
        <v>9548</v>
      </c>
      <c r="D3369" s="25">
        <v>0.0</v>
      </c>
      <c r="E3369" s="27"/>
      <c r="F3369" s="25">
        <v>0.0</v>
      </c>
      <c r="G3369" s="27"/>
    </row>
    <row r="3370">
      <c r="A3370" s="21"/>
      <c r="B3370" s="21" t="s">
        <v>9549</v>
      </c>
      <c r="D3370" s="25">
        <v>0.0</v>
      </c>
      <c r="E3370" s="27"/>
      <c r="F3370" s="25">
        <v>0.0</v>
      </c>
      <c r="G3370" s="27"/>
    </row>
    <row r="3371">
      <c r="A3371" s="21"/>
      <c r="B3371" s="21" t="s">
        <v>9550</v>
      </c>
      <c r="D3371" s="25">
        <v>0.0</v>
      </c>
      <c r="E3371" s="27"/>
      <c r="F3371" s="25">
        <v>0.0</v>
      </c>
      <c r="G3371" s="27"/>
    </row>
    <row r="3372">
      <c r="A3372" s="21"/>
      <c r="B3372" s="21" t="s">
        <v>9551</v>
      </c>
      <c r="D3372" s="25">
        <v>0.0</v>
      </c>
      <c r="E3372" s="27"/>
      <c r="F3372" s="25">
        <v>0.0</v>
      </c>
      <c r="G3372" s="27"/>
    </row>
    <row r="3373">
      <c r="A3373" s="21"/>
      <c r="B3373" s="21" t="s">
        <v>9552</v>
      </c>
      <c r="D3373" s="25">
        <v>0.0</v>
      </c>
      <c r="E3373" s="27"/>
      <c r="F3373" s="25">
        <v>0.0</v>
      </c>
      <c r="G3373" s="27"/>
    </row>
    <row r="3374">
      <c r="A3374" s="21"/>
      <c r="B3374" s="21" t="s">
        <v>9553</v>
      </c>
      <c r="D3374" s="25">
        <v>0.0</v>
      </c>
      <c r="E3374" s="27"/>
      <c r="F3374" s="25">
        <v>0.0</v>
      </c>
      <c r="G3374" s="27"/>
    </row>
    <row r="3375">
      <c r="A3375" s="21"/>
      <c r="B3375" s="21" t="s">
        <v>9554</v>
      </c>
      <c r="D3375" s="25">
        <v>0.0</v>
      </c>
      <c r="E3375" s="27"/>
      <c r="F3375" s="25">
        <v>0.0</v>
      </c>
      <c r="G3375" s="27"/>
    </row>
    <row r="3376">
      <c r="A3376" s="21"/>
      <c r="B3376" s="21" t="s">
        <v>9555</v>
      </c>
      <c r="D3376" s="25">
        <v>0.0</v>
      </c>
      <c r="E3376" s="27"/>
      <c r="F3376" s="25">
        <v>0.0</v>
      </c>
      <c r="G3376" s="27"/>
    </row>
    <row r="3377">
      <c r="A3377" s="21"/>
      <c r="B3377" s="21" t="s">
        <v>9556</v>
      </c>
      <c r="D3377" s="25">
        <v>0.0</v>
      </c>
      <c r="E3377" s="27"/>
      <c r="F3377" s="25">
        <v>0.0</v>
      </c>
      <c r="G3377" s="27"/>
    </row>
    <row r="3378">
      <c r="A3378" s="21"/>
      <c r="B3378" s="21" t="s">
        <v>9557</v>
      </c>
      <c r="D3378" s="25">
        <v>0.0</v>
      </c>
      <c r="E3378" s="27"/>
      <c r="F3378" s="25">
        <v>0.0</v>
      </c>
      <c r="G3378" s="27"/>
    </row>
    <row r="3379">
      <c r="A3379" s="21"/>
      <c r="B3379" s="21" t="s">
        <v>9558</v>
      </c>
      <c r="D3379" s="25">
        <v>0.0</v>
      </c>
      <c r="E3379" s="27"/>
      <c r="F3379" s="25">
        <v>0.0</v>
      </c>
      <c r="G3379" s="27"/>
    </row>
    <row r="3380">
      <c r="A3380" s="21"/>
      <c r="B3380" s="21" t="s">
        <v>9559</v>
      </c>
      <c r="D3380" s="25">
        <v>0.0</v>
      </c>
      <c r="E3380" s="27"/>
      <c r="F3380" s="25">
        <v>0.0</v>
      </c>
      <c r="G3380" s="27"/>
    </row>
    <row r="3381">
      <c r="A3381" s="21"/>
      <c r="B3381" s="21" t="s">
        <v>9560</v>
      </c>
      <c r="D3381" s="25">
        <v>0.0</v>
      </c>
      <c r="E3381" s="27"/>
      <c r="F3381" s="25">
        <v>0.0</v>
      </c>
      <c r="G3381" s="27"/>
    </row>
    <row r="3382">
      <c r="A3382" s="21"/>
      <c r="B3382" s="21" t="s">
        <v>9561</v>
      </c>
      <c r="D3382" s="25">
        <v>0.0</v>
      </c>
      <c r="E3382" s="27"/>
      <c r="F3382" s="25">
        <v>0.0</v>
      </c>
      <c r="G3382" s="27"/>
    </row>
    <row r="3383">
      <c r="A3383" s="21"/>
      <c r="B3383" s="21" t="s">
        <v>9562</v>
      </c>
      <c r="D3383" s="25">
        <v>0.0</v>
      </c>
      <c r="E3383" s="27"/>
      <c r="F3383" s="25">
        <v>0.0</v>
      </c>
      <c r="G3383" s="27"/>
    </row>
    <row r="3384">
      <c r="A3384" s="21"/>
      <c r="B3384" s="21" t="s">
        <v>9563</v>
      </c>
      <c r="D3384" s="25">
        <v>0.0</v>
      </c>
      <c r="E3384" s="27"/>
      <c r="F3384" s="25">
        <v>0.0</v>
      </c>
      <c r="G3384" s="27"/>
    </row>
    <row r="3385">
      <c r="A3385" s="21"/>
      <c r="B3385" s="21" t="s">
        <v>9564</v>
      </c>
      <c r="D3385" s="25">
        <v>0.0</v>
      </c>
      <c r="E3385" s="27"/>
      <c r="F3385" s="25">
        <v>0.0</v>
      </c>
      <c r="G3385" s="27"/>
    </row>
    <row r="3386">
      <c r="A3386" s="21"/>
      <c r="B3386" s="21" t="s">
        <v>9565</v>
      </c>
      <c r="D3386" s="25">
        <v>0.0</v>
      </c>
      <c r="E3386" s="27"/>
      <c r="F3386" s="25">
        <v>0.0</v>
      </c>
      <c r="G3386" s="27"/>
    </row>
    <row r="3387">
      <c r="A3387" s="21"/>
      <c r="B3387" s="21" t="s">
        <v>9566</v>
      </c>
      <c r="D3387" s="25">
        <v>0.0</v>
      </c>
      <c r="E3387" s="27"/>
      <c r="F3387" s="25">
        <v>0.0</v>
      </c>
      <c r="G3387" s="27"/>
    </row>
    <row r="3388">
      <c r="A3388" s="21"/>
      <c r="B3388" s="21" t="s">
        <v>9567</v>
      </c>
      <c r="D3388" s="25">
        <v>0.0</v>
      </c>
      <c r="E3388" s="27"/>
      <c r="F3388" s="25">
        <v>0.0</v>
      </c>
      <c r="G3388" s="27"/>
    </row>
    <row r="3389">
      <c r="A3389" s="21"/>
      <c r="B3389" s="21" t="s">
        <v>9568</v>
      </c>
      <c r="D3389" s="25">
        <v>0.0</v>
      </c>
      <c r="E3389" s="27"/>
      <c r="F3389" s="25">
        <v>0.0</v>
      </c>
      <c r="G3389" s="27"/>
    </row>
    <row r="3390">
      <c r="A3390" s="21"/>
      <c r="B3390" s="21" t="s">
        <v>9569</v>
      </c>
      <c r="D3390" s="25">
        <v>0.0</v>
      </c>
      <c r="E3390" s="27"/>
      <c r="F3390" s="25">
        <v>0.0</v>
      </c>
      <c r="G3390" s="27"/>
    </row>
    <row r="3391">
      <c r="A3391" s="21"/>
      <c r="B3391" s="21" t="s">
        <v>9570</v>
      </c>
      <c r="D3391" s="25">
        <v>0.0</v>
      </c>
      <c r="E3391" s="27"/>
      <c r="F3391" s="25">
        <v>0.0</v>
      </c>
      <c r="G3391" s="27"/>
    </row>
    <row r="3392">
      <c r="A3392" s="21"/>
      <c r="B3392" s="21" t="s">
        <v>9571</v>
      </c>
      <c r="D3392" s="25">
        <v>0.0</v>
      </c>
      <c r="E3392" s="27"/>
      <c r="F3392" s="25">
        <v>0.0</v>
      </c>
      <c r="G3392" s="27"/>
    </row>
    <row r="3393">
      <c r="A3393" s="21"/>
      <c r="B3393" s="21" t="s">
        <v>9572</v>
      </c>
      <c r="D3393" s="25">
        <v>0.0</v>
      </c>
      <c r="E3393" s="27"/>
      <c r="F3393" s="25">
        <v>0.0</v>
      </c>
      <c r="G3393" s="27"/>
    </row>
    <row r="3394">
      <c r="A3394" s="21"/>
      <c r="B3394" s="21" t="s">
        <v>9573</v>
      </c>
      <c r="D3394" s="25">
        <v>0.0</v>
      </c>
      <c r="E3394" s="27"/>
      <c r="F3394" s="25">
        <v>0.0</v>
      </c>
      <c r="G3394" s="27"/>
    </row>
    <row r="3395">
      <c r="A3395" s="21"/>
      <c r="B3395" s="21" t="s">
        <v>9574</v>
      </c>
      <c r="D3395" s="25">
        <v>0.0</v>
      </c>
      <c r="E3395" s="27"/>
      <c r="F3395" s="25">
        <v>0.0</v>
      </c>
      <c r="G3395" s="27"/>
    </row>
    <row r="3396">
      <c r="A3396" s="21"/>
      <c r="B3396" s="21" t="s">
        <v>9575</v>
      </c>
      <c r="D3396" s="25">
        <v>0.0</v>
      </c>
      <c r="E3396" s="27"/>
      <c r="F3396" s="25">
        <v>0.0</v>
      </c>
      <c r="G3396" s="27"/>
    </row>
    <row r="3397">
      <c r="A3397" s="21"/>
      <c r="B3397" s="21" t="s">
        <v>9576</v>
      </c>
      <c r="D3397" s="25">
        <v>0.0</v>
      </c>
      <c r="E3397" s="27"/>
      <c r="F3397" s="25">
        <v>0.0</v>
      </c>
      <c r="G3397" s="27"/>
    </row>
    <row r="3398">
      <c r="A3398" s="21"/>
      <c r="B3398" s="21" t="s">
        <v>9577</v>
      </c>
      <c r="D3398" s="25">
        <v>0.0</v>
      </c>
      <c r="E3398" s="27"/>
      <c r="F3398" s="25">
        <v>0.0</v>
      </c>
      <c r="G3398" s="27"/>
    </row>
    <row r="3399">
      <c r="A3399" s="21"/>
      <c r="B3399" s="21" t="s">
        <v>9578</v>
      </c>
      <c r="D3399" s="25">
        <v>0.0</v>
      </c>
      <c r="E3399" s="27"/>
      <c r="F3399" s="25">
        <v>0.0</v>
      </c>
      <c r="G3399" s="27"/>
    </row>
    <row r="3400">
      <c r="A3400" s="21"/>
      <c r="B3400" s="21" t="s">
        <v>9579</v>
      </c>
      <c r="D3400" s="25">
        <v>0.0</v>
      </c>
      <c r="E3400" s="27"/>
      <c r="F3400" s="25">
        <v>0.0</v>
      </c>
      <c r="G3400" s="27"/>
    </row>
    <row r="3401">
      <c r="A3401" s="21"/>
      <c r="B3401" s="21" t="s">
        <v>9580</v>
      </c>
      <c r="D3401" s="25">
        <v>0.0</v>
      </c>
      <c r="E3401" s="27"/>
      <c r="F3401" s="25">
        <v>0.0</v>
      </c>
      <c r="G3401" s="27"/>
    </row>
    <row r="3402">
      <c r="A3402" s="21"/>
      <c r="B3402" s="21" t="s">
        <v>9581</v>
      </c>
      <c r="D3402" s="25">
        <v>0.0</v>
      </c>
      <c r="E3402" s="27"/>
      <c r="F3402" s="25">
        <v>0.0</v>
      </c>
      <c r="G3402" s="27"/>
    </row>
    <row r="3403">
      <c r="A3403" s="21"/>
      <c r="B3403" s="21" t="s">
        <v>9582</v>
      </c>
      <c r="D3403" s="25">
        <v>0.0</v>
      </c>
      <c r="E3403" s="27"/>
      <c r="F3403" s="25">
        <v>0.0</v>
      </c>
      <c r="G3403" s="27"/>
    </row>
    <row r="3404">
      <c r="A3404" s="21"/>
      <c r="B3404" s="21" t="s">
        <v>9583</v>
      </c>
      <c r="D3404" s="25">
        <v>0.0</v>
      </c>
      <c r="E3404" s="27"/>
      <c r="F3404" s="25">
        <v>0.0</v>
      </c>
      <c r="G3404" s="27"/>
    </row>
    <row r="3405">
      <c r="A3405" s="21"/>
      <c r="B3405" s="21" t="s">
        <v>9584</v>
      </c>
      <c r="D3405" s="25">
        <v>0.0</v>
      </c>
      <c r="E3405" s="27"/>
      <c r="F3405" s="25">
        <v>0.0</v>
      </c>
      <c r="G3405" s="27"/>
    </row>
    <row r="3406">
      <c r="A3406" s="21"/>
      <c r="B3406" s="21" t="s">
        <v>9585</v>
      </c>
      <c r="D3406" s="25">
        <v>0.0</v>
      </c>
      <c r="E3406" s="27"/>
      <c r="F3406" s="25">
        <v>0.0</v>
      </c>
      <c r="G3406" s="27"/>
    </row>
    <row r="3407">
      <c r="A3407" s="21"/>
      <c r="B3407" s="21" t="s">
        <v>9586</v>
      </c>
      <c r="D3407" s="25">
        <v>0.0</v>
      </c>
      <c r="E3407" s="27"/>
      <c r="F3407" s="25">
        <v>0.0</v>
      </c>
      <c r="G3407" s="27"/>
    </row>
    <row r="3408">
      <c r="A3408" s="21"/>
      <c r="B3408" s="21" t="s">
        <v>9587</v>
      </c>
      <c r="D3408" s="25">
        <v>0.0</v>
      </c>
      <c r="E3408" s="27"/>
      <c r="F3408" s="25">
        <v>0.0</v>
      </c>
      <c r="G3408" s="27"/>
    </row>
    <row r="3409">
      <c r="A3409" s="21"/>
      <c r="B3409" s="21" t="s">
        <v>9588</v>
      </c>
      <c r="D3409" s="25">
        <v>0.0</v>
      </c>
      <c r="E3409" s="27"/>
      <c r="F3409" s="25">
        <v>0.0</v>
      </c>
      <c r="G3409" s="27"/>
    </row>
    <row r="3410">
      <c r="A3410" s="21"/>
      <c r="B3410" s="21" t="s">
        <v>9589</v>
      </c>
      <c r="D3410" s="25">
        <v>0.0</v>
      </c>
      <c r="E3410" s="27"/>
      <c r="F3410" s="25">
        <v>0.0</v>
      </c>
      <c r="G3410" s="27"/>
    </row>
    <row r="3411">
      <c r="A3411" s="21"/>
      <c r="B3411" s="21" t="s">
        <v>9590</v>
      </c>
      <c r="D3411" s="25">
        <v>0.0</v>
      </c>
      <c r="E3411" s="27"/>
      <c r="F3411" s="25">
        <v>0.0</v>
      </c>
      <c r="G3411" s="27"/>
    </row>
    <row r="3412">
      <c r="A3412" s="21"/>
      <c r="B3412" s="21" t="s">
        <v>9591</v>
      </c>
      <c r="D3412" s="25">
        <v>0.0</v>
      </c>
      <c r="E3412" s="27"/>
      <c r="F3412" s="25">
        <v>0.0</v>
      </c>
      <c r="G3412" s="27"/>
    </row>
    <row r="3413">
      <c r="A3413" s="21"/>
      <c r="B3413" s="21" t="s">
        <v>9592</v>
      </c>
      <c r="D3413" s="25">
        <v>0.0</v>
      </c>
      <c r="E3413" s="27"/>
      <c r="F3413" s="25">
        <v>0.0</v>
      </c>
      <c r="G3413" s="27"/>
    </row>
    <row r="3414">
      <c r="A3414" s="21"/>
      <c r="B3414" s="21" t="s">
        <v>9593</v>
      </c>
      <c r="D3414" s="25">
        <v>0.0</v>
      </c>
      <c r="E3414" s="27"/>
      <c r="F3414" s="25">
        <v>0.0</v>
      </c>
      <c r="G3414" s="27"/>
    </row>
    <row r="3415">
      <c r="A3415" s="21"/>
      <c r="B3415" s="21" t="s">
        <v>9594</v>
      </c>
      <c r="D3415" s="25">
        <v>0.0</v>
      </c>
      <c r="E3415" s="27"/>
      <c r="F3415" s="25">
        <v>0.0</v>
      </c>
      <c r="G3415" s="27"/>
    </row>
    <row r="3416">
      <c r="A3416" s="21"/>
      <c r="B3416" s="21" t="s">
        <v>9595</v>
      </c>
      <c r="D3416" s="25">
        <v>0.0</v>
      </c>
      <c r="E3416" s="27"/>
      <c r="F3416" s="25">
        <v>0.0</v>
      </c>
      <c r="G3416" s="27"/>
    </row>
    <row r="3417">
      <c r="A3417" s="21"/>
      <c r="B3417" s="21" t="s">
        <v>9596</v>
      </c>
      <c r="D3417" s="25">
        <v>0.0</v>
      </c>
      <c r="E3417" s="27"/>
      <c r="F3417" s="25">
        <v>0.0</v>
      </c>
      <c r="G3417" s="27"/>
    </row>
    <row r="3418">
      <c r="A3418" s="21"/>
      <c r="B3418" s="21" t="s">
        <v>9597</v>
      </c>
      <c r="D3418" s="25">
        <v>0.0</v>
      </c>
      <c r="E3418" s="27"/>
      <c r="F3418" s="25">
        <v>0.0</v>
      </c>
      <c r="G3418" s="27"/>
    </row>
    <row r="3419">
      <c r="A3419" s="21"/>
      <c r="B3419" s="21" t="s">
        <v>9598</v>
      </c>
      <c r="D3419" s="25">
        <v>0.0</v>
      </c>
      <c r="E3419" s="27"/>
      <c r="F3419" s="25">
        <v>0.0</v>
      </c>
      <c r="G3419" s="27"/>
    </row>
    <row r="3420">
      <c r="A3420" s="21"/>
      <c r="B3420" s="21" t="s">
        <v>9599</v>
      </c>
      <c r="D3420" s="25">
        <v>0.0</v>
      </c>
      <c r="E3420" s="27"/>
      <c r="F3420" s="25">
        <v>0.0</v>
      </c>
      <c r="G3420" s="27"/>
    </row>
    <row r="3421">
      <c r="A3421" s="21"/>
      <c r="B3421" s="21" t="s">
        <v>9600</v>
      </c>
      <c r="D3421" s="25">
        <v>0.0</v>
      </c>
      <c r="E3421" s="27"/>
      <c r="F3421" s="25">
        <v>0.0</v>
      </c>
      <c r="G3421" s="27"/>
    </row>
    <row r="3422">
      <c r="A3422" s="21"/>
      <c r="B3422" s="21" t="s">
        <v>9601</v>
      </c>
      <c r="D3422" s="25">
        <v>0.0</v>
      </c>
      <c r="E3422" s="27"/>
      <c r="F3422" s="25">
        <v>0.0</v>
      </c>
      <c r="G3422" s="27"/>
    </row>
    <row r="3423">
      <c r="A3423" s="21"/>
      <c r="B3423" s="21" t="s">
        <v>9602</v>
      </c>
      <c r="D3423" s="25">
        <v>0.0</v>
      </c>
      <c r="E3423" s="27"/>
      <c r="F3423" s="25">
        <v>0.0</v>
      </c>
      <c r="G3423" s="27"/>
    </row>
    <row r="3424">
      <c r="A3424" s="21"/>
      <c r="B3424" s="21" t="s">
        <v>9603</v>
      </c>
      <c r="D3424" s="25">
        <v>0.0</v>
      </c>
      <c r="E3424" s="27"/>
      <c r="F3424" s="25">
        <v>0.0</v>
      </c>
      <c r="G3424" s="27"/>
    </row>
    <row r="3425">
      <c r="A3425" s="21"/>
      <c r="B3425" s="21" t="s">
        <v>9604</v>
      </c>
      <c r="D3425" s="25">
        <v>0.0</v>
      </c>
      <c r="E3425" s="27"/>
      <c r="F3425" s="25">
        <v>0.0</v>
      </c>
      <c r="G3425" s="27"/>
    </row>
    <row r="3426">
      <c r="A3426" s="21"/>
      <c r="B3426" s="21" t="s">
        <v>9605</v>
      </c>
      <c r="D3426" s="25">
        <v>0.0</v>
      </c>
      <c r="E3426" s="27"/>
      <c r="F3426" s="25">
        <v>0.0</v>
      </c>
      <c r="G3426" s="27"/>
    </row>
    <row r="3427">
      <c r="A3427" s="21"/>
      <c r="B3427" s="21" t="s">
        <v>9606</v>
      </c>
      <c r="D3427" s="25">
        <v>0.0</v>
      </c>
      <c r="E3427" s="27"/>
      <c r="F3427" s="25">
        <v>0.0</v>
      </c>
      <c r="G3427" s="27"/>
    </row>
    <row r="3428">
      <c r="A3428" s="21"/>
      <c r="B3428" s="21" t="s">
        <v>9607</v>
      </c>
      <c r="D3428" s="25">
        <v>0.0</v>
      </c>
      <c r="E3428" s="27"/>
      <c r="F3428" s="25">
        <v>0.0</v>
      </c>
      <c r="G3428" s="27"/>
    </row>
    <row r="3429">
      <c r="A3429" s="21"/>
      <c r="B3429" s="21" t="s">
        <v>9608</v>
      </c>
      <c r="D3429" s="25">
        <v>0.0</v>
      </c>
      <c r="E3429" s="27"/>
      <c r="F3429" s="25">
        <v>0.0</v>
      </c>
      <c r="G3429" s="27"/>
    </row>
    <row r="3430">
      <c r="A3430" s="21"/>
      <c r="B3430" s="21" t="s">
        <v>9609</v>
      </c>
      <c r="D3430" s="25">
        <v>0.0</v>
      </c>
      <c r="E3430" s="27"/>
      <c r="F3430" s="25">
        <v>0.0</v>
      </c>
      <c r="G3430" s="27"/>
    </row>
    <row r="3431">
      <c r="A3431" s="21"/>
      <c r="B3431" s="21" t="s">
        <v>9610</v>
      </c>
      <c r="D3431" s="25">
        <v>0.0</v>
      </c>
      <c r="E3431" s="27"/>
      <c r="F3431" s="25">
        <v>0.0</v>
      </c>
      <c r="G3431" s="27"/>
    </row>
    <row r="3432">
      <c r="A3432" s="21"/>
      <c r="B3432" s="21" t="s">
        <v>9611</v>
      </c>
      <c r="D3432" s="25">
        <v>0.0</v>
      </c>
      <c r="E3432" s="27"/>
      <c r="F3432" s="25">
        <v>0.0</v>
      </c>
      <c r="G3432" s="27"/>
    </row>
    <row r="3433">
      <c r="A3433" s="21"/>
      <c r="B3433" s="21" t="s">
        <v>9612</v>
      </c>
      <c r="D3433" s="25">
        <v>0.0</v>
      </c>
      <c r="E3433" s="27"/>
      <c r="F3433" s="25">
        <v>0.0</v>
      </c>
      <c r="G3433" s="27"/>
    </row>
    <row r="3434">
      <c r="A3434" s="21"/>
      <c r="B3434" s="21" t="s">
        <v>9613</v>
      </c>
      <c r="D3434" s="25">
        <v>0.0</v>
      </c>
      <c r="E3434" s="27"/>
      <c r="F3434" s="25">
        <v>0.0</v>
      </c>
      <c r="G3434" s="27"/>
    </row>
    <row r="3435">
      <c r="A3435" s="21"/>
      <c r="B3435" s="21" t="s">
        <v>9614</v>
      </c>
      <c r="D3435" s="25">
        <v>0.0</v>
      </c>
      <c r="E3435" s="27"/>
      <c r="F3435" s="25">
        <v>0.0</v>
      </c>
      <c r="G3435" s="27"/>
    </row>
    <row r="3436">
      <c r="A3436" s="21"/>
      <c r="B3436" s="21" t="s">
        <v>9615</v>
      </c>
      <c r="D3436" s="25">
        <v>0.0</v>
      </c>
      <c r="E3436" s="27"/>
      <c r="F3436" s="25">
        <v>0.0</v>
      </c>
      <c r="G3436" s="27"/>
    </row>
    <row r="3437">
      <c r="A3437" s="21"/>
      <c r="B3437" s="21" t="s">
        <v>9616</v>
      </c>
      <c r="D3437" s="25">
        <v>0.0</v>
      </c>
      <c r="E3437" s="27"/>
      <c r="F3437" s="25">
        <v>0.0</v>
      </c>
      <c r="G3437" s="27"/>
    </row>
    <row r="3438">
      <c r="A3438" s="21"/>
      <c r="B3438" s="21" t="s">
        <v>9617</v>
      </c>
      <c r="D3438" s="25">
        <v>0.0</v>
      </c>
      <c r="E3438" s="27"/>
      <c r="F3438" s="25">
        <v>0.0</v>
      </c>
      <c r="G3438" s="27"/>
    </row>
    <row r="3439">
      <c r="A3439" s="21"/>
      <c r="B3439" s="21" t="s">
        <v>9618</v>
      </c>
      <c r="D3439" s="25">
        <v>0.0</v>
      </c>
      <c r="E3439" s="27"/>
      <c r="F3439" s="25">
        <v>0.0</v>
      </c>
      <c r="G3439" s="27"/>
    </row>
    <row r="3440">
      <c r="A3440" s="21"/>
      <c r="B3440" s="21" t="s">
        <v>9619</v>
      </c>
      <c r="D3440" s="25">
        <v>0.0</v>
      </c>
      <c r="E3440" s="27"/>
      <c r="F3440" s="25">
        <v>0.0</v>
      </c>
      <c r="G3440" s="27"/>
    </row>
    <row r="3441">
      <c r="A3441" s="21"/>
      <c r="B3441" s="21" t="s">
        <v>9620</v>
      </c>
      <c r="D3441" s="25">
        <v>0.0</v>
      </c>
      <c r="E3441" s="27"/>
      <c r="F3441" s="25">
        <v>0.0</v>
      </c>
      <c r="G3441" s="27"/>
    </row>
    <row r="3442">
      <c r="A3442" s="21"/>
      <c r="B3442" s="21" t="s">
        <v>9621</v>
      </c>
      <c r="D3442" s="25">
        <v>0.0</v>
      </c>
      <c r="E3442" s="27"/>
      <c r="F3442" s="25">
        <v>0.0</v>
      </c>
      <c r="G3442" s="27"/>
    </row>
    <row r="3443">
      <c r="A3443" s="21"/>
      <c r="B3443" s="21" t="s">
        <v>9622</v>
      </c>
      <c r="D3443" s="25">
        <v>0.0</v>
      </c>
      <c r="E3443" s="27"/>
      <c r="F3443" s="25">
        <v>0.0</v>
      </c>
      <c r="G3443" s="27"/>
    </row>
    <row r="3444">
      <c r="A3444" s="21"/>
      <c r="B3444" s="21" t="s">
        <v>9623</v>
      </c>
      <c r="D3444" s="25">
        <v>0.0</v>
      </c>
      <c r="E3444" s="27"/>
      <c r="F3444" s="25">
        <v>0.0</v>
      </c>
      <c r="G3444" s="27"/>
    </row>
    <row r="3445">
      <c r="A3445" s="21"/>
      <c r="B3445" s="21" t="s">
        <v>9624</v>
      </c>
      <c r="D3445" s="25">
        <v>0.0</v>
      </c>
      <c r="E3445" s="27"/>
      <c r="F3445" s="25">
        <v>0.0</v>
      </c>
      <c r="G3445" s="27"/>
    </row>
    <row r="3446">
      <c r="A3446" s="21"/>
      <c r="B3446" s="21" t="s">
        <v>9625</v>
      </c>
      <c r="D3446" s="25">
        <v>0.0</v>
      </c>
      <c r="E3446" s="27"/>
      <c r="F3446" s="25">
        <v>0.0</v>
      </c>
      <c r="G3446" s="27"/>
    </row>
    <row r="3447">
      <c r="A3447" s="21"/>
      <c r="B3447" s="21" t="s">
        <v>9626</v>
      </c>
      <c r="D3447" s="25">
        <v>0.0</v>
      </c>
      <c r="E3447" s="27"/>
      <c r="F3447" s="25">
        <v>0.0</v>
      </c>
      <c r="G3447" s="27"/>
    </row>
    <row r="3448">
      <c r="A3448" s="21"/>
      <c r="B3448" s="21" t="s">
        <v>9627</v>
      </c>
      <c r="D3448" s="25">
        <v>0.0</v>
      </c>
      <c r="E3448" s="27"/>
      <c r="F3448" s="25">
        <v>0.0</v>
      </c>
      <c r="G3448" s="27"/>
    </row>
    <row r="3449">
      <c r="A3449" s="21"/>
      <c r="B3449" s="21" t="s">
        <v>9628</v>
      </c>
      <c r="D3449" s="25">
        <v>0.0</v>
      </c>
      <c r="E3449" s="27"/>
      <c r="F3449" s="25">
        <v>0.0</v>
      </c>
      <c r="G3449" s="27"/>
    </row>
    <row r="3450">
      <c r="A3450" s="21"/>
      <c r="B3450" s="21" t="s">
        <v>9629</v>
      </c>
      <c r="D3450" s="25">
        <v>0.0</v>
      </c>
      <c r="E3450" s="27"/>
      <c r="F3450" s="25">
        <v>4.76</v>
      </c>
      <c r="G3450" s="27"/>
    </row>
    <row r="3451">
      <c r="A3451" s="21"/>
      <c r="B3451" s="21" t="s">
        <v>9630</v>
      </c>
      <c r="D3451" s="25">
        <v>0.0</v>
      </c>
      <c r="E3451" s="27"/>
      <c r="F3451" s="25">
        <v>0.0</v>
      </c>
      <c r="G3451" s="27"/>
    </row>
    <row r="3452">
      <c r="A3452" s="21"/>
      <c r="B3452" s="21" t="s">
        <v>9631</v>
      </c>
      <c r="D3452" s="25">
        <v>0.0</v>
      </c>
      <c r="E3452" s="27"/>
      <c r="F3452" s="25">
        <v>0.0</v>
      </c>
      <c r="G3452" s="27"/>
    </row>
    <row r="3453">
      <c r="A3453" s="21"/>
      <c r="B3453" s="21" t="s">
        <v>9632</v>
      </c>
      <c r="D3453" s="25">
        <v>0.0</v>
      </c>
      <c r="E3453" s="27"/>
      <c r="F3453" s="25">
        <v>0.0</v>
      </c>
      <c r="G3453" s="27"/>
    </row>
    <row r="3454">
      <c r="A3454" s="21"/>
      <c r="B3454" s="21" t="s">
        <v>9633</v>
      </c>
      <c r="D3454" s="25">
        <v>0.0</v>
      </c>
      <c r="E3454" s="27"/>
      <c r="F3454" s="25">
        <v>0.0</v>
      </c>
      <c r="G3454" s="27"/>
    </row>
    <row r="3455">
      <c r="A3455" s="21"/>
      <c r="B3455" s="21" t="s">
        <v>9634</v>
      </c>
      <c r="D3455" s="25">
        <v>0.0</v>
      </c>
      <c r="E3455" s="27"/>
      <c r="F3455" s="25">
        <v>0.0</v>
      </c>
      <c r="G3455" s="27"/>
    </row>
    <row r="3456">
      <c r="A3456" s="21"/>
      <c r="B3456" s="21" t="s">
        <v>9635</v>
      </c>
      <c r="D3456" s="25">
        <v>0.0</v>
      </c>
      <c r="E3456" s="27"/>
      <c r="F3456" s="25">
        <v>0.0</v>
      </c>
      <c r="G3456" s="27"/>
    </row>
    <row r="3457">
      <c r="A3457" s="21"/>
      <c r="B3457" s="21" t="s">
        <v>9636</v>
      </c>
      <c r="D3457" s="25">
        <v>0.0</v>
      </c>
      <c r="E3457" s="27"/>
      <c r="F3457" s="25">
        <v>0.0</v>
      </c>
      <c r="G3457" s="27"/>
    </row>
    <row r="3458">
      <c r="A3458" s="21"/>
      <c r="B3458" s="21" t="s">
        <v>9637</v>
      </c>
      <c r="D3458" s="25">
        <v>0.0</v>
      </c>
      <c r="E3458" s="27"/>
      <c r="F3458" s="25">
        <v>0.0</v>
      </c>
      <c r="G3458" s="27"/>
    </row>
    <row r="3459">
      <c r="A3459" s="21"/>
      <c r="B3459" s="21" t="s">
        <v>9638</v>
      </c>
      <c r="D3459" s="25">
        <v>0.0</v>
      </c>
      <c r="E3459" s="27"/>
      <c r="F3459" s="25">
        <v>0.0</v>
      </c>
      <c r="G3459" s="27"/>
    </row>
    <row r="3460">
      <c r="A3460" s="21"/>
      <c r="B3460" s="21" t="s">
        <v>9639</v>
      </c>
      <c r="D3460" s="25">
        <v>0.0</v>
      </c>
      <c r="E3460" s="27"/>
      <c r="F3460" s="25">
        <v>0.0</v>
      </c>
      <c r="G3460" s="27"/>
    </row>
    <row r="3461">
      <c r="A3461" s="21"/>
      <c r="B3461" s="21" t="s">
        <v>9640</v>
      </c>
      <c r="D3461" s="25">
        <v>0.0</v>
      </c>
      <c r="E3461" s="27"/>
      <c r="F3461" s="25">
        <v>0.0</v>
      </c>
      <c r="G3461" s="27"/>
    </row>
    <row r="3462">
      <c r="A3462" s="21"/>
      <c r="B3462" s="21" t="s">
        <v>9641</v>
      </c>
      <c r="D3462" s="25">
        <v>0.0</v>
      </c>
      <c r="E3462" s="27"/>
      <c r="F3462" s="25">
        <v>0.0</v>
      </c>
      <c r="G3462" s="27"/>
    </row>
    <row r="3463">
      <c r="A3463" s="21"/>
      <c r="B3463" s="21" t="s">
        <v>9642</v>
      </c>
      <c r="D3463" s="25">
        <v>0.0</v>
      </c>
      <c r="E3463" s="27"/>
      <c r="F3463" s="25">
        <v>0.0</v>
      </c>
      <c r="G3463" s="27"/>
    </row>
    <row r="3464">
      <c r="A3464" s="21"/>
      <c r="B3464" s="21" t="s">
        <v>9643</v>
      </c>
      <c r="D3464" s="25">
        <v>0.0</v>
      </c>
      <c r="E3464" s="27"/>
      <c r="F3464" s="25">
        <v>0.0</v>
      </c>
      <c r="G3464" s="27"/>
    </row>
    <row r="3465">
      <c r="A3465" s="21"/>
      <c r="B3465" s="21" t="s">
        <v>9644</v>
      </c>
      <c r="D3465" s="25">
        <v>0.0</v>
      </c>
      <c r="E3465" s="27"/>
      <c r="F3465" s="25">
        <v>0.0</v>
      </c>
      <c r="G3465" s="27"/>
    </row>
    <row r="3466">
      <c r="A3466" s="21"/>
      <c r="B3466" s="21" t="s">
        <v>9645</v>
      </c>
      <c r="D3466" s="25">
        <v>0.0</v>
      </c>
      <c r="E3466" s="27"/>
      <c r="F3466" s="25">
        <v>0.0</v>
      </c>
      <c r="G3466" s="27"/>
    </row>
    <row r="3467">
      <c r="A3467" s="21"/>
      <c r="B3467" s="21" t="s">
        <v>9646</v>
      </c>
      <c r="D3467" s="25">
        <v>0.0</v>
      </c>
      <c r="E3467" s="27"/>
      <c r="F3467" s="25">
        <v>0.0</v>
      </c>
      <c r="G3467" s="27"/>
    </row>
    <row r="3468">
      <c r="A3468" s="21"/>
      <c r="B3468" s="21" t="s">
        <v>9647</v>
      </c>
      <c r="D3468" s="25">
        <v>0.0</v>
      </c>
      <c r="E3468" s="27"/>
      <c r="F3468" s="25">
        <v>0.0</v>
      </c>
      <c r="G3468" s="27"/>
    </row>
    <row r="3469">
      <c r="A3469" s="21"/>
      <c r="B3469" s="21" t="s">
        <v>9648</v>
      </c>
      <c r="D3469" s="25">
        <v>0.0</v>
      </c>
      <c r="E3469" s="27"/>
      <c r="F3469" s="25">
        <v>0.0</v>
      </c>
      <c r="G3469" s="27"/>
    </row>
    <row r="3470">
      <c r="A3470" s="21"/>
      <c r="B3470" s="21" t="s">
        <v>9649</v>
      </c>
      <c r="D3470" s="25">
        <v>0.0</v>
      </c>
      <c r="E3470" s="27"/>
      <c r="F3470" s="25">
        <v>0.0</v>
      </c>
      <c r="G3470" s="27"/>
    </row>
    <row r="3471">
      <c r="A3471" s="21"/>
      <c r="B3471" s="21" t="s">
        <v>9650</v>
      </c>
      <c r="D3471" s="25">
        <v>0.0</v>
      </c>
      <c r="E3471" s="27"/>
      <c r="F3471" s="25">
        <v>0.0</v>
      </c>
      <c r="G3471" s="27"/>
    </row>
    <row r="3472">
      <c r="A3472" s="21"/>
      <c r="B3472" s="21" t="s">
        <v>9651</v>
      </c>
      <c r="D3472" s="25">
        <v>0.0</v>
      </c>
      <c r="E3472" s="27"/>
      <c r="F3472" s="25">
        <v>0.0</v>
      </c>
      <c r="G3472" s="27"/>
    </row>
    <row r="3473">
      <c r="A3473" s="21"/>
      <c r="B3473" s="21" t="s">
        <v>9652</v>
      </c>
      <c r="D3473" s="25">
        <v>0.0</v>
      </c>
      <c r="E3473" s="27"/>
      <c r="F3473" s="25">
        <v>0.0</v>
      </c>
      <c r="G3473" s="27"/>
    </row>
    <row r="3474">
      <c r="A3474" s="21"/>
      <c r="B3474" s="21" t="s">
        <v>9653</v>
      </c>
      <c r="D3474" s="25">
        <v>0.0</v>
      </c>
      <c r="E3474" s="27"/>
      <c r="F3474" s="25">
        <v>0.0</v>
      </c>
      <c r="G3474" s="27"/>
    </row>
    <row r="3475">
      <c r="A3475" s="21"/>
      <c r="B3475" s="21" t="s">
        <v>9654</v>
      </c>
      <c r="D3475" s="25">
        <v>0.0</v>
      </c>
      <c r="E3475" s="27"/>
      <c r="F3475" s="25">
        <v>0.0</v>
      </c>
      <c r="G3475" s="27"/>
    </row>
    <row r="3476">
      <c r="A3476" s="21"/>
      <c r="B3476" s="21" t="s">
        <v>9655</v>
      </c>
      <c r="D3476" s="25">
        <v>0.0</v>
      </c>
      <c r="E3476" s="27"/>
      <c r="F3476" s="25">
        <v>0.0</v>
      </c>
      <c r="G3476" s="27"/>
    </row>
    <row r="3477">
      <c r="A3477" s="21"/>
      <c r="B3477" s="21" t="s">
        <v>9656</v>
      </c>
      <c r="D3477" s="25">
        <v>0.0</v>
      </c>
      <c r="E3477" s="27"/>
      <c r="F3477" s="25">
        <v>0.0</v>
      </c>
      <c r="G3477" s="27"/>
    </row>
    <row r="3478">
      <c r="A3478" s="21"/>
      <c r="B3478" s="21" t="s">
        <v>9657</v>
      </c>
      <c r="D3478" s="25">
        <v>0.0</v>
      </c>
      <c r="E3478" s="27"/>
      <c r="F3478" s="25">
        <v>0.0</v>
      </c>
      <c r="G3478" s="27"/>
    </row>
    <row r="3479">
      <c r="A3479" s="21"/>
      <c r="B3479" s="21" t="s">
        <v>9658</v>
      </c>
      <c r="D3479" s="25">
        <v>0.0</v>
      </c>
      <c r="E3479" s="27"/>
      <c r="F3479" s="25">
        <v>0.0</v>
      </c>
      <c r="G3479" s="27"/>
    </row>
    <row r="3480">
      <c r="A3480" s="21"/>
      <c r="B3480" s="21" t="s">
        <v>9659</v>
      </c>
      <c r="D3480" s="25">
        <v>0.0</v>
      </c>
      <c r="E3480" s="27"/>
      <c r="F3480" s="25">
        <v>0.0</v>
      </c>
      <c r="G3480" s="27"/>
    </row>
    <row r="3481">
      <c r="A3481" s="21"/>
      <c r="B3481" s="21" t="s">
        <v>9660</v>
      </c>
      <c r="D3481" s="25">
        <v>0.0</v>
      </c>
      <c r="E3481" s="27"/>
      <c r="F3481" s="25">
        <v>0.0</v>
      </c>
      <c r="G3481" s="27"/>
    </row>
    <row r="3482">
      <c r="A3482" s="21"/>
      <c r="B3482" s="21" t="s">
        <v>9661</v>
      </c>
      <c r="D3482" s="25">
        <v>0.0</v>
      </c>
      <c r="E3482" s="27"/>
      <c r="F3482" s="25">
        <v>0.0</v>
      </c>
      <c r="G3482" s="27"/>
    </row>
    <row r="3483">
      <c r="A3483" s="21"/>
      <c r="B3483" s="21" t="s">
        <v>9662</v>
      </c>
      <c r="D3483" s="25">
        <v>0.0</v>
      </c>
      <c r="E3483" s="27"/>
      <c r="F3483" s="25">
        <v>0.0</v>
      </c>
      <c r="G3483" s="27"/>
    </row>
    <row r="3484">
      <c r="A3484" s="21"/>
      <c r="B3484" s="21" t="s">
        <v>9663</v>
      </c>
      <c r="D3484" s="25">
        <v>0.0</v>
      </c>
      <c r="E3484" s="27"/>
      <c r="F3484" s="25">
        <v>0.0</v>
      </c>
      <c r="G3484" s="27"/>
    </row>
    <row r="3485">
      <c r="A3485" s="21"/>
      <c r="B3485" s="21" t="s">
        <v>9664</v>
      </c>
      <c r="D3485" s="25">
        <v>0.0</v>
      </c>
      <c r="E3485" s="27"/>
      <c r="F3485" s="25">
        <v>0.0</v>
      </c>
      <c r="G3485" s="27"/>
    </row>
    <row r="3486">
      <c r="A3486" s="21"/>
      <c r="B3486" s="21" t="s">
        <v>9665</v>
      </c>
      <c r="D3486" s="25">
        <v>0.0</v>
      </c>
      <c r="E3486" s="27"/>
      <c r="F3486" s="25">
        <v>0.0</v>
      </c>
      <c r="G3486" s="27"/>
    </row>
    <row r="3487">
      <c r="A3487" s="21"/>
      <c r="B3487" s="21" t="s">
        <v>9666</v>
      </c>
      <c r="D3487" s="25">
        <v>0.0</v>
      </c>
      <c r="E3487" s="27"/>
      <c r="F3487" s="25">
        <v>0.0</v>
      </c>
      <c r="G3487" s="27"/>
    </row>
    <row r="3488">
      <c r="A3488" s="21"/>
      <c r="B3488" s="21" t="s">
        <v>9667</v>
      </c>
      <c r="D3488" s="25">
        <v>0.0</v>
      </c>
      <c r="E3488" s="27"/>
      <c r="F3488" s="25">
        <v>3.28</v>
      </c>
      <c r="G3488" s="27"/>
    </row>
    <row r="3489">
      <c r="A3489" s="21"/>
      <c r="B3489" s="21" t="s">
        <v>9668</v>
      </c>
      <c r="D3489" s="25">
        <v>0.0</v>
      </c>
      <c r="E3489" s="27"/>
      <c r="F3489" s="25">
        <v>0.0</v>
      </c>
      <c r="G3489" s="27"/>
    </row>
    <row r="3490">
      <c r="A3490" s="21"/>
      <c r="B3490" s="21" t="s">
        <v>9669</v>
      </c>
      <c r="D3490" s="25">
        <v>0.0</v>
      </c>
      <c r="E3490" s="27"/>
      <c r="F3490" s="25">
        <v>0.0</v>
      </c>
      <c r="G3490" s="27"/>
    </row>
    <row r="3491">
      <c r="A3491" s="21"/>
      <c r="B3491" s="21" t="s">
        <v>9670</v>
      </c>
      <c r="D3491" s="25">
        <v>0.0</v>
      </c>
      <c r="E3491" s="27"/>
      <c r="F3491" s="25">
        <v>0.0</v>
      </c>
      <c r="G3491" s="27"/>
    </row>
    <row r="3492">
      <c r="A3492" s="21"/>
      <c r="B3492" s="21" t="s">
        <v>9671</v>
      </c>
      <c r="D3492" s="25">
        <v>0.0</v>
      </c>
      <c r="E3492" s="27"/>
      <c r="F3492" s="25">
        <v>0.0</v>
      </c>
      <c r="G3492" s="27"/>
    </row>
    <row r="3493">
      <c r="A3493" s="21"/>
      <c r="B3493" s="21" t="s">
        <v>9672</v>
      </c>
      <c r="D3493" s="25">
        <v>0.0</v>
      </c>
      <c r="E3493" s="27"/>
      <c r="F3493" s="25">
        <v>0.0</v>
      </c>
      <c r="G3493" s="27"/>
    </row>
    <row r="3494">
      <c r="A3494" s="21"/>
      <c r="B3494" s="21" t="s">
        <v>9673</v>
      </c>
      <c r="D3494" s="25">
        <v>0.0</v>
      </c>
      <c r="E3494" s="27"/>
      <c r="F3494" s="25">
        <v>0.0</v>
      </c>
      <c r="G3494" s="27"/>
    </row>
    <row r="3495">
      <c r="A3495" s="21"/>
      <c r="B3495" s="21" t="s">
        <v>9674</v>
      </c>
      <c r="D3495" s="25">
        <v>0.0</v>
      </c>
      <c r="E3495" s="27"/>
      <c r="F3495" s="25">
        <v>0.0</v>
      </c>
      <c r="G3495" s="27"/>
    </row>
    <row r="3496">
      <c r="A3496" s="21"/>
      <c r="B3496" s="21" t="s">
        <v>9675</v>
      </c>
      <c r="D3496" s="25">
        <v>0.0</v>
      </c>
      <c r="E3496" s="27"/>
      <c r="F3496" s="25">
        <v>0.0</v>
      </c>
      <c r="G3496" s="27"/>
    </row>
    <row r="3497">
      <c r="A3497" s="21"/>
      <c r="B3497" s="21" t="s">
        <v>9676</v>
      </c>
      <c r="D3497" s="25">
        <v>0.0</v>
      </c>
      <c r="E3497" s="27"/>
      <c r="F3497" s="25">
        <v>0.0</v>
      </c>
      <c r="G3497" s="27"/>
    </row>
    <row r="3498">
      <c r="A3498" s="21"/>
      <c r="B3498" s="21" t="s">
        <v>9677</v>
      </c>
      <c r="D3498" s="25">
        <v>0.0</v>
      </c>
      <c r="E3498" s="27"/>
      <c r="F3498" s="25">
        <v>0.0</v>
      </c>
      <c r="G3498" s="27"/>
    </row>
    <row r="3499">
      <c r="A3499" s="21"/>
      <c r="B3499" s="21" t="s">
        <v>9678</v>
      </c>
      <c r="D3499" s="25">
        <v>0.0</v>
      </c>
      <c r="E3499" s="27"/>
      <c r="F3499" s="25">
        <v>0.0</v>
      </c>
      <c r="G3499" s="27"/>
    </row>
    <row r="3500">
      <c r="A3500" s="21"/>
      <c r="B3500" s="21" t="s">
        <v>9679</v>
      </c>
      <c r="D3500" s="25">
        <v>0.0</v>
      </c>
      <c r="E3500" s="27"/>
      <c r="F3500" s="25">
        <v>0.0</v>
      </c>
      <c r="G3500" s="27"/>
    </row>
    <row r="3501">
      <c r="A3501" s="21"/>
      <c r="B3501" s="21" t="s">
        <v>9680</v>
      </c>
      <c r="D3501" s="25">
        <v>0.0</v>
      </c>
      <c r="E3501" s="27"/>
      <c r="F3501" s="25">
        <v>0.0</v>
      </c>
      <c r="G3501" s="27"/>
    </row>
    <row r="3502">
      <c r="A3502" s="21"/>
      <c r="B3502" s="21" t="s">
        <v>9681</v>
      </c>
      <c r="D3502" s="25">
        <v>0.0</v>
      </c>
      <c r="E3502" s="27"/>
      <c r="F3502" s="25">
        <v>0.0</v>
      </c>
      <c r="G3502" s="27"/>
    </row>
    <row r="3503">
      <c r="A3503" s="21"/>
      <c r="B3503" s="21" t="s">
        <v>9682</v>
      </c>
      <c r="D3503" s="25">
        <v>0.0</v>
      </c>
      <c r="E3503" s="27"/>
      <c r="F3503" s="25">
        <v>0.0</v>
      </c>
      <c r="G3503" s="27"/>
    </row>
    <row r="3504">
      <c r="A3504" s="21"/>
      <c r="B3504" s="21" t="s">
        <v>9683</v>
      </c>
      <c r="D3504" s="25">
        <v>0.0</v>
      </c>
      <c r="E3504" s="27"/>
      <c r="F3504" s="25">
        <v>0.0</v>
      </c>
      <c r="G3504" s="27"/>
    </row>
    <row r="3505">
      <c r="A3505" s="21"/>
      <c r="B3505" s="21" t="s">
        <v>9684</v>
      </c>
      <c r="D3505" s="25">
        <v>0.0</v>
      </c>
      <c r="E3505" s="27"/>
      <c r="F3505" s="25">
        <v>0.0</v>
      </c>
      <c r="G3505" s="27"/>
    </row>
    <row r="3506">
      <c r="A3506" s="21"/>
      <c r="B3506" s="21" t="s">
        <v>9685</v>
      </c>
      <c r="D3506" s="25">
        <v>0.0</v>
      </c>
      <c r="E3506" s="27"/>
      <c r="F3506" s="25">
        <v>0.0</v>
      </c>
      <c r="G3506" s="27"/>
    </row>
    <row r="3507">
      <c r="A3507" s="21"/>
      <c r="B3507" s="21" t="s">
        <v>9686</v>
      </c>
      <c r="D3507" s="25">
        <v>0.0</v>
      </c>
      <c r="E3507" s="27"/>
      <c r="F3507" s="25">
        <v>0.0</v>
      </c>
      <c r="G3507" s="27"/>
    </row>
    <row r="3508">
      <c r="A3508" s="21"/>
      <c r="B3508" s="21" t="s">
        <v>9687</v>
      </c>
      <c r="D3508" s="25">
        <v>0.0</v>
      </c>
      <c r="E3508" s="27"/>
      <c r="F3508" s="25">
        <v>0.0</v>
      </c>
      <c r="G3508" s="27"/>
    </row>
    <row r="3509">
      <c r="A3509" s="21"/>
      <c r="B3509" s="21" t="s">
        <v>9688</v>
      </c>
      <c r="D3509" s="25">
        <v>0.0</v>
      </c>
      <c r="E3509" s="27"/>
      <c r="F3509" s="25">
        <v>0.0</v>
      </c>
      <c r="G3509" s="27"/>
    </row>
    <row r="3510">
      <c r="A3510" s="21"/>
      <c r="B3510" s="21" t="s">
        <v>9689</v>
      </c>
      <c r="D3510" s="25">
        <v>0.0</v>
      </c>
      <c r="E3510" s="27"/>
      <c r="F3510" s="25">
        <v>0.0</v>
      </c>
      <c r="G3510" s="27"/>
    </row>
    <row r="3511">
      <c r="A3511" s="21"/>
      <c r="B3511" s="21" t="s">
        <v>9690</v>
      </c>
      <c r="D3511" s="25">
        <v>0.0</v>
      </c>
      <c r="E3511" s="27"/>
      <c r="F3511" s="25">
        <v>0.0</v>
      </c>
      <c r="G3511" s="27"/>
    </row>
    <row r="3512">
      <c r="A3512" s="21"/>
      <c r="B3512" s="21" t="s">
        <v>9691</v>
      </c>
      <c r="D3512" s="25">
        <v>0.0</v>
      </c>
      <c r="E3512" s="27"/>
      <c r="F3512" s="25">
        <v>0.0</v>
      </c>
      <c r="G3512" s="27"/>
    </row>
    <row r="3513">
      <c r="A3513" s="21"/>
      <c r="B3513" s="21" t="s">
        <v>9692</v>
      </c>
      <c r="D3513" s="25">
        <v>0.0</v>
      </c>
      <c r="E3513" s="27"/>
      <c r="F3513" s="25">
        <v>0.0</v>
      </c>
      <c r="G3513" s="27"/>
    </row>
    <row r="3514">
      <c r="A3514" s="21"/>
      <c r="B3514" s="21" t="s">
        <v>9693</v>
      </c>
      <c r="D3514" s="25">
        <v>0.0</v>
      </c>
      <c r="E3514" s="27"/>
      <c r="F3514" s="25">
        <v>0.0</v>
      </c>
      <c r="G3514" s="27"/>
    </row>
    <row r="3515">
      <c r="A3515" s="21"/>
      <c r="B3515" s="21" t="s">
        <v>9694</v>
      </c>
      <c r="D3515" s="25">
        <v>0.0</v>
      </c>
      <c r="E3515" s="27"/>
      <c r="F3515" s="25">
        <v>0.0</v>
      </c>
      <c r="G3515" s="27"/>
    </row>
    <row r="3516">
      <c r="A3516" s="21"/>
      <c r="B3516" s="21" t="s">
        <v>9695</v>
      </c>
      <c r="D3516" s="25">
        <v>0.0</v>
      </c>
      <c r="E3516" s="27"/>
      <c r="F3516" s="25">
        <v>0.0</v>
      </c>
      <c r="G3516" s="27"/>
    </row>
    <row r="3517">
      <c r="A3517" s="21"/>
      <c r="B3517" s="21" t="s">
        <v>9696</v>
      </c>
      <c r="D3517" s="25">
        <v>0.0</v>
      </c>
      <c r="E3517" s="27"/>
      <c r="F3517" s="25">
        <v>0.0</v>
      </c>
      <c r="G3517" s="27"/>
    </row>
    <row r="3518">
      <c r="A3518" s="21"/>
      <c r="B3518" s="21" t="s">
        <v>9697</v>
      </c>
      <c r="D3518" s="25">
        <v>0.0</v>
      </c>
      <c r="E3518" s="27"/>
      <c r="F3518" s="25">
        <v>0.0</v>
      </c>
      <c r="G3518" s="27"/>
    </row>
    <row r="3519">
      <c r="A3519" s="21"/>
      <c r="B3519" s="21" t="s">
        <v>9698</v>
      </c>
      <c r="D3519" s="25">
        <v>0.0</v>
      </c>
      <c r="E3519" s="27"/>
      <c r="F3519" s="25">
        <v>0.0</v>
      </c>
      <c r="G3519" s="27"/>
    </row>
    <row r="3520">
      <c r="A3520" s="21"/>
      <c r="B3520" s="21" t="s">
        <v>9699</v>
      </c>
      <c r="D3520" s="25">
        <v>0.0</v>
      </c>
      <c r="E3520" s="27"/>
      <c r="F3520" s="25">
        <v>0.0</v>
      </c>
      <c r="G3520" s="27"/>
    </row>
    <row r="3521">
      <c r="A3521" s="21"/>
      <c r="B3521" s="21" t="s">
        <v>9700</v>
      </c>
      <c r="D3521" s="25">
        <v>0.0</v>
      </c>
      <c r="E3521" s="27"/>
      <c r="F3521" s="25">
        <v>0.0</v>
      </c>
      <c r="G3521" s="27"/>
    </row>
    <row r="3522">
      <c r="A3522" s="21"/>
      <c r="B3522" s="21" t="s">
        <v>9701</v>
      </c>
      <c r="D3522" s="25">
        <v>0.0</v>
      </c>
      <c r="E3522" s="27"/>
      <c r="F3522" s="25">
        <v>0.0</v>
      </c>
      <c r="G3522" s="27"/>
    </row>
    <row r="3523">
      <c r="A3523" s="21"/>
      <c r="B3523" s="21" t="s">
        <v>9702</v>
      </c>
      <c r="D3523" s="25">
        <v>0.0</v>
      </c>
      <c r="E3523" s="27"/>
      <c r="F3523" s="25">
        <v>0.0</v>
      </c>
      <c r="G3523" s="27"/>
    </row>
    <row r="3524">
      <c r="A3524" s="21"/>
      <c r="B3524" s="21" t="s">
        <v>9703</v>
      </c>
      <c r="D3524" s="25">
        <v>0.0</v>
      </c>
      <c r="E3524" s="27"/>
      <c r="F3524" s="25">
        <v>0.0</v>
      </c>
      <c r="G3524" s="27"/>
    </row>
    <row r="3525">
      <c r="A3525" s="21"/>
      <c r="B3525" s="21" t="s">
        <v>9704</v>
      </c>
      <c r="D3525" s="25">
        <v>0.0</v>
      </c>
      <c r="E3525" s="27"/>
      <c r="F3525" s="25">
        <v>0.0</v>
      </c>
      <c r="G3525" s="27"/>
    </row>
    <row r="3526">
      <c r="A3526" s="21"/>
      <c r="B3526" s="21" t="s">
        <v>9705</v>
      </c>
      <c r="D3526" s="25">
        <v>0.0</v>
      </c>
      <c r="E3526" s="27"/>
      <c r="F3526" s="25">
        <v>0.0</v>
      </c>
      <c r="G3526" s="27"/>
    </row>
    <row r="3527">
      <c r="A3527" s="21"/>
      <c r="B3527" s="21" t="s">
        <v>9706</v>
      </c>
      <c r="D3527" s="25">
        <v>0.0</v>
      </c>
      <c r="E3527" s="27"/>
      <c r="F3527" s="25">
        <v>0.0</v>
      </c>
      <c r="G3527" s="27"/>
    </row>
    <row r="3528">
      <c r="A3528" s="21"/>
      <c r="B3528" s="21" t="s">
        <v>9707</v>
      </c>
      <c r="D3528" s="25">
        <v>0.0</v>
      </c>
      <c r="E3528" s="27"/>
      <c r="F3528" s="25">
        <v>0.0</v>
      </c>
      <c r="G3528" s="27"/>
    </row>
    <row r="3529">
      <c r="A3529" s="21"/>
      <c r="B3529" s="21" t="s">
        <v>9708</v>
      </c>
      <c r="D3529" s="25">
        <v>0.0</v>
      </c>
      <c r="E3529" s="27"/>
      <c r="F3529" s="25">
        <v>0.0</v>
      </c>
      <c r="G3529" s="27"/>
    </row>
    <row r="3530">
      <c r="A3530" s="21"/>
      <c r="B3530" s="21" t="s">
        <v>9709</v>
      </c>
      <c r="D3530" s="25">
        <v>0.0</v>
      </c>
      <c r="E3530" s="27"/>
      <c r="F3530" s="25">
        <v>0.0</v>
      </c>
      <c r="G3530" s="27"/>
    </row>
    <row r="3531">
      <c r="A3531" s="21"/>
      <c r="B3531" s="21" t="s">
        <v>9710</v>
      </c>
      <c r="D3531" s="25">
        <v>0.0</v>
      </c>
      <c r="E3531" s="27"/>
      <c r="F3531" s="25">
        <v>0.0</v>
      </c>
      <c r="G3531" s="27"/>
    </row>
    <row r="3532">
      <c r="A3532" s="21"/>
      <c r="B3532" s="21" t="s">
        <v>9711</v>
      </c>
      <c r="D3532" s="25">
        <v>0.0</v>
      </c>
      <c r="E3532" s="27"/>
      <c r="F3532" s="25">
        <v>0.0</v>
      </c>
      <c r="G3532" s="27"/>
    </row>
    <row r="3533">
      <c r="A3533" s="21"/>
      <c r="B3533" s="21" t="s">
        <v>9712</v>
      </c>
      <c r="D3533" s="25">
        <v>0.0</v>
      </c>
      <c r="E3533" s="27"/>
      <c r="F3533" s="25">
        <v>0.0</v>
      </c>
      <c r="G3533" s="27"/>
    </row>
    <row r="3534">
      <c r="A3534" s="21"/>
      <c r="B3534" s="21" t="s">
        <v>9713</v>
      </c>
      <c r="D3534" s="25">
        <v>0.0</v>
      </c>
      <c r="E3534" s="27"/>
      <c r="F3534" s="25">
        <v>0.0</v>
      </c>
      <c r="G3534" s="27"/>
    </row>
    <row r="3535">
      <c r="A3535" s="21"/>
      <c r="B3535" s="21" t="s">
        <v>9714</v>
      </c>
      <c r="D3535" s="25">
        <v>0.0</v>
      </c>
      <c r="E3535" s="27"/>
      <c r="F3535" s="25">
        <v>0.0</v>
      </c>
      <c r="G3535" s="27"/>
    </row>
    <row r="3536">
      <c r="A3536" s="21"/>
      <c r="B3536" s="21" t="s">
        <v>9715</v>
      </c>
      <c r="D3536" s="25">
        <v>0.0</v>
      </c>
      <c r="E3536" s="27"/>
      <c r="F3536" s="25">
        <v>0.0</v>
      </c>
      <c r="G3536" s="27"/>
    </row>
    <row r="3537">
      <c r="A3537" s="21"/>
      <c r="B3537" s="21" t="s">
        <v>9716</v>
      </c>
      <c r="D3537" s="25">
        <v>0.0</v>
      </c>
      <c r="E3537" s="27"/>
      <c r="F3537" s="25">
        <v>0.0</v>
      </c>
      <c r="G3537" s="27"/>
    </row>
    <row r="3538">
      <c r="A3538" s="21"/>
      <c r="B3538" s="21" t="s">
        <v>9717</v>
      </c>
      <c r="D3538" s="25">
        <v>0.0</v>
      </c>
      <c r="E3538" s="27"/>
      <c r="F3538" s="25">
        <v>0.0</v>
      </c>
      <c r="G3538" s="27"/>
    </row>
    <row r="3539">
      <c r="A3539" s="21"/>
      <c r="B3539" s="21" t="s">
        <v>9718</v>
      </c>
      <c r="D3539" s="25">
        <v>0.0</v>
      </c>
      <c r="E3539" s="27"/>
      <c r="F3539" s="25">
        <v>0.0</v>
      </c>
      <c r="G3539" s="27"/>
    </row>
    <row r="3540">
      <c r="A3540" s="21"/>
      <c r="B3540" s="21" t="s">
        <v>9719</v>
      </c>
      <c r="D3540" s="25">
        <v>0.0</v>
      </c>
      <c r="E3540" s="27"/>
      <c r="F3540" s="25">
        <v>0.0</v>
      </c>
      <c r="G3540" s="27"/>
    </row>
    <row r="3541">
      <c r="A3541" s="21"/>
      <c r="B3541" s="21" t="s">
        <v>9720</v>
      </c>
      <c r="D3541" s="25">
        <v>0.0</v>
      </c>
      <c r="E3541" s="27"/>
      <c r="F3541" s="25">
        <v>0.0</v>
      </c>
      <c r="G3541" s="27"/>
    </row>
    <row r="3542">
      <c r="A3542" s="21"/>
      <c r="B3542" s="21" t="s">
        <v>9721</v>
      </c>
      <c r="D3542" s="25">
        <v>0.0</v>
      </c>
      <c r="E3542" s="27"/>
      <c r="F3542" s="25">
        <v>0.0</v>
      </c>
      <c r="G3542" s="27"/>
    </row>
    <row r="3543">
      <c r="A3543" s="21"/>
      <c r="B3543" s="21" t="s">
        <v>9722</v>
      </c>
      <c r="D3543" s="25">
        <v>0.0</v>
      </c>
      <c r="E3543" s="27"/>
      <c r="F3543" s="25">
        <v>0.0</v>
      </c>
      <c r="G3543" s="27"/>
    </row>
    <row r="3544">
      <c r="A3544" s="21"/>
      <c r="B3544" s="21" t="s">
        <v>9723</v>
      </c>
      <c r="D3544" s="25">
        <v>0.0</v>
      </c>
      <c r="E3544" s="27"/>
      <c r="F3544" s="25">
        <v>0.0</v>
      </c>
      <c r="G3544" s="27"/>
    </row>
    <row r="3545">
      <c r="A3545" s="21"/>
      <c r="B3545" s="21" t="s">
        <v>9724</v>
      </c>
      <c r="D3545" s="25">
        <v>0.0</v>
      </c>
      <c r="E3545" s="27"/>
      <c r="F3545" s="25">
        <v>0.0</v>
      </c>
      <c r="G3545" s="27"/>
    </row>
    <row r="3546">
      <c r="A3546" s="21"/>
      <c r="B3546" s="21" t="s">
        <v>9725</v>
      </c>
      <c r="D3546" s="25">
        <v>0.0</v>
      </c>
      <c r="E3546" s="27"/>
      <c r="F3546" s="25">
        <v>0.0</v>
      </c>
      <c r="G3546" s="27"/>
    </row>
    <row r="3547">
      <c r="A3547" s="21"/>
      <c r="B3547" s="21" t="s">
        <v>9726</v>
      </c>
      <c r="D3547" s="25">
        <v>0.0</v>
      </c>
      <c r="E3547" s="27"/>
      <c r="F3547" s="25">
        <v>0.0</v>
      </c>
      <c r="G3547" s="27"/>
    </row>
    <row r="3548">
      <c r="A3548" s="21"/>
      <c r="B3548" s="21" t="s">
        <v>9727</v>
      </c>
      <c r="D3548" s="25">
        <v>0.0</v>
      </c>
      <c r="E3548" s="27"/>
      <c r="F3548" s="25">
        <v>0.0</v>
      </c>
      <c r="G3548" s="27"/>
    </row>
    <row r="3549">
      <c r="A3549" s="21"/>
      <c r="B3549" s="21" t="s">
        <v>9728</v>
      </c>
      <c r="D3549" s="25">
        <v>0.0</v>
      </c>
      <c r="E3549" s="27"/>
      <c r="F3549" s="25">
        <v>0.0</v>
      </c>
      <c r="G3549" s="27"/>
    </row>
    <row r="3550">
      <c r="A3550" s="21"/>
      <c r="B3550" s="21" t="s">
        <v>9729</v>
      </c>
      <c r="D3550" s="25">
        <v>0.0</v>
      </c>
      <c r="E3550" s="27"/>
      <c r="F3550" s="25">
        <v>0.0</v>
      </c>
      <c r="G3550" s="27"/>
    </row>
    <row r="3551">
      <c r="A3551" s="21"/>
      <c r="B3551" s="21" t="s">
        <v>9730</v>
      </c>
      <c r="D3551" s="25">
        <v>0.0</v>
      </c>
      <c r="E3551" s="27"/>
      <c r="F3551" s="25">
        <v>0.0</v>
      </c>
      <c r="G3551" s="27"/>
    </row>
    <row r="3552">
      <c r="A3552" s="21"/>
      <c r="B3552" s="21" t="s">
        <v>9731</v>
      </c>
      <c r="D3552" s="25">
        <v>0.0</v>
      </c>
      <c r="E3552" s="27"/>
      <c r="F3552" s="25">
        <v>0.0</v>
      </c>
      <c r="G3552" s="27"/>
    </row>
    <row r="3553">
      <c r="A3553" s="21"/>
      <c r="B3553" s="21" t="s">
        <v>9732</v>
      </c>
      <c r="D3553" s="25">
        <v>0.0</v>
      </c>
      <c r="E3553" s="27"/>
      <c r="F3553" s="25">
        <v>0.0</v>
      </c>
      <c r="G3553" s="27"/>
    </row>
    <row r="3554">
      <c r="A3554" s="21"/>
      <c r="B3554" s="21" t="s">
        <v>9733</v>
      </c>
      <c r="D3554" s="25">
        <v>0.0</v>
      </c>
      <c r="E3554" s="27"/>
      <c r="F3554" s="25">
        <v>0.0</v>
      </c>
      <c r="G3554" s="27"/>
    </row>
    <row r="3555">
      <c r="A3555" s="21"/>
      <c r="B3555" s="21" t="s">
        <v>4669</v>
      </c>
      <c r="D3555" s="25">
        <v>0.0</v>
      </c>
      <c r="E3555" s="27"/>
      <c r="F3555" s="25">
        <v>0.0</v>
      </c>
      <c r="G3555" s="27"/>
    </row>
    <row r="3556">
      <c r="A3556" s="21"/>
      <c r="B3556" s="21" t="s">
        <v>9734</v>
      </c>
      <c r="D3556" s="25">
        <v>0.0</v>
      </c>
      <c r="E3556" s="27"/>
      <c r="F3556" s="25">
        <v>0.0</v>
      </c>
      <c r="G3556" s="27"/>
    </row>
    <row r="3557">
      <c r="A3557" s="21"/>
      <c r="B3557" s="21" t="s">
        <v>9735</v>
      </c>
      <c r="D3557" s="25">
        <v>0.0</v>
      </c>
      <c r="E3557" s="27"/>
      <c r="F3557" s="25">
        <v>0.0</v>
      </c>
      <c r="G3557" s="27"/>
    </row>
    <row r="3558">
      <c r="A3558" s="21"/>
      <c r="B3558" s="21" t="s">
        <v>9736</v>
      </c>
      <c r="D3558" s="25">
        <v>0.0</v>
      </c>
      <c r="E3558" s="27"/>
      <c r="F3558" s="25">
        <v>0.0</v>
      </c>
      <c r="G3558" s="27"/>
    </row>
    <row r="3559">
      <c r="A3559" s="21"/>
      <c r="B3559" s="21" t="s">
        <v>9737</v>
      </c>
      <c r="D3559" s="25">
        <v>0.0</v>
      </c>
      <c r="E3559" s="27"/>
      <c r="F3559" s="25">
        <v>0.0</v>
      </c>
      <c r="G3559" s="27"/>
    </row>
    <row r="3560">
      <c r="A3560" s="21"/>
      <c r="B3560" s="21" t="s">
        <v>9738</v>
      </c>
      <c r="D3560" s="25">
        <v>0.0</v>
      </c>
      <c r="E3560" s="27"/>
      <c r="F3560" s="25">
        <v>0.0</v>
      </c>
      <c r="G3560" s="27"/>
    </row>
    <row r="3561">
      <c r="A3561" s="21"/>
      <c r="B3561" s="21" t="s">
        <v>9739</v>
      </c>
      <c r="D3561" s="25">
        <v>0.0</v>
      </c>
      <c r="E3561" s="27"/>
      <c r="F3561" s="25">
        <v>0.0</v>
      </c>
      <c r="G3561" s="27"/>
    </row>
    <row r="3562">
      <c r="A3562" s="21"/>
      <c r="B3562" s="21" t="s">
        <v>9740</v>
      </c>
      <c r="D3562" s="25">
        <v>0.0</v>
      </c>
      <c r="E3562" s="27"/>
      <c r="F3562" s="25">
        <v>0.0</v>
      </c>
      <c r="G3562" s="27"/>
    </row>
    <row r="3563">
      <c r="A3563" s="21"/>
      <c r="B3563" s="21" t="s">
        <v>9741</v>
      </c>
      <c r="D3563" s="25">
        <v>0.0</v>
      </c>
      <c r="E3563" s="27"/>
      <c r="F3563" s="25">
        <v>0.0</v>
      </c>
      <c r="G3563" s="27"/>
    </row>
    <row r="3564">
      <c r="A3564" s="21"/>
      <c r="B3564" s="21" t="s">
        <v>9742</v>
      </c>
      <c r="D3564" s="25">
        <v>0.0</v>
      </c>
      <c r="E3564" s="27"/>
      <c r="F3564" s="25">
        <v>0.0</v>
      </c>
      <c r="G3564" s="27"/>
    </row>
    <row r="3565">
      <c r="A3565" s="21"/>
      <c r="B3565" s="21" t="s">
        <v>9743</v>
      </c>
      <c r="D3565" s="25">
        <v>0.0</v>
      </c>
      <c r="E3565" s="27"/>
      <c r="F3565" s="25">
        <v>0.0</v>
      </c>
      <c r="G3565" s="27"/>
    </row>
    <row r="3566">
      <c r="A3566" s="21"/>
      <c r="B3566" s="21" t="s">
        <v>9744</v>
      </c>
      <c r="D3566" s="25">
        <v>0.0</v>
      </c>
      <c r="E3566" s="27"/>
      <c r="F3566" s="25">
        <v>0.0</v>
      </c>
      <c r="G3566" s="27"/>
    </row>
    <row r="3567">
      <c r="A3567" s="21"/>
      <c r="B3567" s="21" t="s">
        <v>9745</v>
      </c>
      <c r="D3567" s="25">
        <v>0.0</v>
      </c>
      <c r="E3567" s="27"/>
      <c r="F3567" s="25">
        <v>0.0</v>
      </c>
      <c r="G3567" s="27"/>
    </row>
    <row r="3568">
      <c r="A3568" s="21"/>
      <c r="B3568" s="21" t="s">
        <v>9746</v>
      </c>
      <c r="D3568" s="25">
        <v>0.0</v>
      </c>
      <c r="E3568" s="27"/>
      <c r="F3568" s="25">
        <v>0.0</v>
      </c>
      <c r="G3568" s="27"/>
    </row>
    <row r="3569">
      <c r="A3569" s="21"/>
      <c r="B3569" s="21" t="s">
        <v>9747</v>
      </c>
      <c r="D3569" s="25">
        <v>0.0</v>
      </c>
      <c r="E3569" s="27"/>
      <c r="F3569" s="25">
        <v>0.0</v>
      </c>
      <c r="G3569" s="27"/>
    </row>
    <row r="3570">
      <c r="A3570" s="21"/>
      <c r="B3570" s="21" t="s">
        <v>9748</v>
      </c>
      <c r="D3570" s="25">
        <v>0.0</v>
      </c>
      <c r="E3570" s="27"/>
      <c r="F3570" s="25">
        <v>0.0</v>
      </c>
      <c r="G3570" s="27"/>
    </row>
    <row r="3571">
      <c r="A3571" s="21"/>
      <c r="B3571" s="21" t="s">
        <v>9749</v>
      </c>
      <c r="D3571" s="25">
        <v>0.0</v>
      </c>
      <c r="E3571" s="27"/>
      <c r="F3571" s="25">
        <v>0.0</v>
      </c>
      <c r="G3571" s="27"/>
    </row>
    <row r="3572">
      <c r="A3572" s="21"/>
      <c r="B3572" s="21" t="s">
        <v>9750</v>
      </c>
      <c r="D3572" s="25">
        <v>0.0</v>
      </c>
      <c r="E3572" s="27"/>
      <c r="F3572" s="25">
        <v>0.0</v>
      </c>
      <c r="G3572" s="27"/>
    </row>
    <row r="3573">
      <c r="A3573" s="21"/>
      <c r="B3573" s="21" t="s">
        <v>9751</v>
      </c>
      <c r="D3573" s="25">
        <v>0.0</v>
      </c>
      <c r="E3573" s="27"/>
      <c r="F3573" s="25">
        <v>0.0</v>
      </c>
      <c r="G3573" s="27"/>
    </row>
    <row r="3574">
      <c r="A3574" s="21"/>
      <c r="B3574" s="21" t="s">
        <v>9752</v>
      </c>
      <c r="D3574" s="25">
        <v>0.0</v>
      </c>
      <c r="E3574" s="27"/>
      <c r="F3574" s="25">
        <v>0.0</v>
      </c>
      <c r="G3574" s="27"/>
    </row>
    <row r="3575">
      <c r="A3575" s="21"/>
      <c r="B3575" s="21" t="s">
        <v>9753</v>
      </c>
      <c r="D3575" s="25">
        <v>0.0</v>
      </c>
      <c r="E3575" s="27"/>
      <c r="F3575" s="25">
        <v>0.0</v>
      </c>
      <c r="G3575" s="27"/>
    </row>
    <row r="3576">
      <c r="A3576" s="21"/>
      <c r="B3576" s="21" t="s">
        <v>9754</v>
      </c>
      <c r="D3576" s="25">
        <v>0.0</v>
      </c>
      <c r="E3576" s="27"/>
      <c r="F3576" s="25">
        <v>0.0</v>
      </c>
      <c r="G3576" s="27"/>
    </row>
    <row r="3577">
      <c r="A3577" s="21"/>
      <c r="B3577" s="21" t="s">
        <v>9755</v>
      </c>
      <c r="D3577" s="25">
        <v>0.0</v>
      </c>
      <c r="E3577" s="27"/>
      <c r="F3577" s="25">
        <v>0.0</v>
      </c>
      <c r="G3577" s="27"/>
    </row>
    <row r="3578">
      <c r="A3578" s="21"/>
      <c r="B3578" s="21" t="s">
        <v>9756</v>
      </c>
      <c r="D3578" s="25">
        <v>0.0</v>
      </c>
      <c r="E3578" s="27"/>
      <c r="F3578" s="25">
        <v>0.0</v>
      </c>
      <c r="G3578" s="27"/>
    </row>
    <row r="3579">
      <c r="A3579" s="21"/>
      <c r="B3579" s="21" t="s">
        <v>9757</v>
      </c>
      <c r="D3579" s="25">
        <v>0.0</v>
      </c>
      <c r="E3579" s="27"/>
      <c r="F3579" s="25">
        <v>0.0</v>
      </c>
      <c r="G3579" s="27"/>
    </row>
    <row r="3580">
      <c r="A3580" s="21"/>
      <c r="B3580" s="21" t="s">
        <v>9758</v>
      </c>
      <c r="D3580" s="25">
        <v>0.0</v>
      </c>
      <c r="E3580" s="27"/>
      <c r="F3580" s="25">
        <v>0.0</v>
      </c>
      <c r="G3580" s="27"/>
    </row>
    <row r="3581">
      <c r="A3581" s="21"/>
      <c r="B3581" s="21" t="s">
        <v>9759</v>
      </c>
      <c r="D3581" s="25">
        <v>0.0</v>
      </c>
      <c r="E3581" s="27"/>
      <c r="F3581" s="25">
        <v>0.0</v>
      </c>
      <c r="G3581" s="27"/>
    </row>
    <row r="3582">
      <c r="A3582" s="21"/>
      <c r="B3582" s="21" t="s">
        <v>9760</v>
      </c>
      <c r="D3582" s="25">
        <v>0.0</v>
      </c>
      <c r="E3582" s="27"/>
      <c r="F3582" s="25">
        <v>0.0</v>
      </c>
      <c r="G3582" s="27"/>
    </row>
    <row r="3583">
      <c r="A3583" s="21"/>
      <c r="B3583" s="21" t="s">
        <v>9761</v>
      </c>
      <c r="D3583" s="25">
        <v>0.0</v>
      </c>
      <c r="E3583" s="27"/>
      <c r="F3583" s="25">
        <v>0.0</v>
      </c>
      <c r="G3583" s="27"/>
    </row>
    <row r="3584">
      <c r="A3584" s="21"/>
      <c r="B3584" s="21" t="s">
        <v>9762</v>
      </c>
      <c r="D3584" s="25">
        <v>0.0</v>
      </c>
      <c r="E3584" s="27"/>
      <c r="F3584" s="25">
        <v>0.0</v>
      </c>
      <c r="G3584" s="27"/>
    </row>
    <row r="3585">
      <c r="A3585" s="21"/>
      <c r="B3585" s="21" t="s">
        <v>9763</v>
      </c>
      <c r="D3585" s="25">
        <v>0.0</v>
      </c>
      <c r="E3585" s="27"/>
      <c r="F3585" s="25">
        <v>0.0</v>
      </c>
      <c r="G3585" s="27"/>
    </row>
    <row r="3586">
      <c r="A3586" s="21"/>
      <c r="B3586" s="21" t="s">
        <v>9764</v>
      </c>
      <c r="D3586" s="25">
        <v>0.0</v>
      </c>
      <c r="E3586" s="27"/>
      <c r="F3586" s="25">
        <v>0.0</v>
      </c>
      <c r="G3586" s="27"/>
    </row>
    <row r="3587">
      <c r="A3587" s="21"/>
      <c r="B3587" s="21" t="s">
        <v>9765</v>
      </c>
      <c r="D3587" s="25">
        <v>0.0</v>
      </c>
      <c r="E3587" s="27"/>
      <c r="F3587" s="25">
        <v>0.0</v>
      </c>
      <c r="G3587" s="27"/>
    </row>
    <row r="3588">
      <c r="A3588" s="21"/>
      <c r="B3588" s="21" t="s">
        <v>9766</v>
      </c>
      <c r="D3588" s="25">
        <v>0.0</v>
      </c>
      <c r="E3588" s="27"/>
      <c r="F3588" s="25">
        <v>0.0</v>
      </c>
      <c r="G3588" s="27"/>
    </row>
    <row r="3589">
      <c r="A3589" s="21"/>
      <c r="B3589" s="21" t="s">
        <v>9767</v>
      </c>
      <c r="D3589" s="25">
        <v>0.0</v>
      </c>
      <c r="E3589" s="27"/>
      <c r="F3589" s="25">
        <v>0.0</v>
      </c>
      <c r="G3589" s="27"/>
    </row>
    <row r="3590">
      <c r="A3590" s="21"/>
      <c r="B3590" s="21" t="s">
        <v>4670</v>
      </c>
      <c r="D3590" s="25">
        <v>0.0</v>
      </c>
      <c r="E3590" s="27"/>
      <c r="F3590" s="25">
        <v>0.0</v>
      </c>
      <c r="G3590" s="27"/>
    </row>
    <row r="3591">
      <c r="A3591" s="21"/>
      <c r="B3591" s="21" t="s">
        <v>4671</v>
      </c>
      <c r="D3591" s="25">
        <v>0.0</v>
      </c>
      <c r="E3591" s="27"/>
      <c r="F3591" s="25">
        <v>0.0</v>
      </c>
      <c r="G3591" s="27"/>
    </row>
    <row r="3592">
      <c r="A3592" s="21"/>
      <c r="B3592" s="21" t="s">
        <v>9768</v>
      </c>
      <c r="D3592" s="25">
        <v>0.0</v>
      </c>
      <c r="E3592" s="27"/>
      <c r="F3592" s="25">
        <v>0.0</v>
      </c>
      <c r="G3592" s="27"/>
    </row>
    <row r="3593">
      <c r="A3593" s="21"/>
      <c r="B3593" s="21" t="s">
        <v>9769</v>
      </c>
      <c r="D3593" s="25">
        <v>0.0</v>
      </c>
      <c r="E3593" s="27"/>
      <c r="F3593" s="25">
        <v>0.0</v>
      </c>
      <c r="G3593" s="27"/>
    </row>
    <row r="3594">
      <c r="A3594" s="21"/>
      <c r="B3594" s="21" t="s">
        <v>9770</v>
      </c>
      <c r="D3594" s="25">
        <v>0.0</v>
      </c>
      <c r="E3594" s="27"/>
      <c r="F3594" s="25">
        <v>0.0</v>
      </c>
      <c r="G3594" s="27"/>
    </row>
    <row r="3595">
      <c r="A3595" s="21"/>
      <c r="B3595" s="21" t="s">
        <v>9771</v>
      </c>
      <c r="D3595" s="25">
        <v>0.0</v>
      </c>
      <c r="E3595" s="27"/>
      <c r="F3595" s="25">
        <v>0.0</v>
      </c>
      <c r="G3595" s="27"/>
    </row>
    <row r="3596">
      <c r="A3596" s="21"/>
      <c r="B3596" s="21" t="s">
        <v>9772</v>
      </c>
      <c r="D3596" s="25">
        <v>0.0</v>
      </c>
      <c r="E3596" s="27"/>
      <c r="F3596" s="25">
        <v>0.0</v>
      </c>
      <c r="G3596" s="27"/>
    </row>
    <row r="3597">
      <c r="A3597" s="21"/>
      <c r="B3597" s="21" t="s">
        <v>9773</v>
      </c>
      <c r="D3597" s="25">
        <v>0.0</v>
      </c>
      <c r="E3597" s="27"/>
      <c r="F3597" s="25">
        <v>0.0</v>
      </c>
      <c r="G3597" s="27"/>
    </row>
    <row r="3598">
      <c r="A3598" s="21"/>
      <c r="B3598" s="21" t="s">
        <v>9774</v>
      </c>
      <c r="D3598" s="25">
        <v>0.0</v>
      </c>
      <c r="E3598" s="27"/>
      <c r="F3598" s="25">
        <v>0.0</v>
      </c>
      <c r="G3598" s="27"/>
    </row>
    <row r="3599">
      <c r="A3599" s="21"/>
      <c r="B3599" s="21" t="s">
        <v>9775</v>
      </c>
      <c r="D3599" s="25">
        <v>0.0</v>
      </c>
      <c r="E3599" s="27"/>
      <c r="F3599" s="25">
        <v>0.0</v>
      </c>
      <c r="G3599" s="27"/>
    </row>
    <row r="3600">
      <c r="A3600" s="21"/>
      <c r="B3600" s="21" t="s">
        <v>9776</v>
      </c>
      <c r="D3600" s="25">
        <v>0.0</v>
      </c>
      <c r="E3600" s="27"/>
      <c r="F3600" s="25">
        <v>0.0</v>
      </c>
      <c r="G3600" s="27"/>
    </row>
    <row r="3601">
      <c r="A3601" s="21"/>
      <c r="B3601" s="21" t="s">
        <v>9777</v>
      </c>
      <c r="D3601" s="25">
        <v>0.0</v>
      </c>
      <c r="E3601" s="27"/>
      <c r="F3601" s="25">
        <v>0.0</v>
      </c>
      <c r="G3601" s="27"/>
    </row>
    <row r="3602">
      <c r="A3602" s="21"/>
      <c r="B3602" s="21" t="s">
        <v>9778</v>
      </c>
      <c r="D3602" s="25">
        <v>0.0</v>
      </c>
      <c r="E3602" s="27"/>
      <c r="F3602" s="25">
        <v>0.0</v>
      </c>
      <c r="G3602" s="27"/>
    </row>
    <row r="3603">
      <c r="A3603" s="21"/>
      <c r="B3603" s="21" t="s">
        <v>9779</v>
      </c>
      <c r="D3603" s="25">
        <v>0.0</v>
      </c>
      <c r="E3603" s="27"/>
      <c r="F3603" s="25">
        <v>0.0</v>
      </c>
      <c r="G3603" s="27"/>
    </row>
    <row r="3604">
      <c r="A3604" s="21"/>
      <c r="B3604" s="21" t="s">
        <v>9780</v>
      </c>
      <c r="D3604" s="25">
        <v>0.0</v>
      </c>
      <c r="E3604" s="27"/>
      <c r="F3604" s="25">
        <v>0.0</v>
      </c>
      <c r="G3604" s="27"/>
    </row>
    <row r="3605">
      <c r="A3605" s="21"/>
      <c r="B3605" s="21" t="s">
        <v>9781</v>
      </c>
      <c r="D3605" s="25">
        <v>0.0</v>
      </c>
      <c r="E3605" s="27"/>
      <c r="F3605" s="25">
        <v>0.0</v>
      </c>
      <c r="G3605" s="27"/>
    </row>
    <row r="3606">
      <c r="A3606" s="21"/>
      <c r="B3606" s="21" t="s">
        <v>9782</v>
      </c>
      <c r="D3606" s="25">
        <v>0.0</v>
      </c>
      <c r="E3606" s="27"/>
      <c r="F3606" s="25">
        <v>0.0</v>
      </c>
      <c r="G3606" s="27"/>
    </row>
    <row r="3607">
      <c r="A3607" s="21"/>
      <c r="B3607" s="21" t="s">
        <v>9783</v>
      </c>
      <c r="D3607" s="25">
        <v>0.0</v>
      </c>
      <c r="E3607" s="27"/>
      <c r="F3607" s="25">
        <v>0.0</v>
      </c>
      <c r="G3607" s="27"/>
    </row>
    <row r="3608">
      <c r="A3608" s="21"/>
      <c r="B3608" s="21" t="s">
        <v>9784</v>
      </c>
      <c r="D3608" s="25">
        <v>0.0</v>
      </c>
      <c r="E3608" s="27"/>
      <c r="F3608" s="25">
        <v>0.0</v>
      </c>
      <c r="G3608" s="27"/>
    </row>
    <row r="3609">
      <c r="A3609" s="21"/>
      <c r="B3609" s="21" t="s">
        <v>9785</v>
      </c>
      <c r="D3609" s="25">
        <v>0.0</v>
      </c>
      <c r="E3609" s="27"/>
      <c r="F3609" s="25">
        <v>0.0</v>
      </c>
      <c r="G3609" s="27"/>
    </row>
    <row r="3610">
      <c r="A3610" s="21"/>
      <c r="B3610" s="21" t="s">
        <v>9786</v>
      </c>
      <c r="D3610" s="25">
        <v>0.0</v>
      </c>
      <c r="E3610" s="27"/>
      <c r="F3610" s="25">
        <v>0.0</v>
      </c>
      <c r="G3610" s="27"/>
    </row>
    <row r="3611">
      <c r="A3611" s="21"/>
      <c r="B3611" s="21" t="s">
        <v>9787</v>
      </c>
      <c r="D3611" s="25">
        <v>0.0</v>
      </c>
      <c r="E3611" s="27"/>
      <c r="F3611" s="25">
        <v>0.0</v>
      </c>
      <c r="G3611" s="27"/>
    </row>
    <row r="3612">
      <c r="A3612" s="21"/>
      <c r="B3612" s="21" t="s">
        <v>9788</v>
      </c>
      <c r="D3612" s="25">
        <v>0.0</v>
      </c>
      <c r="E3612" s="27"/>
      <c r="F3612" s="25">
        <v>0.0</v>
      </c>
      <c r="G3612" s="27"/>
    </row>
    <row r="3613">
      <c r="A3613" s="21"/>
      <c r="B3613" s="21" t="s">
        <v>4782</v>
      </c>
      <c r="D3613" s="25">
        <v>0.0</v>
      </c>
      <c r="E3613" s="27"/>
      <c r="F3613" s="25">
        <v>0.0</v>
      </c>
      <c r="G3613" s="27"/>
    </row>
    <row r="3614">
      <c r="A3614" s="21"/>
      <c r="B3614" s="21" t="s">
        <v>4788</v>
      </c>
      <c r="D3614" s="25">
        <v>0.0</v>
      </c>
      <c r="E3614" s="27"/>
      <c r="F3614" s="25">
        <v>0.0</v>
      </c>
      <c r="G3614" s="27"/>
    </row>
    <row r="3615">
      <c r="A3615" s="21"/>
      <c r="B3615" s="21" t="s">
        <v>9789</v>
      </c>
      <c r="D3615" s="25">
        <v>0.0</v>
      </c>
      <c r="E3615" s="27"/>
      <c r="F3615" s="25">
        <v>0.0</v>
      </c>
      <c r="G3615" s="27"/>
    </row>
    <row r="3616">
      <c r="A3616" s="21"/>
      <c r="B3616" s="21" t="s">
        <v>9790</v>
      </c>
      <c r="D3616" s="25">
        <v>0.0</v>
      </c>
      <c r="E3616" s="27"/>
      <c r="F3616" s="25">
        <v>0.0</v>
      </c>
      <c r="G3616" s="27"/>
    </row>
    <row r="3617">
      <c r="A3617" s="21"/>
      <c r="B3617" s="21" t="s">
        <v>9791</v>
      </c>
      <c r="D3617" s="25">
        <v>0.0</v>
      </c>
      <c r="E3617" s="27"/>
      <c r="F3617" s="25">
        <v>0.0</v>
      </c>
      <c r="G3617" s="27"/>
    </row>
    <row r="3618">
      <c r="A3618" s="21"/>
      <c r="B3618" s="21" t="s">
        <v>9792</v>
      </c>
      <c r="D3618" s="25">
        <v>0.0</v>
      </c>
      <c r="E3618" s="27"/>
      <c r="F3618" s="25">
        <v>0.0</v>
      </c>
      <c r="G3618" s="27"/>
    </row>
    <row r="3619">
      <c r="A3619" s="21"/>
      <c r="B3619" s="21" t="s">
        <v>9793</v>
      </c>
      <c r="D3619" s="25">
        <v>0.0</v>
      </c>
      <c r="E3619" s="27"/>
      <c r="F3619" s="25">
        <v>0.0</v>
      </c>
      <c r="G3619" s="27"/>
    </row>
    <row r="3620">
      <c r="A3620" s="21"/>
      <c r="B3620" s="21" t="s">
        <v>9794</v>
      </c>
      <c r="D3620" s="25">
        <v>0.0</v>
      </c>
      <c r="E3620" s="27"/>
      <c r="F3620" s="25">
        <v>0.0</v>
      </c>
      <c r="G3620" s="27"/>
    </row>
    <row r="3621">
      <c r="A3621" s="21"/>
      <c r="B3621" s="21" t="s">
        <v>9795</v>
      </c>
      <c r="D3621" s="25">
        <v>0.0</v>
      </c>
      <c r="E3621" s="27"/>
      <c r="F3621" s="25">
        <v>0.0</v>
      </c>
      <c r="G3621" s="27"/>
    </row>
    <row r="3622">
      <c r="A3622" s="21"/>
      <c r="B3622" s="21" t="s">
        <v>9796</v>
      </c>
      <c r="D3622" s="25">
        <v>0.0</v>
      </c>
      <c r="E3622" s="27"/>
      <c r="F3622" s="25">
        <v>0.0</v>
      </c>
      <c r="G3622" s="27"/>
    </row>
    <row r="3623">
      <c r="A3623" s="21"/>
      <c r="B3623" s="21" t="s">
        <v>9797</v>
      </c>
      <c r="D3623" s="25">
        <v>0.0</v>
      </c>
      <c r="E3623" s="27"/>
      <c r="F3623" s="25">
        <v>0.0</v>
      </c>
      <c r="G3623" s="27"/>
    </row>
    <row r="3624">
      <c r="A3624" s="21"/>
      <c r="B3624" s="21" t="s">
        <v>9798</v>
      </c>
      <c r="D3624" s="25">
        <v>0.0</v>
      </c>
      <c r="E3624" s="27"/>
      <c r="F3624" s="25">
        <v>0.0</v>
      </c>
      <c r="G3624" s="27"/>
    </row>
    <row r="3625">
      <c r="A3625" s="21"/>
      <c r="B3625" s="21" t="s">
        <v>9799</v>
      </c>
      <c r="D3625" s="25">
        <v>0.0</v>
      </c>
      <c r="E3625" s="27"/>
      <c r="F3625" s="25">
        <v>0.0</v>
      </c>
      <c r="G3625" s="27"/>
    </row>
    <row r="3626">
      <c r="A3626" s="21"/>
      <c r="B3626" s="21" t="s">
        <v>9800</v>
      </c>
      <c r="D3626" s="25">
        <v>0.0</v>
      </c>
      <c r="E3626" s="27"/>
      <c r="F3626" s="25">
        <v>0.0</v>
      </c>
      <c r="G3626" s="27"/>
    </row>
    <row r="3627">
      <c r="A3627" s="21"/>
      <c r="B3627" s="21" t="s">
        <v>9801</v>
      </c>
      <c r="D3627" s="25">
        <v>0.0</v>
      </c>
      <c r="E3627" s="27"/>
      <c r="F3627" s="25">
        <v>0.0</v>
      </c>
      <c r="G3627" s="27"/>
    </row>
    <row r="3628">
      <c r="A3628" s="21"/>
      <c r="B3628" s="21" t="s">
        <v>9802</v>
      </c>
      <c r="D3628" s="25">
        <v>0.0</v>
      </c>
      <c r="E3628" s="27"/>
      <c r="F3628" s="25">
        <v>0.0</v>
      </c>
      <c r="G3628" s="27"/>
    </row>
    <row r="3629">
      <c r="A3629" s="21"/>
      <c r="B3629" s="21" t="s">
        <v>9803</v>
      </c>
      <c r="D3629" s="25">
        <v>0.0</v>
      </c>
      <c r="E3629" s="27"/>
      <c r="F3629" s="25">
        <v>0.0</v>
      </c>
      <c r="G3629" s="27"/>
    </row>
    <row r="3630">
      <c r="A3630" s="21"/>
      <c r="B3630" s="21" t="s">
        <v>9804</v>
      </c>
      <c r="D3630" s="25">
        <v>0.0</v>
      </c>
      <c r="E3630" s="27"/>
      <c r="F3630" s="25">
        <v>0.0</v>
      </c>
      <c r="G3630" s="27"/>
    </row>
    <row r="3631">
      <c r="A3631" s="21"/>
      <c r="B3631" s="21" t="s">
        <v>9805</v>
      </c>
      <c r="D3631" s="25">
        <v>0.0</v>
      </c>
      <c r="E3631" s="27"/>
      <c r="F3631" s="25">
        <v>0.0</v>
      </c>
      <c r="G3631" s="27"/>
    </row>
    <row r="3632">
      <c r="A3632" s="21"/>
      <c r="B3632" s="21" t="s">
        <v>9806</v>
      </c>
      <c r="D3632" s="25">
        <v>0.0</v>
      </c>
      <c r="E3632" s="27"/>
      <c r="F3632" s="25">
        <v>0.0</v>
      </c>
      <c r="G3632" s="27"/>
    </row>
    <row r="3633">
      <c r="A3633" s="21"/>
      <c r="B3633" s="21" t="s">
        <v>9807</v>
      </c>
      <c r="D3633" s="25">
        <v>0.0</v>
      </c>
      <c r="E3633" s="27"/>
      <c r="F3633" s="25">
        <v>0.0</v>
      </c>
      <c r="G3633" s="27"/>
    </row>
    <row r="3634">
      <c r="A3634" s="21"/>
      <c r="B3634" s="21" t="s">
        <v>9808</v>
      </c>
      <c r="D3634" s="25">
        <v>0.0</v>
      </c>
      <c r="E3634" s="27"/>
      <c r="F3634" s="25">
        <v>0.0</v>
      </c>
      <c r="G3634" s="27"/>
    </row>
    <row r="3635">
      <c r="A3635" s="21"/>
      <c r="B3635" s="21" t="s">
        <v>9809</v>
      </c>
      <c r="D3635" s="25">
        <v>0.0</v>
      </c>
      <c r="E3635" s="27"/>
      <c r="F3635" s="25">
        <v>0.0</v>
      </c>
      <c r="G3635" s="27"/>
    </row>
    <row r="3636">
      <c r="A3636" s="21"/>
      <c r="B3636" s="21" t="s">
        <v>9810</v>
      </c>
      <c r="D3636" s="25">
        <v>0.0</v>
      </c>
      <c r="E3636" s="27"/>
      <c r="F3636" s="25">
        <v>0.0</v>
      </c>
      <c r="G3636" s="27"/>
    </row>
    <row r="3637">
      <c r="A3637" s="21"/>
      <c r="B3637" s="21" t="s">
        <v>9811</v>
      </c>
      <c r="D3637" s="25">
        <v>0.0</v>
      </c>
      <c r="E3637" s="27"/>
      <c r="F3637" s="25">
        <v>0.0</v>
      </c>
      <c r="G3637" s="27"/>
    </row>
    <row r="3638">
      <c r="A3638" s="21"/>
      <c r="B3638" s="21" t="s">
        <v>9812</v>
      </c>
      <c r="D3638" s="25">
        <v>0.0</v>
      </c>
      <c r="E3638" s="27"/>
      <c r="F3638" s="25">
        <v>0.0</v>
      </c>
      <c r="G3638" s="27"/>
    </row>
    <row r="3639">
      <c r="A3639" s="21"/>
      <c r="B3639" s="21" t="s">
        <v>9813</v>
      </c>
      <c r="D3639" s="25">
        <v>0.0</v>
      </c>
      <c r="E3639" s="27"/>
      <c r="F3639" s="25">
        <v>0.0</v>
      </c>
      <c r="G3639" s="27"/>
    </row>
    <row r="3640">
      <c r="A3640" s="21"/>
      <c r="B3640" s="21" t="s">
        <v>9814</v>
      </c>
      <c r="D3640" s="25">
        <v>0.0</v>
      </c>
      <c r="E3640" s="27"/>
      <c r="F3640" s="25">
        <v>0.0</v>
      </c>
      <c r="G3640" s="27"/>
    </row>
    <row r="3641">
      <c r="A3641" s="21"/>
      <c r="B3641" s="21" t="s">
        <v>9815</v>
      </c>
      <c r="D3641" s="25">
        <v>0.0</v>
      </c>
      <c r="E3641" s="27"/>
      <c r="F3641" s="25">
        <v>0.0</v>
      </c>
      <c r="G3641" s="27"/>
    </row>
    <row r="3642">
      <c r="A3642" s="21"/>
      <c r="B3642" s="21" t="s">
        <v>9816</v>
      </c>
      <c r="D3642" s="25">
        <v>0.0</v>
      </c>
      <c r="E3642" s="27"/>
      <c r="F3642" s="25">
        <v>0.0</v>
      </c>
      <c r="G3642" s="27"/>
    </row>
    <row r="3643">
      <c r="A3643" s="21"/>
      <c r="B3643" s="21" t="s">
        <v>9817</v>
      </c>
      <c r="D3643" s="25">
        <v>0.0</v>
      </c>
      <c r="E3643" s="27"/>
      <c r="F3643" s="25">
        <v>0.0</v>
      </c>
      <c r="G3643" s="27"/>
    </row>
    <row r="3644">
      <c r="A3644" s="21"/>
      <c r="B3644" s="21" t="s">
        <v>9818</v>
      </c>
      <c r="D3644" s="25">
        <v>0.0</v>
      </c>
      <c r="E3644" s="27"/>
      <c r="F3644" s="25">
        <v>0.0</v>
      </c>
      <c r="G3644" s="27"/>
    </row>
    <row r="3645">
      <c r="A3645" s="21"/>
      <c r="B3645" s="21" t="s">
        <v>9819</v>
      </c>
      <c r="D3645" s="25">
        <v>0.0</v>
      </c>
      <c r="E3645" s="27"/>
      <c r="F3645" s="25">
        <v>0.0</v>
      </c>
      <c r="G3645" s="27"/>
    </row>
    <row r="3646">
      <c r="A3646" s="21"/>
      <c r="B3646" s="21" t="s">
        <v>9820</v>
      </c>
      <c r="D3646" s="25">
        <v>0.0</v>
      </c>
      <c r="E3646" s="27"/>
      <c r="F3646" s="25">
        <v>0.0</v>
      </c>
      <c r="G3646" s="27"/>
    </row>
    <row r="3647">
      <c r="A3647" s="21"/>
      <c r="B3647" s="21" t="s">
        <v>9821</v>
      </c>
      <c r="D3647" s="25">
        <v>0.0</v>
      </c>
      <c r="E3647" s="27"/>
      <c r="F3647" s="25">
        <v>0.0</v>
      </c>
      <c r="G3647" s="27"/>
    </row>
    <row r="3648">
      <c r="A3648" s="21"/>
      <c r="B3648" s="21" t="s">
        <v>9822</v>
      </c>
      <c r="D3648" s="25">
        <v>0.0</v>
      </c>
      <c r="E3648" s="27"/>
      <c r="F3648" s="25">
        <v>0.0</v>
      </c>
      <c r="G3648" s="27"/>
    </row>
    <row r="3649">
      <c r="A3649" s="21"/>
      <c r="B3649" s="21" t="s">
        <v>9823</v>
      </c>
      <c r="D3649" s="25">
        <v>0.0</v>
      </c>
      <c r="E3649" s="27"/>
      <c r="F3649" s="25">
        <v>0.0</v>
      </c>
      <c r="G3649" s="27"/>
    </row>
    <row r="3650">
      <c r="A3650" s="21"/>
      <c r="B3650" s="21" t="s">
        <v>9824</v>
      </c>
      <c r="D3650" s="25">
        <v>0.0</v>
      </c>
      <c r="E3650" s="27"/>
      <c r="F3650" s="25">
        <v>0.0</v>
      </c>
      <c r="G3650" s="27"/>
    </row>
    <row r="3651">
      <c r="A3651" s="21"/>
      <c r="B3651" s="21" t="s">
        <v>9825</v>
      </c>
      <c r="D3651" s="25">
        <v>0.0</v>
      </c>
      <c r="E3651" s="27"/>
      <c r="F3651" s="25">
        <v>0.0</v>
      </c>
      <c r="G3651" s="27"/>
    </row>
    <row r="3652">
      <c r="A3652" s="21"/>
      <c r="B3652" s="21" t="s">
        <v>9826</v>
      </c>
      <c r="D3652" s="25">
        <v>0.0</v>
      </c>
      <c r="E3652" s="27"/>
      <c r="F3652" s="25">
        <v>0.0</v>
      </c>
      <c r="G3652" s="27"/>
    </row>
    <row r="3653">
      <c r="A3653" s="21"/>
      <c r="B3653" s="21" t="s">
        <v>9827</v>
      </c>
      <c r="D3653" s="25">
        <v>0.0</v>
      </c>
      <c r="E3653" s="27"/>
      <c r="F3653" s="25">
        <v>0.0</v>
      </c>
      <c r="G3653" s="27"/>
    </row>
    <row r="3654">
      <c r="A3654" s="21"/>
      <c r="B3654" s="21" t="s">
        <v>9828</v>
      </c>
      <c r="D3654" s="25">
        <v>0.0</v>
      </c>
      <c r="E3654" s="27"/>
      <c r="F3654" s="25">
        <v>0.0</v>
      </c>
      <c r="G3654" s="27"/>
    </row>
    <row r="3655">
      <c r="A3655" s="21"/>
      <c r="B3655" s="21" t="s">
        <v>9829</v>
      </c>
      <c r="D3655" s="25">
        <v>0.0</v>
      </c>
      <c r="E3655" s="27"/>
      <c r="F3655" s="25">
        <v>0.0</v>
      </c>
      <c r="G3655" s="27"/>
    </row>
    <row r="3656">
      <c r="A3656" s="21"/>
      <c r="B3656" s="21" t="s">
        <v>9830</v>
      </c>
      <c r="D3656" s="25">
        <v>0.0</v>
      </c>
      <c r="E3656" s="27"/>
      <c r="F3656" s="25">
        <v>0.0</v>
      </c>
      <c r="G3656" s="27"/>
    </row>
    <row r="3657">
      <c r="A3657" s="21"/>
      <c r="B3657" s="21" t="s">
        <v>6037</v>
      </c>
      <c r="D3657" s="25">
        <v>0.0</v>
      </c>
      <c r="E3657" s="27"/>
      <c r="F3657" s="25">
        <v>0.0</v>
      </c>
      <c r="G3657" s="27"/>
    </row>
    <row r="3658">
      <c r="A3658" s="21"/>
      <c r="B3658" s="21" t="s">
        <v>9831</v>
      </c>
      <c r="D3658" s="25">
        <v>0.0</v>
      </c>
      <c r="E3658" s="27"/>
      <c r="F3658" s="25">
        <v>0.0</v>
      </c>
      <c r="G3658" s="27"/>
    </row>
    <row r="3659">
      <c r="A3659" s="21"/>
      <c r="B3659" s="21" t="s">
        <v>9832</v>
      </c>
      <c r="D3659" s="25">
        <v>0.0</v>
      </c>
      <c r="E3659" s="27"/>
      <c r="F3659" s="25">
        <v>0.0</v>
      </c>
      <c r="G3659" s="27"/>
    </row>
    <row r="3660">
      <c r="A3660" s="21"/>
      <c r="B3660" s="21" t="s">
        <v>9833</v>
      </c>
      <c r="D3660" s="25">
        <v>0.0</v>
      </c>
      <c r="E3660" s="27"/>
      <c r="F3660" s="25">
        <v>0.0</v>
      </c>
      <c r="G3660" s="27"/>
    </row>
    <row r="3661">
      <c r="A3661" s="21"/>
      <c r="B3661" s="21" t="s">
        <v>9834</v>
      </c>
      <c r="D3661" s="25">
        <v>0.0</v>
      </c>
      <c r="E3661" s="27"/>
      <c r="F3661" s="25">
        <v>0.0</v>
      </c>
      <c r="G3661" s="27"/>
    </row>
    <row r="3662">
      <c r="A3662" s="21"/>
      <c r="B3662" s="21" t="s">
        <v>9835</v>
      </c>
      <c r="D3662" s="25">
        <v>0.0</v>
      </c>
      <c r="E3662" s="27"/>
      <c r="F3662" s="25">
        <v>0.0</v>
      </c>
      <c r="G3662" s="27"/>
    </row>
    <row r="3663">
      <c r="A3663" s="21"/>
      <c r="B3663" s="21" t="s">
        <v>9836</v>
      </c>
      <c r="D3663" s="25">
        <v>0.0</v>
      </c>
      <c r="E3663" s="27"/>
      <c r="F3663" s="25">
        <v>0.0</v>
      </c>
      <c r="G3663" s="27"/>
    </row>
    <row r="3664">
      <c r="A3664" s="21"/>
      <c r="B3664" s="21" t="s">
        <v>6038</v>
      </c>
      <c r="D3664" s="25">
        <v>0.0</v>
      </c>
      <c r="E3664" s="27"/>
      <c r="F3664" s="25">
        <v>0.0</v>
      </c>
      <c r="G3664" s="27"/>
    </row>
    <row r="3665">
      <c r="A3665" s="21"/>
      <c r="B3665" s="21" t="s">
        <v>9837</v>
      </c>
      <c r="D3665" s="25">
        <v>0.0</v>
      </c>
      <c r="E3665" s="27"/>
      <c r="F3665" s="25">
        <v>0.0</v>
      </c>
      <c r="G3665" s="27"/>
    </row>
    <row r="3666">
      <c r="A3666" s="21"/>
      <c r="B3666" s="21" t="s">
        <v>9838</v>
      </c>
      <c r="D3666" s="25">
        <v>0.0</v>
      </c>
      <c r="E3666" s="27"/>
      <c r="F3666" s="25">
        <v>0.0</v>
      </c>
      <c r="G3666" s="27"/>
    </row>
    <row r="3667">
      <c r="A3667" s="21"/>
      <c r="B3667" s="21" t="s">
        <v>9839</v>
      </c>
      <c r="D3667" s="25">
        <v>0.0</v>
      </c>
      <c r="E3667" s="27"/>
      <c r="F3667" s="25">
        <v>0.0</v>
      </c>
      <c r="G3667" s="27"/>
    </row>
    <row r="3668">
      <c r="A3668" s="21"/>
      <c r="B3668" s="21" t="s">
        <v>9840</v>
      </c>
      <c r="D3668" s="25">
        <v>0.0</v>
      </c>
      <c r="E3668" s="27"/>
      <c r="F3668" s="25">
        <v>0.0</v>
      </c>
      <c r="G3668" s="27"/>
    </row>
    <row r="3669">
      <c r="A3669" s="21"/>
      <c r="B3669" s="21" t="s">
        <v>9841</v>
      </c>
      <c r="D3669" s="25">
        <v>0.0</v>
      </c>
      <c r="E3669" s="27"/>
      <c r="F3669" s="25">
        <v>0.0</v>
      </c>
      <c r="G3669" s="27"/>
    </row>
    <row r="3670">
      <c r="A3670" s="21"/>
      <c r="B3670" s="21" t="s">
        <v>9842</v>
      </c>
      <c r="D3670" s="25">
        <v>0.0</v>
      </c>
      <c r="E3670" s="27"/>
      <c r="F3670" s="25">
        <v>0.0</v>
      </c>
      <c r="G3670" s="27"/>
    </row>
    <row r="3671">
      <c r="A3671" s="21"/>
      <c r="B3671" s="21" t="s">
        <v>9843</v>
      </c>
      <c r="D3671" s="25">
        <v>0.0</v>
      </c>
      <c r="E3671" s="27"/>
      <c r="F3671" s="25">
        <v>0.0</v>
      </c>
      <c r="G3671" s="27"/>
    </row>
    <row r="3672">
      <c r="A3672" s="21"/>
      <c r="B3672" s="21" t="s">
        <v>9844</v>
      </c>
      <c r="D3672" s="25">
        <v>0.0</v>
      </c>
      <c r="E3672" s="27"/>
      <c r="F3672" s="25">
        <v>0.0</v>
      </c>
      <c r="G3672" s="27"/>
    </row>
    <row r="3673">
      <c r="A3673" s="21"/>
      <c r="B3673" s="21" t="s">
        <v>9845</v>
      </c>
      <c r="D3673" s="25">
        <v>0.0</v>
      </c>
      <c r="E3673" s="27"/>
      <c r="F3673" s="25">
        <v>0.0</v>
      </c>
      <c r="G3673" s="27"/>
    </row>
    <row r="3674">
      <c r="A3674" s="21"/>
      <c r="B3674" s="21" t="s">
        <v>9846</v>
      </c>
      <c r="D3674" s="25">
        <v>0.0</v>
      </c>
      <c r="E3674" s="27"/>
      <c r="F3674" s="25">
        <v>0.0</v>
      </c>
      <c r="G3674" s="27"/>
    </row>
    <row r="3675">
      <c r="A3675" s="21"/>
      <c r="B3675" s="21" t="s">
        <v>9847</v>
      </c>
      <c r="D3675" s="25">
        <v>0.0</v>
      </c>
      <c r="E3675" s="27"/>
      <c r="F3675" s="25">
        <v>0.0</v>
      </c>
      <c r="G3675" s="27"/>
    </row>
    <row r="3676">
      <c r="A3676" s="21"/>
      <c r="B3676" s="21" t="s">
        <v>9848</v>
      </c>
      <c r="D3676" s="25">
        <v>0.0</v>
      </c>
      <c r="E3676" s="27"/>
      <c r="F3676" s="25">
        <v>0.0</v>
      </c>
      <c r="G3676" s="27"/>
    </row>
    <row r="3677">
      <c r="A3677" s="21"/>
      <c r="B3677" s="21" t="s">
        <v>9849</v>
      </c>
      <c r="D3677" s="25">
        <v>0.0</v>
      </c>
      <c r="E3677" s="27"/>
      <c r="F3677" s="25">
        <v>0.0</v>
      </c>
      <c r="G3677" s="27"/>
    </row>
    <row r="3678">
      <c r="A3678" s="21"/>
      <c r="B3678" s="21" t="s">
        <v>9850</v>
      </c>
      <c r="D3678" s="25">
        <v>0.0</v>
      </c>
      <c r="E3678" s="27"/>
      <c r="F3678" s="25">
        <v>0.0</v>
      </c>
      <c r="G3678" s="27"/>
    </row>
    <row r="3679">
      <c r="A3679" s="21"/>
      <c r="B3679" s="21" t="s">
        <v>9851</v>
      </c>
      <c r="D3679" s="25">
        <v>0.0</v>
      </c>
      <c r="E3679" s="27"/>
      <c r="F3679" s="25">
        <v>0.0</v>
      </c>
      <c r="G3679" s="27"/>
    </row>
    <row r="3680">
      <c r="A3680" s="21"/>
      <c r="B3680" s="21" t="s">
        <v>9852</v>
      </c>
      <c r="D3680" s="25">
        <v>0.0</v>
      </c>
      <c r="E3680" s="27"/>
      <c r="F3680" s="25">
        <v>0.0</v>
      </c>
      <c r="G3680" s="27"/>
    </row>
    <row r="3681">
      <c r="A3681" s="21"/>
      <c r="B3681" s="21" t="s">
        <v>9853</v>
      </c>
      <c r="D3681" s="25">
        <v>0.0</v>
      </c>
      <c r="E3681" s="27"/>
      <c r="F3681" s="25">
        <v>0.0</v>
      </c>
      <c r="G3681" s="27"/>
    </row>
    <row r="3682">
      <c r="A3682" s="21"/>
      <c r="B3682" s="21" t="s">
        <v>9854</v>
      </c>
      <c r="D3682" s="25">
        <v>0.0</v>
      </c>
      <c r="E3682" s="27"/>
      <c r="F3682" s="25">
        <v>0.0</v>
      </c>
      <c r="G3682" s="27"/>
    </row>
    <row r="3683">
      <c r="A3683" s="21"/>
      <c r="B3683" s="21" t="s">
        <v>9855</v>
      </c>
      <c r="D3683" s="25">
        <v>0.0</v>
      </c>
      <c r="E3683" s="27"/>
      <c r="F3683" s="25">
        <v>0.0</v>
      </c>
      <c r="G3683" s="27"/>
    </row>
    <row r="3684">
      <c r="A3684" s="21"/>
      <c r="B3684" s="21" t="s">
        <v>9856</v>
      </c>
      <c r="D3684" s="25">
        <v>0.0</v>
      </c>
      <c r="E3684" s="27"/>
      <c r="F3684" s="25">
        <v>0.0</v>
      </c>
      <c r="G3684" s="27"/>
    </row>
    <row r="3685">
      <c r="A3685" s="21"/>
      <c r="B3685" s="21" t="s">
        <v>9857</v>
      </c>
      <c r="D3685" s="25">
        <v>0.0</v>
      </c>
      <c r="E3685" s="27"/>
      <c r="F3685" s="25">
        <v>0.0</v>
      </c>
      <c r="G3685" s="27"/>
    </row>
    <row r="3686">
      <c r="A3686" s="21"/>
      <c r="B3686" s="21" t="s">
        <v>9858</v>
      </c>
      <c r="D3686" s="25">
        <v>0.0</v>
      </c>
      <c r="E3686" s="27"/>
      <c r="F3686" s="25">
        <v>0.0</v>
      </c>
      <c r="G3686" s="27"/>
    </row>
    <row r="3687">
      <c r="A3687" s="21"/>
      <c r="B3687" s="21" t="s">
        <v>9859</v>
      </c>
      <c r="D3687" s="25">
        <v>0.0</v>
      </c>
      <c r="E3687" s="27"/>
      <c r="F3687" s="25">
        <v>0.0</v>
      </c>
      <c r="G3687" s="27"/>
    </row>
    <row r="3688">
      <c r="A3688" s="21"/>
      <c r="B3688" s="21" t="s">
        <v>9860</v>
      </c>
      <c r="D3688" s="25">
        <v>0.0</v>
      </c>
      <c r="E3688" s="27"/>
      <c r="F3688" s="25">
        <v>0.0</v>
      </c>
      <c r="G3688" s="27"/>
    </row>
    <row r="3689">
      <c r="A3689" s="21"/>
      <c r="B3689" s="21" t="s">
        <v>9861</v>
      </c>
      <c r="D3689" s="25">
        <v>0.0</v>
      </c>
      <c r="E3689" s="27"/>
      <c r="F3689" s="25">
        <v>0.0</v>
      </c>
      <c r="G3689" s="27"/>
    </row>
    <row r="3690">
      <c r="A3690" s="21"/>
      <c r="B3690" s="21" t="s">
        <v>9862</v>
      </c>
      <c r="D3690" s="25">
        <v>0.0</v>
      </c>
      <c r="E3690" s="27"/>
      <c r="F3690" s="25">
        <v>0.0</v>
      </c>
      <c r="G3690" s="27"/>
    </row>
    <row r="3691">
      <c r="A3691" s="21"/>
      <c r="B3691" s="21" t="s">
        <v>9863</v>
      </c>
      <c r="D3691" s="25">
        <v>0.0</v>
      </c>
      <c r="E3691" s="27"/>
      <c r="F3691" s="25">
        <v>0.0</v>
      </c>
      <c r="G3691" s="27"/>
    </row>
    <row r="3692">
      <c r="A3692" s="21"/>
      <c r="B3692" s="21" t="s">
        <v>9864</v>
      </c>
      <c r="D3692" s="25">
        <v>0.0</v>
      </c>
      <c r="E3692" s="27"/>
      <c r="F3692" s="25">
        <v>0.0</v>
      </c>
      <c r="G3692" s="27"/>
    </row>
    <row r="3693">
      <c r="A3693" s="21"/>
      <c r="B3693" s="21" t="s">
        <v>9865</v>
      </c>
      <c r="D3693" s="25">
        <v>0.0</v>
      </c>
      <c r="E3693" s="27"/>
      <c r="F3693" s="25">
        <v>0.0</v>
      </c>
      <c r="G3693" s="27"/>
    </row>
    <row r="3694">
      <c r="A3694" s="21"/>
      <c r="B3694" s="21" t="s">
        <v>9866</v>
      </c>
      <c r="D3694" s="25">
        <v>0.0</v>
      </c>
      <c r="E3694" s="27"/>
      <c r="F3694" s="25">
        <v>0.0</v>
      </c>
      <c r="G3694" s="27"/>
    </row>
    <row r="3695">
      <c r="A3695" s="21"/>
      <c r="B3695" s="21" t="s">
        <v>9867</v>
      </c>
      <c r="D3695" s="25">
        <v>0.0</v>
      </c>
      <c r="E3695" s="27"/>
      <c r="F3695" s="25">
        <v>0.0</v>
      </c>
      <c r="G3695" s="27"/>
    </row>
    <row r="3696">
      <c r="A3696" s="21"/>
      <c r="B3696" s="21" t="s">
        <v>9868</v>
      </c>
      <c r="D3696" s="25">
        <v>0.0</v>
      </c>
      <c r="E3696" s="27"/>
      <c r="F3696" s="25">
        <v>0.0</v>
      </c>
      <c r="G3696" s="27"/>
    </row>
    <row r="3697">
      <c r="A3697" s="21"/>
      <c r="B3697" s="21" t="s">
        <v>9869</v>
      </c>
      <c r="D3697" s="25">
        <v>0.0</v>
      </c>
      <c r="E3697" s="27"/>
      <c r="F3697" s="25">
        <v>0.0</v>
      </c>
      <c r="G3697" s="27"/>
    </row>
    <row r="3698">
      <c r="A3698" s="21"/>
      <c r="B3698" s="21" t="s">
        <v>9870</v>
      </c>
      <c r="D3698" s="25">
        <v>0.0</v>
      </c>
      <c r="E3698" s="27"/>
      <c r="F3698" s="25">
        <v>0.0</v>
      </c>
      <c r="G3698" s="27"/>
    </row>
    <row r="3699">
      <c r="A3699" s="21"/>
      <c r="B3699" s="21" t="s">
        <v>9871</v>
      </c>
      <c r="D3699" s="25">
        <v>0.0</v>
      </c>
      <c r="E3699" s="27"/>
      <c r="F3699" s="25">
        <v>0.0</v>
      </c>
      <c r="G3699" s="27"/>
    </row>
    <row r="3700">
      <c r="A3700" s="21"/>
      <c r="B3700" s="21" t="s">
        <v>9872</v>
      </c>
      <c r="D3700" s="25">
        <v>0.0</v>
      </c>
      <c r="E3700" s="27"/>
      <c r="F3700" s="25">
        <v>0.0</v>
      </c>
      <c r="G3700" s="27"/>
    </row>
    <row r="3701">
      <c r="A3701" s="21"/>
      <c r="B3701" s="21" t="s">
        <v>9873</v>
      </c>
      <c r="D3701" s="25">
        <v>0.0</v>
      </c>
      <c r="E3701" s="27"/>
      <c r="F3701" s="25">
        <v>0.0</v>
      </c>
      <c r="G3701" s="27"/>
    </row>
    <row r="3702">
      <c r="A3702" s="21"/>
      <c r="B3702" s="21" t="s">
        <v>9874</v>
      </c>
      <c r="D3702" s="25">
        <v>0.0</v>
      </c>
      <c r="E3702" s="27"/>
      <c r="F3702" s="25">
        <v>0.0</v>
      </c>
      <c r="G3702" s="27"/>
    </row>
    <row r="3703">
      <c r="A3703" s="21"/>
      <c r="B3703" s="21" t="s">
        <v>9875</v>
      </c>
      <c r="D3703" s="25">
        <v>0.0</v>
      </c>
      <c r="E3703" s="27"/>
      <c r="F3703" s="25">
        <v>0.0</v>
      </c>
      <c r="G3703" s="27"/>
    </row>
    <row r="3704">
      <c r="A3704" s="21"/>
      <c r="B3704" s="21" t="s">
        <v>9876</v>
      </c>
      <c r="D3704" s="25">
        <v>0.0</v>
      </c>
      <c r="E3704" s="27"/>
      <c r="F3704" s="25">
        <v>0.0</v>
      </c>
      <c r="G3704" s="27"/>
    </row>
    <row r="3705">
      <c r="A3705" s="21"/>
      <c r="B3705" s="21" t="s">
        <v>9877</v>
      </c>
      <c r="D3705" s="25">
        <v>0.0</v>
      </c>
      <c r="E3705" s="27"/>
      <c r="F3705" s="25">
        <v>0.0</v>
      </c>
      <c r="G3705" s="27"/>
    </row>
    <row r="3706">
      <c r="A3706" s="21"/>
      <c r="B3706" s="21" t="s">
        <v>9878</v>
      </c>
      <c r="D3706" s="25">
        <v>0.0</v>
      </c>
      <c r="E3706" s="27"/>
      <c r="F3706" s="25">
        <v>0.0</v>
      </c>
      <c r="G3706" s="27"/>
    </row>
    <row r="3707">
      <c r="A3707" s="21"/>
      <c r="B3707" s="21" t="s">
        <v>9879</v>
      </c>
      <c r="D3707" s="25">
        <v>0.0</v>
      </c>
      <c r="E3707" s="27"/>
      <c r="F3707" s="25">
        <v>0.0</v>
      </c>
      <c r="G3707" s="27"/>
    </row>
    <row r="3708">
      <c r="A3708" s="21"/>
      <c r="B3708" s="21" t="s">
        <v>9880</v>
      </c>
      <c r="D3708" s="25">
        <v>0.0</v>
      </c>
      <c r="E3708" s="27"/>
      <c r="F3708" s="25">
        <v>0.0</v>
      </c>
      <c r="G3708" s="27"/>
    </row>
    <row r="3709">
      <c r="A3709" s="21"/>
      <c r="B3709" s="21" t="s">
        <v>9881</v>
      </c>
      <c r="D3709" s="25">
        <v>0.0</v>
      </c>
      <c r="E3709" s="27"/>
      <c r="F3709" s="25">
        <v>0.0</v>
      </c>
      <c r="G3709" s="27"/>
    </row>
    <row r="3710">
      <c r="A3710" s="21"/>
      <c r="B3710" s="21" t="s">
        <v>9882</v>
      </c>
      <c r="D3710" s="25">
        <v>0.0</v>
      </c>
      <c r="E3710" s="27"/>
      <c r="F3710" s="25">
        <v>0.0</v>
      </c>
      <c r="G3710" s="27"/>
    </row>
    <row r="3711">
      <c r="A3711" s="21"/>
      <c r="B3711" s="21" t="s">
        <v>9883</v>
      </c>
      <c r="D3711" s="25">
        <v>0.0</v>
      </c>
      <c r="E3711" s="27"/>
      <c r="F3711" s="25">
        <v>0.0</v>
      </c>
      <c r="G3711" s="27"/>
    </row>
    <row r="3712">
      <c r="A3712" s="21"/>
      <c r="B3712" s="21" t="s">
        <v>9884</v>
      </c>
      <c r="D3712" s="25">
        <v>0.0</v>
      </c>
      <c r="E3712" s="27"/>
      <c r="F3712" s="25">
        <v>0.0</v>
      </c>
      <c r="G3712" s="27"/>
    </row>
    <row r="3713">
      <c r="A3713" s="21"/>
      <c r="B3713" s="21" t="s">
        <v>9885</v>
      </c>
      <c r="D3713" s="25">
        <v>0.0</v>
      </c>
      <c r="E3713" s="27"/>
      <c r="F3713" s="25">
        <v>0.0</v>
      </c>
      <c r="G3713" s="27"/>
    </row>
    <row r="3714">
      <c r="A3714" s="21"/>
      <c r="B3714" s="21" t="s">
        <v>9886</v>
      </c>
      <c r="D3714" s="25">
        <v>0.0</v>
      </c>
      <c r="E3714" s="27"/>
      <c r="F3714" s="25">
        <v>0.0</v>
      </c>
      <c r="G3714" s="27"/>
    </row>
    <row r="3715">
      <c r="A3715" s="21"/>
      <c r="B3715" s="21" t="s">
        <v>9887</v>
      </c>
      <c r="D3715" s="25">
        <v>0.0</v>
      </c>
      <c r="E3715" s="27"/>
      <c r="F3715" s="25">
        <v>0.0</v>
      </c>
      <c r="G3715" s="27"/>
    </row>
    <row r="3716">
      <c r="A3716" s="21"/>
      <c r="B3716" s="21" t="s">
        <v>9888</v>
      </c>
      <c r="D3716" s="25">
        <v>0.0</v>
      </c>
      <c r="E3716" s="27"/>
      <c r="F3716" s="25">
        <v>0.0</v>
      </c>
      <c r="G3716" s="27"/>
    </row>
    <row r="3717">
      <c r="A3717" s="21"/>
      <c r="B3717" s="21" t="s">
        <v>9889</v>
      </c>
      <c r="D3717" s="25">
        <v>0.0</v>
      </c>
      <c r="E3717" s="27"/>
      <c r="F3717" s="25">
        <v>0.0</v>
      </c>
      <c r="G3717" s="27"/>
    </row>
    <row r="3718">
      <c r="A3718" s="21"/>
      <c r="B3718" s="21" t="s">
        <v>9890</v>
      </c>
      <c r="D3718" s="25">
        <v>0.0</v>
      </c>
      <c r="E3718" s="27"/>
      <c r="F3718" s="25">
        <v>0.0</v>
      </c>
      <c r="G3718" s="27"/>
    </row>
    <row r="3719">
      <c r="A3719" s="21"/>
      <c r="B3719" s="21" t="s">
        <v>9891</v>
      </c>
      <c r="D3719" s="25">
        <v>0.0</v>
      </c>
      <c r="E3719" s="27"/>
      <c r="F3719" s="25">
        <v>0.0</v>
      </c>
      <c r="G3719" s="27"/>
    </row>
    <row r="3720">
      <c r="A3720" s="21"/>
      <c r="B3720" s="21" t="s">
        <v>9892</v>
      </c>
      <c r="D3720" s="25">
        <v>0.0</v>
      </c>
      <c r="E3720" s="27"/>
      <c r="F3720" s="25">
        <v>0.0</v>
      </c>
      <c r="G3720" s="27"/>
    </row>
    <row r="3721">
      <c r="A3721" s="21"/>
      <c r="B3721" s="21" t="s">
        <v>9893</v>
      </c>
      <c r="D3721" s="25">
        <v>0.0</v>
      </c>
      <c r="E3721" s="27"/>
      <c r="F3721" s="25">
        <v>0.0</v>
      </c>
      <c r="G3721" s="27"/>
    </row>
    <row r="3722">
      <c r="A3722" s="21"/>
      <c r="B3722" s="21" t="s">
        <v>9894</v>
      </c>
      <c r="D3722" s="25">
        <v>0.0</v>
      </c>
      <c r="E3722" s="27"/>
      <c r="F3722" s="25">
        <v>0.0</v>
      </c>
      <c r="G3722" s="27"/>
    </row>
    <row r="3723">
      <c r="A3723" s="21"/>
      <c r="B3723" s="21" t="s">
        <v>9895</v>
      </c>
      <c r="D3723" s="25">
        <v>0.0</v>
      </c>
      <c r="E3723" s="27"/>
      <c r="F3723" s="25">
        <v>0.0</v>
      </c>
      <c r="G3723" s="27"/>
    </row>
    <row r="3724">
      <c r="A3724" s="21"/>
      <c r="B3724" s="21" t="s">
        <v>9896</v>
      </c>
      <c r="D3724" s="25">
        <v>0.0</v>
      </c>
      <c r="E3724" s="27"/>
      <c r="F3724" s="25">
        <v>0.0</v>
      </c>
      <c r="G3724" s="27"/>
    </row>
    <row r="3725">
      <c r="A3725" s="21"/>
      <c r="B3725" s="21" t="s">
        <v>9897</v>
      </c>
      <c r="D3725" s="25">
        <v>0.0</v>
      </c>
      <c r="E3725" s="27"/>
      <c r="F3725" s="25">
        <v>0.0</v>
      </c>
      <c r="G3725" s="27"/>
    </row>
    <row r="3726">
      <c r="A3726" s="21"/>
      <c r="B3726" s="21" t="s">
        <v>9898</v>
      </c>
      <c r="D3726" s="25">
        <v>0.0</v>
      </c>
      <c r="E3726" s="27"/>
      <c r="F3726" s="25">
        <v>0.0</v>
      </c>
      <c r="G3726" s="27"/>
    </row>
    <row r="3727">
      <c r="A3727" s="21"/>
      <c r="B3727" s="21" t="s">
        <v>9899</v>
      </c>
      <c r="D3727" s="25">
        <v>0.0</v>
      </c>
      <c r="E3727" s="27"/>
      <c r="F3727" s="25">
        <v>0.0</v>
      </c>
      <c r="G3727" s="27"/>
    </row>
    <row r="3728">
      <c r="A3728" s="21"/>
      <c r="B3728" s="21" t="s">
        <v>9900</v>
      </c>
      <c r="D3728" s="25">
        <v>0.0</v>
      </c>
      <c r="E3728" s="27"/>
      <c r="F3728" s="25">
        <v>0.0</v>
      </c>
      <c r="G3728" s="27"/>
    </row>
    <row r="3729">
      <c r="A3729" s="21"/>
      <c r="B3729" s="21" t="s">
        <v>9901</v>
      </c>
      <c r="D3729" s="25">
        <v>0.0</v>
      </c>
      <c r="E3729" s="27"/>
      <c r="F3729" s="25">
        <v>0.0</v>
      </c>
      <c r="G3729" s="27"/>
    </row>
    <row r="3730">
      <c r="A3730" s="21"/>
      <c r="B3730" s="21" t="s">
        <v>9902</v>
      </c>
      <c r="D3730" s="25">
        <v>0.0</v>
      </c>
      <c r="E3730" s="27"/>
      <c r="F3730" s="25">
        <v>0.0</v>
      </c>
      <c r="G3730" s="27"/>
    </row>
    <row r="3731">
      <c r="A3731" s="21"/>
      <c r="B3731" s="21" t="s">
        <v>9903</v>
      </c>
      <c r="D3731" s="25">
        <v>0.0</v>
      </c>
      <c r="E3731" s="27"/>
      <c r="F3731" s="25">
        <v>0.0</v>
      </c>
      <c r="G3731" s="27"/>
    </row>
    <row r="3732">
      <c r="A3732" s="21"/>
      <c r="B3732" s="21" t="s">
        <v>9904</v>
      </c>
      <c r="D3732" s="25">
        <v>0.0</v>
      </c>
      <c r="E3732" s="27"/>
      <c r="F3732" s="25">
        <v>0.0</v>
      </c>
      <c r="G3732" s="27"/>
    </row>
    <row r="3733">
      <c r="A3733" s="21"/>
      <c r="B3733" s="21" t="s">
        <v>9905</v>
      </c>
      <c r="D3733" s="25">
        <v>0.0</v>
      </c>
      <c r="E3733" s="27"/>
      <c r="F3733" s="25">
        <v>0.0</v>
      </c>
      <c r="G3733" s="27"/>
    </row>
    <row r="3734">
      <c r="A3734" s="21"/>
      <c r="B3734" s="21" t="s">
        <v>9906</v>
      </c>
      <c r="D3734" s="25">
        <v>0.0</v>
      </c>
      <c r="E3734" s="27"/>
      <c r="F3734" s="25">
        <v>0.0</v>
      </c>
      <c r="G3734" s="27"/>
    </row>
    <row r="3735">
      <c r="A3735" s="21"/>
      <c r="B3735" s="21" t="s">
        <v>9907</v>
      </c>
      <c r="D3735" s="25">
        <v>0.0</v>
      </c>
      <c r="E3735" s="27"/>
      <c r="F3735" s="25">
        <v>0.0</v>
      </c>
      <c r="G3735" s="27"/>
    </row>
    <row r="3736">
      <c r="A3736" s="21"/>
      <c r="B3736" s="21" t="s">
        <v>9908</v>
      </c>
      <c r="D3736" s="25">
        <v>0.0</v>
      </c>
      <c r="E3736" s="27"/>
      <c r="F3736" s="25">
        <v>0.0</v>
      </c>
      <c r="G3736" s="27"/>
    </row>
    <row r="3737">
      <c r="A3737" s="21"/>
      <c r="B3737" s="21" t="s">
        <v>9909</v>
      </c>
      <c r="D3737" s="25">
        <v>0.0</v>
      </c>
      <c r="E3737" s="27"/>
      <c r="F3737" s="25">
        <v>0.0</v>
      </c>
      <c r="G3737" s="27"/>
    </row>
    <row r="3738">
      <c r="A3738" s="21"/>
      <c r="B3738" s="21" t="s">
        <v>9910</v>
      </c>
      <c r="D3738" s="25">
        <v>0.0</v>
      </c>
      <c r="E3738" s="27"/>
      <c r="F3738" s="25">
        <v>0.0</v>
      </c>
      <c r="G3738" s="27"/>
    </row>
    <row r="3739">
      <c r="A3739" s="21"/>
      <c r="B3739" s="21" t="s">
        <v>9911</v>
      </c>
      <c r="D3739" s="25">
        <v>0.0</v>
      </c>
      <c r="E3739" s="27"/>
      <c r="F3739" s="25">
        <v>0.0</v>
      </c>
      <c r="G3739" s="27"/>
    </row>
    <row r="3740">
      <c r="A3740" s="21"/>
      <c r="B3740" s="21" t="s">
        <v>9912</v>
      </c>
      <c r="D3740" s="25">
        <v>0.0</v>
      </c>
      <c r="E3740" s="27"/>
      <c r="F3740" s="25">
        <v>0.0</v>
      </c>
      <c r="G3740" s="27"/>
    </row>
    <row r="3741">
      <c r="A3741" s="21"/>
      <c r="B3741" s="21" t="s">
        <v>9913</v>
      </c>
      <c r="D3741" s="25">
        <v>0.0</v>
      </c>
      <c r="E3741" s="27"/>
      <c r="F3741" s="25">
        <v>0.0</v>
      </c>
      <c r="G3741" s="27"/>
    </row>
    <row r="3742">
      <c r="A3742" s="21"/>
      <c r="B3742" s="21" t="s">
        <v>9914</v>
      </c>
      <c r="D3742" s="25">
        <v>0.0</v>
      </c>
      <c r="E3742" s="27"/>
      <c r="F3742" s="25">
        <v>0.0</v>
      </c>
      <c r="G3742" s="27"/>
    </row>
    <row r="3743">
      <c r="A3743" s="21"/>
      <c r="B3743" s="21" t="s">
        <v>9915</v>
      </c>
      <c r="D3743" s="25">
        <v>0.0</v>
      </c>
      <c r="E3743" s="27"/>
      <c r="F3743" s="25">
        <v>0.0</v>
      </c>
      <c r="G3743" s="27"/>
    </row>
    <row r="3744">
      <c r="A3744" s="21"/>
      <c r="B3744" s="21" t="s">
        <v>9916</v>
      </c>
      <c r="D3744" s="25">
        <v>0.0</v>
      </c>
      <c r="E3744" s="27"/>
      <c r="F3744" s="25">
        <v>0.0</v>
      </c>
      <c r="G3744" s="27"/>
    </row>
    <row r="3745">
      <c r="A3745" s="21"/>
      <c r="B3745" s="21" t="s">
        <v>9917</v>
      </c>
      <c r="D3745" s="25">
        <v>0.0</v>
      </c>
      <c r="E3745" s="27"/>
      <c r="F3745" s="25">
        <v>0.0</v>
      </c>
      <c r="G3745" s="27"/>
    </row>
    <row r="3746">
      <c r="A3746" s="21"/>
      <c r="B3746" s="21" t="s">
        <v>9918</v>
      </c>
      <c r="D3746" s="25">
        <v>0.0</v>
      </c>
      <c r="E3746" s="27"/>
      <c r="F3746" s="25">
        <v>0.0</v>
      </c>
      <c r="G3746" s="27"/>
    </row>
    <row r="3747">
      <c r="A3747" s="21"/>
      <c r="B3747" s="21" t="s">
        <v>9919</v>
      </c>
      <c r="D3747" s="25">
        <v>0.0</v>
      </c>
      <c r="E3747" s="27"/>
      <c r="F3747" s="25">
        <v>0.0</v>
      </c>
      <c r="G3747" s="27"/>
    </row>
    <row r="3748">
      <c r="A3748" s="21"/>
      <c r="B3748" s="21" t="s">
        <v>9920</v>
      </c>
      <c r="D3748" s="25">
        <v>0.0</v>
      </c>
      <c r="E3748" s="27"/>
      <c r="F3748" s="25">
        <v>0.0</v>
      </c>
      <c r="G3748" s="27"/>
    </row>
    <row r="3749">
      <c r="A3749" s="21"/>
      <c r="B3749" s="21" t="s">
        <v>9921</v>
      </c>
      <c r="D3749" s="25">
        <v>0.0</v>
      </c>
      <c r="E3749" s="27"/>
      <c r="F3749" s="25">
        <v>0.0</v>
      </c>
      <c r="G3749" s="27"/>
    </row>
    <row r="3750">
      <c r="A3750" s="21"/>
      <c r="B3750" s="21" t="s">
        <v>9922</v>
      </c>
      <c r="D3750" s="25">
        <v>0.0</v>
      </c>
      <c r="E3750" s="27"/>
      <c r="F3750" s="25">
        <v>0.0</v>
      </c>
      <c r="G3750" s="27"/>
    </row>
    <row r="3751">
      <c r="A3751" s="21"/>
      <c r="B3751" s="21" t="s">
        <v>9923</v>
      </c>
      <c r="D3751" s="25">
        <v>0.0</v>
      </c>
      <c r="E3751" s="27"/>
      <c r="F3751" s="25">
        <v>0.0</v>
      </c>
      <c r="G3751" s="27"/>
    </row>
    <row r="3752">
      <c r="A3752" s="21"/>
      <c r="B3752" s="21" t="s">
        <v>9924</v>
      </c>
      <c r="D3752" s="25">
        <v>0.0</v>
      </c>
      <c r="E3752" s="27"/>
      <c r="F3752" s="25">
        <v>0.0</v>
      </c>
      <c r="G3752" s="27"/>
    </row>
    <row r="3753">
      <c r="A3753" s="21"/>
      <c r="B3753" s="21" t="s">
        <v>9925</v>
      </c>
      <c r="D3753" s="25">
        <v>0.0</v>
      </c>
      <c r="E3753" s="27"/>
      <c r="F3753" s="25">
        <v>0.0</v>
      </c>
      <c r="G3753" s="27"/>
    </row>
    <row r="3754">
      <c r="A3754" s="21"/>
      <c r="B3754" s="21" t="s">
        <v>9926</v>
      </c>
      <c r="D3754" s="25">
        <v>0.0</v>
      </c>
      <c r="E3754" s="27"/>
      <c r="F3754" s="25">
        <v>0.0</v>
      </c>
      <c r="G3754" s="27"/>
    </row>
    <row r="3755">
      <c r="A3755" s="21"/>
      <c r="B3755" s="21" t="s">
        <v>9927</v>
      </c>
      <c r="D3755" s="25">
        <v>0.0</v>
      </c>
      <c r="E3755" s="27"/>
      <c r="F3755" s="25">
        <v>0.0</v>
      </c>
      <c r="G3755" s="27"/>
    </row>
    <row r="3756">
      <c r="A3756" s="21"/>
      <c r="B3756" s="21" t="s">
        <v>9928</v>
      </c>
      <c r="D3756" s="25">
        <v>0.0</v>
      </c>
      <c r="E3756" s="27"/>
      <c r="F3756" s="25">
        <v>0.0</v>
      </c>
      <c r="G3756" s="27"/>
    </row>
    <row r="3757">
      <c r="A3757" s="21"/>
      <c r="B3757" s="21" t="s">
        <v>9929</v>
      </c>
      <c r="D3757" s="25">
        <v>0.0</v>
      </c>
      <c r="E3757" s="27"/>
      <c r="F3757" s="25">
        <v>0.0</v>
      </c>
      <c r="G3757" s="27"/>
    </row>
    <row r="3758">
      <c r="A3758" s="21"/>
      <c r="B3758" s="21" t="s">
        <v>9930</v>
      </c>
      <c r="D3758" s="25">
        <v>0.0</v>
      </c>
      <c r="E3758" s="27"/>
      <c r="F3758" s="25">
        <v>0.0</v>
      </c>
      <c r="G3758" s="27"/>
    </row>
    <row r="3759">
      <c r="A3759" s="21"/>
      <c r="B3759" s="21" t="s">
        <v>9931</v>
      </c>
      <c r="D3759" s="25">
        <v>0.0</v>
      </c>
      <c r="E3759" s="27"/>
      <c r="F3759" s="25">
        <v>0.0</v>
      </c>
      <c r="G3759" s="27"/>
    </row>
    <row r="3760">
      <c r="A3760" s="21"/>
      <c r="B3760" s="21" t="s">
        <v>9932</v>
      </c>
      <c r="D3760" s="25">
        <v>0.0</v>
      </c>
      <c r="E3760" s="27"/>
      <c r="F3760" s="25">
        <v>0.0</v>
      </c>
      <c r="G3760" s="27"/>
    </row>
    <row r="3761">
      <c r="A3761" s="21"/>
      <c r="B3761" s="21" t="s">
        <v>9933</v>
      </c>
      <c r="D3761" s="25">
        <v>0.0</v>
      </c>
      <c r="E3761" s="27"/>
      <c r="F3761" s="25">
        <v>0.0</v>
      </c>
      <c r="G3761" s="27"/>
    </row>
    <row r="3762">
      <c r="A3762" s="21"/>
      <c r="B3762" s="21" t="s">
        <v>9934</v>
      </c>
      <c r="D3762" s="25">
        <v>0.0</v>
      </c>
      <c r="E3762" s="27"/>
      <c r="F3762" s="25">
        <v>0.0</v>
      </c>
      <c r="G3762" s="27"/>
    </row>
    <row r="3763">
      <c r="A3763" s="21"/>
      <c r="B3763" s="21" t="s">
        <v>9935</v>
      </c>
      <c r="D3763" s="25">
        <v>0.0</v>
      </c>
      <c r="E3763" s="27"/>
      <c r="F3763" s="25">
        <v>0.0</v>
      </c>
      <c r="G3763" s="27"/>
    </row>
    <row r="3764">
      <c r="A3764" s="21"/>
      <c r="B3764" s="21" t="s">
        <v>9936</v>
      </c>
      <c r="D3764" s="25">
        <v>0.0</v>
      </c>
      <c r="E3764" s="27"/>
      <c r="F3764" s="25">
        <v>0.0</v>
      </c>
      <c r="G3764" s="27"/>
    </row>
    <row r="3765">
      <c r="A3765" s="21"/>
      <c r="B3765" s="21" t="s">
        <v>9937</v>
      </c>
      <c r="D3765" s="25">
        <v>0.0</v>
      </c>
      <c r="E3765" s="27"/>
      <c r="F3765" s="25">
        <v>0.0</v>
      </c>
      <c r="G3765" s="27"/>
    </row>
    <row r="3766">
      <c r="A3766" s="21"/>
      <c r="B3766" s="21" t="s">
        <v>9938</v>
      </c>
      <c r="D3766" s="25">
        <v>0.0</v>
      </c>
      <c r="E3766" s="27"/>
      <c r="F3766" s="25">
        <v>0.0</v>
      </c>
      <c r="G3766" s="27"/>
    </row>
    <row r="3767">
      <c r="A3767" s="21"/>
      <c r="B3767" s="21" t="s">
        <v>9939</v>
      </c>
      <c r="D3767" s="25">
        <v>0.0</v>
      </c>
      <c r="E3767" s="27"/>
      <c r="F3767" s="25">
        <v>0.0</v>
      </c>
      <c r="G3767" s="27"/>
    </row>
    <row r="3768">
      <c r="A3768" s="21"/>
      <c r="B3768" s="21" t="s">
        <v>9940</v>
      </c>
      <c r="D3768" s="25">
        <v>0.0</v>
      </c>
      <c r="E3768" s="27"/>
      <c r="F3768" s="25">
        <v>0.0</v>
      </c>
      <c r="G3768" s="27"/>
    </row>
    <row r="3769">
      <c r="A3769" s="21"/>
      <c r="B3769" s="21" t="s">
        <v>9941</v>
      </c>
      <c r="D3769" s="25">
        <v>0.0</v>
      </c>
      <c r="E3769" s="27"/>
      <c r="F3769" s="25">
        <v>0.0</v>
      </c>
      <c r="G3769" s="27"/>
    </row>
    <row r="3770">
      <c r="A3770" s="21"/>
      <c r="B3770" s="21" t="s">
        <v>9942</v>
      </c>
      <c r="D3770" s="25">
        <v>0.0</v>
      </c>
      <c r="E3770" s="27"/>
      <c r="F3770" s="25">
        <v>0.0</v>
      </c>
      <c r="G3770" s="27"/>
    </row>
    <row r="3771">
      <c r="A3771" s="21"/>
      <c r="B3771" s="21" t="s">
        <v>9943</v>
      </c>
      <c r="D3771" s="25">
        <v>0.0</v>
      </c>
      <c r="E3771" s="27"/>
      <c r="F3771" s="25">
        <v>0.0</v>
      </c>
      <c r="G3771" s="27"/>
    </row>
    <row r="3772">
      <c r="A3772" s="21"/>
      <c r="B3772" s="21" t="s">
        <v>9944</v>
      </c>
      <c r="D3772" s="25">
        <v>0.0</v>
      </c>
      <c r="E3772" s="27"/>
      <c r="F3772" s="25">
        <v>0.0</v>
      </c>
      <c r="G3772" s="27"/>
    </row>
    <row r="3773">
      <c r="A3773" s="21"/>
      <c r="B3773" s="21" t="s">
        <v>9945</v>
      </c>
      <c r="D3773" s="25">
        <v>0.0</v>
      </c>
      <c r="E3773" s="27"/>
      <c r="F3773" s="25">
        <v>0.0</v>
      </c>
      <c r="G3773" s="27"/>
    </row>
    <row r="3774">
      <c r="A3774" s="21"/>
      <c r="B3774" s="21" t="s">
        <v>9946</v>
      </c>
      <c r="D3774" s="25">
        <v>0.0</v>
      </c>
      <c r="E3774" s="27"/>
      <c r="F3774" s="25">
        <v>0.0</v>
      </c>
      <c r="G3774" s="27"/>
    </row>
    <row r="3775">
      <c r="A3775" s="21"/>
      <c r="B3775" s="21" t="s">
        <v>9947</v>
      </c>
      <c r="D3775" s="25">
        <v>0.0</v>
      </c>
      <c r="E3775" s="27"/>
      <c r="F3775" s="25">
        <v>0.0</v>
      </c>
      <c r="G3775" s="27"/>
    </row>
    <row r="3776">
      <c r="A3776" s="21"/>
      <c r="B3776" s="21" t="s">
        <v>9948</v>
      </c>
      <c r="D3776" s="25">
        <v>0.0</v>
      </c>
      <c r="E3776" s="27"/>
      <c r="F3776" s="25">
        <v>0.0</v>
      </c>
      <c r="G3776" s="27"/>
    </row>
    <row r="3777">
      <c r="A3777" s="21"/>
      <c r="B3777" s="21" t="s">
        <v>9949</v>
      </c>
      <c r="D3777" s="25">
        <v>0.0</v>
      </c>
      <c r="E3777" s="27"/>
      <c r="F3777" s="25">
        <v>0.0</v>
      </c>
      <c r="G3777" s="27"/>
    </row>
    <row r="3778">
      <c r="A3778" s="21"/>
      <c r="B3778" s="21" t="s">
        <v>9950</v>
      </c>
      <c r="D3778" s="25">
        <v>0.0</v>
      </c>
      <c r="E3778" s="27"/>
      <c r="F3778" s="25">
        <v>0.0</v>
      </c>
      <c r="G3778" s="27"/>
    </row>
    <row r="3779">
      <c r="A3779" s="21"/>
      <c r="B3779" s="21" t="s">
        <v>9951</v>
      </c>
      <c r="D3779" s="25">
        <v>0.0</v>
      </c>
      <c r="E3779" s="27"/>
      <c r="F3779" s="25">
        <v>0.0</v>
      </c>
      <c r="G3779" s="27"/>
    </row>
    <row r="3780">
      <c r="A3780" s="21"/>
      <c r="B3780" s="21" t="s">
        <v>9952</v>
      </c>
      <c r="D3780" s="25">
        <v>0.0</v>
      </c>
      <c r="E3780" s="27"/>
      <c r="F3780" s="25">
        <v>0.0</v>
      </c>
      <c r="G3780" s="27"/>
    </row>
    <row r="3781">
      <c r="A3781" s="21"/>
      <c r="B3781" s="21" t="s">
        <v>9953</v>
      </c>
      <c r="D3781" s="25">
        <v>0.0</v>
      </c>
      <c r="E3781" s="27"/>
      <c r="F3781" s="25">
        <v>0.0</v>
      </c>
      <c r="G3781" s="27"/>
    </row>
    <row r="3782">
      <c r="A3782" s="21"/>
      <c r="B3782" s="21" t="s">
        <v>9954</v>
      </c>
      <c r="D3782" s="25">
        <v>0.0</v>
      </c>
      <c r="E3782" s="27"/>
      <c r="F3782" s="25">
        <v>0.0</v>
      </c>
      <c r="G3782" s="27"/>
    </row>
    <row r="3783">
      <c r="A3783" s="21"/>
      <c r="B3783" s="21" t="s">
        <v>9955</v>
      </c>
      <c r="D3783" s="25">
        <v>0.0</v>
      </c>
      <c r="E3783" s="27"/>
      <c r="F3783" s="25">
        <v>0.0</v>
      </c>
      <c r="G3783" s="27"/>
    </row>
    <row r="3784">
      <c r="A3784" s="21"/>
      <c r="B3784" s="21" t="s">
        <v>9956</v>
      </c>
      <c r="D3784" s="25">
        <v>0.0</v>
      </c>
      <c r="E3784" s="27"/>
      <c r="F3784" s="25">
        <v>0.0</v>
      </c>
      <c r="G3784" s="27"/>
    </row>
    <row r="3785">
      <c r="A3785" s="21"/>
      <c r="B3785" s="21" t="s">
        <v>9957</v>
      </c>
      <c r="D3785" s="25">
        <v>0.0</v>
      </c>
      <c r="E3785" s="27"/>
      <c r="F3785" s="25">
        <v>0.0</v>
      </c>
      <c r="G3785" s="27"/>
    </row>
    <row r="3786">
      <c r="A3786" s="21"/>
      <c r="B3786" s="21" t="s">
        <v>9958</v>
      </c>
      <c r="D3786" s="25">
        <v>0.0</v>
      </c>
      <c r="E3786" s="27"/>
      <c r="F3786" s="25">
        <v>0.0</v>
      </c>
      <c r="G3786" s="27"/>
    </row>
    <row r="3787">
      <c r="A3787" s="21"/>
      <c r="B3787" s="21" t="s">
        <v>9959</v>
      </c>
      <c r="D3787" s="25">
        <v>0.0</v>
      </c>
      <c r="E3787" s="27"/>
      <c r="F3787" s="25">
        <v>0.0</v>
      </c>
      <c r="G3787" s="27"/>
    </row>
    <row r="3788">
      <c r="A3788" s="21"/>
      <c r="B3788" s="21" t="s">
        <v>9960</v>
      </c>
      <c r="D3788" s="25">
        <v>0.0</v>
      </c>
      <c r="E3788" s="27"/>
      <c r="F3788" s="25">
        <v>0.0</v>
      </c>
      <c r="G3788" s="27"/>
    </row>
    <row r="3789">
      <c r="A3789" s="21"/>
      <c r="B3789" s="21" t="s">
        <v>9961</v>
      </c>
      <c r="D3789" s="25">
        <v>0.0</v>
      </c>
      <c r="E3789" s="27"/>
      <c r="F3789" s="25">
        <v>0.0</v>
      </c>
      <c r="G3789" s="27"/>
    </row>
    <row r="3790">
      <c r="A3790" s="21"/>
      <c r="B3790" s="21" t="s">
        <v>9962</v>
      </c>
      <c r="D3790" s="25">
        <v>0.0</v>
      </c>
      <c r="E3790" s="27"/>
      <c r="F3790" s="25">
        <v>0.0</v>
      </c>
      <c r="G3790" s="27"/>
    </row>
    <row r="3791">
      <c r="A3791" s="21"/>
      <c r="B3791" s="21" t="s">
        <v>9963</v>
      </c>
      <c r="D3791" s="25">
        <v>0.0</v>
      </c>
      <c r="E3791" s="27"/>
      <c r="F3791" s="25">
        <v>0.0</v>
      </c>
      <c r="G3791" s="27"/>
    </row>
    <row r="3792">
      <c r="A3792" s="21"/>
      <c r="B3792" s="21" t="s">
        <v>9964</v>
      </c>
      <c r="D3792" s="25">
        <v>0.0</v>
      </c>
      <c r="E3792" s="27"/>
      <c r="F3792" s="25">
        <v>0.0</v>
      </c>
      <c r="G3792" s="27"/>
    </row>
    <row r="3793">
      <c r="A3793" s="21"/>
      <c r="B3793" s="21" t="s">
        <v>9965</v>
      </c>
      <c r="D3793" s="25">
        <v>0.0</v>
      </c>
      <c r="E3793" s="27"/>
      <c r="F3793" s="25">
        <v>0.0</v>
      </c>
      <c r="G3793" s="27"/>
    </row>
    <row r="3794">
      <c r="A3794" s="21"/>
      <c r="B3794" s="21" t="s">
        <v>9966</v>
      </c>
      <c r="D3794" s="25">
        <v>0.0</v>
      </c>
      <c r="E3794" s="27"/>
      <c r="F3794" s="25">
        <v>0.0</v>
      </c>
      <c r="G3794" s="27"/>
    </row>
    <row r="3795">
      <c r="A3795" s="21"/>
      <c r="B3795" s="21" t="s">
        <v>9967</v>
      </c>
      <c r="D3795" s="25">
        <v>0.0</v>
      </c>
      <c r="E3795" s="27"/>
      <c r="F3795" s="25">
        <v>0.0</v>
      </c>
      <c r="G3795" s="27"/>
    </row>
    <row r="3796">
      <c r="A3796" s="21"/>
      <c r="B3796" s="21" t="s">
        <v>9968</v>
      </c>
      <c r="D3796" s="25">
        <v>0.0</v>
      </c>
      <c r="E3796" s="27"/>
      <c r="F3796" s="25">
        <v>0.0</v>
      </c>
      <c r="G3796" s="27"/>
    </row>
    <row r="3797">
      <c r="A3797" s="21"/>
      <c r="B3797" s="21" t="s">
        <v>9969</v>
      </c>
      <c r="D3797" s="25">
        <v>0.0</v>
      </c>
      <c r="E3797" s="27"/>
      <c r="F3797" s="25">
        <v>0.0</v>
      </c>
      <c r="G3797" s="27"/>
    </row>
    <row r="3798">
      <c r="A3798" s="21"/>
      <c r="B3798" s="21" t="s">
        <v>9970</v>
      </c>
      <c r="D3798" s="25">
        <v>0.0</v>
      </c>
      <c r="E3798" s="27"/>
      <c r="F3798" s="25">
        <v>0.0</v>
      </c>
      <c r="G3798" s="27"/>
    </row>
    <row r="3799">
      <c r="A3799" s="21"/>
      <c r="B3799" s="21" t="s">
        <v>9971</v>
      </c>
      <c r="D3799" s="25">
        <v>0.0</v>
      </c>
      <c r="E3799" s="27"/>
      <c r="F3799" s="25">
        <v>0.0</v>
      </c>
      <c r="G3799" s="27"/>
    </row>
    <row r="3800">
      <c r="A3800" s="21"/>
      <c r="B3800" s="21" t="s">
        <v>9972</v>
      </c>
      <c r="D3800" s="25">
        <v>0.0</v>
      </c>
      <c r="E3800" s="27"/>
      <c r="F3800" s="25">
        <v>0.0</v>
      </c>
      <c r="G3800" s="27"/>
    </row>
    <row r="3801">
      <c r="A3801" s="21"/>
      <c r="B3801" s="21" t="s">
        <v>9973</v>
      </c>
      <c r="D3801" s="25">
        <v>0.0</v>
      </c>
      <c r="E3801" s="27"/>
      <c r="F3801" s="25">
        <v>0.0</v>
      </c>
      <c r="G3801" s="27"/>
    </row>
    <row r="3802">
      <c r="A3802" s="21"/>
      <c r="B3802" s="21" t="s">
        <v>9974</v>
      </c>
      <c r="D3802" s="25">
        <v>0.0</v>
      </c>
      <c r="E3802" s="27"/>
      <c r="F3802" s="25">
        <v>0.0</v>
      </c>
      <c r="G3802" s="27"/>
    </row>
    <row r="3803">
      <c r="A3803" s="21"/>
      <c r="B3803" s="21" t="s">
        <v>9975</v>
      </c>
      <c r="D3803" s="25">
        <v>0.0</v>
      </c>
      <c r="E3803" s="27"/>
      <c r="F3803" s="25">
        <v>0.0</v>
      </c>
      <c r="G3803" s="27"/>
    </row>
    <row r="3804">
      <c r="A3804" s="21"/>
      <c r="B3804" s="21" t="s">
        <v>9976</v>
      </c>
      <c r="D3804" s="25">
        <v>0.0</v>
      </c>
      <c r="E3804" s="27"/>
      <c r="F3804" s="25">
        <v>0.0</v>
      </c>
      <c r="G3804" s="27"/>
    </row>
    <row r="3805">
      <c r="A3805" s="21"/>
      <c r="B3805" s="21" t="s">
        <v>9977</v>
      </c>
      <c r="D3805" s="25">
        <v>0.0</v>
      </c>
      <c r="E3805" s="27"/>
      <c r="F3805" s="25">
        <v>0.0</v>
      </c>
      <c r="G3805" s="27"/>
    </row>
    <row r="3806">
      <c r="A3806" s="21"/>
      <c r="B3806" s="21" t="s">
        <v>9978</v>
      </c>
      <c r="D3806" s="25">
        <v>0.0</v>
      </c>
      <c r="E3806" s="27"/>
      <c r="F3806" s="25">
        <v>0.0</v>
      </c>
      <c r="G3806" s="27"/>
    </row>
    <row r="3807">
      <c r="A3807" s="21"/>
      <c r="B3807" s="21" t="s">
        <v>9979</v>
      </c>
      <c r="D3807" s="25">
        <v>0.0</v>
      </c>
      <c r="E3807" s="27"/>
      <c r="F3807" s="25">
        <v>0.0</v>
      </c>
      <c r="G3807" s="27"/>
    </row>
    <row r="3808">
      <c r="A3808" s="21"/>
      <c r="B3808" s="21" t="s">
        <v>9980</v>
      </c>
      <c r="D3808" s="25">
        <v>0.0</v>
      </c>
      <c r="E3808" s="27"/>
      <c r="F3808" s="25">
        <v>0.0</v>
      </c>
      <c r="G3808" s="27"/>
    </row>
    <row r="3809">
      <c r="A3809" s="21"/>
      <c r="B3809" s="21" t="s">
        <v>9981</v>
      </c>
      <c r="D3809" s="25">
        <v>0.0</v>
      </c>
      <c r="E3809" s="27"/>
      <c r="F3809" s="25">
        <v>0.0</v>
      </c>
      <c r="G3809" s="27"/>
    </row>
    <row r="3810">
      <c r="A3810" s="21"/>
      <c r="B3810" s="21" t="s">
        <v>9982</v>
      </c>
      <c r="D3810" s="25">
        <v>0.0</v>
      </c>
      <c r="E3810" s="27"/>
      <c r="F3810" s="25">
        <v>0.0</v>
      </c>
      <c r="G3810" s="27"/>
    </row>
    <row r="3811">
      <c r="A3811" s="21"/>
      <c r="B3811" s="21" t="s">
        <v>9983</v>
      </c>
      <c r="D3811" s="25">
        <v>0.0</v>
      </c>
      <c r="E3811" s="27"/>
      <c r="F3811" s="25">
        <v>0.0</v>
      </c>
      <c r="G3811" s="27"/>
    </row>
    <row r="3812">
      <c r="A3812" s="21"/>
      <c r="B3812" s="21" t="s">
        <v>9984</v>
      </c>
      <c r="D3812" s="25">
        <v>0.0</v>
      </c>
      <c r="E3812" s="27"/>
      <c r="F3812" s="25">
        <v>0.0</v>
      </c>
      <c r="G3812" s="27"/>
    </row>
    <row r="3813">
      <c r="A3813" s="21"/>
      <c r="B3813" s="21" t="s">
        <v>9985</v>
      </c>
      <c r="D3813" s="25">
        <v>0.0</v>
      </c>
      <c r="E3813" s="27"/>
      <c r="F3813" s="25">
        <v>0.0</v>
      </c>
      <c r="G3813" s="27"/>
    </row>
    <row r="3814">
      <c r="A3814" s="21"/>
      <c r="B3814" s="21" t="s">
        <v>9986</v>
      </c>
      <c r="D3814" s="25">
        <v>0.0</v>
      </c>
      <c r="E3814" s="27"/>
      <c r="F3814" s="25">
        <v>0.0</v>
      </c>
      <c r="G3814" s="27"/>
    </row>
    <row r="3815">
      <c r="A3815" s="21"/>
      <c r="B3815" s="21" t="s">
        <v>9987</v>
      </c>
      <c r="D3815" s="25">
        <v>0.0</v>
      </c>
      <c r="E3815" s="27"/>
      <c r="F3815" s="25">
        <v>0.0</v>
      </c>
      <c r="G3815" s="27"/>
    </row>
    <row r="3816">
      <c r="A3816" s="21"/>
      <c r="B3816" s="21" t="s">
        <v>9988</v>
      </c>
      <c r="D3816" s="25">
        <v>0.0</v>
      </c>
      <c r="E3816" s="27"/>
      <c r="F3816" s="25">
        <v>0.0</v>
      </c>
      <c r="G3816" s="27"/>
    </row>
    <row r="3817">
      <c r="A3817" s="21"/>
      <c r="B3817" s="21" t="s">
        <v>9989</v>
      </c>
      <c r="D3817" s="25">
        <v>0.0</v>
      </c>
      <c r="E3817" s="27"/>
      <c r="F3817" s="25">
        <v>0.0</v>
      </c>
      <c r="G3817" s="27"/>
    </row>
    <row r="3818">
      <c r="A3818" s="21"/>
      <c r="B3818" s="21" t="s">
        <v>9990</v>
      </c>
      <c r="D3818" s="25">
        <v>0.0</v>
      </c>
      <c r="E3818" s="27"/>
      <c r="F3818" s="25">
        <v>0.0</v>
      </c>
      <c r="G3818" s="27"/>
    </row>
    <row r="3819">
      <c r="A3819" s="21"/>
      <c r="B3819" s="21" t="s">
        <v>9991</v>
      </c>
      <c r="D3819" s="25">
        <v>0.0</v>
      </c>
      <c r="E3819" s="27"/>
      <c r="F3819" s="25">
        <v>0.0</v>
      </c>
      <c r="G3819" s="27"/>
    </row>
    <row r="3820">
      <c r="A3820" s="21"/>
      <c r="B3820" s="21" t="s">
        <v>9992</v>
      </c>
      <c r="D3820" s="25">
        <v>0.0</v>
      </c>
      <c r="E3820" s="27"/>
      <c r="F3820" s="25">
        <v>0.0</v>
      </c>
      <c r="G3820" s="27"/>
    </row>
    <row r="3821">
      <c r="A3821" s="21"/>
      <c r="B3821" s="21" t="s">
        <v>9993</v>
      </c>
      <c r="D3821" s="25">
        <v>0.0</v>
      </c>
      <c r="E3821" s="27"/>
      <c r="F3821" s="25">
        <v>0.0</v>
      </c>
      <c r="G3821" s="27"/>
    </row>
    <row r="3822">
      <c r="A3822" s="21"/>
      <c r="B3822" s="21" t="s">
        <v>9994</v>
      </c>
      <c r="D3822" s="25">
        <v>0.0</v>
      </c>
      <c r="E3822" s="27"/>
      <c r="F3822" s="25">
        <v>0.0</v>
      </c>
      <c r="G3822" s="27"/>
    </row>
    <row r="3823">
      <c r="A3823" s="21"/>
      <c r="B3823" s="21" t="s">
        <v>9995</v>
      </c>
      <c r="D3823" s="25">
        <v>0.0</v>
      </c>
      <c r="E3823" s="27"/>
      <c r="F3823" s="25">
        <v>0.0</v>
      </c>
      <c r="G3823" s="27"/>
    </row>
    <row r="3824">
      <c r="A3824" s="21"/>
      <c r="B3824" s="21" t="s">
        <v>9996</v>
      </c>
      <c r="D3824" s="25">
        <v>0.0</v>
      </c>
      <c r="E3824" s="27"/>
      <c r="F3824" s="25">
        <v>0.0</v>
      </c>
      <c r="G3824" s="27"/>
    </row>
    <row r="3825">
      <c r="A3825" s="21"/>
      <c r="B3825" s="21" t="s">
        <v>9997</v>
      </c>
      <c r="D3825" s="25">
        <v>0.0</v>
      </c>
      <c r="E3825" s="27"/>
      <c r="F3825" s="25">
        <v>0.0</v>
      </c>
      <c r="G3825" s="27"/>
    </row>
    <row r="3826">
      <c r="A3826" s="21"/>
      <c r="B3826" s="21" t="s">
        <v>9998</v>
      </c>
      <c r="D3826" s="25">
        <v>0.0</v>
      </c>
      <c r="E3826" s="27"/>
      <c r="F3826" s="25">
        <v>0.0</v>
      </c>
      <c r="G3826" s="27"/>
    </row>
    <row r="3827">
      <c r="A3827" s="21"/>
      <c r="B3827" s="21" t="s">
        <v>9999</v>
      </c>
      <c r="D3827" s="25">
        <v>0.0</v>
      </c>
      <c r="E3827" s="27"/>
      <c r="F3827" s="25">
        <v>0.0</v>
      </c>
      <c r="G3827" s="27"/>
    </row>
    <row r="3828">
      <c r="A3828" s="21"/>
      <c r="B3828" s="21" t="s">
        <v>10000</v>
      </c>
      <c r="D3828" s="25">
        <v>0.0</v>
      </c>
      <c r="E3828" s="27"/>
      <c r="F3828" s="25">
        <v>0.0</v>
      </c>
      <c r="G3828" s="27"/>
    </row>
    <row r="3829">
      <c r="A3829" s="21"/>
      <c r="B3829" s="21" t="s">
        <v>10001</v>
      </c>
      <c r="D3829" s="25">
        <v>0.0</v>
      </c>
      <c r="E3829" s="27"/>
      <c r="F3829" s="25">
        <v>0.0</v>
      </c>
      <c r="G3829" s="27"/>
    </row>
    <row r="3830">
      <c r="A3830" s="21"/>
      <c r="B3830" s="21" t="s">
        <v>10002</v>
      </c>
      <c r="D3830" s="25">
        <v>0.0</v>
      </c>
      <c r="E3830" s="27"/>
      <c r="F3830" s="25">
        <v>0.0</v>
      </c>
      <c r="G3830" s="27"/>
    </row>
    <row r="3831">
      <c r="A3831" s="21"/>
      <c r="B3831" s="21" t="s">
        <v>10003</v>
      </c>
      <c r="D3831" s="25">
        <v>0.0</v>
      </c>
      <c r="E3831" s="27"/>
      <c r="F3831" s="25">
        <v>0.0</v>
      </c>
      <c r="G3831" s="27"/>
    </row>
    <row r="3832">
      <c r="A3832" s="21"/>
      <c r="B3832" s="21" t="s">
        <v>10004</v>
      </c>
      <c r="D3832" s="25">
        <v>0.0</v>
      </c>
      <c r="E3832" s="27"/>
      <c r="F3832" s="25">
        <v>0.0</v>
      </c>
      <c r="G3832" s="27"/>
    </row>
    <row r="3833">
      <c r="A3833" s="21"/>
      <c r="B3833" s="21" t="s">
        <v>10005</v>
      </c>
      <c r="D3833" s="25">
        <v>0.0</v>
      </c>
      <c r="E3833" s="27"/>
      <c r="F3833" s="25">
        <v>0.0</v>
      </c>
      <c r="G3833" s="27"/>
    </row>
    <row r="3834">
      <c r="A3834" s="21"/>
      <c r="B3834" s="21" t="s">
        <v>10006</v>
      </c>
      <c r="D3834" s="25">
        <v>0.0</v>
      </c>
      <c r="E3834" s="27"/>
      <c r="F3834" s="25">
        <v>0.0</v>
      </c>
      <c r="G3834" s="27"/>
    </row>
    <row r="3835">
      <c r="A3835" s="21"/>
      <c r="B3835" s="21" t="s">
        <v>10007</v>
      </c>
      <c r="D3835" s="25">
        <v>0.0</v>
      </c>
      <c r="E3835" s="27"/>
      <c r="F3835" s="25">
        <v>0.0</v>
      </c>
      <c r="G3835" s="27"/>
    </row>
    <row r="3836">
      <c r="A3836" s="21"/>
      <c r="B3836" s="21" t="s">
        <v>10008</v>
      </c>
      <c r="D3836" s="25">
        <v>0.0</v>
      </c>
      <c r="E3836" s="27"/>
      <c r="F3836" s="25">
        <v>0.0</v>
      </c>
      <c r="G3836" s="27"/>
    </row>
    <row r="3837">
      <c r="A3837" s="21"/>
      <c r="B3837" s="21" t="s">
        <v>10009</v>
      </c>
      <c r="D3837" s="25">
        <v>0.0</v>
      </c>
      <c r="E3837" s="27"/>
      <c r="F3837" s="25">
        <v>0.0</v>
      </c>
      <c r="G3837" s="27"/>
    </row>
    <row r="3838">
      <c r="A3838" s="21"/>
      <c r="B3838" s="21" t="s">
        <v>10010</v>
      </c>
      <c r="D3838" s="25">
        <v>0.0</v>
      </c>
      <c r="E3838" s="27"/>
      <c r="F3838" s="25">
        <v>0.0</v>
      </c>
      <c r="G3838" s="27"/>
    </row>
    <row r="3839">
      <c r="A3839" s="21"/>
      <c r="B3839" s="21" t="s">
        <v>10011</v>
      </c>
      <c r="D3839" s="25">
        <v>0.0</v>
      </c>
      <c r="E3839" s="27"/>
      <c r="F3839" s="25">
        <v>0.0</v>
      </c>
      <c r="G3839" s="27"/>
    </row>
    <row r="3840">
      <c r="A3840" s="21"/>
      <c r="B3840" s="21" t="s">
        <v>10012</v>
      </c>
      <c r="D3840" s="25">
        <v>0.0</v>
      </c>
      <c r="E3840" s="27"/>
      <c r="F3840" s="25">
        <v>0.0</v>
      </c>
      <c r="G3840" s="27"/>
    </row>
    <row r="3841">
      <c r="A3841" s="21"/>
      <c r="B3841" s="21" t="s">
        <v>10013</v>
      </c>
      <c r="D3841" s="25">
        <v>0.0</v>
      </c>
      <c r="E3841" s="27"/>
      <c r="F3841" s="25">
        <v>0.0</v>
      </c>
      <c r="G3841" s="27"/>
    </row>
    <row r="3842">
      <c r="A3842" s="21"/>
      <c r="B3842" s="21" t="s">
        <v>10014</v>
      </c>
      <c r="D3842" s="25">
        <v>0.0</v>
      </c>
      <c r="E3842" s="27"/>
      <c r="F3842" s="25">
        <v>0.0</v>
      </c>
      <c r="G3842" s="27"/>
    </row>
    <row r="3843">
      <c r="A3843" s="21"/>
      <c r="B3843" s="21" t="s">
        <v>10015</v>
      </c>
      <c r="D3843" s="25">
        <v>0.0</v>
      </c>
      <c r="E3843" s="27"/>
      <c r="F3843" s="25">
        <v>0.0</v>
      </c>
      <c r="G3843" s="27"/>
    </row>
    <row r="3844">
      <c r="A3844" s="21"/>
      <c r="B3844" s="21" t="s">
        <v>10016</v>
      </c>
      <c r="D3844" s="25">
        <v>0.0</v>
      </c>
      <c r="E3844" s="27"/>
      <c r="F3844" s="25">
        <v>0.0</v>
      </c>
      <c r="G3844" s="27"/>
    </row>
    <row r="3845">
      <c r="A3845" s="21"/>
      <c r="B3845" s="21" t="s">
        <v>10017</v>
      </c>
      <c r="D3845" s="25">
        <v>0.0</v>
      </c>
      <c r="E3845" s="27"/>
      <c r="F3845" s="25">
        <v>0.0</v>
      </c>
      <c r="G3845" s="27"/>
    </row>
    <row r="3846">
      <c r="A3846" s="21"/>
      <c r="B3846" s="21" t="s">
        <v>10018</v>
      </c>
      <c r="D3846" s="25">
        <v>0.0</v>
      </c>
      <c r="E3846" s="27"/>
      <c r="F3846" s="25">
        <v>0.0</v>
      </c>
      <c r="G3846" s="27"/>
    </row>
    <row r="3847">
      <c r="A3847" s="21"/>
      <c r="B3847" s="21" t="s">
        <v>10019</v>
      </c>
      <c r="D3847" s="25">
        <v>0.0</v>
      </c>
      <c r="E3847" s="27"/>
      <c r="F3847" s="25">
        <v>0.0</v>
      </c>
      <c r="G3847" s="27"/>
    </row>
    <row r="3848">
      <c r="A3848" s="21"/>
      <c r="B3848" s="21" t="s">
        <v>10020</v>
      </c>
      <c r="D3848" s="25">
        <v>0.0</v>
      </c>
      <c r="E3848" s="27"/>
      <c r="F3848" s="25">
        <v>0.0</v>
      </c>
      <c r="G3848" s="27"/>
    </row>
    <row r="3849">
      <c r="A3849" s="21"/>
      <c r="B3849" s="21" t="s">
        <v>10021</v>
      </c>
      <c r="D3849" s="25">
        <v>0.0</v>
      </c>
      <c r="E3849" s="27"/>
      <c r="F3849" s="25">
        <v>0.0</v>
      </c>
      <c r="G3849" s="27"/>
    </row>
    <row r="3850">
      <c r="A3850" s="21"/>
      <c r="B3850" s="21" t="s">
        <v>10022</v>
      </c>
      <c r="D3850" s="25">
        <v>0.0</v>
      </c>
      <c r="E3850" s="27"/>
      <c r="F3850" s="25">
        <v>0.0</v>
      </c>
      <c r="G3850" s="27"/>
    </row>
    <row r="3851">
      <c r="A3851" s="21"/>
      <c r="B3851" s="21" t="s">
        <v>10023</v>
      </c>
      <c r="D3851" s="25">
        <v>0.0</v>
      </c>
      <c r="E3851" s="27"/>
      <c r="F3851" s="25">
        <v>0.0</v>
      </c>
      <c r="G3851" s="27"/>
    </row>
    <row r="3852">
      <c r="A3852" s="21"/>
      <c r="B3852" s="21" t="s">
        <v>10024</v>
      </c>
      <c r="D3852" s="25">
        <v>0.0</v>
      </c>
      <c r="E3852" s="27"/>
      <c r="F3852" s="25">
        <v>0.0</v>
      </c>
      <c r="G3852" s="27"/>
    </row>
    <row r="3853">
      <c r="A3853" s="21"/>
      <c r="B3853" s="21" t="s">
        <v>10025</v>
      </c>
      <c r="D3853" s="25">
        <v>0.0</v>
      </c>
      <c r="E3853" s="27"/>
      <c r="F3853" s="25">
        <v>0.0</v>
      </c>
      <c r="G3853" s="27"/>
    </row>
    <row r="3854">
      <c r="A3854" s="21"/>
      <c r="B3854" s="21" t="s">
        <v>10026</v>
      </c>
      <c r="D3854" s="25">
        <v>0.0</v>
      </c>
      <c r="E3854" s="27"/>
      <c r="F3854" s="25">
        <v>0.0</v>
      </c>
      <c r="G3854" s="27"/>
    </row>
    <row r="3855">
      <c r="A3855" s="21"/>
      <c r="B3855" s="21" t="s">
        <v>10027</v>
      </c>
      <c r="D3855" s="25">
        <v>0.0</v>
      </c>
      <c r="E3855" s="27"/>
      <c r="F3855" s="25">
        <v>0.0</v>
      </c>
      <c r="G3855" s="27"/>
    </row>
    <row r="3856">
      <c r="A3856" s="21"/>
      <c r="B3856" s="21" t="s">
        <v>10028</v>
      </c>
      <c r="D3856" s="25">
        <v>0.0</v>
      </c>
      <c r="E3856" s="27"/>
      <c r="F3856" s="25">
        <v>0.0</v>
      </c>
      <c r="G3856" s="27"/>
    </row>
    <row r="3857">
      <c r="A3857" s="21"/>
      <c r="B3857" s="21" t="s">
        <v>10029</v>
      </c>
      <c r="D3857" s="25">
        <v>0.0</v>
      </c>
      <c r="E3857" s="27"/>
      <c r="F3857" s="25">
        <v>0.0</v>
      </c>
      <c r="G3857" s="27"/>
    </row>
    <row r="3858">
      <c r="A3858" s="21"/>
      <c r="B3858" s="21" t="s">
        <v>10030</v>
      </c>
      <c r="D3858" s="25">
        <v>0.0</v>
      </c>
      <c r="E3858" s="27"/>
      <c r="F3858" s="25">
        <v>0.0</v>
      </c>
      <c r="G3858" s="27"/>
    </row>
    <row r="3859">
      <c r="A3859" s="21"/>
      <c r="B3859" s="21" t="s">
        <v>10031</v>
      </c>
      <c r="D3859" s="25">
        <v>0.0</v>
      </c>
      <c r="E3859" s="27"/>
      <c r="F3859" s="25">
        <v>0.0</v>
      </c>
      <c r="G3859" s="27"/>
    </row>
    <row r="3860">
      <c r="A3860" s="21"/>
      <c r="B3860" s="21" t="s">
        <v>10032</v>
      </c>
      <c r="D3860" s="25">
        <v>0.0</v>
      </c>
      <c r="E3860" s="27"/>
      <c r="F3860" s="25">
        <v>0.0</v>
      </c>
      <c r="G3860" s="27"/>
    </row>
    <row r="3861">
      <c r="A3861" s="21"/>
      <c r="B3861" s="21" t="s">
        <v>10033</v>
      </c>
      <c r="D3861" s="25">
        <v>0.0</v>
      </c>
      <c r="E3861" s="27"/>
      <c r="F3861" s="25">
        <v>0.0</v>
      </c>
      <c r="G3861" s="27"/>
    </row>
    <row r="3862">
      <c r="A3862" s="21"/>
      <c r="B3862" s="21" t="s">
        <v>10034</v>
      </c>
      <c r="D3862" s="25">
        <v>0.0</v>
      </c>
      <c r="E3862" s="27"/>
      <c r="F3862" s="25">
        <v>0.0</v>
      </c>
      <c r="G3862" s="27"/>
    </row>
    <row r="3863">
      <c r="A3863" s="21"/>
      <c r="B3863" s="21" t="s">
        <v>10035</v>
      </c>
      <c r="D3863" s="25">
        <v>0.0</v>
      </c>
      <c r="E3863" s="27"/>
      <c r="F3863" s="25">
        <v>0.0</v>
      </c>
      <c r="G3863" s="27"/>
    </row>
    <row r="3864">
      <c r="A3864" s="21"/>
      <c r="B3864" s="21" t="s">
        <v>10036</v>
      </c>
      <c r="D3864" s="25">
        <v>0.0</v>
      </c>
      <c r="E3864" s="27"/>
      <c r="F3864" s="25">
        <v>0.0</v>
      </c>
      <c r="G3864" s="27"/>
    </row>
    <row r="3865">
      <c r="A3865" s="21"/>
      <c r="B3865" s="21" t="s">
        <v>10037</v>
      </c>
      <c r="D3865" s="25">
        <v>0.0</v>
      </c>
      <c r="E3865" s="27"/>
      <c r="F3865" s="25">
        <v>0.0</v>
      </c>
      <c r="G3865" s="27"/>
    </row>
    <row r="3866">
      <c r="A3866" s="21"/>
      <c r="B3866" s="21" t="s">
        <v>6039</v>
      </c>
      <c r="D3866" s="25">
        <v>0.0</v>
      </c>
      <c r="E3866" s="27"/>
      <c r="F3866" s="25">
        <v>0.0</v>
      </c>
      <c r="G3866" s="27"/>
    </row>
    <row r="3867">
      <c r="A3867" s="21"/>
      <c r="B3867" s="21" t="s">
        <v>10038</v>
      </c>
      <c r="D3867" s="25">
        <v>0.0</v>
      </c>
      <c r="E3867" s="27"/>
      <c r="F3867" s="25">
        <v>0.0</v>
      </c>
      <c r="G3867" s="27"/>
    </row>
    <row r="3868">
      <c r="A3868" s="21"/>
      <c r="B3868" s="21" t="s">
        <v>10039</v>
      </c>
      <c r="D3868" s="25">
        <v>0.0</v>
      </c>
      <c r="E3868" s="27"/>
      <c r="F3868" s="25">
        <v>0.0</v>
      </c>
      <c r="G3868" s="27"/>
    </row>
    <row r="3869">
      <c r="A3869" s="21"/>
      <c r="B3869" s="21" t="s">
        <v>10040</v>
      </c>
      <c r="D3869" s="25">
        <v>0.0</v>
      </c>
      <c r="E3869" s="27"/>
      <c r="F3869" s="25">
        <v>0.0</v>
      </c>
      <c r="G3869" s="27"/>
    </row>
    <row r="3870">
      <c r="A3870" s="21"/>
      <c r="B3870" s="21" t="s">
        <v>10041</v>
      </c>
      <c r="D3870" s="25">
        <v>0.0</v>
      </c>
      <c r="E3870" s="27"/>
      <c r="F3870" s="25">
        <v>0.0</v>
      </c>
      <c r="G3870" s="27"/>
    </row>
    <row r="3871">
      <c r="A3871" s="21"/>
      <c r="B3871" s="21" t="s">
        <v>10042</v>
      </c>
      <c r="D3871" s="25">
        <v>0.0</v>
      </c>
      <c r="E3871" s="27"/>
      <c r="F3871" s="25">
        <v>0.0</v>
      </c>
      <c r="G3871" s="27"/>
    </row>
    <row r="3872">
      <c r="A3872" s="21"/>
      <c r="B3872" s="21" t="s">
        <v>10043</v>
      </c>
      <c r="D3872" s="25">
        <v>0.0</v>
      </c>
      <c r="E3872" s="27"/>
      <c r="F3872" s="25">
        <v>0.0</v>
      </c>
      <c r="G3872" s="27"/>
    </row>
    <row r="3873">
      <c r="A3873" s="21"/>
      <c r="B3873" s="21" t="s">
        <v>10044</v>
      </c>
      <c r="D3873" s="25">
        <v>0.0</v>
      </c>
      <c r="E3873" s="27"/>
      <c r="F3873" s="25">
        <v>0.0</v>
      </c>
      <c r="G3873" s="27"/>
    </row>
    <row r="3874">
      <c r="A3874" s="21"/>
      <c r="B3874" s="21" t="s">
        <v>10045</v>
      </c>
      <c r="D3874" s="25">
        <v>0.0</v>
      </c>
      <c r="E3874" s="27"/>
      <c r="F3874" s="25">
        <v>0.0</v>
      </c>
      <c r="G3874" s="27"/>
    </row>
    <row r="3875">
      <c r="A3875" s="21"/>
      <c r="B3875" s="21" t="s">
        <v>10046</v>
      </c>
      <c r="D3875" s="25">
        <v>0.0</v>
      </c>
      <c r="E3875" s="27"/>
      <c r="F3875" s="25">
        <v>0.0</v>
      </c>
      <c r="G3875" s="27"/>
    </row>
    <row r="3876">
      <c r="A3876" s="21"/>
      <c r="B3876" s="21" t="s">
        <v>10047</v>
      </c>
      <c r="D3876" s="25">
        <v>0.0</v>
      </c>
      <c r="E3876" s="27"/>
      <c r="F3876" s="25">
        <v>0.0</v>
      </c>
      <c r="G3876" s="27"/>
    </row>
    <row r="3877">
      <c r="A3877" s="21"/>
      <c r="B3877" s="21" t="s">
        <v>10048</v>
      </c>
      <c r="D3877" s="25">
        <v>0.0</v>
      </c>
      <c r="E3877" s="27"/>
      <c r="F3877" s="25">
        <v>0.0</v>
      </c>
      <c r="G3877" s="27"/>
    </row>
    <row r="3878">
      <c r="A3878" s="21"/>
      <c r="B3878" s="21" t="s">
        <v>10049</v>
      </c>
      <c r="D3878" s="25">
        <v>0.0</v>
      </c>
      <c r="E3878" s="27"/>
      <c r="F3878" s="25">
        <v>0.0</v>
      </c>
      <c r="G3878" s="27"/>
    </row>
    <row r="3879">
      <c r="A3879" s="21"/>
      <c r="B3879" s="21" t="s">
        <v>10050</v>
      </c>
      <c r="D3879" s="25">
        <v>0.0</v>
      </c>
      <c r="E3879" s="27"/>
      <c r="F3879" s="25">
        <v>0.0</v>
      </c>
      <c r="G3879" s="27"/>
    </row>
    <row r="3880">
      <c r="A3880" s="21"/>
      <c r="B3880" s="21" t="s">
        <v>10051</v>
      </c>
      <c r="D3880" s="25">
        <v>0.0</v>
      </c>
      <c r="E3880" s="27"/>
      <c r="F3880" s="25">
        <v>0.0</v>
      </c>
      <c r="G3880" s="27"/>
    </row>
    <row r="3881">
      <c r="A3881" s="21"/>
      <c r="B3881" s="21" t="s">
        <v>10052</v>
      </c>
      <c r="D3881" s="25">
        <v>0.0</v>
      </c>
      <c r="E3881" s="27"/>
      <c r="F3881" s="25">
        <v>0.0</v>
      </c>
      <c r="G3881" s="27"/>
    </row>
    <row r="3882">
      <c r="A3882" s="21"/>
      <c r="B3882" s="21" t="s">
        <v>10053</v>
      </c>
      <c r="D3882" s="25">
        <v>0.0</v>
      </c>
      <c r="E3882" s="27"/>
      <c r="F3882" s="25">
        <v>0.0</v>
      </c>
      <c r="G3882" s="27"/>
    </row>
    <row r="3883">
      <c r="A3883" s="21"/>
      <c r="B3883" s="21" t="s">
        <v>10054</v>
      </c>
      <c r="D3883" s="25">
        <v>0.0</v>
      </c>
      <c r="E3883" s="27"/>
      <c r="F3883" s="25">
        <v>0.0</v>
      </c>
      <c r="G3883" s="27"/>
    </row>
    <row r="3884">
      <c r="A3884" s="21"/>
      <c r="B3884" s="21" t="s">
        <v>10055</v>
      </c>
      <c r="D3884" s="25">
        <v>0.0</v>
      </c>
      <c r="E3884" s="27"/>
      <c r="F3884" s="25">
        <v>0.0</v>
      </c>
      <c r="G3884" s="27"/>
    </row>
    <row r="3885">
      <c r="A3885" s="21"/>
      <c r="B3885" s="21" t="s">
        <v>10056</v>
      </c>
      <c r="D3885" s="25">
        <v>0.0</v>
      </c>
      <c r="E3885" s="27"/>
      <c r="F3885" s="25">
        <v>0.0</v>
      </c>
      <c r="G3885" s="27"/>
    </row>
    <row r="3886">
      <c r="A3886" s="21"/>
      <c r="B3886" s="21" t="s">
        <v>10057</v>
      </c>
      <c r="D3886" s="25">
        <v>0.0</v>
      </c>
      <c r="E3886" s="27"/>
      <c r="F3886" s="25">
        <v>0.0</v>
      </c>
      <c r="G3886" s="27"/>
    </row>
    <row r="3887">
      <c r="A3887" s="21"/>
      <c r="B3887" s="21" t="s">
        <v>10058</v>
      </c>
      <c r="D3887" s="25">
        <v>0.0</v>
      </c>
      <c r="E3887" s="27"/>
      <c r="F3887" s="25">
        <v>0.0</v>
      </c>
      <c r="G3887" s="27"/>
    </row>
    <row r="3888">
      <c r="A3888" s="21"/>
      <c r="B3888" s="21" t="s">
        <v>10059</v>
      </c>
      <c r="D3888" s="25">
        <v>0.0</v>
      </c>
      <c r="E3888" s="27"/>
      <c r="F3888" s="25">
        <v>0.0</v>
      </c>
      <c r="G3888" s="27"/>
    </row>
    <row r="3889">
      <c r="A3889" s="21"/>
      <c r="B3889" s="21" t="s">
        <v>10060</v>
      </c>
      <c r="D3889" s="25">
        <v>0.0</v>
      </c>
      <c r="E3889" s="27"/>
      <c r="F3889" s="25">
        <v>0.0</v>
      </c>
      <c r="G3889" s="27"/>
    </row>
    <row r="3890">
      <c r="A3890" s="21"/>
      <c r="B3890" s="21" t="s">
        <v>10061</v>
      </c>
      <c r="D3890" s="25">
        <v>0.0</v>
      </c>
      <c r="E3890" s="27"/>
      <c r="F3890" s="25">
        <v>0.0</v>
      </c>
      <c r="G3890" s="27"/>
    </row>
    <row r="3891">
      <c r="A3891" s="21"/>
      <c r="B3891" s="21" t="s">
        <v>10062</v>
      </c>
      <c r="D3891" s="25">
        <v>0.0</v>
      </c>
      <c r="E3891" s="27"/>
      <c r="F3891" s="25">
        <v>0.0</v>
      </c>
      <c r="G3891" s="27"/>
    </row>
    <row r="3892">
      <c r="A3892" s="21"/>
      <c r="B3892" s="21" t="s">
        <v>10063</v>
      </c>
      <c r="D3892" s="25">
        <v>0.0</v>
      </c>
      <c r="E3892" s="27"/>
      <c r="F3892" s="25">
        <v>0.0</v>
      </c>
      <c r="G3892" s="27"/>
    </row>
    <row r="3893">
      <c r="A3893" s="21"/>
      <c r="B3893" s="21" t="s">
        <v>10064</v>
      </c>
      <c r="D3893" s="25">
        <v>0.0</v>
      </c>
      <c r="E3893" s="27"/>
      <c r="F3893" s="25">
        <v>0.0</v>
      </c>
      <c r="G3893" s="27"/>
    </row>
    <row r="3894">
      <c r="A3894" s="21"/>
      <c r="B3894" s="21" t="s">
        <v>10065</v>
      </c>
      <c r="D3894" s="25">
        <v>0.0</v>
      </c>
      <c r="E3894" s="27"/>
      <c r="F3894" s="25">
        <v>0.0</v>
      </c>
      <c r="G3894" s="27"/>
    </row>
    <row r="3895">
      <c r="A3895" s="21"/>
      <c r="B3895" s="21" t="s">
        <v>10066</v>
      </c>
      <c r="D3895" s="25">
        <v>0.0</v>
      </c>
      <c r="E3895" s="27"/>
      <c r="F3895" s="25">
        <v>2.65</v>
      </c>
      <c r="G3895" s="27"/>
    </row>
    <row r="3896">
      <c r="A3896" s="21"/>
      <c r="B3896" s="21" t="s">
        <v>10067</v>
      </c>
      <c r="D3896" s="25">
        <v>0.0</v>
      </c>
      <c r="E3896" s="27"/>
      <c r="F3896" s="25">
        <v>0.0</v>
      </c>
      <c r="G3896" s="27"/>
    </row>
    <row r="3897">
      <c r="A3897" s="21"/>
      <c r="B3897" s="21" t="s">
        <v>10068</v>
      </c>
      <c r="D3897" s="25">
        <v>0.0</v>
      </c>
      <c r="E3897" s="27"/>
      <c r="F3897" s="25">
        <v>0.0</v>
      </c>
      <c r="G3897" s="27"/>
    </row>
    <row r="3898">
      <c r="A3898" s="21"/>
      <c r="B3898" s="21" t="s">
        <v>10069</v>
      </c>
      <c r="D3898" s="25">
        <v>0.0</v>
      </c>
      <c r="E3898" s="27"/>
      <c r="F3898" s="25">
        <v>0.0</v>
      </c>
      <c r="G3898" s="27"/>
    </row>
    <row r="3899">
      <c r="A3899" s="21"/>
      <c r="B3899" s="21" t="s">
        <v>10070</v>
      </c>
      <c r="D3899" s="25">
        <v>0.0</v>
      </c>
      <c r="E3899" s="27"/>
      <c r="F3899" s="25">
        <v>0.0</v>
      </c>
      <c r="G3899" s="27"/>
    </row>
    <row r="3900">
      <c r="A3900" s="21"/>
      <c r="B3900" s="21" t="s">
        <v>10071</v>
      </c>
      <c r="D3900" s="25">
        <v>0.0</v>
      </c>
      <c r="E3900" s="27"/>
      <c r="F3900" s="25">
        <v>0.0</v>
      </c>
      <c r="G3900" s="27"/>
    </row>
    <row r="3901">
      <c r="A3901" s="21"/>
      <c r="B3901" s="21" t="s">
        <v>10072</v>
      </c>
      <c r="D3901" s="25">
        <v>0.0</v>
      </c>
      <c r="E3901" s="27"/>
      <c r="F3901" s="25">
        <v>0.0</v>
      </c>
      <c r="G3901" s="27"/>
    </row>
    <row r="3902">
      <c r="A3902" s="21"/>
      <c r="B3902" s="21" t="s">
        <v>10073</v>
      </c>
      <c r="D3902" s="25">
        <v>0.0</v>
      </c>
      <c r="E3902" s="27"/>
      <c r="F3902" s="25">
        <v>0.0</v>
      </c>
      <c r="G3902" s="27"/>
    </row>
    <row r="3903">
      <c r="A3903" s="21"/>
      <c r="B3903" s="21" t="s">
        <v>10074</v>
      </c>
      <c r="D3903" s="25">
        <v>0.0</v>
      </c>
      <c r="E3903" s="27"/>
      <c r="F3903" s="25">
        <v>0.0</v>
      </c>
      <c r="G3903" s="27"/>
    </row>
    <row r="3904">
      <c r="A3904" s="21"/>
      <c r="B3904" s="21" t="s">
        <v>10075</v>
      </c>
      <c r="D3904" s="25">
        <v>0.0</v>
      </c>
      <c r="E3904" s="27"/>
      <c r="F3904" s="25">
        <v>0.0</v>
      </c>
      <c r="G3904" s="27"/>
    </row>
    <row r="3905">
      <c r="A3905" s="21"/>
      <c r="B3905" s="21" t="s">
        <v>10076</v>
      </c>
      <c r="D3905" s="25">
        <v>0.0</v>
      </c>
      <c r="E3905" s="27"/>
      <c r="F3905" s="25">
        <v>0.0</v>
      </c>
      <c r="G3905" s="27"/>
    </row>
    <row r="3906">
      <c r="A3906" s="21"/>
      <c r="B3906" s="21" t="s">
        <v>10077</v>
      </c>
      <c r="D3906" s="25">
        <v>0.0</v>
      </c>
      <c r="E3906" s="27"/>
      <c r="F3906" s="25">
        <v>0.0</v>
      </c>
      <c r="G3906" s="27"/>
    </row>
    <row r="3907">
      <c r="A3907" s="21"/>
      <c r="B3907" s="21" t="s">
        <v>10078</v>
      </c>
      <c r="D3907" s="25">
        <v>0.0</v>
      </c>
      <c r="E3907" s="27"/>
      <c r="F3907" s="25">
        <v>0.0</v>
      </c>
      <c r="G3907" s="27"/>
    </row>
    <row r="3908">
      <c r="A3908" s="21"/>
      <c r="B3908" s="21" t="s">
        <v>10079</v>
      </c>
      <c r="D3908" s="25">
        <v>0.0</v>
      </c>
      <c r="E3908" s="27"/>
      <c r="F3908" s="25">
        <v>0.0</v>
      </c>
      <c r="G3908" s="27"/>
    </row>
    <row r="3909">
      <c r="A3909" s="21"/>
      <c r="B3909" s="21" t="s">
        <v>10080</v>
      </c>
      <c r="D3909" s="25">
        <v>0.0</v>
      </c>
      <c r="E3909" s="27"/>
      <c r="F3909" s="25">
        <v>0.0</v>
      </c>
      <c r="G3909" s="27"/>
    </row>
    <row r="3910">
      <c r="A3910" s="21"/>
      <c r="B3910" s="21" t="s">
        <v>10081</v>
      </c>
      <c r="D3910" s="25">
        <v>0.0</v>
      </c>
      <c r="E3910" s="27"/>
      <c r="F3910" s="25">
        <v>0.0</v>
      </c>
      <c r="G3910" s="27"/>
    </row>
    <row r="3911">
      <c r="A3911" s="21"/>
      <c r="B3911" s="21" t="s">
        <v>10082</v>
      </c>
      <c r="D3911" s="25">
        <v>0.0</v>
      </c>
      <c r="E3911" s="27"/>
      <c r="F3911" s="25">
        <v>0.0</v>
      </c>
      <c r="G3911" s="27"/>
    </row>
    <row r="3912">
      <c r="A3912" s="21"/>
      <c r="B3912" s="21" t="s">
        <v>10083</v>
      </c>
      <c r="D3912" s="25">
        <v>0.0</v>
      </c>
      <c r="E3912" s="27"/>
      <c r="F3912" s="25">
        <v>0.0</v>
      </c>
      <c r="G3912" s="27"/>
    </row>
    <row r="3913">
      <c r="A3913" s="21"/>
      <c r="B3913" s="21" t="s">
        <v>10084</v>
      </c>
      <c r="D3913" s="25">
        <v>0.0</v>
      </c>
      <c r="E3913" s="27"/>
      <c r="F3913" s="25">
        <v>0.0</v>
      </c>
      <c r="G3913" s="27"/>
    </row>
    <row r="3914">
      <c r="A3914" s="21"/>
      <c r="B3914" s="21" t="s">
        <v>10085</v>
      </c>
      <c r="D3914" s="25">
        <v>0.0</v>
      </c>
      <c r="E3914" s="27"/>
      <c r="F3914" s="25">
        <v>0.0</v>
      </c>
      <c r="G3914" s="27"/>
    </row>
    <row r="3915">
      <c r="A3915" s="21"/>
      <c r="B3915" s="21" t="s">
        <v>10086</v>
      </c>
      <c r="D3915" s="25">
        <v>0.0</v>
      </c>
      <c r="E3915" s="27"/>
      <c r="F3915" s="25">
        <v>0.0</v>
      </c>
      <c r="G3915" s="27"/>
    </row>
    <row r="3916">
      <c r="A3916" s="21"/>
      <c r="B3916" s="21" t="s">
        <v>10087</v>
      </c>
      <c r="D3916" s="25">
        <v>0.0</v>
      </c>
      <c r="E3916" s="27"/>
      <c r="F3916" s="25">
        <v>0.0</v>
      </c>
      <c r="G3916" s="27"/>
    </row>
    <row r="3917">
      <c r="A3917" s="21"/>
      <c r="B3917" s="21" t="s">
        <v>10088</v>
      </c>
      <c r="D3917" s="25">
        <v>0.0</v>
      </c>
      <c r="E3917" s="27"/>
      <c r="F3917" s="25">
        <v>0.0</v>
      </c>
      <c r="G3917" s="27"/>
    </row>
    <row r="3918">
      <c r="A3918" s="21"/>
      <c r="B3918" s="21" t="s">
        <v>10089</v>
      </c>
      <c r="D3918" s="25">
        <v>0.0</v>
      </c>
      <c r="E3918" s="27"/>
      <c r="F3918" s="25">
        <v>0.0</v>
      </c>
      <c r="G3918" s="27"/>
    </row>
    <row r="3919">
      <c r="A3919" s="21"/>
      <c r="B3919" s="21" t="s">
        <v>10090</v>
      </c>
      <c r="D3919" s="25">
        <v>0.0</v>
      </c>
      <c r="E3919" s="27"/>
      <c r="F3919" s="25">
        <v>0.0</v>
      </c>
      <c r="G3919" s="27"/>
    </row>
    <row r="3920">
      <c r="A3920" s="21"/>
      <c r="B3920" s="21" t="s">
        <v>10091</v>
      </c>
      <c r="D3920" s="25">
        <v>0.0</v>
      </c>
      <c r="E3920" s="27"/>
      <c r="F3920" s="25">
        <v>0.0</v>
      </c>
      <c r="G3920" s="27"/>
    </row>
    <row r="3921">
      <c r="A3921" s="21"/>
      <c r="B3921" s="21" t="s">
        <v>10092</v>
      </c>
      <c r="D3921" s="25">
        <v>0.0</v>
      </c>
      <c r="E3921" s="27"/>
      <c r="F3921" s="25">
        <v>0.0</v>
      </c>
      <c r="G3921" s="27"/>
    </row>
    <row r="3922">
      <c r="A3922" s="21"/>
      <c r="B3922" s="21" t="s">
        <v>10093</v>
      </c>
      <c r="D3922" s="25">
        <v>0.0</v>
      </c>
      <c r="E3922" s="27"/>
      <c r="F3922" s="25">
        <v>0.0</v>
      </c>
      <c r="G3922" s="27"/>
    </row>
    <row r="3923">
      <c r="A3923" s="21"/>
      <c r="B3923" s="21" t="s">
        <v>10094</v>
      </c>
      <c r="D3923" s="25">
        <v>0.0</v>
      </c>
      <c r="E3923" s="27"/>
      <c r="F3923" s="25">
        <v>0.0</v>
      </c>
      <c r="G3923" s="27"/>
    </row>
    <row r="3924">
      <c r="A3924" s="21"/>
      <c r="B3924" s="21" t="s">
        <v>10095</v>
      </c>
      <c r="D3924" s="25">
        <v>0.0</v>
      </c>
      <c r="E3924" s="27"/>
      <c r="F3924" s="25">
        <v>0.0</v>
      </c>
      <c r="G3924" s="27"/>
    </row>
    <row r="3925">
      <c r="A3925" s="21"/>
      <c r="B3925" s="21" t="s">
        <v>10096</v>
      </c>
      <c r="D3925" s="25">
        <v>0.0</v>
      </c>
      <c r="E3925" s="27"/>
      <c r="F3925" s="25">
        <v>0.0</v>
      </c>
      <c r="G3925" s="27"/>
    </row>
    <row r="3926">
      <c r="A3926" s="21"/>
      <c r="B3926" s="21" t="s">
        <v>10097</v>
      </c>
      <c r="D3926" s="25">
        <v>0.0</v>
      </c>
      <c r="E3926" s="27"/>
      <c r="F3926" s="25">
        <v>5.92</v>
      </c>
      <c r="G3926" s="27"/>
    </row>
    <row r="3927">
      <c r="A3927" s="21"/>
      <c r="B3927" s="21" t="s">
        <v>10098</v>
      </c>
      <c r="D3927" s="25">
        <v>0.0</v>
      </c>
      <c r="E3927" s="27"/>
      <c r="F3927" s="25">
        <v>0.0</v>
      </c>
      <c r="G3927" s="27"/>
    </row>
    <row r="3928">
      <c r="A3928" s="21"/>
      <c r="B3928" s="21" t="s">
        <v>10099</v>
      </c>
      <c r="D3928" s="25">
        <v>0.0</v>
      </c>
      <c r="E3928" s="27"/>
      <c r="F3928" s="25">
        <v>0.0</v>
      </c>
      <c r="G3928" s="27"/>
    </row>
    <row r="3929">
      <c r="A3929" s="21"/>
      <c r="B3929" s="21" t="s">
        <v>10100</v>
      </c>
      <c r="D3929" s="25">
        <v>0.0</v>
      </c>
      <c r="E3929" s="27"/>
      <c r="F3929" s="25">
        <v>0.0</v>
      </c>
      <c r="G3929" s="27"/>
    </row>
    <row r="3930">
      <c r="A3930" s="21"/>
      <c r="B3930" s="21" t="s">
        <v>10101</v>
      </c>
      <c r="D3930" s="25">
        <v>0.0</v>
      </c>
      <c r="E3930" s="27"/>
      <c r="F3930" s="25">
        <v>0.0</v>
      </c>
      <c r="G3930" s="27"/>
    </row>
    <row r="3931">
      <c r="A3931" s="21"/>
      <c r="B3931" s="21" t="s">
        <v>4882</v>
      </c>
      <c r="D3931" s="25">
        <v>0.0</v>
      </c>
      <c r="E3931" s="27"/>
      <c r="F3931" s="25">
        <v>5.92</v>
      </c>
      <c r="G3931" s="27"/>
    </row>
    <row r="3932">
      <c r="A3932" s="21"/>
      <c r="B3932" s="21" t="s">
        <v>10102</v>
      </c>
      <c r="D3932" s="25">
        <v>0.0</v>
      </c>
      <c r="E3932" s="27"/>
      <c r="F3932" s="25">
        <v>0.0</v>
      </c>
      <c r="G3932" s="27"/>
    </row>
    <row r="3933">
      <c r="A3933" s="21"/>
      <c r="B3933" s="21" t="s">
        <v>10103</v>
      </c>
      <c r="D3933" s="25">
        <v>0.0</v>
      </c>
      <c r="E3933" s="27"/>
      <c r="F3933" s="25">
        <v>0.0</v>
      </c>
      <c r="G3933" s="27"/>
    </row>
    <row r="3934">
      <c r="A3934" s="21"/>
      <c r="B3934" s="21" t="s">
        <v>10104</v>
      </c>
      <c r="D3934" s="25">
        <v>0.0</v>
      </c>
      <c r="E3934" s="27"/>
      <c r="F3934" s="25">
        <v>0.0</v>
      </c>
      <c r="G3934" s="27"/>
    </row>
    <row r="3935">
      <c r="A3935" s="21"/>
      <c r="B3935" s="21" t="s">
        <v>10105</v>
      </c>
      <c r="D3935" s="25">
        <v>0.0</v>
      </c>
      <c r="E3935" s="27"/>
      <c r="F3935" s="25">
        <v>0.0</v>
      </c>
      <c r="G3935" s="27"/>
    </row>
    <row r="3936">
      <c r="A3936" s="21"/>
      <c r="B3936" s="21" t="s">
        <v>10106</v>
      </c>
      <c r="D3936" s="25">
        <v>0.0</v>
      </c>
      <c r="E3936" s="27"/>
      <c r="F3936" s="25">
        <v>0.0</v>
      </c>
      <c r="G3936" s="27"/>
    </row>
    <row r="3937">
      <c r="A3937" s="21"/>
      <c r="B3937" s="21" t="s">
        <v>10107</v>
      </c>
      <c r="D3937" s="25">
        <v>0.0</v>
      </c>
      <c r="E3937" s="27"/>
      <c r="F3937" s="25">
        <v>7.94</v>
      </c>
      <c r="G3937" s="27"/>
    </row>
    <row r="3938">
      <c r="A3938" s="21"/>
      <c r="B3938" s="21" t="s">
        <v>10108</v>
      </c>
      <c r="D3938" s="25">
        <v>0.0</v>
      </c>
      <c r="E3938" s="27"/>
      <c r="F3938" s="25">
        <v>7.94</v>
      </c>
      <c r="G3938" s="27"/>
    </row>
    <row r="3939">
      <c r="A3939" s="21"/>
      <c r="B3939" s="21" t="s">
        <v>10109</v>
      </c>
      <c r="D3939" s="25">
        <v>0.0</v>
      </c>
      <c r="E3939" s="27"/>
      <c r="F3939" s="25">
        <v>0.0</v>
      </c>
      <c r="G3939" s="27"/>
    </row>
    <row r="3940">
      <c r="A3940" s="21"/>
      <c r="B3940" s="21" t="s">
        <v>10110</v>
      </c>
      <c r="D3940" s="25">
        <v>0.0</v>
      </c>
      <c r="E3940" s="27"/>
      <c r="F3940" s="25">
        <v>0.0</v>
      </c>
      <c r="G3940" s="27"/>
    </row>
    <row r="3941">
      <c r="A3941" s="21"/>
      <c r="B3941" s="21" t="s">
        <v>10111</v>
      </c>
      <c r="D3941" s="25">
        <v>0.0</v>
      </c>
      <c r="E3941" s="27"/>
      <c r="F3941" s="25">
        <v>0.0</v>
      </c>
      <c r="G3941" s="27"/>
    </row>
    <row r="3942">
      <c r="A3942" s="21"/>
      <c r="B3942" s="21" t="s">
        <v>10112</v>
      </c>
      <c r="D3942" s="25">
        <v>0.0</v>
      </c>
      <c r="E3942" s="27"/>
      <c r="F3942" s="25">
        <v>0.0</v>
      </c>
      <c r="G3942" s="27"/>
    </row>
    <row r="3943">
      <c r="A3943" s="21"/>
      <c r="B3943" s="21" t="s">
        <v>10113</v>
      </c>
      <c r="D3943" s="25">
        <v>0.0</v>
      </c>
      <c r="E3943" s="27"/>
      <c r="F3943" s="25">
        <v>0.0</v>
      </c>
      <c r="G3943" s="27"/>
    </row>
    <row r="3944">
      <c r="A3944" s="21"/>
      <c r="B3944" s="21" t="s">
        <v>10114</v>
      </c>
      <c r="D3944" s="25">
        <v>0.0</v>
      </c>
      <c r="E3944" s="27"/>
      <c r="F3944" s="25">
        <v>0.0</v>
      </c>
      <c r="G3944" s="27"/>
    </row>
    <row r="3945">
      <c r="A3945" s="21"/>
      <c r="B3945" s="21" t="s">
        <v>10115</v>
      </c>
      <c r="D3945" s="25">
        <v>0.0</v>
      </c>
      <c r="E3945" s="27"/>
      <c r="F3945" s="25">
        <v>3.52</v>
      </c>
      <c r="G3945" s="27"/>
    </row>
    <row r="3946">
      <c r="A3946" s="21"/>
      <c r="B3946" s="21" t="s">
        <v>10116</v>
      </c>
      <c r="D3946" s="25">
        <v>0.0</v>
      </c>
      <c r="E3946" s="27"/>
      <c r="F3946" s="25">
        <v>0.0</v>
      </c>
      <c r="G3946" s="27"/>
    </row>
    <row r="3947">
      <c r="A3947" s="21"/>
      <c r="B3947" s="21" t="s">
        <v>10117</v>
      </c>
      <c r="D3947" s="25">
        <v>0.0</v>
      </c>
      <c r="E3947" s="27"/>
      <c r="F3947" s="25">
        <v>0.0</v>
      </c>
      <c r="G3947" s="27"/>
    </row>
    <row r="3948">
      <c r="A3948" s="21"/>
      <c r="B3948" s="21" t="s">
        <v>10118</v>
      </c>
      <c r="D3948" s="25">
        <v>0.0</v>
      </c>
      <c r="E3948" s="27"/>
      <c r="F3948" s="25">
        <v>0.0</v>
      </c>
      <c r="G3948" s="27"/>
    </row>
    <row r="3949">
      <c r="A3949" s="21"/>
      <c r="B3949" s="21" t="s">
        <v>10119</v>
      </c>
      <c r="D3949" s="25">
        <v>0.0</v>
      </c>
      <c r="E3949" s="27"/>
      <c r="F3949" s="25">
        <v>0.0</v>
      </c>
      <c r="G3949" s="27"/>
    </row>
    <row r="3950">
      <c r="A3950" s="21"/>
      <c r="B3950" s="21" t="s">
        <v>10120</v>
      </c>
      <c r="D3950" s="25">
        <v>0.0</v>
      </c>
      <c r="E3950" s="27"/>
      <c r="F3950" s="25">
        <v>0.0</v>
      </c>
      <c r="G3950" s="27"/>
    </row>
    <row r="3951">
      <c r="A3951" s="21"/>
      <c r="B3951" s="21" t="s">
        <v>10121</v>
      </c>
      <c r="D3951" s="25">
        <v>0.0</v>
      </c>
      <c r="E3951" s="27"/>
      <c r="F3951" s="25">
        <v>0.0</v>
      </c>
      <c r="G3951" s="27"/>
    </row>
    <row r="3952">
      <c r="A3952" s="21"/>
      <c r="B3952" s="21" t="s">
        <v>10122</v>
      </c>
      <c r="D3952" s="25">
        <v>0.0</v>
      </c>
      <c r="E3952" s="27"/>
      <c r="F3952" s="25">
        <v>0.0</v>
      </c>
      <c r="G3952" s="27"/>
    </row>
    <row r="3953">
      <c r="A3953" s="21"/>
      <c r="B3953" s="21" t="s">
        <v>10123</v>
      </c>
      <c r="D3953" s="25">
        <v>0.0</v>
      </c>
      <c r="E3953" s="27"/>
      <c r="F3953" s="25">
        <v>0.0</v>
      </c>
      <c r="G3953" s="27"/>
    </row>
    <row r="3954">
      <c r="A3954" s="21"/>
      <c r="B3954" s="21" t="s">
        <v>10124</v>
      </c>
      <c r="D3954" s="25">
        <v>0.0</v>
      </c>
      <c r="E3954" s="27"/>
      <c r="F3954" s="25">
        <v>0.0</v>
      </c>
      <c r="G3954" s="27"/>
    </row>
    <row r="3955">
      <c r="A3955" s="21"/>
      <c r="B3955" s="21" t="s">
        <v>10125</v>
      </c>
      <c r="D3955" s="25">
        <v>0.0</v>
      </c>
      <c r="E3955" s="27"/>
      <c r="F3955" s="25">
        <v>0.0</v>
      </c>
      <c r="G3955" s="27"/>
    </row>
    <row r="3956">
      <c r="A3956" s="21"/>
      <c r="B3956" s="21" t="s">
        <v>10126</v>
      </c>
      <c r="D3956" s="25">
        <v>0.0</v>
      </c>
      <c r="E3956" s="27"/>
      <c r="F3956" s="25">
        <v>0.0</v>
      </c>
      <c r="G3956" s="27"/>
    </row>
    <row r="3957">
      <c r="A3957" s="21"/>
      <c r="B3957" s="21" t="s">
        <v>10127</v>
      </c>
      <c r="D3957" s="25">
        <v>0.0</v>
      </c>
      <c r="E3957" s="27"/>
      <c r="F3957" s="25">
        <v>0.0</v>
      </c>
      <c r="G3957" s="27"/>
    </row>
    <row r="3958">
      <c r="A3958" s="21"/>
      <c r="B3958" s="21" t="s">
        <v>10128</v>
      </c>
      <c r="D3958" s="25">
        <v>0.0</v>
      </c>
      <c r="E3958" s="27"/>
      <c r="F3958" s="25">
        <v>0.0</v>
      </c>
      <c r="G3958" s="27"/>
    </row>
    <row r="3959">
      <c r="A3959" s="21"/>
      <c r="B3959" s="21" t="s">
        <v>10129</v>
      </c>
      <c r="D3959" s="25">
        <v>0.0</v>
      </c>
      <c r="E3959" s="27"/>
      <c r="F3959" s="25">
        <v>0.0</v>
      </c>
      <c r="G3959" s="27"/>
    </row>
    <row r="3960">
      <c r="A3960" s="21"/>
      <c r="B3960" s="21" t="s">
        <v>10130</v>
      </c>
      <c r="D3960" s="25">
        <v>0.0</v>
      </c>
      <c r="E3960" s="27"/>
      <c r="F3960" s="25">
        <v>0.0</v>
      </c>
      <c r="G3960" s="27"/>
    </row>
    <row r="3961">
      <c r="A3961" s="21"/>
      <c r="B3961" s="21" t="s">
        <v>10131</v>
      </c>
      <c r="D3961" s="25">
        <v>0.0</v>
      </c>
      <c r="E3961" s="27"/>
      <c r="F3961" s="25">
        <v>0.0</v>
      </c>
      <c r="G3961" s="27"/>
    </row>
    <row r="3962">
      <c r="A3962" s="21"/>
      <c r="B3962" s="21" t="s">
        <v>10132</v>
      </c>
      <c r="D3962" s="25">
        <v>0.0</v>
      </c>
      <c r="E3962" s="27"/>
      <c r="F3962" s="25">
        <v>0.0</v>
      </c>
      <c r="G3962" s="27"/>
    </row>
    <row r="3963">
      <c r="A3963" s="21"/>
      <c r="B3963" s="21" t="s">
        <v>10133</v>
      </c>
      <c r="D3963" s="25">
        <v>0.0</v>
      </c>
      <c r="E3963" s="27"/>
      <c r="F3963" s="25">
        <v>0.0</v>
      </c>
      <c r="G3963" s="27"/>
    </row>
    <row r="3964">
      <c r="A3964" s="21"/>
      <c r="B3964" s="21" t="s">
        <v>10134</v>
      </c>
      <c r="D3964" s="25">
        <v>0.0</v>
      </c>
      <c r="E3964" s="27"/>
      <c r="F3964" s="25">
        <v>0.0</v>
      </c>
      <c r="G3964" s="27"/>
    </row>
    <row r="3965">
      <c r="A3965" s="21"/>
      <c r="B3965" s="21" t="s">
        <v>10135</v>
      </c>
      <c r="D3965" s="25">
        <v>0.0</v>
      </c>
      <c r="E3965" s="27"/>
      <c r="F3965" s="25">
        <v>0.0</v>
      </c>
      <c r="G3965" s="27"/>
    </row>
    <row r="3966">
      <c r="A3966" s="21"/>
      <c r="B3966" s="21" t="s">
        <v>10136</v>
      </c>
      <c r="D3966" s="25">
        <v>0.0</v>
      </c>
      <c r="E3966" s="27"/>
      <c r="F3966" s="25">
        <v>0.0</v>
      </c>
      <c r="G3966" s="27"/>
    </row>
    <row r="3967">
      <c r="A3967" s="21"/>
      <c r="B3967" s="21" t="s">
        <v>10137</v>
      </c>
      <c r="D3967" s="25">
        <v>0.0</v>
      </c>
      <c r="E3967" s="27"/>
      <c r="F3967" s="25">
        <v>0.0</v>
      </c>
      <c r="G3967" s="27"/>
    </row>
    <row r="3968">
      <c r="A3968" s="21"/>
      <c r="B3968" s="21" t="s">
        <v>10138</v>
      </c>
      <c r="D3968" s="25">
        <v>0.0</v>
      </c>
      <c r="E3968" s="27"/>
      <c r="F3968" s="25">
        <v>0.0</v>
      </c>
      <c r="G3968" s="27"/>
    </row>
    <row r="3969">
      <c r="A3969" s="21"/>
      <c r="B3969" s="21" t="s">
        <v>10139</v>
      </c>
      <c r="D3969" s="25">
        <v>0.0</v>
      </c>
      <c r="E3969" s="27"/>
      <c r="F3969" s="25">
        <v>0.0</v>
      </c>
      <c r="G3969" s="27"/>
    </row>
    <row r="3970">
      <c r="A3970" s="21"/>
      <c r="B3970" s="21" t="s">
        <v>10140</v>
      </c>
      <c r="D3970" s="25">
        <v>0.0</v>
      </c>
      <c r="E3970" s="27"/>
      <c r="F3970" s="25">
        <v>0.0</v>
      </c>
      <c r="G3970" s="27"/>
    </row>
    <row r="3971">
      <c r="A3971" s="21"/>
      <c r="B3971" s="21" t="s">
        <v>10141</v>
      </c>
      <c r="D3971" s="25">
        <v>0.0</v>
      </c>
      <c r="E3971" s="27"/>
      <c r="F3971" s="25">
        <v>0.0</v>
      </c>
      <c r="G3971" s="27"/>
    </row>
    <row r="3972">
      <c r="A3972" s="21"/>
      <c r="B3972" s="21" t="s">
        <v>10142</v>
      </c>
      <c r="D3972" s="25">
        <v>0.0</v>
      </c>
      <c r="E3972" s="27"/>
      <c r="F3972" s="25">
        <v>0.0</v>
      </c>
      <c r="G3972" s="27"/>
    </row>
    <row r="3973">
      <c r="A3973" s="21"/>
      <c r="B3973" s="21" t="s">
        <v>10143</v>
      </c>
      <c r="D3973" s="25">
        <v>0.0</v>
      </c>
      <c r="E3973" s="27"/>
      <c r="F3973" s="25">
        <v>0.0</v>
      </c>
      <c r="G3973" s="27"/>
    </row>
    <row r="3974">
      <c r="A3974" s="21"/>
      <c r="B3974" s="21" t="s">
        <v>10144</v>
      </c>
      <c r="D3974" s="25">
        <v>0.0</v>
      </c>
      <c r="E3974" s="27"/>
      <c r="F3974" s="25">
        <v>0.0</v>
      </c>
      <c r="G3974" s="27"/>
    </row>
    <row r="3975">
      <c r="A3975" s="21"/>
      <c r="B3975" s="21" t="s">
        <v>10145</v>
      </c>
      <c r="D3975" s="25">
        <v>0.0</v>
      </c>
      <c r="E3975" s="27"/>
      <c r="F3975" s="25">
        <v>0.0</v>
      </c>
      <c r="G3975" s="27"/>
    </row>
    <row r="3976">
      <c r="A3976" s="21"/>
      <c r="B3976" s="21" t="s">
        <v>10146</v>
      </c>
      <c r="D3976" s="25">
        <v>0.0</v>
      </c>
      <c r="E3976" s="27"/>
      <c r="F3976" s="25">
        <v>0.0</v>
      </c>
      <c r="G3976" s="27"/>
    </row>
    <row r="3977">
      <c r="A3977" s="21"/>
      <c r="B3977" s="21" t="s">
        <v>10147</v>
      </c>
      <c r="D3977" s="25">
        <v>0.0</v>
      </c>
      <c r="E3977" s="27"/>
      <c r="F3977" s="25">
        <v>0.0</v>
      </c>
      <c r="G3977" s="27"/>
    </row>
    <row r="3978">
      <c r="A3978" s="21"/>
      <c r="B3978" s="21" t="s">
        <v>10148</v>
      </c>
      <c r="D3978" s="25">
        <v>0.0</v>
      </c>
      <c r="E3978" s="27"/>
      <c r="F3978" s="25">
        <v>0.0</v>
      </c>
      <c r="G3978" s="27"/>
    </row>
    <row r="3979">
      <c r="A3979" s="21"/>
      <c r="B3979" s="21" t="s">
        <v>10149</v>
      </c>
      <c r="D3979" s="25">
        <v>0.0</v>
      </c>
      <c r="E3979" s="27"/>
      <c r="F3979" s="25">
        <v>0.0</v>
      </c>
      <c r="G3979" s="27"/>
    </row>
    <row r="3980">
      <c r="A3980" s="21"/>
      <c r="B3980" s="21" t="s">
        <v>10150</v>
      </c>
      <c r="D3980" s="25">
        <v>0.0</v>
      </c>
      <c r="E3980" s="27"/>
      <c r="F3980" s="25">
        <v>0.0</v>
      </c>
      <c r="G3980" s="27"/>
    </row>
    <row r="3981">
      <c r="A3981" s="21"/>
      <c r="B3981" s="21" t="s">
        <v>10151</v>
      </c>
      <c r="D3981" s="25">
        <v>0.0</v>
      </c>
      <c r="E3981" s="27"/>
      <c r="F3981" s="25">
        <v>0.0</v>
      </c>
      <c r="G3981" s="27"/>
    </row>
    <row r="3982">
      <c r="A3982" s="21"/>
      <c r="B3982" s="21" t="s">
        <v>10152</v>
      </c>
      <c r="D3982" s="25">
        <v>0.0</v>
      </c>
      <c r="E3982" s="27"/>
      <c r="F3982" s="25">
        <v>0.0</v>
      </c>
      <c r="G3982" s="27"/>
    </row>
    <row r="3983">
      <c r="A3983" s="21"/>
      <c r="B3983" s="21" t="s">
        <v>10153</v>
      </c>
      <c r="D3983" s="25">
        <v>0.0</v>
      </c>
      <c r="E3983" s="27"/>
      <c r="F3983" s="25">
        <v>0.0</v>
      </c>
      <c r="G3983" s="27"/>
    </row>
    <row r="3984">
      <c r="A3984" s="21"/>
      <c r="B3984" s="21" t="s">
        <v>10154</v>
      </c>
      <c r="D3984" s="25">
        <v>0.0</v>
      </c>
      <c r="E3984" s="27"/>
      <c r="F3984" s="25">
        <v>0.0</v>
      </c>
      <c r="G3984" s="27"/>
    </row>
    <row r="3985">
      <c r="A3985" s="21"/>
      <c r="B3985" s="21" t="s">
        <v>10155</v>
      </c>
      <c r="D3985" s="25">
        <v>0.0</v>
      </c>
      <c r="E3985" s="27"/>
      <c r="F3985" s="25">
        <v>0.0</v>
      </c>
      <c r="G3985" s="27"/>
    </row>
    <row r="3986">
      <c r="A3986" s="21"/>
      <c r="B3986" s="21" t="s">
        <v>10156</v>
      </c>
      <c r="D3986" s="25">
        <v>0.0</v>
      </c>
      <c r="E3986" s="27"/>
      <c r="F3986" s="25">
        <v>0.0</v>
      </c>
      <c r="G3986" s="27"/>
    </row>
    <row r="3987">
      <c r="A3987" s="21"/>
      <c r="B3987" s="21" t="s">
        <v>10157</v>
      </c>
      <c r="D3987" s="25">
        <v>0.0</v>
      </c>
      <c r="E3987" s="27"/>
      <c r="F3987" s="25">
        <v>0.0</v>
      </c>
      <c r="G3987" s="27"/>
    </row>
    <row r="3988">
      <c r="A3988" s="21"/>
      <c r="B3988" s="21" t="s">
        <v>10158</v>
      </c>
      <c r="D3988" s="25">
        <v>0.0</v>
      </c>
      <c r="E3988" s="27"/>
      <c r="F3988" s="25">
        <v>0.0</v>
      </c>
      <c r="G3988" s="27"/>
    </row>
    <row r="3989">
      <c r="A3989" s="21"/>
      <c r="B3989" s="21" t="s">
        <v>10159</v>
      </c>
      <c r="D3989" s="25">
        <v>0.0</v>
      </c>
      <c r="E3989" s="27"/>
      <c r="F3989" s="25">
        <v>0.0</v>
      </c>
      <c r="G3989" s="27"/>
    </row>
    <row r="3990">
      <c r="A3990" s="21"/>
      <c r="B3990" s="21" t="s">
        <v>10160</v>
      </c>
      <c r="D3990" s="25">
        <v>0.0</v>
      </c>
      <c r="E3990" s="27"/>
      <c r="F3990" s="25">
        <v>0.0</v>
      </c>
      <c r="G3990" s="27"/>
    </row>
    <row r="3991">
      <c r="A3991" s="21"/>
      <c r="B3991" s="21" t="s">
        <v>10161</v>
      </c>
      <c r="D3991" s="25">
        <v>0.0</v>
      </c>
      <c r="E3991" s="27"/>
      <c r="F3991" s="25">
        <v>0.0</v>
      </c>
      <c r="G3991" s="27"/>
    </row>
    <row r="3992">
      <c r="A3992" s="21"/>
      <c r="B3992" s="21" t="s">
        <v>10162</v>
      </c>
      <c r="D3992" s="25">
        <v>0.0</v>
      </c>
      <c r="E3992" s="27"/>
      <c r="F3992" s="25">
        <v>0.0</v>
      </c>
      <c r="G3992" s="27"/>
    </row>
    <row r="3993">
      <c r="A3993" s="21"/>
      <c r="B3993" s="21" t="s">
        <v>10163</v>
      </c>
      <c r="D3993" s="25">
        <v>0.0</v>
      </c>
      <c r="E3993" s="27"/>
      <c r="F3993" s="25">
        <v>0.0</v>
      </c>
      <c r="G3993" s="27"/>
    </row>
    <row r="3994">
      <c r="A3994" s="21"/>
      <c r="B3994" s="21" t="s">
        <v>10164</v>
      </c>
      <c r="D3994" s="25">
        <v>0.0</v>
      </c>
      <c r="E3994" s="27"/>
      <c r="F3994" s="25">
        <v>0.0</v>
      </c>
      <c r="G3994" s="27"/>
    </row>
    <row r="3995">
      <c r="A3995" s="21"/>
      <c r="B3995" s="21" t="s">
        <v>10165</v>
      </c>
      <c r="D3995" s="25">
        <v>0.0</v>
      </c>
      <c r="E3995" s="27"/>
      <c r="F3995" s="25">
        <v>0.0</v>
      </c>
      <c r="G3995" s="27"/>
    </row>
    <row r="3996">
      <c r="A3996" s="21"/>
      <c r="B3996" s="21" t="s">
        <v>10166</v>
      </c>
      <c r="D3996" s="25">
        <v>0.0</v>
      </c>
      <c r="E3996" s="27"/>
      <c r="F3996" s="25">
        <v>0.0</v>
      </c>
      <c r="G3996" s="27"/>
    </row>
    <row r="3997">
      <c r="A3997" s="21"/>
      <c r="B3997" s="21" t="s">
        <v>10167</v>
      </c>
      <c r="D3997" s="25">
        <v>0.0</v>
      </c>
      <c r="E3997" s="27"/>
      <c r="F3997" s="25">
        <v>0.0</v>
      </c>
      <c r="G3997" s="27"/>
    </row>
    <row r="3998">
      <c r="A3998" s="21"/>
      <c r="B3998" s="21" t="s">
        <v>10168</v>
      </c>
      <c r="D3998" s="25">
        <v>0.0</v>
      </c>
      <c r="E3998" s="27"/>
      <c r="F3998" s="25">
        <v>0.0</v>
      </c>
      <c r="G3998" s="27"/>
    </row>
    <row r="3999">
      <c r="A3999" s="21"/>
      <c r="B3999" s="21" t="s">
        <v>10169</v>
      </c>
      <c r="D3999" s="25">
        <v>0.0</v>
      </c>
      <c r="E3999" s="27"/>
      <c r="F3999" s="25">
        <v>0.0</v>
      </c>
      <c r="G3999" s="27"/>
    </row>
    <row r="4000">
      <c r="A4000" s="21"/>
      <c r="B4000" s="21" t="s">
        <v>6040</v>
      </c>
      <c r="D4000" s="25">
        <v>0.0</v>
      </c>
      <c r="E4000" s="27"/>
      <c r="F4000" s="25">
        <v>0.0</v>
      </c>
      <c r="G4000" s="27"/>
    </row>
    <row r="4001">
      <c r="A4001" s="21"/>
      <c r="B4001" s="21" t="s">
        <v>10170</v>
      </c>
      <c r="D4001" s="25">
        <v>0.0</v>
      </c>
      <c r="E4001" s="27"/>
      <c r="F4001" s="25">
        <v>0.0</v>
      </c>
      <c r="G4001" s="27"/>
    </row>
    <row r="4002">
      <c r="A4002" s="21"/>
      <c r="B4002" s="21" t="s">
        <v>10171</v>
      </c>
      <c r="D4002" s="25">
        <v>0.0</v>
      </c>
      <c r="E4002" s="27"/>
      <c r="F4002" s="25">
        <v>0.0</v>
      </c>
      <c r="G4002" s="27"/>
    </row>
    <row r="4003">
      <c r="A4003" s="21"/>
      <c r="B4003" s="21" t="s">
        <v>10172</v>
      </c>
      <c r="D4003" s="25">
        <v>0.0</v>
      </c>
      <c r="E4003" s="27"/>
      <c r="F4003" s="25">
        <v>0.0</v>
      </c>
      <c r="G4003" s="27"/>
    </row>
    <row r="4004">
      <c r="A4004" s="21"/>
      <c r="B4004" s="21" t="s">
        <v>10173</v>
      </c>
      <c r="D4004" s="25">
        <v>0.0</v>
      </c>
      <c r="E4004" s="27"/>
      <c r="F4004" s="25">
        <v>0.0</v>
      </c>
      <c r="G4004" s="27"/>
    </row>
    <row r="4005">
      <c r="A4005" s="21"/>
      <c r="B4005" s="21" t="s">
        <v>10174</v>
      </c>
      <c r="D4005" s="25">
        <v>0.0</v>
      </c>
      <c r="E4005" s="27"/>
      <c r="F4005" s="25">
        <v>0.0</v>
      </c>
      <c r="G4005" s="27"/>
    </row>
    <row r="4006">
      <c r="A4006" s="21"/>
      <c r="B4006" s="21" t="s">
        <v>10175</v>
      </c>
      <c r="D4006" s="25">
        <v>0.0</v>
      </c>
      <c r="E4006" s="27"/>
      <c r="F4006" s="25">
        <v>0.0</v>
      </c>
      <c r="G4006" s="27"/>
    </row>
    <row r="4007">
      <c r="A4007" s="21"/>
      <c r="B4007" s="21" t="s">
        <v>10176</v>
      </c>
      <c r="D4007" s="25">
        <v>0.0</v>
      </c>
      <c r="E4007" s="27"/>
      <c r="F4007" s="25">
        <v>0.0</v>
      </c>
      <c r="G4007" s="27"/>
    </row>
    <row r="4008">
      <c r="A4008" s="21"/>
      <c r="B4008" s="21" t="s">
        <v>10177</v>
      </c>
      <c r="D4008" s="25">
        <v>0.0</v>
      </c>
      <c r="E4008" s="27"/>
      <c r="F4008" s="25">
        <v>0.0</v>
      </c>
      <c r="G4008" s="27"/>
    </row>
    <row r="4009">
      <c r="A4009" s="21"/>
      <c r="B4009" s="21" t="s">
        <v>10178</v>
      </c>
      <c r="D4009" s="25">
        <v>0.0</v>
      </c>
      <c r="E4009" s="27"/>
      <c r="F4009" s="25">
        <v>3.2</v>
      </c>
      <c r="G4009" s="27"/>
    </row>
    <row r="4010">
      <c r="A4010" s="21"/>
      <c r="B4010" s="21" t="s">
        <v>10179</v>
      </c>
      <c r="D4010" s="25">
        <v>0.0</v>
      </c>
      <c r="E4010" s="27"/>
      <c r="F4010" s="25">
        <v>0.0</v>
      </c>
      <c r="G4010" s="27"/>
    </row>
    <row r="4011">
      <c r="A4011" s="21"/>
      <c r="B4011" s="21" t="s">
        <v>10180</v>
      </c>
      <c r="D4011" s="25">
        <v>0.0</v>
      </c>
      <c r="E4011" s="27"/>
      <c r="F4011" s="25">
        <v>0.0</v>
      </c>
      <c r="G4011" s="27"/>
    </row>
    <row r="4012">
      <c r="A4012" s="21"/>
      <c r="B4012" s="21" t="s">
        <v>10181</v>
      </c>
      <c r="D4012" s="25">
        <v>0.0</v>
      </c>
      <c r="E4012" s="27"/>
      <c r="F4012" s="25">
        <v>0.0</v>
      </c>
      <c r="G4012" s="27"/>
    </row>
    <row r="4013">
      <c r="A4013" s="21"/>
      <c r="B4013" s="21" t="s">
        <v>10182</v>
      </c>
      <c r="D4013" s="25">
        <v>0.0</v>
      </c>
      <c r="E4013" s="27"/>
      <c r="F4013" s="25">
        <v>0.0</v>
      </c>
      <c r="G4013" s="27"/>
    </row>
    <row r="4014">
      <c r="A4014" s="21"/>
      <c r="B4014" s="21" t="s">
        <v>10183</v>
      </c>
      <c r="D4014" s="25">
        <v>0.0</v>
      </c>
      <c r="E4014" s="27"/>
      <c r="F4014" s="25">
        <v>0.0</v>
      </c>
      <c r="G4014" s="27"/>
    </row>
    <row r="4015">
      <c r="A4015" s="21"/>
      <c r="B4015" s="21" t="s">
        <v>10184</v>
      </c>
      <c r="D4015" s="25">
        <v>0.0</v>
      </c>
      <c r="E4015" s="27"/>
      <c r="F4015" s="25">
        <v>0.0</v>
      </c>
      <c r="G4015" s="27"/>
    </row>
    <row r="4016">
      <c r="A4016" s="21"/>
      <c r="B4016" s="21" t="s">
        <v>10185</v>
      </c>
      <c r="D4016" s="25">
        <v>0.0</v>
      </c>
      <c r="E4016" s="27"/>
      <c r="F4016" s="25">
        <v>0.0</v>
      </c>
      <c r="G4016" s="27"/>
    </row>
    <row r="4017">
      <c r="A4017" s="21"/>
      <c r="B4017" s="21" t="s">
        <v>10186</v>
      </c>
      <c r="D4017" s="25">
        <v>0.0</v>
      </c>
      <c r="E4017" s="27"/>
      <c r="F4017" s="25">
        <v>0.0</v>
      </c>
      <c r="G4017" s="27"/>
    </row>
    <row r="4018">
      <c r="A4018" s="21"/>
      <c r="B4018" s="21" t="s">
        <v>10187</v>
      </c>
      <c r="D4018" s="25">
        <v>0.0</v>
      </c>
      <c r="E4018" s="27"/>
      <c r="F4018" s="25">
        <v>0.0</v>
      </c>
      <c r="G4018" s="27"/>
    </row>
    <row r="4019">
      <c r="A4019" s="21"/>
      <c r="B4019" s="21" t="s">
        <v>10188</v>
      </c>
      <c r="D4019" s="25">
        <v>0.0</v>
      </c>
      <c r="E4019" s="27"/>
      <c r="F4019" s="25">
        <v>2.93</v>
      </c>
      <c r="G4019" s="27"/>
    </row>
    <row r="4020">
      <c r="A4020" s="21"/>
      <c r="B4020" s="21" t="s">
        <v>10189</v>
      </c>
      <c r="D4020" s="25">
        <v>0.0</v>
      </c>
      <c r="E4020" s="27"/>
      <c r="F4020" s="25">
        <v>2.76</v>
      </c>
      <c r="G4020" s="27"/>
    </row>
    <row r="4021">
      <c r="A4021" s="21"/>
      <c r="B4021" s="21" t="s">
        <v>10190</v>
      </c>
      <c r="D4021" s="25">
        <v>0.0</v>
      </c>
      <c r="E4021" s="27"/>
      <c r="F4021" s="25">
        <v>0.0</v>
      </c>
      <c r="G4021" s="27"/>
    </row>
    <row r="4022">
      <c r="A4022" s="21"/>
      <c r="B4022" s="21" t="s">
        <v>10191</v>
      </c>
      <c r="D4022" s="25">
        <v>0.0</v>
      </c>
      <c r="E4022" s="27"/>
      <c r="F4022" s="25">
        <v>0.0</v>
      </c>
      <c r="G4022" s="27"/>
    </row>
    <row r="4023">
      <c r="A4023" s="21"/>
      <c r="B4023" s="21" t="s">
        <v>10192</v>
      </c>
      <c r="D4023" s="25">
        <v>0.0</v>
      </c>
      <c r="E4023" s="27"/>
      <c r="F4023" s="25">
        <v>0.0</v>
      </c>
      <c r="G4023" s="27"/>
    </row>
    <row r="4024">
      <c r="A4024" s="21"/>
      <c r="B4024" s="21" t="s">
        <v>10193</v>
      </c>
      <c r="D4024" s="25">
        <v>0.0</v>
      </c>
      <c r="E4024" s="27"/>
      <c r="F4024" s="25">
        <v>0.0</v>
      </c>
      <c r="G4024" s="27"/>
    </row>
    <row r="4025">
      <c r="A4025" s="21"/>
      <c r="B4025" s="21" t="s">
        <v>10194</v>
      </c>
      <c r="D4025" s="25">
        <v>0.0</v>
      </c>
      <c r="E4025" s="27"/>
      <c r="F4025" s="25">
        <v>0.0</v>
      </c>
      <c r="G4025" s="27"/>
    </row>
    <row r="4026">
      <c r="A4026" s="21"/>
      <c r="B4026" s="21" t="s">
        <v>10195</v>
      </c>
      <c r="D4026" s="25">
        <v>0.0</v>
      </c>
      <c r="E4026" s="27"/>
      <c r="F4026" s="25">
        <v>0.0</v>
      </c>
      <c r="G4026" s="27"/>
    </row>
    <row r="4027">
      <c r="A4027" s="21"/>
      <c r="B4027" s="21" t="s">
        <v>10196</v>
      </c>
      <c r="D4027" s="25">
        <v>0.0</v>
      </c>
      <c r="E4027" s="27"/>
      <c r="F4027" s="25">
        <v>0.0</v>
      </c>
      <c r="G4027" s="27"/>
    </row>
    <row r="4028">
      <c r="A4028" s="21"/>
      <c r="B4028" s="21" t="s">
        <v>10197</v>
      </c>
      <c r="D4028" s="25">
        <v>0.0</v>
      </c>
      <c r="E4028" s="27"/>
      <c r="F4028" s="25">
        <v>0.0</v>
      </c>
      <c r="G4028" s="27"/>
    </row>
    <row r="4029">
      <c r="A4029" s="21"/>
      <c r="B4029" s="21" t="s">
        <v>10198</v>
      </c>
      <c r="D4029" s="25">
        <v>0.0</v>
      </c>
      <c r="E4029" s="27"/>
      <c r="F4029" s="25">
        <v>0.0</v>
      </c>
      <c r="G4029" s="27"/>
    </row>
    <row r="4030">
      <c r="A4030" s="21"/>
      <c r="B4030" s="21" t="s">
        <v>10199</v>
      </c>
      <c r="D4030" s="25">
        <v>0.0</v>
      </c>
      <c r="E4030" s="27"/>
      <c r="F4030" s="25">
        <v>0.0</v>
      </c>
      <c r="G4030" s="27"/>
    </row>
    <row r="4031">
      <c r="A4031" s="21"/>
      <c r="B4031" s="21" t="s">
        <v>10200</v>
      </c>
      <c r="D4031" s="25">
        <v>0.0</v>
      </c>
      <c r="E4031" s="27"/>
      <c r="F4031" s="25">
        <v>0.0</v>
      </c>
      <c r="G4031" s="27"/>
    </row>
    <row r="4032">
      <c r="A4032" s="21"/>
      <c r="B4032" s="21" t="s">
        <v>10201</v>
      </c>
      <c r="D4032" s="25">
        <v>0.0</v>
      </c>
      <c r="E4032" s="27"/>
      <c r="F4032" s="25">
        <v>0.0</v>
      </c>
      <c r="G4032" s="27"/>
    </row>
    <row r="4033">
      <c r="A4033" s="21"/>
      <c r="B4033" s="21" t="s">
        <v>10202</v>
      </c>
      <c r="D4033" s="25">
        <v>0.0</v>
      </c>
      <c r="E4033" s="27"/>
      <c r="F4033" s="25">
        <v>0.0</v>
      </c>
      <c r="G4033" s="27"/>
    </row>
    <row r="4034">
      <c r="A4034" s="21"/>
      <c r="B4034" s="21" t="s">
        <v>10203</v>
      </c>
      <c r="D4034" s="25">
        <v>0.0</v>
      </c>
      <c r="E4034" s="27"/>
      <c r="F4034" s="25">
        <v>0.0</v>
      </c>
      <c r="G4034" s="27"/>
    </row>
    <row r="4035">
      <c r="A4035" s="21"/>
      <c r="B4035" s="21" t="s">
        <v>10204</v>
      </c>
      <c r="D4035" s="25">
        <v>0.0</v>
      </c>
      <c r="E4035" s="27"/>
      <c r="F4035" s="25">
        <v>0.0</v>
      </c>
      <c r="G4035" s="27"/>
    </row>
    <row r="4036">
      <c r="A4036" s="21"/>
      <c r="B4036" s="21" t="s">
        <v>10205</v>
      </c>
      <c r="D4036" s="25">
        <v>0.0</v>
      </c>
      <c r="E4036" s="27"/>
      <c r="F4036" s="25">
        <v>0.0</v>
      </c>
      <c r="G4036" s="27"/>
    </row>
    <row r="4037">
      <c r="A4037" s="21"/>
      <c r="B4037" s="21" t="s">
        <v>10206</v>
      </c>
      <c r="D4037" s="25">
        <v>0.0</v>
      </c>
      <c r="E4037" s="27"/>
      <c r="F4037" s="25">
        <v>0.0</v>
      </c>
      <c r="G4037" s="27"/>
    </row>
    <row r="4038">
      <c r="A4038" s="21"/>
      <c r="B4038" s="21" t="s">
        <v>10207</v>
      </c>
      <c r="D4038" s="25">
        <v>0.0</v>
      </c>
      <c r="E4038" s="27"/>
      <c r="F4038" s="25">
        <v>0.0</v>
      </c>
      <c r="G4038" s="27"/>
    </row>
    <row r="4039">
      <c r="A4039" s="21"/>
      <c r="B4039" s="21" t="s">
        <v>10208</v>
      </c>
      <c r="D4039" s="25">
        <v>0.0</v>
      </c>
      <c r="E4039" s="27"/>
      <c r="F4039" s="25">
        <v>0.0</v>
      </c>
      <c r="G4039" s="27"/>
    </row>
    <row r="4040">
      <c r="A4040" s="21"/>
      <c r="B4040" s="21" t="s">
        <v>10209</v>
      </c>
      <c r="D4040" s="25">
        <v>0.0</v>
      </c>
      <c r="E4040" s="27"/>
      <c r="F4040" s="25">
        <v>0.0</v>
      </c>
      <c r="G4040" s="27"/>
    </row>
    <row r="4041">
      <c r="A4041" s="21"/>
      <c r="B4041" s="21" t="s">
        <v>10210</v>
      </c>
      <c r="D4041" s="25">
        <v>0.0</v>
      </c>
      <c r="E4041" s="27"/>
      <c r="F4041" s="25">
        <v>0.0</v>
      </c>
      <c r="G4041" s="27"/>
    </row>
    <row r="4042">
      <c r="A4042" s="21"/>
      <c r="B4042" s="21" t="s">
        <v>10211</v>
      </c>
      <c r="D4042" s="25">
        <v>0.0</v>
      </c>
      <c r="E4042" s="27"/>
      <c r="F4042" s="25">
        <v>0.0</v>
      </c>
      <c r="G4042" s="27"/>
    </row>
    <row r="4043">
      <c r="A4043" s="21"/>
      <c r="B4043" s="21" t="s">
        <v>10212</v>
      </c>
      <c r="D4043" s="25">
        <v>0.0</v>
      </c>
      <c r="E4043" s="27"/>
      <c r="F4043" s="25">
        <v>0.0</v>
      </c>
      <c r="G4043" s="27"/>
    </row>
    <row r="4044">
      <c r="A4044" s="21"/>
      <c r="B4044" s="21" t="s">
        <v>10213</v>
      </c>
      <c r="D4044" s="25">
        <v>0.0</v>
      </c>
      <c r="E4044" s="27"/>
      <c r="F4044" s="25">
        <v>0.0</v>
      </c>
      <c r="G4044" s="27"/>
    </row>
    <row r="4045">
      <c r="A4045" s="21"/>
      <c r="B4045" s="21" t="s">
        <v>10214</v>
      </c>
      <c r="D4045" s="25">
        <v>0.0</v>
      </c>
      <c r="E4045" s="27"/>
      <c r="F4045" s="25">
        <v>0.0</v>
      </c>
      <c r="G4045" s="27"/>
    </row>
    <row r="4046">
      <c r="A4046" s="21"/>
      <c r="B4046" s="21" t="s">
        <v>10215</v>
      </c>
      <c r="D4046" s="25">
        <v>0.0</v>
      </c>
      <c r="E4046" s="27"/>
      <c r="F4046" s="25">
        <v>0.0</v>
      </c>
      <c r="G4046" s="27"/>
    </row>
    <row r="4047">
      <c r="A4047" s="21"/>
      <c r="B4047" s="21" t="s">
        <v>10216</v>
      </c>
      <c r="D4047" s="25">
        <v>0.0</v>
      </c>
      <c r="E4047" s="27"/>
      <c r="F4047" s="25">
        <v>0.0</v>
      </c>
      <c r="G4047" s="27"/>
    </row>
    <row r="4048">
      <c r="A4048" s="21"/>
      <c r="B4048" s="21" t="s">
        <v>10217</v>
      </c>
      <c r="D4048" s="25">
        <v>0.0</v>
      </c>
      <c r="E4048" s="27"/>
      <c r="F4048" s="25">
        <v>0.0</v>
      </c>
      <c r="G4048" s="27"/>
    </row>
    <row r="4049">
      <c r="A4049" s="21"/>
      <c r="B4049" s="21" t="s">
        <v>10218</v>
      </c>
      <c r="D4049" s="25">
        <v>0.0</v>
      </c>
      <c r="E4049" s="27"/>
      <c r="F4049" s="25">
        <v>0.0</v>
      </c>
      <c r="G4049" s="27"/>
    </row>
    <row r="4050">
      <c r="A4050" s="21"/>
      <c r="B4050" s="21" t="s">
        <v>10219</v>
      </c>
      <c r="D4050" s="25">
        <v>0.0</v>
      </c>
      <c r="E4050" s="27"/>
      <c r="F4050" s="25">
        <v>0.0</v>
      </c>
      <c r="G4050" s="27"/>
    </row>
    <row r="4051">
      <c r="A4051" s="21"/>
      <c r="B4051" s="21" t="s">
        <v>10220</v>
      </c>
      <c r="D4051" s="25">
        <v>0.0</v>
      </c>
      <c r="E4051" s="27"/>
      <c r="F4051" s="25">
        <v>0.0</v>
      </c>
      <c r="G4051" s="27"/>
    </row>
    <row r="4052">
      <c r="A4052" s="21"/>
      <c r="B4052" s="21" t="s">
        <v>10221</v>
      </c>
      <c r="D4052" s="25">
        <v>0.0</v>
      </c>
      <c r="E4052" s="27"/>
      <c r="F4052" s="25">
        <v>0.0</v>
      </c>
      <c r="G4052" s="27"/>
    </row>
    <row r="4053">
      <c r="A4053" s="21"/>
      <c r="B4053" s="21" t="s">
        <v>10222</v>
      </c>
      <c r="D4053" s="25">
        <v>0.0</v>
      </c>
      <c r="E4053" s="27"/>
      <c r="F4053" s="25">
        <v>0.0</v>
      </c>
      <c r="G4053" s="27"/>
    </row>
    <row r="4054">
      <c r="A4054" s="21"/>
      <c r="B4054" s="21" t="s">
        <v>10223</v>
      </c>
      <c r="D4054" s="25">
        <v>0.0</v>
      </c>
      <c r="E4054" s="27"/>
      <c r="F4054" s="25">
        <v>0.0</v>
      </c>
      <c r="G4054" s="27"/>
    </row>
    <row r="4055">
      <c r="A4055" s="21"/>
      <c r="B4055" s="21" t="s">
        <v>10224</v>
      </c>
      <c r="D4055" s="25">
        <v>0.0</v>
      </c>
      <c r="E4055" s="27"/>
      <c r="F4055" s="25">
        <v>0.0</v>
      </c>
      <c r="G4055" s="27"/>
    </row>
    <row r="4056">
      <c r="A4056" s="21"/>
      <c r="B4056" s="21" t="s">
        <v>10225</v>
      </c>
      <c r="D4056" s="25">
        <v>0.0</v>
      </c>
      <c r="E4056" s="27"/>
      <c r="F4056" s="25">
        <v>0.0</v>
      </c>
      <c r="G4056" s="27"/>
    </row>
    <row r="4057">
      <c r="A4057" s="21"/>
      <c r="B4057" s="21" t="s">
        <v>10226</v>
      </c>
      <c r="D4057" s="25">
        <v>0.0</v>
      </c>
      <c r="E4057" s="27"/>
      <c r="F4057" s="25">
        <v>0.0</v>
      </c>
      <c r="G4057" s="27"/>
    </row>
    <row r="4058">
      <c r="A4058" s="21"/>
      <c r="B4058" s="21" t="s">
        <v>10227</v>
      </c>
      <c r="D4058" s="25">
        <v>0.0</v>
      </c>
      <c r="E4058" s="27"/>
      <c r="F4058" s="25">
        <v>0.0</v>
      </c>
      <c r="G4058" s="27"/>
    </row>
    <row r="4059">
      <c r="A4059" s="21"/>
      <c r="B4059" s="21" t="s">
        <v>10228</v>
      </c>
      <c r="D4059" s="25">
        <v>0.0</v>
      </c>
      <c r="E4059" s="27"/>
      <c r="F4059" s="25">
        <v>0.0</v>
      </c>
      <c r="G4059" s="27"/>
    </row>
    <row r="4060">
      <c r="A4060" s="21"/>
      <c r="B4060" s="21" t="s">
        <v>10229</v>
      </c>
      <c r="D4060" s="25">
        <v>0.0</v>
      </c>
      <c r="E4060" s="27"/>
      <c r="F4060" s="25">
        <v>0.0</v>
      </c>
      <c r="G4060" s="27"/>
    </row>
    <row r="4061">
      <c r="A4061" s="21"/>
      <c r="B4061" s="21" t="s">
        <v>10230</v>
      </c>
      <c r="D4061" s="25">
        <v>0.0</v>
      </c>
      <c r="E4061" s="27"/>
      <c r="F4061" s="25">
        <v>0.0</v>
      </c>
      <c r="G4061" s="27"/>
    </row>
    <row r="4062">
      <c r="A4062" s="21"/>
      <c r="B4062" s="21" t="s">
        <v>10231</v>
      </c>
      <c r="D4062" s="25">
        <v>0.0</v>
      </c>
      <c r="E4062" s="27"/>
      <c r="F4062" s="25">
        <v>0.0</v>
      </c>
      <c r="G4062" s="27"/>
    </row>
    <row r="4063">
      <c r="A4063" s="21"/>
      <c r="B4063" s="21" t="s">
        <v>10232</v>
      </c>
      <c r="D4063" s="25">
        <v>0.0</v>
      </c>
      <c r="E4063" s="27"/>
      <c r="F4063" s="25">
        <v>0.0</v>
      </c>
      <c r="G4063" s="27"/>
    </row>
    <row r="4064">
      <c r="A4064" s="21"/>
      <c r="B4064" s="21" t="s">
        <v>10233</v>
      </c>
      <c r="D4064" s="25">
        <v>0.0</v>
      </c>
      <c r="E4064" s="27"/>
      <c r="F4064" s="25">
        <v>0.0</v>
      </c>
      <c r="G4064" s="27"/>
    </row>
    <row r="4065">
      <c r="A4065" s="21"/>
      <c r="B4065" s="21" t="s">
        <v>10234</v>
      </c>
      <c r="D4065" s="25">
        <v>0.0</v>
      </c>
      <c r="E4065" s="27"/>
      <c r="F4065" s="25">
        <v>0.0</v>
      </c>
      <c r="G4065" s="27"/>
    </row>
    <row r="4066">
      <c r="A4066" s="21"/>
      <c r="B4066" s="21" t="s">
        <v>10235</v>
      </c>
      <c r="D4066" s="25">
        <v>0.0</v>
      </c>
      <c r="E4066" s="27"/>
      <c r="F4066" s="25">
        <v>0.0</v>
      </c>
      <c r="G4066" s="27"/>
    </row>
    <row r="4067">
      <c r="A4067" s="21"/>
      <c r="B4067" s="21" t="s">
        <v>10236</v>
      </c>
      <c r="D4067" s="25">
        <v>0.0</v>
      </c>
      <c r="E4067" s="27"/>
      <c r="F4067" s="25">
        <v>0.0</v>
      </c>
      <c r="G4067" s="27"/>
    </row>
    <row r="4068">
      <c r="A4068" s="21"/>
      <c r="B4068" s="21" t="s">
        <v>10237</v>
      </c>
      <c r="D4068" s="25">
        <v>0.0</v>
      </c>
      <c r="E4068" s="27"/>
      <c r="F4068" s="25">
        <v>0.0</v>
      </c>
      <c r="G4068" s="27"/>
    </row>
    <row r="4069">
      <c r="A4069" s="21"/>
      <c r="B4069" s="21" t="s">
        <v>10238</v>
      </c>
      <c r="D4069" s="25">
        <v>0.0</v>
      </c>
      <c r="E4069" s="27"/>
      <c r="F4069" s="25">
        <v>0.0</v>
      </c>
      <c r="G4069" s="27"/>
    </row>
    <row r="4070">
      <c r="A4070" s="21"/>
      <c r="B4070" s="21" t="s">
        <v>10239</v>
      </c>
      <c r="D4070" s="25">
        <v>0.0</v>
      </c>
      <c r="E4070" s="27"/>
      <c r="F4070" s="25">
        <v>0.0</v>
      </c>
      <c r="G4070" s="27"/>
    </row>
    <row r="4071">
      <c r="A4071" s="21"/>
      <c r="B4071" s="21" t="s">
        <v>10240</v>
      </c>
      <c r="D4071" s="25">
        <v>0.0</v>
      </c>
      <c r="E4071" s="27"/>
      <c r="F4071" s="25">
        <v>0.0</v>
      </c>
      <c r="G4071" s="27"/>
    </row>
    <row r="4072">
      <c r="A4072" s="21"/>
      <c r="B4072" s="21" t="s">
        <v>10241</v>
      </c>
      <c r="D4072" s="25">
        <v>0.0</v>
      </c>
      <c r="E4072" s="27"/>
      <c r="F4072" s="25">
        <v>0.0</v>
      </c>
      <c r="G4072" s="27"/>
    </row>
    <row r="4073">
      <c r="A4073" s="21"/>
      <c r="B4073" s="21" t="s">
        <v>10242</v>
      </c>
      <c r="D4073" s="25">
        <v>0.0</v>
      </c>
      <c r="E4073" s="27"/>
      <c r="F4073" s="25">
        <v>0.0</v>
      </c>
      <c r="G4073" s="27"/>
    </row>
    <row r="4074">
      <c r="A4074" s="21"/>
      <c r="B4074" s="21" t="s">
        <v>10243</v>
      </c>
      <c r="D4074" s="25">
        <v>0.0</v>
      </c>
      <c r="E4074" s="27"/>
      <c r="F4074" s="25">
        <v>0.0</v>
      </c>
      <c r="G4074" s="27"/>
    </row>
    <row r="4075">
      <c r="A4075" s="21"/>
      <c r="B4075" s="21" t="s">
        <v>10244</v>
      </c>
      <c r="D4075" s="25">
        <v>0.0</v>
      </c>
      <c r="E4075" s="27"/>
      <c r="F4075" s="25">
        <v>0.0</v>
      </c>
      <c r="G4075" s="27"/>
    </row>
    <row r="4076">
      <c r="A4076" s="21"/>
      <c r="B4076" s="21" t="s">
        <v>10245</v>
      </c>
      <c r="D4076" s="25">
        <v>0.0</v>
      </c>
      <c r="E4076" s="27"/>
      <c r="F4076" s="25">
        <v>0.0</v>
      </c>
      <c r="G4076" s="27"/>
    </row>
    <row r="4077">
      <c r="A4077" s="21"/>
      <c r="B4077" s="21" t="s">
        <v>10246</v>
      </c>
      <c r="D4077" s="25">
        <v>0.0</v>
      </c>
      <c r="E4077" s="27"/>
      <c r="F4077" s="25">
        <v>0.0</v>
      </c>
      <c r="G4077" s="27"/>
    </row>
    <row r="4078">
      <c r="A4078" s="21"/>
      <c r="B4078" s="21" t="s">
        <v>10247</v>
      </c>
      <c r="D4078" s="25">
        <v>0.0</v>
      </c>
      <c r="E4078" s="27"/>
      <c r="F4078" s="25">
        <v>0.0</v>
      </c>
      <c r="G4078" s="27"/>
    </row>
    <row r="4079">
      <c r="A4079" s="21"/>
      <c r="B4079" s="21" t="s">
        <v>10248</v>
      </c>
      <c r="D4079" s="25">
        <v>0.0</v>
      </c>
      <c r="E4079" s="27"/>
      <c r="F4079" s="25">
        <v>0.0</v>
      </c>
      <c r="G4079" s="27"/>
    </row>
    <row r="4080">
      <c r="A4080" s="21"/>
      <c r="B4080" s="21" t="s">
        <v>10249</v>
      </c>
      <c r="D4080" s="25">
        <v>0.0</v>
      </c>
      <c r="E4080" s="27"/>
      <c r="F4080" s="25">
        <v>0.0</v>
      </c>
      <c r="G4080" s="27"/>
    </row>
    <row r="4081">
      <c r="A4081" s="21"/>
      <c r="B4081" s="21" t="s">
        <v>10250</v>
      </c>
      <c r="D4081" s="25">
        <v>0.0</v>
      </c>
      <c r="E4081" s="27"/>
      <c r="F4081" s="25">
        <v>0.0</v>
      </c>
      <c r="G4081" s="27"/>
    </row>
    <row r="4082">
      <c r="A4082" s="21"/>
      <c r="B4082" s="21" t="s">
        <v>10251</v>
      </c>
      <c r="D4082" s="25">
        <v>0.0</v>
      </c>
      <c r="E4082" s="27"/>
      <c r="F4082" s="25">
        <v>0.0</v>
      </c>
      <c r="G4082" s="27"/>
    </row>
    <row r="4083">
      <c r="A4083" s="21"/>
      <c r="B4083" s="21" t="s">
        <v>10252</v>
      </c>
      <c r="D4083" s="25">
        <v>0.0</v>
      </c>
      <c r="E4083" s="27"/>
      <c r="F4083" s="25">
        <v>0.0</v>
      </c>
      <c r="G4083" s="27"/>
    </row>
    <row r="4084">
      <c r="A4084" s="21"/>
      <c r="B4084" s="21" t="s">
        <v>10253</v>
      </c>
      <c r="D4084" s="25">
        <v>0.0</v>
      </c>
      <c r="E4084" s="27"/>
      <c r="F4084" s="25">
        <v>0.0</v>
      </c>
      <c r="G4084" s="27"/>
    </row>
    <row r="4085">
      <c r="A4085" s="21"/>
      <c r="B4085" s="21" t="s">
        <v>10254</v>
      </c>
      <c r="D4085" s="25">
        <v>0.0</v>
      </c>
      <c r="E4085" s="27"/>
      <c r="F4085" s="25">
        <v>0.0</v>
      </c>
      <c r="G4085" s="27"/>
    </row>
    <row r="4086">
      <c r="A4086" s="21"/>
      <c r="B4086" s="21" t="s">
        <v>10255</v>
      </c>
      <c r="D4086" s="25">
        <v>0.0</v>
      </c>
      <c r="E4086" s="27"/>
      <c r="F4086" s="25">
        <v>0.0</v>
      </c>
      <c r="G4086" s="27"/>
    </row>
    <row r="4087">
      <c r="A4087" s="21"/>
      <c r="B4087" s="21" t="s">
        <v>10256</v>
      </c>
      <c r="D4087" s="25">
        <v>0.0</v>
      </c>
      <c r="E4087" s="27"/>
      <c r="F4087" s="25">
        <v>0.0</v>
      </c>
      <c r="G4087" s="27"/>
    </row>
    <row r="4088">
      <c r="A4088" s="21"/>
      <c r="B4088" s="21" t="s">
        <v>10257</v>
      </c>
      <c r="D4088" s="25">
        <v>0.0</v>
      </c>
      <c r="E4088" s="27"/>
      <c r="F4088" s="25">
        <v>0.0</v>
      </c>
      <c r="G4088" s="27"/>
    </row>
    <row r="4089">
      <c r="A4089" s="21"/>
      <c r="B4089" s="21" t="s">
        <v>10258</v>
      </c>
      <c r="D4089" s="25">
        <v>0.0</v>
      </c>
      <c r="E4089" s="27"/>
      <c r="F4089" s="25">
        <v>0.0</v>
      </c>
      <c r="G4089" s="27"/>
    </row>
    <row r="4090">
      <c r="A4090" s="21"/>
      <c r="B4090" s="21" t="s">
        <v>10259</v>
      </c>
      <c r="D4090" s="25">
        <v>0.0</v>
      </c>
      <c r="E4090" s="27"/>
      <c r="F4090" s="25">
        <v>0.0</v>
      </c>
      <c r="G4090" s="27"/>
    </row>
    <row r="4091">
      <c r="A4091" s="21"/>
      <c r="B4091" s="21" t="s">
        <v>10260</v>
      </c>
      <c r="D4091" s="25">
        <v>0.0</v>
      </c>
      <c r="E4091" s="27"/>
      <c r="F4091" s="25">
        <v>0.0</v>
      </c>
      <c r="G4091" s="27"/>
    </row>
    <row r="4092">
      <c r="A4092" s="21"/>
      <c r="B4092" s="21" t="s">
        <v>10261</v>
      </c>
      <c r="D4092" s="25">
        <v>0.0</v>
      </c>
      <c r="E4092" s="27"/>
      <c r="F4092" s="25">
        <v>0.0</v>
      </c>
      <c r="G4092" s="27"/>
    </row>
    <row r="4093">
      <c r="A4093" s="21"/>
      <c r="B4093" s="21" t="s">
        <v>10262</v>
      </c>
      <c r="D4093" s="25">
        <v>0.0</v>
      </c>
      <c r="E4093" s="27"/>
      <c r="F4093" s="25">
        <v>0.0</v>
      </c>
      <c r="G4093" s="27"/>
    </row>
    <row r="4094">
      <c r="A4094" s="21"/>
      <c r="B4094" s="21" t="s">
        <v>10263</v>
      </c>
      <c r="D4094" s="25">
        <v>0.0</v>
      </c>
      <c r="E4094" s="27"/>
      <c r="F4094" s="25">
        <v>0.0</v>
      </c>
      <c r="G4094" s="27"/>
    </row>
    <row r="4095">
      <c r="A4095" s="21"/>
      <c r="B4095" s="21" t="s">
        <v>10264</v>
      </c>
      <c r="D4095" s="25">
        <v>0.0</v>
      </c>
      <c r="E4095" s="27"/>
      <c r="F4095" s="25">
        <v>0.0</v>
      </c>
      <c r="G4095" s="27"/>
    </row>
    <row r="4096">
      <c r="A4096" s="21"/>
      <c r="B4096" s="21" t="s">
        <v>10265</v>
      </c>
      <c r="D4096" s="25">
        <v>0.0</v>
      </c>
      <c r="E4096" s="27"/>
      <c r="F4096" s="25">
        <v>0.0</v>
      </c>
      <c r="G4096" s="27"/>
    </row>
    <row r="4097">
      <c r="A4097" s="21"/>
      <c r="B4097" s="21" t="s">
        <v>10266</v>
      </c>
      <c r="D4097" s="25">
        <v>0.0</v>
      </c>
      <c r="E4097" s="27"/>
      <c r="F4097" s="25">
        <v>0.0</v>
      </c>
      <c r="G4097" s="27"/>
    </row>
    <row r="4098">
      <c r="A4098" s="21"/>
      <c r="B4098" s="21" t="s">
        <v>10267</v>
      </c>
      <c r="D4098" s="25">
        <v>0.0</v>
      </c>
      <c r="E4098" s="27"/>
      <c r="F4098" s="25">
        <v>0.0</v>
      </c>
      <c r="G4098" s="27"/>
    </row>
    <row r="4099">
      <c r="A4099" s="21"/>
      <c r="B4099" s="21" t="s">
        <v>10268</v>
      </c>
      <c r="D4099" s="25">
        <v>0.0</v>
      </c>
      <c r="E4099" s="27"/>
      <c r="F4099" s="25">
        <v>0.0</v>
      </c>
      <c r="G4099" s="27"/>
    </row>
    <row r="4100">
      <c r="A4100" s="21"/>
      <c r="B4100" s="21" t="s">
        <v>10269</v>
      </c>
      <c r="D4100" s="25">
        <v>0.0</v>
      </c>
      <c r="E4100" s="27"/>
      <c r="F4100" s="25">
        <v>0.0</v>
      </c>
      <c r="G4100" s="27"/>
    </row>
    <row r="4101">
      <c r="A4101" s="21"/>
      <c r="B4101" s="21" t="s">
        <v>10270</v>
      </c>
      <c r="D4101" s="25">
        <v>0.0</v>
      </c>
      <c r="E4101" s="27"/>
      <c r="F4101" s="25">
        <v>0.0</v>
      </c>
      <c r="G4101" s="27"/>
    </row>
    <row r="4102">
      <c r="A4102" s="21"/>
      <c r="B4102" s="21" t="s">
        <v>10271</v>
      </c>
      <c r="D4102" s="25">
        <v>0.0</v>
      </c>
      <c r="E4102" s="27"/>
      <c r="F4102" s="25">
        <v>0.0</v>
      </c>
      <c r="G4102" s="27"/>
    </row>
    <row r="4103">
      <c r="A4103" s="21"/>
      <c r="B4103" s="21" t="s">
        <v>10272</v>
      </c>
      <c r="D4103" s="25">
        <v>0.0</v>
      </c>
      <c r="E4103" s="27"/>
      <c r="F4103" s="25">
        <v>0.0</v>
      </c>
      <c r="G4103" s="27"/>
    </row>
    <row r="4104">
      <c r="A4104" s="21"/>
      <c r="B4104" s="21" t="s">
        <v>10273</v>
      </c>
      <c r="D4104" s="25">
        <v>0.0</v>
      </c>
      <c r="E4104" s="27"/>
      <c r="F4104" s="25">
        <v>0.0</v>
      </c>
      <c r="G4104" s="27"/>
    </row>
    <row r="4105">
      <c r="A4105" s="21"/>
      <c r="B4105" s="21" t="s">
        <v>10274</v>
      </c>
      <c r="D4105" s="25">
        <v>0.0</v>
      </c>
      <c r="E4105" s="27"/>
      <c r="F4105" s="25">
        <v>0.0</v>
      </c>
      <c r="G4105" s="27"/>
    </row>
    <row r="4106">
      <c r="A4106" s="21"/>
      <c r="B4106" s="21" t="s">
        <v>10275</v>
      </c>
      <c r="D4106" s="25">
        <v>0.0</v>
      </c>
      <c r="E4106" s="27"/>
      <c r="F4106" s="25">
        <v>0.0</v>
      </c>
      <c r="G4106" s="27"/>
    </row>
    <row r="4107">
      <c r="A4107" s="21"/>
      <c r="B4107" s="21" t="s">
        <v>10276</v>
      </c>
      <c r="D4107" s="25">
        <v>0.0</v>
      </c>
      <c r="E4107" s="27"/>
      <c r="F4107" s="25">
        <v>0.0</v>
      </c>
      <c r="G4107" s="27"/>
    </row>
    <row r="4108">
      <c r="A4108" s="21"/>
      <c r="B4108" s="21" t="s">
        <v>10277</v>
      </c>
      <c r="D4108" s="25">
        <v>0.0</v>
      </c>
      <c r="E4108" s="27"/>
      <c r="F4108" s="25">
        <v>0.0</v>
      </c>
      <c r="G4108" s="27"/>
    </row>
    <row r="4109">
      <c r="A4109" s="21"/>
      <c r="B4109" s="21" t="s">
        <v>10278</v>
      </c>
      <c r="D4109" s="25">
        <v>0.0</v>
      </c>
      <c r="E4109" s="27"/>
      <c r="F4109" s="25">
        <v>0.0</v>
      </c>
      <c r="G4109" s="27"/>
    </row>
    <row r="4110">
      <c r="A4110" s="21"/>
      <c r="B4110" s="21" t="s">
        <v>10279</v>
      </c>
      <c r="D4110" s="25">
        <v>0.0</v>
      </c>
      <c r="E4110" s="27"/>
      <c r="F4110" s="25">
        <v>0.0</v>
      </c>
      <c r="G4110" s="27"/>
    </row>
    <row r="4111">
      <c r="A4111" s="21"/>
      <c r="B4111" s="21" t="s">
        <v>10280</v>
      </c>
      <c r="D4111" s="25">
        <v>0.0</v>
      </c>
      <c r="E4111" s="27"/>
      <c r="F4111" s="25">
        <v>0.0</v>
      </c>
      <c r="G4111" s="27"/>
    </row>
    <row r="4112">
      <c r="A4112" s="21"/>
      <c r="B4112" s="21" t="s">
        <v>10281</v>
      </c>
      <c r="D4112" s="25">
        <v>0.0</v>
      </c>
      <c r="E4112" s="27"/>
      <c r="F4112" s="25">
        <v>0.0</v>
      </c>
      <c r="G4112" s="27"/>
    </row>
    <row r="4113">
      <c r="A4113" s="21"/>
      <c r="B4113" s="21" t="s">
        <v>10282</v>
      </c>
      <c r="D4113" s="25">
        <v>0.0</v>
      </c>
      <c r="E4113" s="27"/>
      <c r="F4113" s="25">
        <v>0.0</v>
      </c>
      <c r="G4113" s="27"/>
    </row>
    <row r="4114">
      <c r="A4114" s="21"/>
      <c r="B4114" s="21" t="s">
        <v>10283</v>
      </c>
      <c r="D4114" s="25">
        <v>0.0</v>
      </c>
      <c r="E4114" s="27"/>
      <c r="F4114" s="25">
        <v>0.0</v>
      </c>
      <c r="G4114" s="27"/>
    </row>
    <row r="4115">
      <c r="A4115" s="21"/>
      <c r="B4115" s="21" t="s">
        <v>10284</v>
      </c>
      <c r="D4115" s="25">
        <v>0.0</v>
      </c>
      <c r="E4115" s="27"/>
      <c r="F4115" s="25">
        <v>0.0</v>
      </c>
      <c r="G4115" s="27"/>
    </row>
    <row r="4116">
      <c r="A4116" s="21"/>
      <c r="B4116" s="21" t="s">
        <v>10285</v>
      </c>
      <c r="D4116" s="25">
        <v>0.0</v>
      </c>
      <c r="E4116" s="27"/>
      <c r="F4116" s="25">
        <v>0.0</v>
      </c>
      <c r="G4116" s="27"/>
    </row>
    <row r="4117">
      <c r="A4117" s="21"/>
      <c r="B4117" s="21" t="s">
        <v>10286</v>
      </c>
      <c r="D4117" s="25">
        <v>0.0</v>
      </c>
      <c r="E4117" s="27"/>
      <c r="F4117" s="25">
        <v>0.0</v>
      </c>
      <c r="G4117" s="27"/>
    </row>
    <row r="4118">
      <c r="A4118" s="21"/>
      <c r="B4118" s="21" t="s">
        <v>10287</v>
      </c>
      <c r="D4118" s="25">
        <v>0.0</v>
      </c>
      <c r="E4118" s="27"/>
      <c r="F4118" s="25">
        <v>0.0</v>
      </c>
      <c r="G4118" s="27"/>
    </row>
    <row r="4119">
      <c r="A4119" s="21"/>
      <c r="B4119" s="21" t="s">
        <v>10288</v>
      </c>
      <c r="D4119" s="25">
        <v>0.0</v>
      </c>
      <c r="E4119" s="27"/>
      <c r="F4119" s="25">
        <v>0.0</v>
      </c>
      <c r="G4119" s="27"/>
    </row>
    <row r="4120">
      <c r="A4120" s="21"/>
      <c r="B4120" s="21" t="s">
        <v>10289</v>
      </c>
      <c r="D4120" s="25">
        <v>0.0</v>
      </c>
      <c r="E4120" s="27"/>
      <c r="F4120" s="25">
        <v>0.0</v>
      </c>
      <c r="G4120" s="27"/>
    </row>
    <row r="4121">
      <c r="A4121" s="21"/>
      <c r="B4121" s="21" t="s">
        <v>10290</v>
      </c>
      <c r="D4121" s="25">
        <v>0.0</v>
      </c>
      <c r="E4121" s="27"/>
      <c r="F4121" s="25">
        <v>0.0</v>
      </c>
      <c r="G4121" s="27"/>
    </row>
    <row r="4122">
      <c r="A4122" s="21"/>
      <c r="B4122" s="21" t="s">
        <v>45</v>
      </c>
      <c r="D4122" s="25">
        <v>0.0</v>
      </c>
      <c r="E4122" s="27"/>
      <c r="F4122" s="25">
        <v>0.0</v>
      </c>
      <c r="G4122" s="27"/>
    </row>
    <row r="4123">
      <c r="A4123" s="21"/>
      <c r="B4123" s="21" t="s">
        <v>10291</v>
      </c>
      <c r="D4123" s="25">
        <v>0.0</v>
      </c>
      <c r="E4123" s="27"/>
      <c r="F4123" s="25">
        <v>0.0</v>
      </c>
      <c r="G4123" s="27"/>
    </row>
    <row r="4124">
      <c r="A4124" s="21"/>
      <c r="B4124" s="21" t="s">
        <v>10292</v>
      </c>
      <c r="D4124" s="25">
        <v>0.0</v>
      </c>
      <c r="E4124" s="27"/>
      <c r="F4124" s="25">
        <v>0.0</v>
      </c>
      <c r="G4124" s="27"/>
    </row>
    <row r="4125">
      <c r="A4125" s="21"/>
      <c r="B4125" s="21" t="s">
        <v>10293</v>
      </c>
      <c r="D4125" s="25">
        <v>0.0</v>
      </c>
      <c r="E4125" s="27"/>
      <c r="F4125" s="25">
        <v>0.0</v>
      </c>
      <c r="G4125" s="27"/>
    </row>
    <row r="4126">
      <c r="A4126" s="21"/>
      <c r="B4126" s="21" t="s">
        <v>10294</v>
      </c>
      <c r="D4126" s="25">
        <v>0.0</v>
      </c>
      <c r="E4126" s="27"/>
      <c r="F4126" s="25">
        <v>0.0</v>
      </c>
      <c r="G4126" s="27"/>
    </row>
    <row r="4127">
      <c r="A4127" s="21"/>
      <c r="B4127" s="21" t="s">
        <v>10295</v>
      </c>
      <c r="D4127" s="25">
        <v>0.0</v>
      </c>
      <c r="E4127" s="27"/>
      <c r="F4127" s="25">
        <v>0.0</v>
      </c>
      <c r="G4127" s="27"/>
    </row>
    <row r="4128">
      <c r="A4128" s="21"/>
      <c r="B4128" s="21" t="s">
        <v>10296</v>
      </c>
      <c r="D4128" s="25">
        <v>0.0</v>
      </c>
      <c r="E4128" s="27"/>
      <c r="F4128" s="25">
        <v>0.0</v>
      </c>
      <c r="G4128" s="27"/>
    </row>
    <row r="4129">
      <c r="A4129" s="21"/>
      <c r="B4129" s="21" t="s">
        <v>10297</v>
      </c>
      <c r="D4129" s="25">
        <v>0.0</v>
      </c>
      <c r="E4129" s="27"/>
      <c r="F4129" s="25">
        <v>0.0</v>
      </c>
      <c r="G4129" s="27"/>
    </row>
    <row r="4130">
      <c r="A4130" s="21"/>
      <c r="B4130" s="21" t="s">
        <v>10298</v>
      </c>
      <c r="D4130" s="25">
        <v>0.0</v>
      </c>
      <c r="E4130" s="27"/>
      <c r="F4130" s="25">
        <v>0.0</v>
      </c>
      <c r="G4130" s="27"/>
    </row>
    <row r="4131">
      <c r="A4131" s="21"/>
      <c r="B4131" s="21" t="s">
        <v>10299</v>
      </c>
      <c r="D4131" s="25">
        <v>0.0</v>
      </c>
      <c r="E4131" s="27"/>
      <c r="F4131" s="25">
        <v>0.0</v>
      </c>
      <c r="G4131" s="27"/>
    </row>
    <row r="4132">
      <c r="A4132" s="21"/>
      <c r="B4132" s="21" t="s">
        <v>10300</v>
      </c>
      <c r="D4132" s="25">
        <v>0.0</v>
      </c>
      <c r="E4132" s="27"/>
      <c r="F4132" s="25">
        <v>0.0</v>
      </c>
      <c r="G4132" s="27"/>
    </row>
    <row r="4133">
      <c r="A4133" s="21"/>
      <c r="B4133" s="21" t="s">
        <v>10301</v>
      </c>
      <c r="D4133" s="25">
        <v>0.0</v>
      </c>
      <c r="E4133" s="27"/>
      <c r="F4133" s="25">
        <v>0.0</v>
      </c>
      <c r="G4133" s="27"/>
    </row>
    <row r="4134">
      <c r="A4134" s="21"/>
      <c r="B4134" s="21" t="s">
        <v>10302</v>
      </c>
      <c r="D4134" s="25">
        <v>0.0</v>
      </c>
      <c r="E4134" s="27"/>
      <c r="F4134" s="25">
        <v>0.0</v>
      </c>
      <c r="G4134" s="27"/>
    </row>
    <row r="4135">
      <c r="A4135" s="21"/>
      <c r="B4135" s="21" t="s">
        <v>10303</v>
      </c>
      <c r="D4135" s="25">
        <v>0.0</v>
      </c>
      <c r="E4135" s="27"/>
      <c r="F4135" s="25">
        <v>0.0</v>
      </c>
      <c r="G4135" s="27"/>
    </row>
    <row r="4136">
      <c r="A4136" s="21"/>
      <c r="B4136" s="21" t="s">
        <v>10304</v>
      </c>
      <c r="D4136" s="25">
        <v>0.0</v>
      </c>
      <c r="E4136" s="27"/>
      <c r="F4136" s="25">
        <v>3.24</v>
      </c>
      <c r="G4136" s="27"/>
    </row>
    <row r="4137">
      <c r="A4137" s="21"/>
      <c r="B4137" s="21" t="s">
        <v>6041</v>
      </c>
      <c r="D4137" s="25">
        <v>0.0</v>
      </c>
      <c r="E4137" s="27"/>
      <c r="F4137" s="25">
        <v>0.0</v>
      </c>
      <c r="G4137" s="27"/>
    </row>
    <row r="4138">
      <c r="A4138" s="21"/>
      <c r="B4138" s="21" t="s">
        <v>6042</v>
      </c>
      <c r="D4138" s="25">
        <v>0.0</v>
      </c>
      <c r="E4138" s="27"/>
      <c r="F4138" s="25">
        <v>0.0</v>
      </c>
      <c r="G4138" s="27"/>
    </row>
    <row r="4139">
      <c r="A4139" s="21"/>
      <c r="B4139" s="21" t="s">
        <v>6043</v>
      </c>
      <c r="D4139" s="25">
        <v>0.0</v>
      </c>
      <c r="E4139" s="27"/>
      <c r="F4139" s="25">
        <v>0.0</v>
      </c>
      <c r="G4139" s="27"/>
    </row>
    <row r="4140">
      <c r="A4140" s="21"/>
      <c r="B4140" s="21" t="s">
        <v>10305</v>
      </c>
      <c r="D4140" s="25">
        <v>0.0</v>
      </c>
      <c r="E4140" s="27"/>
      <c r="F4140" s="25">
        <v>0.0</v>
      </c>
      <c r="G4140" s="27"/>
    </row>
    <row r="4141">
      <c r="A4141" s="21"/>
      <c r="B4141" s="21" t="s">
        <v>10306</v>
      </c>
      <c r="D4141" s="25">
        <v>0.0</v>
      </c>
      <c r="E4141" s="27"/>
      <c r="F4141" s="25">
        <v>0.0</v>
      </c>
      <c r="G4141" s="27"/>
    </row>
    <row r="4142">
      <c r="A4142" s="21"/>
      <c r="B4142" s="21" t="s">
        <v>10307</v>
      </c>
      <c r="D4142" s="25">
        <v>0.0</v>
      </c>
      <c r="E4142" s="27"/>
      <c r="F4142" s="25">
        <v>0.0</v>
      </c>
      <c r="G4142" s="27"/>
    </row>
    <row r="4143">
      <c r="A4143" s="21"/>
      <c r="B4143" s="21" t="s">
        <v>10308</v>
      </c>
      <c r="D4143" s="25">
        <v>0.0</v>
      </c>
      <c r="E4143" s="27"/>
      <c r="F4143" s="25">
        <v>0.0</v>
      </c>
      <c r="G4143" s="27"/>
    </row>
    <row r="4144">
      <c r="A4144" s="21"/>
      <c r="B4144" s="21" t="s">
        <v>10309</v>
      </c>
      <c r="D4144" s="25">
        <v>0.0</v>
      </c>
      <c r="E4144" s="27"/>
      <c r="F4144" s="25">
        <v>0.0</v>
      </c>
      <c r="G4144" s="27"/>
    </row>
    <row r="4145">
      <c r="A4145" s="21"/>
      <c r="B4145" s="21" t="s">
        <v>10310</v>
      </c>
      <c r="D4145" s="25">
        <v>0.0</v>
      </c>
      <c r="E4145" s="27"/>
      <c r="F4145" s="25">
        <v>0.0</v>
      </c>
      <c r="G4145" s="27"/>
    </row>
    <row r="4146">
      <c r="A4146" s="21"/>
      <c r="B4146" s="21" t="s">
        <v>10311</v>
      </c>
      <c r="D4146" s="25">
        <v>0.0</v>
      </c>
      <c r="E4146" s="27"/>
      <c r="F4146" s="25">
        <v>0.0</v>
      </c>
      <c r="G4146" s="27"/>
    </row>
    <row r="4147">
      <c r="A4147" s="21"/>
      <c r="B4147" s="21" t="s">
        <v>10312</v>
      </c>
      <c r="D4147" s="25">
        <v>0.0</v>
      </c>
      <c r="E4147" s="27"/>
      <c r="F4147" s="25">
        <v>0.0</v>
      </c>
      <c r="G4147" s="27"/>
    </row>
    <row r="4148">
      <c r="A4148" s="21"/>
      <c r="B4148" s="21" t="s">
        <v>10313</v>
      </c>
      <c r="D4148" s="25">
        <v>0.0</v>
      </c>
      <c r="E4148" s="27"/>
      <c r="F4148" s="25">
        <v>0.0</v>
      </c>
      <c r="G4148" s="27"/>
    </row>
    <row r="4149">
      <c r="A4149" s="21"/>
      <c r="B4149" s="21" t="s">
        <v>10314</v>
      </c>
      <c r="D4149" s="25">
        <v>0.0</v>
      </c>
      <c r="E4149" s="27"/>
      <c r="F4149" s="25">
        <v>0.0</v>
      </c>
      <c r="G4149" s="27"/>
    </row>
    <row r="4150">
      <c r="A4150" s="21"/>
      <c r="B4150" s="21" t="s">
        <v>10315</v>
      </c>
      <c r="D4150" s="25">
        <v>0.0</v>
      </c>
      <c r="E4150" s="27"/>
      <c r="F4150" s="25">
        <v>0.0</v>
      </c>
      <c r="G4150" s="27"/>
    </row>
    <row r="4151">
      <c r="A4151" s="21"/>
      <c r="B4151" s="21" t="s">
        <v>10316</v>
      </c>
      <c r="D4151" s="25">
        <v>0.0</v>
      </c>
      <c r="E4151" s="27"/>
      <c r="F4151" s="25">
        <v>0.0</v>
      </c>
      <c r="G4151" s="27"/>
    </row>
    <row r="4152">
      <c r="A4152" s="21"/>
      <c r="B4152" s="21" t="s">
        <v>10317</v>
      </c>
      <c r="D4152" s="25">
        <v>0.0</v>
      </c>
      <c r="E4152" s="27"/>
      <c r="F4152" s="25">
        <v>0.0</v>
      </c>
      <c r="G4152" s="27"/>
    </row>
    <row r="4153">
      <c r="A4153" s="21"/>
      <c r="B4153" s="21" t="s">
        <v>10318</v>
      </c>
      <c r="D4153" s="25">
        <v>0.0</v>
      </c>
      <c r="E4153" s="27"/>
      <c r="F4153" s="25">
        <v>0.0</v>
      </c>
      <c r="G4153" s="27"/>
    </row>
    <row r="4154">
      <c r="A4154" s="21"/>
      <c r="B4154" s="21" t="s">
        <v>10319</v>
      </c>
      <c r="D4154" s="25">
        <v>0.0</v>
      </c>
      <c r="E4154" s="27"/>
      <c r="F4154" s="25">
        <v>0.0</v>
      </c>
      <c r="G4154" s="27"/>
    </row>
    <row r="4155">
      <c r="A4155" s="21"/>
      <c r="B4155" s="21" t="s">
        <v>10320</v>
      </c>
      <c r="D4155" s="25">
        <v>0.0</v>
      </c>
      <c r="E4155" s="27"/>
      <c r="F4155" s="25">
        <v>0.0</v>
      </c>
      <c r="G4155" s="27"/>
    </row>
    <row r="4156">
      <c r="A4156" s="21"/>
      <c r="B4156" s="21" t="s">
        <v>10321</v>
      </c>
      <c r="D4156" s="25">
        <v>0.0</v>
      </c>
      <c r="E4156" s="27"/>
      <c r="F4156" s="25">
        <v>0.0</v>
      </c>
      <c r="G4156" s="27"/>
    </row>
    <row r="4157">
      <c r="A4157" s="21"/>
      <c r="B4157" s="21" t="s">
        <v>10322</v>
      </c>
      <c r="D4157" s="25">
        <v>0.0</v>
      </c>
      <c r="E4157" s="27"/>
      <c r="F4157" s="25">
        <v>0.0</v>
      </c>
      <c r="G4157" s="27"/>
    </row>
    <row r="4158">
      <c r="A4158" s="21"/>
      <c r="B4158" s="21" t="s">
        <v>10323</v>
      </c>
      <c r="D4158" s="25">
        <v>0.0</v>
      </c>
      <c r="E4158" s="27"/>
      <c r="F4158" s="25">
        <v>0.0</v>
      </c>
      <c r="G4158" s="27"/>
    </row>
    <row r="4159">
      <c r="A4159" s="21"/>
      <c r="B4159" s="21" t="s">
        <v>10324</v>
      </c>
      <c r="D4159" s="25">
        <v>0.0</v>
      </c>
      <c r="E4159" s="27"/>
      <c r="F4159" s="25">
        <v>0.0</v>
      </c>
      <c r="G4159" s="27"/>
    </row>
    <row r="4160">
      <c r="A4160" s="21"/>
      <c r="B4160" s="21" t="s">
        <v>10325</v>
      </c>
      <c r="D4160" s="25">
        <v>0.0</v>
      </c>
      <c r="E4160" s="27"/>
      <c r="F4160" s="25">
        <v>0.0</v>
      </c>
      <c r="G4160" s="27"/>
    </row>
    <row r="4161">
      <c r="A4161" s="21"/>
      <c r="B4161" s="21" t="s">
        <v>10326</v>
      </c>
      <c r="D4161" s="25">
        <v>0.0</v>
      </c>
      <c r="E4161" s="27"/>
      <c r="F4161" s="25">
        <v>0.0</v>
      </c>
      <c r="G4161" s="27"/>
    </row>
    <row r="4162">
      <c r="A4162" s="21"/>
      <c r="B4162" s="21" t="s">
        <v>10327</v>
      </c>
      <c r="D4162" s="25">
        <v>0.0</v>
      </c>
      <c r="E4162" s="27"/>
      <c r="F4162" s="25">
        <v>0.0</v>
      </c>
      <c r="G4162" s="27"/>
    </row>
    <row r="4163">
      <c r="A4163" s="21"/>
      <c r="B4163" s="21" t="s">
        <v>6044</v>
      </c>
      <c r="D4163" s="25">
        <v>0.0</v>
      </c>
      <c r="E4163" s="27"/>
      <c r="F4163" s="25">
        <v>0.0</v>
      </c>
      <c r="G4163" s="27"/>
    </row>
    <row r="4164">
      <c r="A4164" s="21"/>
      <c r="B4164" s="21" t="s">
        <v>10328</v>
      </c>
      <c r="D4164" s="25">
        <v>0.0</v>
      </c>
      <c r="E4164" s="27"/>
      <c r="F4164" s="25">
        <v>0.0</v>
      </c>
      <c r="G4164" s="27"/>
    </row>
    <row r="4165">
      <c r="A4165" s="21"/>
      <c r="B4165" s="21" t="s">
        <v>10329</v>
      </c>
      <c r="D4165" s="25">
        <v>0.0</v>
      </c>
      <c r="E4165" s="27"/>
      <c r="F4165" s="25">
        <v>0.0</v>
      </c>
      <c r="G4165" s="27"/>
    </row>
    <row r="4166">
      <c r="A4166" s="21"/>
      <c r="B4166" s="21" t="s">
        <v>10330</v>
      </c>
      <c r="D4166" s="25">
        <v>0.0</v>
      </c>
      <c r="E4166" s="27"/>
      <c r="F4166" s="25">
        <v>0.0</v>
      </c>
      <c r="G4166" s="27"/>
    </row>
    <row r="4167">
      <c r="A4167" s="21"/>
      <c r="B4167" s="21" t="s">
        <v>10331</v>
      </c>
      <c r="D4167" s="25">
        <v>0.0</v>
      </c>
      <c r="E4167" s="27"/>
      <c r="F4167" s="25">
        <v>0.0</v>
      </c>
      <c r="G4167" s="27"/>
    </row>
    <row r="4168">
      <c r="A4168" s="21"/>
      <c r="B4168" s="21" t="s">
        <v>10332</v>
      </c>
      <c r="D4168" s="25">
        <v>0.0</v>
      </c>
      <c r="E4168" s="27"/>
      <c r="F4168" s="25">
        <v>0.0</v>
      </c>
      <c r="G4168" s="27"/>
    </row>
    <row r="4169">
      <c r="A4169" s="21"/>
      <c r="B4169" s="21" t="s">
        <v>10333</v>
      </c>
      <c r="D4169" s="25">
        <v>0.0</v>
      </c>
      <c r="E4169" s="27"/>
      <c r="F4169" s="25">
        <v>0.0</v>
      </c>
      <c r="G4169" s="27"/>
    </row>
    <row r="4170">
      <c r="A4170" s="21"/>
      <c r="B4170" s="21" t="s">
        <v>10334</v>
      </c>
      <c r="D4170" s="25">
        <v>0.0</v>
      </c>
      <c r="E4170" s="27"/>
      <c r="F4170" s="25">
        <v>0.0</v>
      </c>
      <c r="G4170" s="27"/>
    </row>
    <row r="4171">
      <c r="A4171" s="21"/>
      <c r="B4171" s="21" t="s">
        <v>10335</v>
      </c>
      <c r="D4171" s="25">
        <v>0.0</v>
      </c>
      <c r="E4171" s="27"/>
      <c r="F4171" s="25">
        <v>0.0</v>
      </c>
      <c r="G4171" s="27"/>
    </row>
    <row r="4172">
      <c r="A4172" s="21"/>
      <c r="B4172" s="21" t="s">
        <v>10336</v>
      </c>
      <c r="D4172" s="25">
        <v>0.0</v>
      </c>
      <c r="E4172" s="27"/>
      <c r="F4172" s="25">
        <v>0.0</v>
      </c>
      <c r="G4172" s="27"/>
    </row>
    <row r="4173">
      <c r="A4173" s="21"/>
      <c r="B4173" s="21" t="s">
        <v>10337</v>
      </c>
      <c r="D4173" s="25">
        <v>0.0</v>
      </c>
      <c r="E4173" s="27"/>
      <c r="F4173" s="25">
        <v>0.0</v>
      </c>
      <c r="G4173" s="27"/>
    </row>
    <row r="4174">
      <c r="A4174" s="21"/>
      <c r="B4174" s="21" t="s">
        <v>10338</v>
      </c>
      <c r="D4174" s="25">
        <v>0.0</v>
      </c>
      <c r="E4174" s="27"/>
      <c r="F4174" s="25">
        <v>0.0</v>
      </c>
      <c r="G4174" s="27"/>
    </row>
    <row r="4175">
      <c r="A4175" s="21"/>
      <c r="B4175" s="21" t="s">
        <v>10339</v>
      </c>
      <c r="D4175" s="25">
        <v>0.0</v>
      </c>
      <c r="E4175" s="27"/>
      <c r="F4175" s="25">
        <v>4.11</v>
      </c>
      <c r="G4175" s="27"/>
    </row>
    <row r="4176">
      <c r="A4176" s="21"/>
      <c r="B4176" s="21" t="s">
        <v>10340</v>
      </c>
      <c r="D4176" s="25">
        <v>0.0</v>
      </c>
      <c r="E4176" s="27"/>
      <c r="F4176" s="25">
        <v>0.0</v>
      </c>
      <c r="G4176" s="27"/>
    </row>
    <row r="4177">
      <c r="A4177" s="21"/>
      <c r="B4177" s="21" t="s">
        <v>10341</v>
      </c>
      <c r="D4177" s="25">
        <v>0.0</v>
      </c>
      <c r="E4177" s="27"/>
      <c r="F4177" s="25">
        <v>0.0</v>
      </c>
      <c r="G4177" s="27"/>
    </row>
    <row r="4178">
      <c r="A4178" s="21"/>
      <c r="B4178" s="21" t="s">
        <v>10342</v>
      </c>
      <c r="D4178" s="25">
        <v>0.0</v>
      </c>
      <c r="E4178" s="27"/>
      <c r="F4178" s="25">
        <v>0.0</v>
      </c>
      <c r="G4178" s="27"/>
    </row>
    <row r="4179">
      <c r="A4179" s="21"/>
      <c r="B4179" s="21" t="s">
        <v>6045</v>
      </c>
      <c r="D4179" s="25">
        <v>0.0</v>
      </c>
      <c r="E4179" s="27"/>
      <c r="F4179" s="25">
        <v>0.0</v>
      </c>
      <c r="G4179" s="27"/>
    </row>
    <row r="4180">
      <c r="A4180" s="21"/>
      <c r="B4180" s="21" t="s">
        <v>6046</v>
      </c>
      <c r="D4180" s="25">
        <v>0.0</v>
      </c>
      <c r="E4180" s="27"/>
      <c r="F4180" s="25">
        <v>0.0</v>
      </c>
      <c r="G4180" s="27"/>
    </row>
    <row r="4181">
      <c r="A4181" s="21"/>
      <c r="B4181" s="21" t="s">
        <v>10343</v>
      </c>
      <c r="D4181" s="25">
        <v>0.0</v>
      </c>
      <c r="E4181" s="27"/>
      <c r="F4181" s="25">
        <v>0.0</v>
      </c>
      <c r="G4181" s="27"/>
    </row>
    <row r="4182">
      <c r="A4182" s="21"/>
      <c r="B4182" s="21" t="s">
        <v>10344</v>
      </c>
      <c r="D4182" s="25">
        <v>0.0</v>
      </c>
      <c r="E4182" s="27"/>
      <c r="F4182" s="25">
        <v>0.0</v>
      </c>
      <c r="G4182" s="27"/>
    </row>
    <row r="4183">
      <c r="A4183" s="21"/>
      <c r="B4183" s="21" t="s">
        <v>10345</v>
      </c>
      <c r="D4183" s="25">
        <v>0.0</v>
      </c>
      <c r="E4183" s="27"/>
      <c r="F4183" s="25">
        <v>0.0</v>
      </c>
      <c r="G4183" s="27"/>
    </row>
    <row r="4184">
      <c r="A4184" s="21"/>
      <c r="B4184" s="21" t="s">
        <v>4995</v>
      </c>
      <c r="D4184" s="25">
        <v>0.0</v>
      </c>
      <c r="E4184" s="27"/>
      <c r="F4184" s="25">
        <v>0.0</v>
      </c>
      <c r="G4184" s="27"/>
    </row>
    <row r="4185">
      <c r="A4185" s="21"/>
      <c r="B4185" s="21" t="s">
        <v>4996</v>
      </c>
      <c r="D4185" s="25">
        <v>0.0</v>
      </c>
      <c r="E4185" s="27"/>
      <c r="F4185" s="25">
        <v>0.0</v>
      </c>
      <c r="G4185" s="27"/>
    </row>
    <row r="4186">
      <c r="A4186" s="21"/>
      <c r="B4186" s="21" t="s">
        <v>10346</v>
      </c>
      <c r="D4186" s="25">
        <v>0.0</v>
      </c>
      <c r="E4186" s="27"/>
      <c r="F4186" s="25">
        <v>0.0</v>
      </c>
      <c r="G4186" s="27"/>
    </row>
    <row r="4187">
      <c r="A4187" s="21"/>
      <c r="B4187" s="21" t="s">
        <v>10347</v>
      </c>
      <c r="D4187" s="25">
        <v>0.0</v>
      </c>
      <c r="E4187" s="27"/>
      <c r="F4187" s="25">
        <v>0.0</v>
      </c>
      <c r="G4187" s="27"/>
    </row>
    <row r="4188">
      <c r="A4188" s="21"/>
      <c r="B4188" s="21" t="s">
        <v>10348</v>
      </c>
      <c r="D4188" s="25">
        <v>0.0</v>
      </c>
      <c r="E4188" s="27"/>
      <c r="F4188" s="25">
        <v>0.0</v>
      </c>
      <c r="G4188" s="27"/>
    </row>
    <row r="4189">
      <c r="A4189" s="21"/>
      <c r="B4189" s="21" t="s">
        <v>10349</v>
      </c>
      <c r="D4189" s="25">
        <v>0.0</v>
      </c>
      <c r="E4189" s="27"/>
      <c r="F4189" s="25">
        <v>0.0</v>
      </c>
      <c r="G4189" s="27"/>
    </row>
    <row r="4190">
      <c r="A4190" s="21"/>
      <c r="B4190" s="21" t="s">
        <v>10350</v>
      </c>
      <c r="D4190" s="25">
        <v>0.0</v>
      </c>
      <c r="E4190" s="27"/>
      <c r="F4190" s="25">
        <v>0.0</v>
      </c>
      <c r="G4190" s="27"/>
    </row>
    <row r="4191">
      <c r="A4191" s="21"/>
      <c r="B4191" s="21" t="s">
        <v>10351</v>
      </c>
      <c r="D4191" s="25">
        <v>0.0</v>
      </c>
      <c r="E4191" s="27"/>
      <c r="F4191" s="25">
        <v>0.0</v>
      </c>
      <c r="G4191" s="27"/>
    </row>
    <row r="4192">
      <c r="A4192" s="21"/>
      <c r="B4192" s="21" t="s">
        <v>10352</v>
      </c>
      <c r="D4192" s="25">
        <v>0.0</v>
      </c>
      <c r="E4192" s="27"/>
      <c r="F4192" s="25">
        <v>0.0</v>
      </c>
      <c r="G4192" s="27"/>
    </row>
    <row r="4193">
      <c r="A4193" s="21"/>
      <c r="B4193" s="21" t="s">
        <v>10353</v>
      </c>
      <c r="D4193" s="25">
        <v>0.0</v>
      </c>
      <c r="E4193" s="27"/>
      <c r="F4193" s="25">
        <v>0.0</v>
      </c>
      <c r="G4193" s="27"/>
    </row>
    <row r="4194">
      <c r="A4194" s="21"/>
      <c r="B4194" s="21" t="s">
        <v>10354</v>
      </c>
      <c r="D4194" s="25">
        <v>0.0</v>
      </c>
      <c r="E4194" s="27"/>
      <c r="F4194" s="25">
        <v>0.0</v>
      </c>
      <c r="G4194" s="27"/>
    </row>
    <row r="4195">
      <c r="A4195" s="21"/>
      <c r="B4195" s="21" t="s">
        <v>10355</v>
      </c>
      <c r="D4195" s="25">
        <v>0.0</v>
      </c>
      <c r="E4195" s="27"/>
      <c r="F4195" s="25">
        <v>0.0</v>
      </c>
      <c r="G4195" s="27"/>
    </row>
    <row r="4196">
      <c r="A4196" s="21"/>
      <c r="B4196" s="21" t="s">
        <v>10356</v>
      </c>
      <c r="D4196" s="25">
        <v>0.0</v>
      </c>
      <c r="E4196" s="27"/>
      <c r="F4196" s="25">
        <v>0.0</v>
      </c>
      <c r="G4196" s="27"/>
    </row>
    <row r="4197">
      <c r="A4197" s="21"/>
      <c r="B4197" s="21" t="s">
        <v>10357</v>
      </c>
      <c r="D4197" s="25">
        <v>0.0</v>
      </c>
      <c r="E4197" s="27"/>
      <c r="F4197" s="25">
        <v>0.0</v>
      </c>
      <c r="G4197" s="27"/>
    </row>
    <row r="4198">
      <c r="A4198" s="21"/>
      <c r="B4198" s="21" t="s">
        <v>10358</v>
      </c>
      <c r="D4198" s="25">
        <v>0.0</v>
      </c>
      <c r="E4198" s="27"/>
      <c r="F4198" s="25">
        <v>0.0</v>
      </c>
      <c r="G4198" s="27"/>
    </row>
    <row r="4199">
      <c r="A4199" s="21"/>
      <c r="B4199" s="21" t="s">
        <v>10359</v>
      </c>
      <c r="D4199" s="25">
        <v>0.0</v>
      </c>
      <c r="E4199" s="27"/>
      <c r="F4199" s="25">
        <v>0.0</v>
      </c>
      <c r="G4199" s="27"/>
    </row>
    <row r="4200">
      <c r="A4200" s="21"/>
      <c r="B4200" s="21" t="s">
        <v>10360</v>
      </c>
      <c r="D4200" s="25">
        <v>0.0</v>
      </c>
      <c r="E4200" s="27"/>
      <c r="F4200" s="25">
        <v>0.0</v>
      </c>
      <c r="G4200" s="27"/>
    </row>
    <row r="4201">
      <c r="A4201" s="21"/>
      <c r="B4201" s="21" t="s">
        <v>10361</v>
      </c>
      <c r="D4201" s="25">
        <v>0.0</v>
      </c>
      <c r="E4201" s="27"/>
      <c r="F4201" s="25">
        <v>0.0</v>
      </c>
      <c r="G4201" s="27"/>
    </row>
    <row r="4202">
      <c r="A4202" s="21"/>
      <c r="B4202" s="21" t="s">
        <v>10362</v>
      </c>
      <c r="D4202" s="25">
        <v>0.0</v>
      </c>
      <c r="E4202" s="27"/>
      <c r="F4202" s="25">
        <v>0.93</v>
      </c>
      <c r="G4202" s="27"/>
    </row>
    <row r="4203">
      <c r="A4203" s="21"/>
      <c r="B4203" s="21" t="s">
        <v>10363</v>
      </c>
      <c r="D4203" s="25">
        <v>0.0</v>
      </c>
      <c r="E4203" s="27"/>
      <c r="F4203" s="25">
        <v>0.0</v>
      </c>
      <c r="G4203" s="27"/>
    </row>
    <row r="4204">
      <c r="A4204" s="21"/>
      <c r="B4204" s="21" t="s">
        <v>10364</v>
      </c>
      <c r="D4204" s="25">
        <v>0.0</v>
      </c>
      <c r="E4204" s="27"/>
      <c r="F4204" s="25">
        <v>0.0</v>
      </c>
      <c r="G4204" s="27"/>
    </row>
    <row r="4205">
      <c r="A4205" s="21"/>
      <c r="B4205" s="21" t="s">
        <v>10365</v>
      </c>
      <c r="D4205" s="25">
        <v>0.0</v>
      </c>
      <c r="E4205" s="27"/>
      <c r="F4205" s="25">
        <v>0.93</v>
      </c>
      <c r="G4205" s="27"/>
    </row>
    <row r="4206">
      <c r="A4206" s="21"/>
      <c r="B4206" s="21" t="s">
        <v>10366</v>
      </c>
      <c r="D4206" s="25">
        <v>0.0</v>
      </c>
      <c r="E4206" s="27"/>
      <c r="F4206" s="25">
        <v>0.0</v>
      </c>
      <c r="G4206" s="27"/>
    </row>
    <row r="4207">
      <c r="A4207" s="21"/>
      <c r="B4207" s="21" t="s">
        <v>10367</v>
      </c>
      <c r="D4207" s="25">
        <v>0.0</v>
      </c>
      <c r="E4207" s="27"/>
      <c r="F4207" s="25">
        <v>1.08</v>
      </c>
      <c r="G4207" s="27"/>
    </row>
    <row r="4208">
      <c r="A4208" s="21"/>
      <c r="B4208" s="21" t="s">
        <v>10368</v>
      </c>
      <c r="D4208" s="25">
        <v>0.0</v>
      </c>
      <c r="E4208" s="27"/>
      <c r="F4208" s="25">
        <v>0.93</v>
      </c>
      <c r="G4208" s="27"/>
    </row>
    <row r="4209">
      <c r="A4209" s="21"/>
      <c r="B4209" s="21" t="s">
        <v>10369</v>
      </c>
      <c r="D4209" s="25">
        <v>0.0</v>
      </c>
      <c r="E4209" s="27"/>
      <c r="F4209" s="25">
        <v>0.0</v>
      </c>
      <c r="G4209" s="27"/>
    </row>
    <row r="4210">
      <c r="A4210" s="21"/>
      <c r="B4210" s="21" t="s">
        <v>10370</v>
      </c>
      <c r="D4210" s="25">
        <v>0.0</v>
      </c>
      <c r="E4210" s="27"/>
      <c r="F4210" s="25">
        <v>0.0</v>
      </c>
      <c r="G4210" s="27"/>
    </row>
    <row r="4211">
      <c r="A4211" s="21"/>
      <c r="B4211" s="21" t="s">
        <v>10371</v>
      </c>
      <c r="D4211" s="25">
        <v>0.0</v>
      </c>
      <c r="E4211" s="27"/>
      <c r="F4211" s="25">
        <v>0.93</v>
      </c>
      <c r="G4211" s="27"/>
    </row>
    <row r="4212">
      <c r="A4212" s="21"/>
      <c r="B4212" s="21" t="s">
        <v>10372</v>
      </c>
      <c r="D4212" s="25">
        <v>0.0</v>
      </c>
      <c r="E4212" s="27"/>
      <c r="F4212" s="25">
        <v>0.0</v>
      </c>
      <c r="G4212" s="27"/>
    </row>
    <row r="4213">
      <c r="A4213" s="21"/>
      <c r="B4213" s="21" t="s">
        <v>10373</v>
      </c>
      <c r="D4213" s="25">
        <v>0.0</v>
      </c>
      <c r="E4213" s="27"/>
      <c r="F4213" s="25">
        <v>0.0</v>
      </c>
      <c r="G4213" s="27"/>
    </row>
    <row r="4214">
      <c r="A4214" s="21"/>
      <c r="B4214" s="21" t="s">
        <v>10374</v>
      </c>
      <c r="D4214" s="25">
        <v>0.0</v>
      </c>
      <c r="E4214" s="27"/>
      <c r="F4214" s="25">
        <v>0.0</v>
      </c>
      <c r="G4214" s="27"/>
    </row>
    <row r="4215">
      <c r="A4215" s="21"/>
      <c r="B4215" s="21" t="s">
        <v>10375</v>
      </c>
      <c r="D4215" s="25">
        <v>0.0</v>
      </c>
      <c r="E4215" s="27"/>
      <c r="F4215" s="25">
        <v>0.0</v>
      </c>
      <c r="G4215" s="27"/>
    </row>
    <row r="4216">
      <c r="A4216" s="21"/>
      <c r="B4216" s="21" t="s">
        <v>10376</v>
      </c>
      <c r="D4216" s="25">
        <v>0.0</v>
      </c>
      <c r="E4216" s="27"/>
      <c r="F4216" s="25">
        <v>0.0</v>
      </c>
      <c r="G4216" s="27"/>
    </row>
    <row r="4217">
      <c r="A4217" s="21"/>
      <c r="B4217" s="21" t="s">
        <v>10377</v>
      </c>
      <c r="D4217" s="25">
        <v>0.0</v>
      </c>
      <c r="E4217" s="27"/>
      <c r="F4217" s="25">
        <v>0.0</v>
      </c>
      <c r="G4217" s="27"/>
    </row>
    <row r="4218">
      <c r="A4218" s="21"/>
      <c r="B4218" s="21" t="s">
        <v>10378</v>
      </c>
      <c r="D4218" s="25">
        <v>0.0</v>
      </c>
      <c r="E4218" s="27"/>
      <c r="F4218" s="25">
        <v>0.0</v>
      </c>
      <c r="G4218" s="27"/>
    </row>
    <row r="4219">
      <c r="A4219" s="21"/>
      <c r="B4219" s="21" t="s">
        <v>10379</v>
      </c>
      <c r="D4219" s="25">
        <v>0.0</v>
      </c>
      <c r="E4219" s="27"/>
      <c r="F4219" s="25">
        <v>0.0</v>
      </c>
      <c r="G4219" s="27"/>
    </row>
    <row r="4220">
      <c r="A4220" s="21"/>
      <c r="B4220" s="21" t="s">
        <v>10380</v>
      </c>
      <c r="D4220" s="25">
        <v>0.0</v>
      </c>
      <c r="E4220" s="27"/>
      <c r="F4220" s="25">
        <v>0.0</v>
      </c>
      <c r="G4220" s="27"/>
    </row>
    <row r="4221">
      <c r="A4221" s="21"/>
      <c r="B4221" s="21" t="s">
        <v>10381</v>
      </c>
      <c r="D4221" s="25">
        <v>0.0</v>
      </c>
      <c r="E4221" s="27"/>
      <c r="F4221" s="25">
        <v>0.0</v>
      </c>
      <c r="G4221" s="27"/>
    </row>
    <row r="4222">
      <c r="A4222" s="21"/>
      <c r="B4222" s="21" t="s">
        <v>10382</v>
      </c>
      <c r="D4222" s="25">
        <v>0.0</v>
      </c>
      <c r="E4222" s="27"/>
      <c r="F4222" s="25">
        <v>0.0</v>
      </c>
      <c r="G4222" s="27"/>
    </row>
    <row r="4223">
      <c r="A4223" s="21"/>
      <c r="B4223" s="21" t="s">
        <v>10383</v>
      </c>
      <c r="D4223" s="25">
        <v>0.0</v>
      </c>
      <c r="E4223" s="27"/>
      <c r="F4223" s="25">
        <v>0.0</v>
      </c>
      <c r="G4223" s="27"/>
    </row>
    <row r="4224">
      <c r="A4224" s="21"/>
      <c r="B4224" s="21" t="s">
        <v>10384</v>
      </c>
      <c r="D4224" s="25">
        <v>0.0</v>
      </c>
      <c r="E4224" s="27"/>
      <c r="F4224" s="25">
        <v>0.0</v>
      </c>
      <c r="G4224" s="27"/>
    </row>
    <row r="4225">
      <c r="A4225" s="21"/>
      <c r="B4225" s="21" t="s">
        <v>10385</v>
      </c>
      <c r="D4225" s="25">
        <v>0.0</v>
      </c>
      <c r="E4225" s="27"/>
      <c r="F4225" s="25">
        <v>0.0</v>
      </c>
      <c r="G4225" s="27"/>
    </row>
    <row r="4226">
      <c r="A4226" s="21"/>
      <c r="B4226" s="21" t="s">
        <v>10386</v>
      </c>
      <c r="D4226" s="25">
        <v>0.0</v>
      </c>
      <c r="E4226" s="27"/>
      <c r="F4226" s="25">
        <v>0.0</v>
      </c>
      <c r="G4226" s="27"/>
    </row>
    <row r="4227">
      <c r="A4227" s="21"/>
      <c r="B4227" s="21" t="s">
        <v>10387</v>
      </c>
      <c r="D4227" s="25">
        <v>0.0</v>
      </c>
      <c r="E4227" s="27"/>
      <c r="F4227" s="25">
        <v>0.0</v>
      </c>
      <c r="G4227" s="27"/>
    </row>
    <row r="4228">
      <c r="A4228" s="21"/>
      <c r="B4228" s="21" t="s">
        <v>10388</v>
      </c>
      <c r="D4228" s="25">
        <v>0.0</v>
      </c>
      <c r="E4228" s="27"/>
      <c r="F4228" s="25">
        <v>0.0</v>
      </c>
      <c r="G4228" s="27"/>
    </row>
    <row r="4229">
      <c r="A4229" s="21"/>
      <c r="B4229" s="21" t="s">
        <v>10389</v>
      </c>
      <c r="D4229" s="25">
        <v>0.0</v>
      </c>
      <c r="E4229" s="27"/>
      <c r="F4229" s="25">
        <v>0.0</v>
      </c>
      <c r="G4229" s="27"/>
    </row>
    <row r="4230">
      <c r="A4230" s="21"/>
      <c r="B4230" s="21" t="s">
        <v>10390</v>
      </c>
      <c r="D4230" s="25">
        <v>0.0</v>
      </c>
      <c r="E4230" s="27"/>
      <c r="F4230" s="25">
        <v>0.0</v>
      </c>
      <c r="G4230" s="27"/>
    </row>
    <row r="4231">
      <c r="A4231" s="21"/>
      <c r="B4231" s="21" t="s">
        <v>10391</v>
      </c>
      <c r="D4231" s="25">
        <v>0.0</v>
      </c>
      <c r="E4231" s="27"/>
      <c r="F4231" s="25">
        <v>0.0</v>
      </c>
      <c r="G4231" s="27"/>
    </row>
    <row r="4232">
      <c r="A4232" s="21"/>
      <c r="B4232" s="21" t="s">
        <v>10392</v>
      </c>
      <c r="D4232" s="25">
        <v>0.0</v>
      </c>
      <c r="E4232" s="27"/>
      <c r="F4232" s="25">
        <v>0.0</v>
      </c>
      <c r="G4232" s="27"/>
    </row>
    <row r="4233">
      <c r="A4233" s="21"/>
      <c r="B4233" s="21" t="s">
        <v>10393</v>
      </c>
      <c r="D4233" s="25">
        <v>0.0</v>
      </c>
      <c r="E4233" s="27"/>
      <c r="F4233" s="25">
        <v>0.0</v>
      </c>
      <c r="G4233" s="27"/>
    </row>
    <row r="4234">
      <c r="A4234" s="21"/>
      <c r="B4234" s="21" t="s">
        <v>10394</v>
      </c>
      <c r="D4234" s="25">
        <v>0.0</v>
      </c>
      <c r="E4234" s="27"/>
      <c r="F4234" s="25">
        <v>0.0</v>
      </c>
      <c r="G4234" s="27"/>
    </row>
    <row r="4235">
      <c r="A4235" s="21"/>
      <c r="B4235" s="21" t="s">
        <v>10395</v>
      </c>
      <c r="D4235" s="25">
        <v>0.0</v>
      </c>
      <c r="E4235" s="27"/>
      <c r="F4235" s="25">
        <v>0.0</v>
      </c>
      <c r="G4235" s="27"/>
    </row>
    <row r="4236">
      <c r="A4236" s="21"/>
      <c r="B4236" s="21" t="s">
        <v>10396</v>
      </c>
      <c r="D4236" s="25">
        <v>0.0</v>
      </c>
      <c r="E4236" s="27"/>
      <c r="F4236" s="25">
        <v>0.0</v>
      </c>
      <c r="G4236" s="27"/>
    </row>
    <row r="4237">
      <c r="A4237" s="21"/>
      <c r="B4237" s="21" t="s">
        <v>10397</v>
      </c>
      <c r="D4237" s="25">
        <v>0.0</v>
      </c>
      <c r="E4237" s="27"/>
      <c r="F4237" s="25">
        <v>0.0</v>
      </c>
      <c r="G4237" s="27"/>
    </row>
    <row r="4238">
      <c r="A4238" s="21"/>
      <c r="B4238" s="21" t="s">
        <v>10398</v>
      </c>
      <c r="D4238" s="25">
        <v>0.0</v>
      </c>
      <c r="E4238" s="27"/>
      <c r="F4238" s="25">
        <v>0.0</v>
      </c>
      <c r="G4238" s="27"/>
    </row>
    <row r="4239">
      <c r="A4239" s="21"/>
      <c r="B4239" s="21" t="s">
        <v>10399</v>
      </c>
      <c r="D4239" s="25">
        <v>0.0</v>
      </c>
      <c r="E4239" s="27"/>
      <c r="F4239" s="25">
        <v>0.0</v>
      </c>
      <c r="G4239" s="27"/>
    </row>
    <row r="4240">
      <c r="A4240" s="21"/>
      <c r="B4240" s="21" t="s">
        <v>10400</v>
      </c>
      <c r="D4240" s="25">
        <v>0.0</v>
      </c>
      <c r="E4240" s="27"/>
      <c r="F4240" s="25">
        <v>0.0</v>
      </c>
      <c r="G4240" s="27"/>
    </row>
    <row r="4241">
      <c r="A4241" s="21"/>
      <c r="B4241" s="21" t="s">
        <v>10401</v>
      </c>
      <c r="D4241" s="25">
        <v>0.0</v>
      </c>
      <c r="E4241" s="27"/>
      <c r="F4241" s="25">
        <v>0.0</v>
      </c>
      <c r="G4241" s="27"/>
    </row>
    <row r="4242">
      <c r="A4242" s="21"/>
      <c r="B4242" s="21" t="s">
        <v>10402</v>
      </c>
      <c r="D4242" s="25">
        <v>0.0</v>
      </c>
      <c r="E4242" s="27"/>
      <c r="F4242" s="25">
        <v>0.0</v>
      </c>
      <c r="G4242" s="27"/>
    </row>
    <row r="4243">
      <c r="A4243" s="21"/>
      <c r="B4243" s="21" t="s">
        <v>10403</v>
      </c>
      <c r="D4243" s="25">
        <v>0.0</v>
      </c>
      <c r="E4243" s="27"/>
      <c r="F4243" s="25">
        <v>0.0</v>
      </c>
      <c r="G4243" s="27"/>
    </row>
    <row r="4244">
      <c r="A4244" s="21"/>
      <c r="B4244" s="21" t="s">
        <v>10404</v>
      </c>
      <c r="D4244" s="25">
        <v>0.0</v>
      </c>
      <c r="E4244" s="27"/>
      <c r="F4244" s="25">
        <v>0.0</v>
      </c>
      <c r="G4244" s="27"/>
    </row>
    <row r="4245">
      <c r="A4245" s="21"/>
      <c r="B4245" s="21" t="s">
        <v>10405</v>
      </c>
      <c r="D4245" s="25">
        <v>0.0</v>
      </c>
      <c r="E4245" s="27"/>
      <c r="F4245" s="25">
        <v>0.0</v>
      </c>
      <c r="G4245" s="27"/>
    </row>
    <row r="4246">
      <c r="A4246" s="21"/>
      <c r="B4246" s="21" t="s">
        <v>10406</v>
      </c>
      <c r="D4246" s="25">
        <v>0.0</v>
      </c>
      <c r="E4246" s="27"/>
      <c r="F4246" s="25">
        <v>0.0</v>
      </c>
      <c r="G4246" s="27"/>
    </row>
    <row r="4247">
      <c r="A4247" s="21"/>
      <c r="B4247" s="21" t="s">
        <v>10407</v>
      </c>
      <c r="D4247" s="25">
        <v>0.0</v>
      </c>
      <c r="E4247" s="27"/>
      <c r="F4247" s="25">
        <v>0.0</v>
      </c>
      <c r="G4247" s="27"/>
    </row>
    <row r="4248">
      <c r="A4248" s="21"/>
      <c r="B4248" s="21" t="s">
        <v>10408</v>
      </c>
      <c r="D4248" s="25">
        <v>0.0</v>
      </c>
      <c r="E4248" s="27"/>
      <c r="F4248" s="25">
        <v>0.0</v>
      </c>
      <c r="G4248" s="27"/>
    </row>
    <row r="4249">
      <c r="A4249" s="21"/>
      <c r="B4249" s="21" t="s">
        <v>10409</v>
      </c>
      <c r="D4249" s="25">
        <v>0.0</v>
      </c>
      <c r="E4249" s="27"/>
      <c r="F4249" s="25">
        <v>0.0</v>
      </c>
      <c r="G4249" s="27"/>
    </row>
    <row r="4250">
      <c r="A4250" s="21"/>
      <c r="B4250" s="21" t="s">
        <v>10410</v>
      </c>
      <c r="D4250" s="25">
        <v>0.0</v>
      </c>
      <c r="E4250" s="27"/>
      <c r="F4250" s="25">
        <v>0.0</v>
      </c>
      <c r="G4250" s="27"/>
    </row>
    <row r="4251">
      <c r="A4251" s="21"/>
      <c r="B4251" s="21" t="s">
        <v>10411</v>
      </c>
      <c r="C4251" s="27"/>
      <c r="D4251" s="25">
        <v>0.0</v>
      </c>
      <c r="E4251" s="27"/>
      <c r="F4251" s="25">
        <v>0.0</v>
      </c>
      <c r="G4251" s="27"/>
    </row>
    <row r="4252">
      <c r="A4252" s="21"/>
      <c r="B4252" s="21" t="s">
        <v>10412</v>
      </c>
      <c r="D4252" s="25">
        <v>0.0</v>
      </c>
      <c r="E4252" s="27"/>
      <c r="F4252" s="25">
        <v>0.0</v>
      </c>
      <c r="G4252" s="27"/>
    </row>
    <row r="4253">
      <c r="A4253" s="21"/>
      <c r="B4253" s="21" t="s">
        <v>10413</v>
      </c>
      <c r="D4253" s="25">
        <v>0.0</v>
      </c>
      <c r="E4253" s="27"/>
      <c r="F4253" s="25">
        <v>0.0</v>
      </c>
      <c r="G4253" s="27"/>
    </row>
    <row r="4254">
      <c r="A4254" s="21"/>
      <c r="B4254" s="21" t="s">
        <v>10414</v>
      </c>
      <c r="D4254" s="25">
        <v>0.0</v>
      </c>
      <c r="E4254" s="27"/>
      <c r="F4254" s="25">
        <v>0.0</v>
      </c>
      <c r="G4254" s="27"/>
    </row>
    <row r="4255">
      <c r="A4255" s="21"/>
      <c r="B4255" s="21" t="s">
        <v>10415</v>
      </c>
      <c r="D4255" s="25">
        <v>0.0</v>
      </c>
      <c r="E4255" s="27"/>
      <c r="F4255" s="25">
        <v>0.0</v>
      </c>
      <c r="G4255" s="27"/>
    </row>
    <row r="4256">
      <c r="A4256" s="21"/>
      <c r="B4256" s="21" t="s">
        <v>10416</v>
      </c>
      <c r="D4256" s="25">
        <v>0.0</v>
      </c>
      <c r="E4256" s="27"/>
      <c r="F4256" s="25">
        <v>0.0</v>
      </c>
      <c r="G4256" s="27"/>
    </row>
    <row r="4257">
      <c r="A4257" s="21"/>
      <c r="B4257" s="21" t="s">
        <v>10417</v>
      </c>
      <c r="D4257" s="25">
        <v>0.0</v>
      </c>
      <c r="E4257" s="27"/>
      <c r="F4257" s="25">
        <v>0.0</v>
      </c>
      <c r="G4257" s="27"/>
    </row>
    <row r="4258">
      <c r="A4258" s="21"/>
      <c r="B4258" s="21" t="s">
        <v>10418</v>
      </c>
      <c r="D4258" s="25">
        <v>0.0</v>
      </c>
      <c r="E4258" s="27"/>
      <c r="F4258" s="25">
        <v>0.0</v>
      </c>
      <c r="G4258" s="27"/>
    </row>
    <row r="4259">
      <c r="A4259" s="21"/>
      <c r="B4259" s="21" t="s">
        <v>10419</v>
      </c>
      <c r="D4259" s="25">
        <v>0.0</v>
      </c>
      <c r="E4259" s="27"/>
      <c r="F4259" s="25">
        <v>0.0</v>
      </c>
      <c r="G4259" s="27"/>
    </row>
    <row r="4260">
      <c r="A4260" s="21"/>
      <c r="B4260" s="21" t="s">
        <v>10420</v>
      </c>
      <c r="D4260" s="25">
        <v>0.0</v>
      </c>
      <c r="E4260" s="27"/>
      <c r="F4260" s="25">
        <v>0.0</v>
      </c>
      <c r="G4260" s="27"/>
    </row>
    <row r="4261">
      <c r="A4261" s="21"/>
      <c r="B4261" s="21" t="s">
        <v>10421</v>
      </c>
      <c r="D4261" s="25">
        <v>0.0</v>
      </c>
      <c r="E4261" s="27"/>
      <c r="F4261" s="25">
        <v>0.0</v>
      </c>
      <c r="G4261" s="27"/>
    </row>
    <row r="4262">
      <c r="A4262" s="21"/>
      <c r="B4262" s="21" t="s">
        <v>10422</v>
      </c>
      <c r="D4262" s="25">
        <v>0.0</v>
      </c>
      <c r="E4262" s="27"/>
      <c r="F4262" s="25">
        <v>0.0</v>
      </c>
      <c r="G4262" s="27"/>
    </row>
    <row r="4263">
      <c r="A4263" s="21"/>
      <c r="B4263" s="21" t="s">
        <v>10423</v>
      </c>
      <c r="D4263" s="25">
        <v>0.0</v>
      </c>
      <c r="E4263" s="27"/>
      <c r="F4263" s="25">
        <v>0.0</v>
      </c>
      <c r="G4263" s="27"/>
    </row>
    <row r="4264">
      <c r="A4264" s="21"/>
      <c r="B4264" s="21" t="s">
        <v>10424</v>
      </c>
      <c r="D4264" s="25">
        <v>0.0</v>
      </c>
      <c r="E4264" s="27"/>
      <c r="F4264" s="25">
        <v>0.0</v>
      </c>
      <c r="G4264" s="27"/>
    </row>
    <row r="4265">
      <c r="A4265" s="21"/>
      <c r="B4265" s="21" t="s">
        <v>5031</v>
      </c>
      <c r="D4265" s="25">
        <v>0.0</v>
      </c>
      <c r="E4265" s="27"/>
      <c r="F4265" s="25">
        <v>0.0</v>
      </c>
      <c r="G4265" s="27"/>
    </row>
    <row r="4266">
      <c r="A4266" s="21"/>
      <c r="B4266" s="21" t="s">
        <v>5032</v>
      </c>
      <c r="D4266" s="25">
        <v>0.0</v>
      </c>
      <c r="E4266" s="27"/>
      <c r="F4266" s="25">
        <v>0.0</v>
      </c>
      <c r="G4266" s="27"/>
    </row>
    <row r="4267">
      <c r="A4267" s="21"/>
      <c r="B4267" s="21" t="s">
        <v>10425</v>
      </c>
      <c r="D4267" s="25">
        <v>0.0</v>
      </c>
      <c r="E4267" s="27"/>
      <c r="F4267" s="25">
        <v>0.0</v>
      </c>
      <c r="G4267" s="27"/>
    </row>
    <row r="4268">
      <c r="A4268" s="21"/>
      <c r="B4268" s="21" t="s">
        <v>10426</v>
      </c>
      <c r="D4268" s="25">
        <v>0.0</v>
      </c>
      <c r="E4268" s="27"/>
      <c r="F4268" s="25">
        <v>0.0</v>
      </c>
      <c r="G4268" s="27"/>
    </row>
    <row r="4269">
      <c r="A4269" s="21"/>
      <c r="B4269" s="21" t="s">
        <v>10427</v>
      </c>
      <c r="D4269" s="25">
        <v>0.0</v>
      </c>
      <c r="E4269" s="27"/>
      <c r="F4269" s="25">
        <v>0.0</v>
      </c>
      <c r="G4269" s="27"/>
    </row>
    <row r="4270">
      <c r="A4270" s="21"/>
      <c r="B4270" s="21" t="s">
        <v>10428</v>
      </c>
      <c r="D4270" s="25">
        <v>0.0</v>
      </c>
      <c r="E4270" s="27"/>
      <c r="F4270" s="25">
        <v>0.0</v>
      </c>
      <c r="G4270" s="27"/>
    </row>
    <row r="4271">
      <c r="A4271" s="21"/>
      <c r="B4271" s="21" t="s">
        <v>10429</v>
      </c>
      <c r="D4271" s="25">
        <v>0.0</v>
      </c>
      <c r="E4271" s="27"/>
      <c r="F4271" s="25">
        <v>0.0</v>
      </c>
      <c r="G4271" s="27"/>
    </row>
    <row r="4272">
      <c r="A4272" s="21"/>
      <c r="B4272" s="21" t="s">
        <v>10430</v>
      </c>
      <c r="D4272" s="25">
        <v>0.0</v>
      </c>
      <c r="E4272" s="27"/>
      <c r="F4272" s="25">
        <v>0.0</v>
      </c>
      <c r="G4272" s="27"/>
    </row>
    <row r="4273">
      <c r="A4273" s="21"/>
      <c r="B4273" s="21" t="s">
        <v>10431</v>
      </c>
      <c r="D4273" s="25">
        <v>0.0</v>
      </c>
      <c r="E4273" s="27"/>
      <c r="F4273" s="25">
        <v>0.0</v>
      </c>
      <c r="G4273" s="27"/>
    </row>
    <row r="4274">
      <c r="A4274" s="21"/>
      <c r="B4274" s="21" t="s">
        <v>10432</v>
      </c>
      <c r="D4274" s="25">
        <v>0.0</v>
      </c>
      <c r="E4274" s="27"/>
      <c r="F4274" s="25">
        <v>0.0</v>
      </c>
      <c r="G4274" s="27"/>
    </row>
    <row r="4275">
      <c r="A4275" s="21"/>
      <c r="B4275" s="21" t="s">
        <v>10433</v>
      </c>
      <c r="D4275" s="25">
        <v>0.0</v>
      </c>
      <c r="E4275" s="27"/>
      <c r="F4275" s="25">
        <v>0.0</v>
      </c>
      <c r="G4275" s="27"/>
    </row>
    <row r="4276">
      <c r="A4276" s="21"/>
      <c r="B4276" s="21" t="s">
        <v>10434</v>
      </c>
      <c r="D4276" s="25">
        <v>0.0</v>
      </c>
      <c r="E4276" s="27"/>
      <c r="F4276" s="25">
        <v>0.0</v>
      </c>
      <c r="G4276" s="27"/>
    </row>
    <row r="4277">
      <c r="A4277" s="21"/>
      <c r="B4277" s="21" t="s">
        <v>10435</v>
      </c>
      <c r="D4277" s="25">
        <v>0.0</v>
      </c>
      <c r="E4277" s="27"/>
      <c r="F4277" s="25">
        <v>0.0</v>
      </c>
      <c r="G4277" s="27"/>
    </row>
    <row r="4278">
      <c r="A4278" s="21"/>
      <c r="B4278" s="21" t="s">
        <v>10436</v>
      </c>
      <c r="D4278" s="25">
        <v>0.0</v>
      </c>
      <c r="E4278" s="27"/>
      <c r="F4278" s="25">
        <v>0.0</v>
      </c>
      <c r="G4278" s="27"/>
    </row>
    <row r="4279">
      <c r="A4279" s="21"/>
      <c r="B4279" s="21" t="s">
        <v>10437</v>
      </c>
      <c r="D4279" s="25">
        <v>0.0</v>
      </c>
      <c r="E4279" s="27"/>
      <c r="F4279" s="25">
        <v>0.0</v>
      </c>
      <c r="G4279" s="27"/>
    </row>
    <row r="4280">
      <c r="A4280" s="21"/>
      <c r="B4280" s="21" t="s">
        <v>10438</v>
      </c>
      <c r="D4280" s="25">
        <v>0.0</v>
      </c>
      <c r="E4280" s="27"/>
      <c r="F4280" s="25">
        <v>0.0</v>
      </c>
      <c r="G4280" s="27"/>
    </row>
    <row r="4281">
      <c r="A4281" s="21"/>
      <c r="B4281" s="21" t="s">
        <v>10439</v>
      </c>
      <c r="D4281" s="25">
        <v>0.0</v>
      </c>
      <c r="E4281" s="27"/>
      <c r="F4281" s="25">
        <v>0.0</v>
      </c>
      <c r="G4281" s="27"/>
    </row>
    <row r="4282">
      <c r="A4282" s="21"/>
      <c r="B4282" s="21" t="s">
        <v>10440</v>
      </c>
      <c r="D4282" s="25">
        <v>0.0</v>
      </c>
      <c r="E4282" s="27"/>
      <c r="F4282" s="25">
        <v>0.0</v>
      </c>
      <c r="G4282" s="27"/>
    </row>
    <row r="4283">
      <c r="A4283" s="21"/>
      <c r="B4283" s="21" t="s">
        <v>10441</v>
      </c>
      <c r="D4283" s="25">
        <v>0.0</v>
      </c>
      <c r="E4283" s="27"/>
      <c r="F4283" s="25">
        <v>0.0</v>
      </c>
      <c r="G4283" s="27"/>
    </row>
    <row r="4284">
      <c r="A4284" s="21"/>
      <c r="B4284" s="21" t="s">
        <v>10442</v>
      </c>
      <c r="D4284" s="25">
        <v>0.0</v>
      </c>
      <c r="E4284" s="27"/>
      <c r="F4284" s="25">
        <v>0.0</v>
      </c>
      <c r="G4284" s="27"/>
    </row>
    <row r="4285">
      <c r="A4285" s="21"/>
      <c r="B4285" s="21" t="s">
        <v>10443</v>
      </c>
      <c r="D4285" s="25">
        <v>0.0</v>
      </c>
      <c r="E4285" s="27"/>
      <c r="F4285" s="25">
        <v>0.0</v>
      </c>
      <c r="G4285" s="27"/>
    </row>
    <row r="4286">
      <c r="A4286" s="21"/>
      <c r="B4286" s="21" t="s">
        <v>10444</v>
      </c>
      <c r="D4286" s="25">
        <v>0.0</v>
      </c>
      <c r="E4286" s="27"/>
      <c r="F4286" s="25">
        <v>0.0</v>
      </c>
      <c r="G4286" s="27"/>
    </row>
    <row r="4287">
      <c r="A4287" s="21"/>
      <c r="B4287" s="21" t="s">
        <v>5051</v>
      </c>
      <c r="D4287" s="25">
        <v>0.0</v>
      </c>
      <c r="E4287" s="27"/>
      <c r="F4287" s="25">
        <v>0.0</v>
      </c>
      <c r="G4287" s="27"/>
    </row>
    <row r="4288">
      <c r="A4288" s="21"/>
      <c r="B4288" s="21" t="s">
        <v>10445</v>
      </c>
      <c r="C4288" s="27"/>
      <c r="D4288" s="25">
        <v>0.0</v>
      </c>
      <c r="E4288" s="27"/>
      <c r="F4288" s="25">
        <v>0.0</v>
      </c>
      <c r="G4288" s="27"/>
    </row>
    <row r="4289">
      <c r="A4289" s="21"/>
      <c r="B4289" s="21" t="s">
        <v>10446</v>
      </c>
      <c r="D4289" s="25">
        <v>0.0</v>
      </c>
      <c r="E4289" s="27"/>
      <c r="F4289" s="25">
        <v>0.0</v>
      </c>
      <c r="G4289" s="27"/>
    </row>
    <row r="4290">
      <c r="A4290" s="21"/>
      <c r="B4290" s="21" t="s">
        <v>10447</v>
      </c>
      <c r="D4290" s="25">
        <v>0.0</v>
      </c>
      <c r="E4290" s="27"/>
      <c r="F4290" s="25">
        <v>0.0</v>
      </c>
      <c r="G4290" s="27"/>
    </row>
    <row r="4291">
      <c r="A4291" s="21"/>
      <c r="B4291" s="21" t="s">
        <v>6047</v>
      </c>
      <c r="D4291" s="25">
        <v>0.0</v>
      </c>
      <c r="E4291" s="27"/>
      <c r="F4291" s="25">
        <v>0.0</v>
      </c>
      <c r="G4291" s="27"/>
    </row>
    <row r="4292">
      <c r="A4292" s="21"/>
      <c r="B4292" s="21" t="s">
        <v>10448</v>
      </c>
      <c r="D4292" s="25">
        <v>0.0</v>
      </c>
      <c r="E4292" s="27"/>
      <c r="F4292" s="25">
        <v>0.0</v>
      </c>
      <c r="G4292" s="27"/>
    </row>
    <row r="4293">
      <c r="A4293" s="21"/>
      <c r="B4293" s="21" t="s">
        <v>10449</v>
      </c>
      <c r="D4293" s="25">
        <v>0.0</v>
      </c>
      <c r="E4293" s="27"/>
      <c r="F4293" s="25">
        <v>0.0</v>
      </c>
      <c r="G4293" s="27"/>
    </row>
    <row r="4294">
      <c r="A4294" s="21"/>
      <c r="B4294" s="21" t="s">
        <v>10450</v>
      </c>
      <c r="D4294" s="25">
        <v>0.0</v>
      </c>
      <c r="E4294" s="27"/>
      <c r="F4294" s="25">
        <v>0.0</v>
      </c>
      <c r="G4294" s="27"/>
    </row>
    <row r="4295">
      <c r="A4295" s="21"/>
      <c r="B4295" s="21" t="s">
        <v>10451</v>
      </c>
      <c r="D4295" s="25">
        <v>0.0</v>
      </c>
      <c r="E4295" s="27"/>
      <c r="F4295" s="25">
        <v>0.0</v>
      </c>
      <c r="G4295" s="27"/>
    </row>
    <row r="4296">
      <c r="A4296" s="21"/>
      <c r="B4296" s="21" t="s">
        <v>10452</v>
      </c>
      <c r="D4296" s="25">
        <v>0.0</v>
      </c>
      <c r="E4296" s="27"/>
      <c r="F4296" s="25">
        <v>0.0</v>
      </c>
      <c r="G4296" s="27"/>
    </row>
    <row r="4297">
      <c r="A4297" s="21"/>
      <c r="B4297" s="21" t="s">
        <v>10453</v>
      </c>
      <c r="D4297" s="25">
        <v>0.0</v>
      </c>
      <c r="E4297" s="27"/>
      <c r="F4297" s="25">
        <v>0.0</v>
      </c>
      <c r="G4297" s="27"/>
    </row>
    <row r="4298">
      <c r="A4298" s="21"/>
      <c r="B4298" s="21" t="s">
        <v>10454</v>
      </c>
      <c r="D4298" s="25">
        <v>0.0</v>
      </c>
      <c r="E4298" s="27"/>
      <c r="F4298" s="25">
        <v>0.0</v>
      </c>
      <c r="G4298" s="27"/>
    </row>
    <row r="4299">
      <c r="A4299" s="21"/>
      <c r="B4299" s="21" t="s">
        <v>10455</v>
      </c>
      <c r="D4299" s="25">
        <v>0.0</v>
      </c>
      <c r="E4299" s="27"/>
      <c r="F4299" s="25">
        <v>0.0</v>
      </c>
      <c r="G4299" s="27"/>
    </row>
    <row r="4300">
      <c r="A4300" s="21"/>
      <c r="B4300" s="21" t="s">
        <v>10456</v>
      </c>
      <c r="D4300" s="25">
        <v>0.0</v>
      </c>
      <c r="E4300" s="27"/>
      <c r="F4300" s="25">
        <v>0.0</v>
      </c>
      <c r="G4300" s="27"/>
    </row>
    <row r="4301">
      <c r="A4301" s="21"/>
      <c r="B4301" s="21" t="s">
        <v>10457</v>
      </c>
      <c r="D4301" s="25">
        <v>0.0</v>
      </c>
      <c r="E4301" s="27"/>
      <c r="F4301" s="25">
        <v>0.0</v>
      </c>
      <c r="G4301" s="27"/>
    </row>
    <row r="4302">
      <c r="A4302" s="21"/>
      <c r="B4302" s="21" t="s">
        <v>10458</v>
      </c>
      <c r="D4302" s="25">
        <v>0.0</v>
      </c>
      <c r="E4302" s="27"/>
      <c r="F4302" s="25">
        <v>0.0</v>
      </c>
      <c r="G4302" s="27"/>
    </row>
    <row r="4303">
      <c r="A4303" s="21"/>
      <c r="B4303" s="21" t="s">
        <v>10459</v>
      </c>
      <c r="D4303" s="25">
        <v>0.0</v>
      </c>
      <c r="E4303" s="27"/>
      <c r="F4303" s="25">
        <v>0.0</v>
      </c>
      <c r="G4303" s="27"/>
    </row>
    <row r="4304">
      <c r="A4304" s="21"/>
      <c r="B4304" s="21" t="s">
        <v>10460</v>
      </c>
      <c r="D4304" s="25">
        <v>0.0</v>
      </c>
      <c r="E4304" s="27"/>
      <c r="F4304" s="25">
        <v>0.0</v>
      </c>
      <c r="G4304" s="27"/>
    </row>
    <row r="4305">
      <c r="A4305" s="21"/>
      <c r="B4305" s="21" t="s">
        <v>10461</v>
      </c>
      <c r="D4305" s="25">
        <v>0.0</v>
      </c>
      <c r="E4305" s="27"/>
      <c r="F4305" s="25">
        <v>0.0</v>
      </c>
      <c r="G4305" s="27"/>
    </row>
    <row r="4306">
      <c r="A4306" s="21"/>
      <c r="B4306" s="21" t="s">
        <v>10462</v>
      </c>
      <c r="D4306" s="25">
        <v>0.0</v>
      </c>
      <c r="E4306" s="27"/>
      <c r="F4306" s="25">
        <v>0.0</v>
      </c>
      <c r="G4306" s="27"/>
    </row>
    <row r="4307">
      <c r="A4307" s="21"/>
      <c r="B4307" s="21" t="s">
        <v>10463</v>
      </c>
      <c r="D4307" s="25">
        <v>0.0</v>
      </c>
      <c r="E4307" s="27"/>
      <c r="F4307" s="25">
        <v>0.0</v>
      </c>
      <c r="G4307" s="27"/>
    </row>
    <row r="4308">
      <c r="A4308" s="21"/>
      <c r="B4308" s="21" t="s">
        <v>10464</v>
      </c>
      <c r="D4308" s="25">
        <v>0.0</v>
      </c>
      <c r="E4308" s="27"/>
      <c r="F4308" s="25">
        <v>0.0</v>
      </c>
      <c r="G4308" s="27"/>
    </row>
    <row r="4309">
      <c r="A4309" s="21"/>
      <c r="B4309" s="21" t="s">
        <v>5063</v>
      </c>
      <c r="D4309" s="25">
        <v>0.0</v>
      </c>
      <c r="E4309" s="27"/>
      <c r="F4309" s="25">
        <v>0.0</v>
      </c>
      <c r="G4309" s="27"/>
    </row>
    <row r="4310">
      <c r="A4310" s="21"/>
      <c r="B4310" s="21" t="s">
        <v>10465</v>
      </c>
      <c r="D4310" s="25">
        <v>0.0</v>
      </c>
      <c r="E4310" s="27"/>
      <c r="F4310" s="25">
        <v>0.0</v>
      </c>
      <c r="G4310" s="27"/>
    </row>
    <row r="4311">
      <c r="A4311" s="21"/>
      <c r="B4311" s="21" t="s">
        <v>10466</v>
      </c>
      <c r="D4311" s="25">
        <v>0.0</v>
      </c>
      <c r="E4311" s="27"/>
      <c r="F4311" s="25">
        <v>0.0</v>
      </c>
      <c r="G4311" s="27"/>
    </row>
    <row r="4312">
      <c r="A4312" s="21"/>
      <c r="B4312" s="21" t="s">
        <v>10467</v>
      </c>
      <c r="D4312" s="25">
        <v>0.0</v>
      </c>
      <c r="E4312" s="27"/>
      <c r="F4312" s="25">
        <v>0.0</v>
      </c>
      <c r="G4312" s="27"/>
    </row>
    <row r="4313">
      <c r="A4313" s="21"/>
      <c r="B4313" s="21" t="s">
        <v>10468</v>
      </c>
      <c r="D4313" s="25">
        <v>0.0</v>
      </c>
      <c r="E4313" s="27"/>
      <c r="F4313" s="25">
        <v>0.0</v>
      </c>
      <c r="G4313" s="27"/>
    </row>
    <row r="4314">
      <c r="A4314" s="21"/>
      <c r="B4314" s="21" t="s">
        <v>10469</v>
      </c>
      <c r="D4314" s="25">
        <v>0.0</v>
      </c>
      <c r="E4314" s="27"/>
      <c r="F4314" s="25">
        <v>0.0</v>
      </c>
      <c r="G4314" s="27"/>
    </row>
    <row r="4315">
      <c r="A4315" s="21"/>
      <c r="B4315" s="21" t="s">
        <v>10470</v>
      </c>
      <c r="D4315" s="25">
        <v>0.0</v>
      </c>
      <c r="E4315" s="27"/>
      <c r="F4315" s="25">
        <v>0.0</v>
      </c>
      <c r="G4315" s="27"/>
    </row>
    <row r="4316">
      <c r="A4316" s="21"/>
      <c r="B4316" s="21" t="s">
        <v>10471</v>
      </c>
      <c r="D4316" s="25">
        <v>0.0</v>
      </c>
      <c r="E4316" s="27"/>
      <c r="F4316" s="25">
        <v>0.0</v>
      </c>
      <c r="G4316" s="27"/>
    </row>
    <row r="4317">
      <c r="A4317" s="21"/>
      <c r="B4317" s="21" t="s">
        <v>10472</v>
      </c>
      <c r="D4317" s="25">
        <v>0.0</v>
      </c>
      <c r="E4317" s="27"/>
      <c r="F4317" s="25">
        <v>0.0</v>
      </c>
      <c r="G4317" s="27"/>
    </row>
    <row r="4318">
      <c r="A4318" s="21"/>
      <c r="B4318" s="21" t="s">
        <v>10473</v>
      </c>
      <c r="D4318" s="25">
        <v>0.0</v>
      </c>
      <c r="E4318" s="27"/>
      <c r="F4318" s="25">
        <v>0.0</v>
      </c>
      <c r="G4318" s="27"/>
    </row>
    <row r="4319">
      <c r="A4319" s="21"/>
      <c r="B4319" s="21" t="s">
        <v>10474</v>
      </c>
      <c r="D4319" s="25">
        <v>0.0</v>
      </c>
      <c r="E4319" s="27"/>
      <c r="F4319" s="25">
        <v>0.0</v>
      </c>
      <c r="G4319" s="27"/>
    </row>
    <row r="4320">
      <c r="A4320" s="21"/>
      <c r="B4320" s="21" t="s">
        <v>10475</v>
      </c>
      <c r="D4320" s="25">
        <v>0.0</v>
      </c>
      <c r="E4320" s="27"/>
      <c r="F4320" s="25">
        <v>0.0</v>
      </c>
      <c r="G4320" s="27"/>
    </row>
    <row r="4321">
      <c r="A4321" s="21"/>
      <c r="B4321" s="21" t="s">
        <v>53</v>
      </c>
      <c r="D4321" s="25">
        <v>0.0</v>
      </c>
      <c r="E4321" s="27"/>
      <c r="F4321" s="25">
        <v>0.0</v>
      </c>
      <c r="G4321" s="27"/>
    </row>
    <row r="4322">
      <c r="A4322" s="21"/>
      <c r="B4322" s="21" t="s">
        <v>10476</v>
      </c>
      <c r="D4322" s="25">
        <v>0.0</v>
      </c>
      <c r="E4322" s="27"/>
      <c r="F4322" s="25">
        <v>0.0</v>
      </c>
      <c r="G4322" s="27"/>
    </row>
    <row r="4323">
      <c r="A4323" s="21"/>
      <c r="B4323" s="21" t="s">
        <v>10477</v>
      </c>
      <c r="D4323" s="25">
        <v>0.0</v>
      </c>
      <c r="E4323" s="27"/>
      <c r="F4323" s="25">
        <v>0.0</v>
      </c>
      <c r="G4323" s="27"/>
    </row>
    <row r="4324">
      <c r="A4324" s="21"/>
      <c r="B4324" s="21" t="s">
        <v>10478</v>
      </c>
      <c r="D4324" s="25">
        <v>0.0</v>
      </c>
      <c r="E4324" s="27"/>
      <c r="F4324" s="25">
        <v>0.0</v>
      </c>
      <c r="G4324" s="27"/>
    </row>
    <row r="4325">
      <c r="A4325" s="21"/>
      <c r="B4325" s="21" t="s">
        <v>10479</v>
      </c>
      <c r="D4325" s="25">
        <v>0.0</v>
      </c>
      <c r="E4325" s="27"/>
      <c r="F4325" s="25">
        <v>0.0</v>
      </c>
      <c r="G4325" s="27"/>
    </row>
    <row r="4326">
      <c r="A4326" s="21"/>
      <c r="B4326" s="21" t="s">
        <v>10480</v>
      </c>
      <c r="D4326" s="25">
        <v>0.0</v>
      </c>
      <c r="E4326" s="27"/>
      <c r="F4326" s="25">
        <v>0.0</v>
      </c>
      <c r="G4326" s="27"/>
    </row>
    <row r="4327">
      <c r="A4327" s="21"/>
      <c r="B4327" s="21" t="s">
        <v>10481</v>
      </c>
      <c r="D4327" s="25">
        <v>0.0</v>
      </c>
      <c r="E4327" s="27"/>
      <c r="F4327" s="25">
        <v>0.0</v>
      </c>
      <c r="G4327" s="27"/>
    </row>
    <row r="4328">
      <c r="A4328" s="21"/>
      <c r="B4328" s="21" t="s">
        <v>10482</v>
      </c>
      <c r="D4328" s="25">
        <v>0.0</v>
      </c>
      <c r="E4328" s="27"/>
      <c r="F4328" s="25">
        <v>0.0</v>
      </c>
      <c r="G4328" s="27"/>
    </row>
    <row r="4329">
      <c r="A4329" s="21"/>
      <c r="B4329" s="21" t="s">
        <v>10483</v>
      </c>
      <c r="D4329" s="25">
        <v>0.0</v>
      </c>
      <c r="E4329" s="27"/>
      <c r="F4329" s="25">
        <v>0.0</v>
      </c>
      <c r="G4329" s="27"/>
    </row>
    <row r="4330">
      <c r="A4330" s="21"/>
      <c r="B4330" s="21" t="s">
        <v>10484</v>
      </c>
      <c r="D4330" s="25">
        <v>0.0</v>
      </c>
      <c r="E4330" s="27"/>
      <c r="F4330" s="25">
        <v>0.0</v>
      </c>
      <c r="G4330" s="27"/>
    </row>
    <row r="4331">
      <c r="A4331" s="21"/>
      <c r="B4331" s="21" t="s">
        <v>10485</v>
      </c>
      <c r="D4331" s="25">
        <v>0.0</v>
      </c>
      <c r="E4331" s="27"/>
      <c r="F4331" s="25">
        <v>0.0</v>
      </c>
      <c r="G4331" s="27"/>
    </row>
    <row r="4332">
      <c r="A4332" s="21"/>
      <c r="B4332" s="21" t="s">
        <v>10486</v>
      </c>
      <c r="D4332" s="25">
        <v>0.0</v>
      </c>
      <c r="E4332" s="27"/>
      <c r="F4332" s="25">
        <v>0.0</v>
      </c>
      <c r="G4332" s="27"/>
    </row>
    <row r="4333">
      <c r="A4333" s="21"/>
      <c r="B4333" s="21" t="s">
        <v>10487</v>
      </c>
      <c r="D4333" s="25">
        <v>0.0</v>
      </c>
      <c r="E4333" s="27"/>
      <c r="F4333" s="25">
        <v>0.0</v>
      </c>
      <c r="G4333" s="27"/>
    </row>
    <row r="4334">
      <c r="A4334" s="21"/>
      <c r="B4334" s="21" t="s">
        <v>10488</v>
      </c>
      <c r="D4334" s="25">
        <v>0.0</v>
      </c>
      <c r="E4334" s="27"/>
      <c r="F4334" s="25">
        <v>0.0</v>
      </c>
      <c r="G4334" s="27"/>
    </row>
    <row r="4335">
      <c r="A4335" s="21"/>
      <c r="B4335" s="21" t="s">
        <v>10489</v>
      </c>
      <c r="D4335" s="25">
        <v>0.0</v>
      </c>
      <c r="E4335" s="27"/>
      <c r="F4335" s="25">
        <v>0.0</v>
      </c>
      <c r="G4335" s="27"/>
    </row>
    <row r="4336">
      <c r="A4336" s="21"/>
      <c r="B4336" s="21" t="s">
        <v>10490</v>
      </c>
      <c r="D4336" s="25">
        <v>0.0</v>
      </c>
      <c r="E4336" s="27"/>
      <c r="F4336" s="25">
        <v>0.0</v>
      </c>
      <c r="G4336" s="27"/>
    </row>
    <row r="4337">
      <c r="A4337" s="21"/>
      <c r="B4337" s="21" t="s">
        <v>10491</v>
      </c>
      <c r="D4337" s="25">
        <v>0.0</v>
      </c>
      <c r="E4337" s="27"/>
      <c r="F4337" s="25">
        <v>0.0</v>
      </c>
      <c r="G4337" s="27"/>
    </row>
    <row r="4338">
      <c r="A4338" s="21"/>
      <c r="B4338" s="21" t="s">
        <v>10492</v>
      </c>
      <c r="D4338" s="25">
        <v>0.0</v>
      </c>
      <c r="E4338" s="27"/>
      <c r="F4338" s="25">
        <v>0.0</v>
      </c>
      <c r="G4338" s="27"/>
    </row>
    <row r="4339">
      <c r="A4339" s="21"/>
      <c r="B4339" s="21" t="s">
        <v>10493</v>
      </c>
      <c r="D4339" s="25">
        <v>0.0</v>
      </c>
      <c r="E4339" s="27"/>
      <c r="F4339" s="25">
        <v>0.0</v>
      </c>
      <c r="G4339" s="27"/>
    </row>
    <row r="4340">
      <c r="A4340" s="21"/>
      <c r="B4340" s="21" t="s">
        <v>10494</v>
      </c>
      <c r="D4340" s="25">
        <v>0.0</v>
      </c>
      <c r="E4340" s="27"/>
      <c r="F4340" s="25">
        <v>0.0</v>
      </c>
      <c r="G4340" s="27"/>
    </row>
    <row r="4341">
      <c r="A4341" s="21"/>
      <c r="B4341" s="21" t="s">
        <v>10495</v>
      </c>
      <c r="D4341" s="25">
        <v>0.0</v>
      </c>
      <c r="E4341" s="27"/>
      <c r="F4341" s="25">
        <v>0.0</v>
      </c>
      <c r="G4341" s="27"/>
    </row>
    <row r="4342">
      <c r="A4342" s="21"/>
      <c r="B4342" s="21" t="s">
        <v>10496</v>
      </c>
      <c r="D4342" s="25">
        <v>0.0</v>
      </c>
      <c r="E4342" s="27"/>
      <c r="F4342" s="25">
        <v>0.0</v>
      </c>
      <c r="G4342" s="27"/>
    </row>
    <row r="4343">
      <c r="A4343" s="21"/>
      <c r="B4343" s="21" t="s">
        <v>10497</v>
      </c>
      <c r="D4343" s="25">
        <v>0.0</v>
      </c>
      <c r="E4343" s="27"/>
      <c r="F4343" s="25">
        <v>0.0</v>
      </c>
      <c r="G4343" s="27"/>
    </row>
    <row r="4344">
      <c r="A4344" s="21"/>
      <c r="B4344" s="21" t="s">
        <v>10498</v>
      </c>
      <c r="D4344" s="25">
        <v>0.0</v>
      </c>
      <c r="E4344" s="27"/>
      <c r="F4344" s="25">
        <v>0.0</v>
      </c>
      <c r="G4344" s="27"/>
    </row>
    <row r="4345">
      <c r="A4345" s="21"/>
      <c r="B4345" s="21" t="s">
        <v>10499</v>
      </c>
      <c r="D4345" s="25">
        <v>0.0</v>
      </c>
      <c r="E4345" s="27"/>
      <c r="F4345" s="25">
        <v>0.0</v>
      </c>
      <c r="G4345" s="27"/>
    </row>
    <row r="4346">
      <c r="A4346" s="21"/>
      <c r="B4346" s="21" t="s">
        <v>10500</v>
      </c>
      <c r="D4346" s="25">
        <v>0.0</v>
      </c>
      <c r="E4346" s="27"/>
      <c r="F4346" s="25">
        <v>0.0</v>
      </c>
      <c r="G4346" s="27"/>
    </row>
    <row r="4347">
      <c r="A4347" s="21"/>
      <c r="B4347" s="21" t="s">
        <v>10501</v>
      </c>
      <c r="D4347" s="25">
        <v>0.0</v>
      </c>
      <c r="E4347" s="27"/>
      <c r="F4347" s="25">
        <v>0.0</v>
      </c>
      <c r="G4347" s="27"/>
    </row>
    <row r="4348">
      <c r="A4348" s="21"/>
      <c r="B4348" s="21" t="s">
        <v>10502</v>
      </c>
      <c r="D4348" s="25">
        <v>0.0</v>
      </c>
      <c r="E4348" s="27"/>
      <c r="F4348" s="25">
        <v>0.0</v>
      </c>
      <c r="G4348" s="27"/>
    </row>
    <row r="4349">
      <c r="A4349" s="21"/>
      <c r="B4349" s="21" t="s">
        <v>10503</v>
      </c>
      <c r="D4349" s="25">
        <v>0.0</v>
      </c>
      <c r="E4349" s="27"/>
      <c r="F4349" s="25">
        <v>0.0</v>
      </c>
      <c r="G4349" s="27"/>
    </row>
    <row r="4350">
      <c r="A4350" s="21"/>
      <c r="B4350" s="21" t="s">
        <v>10504</v>
      </c>
      <c r="D4350" s="25">
        <v>0.0</v>
      </c>
      <c r="E4350" s="27"/>
      <c r="F4350" s="25">
        <v>0.0</v>
      </c>
      <c r="G4350" s="27"/>
    </row>
    <row r="4351">
      <c r="A4351" s="21"/>
      <c r="B4351" s="21" t="s">
        <v>10505</v>
      </c>
      <c r="D4351" s="25">
        <v>0.0</v>
      </c>
      <c r="E4351" s="27"/>
      <c r="F4351" s="25">
        <v>0.0</v>
      </c>
      <c r="G4351" s="27"/>
    </row>
    <row r="4352">
      <c r="A4352" s="21"/>
      <c r="B4352" s="21" t="s">
        <v>10506</v>
      </c>
      <c r="D4352" s="25">
        <v>0.0</v>
      </c>
      <c r="E4352" s="27"/>
      <c r="F4352" s="25">
        <v>0.0</v>
      </c>
      <c r="G4352" s="27"/>
    </row>
    <row r="4353">
      <c r="A4353" s="21"/>
      <c r="B4353" s="21" t="s">
        <v>10507</v>
      </c>
      <c r="D4353" s="25">
        <v>0.0</v>
      </c>
      <c r="E4353" s="27"/>
      <c r="F4353" s="25">
        <v>0.0</v>
      </c>
      <c r="G4353" s="27"/>
    </row>
    <row r="4354">
      <c r="A4354" s="21"/>
      <c r="B4354" s="21" t="s">
        <v>10508</v>
      </c>
      <c r="D4354" s="25">
        <v>0.0</v>
      </c>
      <c r="E4354" s="27"/>
      <c r="F4354" s="25">
        <v>0.0</v>
      </c>
      <c r="G4354" s="27"/>
    </row>
    <row r="4355">
      <c r="A4355" s="21"/>
      <c r="B4355" s="21" t="s">
        <v>10509</v>
      </c>
      <c r="D4355" s="25">
        <v>0.0</v>
      </c>
      <c r="E4355" s="27"/>
      <c r="F4355" s="25">
        <v>0.0</v>
      </c>
      <c r="G4355" s="27"/>
    </row>
    <row r="4356">
      <c r="A4356" s="21"/>
      <c r="B4356" s="21" t="s">
        <v>6048</v>
      </c>
      <c r="D4356" s="25">
        <v>0.0</v>
      </c>
      <c r="E4356" s="27"/>
      <c r="F4356" s="25">
        <v>0.0</v>
      </c>
      <c r="G4356" s="27"/>
    </row>
    <row r="4357">
      <c r="A4357" s="21"/>
      <c r="B4357" s="21" t="s">
        <v>10510</v>
      </c>
      <c r="D4357" s="25">
        <v>0.0</v>
      </c>
      <c r="E4357" s="27"/>
      <c r="F4357" s="25">
        <v>0.0</v>
      </c>
      <c r="G4357" s="27"/>
    </row>
    <row r="4358">
      <c r="A4358" s="21"/>
      <c r="B4358" s="21" t="s">
        <v>10511</v>
      </c>
      <c r="D4358" s="25">
        <v>0.0</v>
      </c>
      <c r="E4358" s="27"/>
      <c r="F4358" s="25">
        <v>0.0</v>
      </c>
      <c r="G4358" s="27"/>
    </row>
    <row r="4359">
      <c r="A4359" s="21"/>
      <c r="B4359" s="21" t="s">
        <v>10512</v>
      </c>
      <c r="D4359" s="25">
        <v>0.0</v>
      </c>
      <c r="E4359" s="27"/>
      <c r="F4359" s="25">
        <v>0.0</v>
      </c>
      <c r="G4359" s="27"/>
    </row>
    <row r="4360">
      <c r="A4360" s="21"/>
      <c r="B4360" s="21" t="s">
        <v>10513</v>
      </c>
      <c r="D4360" s="25">
        <v>0.0</v>
      </c>
      <c r="E4360" s="27"/>
      <c r="F4360" s="25">
        <v>0.0</v>
      </c>
      <c r="G4360" s="27"/>
    </row>
    <row r="4361">
      <c r="A4361" s="21"/>
      <c r="B4361" s="21" t="s">
        <v>10514</v>
      </c>
      <c r="D4361" s="25">
        <v>0.0</v>
      </c>
      <c r="E4361" s="27"/>
      <c r="F4361" s="25">
        <v>0.0</v>
      </c>
      <c r="G4361" s="27"/>
    </row>
    <row r="4362">
      <c r="A4362" s="21"/>
      <c r="B4362" s="21" t="s">
        <v>10515</v>
      </c>
      <c r="D4362" s="25">
        <v>0.0</v>
      </c>
      <c r="E4362" s="27"/>
      <c r="F4362" s="25">
        <v>0.0</v>
      </c>
      <c r="G4362" s="27"/>
    </row>
    <row r="4363">
      <c r="A4363" s="21"/>
      <c r="B4363" s="21" t="s">
        <v>10516</v>
      </c>
      <c r="D4363" s="25">
        <v>0.0</v>
      </c>
      <c r="E4363" s="27"/>
      <c r="F4363" s="25">
        <v>0.0</v>
      </c>
      <c r="G4363" s="27"/>
    </row>
    <row r="4364">
      <c r="A4364" s="21"/>
      <c r="B4364" s="21" t="s">
        <v>10517</v>
      </c>
      <c r="D4364" s="25">
        <v>0.0</v>
      </c>
      <c r="E4364" s="27"/>
      <c r="F4364" s="25">
        <v>0.0</v>
      </c>
      <c r="G4364" s="27"/>
    </row>
    <row r="4365">
      <c r="A4365" s="21"/>
      <c r="B4365" s="21" t="s">
        <v>10518</v>
      </c>
      <c r="D4365" s="25">
        <v>0.0</v>
      </c>
      <c r="E4365" s="27"/>
      <c r="F4365" s="25">
        <v>0.0</v>
      </c>
      <c r="G4365" s="27"/>
    </row>
    <row r="4366">
      <c r="A4366" s="21"/>
      <c r="B4366" s="21" t="s">
        <v>10519</v>
      </c>
      <c r="D4366" s="25">
        <v>0.0</v>
      </c>
      <c r="E4366" s="27"/>
      <c r="F4366" s="25">
        <v>0.0</v>
      </c>
      <c r="G4366" s="27"/>
    </row>
    <row r="4367">
      <c r="A4367" s="21"/>
      <c r="B4367" s="21" t="s">
        <v>10520</v>
      </c>
      <c r="D4367" s="25">
        <v>0.0</v>
      </c>
      <c r="E4367" s="27"/>
      <c r="F4367" s="25">
        <v>0.0</v>
      </c>
      <c r="G4367" s="27"/>
    </row>
    <row r="4368">
      <c r="A4368" s="21"/>
      <c r="B4368" s="21" t="s">
        <v>10521</v>
      </c>
      <c r="D4368" s="25">
        <v>0.0</v>
      </c>
      <c r="E4368" s="27"/>
      <c r="F4368" s="25">
        <v>0.0</v>
      </c>
      <c r="G4368" s="27"/>
    </row>
    <row r="4369">
      <c r="A4369" s="21"/>
      <c r="B4369" s="21" t="s">
        <v>10522</v>
      </c>
      <c r="D4369" s="25">
        <v>0.0</v>
      </c>
      <c r="E4369" s="27"/>
      <c r="F4369" s="25">
        <v>0.0</v>
      </c>
      <c r="G4369" s="27"/>
    </row>
    <row r="4370">
      <c r="A4370" s="21"/>
      <c r="B4370" s="21" t="s">
        <v>10523</v>
      </c>
      <c r="D4370" s="25">
        <v>0.0</v>
      </c>
      <c r="E4370" s="27"/>
      <c r="F4370" s="25">
        <v>0.0</v>
      </c>
      <c r="G4370" s="27"/>
    </row>
    <row r="4371">
      <c r="A4371" s="21"/>
      <c r="B4371" s="21" t="s">
        <v>10524</v>
      </c>
      <c r="D4371" s="25">
        <v>0.0</v>
      </c>
      <c r="E4371" s="27"/>
      <c r="F4371" s="25">
        <v>0.0</v>
      </c>
      <c r="G4371" s="27"/>
    </row>
    <row r="4372">
      <c r="A4372" s="21"/>
      <c r="B4372" s="21" t="s">
        <v>10525</v>
      </c>
      <c r="D4372" s="25">
        <v>0.0</v>
      </c>
      <c r="E4372" s="27"/>
      <c r="F4372" s="25">
        <v>0.0</v>
      </c>
      <c r="G4372" s="27"/>
    </row>
    <row r="4373">
      <c r="A4373" s="21"/>
      <c r="B4373" s="21" t="s">
        <v>10526</v>
      </c>
      <c r="D4373" s="25">
        <v>0.0</v>
      </c>
      <c r="E4373" s="27"/>
      <c r="F4373" s="25">
        <v>0.0</v>
      </c>
      <c r="G4373" s="27"/>
    </row>
    <row r="4374">
      <c r="A4374" s="21"/>
      <c r="B4374" s="21" t="s">
        <v>10527</v>
      </c>
      <c r="D4374" s="25">
        <v>0.0</v>
      </c>
      <c r="E4374" s="27"/>
      <c r="F4374" s="25">
        <v>1.04</v>
      </c>
      <c r="G4374" s="27"/>
    </row>
    <row r="4375">
      <c r="A4375" s="21"/>
      <c r="B4375" s="21" t="s">
        <v>10528</v>
      </c>
      <c r="D4375" s="25">
        <v>0.0</v>
      </c>
      <c r="E4375" s="27"/>
      <c r="F4375" s="25">
        <v>1.55</v>
      </c>
      <c r="G4375" s="27"/>
    </row>
    <row r="4376">
      <c r="A4376" s="21"/>
      <c r="B4376" s="21" t="s">
        <v>10529</v>
      </c>
      <c r="D4376" s="25">
        <v>0.0</v>
      </c>
      <c r="E4376" s="27"/>
      <c r="F4376" s="25">
        <v>0.0</v>
      </c>
      <c r="G4376" s="27"/>
    </row>
    <row r="4377">
      <c r="A4377" s="21"/>
      <c r="B4377" s="21" t="s">
        <v>10530</v>
      </c>
      <c r="D4377" s="25">
        <v>0.0</v>
      </c>
      <c r="E4377" s="27"/>
      <c r="F4377" s="25">
        <v>0.0</v>
      </c>
      <c r="G4377" s="27"/>
    </row>
    <row r="4378">
      <c r="A4378" s="21"/>
      <c r="B4378" s="21" t="s">
        <v>10531</v>
      </c>
      <c r="D4378" s="25">
        <v>0.0</v>
      </c>
      <c r="E4378" s="27"/>
      <c r="F4378" s="25">
        <v>0.0</v>
      </c>
      <c r="G4378" s="27"/>
    </row>
    <row r="4379">
      <c r="A4379" s="21"/>
      <c r="B4379" s="21" t="s">
        <v>10532</v>
      </c>
      <c r="D4379" s="25">
        <v>0.0</v>
      </c>
      <c r="E4379" s="27"/>
      <c r="F4379" s="25">
        <v>1.04</v>
      </c>
      <c r="G4379" s="27"/>
    </row>
    <row r="4380">
      <c r="A4380" s="21"/>
      <c r="B4380" s="21" t="s">
        <v>10533</v>
      </c>
      <c r="D4380" s="25">
        <v>0.0</v>
      </c>
      <c r="E4380" s="27"/>
      <c r="F4380" s="25">
        <v>0.0</v>
      </c>
      <c r="G4380" s="27"/>
    </row>
    <row r="4381">
      <c r="A4381" s="21"/>
      <c r="B4381" s="21" t="s">
        <v>10534</v>
      </c>
      <c r="D4381" s="25">
        <v>0.0</v>
      </c>
      <c r="E4381" s="27"/>
      <c r="F4381" s="25">
        <v>0.0</v>
      </c>
      <c r="G4381" s="27"/>
    </row>
    <row r="4382">
      <c r="A4382" s="21"/>
      <c r="B4382" s="21" t="s">
        <v>10535</v>
      </c>
      <c r="D4382" s="25">
        <v>0.0</v>
      </c>
      <c r="E4382" s="27"/>
      <c r="F4382" s="25">
        <v>0.0</v>
      </c>
      <c r="G4382" s="27"/>
    </row>
    <row r="4383">
      <c r="A4383" s="21"/>
      <c r="B4383" s="21" t="s">
        <v>10536</v>
      </c>
      <c r="D4383" s="25">
        <v>0.0</v>
      </c>
      <c r="E4383" s="27"/>
      <c r="F4383" s="25">
        <v>0.0</v>
      </c>
      <c r="G4383" s="27"/>
    </row>
    <row r="4384">
      <c r="A4384" s="21"/>
      <c r="B4384" s="21" t="s">
        <v>10537</v>
      </c>
      <c r="D4384" s="25">
        <v>0.0</v>
      </c>
      <c r="E4384" s="27"/>
      <c r="F4384" s="25">
        <v>0.0</v>
      </c>
      <c r="G4384" s="27"/>
    </row>
    <row r="4385">
      <c r="A4385" s="21"/>
      <c r="B4385" s="21" t="s">
        <v>10538</v>
      </c>
      <c r="D4385" s="25">
        <v>0.0</v>
      </c>
      <c r="E4385" s="27"/>
      <c r="F4385" s="25">
        <v>0.0</v>
      </c>
      <c r="G4385" s="27"/>
    </row>
    <row r="4386">
      <c r="A4386" s="21"/>
      <c r="B4386" s="21" t="s">
        <v>10539</v>
      </c>
      <c r="D4386" s="25">
        <v>0.0</v>
      </c>
      <c r="E4386" s="27"/>
      <c r="F4386" s="25">
        <v>0.0</v>
      </c>
      <c r="G4386" s="27"/>
    </row>
    <row r="4387">
      <c r="A4387" s="21"/>
      <c r="B4387" s="21" t="s">
        <v>10540</v>
      </c>
      <c r="D4387" s="25">
        <v>0.0</v>
      </c>
      <c r="E4387" s="27"/>
      <c r="F4387" s="25">
        <v>0.0</v>
      </c>
      <c r="G4387" s="27"/>
    </row>
    <row r="4388">
      <c r="A4388" s="21"/>
      <c r="B4388" s="21" t="s">
        <v>10541</v>
      </c>
      <c r="D4388" s="25">
        <v>0.0</v>
      </c>
      <c r="E4388" s="27"/>
      <c r="F4388" s="25">
        <v>0.0</v>
      </c>
      <c r="G4388" s="27"/>
    </row>
    <row r="4389">
      <c r="A4389" s="21"/>
      <c r="B4389" s="21" t="s">
        <v>10542</v>
      </c>
      <c r="D4389" s="25">
        <v>0.0</v>
      </c>
      <c r="E4389" s="27"/>
      <c r="F4389" s="25">
        <v>0.0</v>
      </c>
      <c r="G4389" s="27"/>
    </row>
    <row r="4390">
      <c r="A4390" s="21"/>
      <c r="B4390" s="21" t="s">
        <v>10543</v>
      </c>
      <c r="D4390" s="25">
        <v>0.0</v>
      </c>
      <c r="E4390" s="27"/>
      <c r="F4390" s="25">
        <v>0.0</v>
      </c>
      <c r="G4390" s="27"/>
    </row>
    <row r="4391">
      <c r="A4391" s="21"/>
      <c r="B4391" s="21" t="s">
        <v>10544</v>
      </c>
      <c r="D4391" s="25">
        <v>0.0</v>
      </c>
      <c r="E4391" s="27"/>
      <c r="F4391" s="25">
        <v>0.0</v>
      </c>
      <c r="G4391" s="27"/>
    </row>
    <row r="4392">
      <c r="A4392" s="21"/>
      <c r="B4392" s="21" t="s">
        <v>10545</v>
      </c>
      <c r="D4392" s="25">
        <v>0.0</v>
      </c>
      <c r="E4392" s="27"/>
      <c r="F4392" s="25">
        <v>0.0</v>
      </c>
      <c r="G4392" s="27"/>
    </row>
    <row r="4393">
      <c r="A4393" s="21"/>
      <c r="B4393" s="21" t="s">
        <v>10546</v>
      </c>
      <c r="D4393" s="25">
        <v>0.0</v>
      </c>
      <c r="E4393" s="27"/>
      <c r="F4393" s="25">
        <v>0.0</v>
      </c>
      <c r="G4393" s="27"/>
    </row>
    <row r="4394">
      <c r="A4394" s="21"/>
      <c r="B4394" s="21" t="s">
        <v>10547</v>
      </c>
      <c r="D4394" s="25">
        <v>0.0</v>
      </c>
      <c r="E4394" s="27"/>
      <c r="F4394" s="25">
        <v>0.0</v>
      </c>
      <c r="G4394" s="27"/>
    </row>
    <row r="4395">
      <c r="A4395" s="21"/>
      <c r="B4395" s="21" t="s">
        <v>10548</v>
      </c>
      <c r="D4395" s="25">
        <v>0.0</v>
      </c>
      <c r="E4395" s="27"/>
      <c r="F4395" s="25">
        <v>0.0</v>
      </c>
      <c r="G4395" s="27"/>
    </row>
    <row r="4396">
      <c r="A4396" s="21"/>
      <c r="B4396" s="21" t="s">
        <v>10549</v>
      </c>
      <c r="D4396" s="25">
        <v>0.0</v>
      </c>
      <c r="E4396" s="27"/>
      <c r="F4396" s="25">
        <v>0.0</v>
      </c>
      <c r="G4396" s="27"/>
    </row>
    <row r="4397">
      <c r="A4397" s="21"/>
      <c r="B4397" s="21" t="s">
        <v>10550</v>
      </c>
      <c r="D4397" s="25">
        <v>0.0</v>
      </c>
      <c r="E4397" s="27"/>
      <c r="F4397" s="25">
        <v>0.0</v>
      </c>
      <c r="G4397" s="27"/>
    </row>
    <row r="4398">
      <c r="A4398" s="21"/>
      <c r="B4398" s="21" t="s">
        <v>10551</v>
      </c>
      <c r="D4398" s="25">
        <v>0.0</v>
      </c>
      <c r="E4398" s="27"/>
      <c r="F4398" s="25">
        <v>0.0</v>
      </c>
      <c r="G4398" s="27"/>
    </row>
    <row r="4399">
      <c r="A4399" s="21"/>
      <c r="B4399" s="21" t="s">
        <v>10552</v>
      </c>
      <c r="D4399" s="25">
        <v>0.0</v>
      </c>
      <c r="E4399" s="27"/>
      <c r="F4399" s="25">
        <v>0.0</v>
      </c>
      <c r="G4399" s="27"/>
    </row>
    <row r="4400">
      <c r="A4400" s="21"/>
      <c r="B4400" s="21" t="s">
        <v>10553</v>
      </c>
      <c r="D4400" s="25">
        <v>0.0</v>
      </c>
      <c r="E4400" s="27"/>
      <c r="F4400" s="25">
        <v>0.0</v>
      </c>
      <c r="G4400" s="27"/>
    </row>
    <row r="4401">
      <c r="A4401" s="21"/>
      <c r="B4401" s="21" t="s">
        <v>10554</v>
      </c>
      <c r="D4401" s="25">
        <v>0.0</v>
      </c>
      <c r="E4401" s="27"/>
      <c r="F4401" s="25">
        <v>0.0</v>
      </c>
      <c r="G4401" s="27"/>
    </row>
    <row r="4402">
      <c r="A4402" s="21"/>
      <c r="B4402" s="21" t="s">
        <v>10555</v>
      </c>
      <c r="D4402" s="25">
        <v>0.0</v>
      </c>
      <c r="E4402" s="27"/>
      <c r="F4402" s="25">
        <v>0.0</v>
      </c>
      <c r="G4402" s="27"/>
    </row>
    <row r="4403">
      <c r="A4403" s="21"/>
      <c r="B4403" s="21" t="s">
        <v>10556</v>
      </c>
      <c r="D4403" s="25">
        <v>0.0</v>
      </c>
      <c r="E4403" s="27"/>
      <c r="F4403" s="25">
        <v>0.0</v>
      </c>
      <c r="G4403" s="27"/>
    </row>
    <row r="4404">
      <c r="A4404" s="21"/>
      <c r="B4404" s="21" t="s">
        <v>10557</v>
      </c>
      <c r="D4404" s="25">
        <v>0.0</v>
      </c>
      <c r="E4404" s="27"/>
      <c r="F4404" s="25">
        <v>0.0</v>
      </c>
      <c r="G4404" s="27"/>
    </row>
    <row r="4405">
      <c r="A4405" s="21"/>
      <c r="B4405" s="21" t="s">
        <v>10558</v>
      </c>
      <c r="D4405" s="25">
        <v>0.0</v>
      </c>
      <c r="E4405" s="27"/>
      <c r="F4405" s="25">
        <v>0.0</v>
      </c>
      <c r="G4405" s="27"/>
    </row>
    <row r="4406">
      <c r="A4406" s="21"/>
      <c r="B4406" s="21" t="s">
        <v>10559</v>
      </c>
      <c r="D4406" s="25">
        <v>0.0</v>
      </c>
      <c r="E4406" s="27"/>
      <c r="F4406" s="25">
        <v>0.0</v>
      </c>
      <c r="G4406" s="27"/>
    </row>
    <row r="4407">
      <c r="A4407" s="21"/>
      <c r="B4407" s="21" t="s">
        <v>10560</v>
      </c>
      <c r="D4407" s="25">
        <v>0.0</v>
      </c>
      <c r="E4407" s="27"/>
      <c r="F4407" s="25">
        <v>0.0</v>
      </c>
      <c r="G4407" s="27"/>
    </row>
    <row r="4408">
      <c r="A4408" s="21"/>
      <c r="B4408" s="21" t="s">
        <v>10561</v>
      </c>
      <c r="D4408" s="25">
        <v>0.0</v>
      </c>
      <c r="E4408" s="27"/>
      <c r="F4408" s="25">
        <v>0.0</v>
      </c>
      <c r="G4408" s="27"/>
    </row>
    <row r="4409">
      <c r="A4409" s="21"/>
      <c r="B4409" s="21" t="s">
        <v>10562</v>
      </c>
      <c r="D4409" s="25">
        <v>0.0</v>
      </c>
      <c r="E4409" s="27"/>
      <c r="F4409" s="25">
        <v>0.0</v>
      </c>
      <c r="G4409" s="27"/>
    </row>
    <row r="4410">
      <c r="A4410" s="21"/>
      <c r="B4410" s="21" t="s">
        <v>10563</v>
      </c>
      <c r="D4410" s="25">
        <v>0.0</v>
      </c>
      <c r="E4410" s="27"/>
      <c r="F4410" s="25">
        <v>0.0</v>
      </c>
      <c r="G4410" s="27"/>
    </row>
    <row r="4411">
      <c r="A4411" s="21"/>
      <c r="B4411" s="21" t="s">
        <v>10564</v>
      </c>
      <c r="D4411" s="25">
        <v>0.0</v>
      </c>
      <c r="E4411" s="27"/>
      <c r="F4411" s="25">
        <v>0.0</v>
      </c>
      <c r="G4411" s="27"/>
    </row>
    <row r="4412">
      <c r="A4412" s="21"/>
      <c r="B4412" s="21" t="s">
        <v>10565</v>
      </c>
      <c r="D4412" s="25">
        <v>0.0</v>
      </c>
      <c r="E4412" s="27"/>
      <c r="F4412" s="25">
        <v>0.0</v>
      </c>
      <c r="G4412" s="27"/>
    </row>
    <row r="4413">
      <c r="A4413" s="21"/>
      <c r="B4413" s="21" t="s">
        <v>10566</v>
      </c>
      <c r="D4413" s="25">
        <v>0.0</v>
      </c>
      <c r="E4413" s="27"/>
      <c r="F4413" s="25">
        <v>0.0</v>
      </c>
      <c r="G4413" s="27"/>
    </row>
    <row r="4414">
      <c r="A4414" s="21"/>
      <c r="B4414" s="21" t="s">
        <v>10567</v>
      </c>
      <c r="D4414" s="25">
        <v>0.0</v>
      </c>
      <c r="E4414" s="27"/>
      <c r="F4414" s="25">
        <v>0.0</v>
      </c>
      <c r="G4414" s="27"/>
    </row>
    <row r="4415">
      <c r="A4415" s="21"/>
      <c r="B4415" s="21" t="s">
        <v>10568</v>
      </c>
      <c r="D4415" s="25">
        <v>0.0</v>
      </c>
      <c r="E4415" s="27"/>
      <c r="F4415" s="25">
        <v>0.0</v>
      </c>
      <c r="G4415" s="27"/>
    </row>
    <row r="4416">
      <c r="A4416" s="21"/>
      <c r="B4416" s="21" t="s">
        <v>10569</v>
      </c>
      <c r="D4416" s="25">
        <v>0.0</v>
      </c>
      <c r="E4416" s="27"/>
      <c r="F4416" s="25">
        <v>0.0</v>
      </c>
      <c r="G4416" s="27"/>
    </row>
    <row r="4417">
      <c r="A4417" s="21"/>
      <c r="B4417" s="21" t="s">
        <v>10570</v>
      </c>
      <c r="D4417" s="25">
        <v>0.0</v>
      </c>
      <c r="E4417" s="27"/>
      <c r="F4417" s="25">
        <v>0.0</v>
      </c>
      <c r="G4417" s="27"/>
    </row>
    <row r="4418">
      <c r="A4418" s="21"/>
      <c r="B4418" s="21" t="s">
        <v>10571</v>
      </c>
      <c r="D4418" s="25">
        <v>0.0</v>
      </c>
      <c r="E4418" s="27"/>
      <c r="F4418" s="25">
        <v>0.0</v>
      </c>
      <c r="G4418" s="27"/>
    </row>
    <row r="4419">
      <c r="A4419" s="21"/>
      <c r="B4419" s="21" t="s">
        <v>10572</v>
      </c>
      <c r="D4419" s="25">
        <v>0.0</v>
      </c>
      <c r="E4419" s="27"/>
      <c r="F4419" s="25">
        <v>0.0</v>
      </c>
      <c r="G4419" s="27"/>
    </row>
    <row r="4420">
      <c r="A4420" s="21"/>
      <c r="B4420" s="21" t="s">
        <v>10573</v>
      </c>
      <c r="D4420" s="25">
        <v>0.0</v>
      </c>
      <c r="E4420" s="27"/>
      <c r="F4420" s="25">
        <v>0.0</v>
      </c>
      <c r="G4420" s="27"/>
    </row>
    <row r="4421">
      <c r="A4421" s="21"/>
      <c r="B4421" s="21" t="s">
        <v>10574</v>
      </c>
      <c r="D4421" s="25">
        <v>0.0</v>
      </c>
      <c r="E4421" s="27"/>
      <c r="F4421" s="25">
        <v>0.0</v>
      </c>
      <c r="G4421" s="27"/>
    </row>
    <row r="4422">
      <c r="A4422" s="21"/>
      <c r="B4422" s="21" t="s">
        <v>10575</v>
      </c>
      <c r="D4422" s="25">
        <v>0.0</v>
      </c>
      <c r="E4422" s="27"/>
      <c r="F4422" s="25">
        <v>0.5</v>
      </c>
      <c r="G4422" s="27"/>
    </row>
    <row r="4423">
      <c r="A4423" s="21"/>
      <c r="B4423" s="21" t="s">
        <v>10576</v>
      </c>
      <c r="D4423" s="25">
        <v>0.0</v>
      </c>
      <c r="E4423" s="27"/>
      <c r="F4423" s="25">
        <v>0.0</v>
      </c>
      <c r="G4423" s="27"/>
    </row>
    <row r="4424">
      <c r="A4424" s="21"/>
      <c r="B4424" s="21" t="s">
        <v>10577</v>
      </c>
      <c r="D4424" s="25">
        <v>0.0</v>
      </c>
      <c r="E4424" s="27"/>
      <c r="F4424" s="25">
        <v>0.0</v>
      </c>
      <c r="G4424" s="27"/>
    </row>
    <row r="4425">
      <c r="A4425" s="21"/>
      <c r="B4425" s="21" t="s">
        <v>10578</v>
      </c>
      <c r="D4425" s="25">
        <v>0.0</v>
      </c>
      <c r="E4425" s="27"/>
      <c r="F4425" s="25">
        <v>1.45</v>
      </c>
      <c r="G4425" s="27"/>
    </row>
    <row r="4426">
      <c r="A4426" s="21"/>
      <c r="B4426" s="21" t="s">
        <v>10579</v>
      </c>
      <c r="D4426" s="25">
        <v>0.0</v>
      </c>
      <c r="E4426" s="27"/>
      <c r="F4426" s="25">
        <v>0.0</v>
      </c>
      <c r="G4426" s="27"/>
    </row>
    <row r="4427">
      <c r="A4427" s="21"/>
      <c r="B4427" s="21" t="s">
        <v>10580</v>
      </c>
      <c r="D4427" s="25">
        <v>0.0</v>
      </c>
      <c r="E4427" s="27"/>
      <c r="F4427" s="25">
        <v>0.0</v>
      </c>
      <c r="G4427" s="27"/>
    </row>
    <row r="4428">
      <c r="A4428" s="21"/>
      <c r="B4428" s="21" t="s">
        <v>10581</v>
      </c>
      <c r="D4428" s="25">
        <v>0.0</v>
      </c>
      <c r="E4428" s="27"/>
      <c r="F4428" s="25">
        <v>0.0</v>
      </c>
      <c r="G4428" s="27"/>
    </row>
    <row r="4429">
      <c r="A4429" s="21"/>
      <c r="B4429" s="21" t="s">
        <v>10582</v>
      </c>
      <c r="D4429" s="25">
        <v>0.0</v>
      </c>
      <c r="E4429" s="27"/>
      <c r="F4429" s="25">
        <v>0.0</v>
      </c>
      <c r="G4429" s="27"/>
    </row>
    <row r="4430">
      <c r="A4430" s="21"/>
      <c r="B4430" s="21" t="s">
        <v>10583</v>
      </c>
      <c r="D4430" s="25">
        <v>0.0</v>
      </c>
      <c r="E4430" s="27"/>
      <c r="F4430" s="25">
        <v>0.0</v>
      </c>
      <c r="G4430" s="27"/>
    </row>
    <row r="4431">
      <c r="A4431" s="21"/>
      <c r="B4431" s="21" t="s">
        <v>10584</v>
      </c>
      <c r="D4431" s="25">
        <v>0.0</v>
      </c>
      <c r="E4431" s="27"/>
      <c r="F4431" s="25">
        <v>0.0</v>
      </c>
      <c r="G4431" s="27"/>
    </row>
    <row r="4432">
      <c r="A4432" s="21"/>
      <c r="B4432" s="21" t="s">
        <v>10585</v>
      </c>
      <c r="D4432" s="25">
        <v>0.0</v>
      </c>
      <c r="E4432" s="27"/>
      <c r="F4432" s="25">
        <v>0.0</v>
      </c>
      <c r="G4432" s="27"/>
    </row>
    <row r="4433">
      <c r="A4433" s="21"/>
      <c r="B4433" s="21" t="s">
        <v>10586</v>
      </c>
      <c r="D4433" s="25">
        <v>0.0</v>
      </c>
      <c r="E4433" s="27"/>
      <c r="F4433" s="25">
        <v>0.0</v>
      </c>
      <c r="G4433" s="27"/>
    </row>
    <row r="4434">
      <c r="A4434" s="21"/>
      <c r="B4434" s="21" t="s">
        <v>10587</v>
      </c>
      <c r="D4434" s="25">
        <v>0.0</v>
      </c>
      <c r="E4434" s="27"/>
      <c r="F4434" s="25">
        <v>0.0</v>
      </c>
      <c r="G4434" s="27"/>
    </row>
    <row r="4435">
      <c r="A4435" s="21"/>
      <c r="B4435" s="21" t="s">
        <v>10588</v>
      </c>
      <c r="D4435" s="25">
        <v>0.0</v>
      </c>
      <c r="E4435" s="27"/>
      <c r="F4435" s="25">
        <v>0.0</v>
      </c>
      <c r="G4435" s="27"/>
    </row>
    <row r="4436">
      <c r="A4436" s="21"/>
      <c r="B4436" s="21" t="s">
        <v>10589</v>
      </c>
      <c r="D4436" s="25">
        <v>0.0</v>
      </c>
      <c r="E4436" s="27"/>
      <c r="F4436" s="25">
        <v>0.0</v>
      </c>
      <c r="G4436" s="27"/>
    </row>
    <row r="4437">
      <c r="A4437" s="21"/>
      <c r="B4437" s="21" t="s">
        <v>10590</v>
      </c>
      <c r="D4437" s="25">
        <v>0.0</v>
      </c>
      <c r="E4437" s="27"/>
      <c r="F4437" s="25">
        <v>0.0</v>
      </c>
      <c r="G4437" s="27"/>
    </row>
    <row r="4438">
      <c r="A4438" s="21"/>
      <c r="B4438" s="21" t="s">
        <v>10591</v>
      </c>
      <c r="D4438" s="25">
        <v>0.0</v>
      </c>
      <c r="E4438" s="27"/>
      <c r="F4438" s="25">
        <v>0.0</v>
      </c>
      <c r="G4438" s="27"/>
    </row>
    <row r="4439">
      <c r="A4439" s="21"/>
      <c r="B4439" s="21" t="s">
        <v>10592</v>
      </c>
      <c r="D4439" s="25">
        <v>0.0</v>
      </c>
      <c r="E4439" s="27"/>
      <c r="F4439" s="25">
        <v>0.0</v>
      </c>
      <c r="G4439" s="27"/>
    </row>
    <row r="4440">
      <c r="A4440" s="21"/>
      <c r="B4440" s="21" t="s">
        <v>10593</v>
      </c>
      <c r="D4440" s="25">
        <v>0.0</v>
      </c>
      <c r="E4440" s="27"/>
      <c r="F4440" s="25">
        <v>0.0</v>
      </c>
      <c r="G4440" s="27"/>
    </row>
    <row r="4441">
      <c r="A4441" s="21"/>
      <c r="B4441" s="21" t="s">
        <v>10594</v>
      </c>
      <c r="D4441" s="25">
        <v>0.0</v>
      </c>
      <c r="E4441" s="27"/>
      <c r="F4441" s="25">
        <v>0.0</v>
      </c>
      <c r="G4441" s="27"/>
    </row>
    <row r="4442">
      <c r="A4442" s="21"/>
      <c r="B4442" s="21" t="s">
        <v>10595</v>
      </c>
      <c r="D4442" s="25">
        <v>0.0</v>
      </c>
      <c r="E4442" s="27"/>
      <c r="F4442" s="25">
        <v>0.0</v>
      </c>
      <c r="G4442" s="27"/>
    </row>
    <row r="4443">
      <c r="A4443" s="21"/>
      <c r="B4443" s="21" t="s">
        <v>10596</v>
      </c>
      <c r="D4443" s="25">
        <v>0.0</v>
      </c>
      <c r="E4443" s="27"/>
      <c r="F4443" s="25">
        <v>0.0</v>
      </c>
      <c r="G4443" s="27"/>
    </row>
    <row r="4444">
      <c r="A4444" s="21"/>
      <c r="B4444" s="21" t="s">
        <v>10597</v>
      </c>
      <c r="D4444" s="25">
        <v>0.0</v>
      </c>
      <c r="E4444" s="27"/>
      <c r="F4444" s="25">
        <v>0.0</v>
      </c>
      <c r="G4444" s="27"/>
    </row>
    <row r="4445">
      <c r="A4445" s="21"/>
      <c r="B4445" s="21" t="s">
        <v>10598</v>
      </c>
      <c r="D4445" s="25">
        <v>0.0</v>
      </c>
      <c r="E4445" s="27"/>
      <c r="F4445" s="25">
        <v>0.0</v>
      </c>
      <c r="G4445" s="27"/>
    </row>
    <row r="4446">
      <c r="A4446" s="21"/>
      <c r="B4446" s="21" t="s">
        <v>10599</v>
      </c>
      <c r="D4446" s="25">
        <v>0.0</v>
      </c>
      <c r="E4446" s="27"/>
      <c r="F4446" s="25">
        <v>0.0</v>
      </c>
      <c r="G4446" s="27"/>
    </row>
    <row r="4447">
      <c r="A4447" s="21"/>
      <c r="B4447" s="21" t="s">
        <v>10600</v>
      </c>
      <c r="D4447" s="25">
        <v>0.0</v>
      </c>
      <c r="E4447" s="27"/>
      <c r="F4447" s="25">
        <v>0.0</v>
      </c>
      <c r="G4447" s="27"/>
    </row>
    <row r="4448">
      <c r="A4448" s="21"/>
      <c r="B4448" s="21" t="s">
        <v>10601</v>
      </c>
      <c r="D4448" s="25">
        <v>0.0</v>
      </c>
      <c r="E4448" s="27"/>
      <c r="F4448" s="25">
        <v>0.0</v>
      </c>
      <c r="G4448" s="27"/>
    </row>
    <row r="4449">
      <c r="A4449" s="21"/>
      <c r="B4449" s="21" t="s">
        <v>10602</v>
      </c>
      <c r="D4449" s="25">
        <v>0.0</v>
      </c>
      <c r="E4449" s="27"/>
      <c r="F4449" s="25">
        <v>0.0</v>
      </c>
      <c r="G4449" s="27"/>
    </row>
    <row r="4450">
      <c r="A4450" s="21"/>
      <c r="B4450" s="21" t="s">
        <v>10603</v>
      </c>
      <c r="D4450" s="25">
        <v>0.0</v>
      </c>
      <c r="E4450" s="27"/>
      <c r="F4450" s="25">
        <v>0.0</v>
      </c>
      <c r="G4450" s="27"/>
    </row>
    <row r="4451">
      <c r="A4451" s="21"/>
      <c r="B4451" s="21" t="s">
        <v>10604</v>
      </c>
      <c r="D4451" s="25">
        <v>0.0</v>
      </c>
      <c r="E4451" s="27"/>
      <c r="F4451" s="25">
        <v>0.0</v>
      </c>
      <c r="G4451" s="27"/>
    </row>
    <row r="4452">
      <c r="A4452" s="21"/>
      <c r="B4452" s="21" t="s">
        <v>10605</v>
      </c>
      <c r="D4452" s="25">
        <v>0.0</v>
      </c>
      <c r="E4452" s="27"/>
      <c r="F4452" s="25">
        <v>0.0</v>
      </c>
      <c r="G4452" s="27"/>
    </row>
    <row r="4453">
      <c r="A4453" s="21"/>
      <c r="B4453" s="21" t="s">
        <v>10606</v>
      </c>
      <c r="D4453" s="25">
        <v>0.0</v>
      </c>
      <c r="E4453" s="27"/>
      <c r="F4453" s="25">
        <v>0.0</v>
      </c>
      <c r="G4453" s="27"/>
    </row>
    <row r="4454">
      <c r="A4454" s="21"/>
      <c r="B4454" s="21" t="s">
        <v>10607</v>
      </c>
      <c r="D4454" s="25">
        <v>0.0</v>
      </c>
      <c r="E4454" s="27"/>
      <c r="F4454" s="25">
        <v>0.0</v>
      </c>
      <c r="G4454" s="27"/>
    </row>
    <row r="4455">
      <c r="A4455" s="21"/>
      <c r="B4455" s="21" t="s">
        <v>10608</v>
      </c>
      <c r="D4455" s="25">
        <v>0.0</v>
      </c>
      <c r="E4455" s="27"/>
      <c r="F4455" s="25">
        <v>0.0</v>
      </c>
      <c r="G4455" s="27"/>
    </row>
    <row r="4456">
      <c r="A4456" s="21"/>
      <c r="B4456" s="21" t="s">
        <v>10609</v>
      </c>
      <c r="D4456" s="25">
        <v>0.0</v>
      </c>
      <c r="E4456" s="27"/>
      <c r="F4456" s="25">
        <v>0.0</v>
      </c>
      <c r="G4456" s="27"/>
    </row>
    <row r="4457">
      <c r="A4457" s="21"/>
      <c r="B4457" s="21" t="s">
        <v>10610</v>
      </c>
      <c r="D4457" s="25">
        <v>0.0</v>
      </c>
      <c r="E4457" s="27"/>
      <c r="F4457" s="25">
        <v>0.0</v>
      </c>
      <c r="G4457" s="27"/>
    </row>
    <row r="4458">
      <c r="A4458" s="21"/>
      <c r="B4458" s="21" t="s">
        <v>10611</v>
      </c>
      <c r="D4458" s="25">
        <v>0.0</v>
      </c>
      <c r="E4458" s="27"/>
      <c r="F4458" s="25">
        <v>0.0</v>
      </c>
      <c r="G4458" s="27"/>
    </row>
    <row r="4459">
      <c r="A4459" s="21"/>
      <c r="B4459" s="21" t="s">
        <v>10612</v>
      </c>
      <c r="D4459" s="25">
        <v>0.0</v>
      </c>
      <c r="E4459" s="27"/>
      <c r="F4459" s="25">
        <v>0.0</v>
      </c>
      <c r="G4459" s="27"/>
    </row>
    <row r="4460">
      <c r="A4460" s="21"/>
      <c r="B4460" s="21" t="s">
        <v>10613</v>
      </c>
      <c r="D4460" s="25">
        <v>0.0</v>
      </c>
      <c r="E4460" s="27"/>
      <c r="F4460" s="25">
        <v>0.0</v>
      </c>
      <c r="G4460" s="27"/>
    </row>
    <row r="4461">
      <c r="A4461" s="21"/>
      <c r="B4461" s="21" t="s">
        <v>10614</v>
      </c>
      <c r="D4461" s="25">
        <v>0.0</v>
      </c>
      <c r="E4461" s="27"/>
      <c r="F4461" s="25">
        <v>0.0</v>
      </c>
      <c r="G4461" s="27"/>
    </row>
    <row r="4462">
      <c r="A4462" s="21"/>
      <c r="B4462" s="21" t="s">
        <v>10615</v>
      </c>
      <c r="D4462" s="25">
        <v>0.0</v>
      </c>
      <c r="E4462" s="27"/>
      <c r="F4462" s="25">
        <v>0.0</v>
      </c>
      <c r="G4462" s="27"/>
    </row>
    <row r="4463">
      <c r="A4463" s="21"/>
      <c r="B4463" s="21" t="s">
        <v>10616</v>
      </c>
      <c r="D4463" s="25">
        <v>0.0</v>
      </c>
      <c r="E4463" s="27"/>
      <c r="F4463" s="25">
        <v>0.0</v>
      </c>
      <c r="G4463" s="27"/>
    </row>
    <row r="4464">
      <c r="A4464" s="21"/>
      <c r="B4464" s="21" t="s">
        <v>10617</v>
      </c>
      <c r="D4464" s="25">
        <v>0.0</v>
      </c>
      <c r="E4464" s="27"/>
      <c r="F4464" s="25">
        <v>0.0</v>
      </c>
      <c r="G4464" s="27"/>
    </row>
    <row r="4465">
      <c r="A4465" s="21"/>
      <c r="B4465" s="21" t="s">
        <v>10618</v>
      </c>
      <c r="D4465" s="25">
        <v>0.0</v>
      </c>
      <c r="E4465" s="27"/>
      <c r="F4465" s="25">
        <v>0.0</v>
      </c>
      <c r="G4465" s="27"/>
    </row>
    <row r="4466">
      <c r="A4466" s="21"/>
      <c r="B4466" s="21" t="s">
        <v>10619</v>
      </c>
      <c r="D4466" s="25">
        <v>0.0</v>
      </c>
      <c r="E4466" s="27"/>
      <c r="F4466" s="25">
        <v>0.0</v>
      </c>
      <c r="G4466" s="27"/>
    </row>
    <row r="4467">
      <c r="A4467" s="21"/>
      <c r="B4467" s="21" t="s">
        <v>10620</v>
      </c>
      <c r="D4467" s="25">
        <v>0.0</v>
      </c>
      <c r="E4467" s="27"/>
      <c r="F4467" s="25">
        <v>0.0</v>
      </c>
      <c r="G4467" s="27"/>
    </row>
    <row r="4468">
      <c r="A4468" s="21"/>
      <c r="B4468" s="21" t="s">
        <v>10621</v>
      </c>
      <c r="D4468" s="25">
        <v>0.0</v>
      </c>
      <c r="E4468" s="27"/>
      <c r="F4468" s="25">
        <v>0.0</v>
      </c>
      <c r="G4468" s="27"/>
    </row>
    <row r="4469">
      <c r="A4469" s="21"/>
      <c r="B4469" s="21" t="s">
        <v>10622</v>
      </c>
      <c r="D4469" s="25">
        <v>0.0</v>
      </c>
      <c r="E4469" s="27"/>
      <c r="F4469" s="25">
        <v>0.0</v>
      </c>
      <c r="G4469" s="27"/>
    </row>
    <row r="4470">
      <c r="A4470" s="21"/>
      <c r="B4470" s="21" t="s">
        <v>10623</v>
      </c>
      <c r="D4470" s="25">
        <v>0.0</v>
      </c>
      <c r="E4470" s="27"/>
      <c r="F4470" s="25">
        <v>0.0</v>
      </c>
      <c r="G4470" s="27"/>
    </row>
    <row r="4471">
      <c r="A4471" s="21"/>
      <c r="B4471" s="21" t="s">
        <v>10624</v>
      </c>
      <c r="D4471" s="25">
        <v>0.0</v>
      </c>
      <c r="E4471" s="27"/>
      <c r="F4471" s="25">
        <v>0.0</v>
      </c>
      <c r="G4471" s="27"/>
    </row>
    <row r="4472">
      <c r="A4472" s="21"/>
      <c r="B4472" s="21" t="s">
        <v>10625</v>
      </c>
      <c r="D4472" s="25">
        <v>0.0</v>
      </c>
      <c r="E4472" s="27"/>
      <c r="F4472" s="25">
        <v>0.0</v>
      </c>
      <c r="G4472" s="27"/>
    </row>
    <row r="4473">
      <c r="A4473" s="21"/>
      <c r="B4473" s="21" t="s">
        <v>10626</v>
      </c>
      <c r="D4473" s="25">
        <v>0.0</v>
      </c>
      <c r="E4473" s="27"/>
      <c r="F4473" s="25">
        <v>0.0</v>
      </c>
      <c r="G4473" s="27"/>
    </row>
    <row r="4474">
      <c r="A4474" s="21"/>
      <c r="B4474" s="21" t="s">
        <v>10627</v>
      </c>
      <c r="D4474" s="25">
        <v>0.0</v>
      </c>
      <c r="E4474" s="27"/>
      <c r="F4474" s="25">
        <v>0.0</v>
      </c>
      <c r="G4474" s="27"/>
    </row>
    <row r="4475">
      <c r="A4475" s="21"/>
      <c r="B4475" s="21" t="s">
        <v>10628</v>
      </c>
      <c r="D4475" s="25">
        <v>0.0</v>
      </c>
      <c r="E4475" s="27"/>
      <c r="F4475" s="25">
        <v>0.0</v>
      </c>
      <c r="G4475" s="27"/>
    </row>
    <row r="4476">
      <c r="A4476" s="21"/>
      <c r="B4476" s="21" t="s">
        <v>10629</v>
      </c>
      <c r="D4476" s="25">
        <v>0.0</v>
      </c>
      <c r="E4476" s="27"/>
      <c r="F4476" s="25">
        <v>0.0</v>
      </c>
      <c r="G4476" s="27"/>
    </row>
    <row r="4477">
      <c r="A4477" s="21"/>
      <c r="B4477" s="21" t="s">
        <v>10630</v>
      </c>
      <c r="D4477" s="25">
        <v>0.0</v>
      </c>
      <c r="E4477" s="27"/>
      <c r="F4477" s="25">
        <v>0.0</v>
      </c>
      <c r="G4477" s="27"/>
    </row>
    <row r="4478">
      <c r="A4478" s="21"/>
      <c r="B4478" s="21" t="s">
        <v>10631</v>
      </c>
      <c r="D4478" s="25">
        <v>0.0</v>
      </c>
      <c r="E4478" s="27"/>
      <c r="F4478" s="25">
        <v>0.0</v>
      </c>
      <c r="G4478" s="27"/>
    </row>
    <row r="4479">
      <c r="A4479" s="21"/>
      <c r="B4479" s="21" t="s">
        <v>10632</v>
      </c>
      <c r="D4479" s="25">
        <v>0.0</v>
      </c>
      <c r="E4479" s="27"/>
      <c r="F4479" s="25">
        <v>0.0</v>
      </c>
      <c r="G4479" s="27"/>
    </row>
    <row r="4480">
      <c r="A4480" s="21"/>
      <c r="B4480" s="21" t="s">
        <v>10633</v>
      </c>
      <c r="D4480" s="25">
        <v>0.0</v>
      </c>
      <c r="E4480" s="27"/>
      <c r="F4480" s="25">
        <v>0.0</v>
      </c>
      <c r="G4480" s="27"/>
    </row>
    <row r="4481">
      <c r="A4481" s="21"/>
      <c r="B4481" s="21" t="s">
        <v>10634</v>
      </c>
      <c r="D4481" s="25">
        <v>0.0</v>
      </c>
      <c r="E4481" s="27"/>
      <c r="F4481" s="25">
        <v>0.0</v>
      </c>
      <c r="G4481" s="27"/>
    </row>
    <row r="4482">
      <c r="A4482" s="21"/>
      <c r="B4482" s="21" t="s">
        <v>10635</v>
      </c>
      <c r="D4482" s="25">
        <v>0.0</v>
      </c>
      <c r="E4482" s="27"/>
      <c r="F4482" s="25">
        <v>0.0</v>
      </c>
      <c r="G4482" s="27"/>
    </row>
    <row r="4483">
      <c r="A4483" s="21"/>
      <c r="B4483" s="21" t="s">
        <v>10636</v>
      </c>
      <c r="D4483" s="25">
        <v>0.0</v>
      </c>
      <c r="E4483" s="27"/>
      <c r="F4483" s="25">
        <v>0.0</v>
      </c>
      <c r="G4483" s="27"/>
    </row>
    <row r="4484">
      <c r="A4484" s="21"/>
      <c r="B4484" s="21" t="s">
        <v>10637</v>
      </c>
      <c r="D4484" s="25">
        <v>0.0</v>
      </c>
      <c r="E4484" s="27"/>
      <c r="F4484" s="25">
        <v>0.0</v>
      </c>
      <c r="G4484" s="27"/>
    </row>
    <row r="4485">
      <c r="A4485" s="21"/>
      <c r="B4485" s="21" t="s">
        <v>10638</v>
      </c>
      <c r="D4485" s="25">
        <v>0.0</v>
      </c>
      <c r="E4485" s="27"/>
      <c r="F4485" s="25">
        <v>0.0</v>
      </c>
      <c r="G4485" s="27"/>
    </row>
    <row r="4486">
      <c r="A4486" s="21"/>
      <c r="B4486" s="21" t="s">
        <v>10639</v>
      </c>
      <c r="D4486" s="25">
        <v>0.0</v>
      </c>
      <c r="E4486" s="27"/>
      <c r="F4486" s="25">
        <v>0.0</v>
      </c>
      <c r="G4486" s="27"/>
    </row>
    <row r="4487">
      <c r="A4487" s="21"/>
      <c r="B4487" s="21" t="s">
        <v>10640</v>
      </c>
      <c r="D4487" s="25">
        <v>0.0</v>
      </c>
      <c r="E4487" s="27"/>
      <c r="F4487" s="25">
        <v>0.0</v>
      </c>
      <c r="G4487" s="27"/>
    </row>
    <row r="4488">
      <c r="A4488" s="21"/>
      <c r="B4488" s="21" t="s">
        <v>10641</v>
      </c>
      <c r="D4488" s="25">
        <v>0.0</v>
      </c>
      <c r="E4488" s="27"/>
      <c r="F4488" s="25">
        <v>0.0</v>
      </c>
      <c r="G4488" s="27"/>
    </row>
    <row r="4489">
      <c r="A4489" s="21"/>
      <c r="B4489" s="21" t="s">
        <v>10642</v>
      </c>
      <c r="D4489" s="25">
        <v>0.0</v>
      </c>
      <c r="E4489" s="27"/>
      <c r="F4489" s="25">
        <v>0.0</v>
      </c>
      <c r="G4489" s="27"/>
    </row>
    <row r="4490">
      <c r="A4490" s="21"/>
      <c r="B4490" s="21" t="s">
        <v>10643</v>
      </c>
      <c r="D4490" s="25">
        <v>0.0</v>
      </c>
      <c r="E4490" s="27"/>
      <c r="F4490" s="25">
        <v>0.0</v>
      </c>
      <c r="G4490" s="27"/>
    </row>
    <row r="4491">
      <c r="A4491" s="21"/>
      <c r="B4491" s="21" t="s">
        <v>10644</v>
      </c>
      <c r="D4491" s="25">
        <v>0.0</v>
      </c>
      <c r="E4491" s="27"/>
      <c r="F4491" s="25">
        <v>0.0</v>
      </c>
      <c r="G4491" s="27"/>
    </row>
    <row r="4492">
      <c r="A4492" s="21"/>
      <c r="B4492" s="21" t="s">
        <v>10645</v>
      </c>
      <c r="D4492" s="25">
        <v>0.0</v>
      </c>
      <c r="E4492" s="27"/>
      <c r="F4492" s="25">
        <v>0.0</v>
      </c>
      <c r="G4492" s="27"/>
    </row>
    <row r="4493">
      <c r="A4493" s="21"/>
      <c r="B4493" s="21" t="s">
        <v>10646</v>
      </c>
      <c r="D4493" s="25">
        <v>0.0</v>
      </c>
      <c r="E4493" s="27"/>
      <c r="F4493" s="25">
        <v>0.0</v>
      </c>
      <c r="G4493" s="27"/>
    </row>
    <row r="4494">
      <c r="A4494" s="21"/>
      <c r="B4494" s="21" t="s">
        <v>10647</v>
      </c>
      <c r="D4494" s="25">
        <v>0.0</v>
      </c>
      <c r="E4494" s="27"/>
      <c r="F4494" s="25">
        <v>0.0</v>
      </c>
      <c r="G4494" s="27"/>
    </row>
    <row r="4495">
      <c r="A4495" s="21"/>
      <c r="B4495" s="21" t="s">
        <v>10648</v>
      </c>
      <c r="D4495" s="25">
        <v>0.0</v>
      </c>
      <c r="E4495" s="27"/>
      <c r="F4495" s="25">
        <v>0.0</v>
      </c>
      <c r="G4495" s="27"/>
    </row>
    <row r="4496">
      <c r="A4496" s="21"/>
      <c r="B4496" s="21" t="s">
        <v>10649</v>
      </c>
      <c r="D4496" s="25">
        <v>0.0</v>
      </c>
      <c r="E4496" s="27"/>
      <c r="F4496" s="25">
        <v>0.0</v>
      </c>
      <c r="G4496" s="27"/>
    </row>
    <row r="4497">
      <c r="A4497" s="21"/>
      <c r="B4497" s="21" t="s">
        <v>10650</v>
      </c>
      <c r="D4497" s="25">
        <v>0.0</v>
      </c>
      <c r="E4497" s="27"/>
      <c r="F4497" s="25">
        <v>0.0</v>
      </c>
      <c r="G4497" s="27"/>
    </row>
    <row r="4498">
      <c r="A4498" s="21"/>
      <c r="B4498" s="21" t="s">
        <v>10651</v>
      </c>
      <c r="D4498" s="25">
        <v>0.0</v>
      </c>
      <c r="E4498" s="27"/>
      <c r="F4498" s="25">
        <v>0.0</v>
      </c>
      <c r="G4498" s="27"/>
    </row>
    <row r="4499">
      <c r="A4499" s="21"/>
      <c r="B4499" s="21" t="s">
        <v>10652</v>
      </c>
      <c r="D4499" s="25">
        <v>0.0</v>
      </c>
      <c r="E4499" s="27"/>
      <c r="F4499" s="25">
        <v>0.0</v>
      </c>
      <c r="G4499" s="27"/>
    </row>
    <row r="4500">
      <c r="A4500" s="21"/>
      <c r="B4500" s="21" t="s">
        <v>10653</v>
      </c>
      <c r="D4500" s="25">
        <v>0.0</v>
      </c>
      <c r="E4500" s="27"/>
      <c r="F4500" s="25">
        <v>0.0</v>
      </c>
      <c r="G4500" s="27"/>
    </row>
    <row r="4501">
      <c r="A4501" s="21"/>
      <c r="B4501" s="21" t="s">
        <v>10654</v>
      </c>
      <c r="D4501" s="25">
        <v>0.0</v>
      </c>
      <c r="E4501" s="27"/>
      <c r="F4501" s="25">
        <v>0.0</v>
      </c>
      <c r="G4501" s="27"/>
    </row>
    <row r="4502">
      <c r="A4502" s="21"/>
      <c r="B4502" s="21" t="s">
        <v>10655</v>
      </c>
      <c r="D4502" s="25">
        <v>0.0</v>
      </c>
      <c r="E4502" s="27"/>
      <c r="F4502" s="25">
        <v>0.0</v>
      </c>
      <c r="G4502" s="27"/>
    </row>
    <row r="4503">
      <c r="A4503" s="21"/>
      <c r="B4503" s="21" t="s">
        <v>10656</v>
      </c>
      <c r="D4503" s="25">
        <v>0.0</v>
      </c>
      <c r="E4503" s="27"/>
      <c r="F4503" s="25">
        <v>0.0</v>
      </c>
      <c r="G4503" s="27"/>
    </row>
    <row r="4504">
      <c r="A4504" s="21"/>
      <c r="B4504" s="21" t="s">
        <v>10657</v>
      </c>
      <c r="D4504" s="25">
        <v>0.0</v>
      </c>
      <c r="E4504" s="27"/>
      <c r="F4504" s="25">
        <v>0.0</v>
      </c>
      <c r="G4504" s="27"/>
    </row>
    <row r="4505">
      <c r="A4505" s="21"/>
      <c r="B4505" s="21" t="s">
        <v>10658</v>
      </c>
      <c r="D4505" s="25">
        <v>0.0</v>
      </c>
      <c r="E4505" s="27"/>
      <c r="F4505" s="25">
        <v>0.0</v>
      </c>
      <c r="G4505" s="27"/>
    </row>
    <row r="4506">
      <c r="A4506" s="21"/>
      <c r="B4506" s="21" t="s">
        <v>10659</v>
      </c>
      <c r="D4506" s="25">
        <v>0.0</v>
      </c>
      <c r="E4506" s="27"/>
      <c r="F4506" s="25">
        <v>0.0</v>
      </c>
      <c r="G4506" s="27"/>
    </row>
    <row r="4507">
      <c r="A4507" s="21"/>
      <c r="B4507" s="21" t="s">
        <v>10660</v>
      </c>
      <c r="D4507" s="25">
        <v>0.0</v>
      </c>
      <c r="E4507" s="27"/>
      <c r="F4507" s="25">
        <v>0.0</v>
      </c>
      <c r="G4507" s="27"/>
    </row>
    <row r="4508">
      <c r="A4508" s="21"/>
      <c r="B4508" s="21" t="s">
        <v>10661</v>
      </c>
      <c r="D4508" s="25">
        <v>0.0</v>
      </c>
      <c r="E4508" s="27"/>
      <c r="F4508" s="25">
        <v>0.0</v>
      </c>
      <c r="G4508" s="27"/>
    </row>
    <row r="4509">
      <c r="A4509" s="21"/>
      <c r="B4509" s="21" t="s">
        <v>10662</v>
      </c>
      <c r="D4509" s="25">
        <v>0.0</v>
      </c>
      <c r="E4509" s="27"/>
      <c r="F4509" s="25">
        <v>0.0</v>
      </c>
      <c r="G4509" s="27"/>
    </row>
    <row r="4510">
      <c r="A4510" s="21"/>
      <c r="B4510" s="21" t="s">
        <v>10663</v>
      </c>
      <c r="D4510" s="25">
        <v>0.0</v>
      </c>
      <c r="E4510" s="27"/>
      <c r="F4510" s="25">
        <v>0.0</v>
      </c>
      <c r="G4510" s="27"/>
    </row>
    <row r="4511">
      <c r="A4511" s="21"/>
      <c r="B4511" s="21" t="s">
        <v>10664</v>
      </c>
      <c r="D4511" s="25">
        <v>0.0</v>
      </c>
      <c r="E4511" s="27"/>
      <c r="F4511" s="25">
        <v>0.0</v>
      </c>
      <c r="G4511" s="27"/>
    </row>
    <row r="4512">
      <c r="A4512" s="21"/>
      <c r="B4512" s="21" t="s">
        <v>10665</v>
      </c>
      <c r="D4512" s="25">
        <v>0.0</v>
      </c>
      <c r="E4512" s="27"/>
      <c r="F4512" s="25">
        <v>0.0</v>
      </c>
      <c r="G4512" s="27"/>
    </row>
    <row r="4513">
      <c r="A4513" s="21"/>
      <c r="B4513" s="21" t="s">
        <v>10666</v>
      </c>
      <c r="D4513" s="25">
        <v>0.0</v>
      </c>
      <c r="E4513" s="27"/>
      <c r="F4513" s="25">
        <v>0.0</v>
      </c>
      <c r="G4513" s="27"/>
    </row>
    <row r="4514">
      <c r="A4514" s="21"/>
      <c r="B4514" s="21" t="s">
        <v>10667</v>
      </c>
      <c r="D4514" s="25">
        <v>0.0</v>
      </c>
      <c r="E4514" s="27"/>
      <c r="F4514" s="25">
        <v>0.0</v>
      </c>
      <c r="G4514" s="27"/>
    </row>
    <row r="4515">
      <c r="A4515" s="21"/>
      <c r="B4515" s="21" t="s">
        <v>10668</v>
      </c>
      <c r="D4515" s="25">
        <v>0.0</v>
      </c>
      <c r="E4515" s="27"/>
      <c r="F4515" s="25">
        <v>0.0</v>
      </c>
      <c r="G4515" s="27"/>
    </row>
    <row r="4516">
      <c r="A4516" s="21"/>
      <c r="B4516" s="21" t="s">
        <v>10669</v>
      </c>
      <c r="D4516" s="25">
        <v>0.0</v>
      </c>
      <c r="E4516" s="27"/>
      <c r="F4516" s="25">
        <v>0.0</v>
      </c>
      <c r="G4516" s="27"/>
    </row>
    <row r="4517">
      <c r="A4517" s="21"/>
      <c r="B4517" s="21" t="s">
        <v>10670</v>
      </c>
      <c r="D4517" s="25">
        <v>0.0</v>
      </c>
      <c r="E4517" s="27"/>
      <c r="F4517" s="25">
        <v>0.0</v>
      </c>
      <c r="G4517" s="27"/>
    </row>
    <row r="4518">
      <c r="A4518" s="21"/>
      <c r="B4518" s="21" t="s">
        <v>10671</v>
      </c>
      <c r="D4518" s="25">
        <v>0.0</v>
      </c>
      <c r="E4518" s="27"/>
      <c r="F4518" s="25">
        <v>0.0</v>
      </c>
      <c r="G4518" s="27"/>
    </row>
    <row r="4519">
      <c r="A4519" s="21"/>
      <c r="B4519" s="21" t="s">
        <v>10672</v>
      </c>
      <c r="D4519" s="25">
        <v>0.0</v>
      </c>
      <c r="E4519" s="27"/>
      <c r="F4519" s="25">
        <v>0.0</v>
      </c>
      <c r="G4519" s="27"/>
    </row>
    <row r="4520">
      <c r="A4520" s="21"/>
      <c r="B4520" s="21" t="s">
        <v>10673</v>
      </c>
      <c r="D4520" s="25">
        <v>0.0</v>
      </c>
      <c r="E4520" s="27"/>
      <c r="F4520" s="25">
        <v>0.0</v>
      </c>
      <c r="G4520" s="27"/>
    </row>
    <row r="4521">
      <c r="A4521" s="21"/>
      <c r="B4521" s="21" t="s">
        <v>6049</v>
      </c>
      <c r="D4521" s="25">
        <v>0.0</v>
      </c>
      <c r="E4521" s="27"/>
      <c r="F4521" s="25">
        <v>2.96</v>
      </c>
      <c r="G4521" s="27"/>
    </row>
    <row r="4522">
      <c r="A4522" s="21"/>
      <c r="B4522" s="21" t="s">
        <v>10674</v>
      </c>
      <c r="D4522" s="25">
        <v>0.0</v>
      </c>
      <c r="E4522" s="27"/>
      <c r="F4522" s="25">
        <v>0.0</v>
      </c>
      <c r="G4522" s="27"/>
    </row>
    <row r="4523">
      <c r="A4523" s="21"/>
      <c r="B4523" s="21" t="s">
        <v>10675</v>
      </c>
      <c r="D4523" s="25">
        <v>0.0</v>
      </c>
      <c r="E4523" s="27"/>
      <c r="F4523" s="25">
        <v>0.0</v>
      </c>
      <c r="G4523" s="27"/>
    </row>
    <row r="4524">
      <c r="A4524" s="21"/>
      <c r="B4524" s="21" t="s">
        <v>10676</v>
      </c>
      <c r="D4524" s="25">
        <v>0.0</v>
      </c>
      <c r="E4524" s="27"/>
      <c r="F4524" s="25">
        <v>0.0</v>
      </c>
      <c r="G4524" s="27"/>
    </row>
    <row r="4525">
      <c r="A4525" s="21"/>
      <c r="B4525" s="21" t="s">
        <v>10677</v>
      </c>
      <c r="D4525" s="25">
        <v>0.0</v>
      </c>
      <c r="E4525" s="27"/>
      <c r="F4525" s="25">
        <v>0.0</v>
      </c>
      <c r="G4525" s="27"/>
    </row>
    <row r="4526">
      <c r="A4526" s="21"/>
      <c r="B4526" s="21" t="s">
        <v>10678</v>
      </c>
      <c r="D4526" s="25">
        <v>0.0</v>
      </c>
      <c r="E4526" s="27"/>
      <c r="F4526" s="25">
        <v>0.0</v>
      </c>
      <c r="G4526" s="27"/>
    </row>
    <row r="4527">
      <c r="A4527" s="21"/>
      <c r="B4527" s="21" t="s">
        <v>10679</v>
      </c>
      <c r="D4527" s="25">
        <v>0.0</v>
      </c>
      <c r="E4527" s="27"/>
      <c r="F4527" s="25">
        <v>0.0</v>
      </c>
      <c r="G4527" s="27"/>
    </row>
    <row r="4528">
      <c r="A4528" s="21"/>
      <c r="B4528" s="21" t="s">
        <v>10680</v>
      </c>
      <c r="D4528" s="25">
        <v>0.0</v>
      </c>
      <c r="E4528" s="27"/>
      <c r="F4528" s="25">
        <v>0.0</v>
      </c>
      <c r="G4528" s="27"/>
    </row>
    <row r="4529">
      <c r="A4529" s="21"/>
      <c r="B4529" s="21" t="s">
        <v>10681</v>
      </c>
      <c r="D4529" s="25">
        <v>0.0</v>
      </c>
      <c r="E4529" s="27"/>
      <c r="F4529" s="25">
        <v>0.0</v>
      </c>
      <c r="G4529" s="27"/>
    </row>
    <row r="4530">
      <c r="A4530" s="21"/>
      <c r="B4530" s="21" t="s">
        <v>10682</v>
      </c>
      <c r="D4530" s="25">
        <v>0.0</v>
      </c>
      <c r="E4530" s="27"/>
      <c r="F4530" s="25">
        <v>0.0</v>
      </c>
      <c r="G4530" s="27"/>
    </row>
    <row r="4531">
      <c r="A4531" s="21"/>
      <c r="B4531" s="21" t="s">
        <v>10683</v>
      </c>
      <c r="D4531" s="25">
        <v>0.0</v>
      </c>
      <c r="E4531" s="27"/>
      <c r="F4531" s="25">
        <v>0.0</v>
      </c>
      <c r="G4531" s="27"/>
    </row>
    <row r="4532">
      <c r="A4532" s="21"/>
      <c r="B4532" s="21" t="s">
        <v>10684</v>
      </c>
      <c r="D4532" s="25">
        <v>0.0</v>
      </c>
      <c r="E4532" s="27"/>
      <c r="F4532" s="25">
        <v>0.0</v>
      </c>
      <c r="G4532" s="27"/>
    </row>
    <row r="4533">
      <c r="A4533" s="21"/>
      <c r="B4533" s="21" t="s">
        <v>10685</v>
      </c>
      <c r="D4533" s="25">
        <v>0.0</v>
      </c>
      <c r="E4533" s="27"/>
      <c r="F4533" s="25">
        <v>0.0</v>
      </c>
      <c r="G4533" s="27"/>
    </row>
    <row r="4534">
      <c r="A4534" s="21"/>
      <c r="B4534" s="21" t="s">
        <v>10686</v>
      </c>
      <c r="D4534" s="25">
        <v>0.0</v>
      </c>
      <c r="E4534" s="27"/>
      <c r="F4534" s="25">
        <v>0.0</v>
      </c>
      <c r="G4534" s="27"/>
    </row>
    <row r="4535">
      <c r="A4535" s="21"/>
      <c r="B4535" s="21" t="s">
        <v>10687</v>
      </c>
      <c r="D4535" s="25">
        <v>0.0</v>
      </c>
      <c r="E4535" s="27"/>
      <c r="F4535" s="25">
        <v>0.0</v>
      </c>
      <c r="G4535" s="27"/>
    </row>
    <row r="4536">
      <c r="A4536" s="21"/>
      <c r="B4536" s="21" t="s">
        <v>10688</v>
      </c>
      <c r="D4536" s="25">
        <v>0.0</v>
      </c>
      <c r="E4536" s="27"/>
      <c r="F4536" s="25">
        <v>0.0</v>
      </c>
      <c r="G4536" s="27"/>
    </row>
    <row r="4537">
      <c r="A4537" s="21"/>
      <c r="B4537" s="21" t="s">
        <v>10689</v>
      </c>
      <c r="D4537" s="25">
        <v>0.0</v>
      </c>
      <c r="E4537" s="27"/>
      <c r="F4537" s="25">
        <v>0.0</v>
      </c>
      <c r="G4537" s="27"/>
    </row>
    <row r="4538">
      <c r="A4538" s="21"/>
      <c r="B4538" s="21" t="s">
        <v>10690</v>
      </c>
      <c r="D4538" s="25">
        <v>0.0</v>
      </c>
      <c r="E4538" s="27"/>
      <c r="F4538" s="25">
        <v>0.0</v>
      </c>
      <c r="G4538" s="27"/>
    </row>
    <row r="4539">
      <c r="A4539" s="21"/>
      <c r="B4539" s="21" t="s">
        <v>10691</v>
      </c>
      <c r="D4539" s="25">
        <v>0.0</v>
      </c>
      <c r="E4539" s="27"/>
      <c r="F4539" s="25">
        <v>0.0</v>
      </c>
      <c r="G4539" s="27"/>
    </row>
    <row r="4540">
      <c r="A4540" s="21"/>
      <c r="B4540" s="21" t="s">
        <v>10692</v>
      </c>
      <c r="D4540" s="25">
        <v>0.0</v>
      </c>
      <c r="E4540" s="27"/>
      <c r="F4540" s="25">
        <v>0.0</v>
      </c>
      <c r="G4540" s="27"/>
    </row>
    <row r="4541">
      <c r="A4541" s="21"/>
      <c r="B4541" s="21" t="s">
        <v>10693</v>
      </c>
      <c r="D4541" s="25">
        <v>0.0</v>
      </c>
      <c r="E4541" s="27"/>
      <c r="F4541" s="25">
        <v>0.0</v>
      </c>
      <c r="G4541" s="27"/>
    </row>
    <row r="4542">
      <c r="A4542" s="21"/>
      <c r="B4542" s="21" t="s">
        <v>10694</v>
      </c>
      <c r="D4542" s="25">
        <v>0.0</v>
      </c>
      <c r="E4542" s="27"/>
      <c r="F4542" s="25">
        <v>0.0</v>
      </c>
      <c r="G4542" s="27"/>
    </row>
    <row r="4543">
      <c r="A4543" s="21"/>
      <c r="B4543" s="21" t="s">
        <v>10695</v>
      </c>
      <c r="D4543" s="25">
        <v>0.0</v>
      </c>
      <c r="E4543" s="27"/>
      <c r="F4543" s="25">
        <v>0.0</v>
      </c>
      <c r="G4543" s="27"/>
    </row>
    <row r="4544">
      <c r="A4544" s="21"/>
      <c r="B4544" s="21" t="s">
        <v>10696</v>
      </c>
      <c r="D4544" s="25">
        <v>0.0</v>
      </c>
      <c r="E4544" s="27"/>
      <c r="F4544" s="25">
        <v>0.0</v>
      </c>
      <c r="G4544" s="27"/>
    </row>
    <row r="4545">
      <c r="A4545" s="21"/>
      <c r="B4545" s="21" t="s">
        <v>10697</v>
      </c>
      <c r="D4545" s="25">
        <v>0.0</v>
      </c>
      <c r="E4545" s="27"/>
      <c r="F4545" s="25">
        <v>0.0</v>
      </c>
      <c r="G4545" s="27"/>
    </row>
    <row r="4546">
      <c r="A4546" s="21"/>
      <c r="B4546" s="21" t="s">
        <v>10698</v>
      </c>
      <c r="D4546" s="25">
        <v>0.0</v>
      </c>
      <c r="E4546" s="27"/>
      <c r="F4546" s="25">
        <v>0.0</v>
      </c>
      <c r="G4546" s="27"/>
    </row>
    <row r="4547">
      <c r="A4547" s="21"/>
      <c r="B4547" s="21" t="s">
        <v>10699</v>
      </c>
      <c r="D4547" s="25">
        <v>0.0</v>
      </c>
      <c r="E4547" s="27"/>
      <c r="F4547" s="25">
        <v>0.0</v>
      </c>
      <c r="G4547" s="27"/>
    </row>
    <row r="4548">
      <c r="A4548" s="21"/>
      <c r="B4548" s="21" t="s">
        <v>10700</v>
      </c>
      <c r="D4548" s="25">
        <v>0.0</v>
      </c>
      <c r="E4548" s="27"/>
      <c r="F4548" s="25">
        <v>0.0</v>
      </c>
      <c r="G4548" s="27"/>
    </row>
    <row r="4549">
      <c r="A4549" s="21"/>
      <c r="B4549" s="21" t="s">
        <v>10701</v>
      </c>
      <c r="D4549" s="25">
        <v>0.0</v>
      </c>
      <c r="E4549" s="27"/>
      <c r="F4549" s="25">
        <v>0.0</v>
      </c>
      <c r="G4549" s="27"/>
    </row>
    <row r="4550">
      <c r="A4550" s="21"/>
      <c r="B4550" s="21" t="s">
        <v>10702</v>
      </c>
      <c r="D4550" s="25">
        <v>0.0</v>
      </c>
      <c r="E4550" s="27"/>
      <c r="F4550" s="25">
        <v>0.0</v>
      </c>
      <c r="G4550" s="27"/>
    </row>
    <row r="4551">
      <c r="A4551" s="21"/>
      <c r="B4551" s="21" t="s">
        <v>10703</v>
      </c>
      <c r="D4551" s="25">
        <v>0.0</v>
      </c>
      <c r="E4551" s="27"/>
      <c r="F4551" s="25">
        <v>0.0</v>
      </c>
      <c r="G4551" s="27"/>
    </row>
    <row r="4552">
      <c r="A4552" s="21"/>
      <c r="B4552" s="21" t="s">
        <v>10704</v>
      </c>
      <c r="D4552" s="25">
        <v>0.0</v>
      </c>
      <c r="E4552" s="27"/>
      <c r="F4552" s="25">
        <v>0.0</v>
      </c>
      <c r="G4552" s="27"/>
    </row>
    <row r="4553">
      <c r="A4553" s="21"/>
      <c r="B4553" s="21" t="s">
        <v>10705</v>
      </c>
      <c r="D4553" s="25">
        <v>0.0</v>
      </c>
      <c r="E4553" s="27"/>
      <c r="F4553" s="25">
        <v>0.0</v>
      </c>
      <c r="G4553" s="27"/>
    </row>
    <row r="4554">
      <c r="A4554" s="21"/>
      <c r="B4554" s="21" t="s">
        <v>10706</v>
      </c>
      <c r="D4554" s="25">
        <v>0.0</v>
      </c>
      <c r="E4554" s="27"/>
      <c r="F4554" s="25">
        <v>0.0</v>
      </c>
      <c r="G4554" s="27"/>
    </row>
    <row r="4555">
      <c r="A4555" s="21"/>
      <c r="B4555" s="21" t="s">
        <v>10707</v>
      </c>
      <c r="D4555" s="25">
        <v>0.0</v>
      </c>
      <c r="E4555" s="27"/>
      <c r="F4555" s="25">
        <v>0.0</v>
      </c>
      <c r="G4555" s="27"/>
    </row>
    <row r="4556">
      <c r="A4556" s="21"/>
      <c r="B4556" s="21" t="s">
        <v>10708</v>
      </c>
      <c r="D4556" s="25">
        <v>0.0</v>
      </c>
      <c r="E4556" s="27"/>
      <c r="F4556" s="25">
        <v>0.0</v>
      </c>
      <c r="G4556" s="27"/>
    </row>
    <row r="4557">
      <c r="A4557" s="21"/>
      <c r="B4557" s="21" t="s">
        <v>10709</v>
      </c>
      <c r="D4557" s="25">
        <v>0.0</v>
      </c>
      <c r="E4557" s="27"/>
      <c r="F4557" s="25">
        <v>0.0</v>
      </c>
      <c r="G4557" s="27"/>
    </row>
    <row r="4558">
      <c r="A4558" s="21"/>
      <c r="B4558" s="21" t="s">
        <v>10710</v>
      </c>
      <c r="D4558" s="25">
        <v>0.0</v>
      </c>
      <c r="E4558" s="27"/>
      <c r="F4558" s="25">
        <v>0.0</v>
      </c>
      <c r="G4558" s="27"/>
    </row>
    <row r="4559">
      <c r="A4559" s="21"/>
      <c r="B4559" s="21" t="s">
        <v>10711</v>
      </c>
      <c r="D4559" s="25">
        <v>0.0</v>
      </c>
      <c r="E4559" s="27"/>
      <c r="F4559" s="25">
        <v>0.0</v>
      </c>
      <c r="G4559" s="27"/>
    </row>
    <row r="4560">
      <c r="A4560" s="21"/>
      <c r="B4560" s="21" t="s">
        <v>10712</v>
      </c>
      <c r="D4560" s="25">
        <v>0.0</v>
      </c>
      <c r="E4560" s="27"/>
      <c r="F4560" s="25">
        <v>0.0</v>
      </c>
      <c r="G4560" s="27"/>
    </row>
    <row r="4561">
      <c r="A4561" s="21"/>
      <c r="B4561" s="21" t="s">
        <v>10713</v>
      </c>
      <c r="D4561" s="25">
        <v>0.0</v>
      </c>
      <c r="E4561" s="27"/>
      <c r="F4561" s="25">
        <v>0.0</v>
      </c>
      <c r="G4561" s="27"/>
    </row>
    <row r="4562">
      <c r="A4562" s="21"/>
      <c r="B4562" s="21" t="s">
        <v>10714</v>
      </c>
      <c r="D4562" s="25">
        <v>0.0</v>
      </c>
      <c r="E4562" s="27"/>
      <c r="F4562" s="25">
        <v>0.0</v>
      </c>
      <c r="G4562" s="27"/>
    </row>
    <row r="4563">
      <c r="A4563" s="21"/>
      <c r="B4563" s="21" t="s">
        <v>10715</v>
      </c>
      <c r="D4563" s="25">
        <v>0.0</v>
      </c>
      <c r="E4563" s="27"/>
      <c r="F4563" s="25">
        <v>0.0</v>
      </c>
      <c r="G4563" s="27"/>
    </row>
    <row r="4564">
      <c r="A4564" s="21"/>
      <c r="B4564" s="21" t="s">
        <v>10716</v>
      </c>
      <c r="D4564" s="25">
        <v>0.0</v>
      </c>
      <c r="E4564" s="27"/>
      <c r="F4564" s="25">
        <v>0.0</v>
      </c>
      <c r="G4564" s="27"/>
    </row>
    <row r="4565">
      <c r="A4565" s="21"/>
      <c r="B4565" s="21" t="s">
        <v>10717</v>
      </c>
      <c r="D4565" s="25">
        <v>0.0</v>
      </c>
      <c r="E4565" s="27"/>
      <c r="F4565" s="25">
        <v>0.0</v>
      </c>
      <c r="G4565" s="27"/>
    </row>
    <row r="4566">
      <c r="A4566" s="21"/>
      <c r="B4566" s="21" t="s">
        <v>10718</v>
      </c>
      <c r="D4566" s="25">
        <v>0.0</v>
      </c>
      <c r="E4566" s="27"/>
      <c r="F4566" s="25">
        <v>0.0</v>
      </c>
      <c r="G4566" s="27"/>
    </row>
    <row r="4567">
      <c r="A4567" s="21"/>
      <c r="B4567" s="21" t="s">
        <v>10719</v>
      </c>
      <c r="D4567" s="25">
        <v>0.0</v>
      </c>
      <c r="E4567" s="27"/>
      <c r="F4567" s="25">
        <v>0.0</v>
      </c>
      <c r="G4567" s="27"/>
    </row>
    <row r="4568">
      <c r="A4568" s="21"/>
      <c r="B4568" s="21" t="s">
        <v>10720</v>
      </c>
      <c r="D4568" s="25">
        <v>0.0</v>
      </c>
      <c r="E4568" s="27"/>
      <c r="F4568" s="25">
        <v>0.0</v>
      </c>
      <c r="G4568" s="27"/>
    </row>
    <row r="4569">
      <c r="A4569" s="21"/>
      <c r="B4569" s="21" t="s">
        <v>10721</v>
      </c>
      <c r="D4569" s="25">
        <v>0.0</v>
      </c>
      <c r="E4569" s="27"/>
      <c r="F4569" s="25">
        <v>0.0</v>
      </c>
      <c r="G4569" s="27"/>
    </row>
    <row r="4570">
      <c r="A4570" s="21"/>
      <c r="B4570" s="21" t="s">
        <v>10722</v>
      </c>
      <c r="D4570" s="25">
        <v>0.0</v>
      </c>
      <c r="E4570" s="27"/>
      <c r="F4570" s="25">
        <v>0.0</v>
      </c>
      <c r="G4570" s="27"/>
    </row>
    <row r="4571">
      <c r="A4571" s="21"/>
      <c r="B4571" s="21" t="s">
        <v>10723</v>
      </c>
      <c r="D4571" s="25">
        <v>0.0</v>
      </c>
      <c r="E4571" s="27"/>
      <c r="F4571" s="25">
        <v>0.0</v>
      </c>
      <c r="G4571" s="27"/>
    </row>
    <row r="4572">
      <c r="A4572" s="21"/>
      <c r="B4572" s="21" t="s">
        <v>10724</v>
      </c>
      <c r="D4572" s="25">
        <v>0.0</v>
      </c>
      <c r="E4572" s="27"/>
      <c r="F4572" s="25">
        <v>0.0</v>
      </c>
      <c r="G4572" s="27"/>
    </row>
    <row r="4573">
      <c r="A4573" s="21"/>
      <c r="B4573" s="21" t="s">
        <v>10725</v>
      </c>
      <c r="D4573" s="25">
        <v>0.0</v>
      </c>
      <c r="E4573" s="27"/>
      <c r="F4573" s="25">
        <v>0.0</v>
      </c>
      <c r="G4573" s="27"/>
    </row>
    <row r="4574">
      <c r="A4574" s="21"/>
      <c r="B4574" s="21" t="s">
        <v>10726</v>
      </c>
      <c r="D4574" s="25">
        <v>0.0</v>
      </c>
      <c r="E4574" s="27"/>
      <c r="F4574" s="25">
        <v>0.0</v>
      </c>
      <c r="G4574" s="27"/>
    </row>
    <row r="4575">
      <c r="A4575" s="21"/>
      <c r="B4575" s="21" t="s">
        <v>10727</v>
      </c>
      <c r="D4575" s="25">
        <v>0.0</v>
      </c>
      <c r="E4575" s="27"/>
      <c r="F4575" s="25">
        <v>0.0</v>
      </c>
      <c r="G4575" s="27"/>
    </row>
    <row r="4576">
      <c r="A4576" s="21"/>
      <c r="B4576" s="21" t="s">
        <v>10728</v>
      </c>
      <c r="D4576" s="25">
        <v>0.0</v>
      </c>
      <c r="E4576" s="27"/>
      <c r="F4576" s="25">
        <v>0.0</v>
      </c>
      <c r="G4576" s="27"/>
    </row>
    <row r="4577">
      <c r="A4577" s="21"/>
      <c r="B4577" s="21" t="s">
        <v>10729</v>
      </c>
      <c r="D4577" s="25">
        <v>0.0</v>
      </c>
      <c r="E4577" s="27"/>
      <c r="F4577" s="25">
        <v>0.0</v>
      </c>
      <c r="G4577" s="27"/>
    </row>
    <row r="4578">
      <c r="A4578" s="21"/>
      <c r="B4578" s="21" t="s">
        <v>10730</v>
      </c>
      <c r="D4578" s="25">
        <v>0.0</v>
      </c>
      <c r="E4578" s="27"/>
      <c r="F4578" s="25">
        <v>0.0</v>
      </c>
      <c r="G4578" s="27"/>
    </row>
    <row r="4579">
      <c r="A4579" s="21"/>
      <c r="B4579" s="21" t="s">
        <v>10731</v>
      </c>
      <c r="D4579" s="25">
        <v>0.0</v>
      </c>
      <c r="E4579" s="27"/>
      <c r="F4579" s="25">
        <v>0.0</v>
      </c>
      <c r="G4579" s="27"/>
    </row>
    <row r="4580">
      <c r="A4580" s="21"/>
      <c r="B4580" s="21" t="s">
        <v>10732</v>
      </c>
      <c r="D4580" s="25">
        <v>0.0</v>
      </c>
      <c r="E4580" s="27"/>
      <c r="F4580" s="25">
        <v>0.0</v>
      </c>
      <c r="G4580" s="27"/>
    </row>
    <row r="4581">
      <c r="A4581" s="21"/>
      <c r="B4581" s="21" t="s">
        <v>10733</v>
      </c>
      <c r="D4581" s="25">
        <v>0.0</v>
      </c>
      <c r="E4581" s="27"/>
      <c r="F4581" s="25">
        <v>0.0</v>
      </c>
      <c r="G4581" s="27"/>
    </row>
    <row r="4582">
      <c r="A4582" s="21"/>
      <c r="B4582" s="21" t="s">
        <v>10734</v>
      </c>
      <c r="D4582" s="25">
        <v>0.0</v>
      </c>
      <c r="E4582" s="27"/>
      <c r="F4582" s="25">
        <v>0.0</v>
      </c>
      <c r="G4582" s="27"/>
    </row>
    <row r="4583">
      <c r="A4583" s="21"/>
      <c r="B4583" s="21" t="s">
        <v>10735</v>
      </c>
      <c r="D4583" s="25">
        <v>0.0</v>
      </c>
      <c r="E4583" s="27"/>
      <c r="F4583" s="25">
        <v>0.0</v>
      </c>
      <c r="G4583" s="27"/>
    </row>
    <row r="4584">
      <c r="A4584" s="21"/>
      <c r="B4584" s="21" t="s">
        <v>6050</v>
      </c>
      <c r="D4584" s="25">
        <v>0.0</v>
      </c>
      <c r="E4584" s="27"/>
      <c r="F4584" s="25">
        <v>0.0</v>
      </c>
      <c r="G4584" s="27"/>
    </row>
    <row r="4585">
      <c r="A4585" s="21"/>
      <c r="B4585" s="21" t="s">
        <v>10736</v>
      </c>
      <c r="D4585" s="25">
        <v>0.0</v>
      </c>
      <c r="E4585" s="27"/>
      <c r="F4585" s="25">
        <v>0.0</v>
      </c>
      <c r="G4585" s="27"/>
    </row>
    <row r="4586">
      <c r="A4586" s="21"/>
      <c r="B4586" s="21" t="s">
        <v>10737</v>
      </c>
      <c r="D4586" s="25">
        <v>0.0</v>
      </c>
      <c r="E4586" s="27"/>
      <c r="F4586" s="25">
        <v>0.0</v>
      </c>
      <c r="G4586" s="27"/>
    </row>
    <row r="4587">
      <c r="A4587" s="21"/>
      <c r="B4587" s="21" t="s">
        <v>10738</v>
      </c>
      <c r="D4587" s="25">
        <v>0.0</v>
      </c>
      <c r="E4587" s="27"/>
      <c r="F4587" s="25">
        <v>0.0</v>
      </c>
      <c r="G4587" s="27"/>
    </row>
    <row r="4588">
      <c r="A4588" s="21"/>
      <c r="B4588" s="21" t="s">
        <v>10739</v>
      </c>
      <c r="D4588" s="25">
        <v>0.0</v>
      </c>
      <c r="E4588" s="27"/>
      <c r="F4588" s="25">
        <v>0.0</v>
      </c>
      <c r="G4588" s="27"/>
    </row>
    <row r="4589">
      <c r="A4589" s="21"/>
      <c r="B4589" s="21" t="s">
        <v>10740</v>
      </c>
      <c r="D4589" s="25">
        <v>0.0</v>
      </c>
      <c r="E4589" s="27"/>
      <c r="F4589" s="25">
        <v>0.0</v>
      </c>
      <c r="G4589" s="27"/>
    </row>
    <row r="4590">
      <c r="A4590" s="21"/>
      <c r="B4590" s="21" t="s">
        <v>10741</v>
      </c>
      <c r="D4590" s="25">
        <v>0.0</v>
      </c>
      <c r="E4590" s="27"/>
      <c r="F4590" s="25">
        <v>0.0</v>
      </c>
      <c r="G4590" s="27"/>
    </row>
    <row r="4591">
      <c r="A4591" s="21"/>
      <c r="B4591" s="21" t="s">
        <v>10742</v>
      </c>
      <c r="D4591" s="25">
        <v>0.0</v>
      </c>
      <c r="E4591" s="27"/>
      <c r="F4591" s="25">
        <v>0.0</v>
      </c>
      <c r="G4591" s="27"/>
    </row>
    <row r="4592">
      <c r="A4592" s="21"/>
      <c r="B4592" s="21" t="s">
        <v>10743</v>
      </c>
      <c r="D4592" s="25">
        <v>0.0</v>
      </c>
      <c r="E4592" s="27"/>
      <c r="F4592" s="25">
        <v>0.0</v>
      </c>
      <c r="G4592" s="27"/>
    </row>
    <row r="4593">
      <c r="A4593" s="21"/>
      <c r="B4593" s="21" t="s">
        <v>10744</v>
      </c>
      <c r="D4593" s="25">
        <v>0.0</v>
      </c>
      <c r="E4593" s="27"/>
      <c r="F4593" s="25">
        <v>0.0</v>
      </c>
      <c r="G4593" s="27"/>
    </row>
    <row r="4594">
      <c r="A4594" s="21"/>
      <c r="B4594" s="21" t="s">
        <v>10745</v>
      </c>
      <c r="D4594" s="25">
        <v>0.0</v>
      </c>
      <c r="E4594" s="27"/>
      <c r="F4594" s="25">
        <v>0.0</v>
      </c>
      <c r="G4594" s="27"/>
    </row>
    <row r="4595">
      <c r="A4595" s="21"/>
      <c r="B4595" s="21" t="s">
        <v>10746</v>
      </c>
      <c r="D4595" s="25">
        <v>0.0</v>
      </c>
      <c r="E4595" s="27"/>
      <c r="F4595" s="25">
        <v>0.0</v>
      </c>
      <c r="G4595" s="27"/>
    </row>
    <row r="4596">
      <c r="A4596" s="21"/>
      <c r="B4596" s="21" t="s">
        <v>10747</v>
      </c>
      <c r="D4596" s="25">
        <v>0.0</v>
      </c>
      <c r="E4596" s="27"/>
      <c r="F4596" s="25">
        <v>0.0</v>
      </c>
      <c r="G4596" s="27"/>
    </row>
    <row r="4597">
      <c r="A4597" s="21"/>
      <c r="B4597" s="21" t="s">
        <v>10748</v>
      </c>
      <c r="D4597" s="25">
        <v>0.0</v>
      </c>
      <c r="E4597" s="27"/>
      <c r="F4597" s="25">
        <v>0.0</v>
      </c>
      <c r="G4597" s="27"/>
    </row>
    <row r="4598">
      <c r="A4598" s="21"/>
      <c r="B4598" s="21" t="s">
        <v>10749</v>
      </c>
      <c r="D4598" s="25">
        <v>0.0</v>
      </c>
      <c r="E4598" s="27"/>
      <c r="F4598" s="25">
        <v>0.0</v>
      </c>
      <c r="G4598" s="27"/>
    </row>
    <row r="4599">
      <c r="A4599" s="21"/>
      <c r="B4599" s="21" t="s">
        <v>10750</v>
      </c>
      <c r="D4599" s="25">
        <v>0.0</v>
      </c>
      <c r="E4599" s="27"/>
      <c r="F4599" s="25">
        <v>0.0</v>
      </c>
      <c r="G4599" s="27"/>
    </row>
    <row r="4600">
      <c r="A4600" s="21"/>
      <c r="B4600" s="21" t="s">
        <v>10751</v>
      </c>
      <c r="D4600" s="25">
        <v>0.0</v>
      </c>
      <c r="E4600" s="27"/>
      <c r="F4600" s="25">
        <v>0.0</v>
      </c>
      <c r="G4600" s="27"/>
    </row>
    <row r="4601">
      <c r="A4601" s="21"/>
      <c r="B4601" s="21" t="s">
        <v>10752</v>
      </c>
      <c r="D4601" s="25">
        <v>0.0</v>
      </c>
      <c r="E4601" s="27"/>
      <c r="F4601" s="25">
        <v>0.0</v>
      </c>
      <c r="G4601" s="27"/>
    </row>
    <row r="4602">
      <c r="A4602" s="21"/>
      <c r="B4602" s="21" t="s">
        <v>10753</v>
      </c>
      <c r="D4602" s="25">
        <v>0.0</v>
      </c>
      <c r="E4602" s="27"/>
      <c r="F4602" s="25">
        <v>0.0</v>
      </c>
      <c r="G4602" s="27"/>
    </row>
    <row r="4603">
      <c r="A4603" s="21"/>
      <c r="B4603" s="21" t="s">
        <v>10754</v>
      </c>
      <c r="D4603" s="25">
        <v>0.0</v>
      </c>
      <c r="E4603" s="27"/>
      <c r="F4603" s="25">
        <v>0.0</v>
      </c>
      <c r="G4603" s="27"/>
    </row>
    <row r="4604">
      <c r="A4604" s="21"/>
      <c r="B4604" s="21" t="s">
        <v>10755</v>
      </c>
      <c r="D4604" s="25">
        <v>0.0</v>
      </c>
      <c r="E4604" s="27"/>
      <c r="F4604" s="25">
        <v>0.0</v>
      </c>
      <c r="G4604" s="27"/>
    </row>
    <row r="4605">
      <c r="A4605" s="21"/>
      <c r="B4605" s="21" t="s">
        <v>10756</v>
      </c>
      <c r="D4605" s="25">
        <v>0.0</v>
      </c>
      <c r="E4605" s="27"/>
      <c r="F4605" s="25">
        <v>0.0</v>
      </c>
      <c r="G4605" s="27"/>
    </row>
    <row r="4606">
      <c r="A4606" s="21"/>
      <c r="B4606" s="21" t="s">
        <v>10757</v>
      </c>
      <c r="D4606" s="25">
        <v>0.0</v>
      </c>
      <c r="E4606" s="27"/>
      <c r="F4606" s="25">
        <v>0.99</v>
      </c>
      <c r="G4606" s="27"/>
    </row>
    <row r="4607">
      <c r="A4607" s="21"/>
      <c r="B4607" s="21" t="s">
        <v>10758</v>
      </c>
      <c r="D4607" s="25">
        <v>0.0</v>
      </c>
      <c r="E4607" s="27"/>
      <c r="F4607" s="25">
        <v>0.0</v>
      </c>
      <c r="G4607" s="27"/>
    </row>
    <row r="4608">
      <c r="A4608" s="21"/>
      <c r="B4608" s="21" t="s">
        <v>10759</v>
      </c>
      <c r="D4608" s="25">
        <v>0.0</v>
      </c>
      <c r="E4608" s="27"/>
      <c r="F4608" s="25">
        <v>0.0</v>
      </c>
      <c r="G4608" s="27"/>
    </row>
    <row r="4609">
      <c r="A4609" s="21"/>
      <c r="B4609" s="21" t="s">
        <v>10760</v>
      </c>
      <c r="D4609" s="25">
        <v>0.0</v>
      </c>
      <c r="E4609" s="27"/>
      <c r="F4609" s="25">
        <v>0.0</v>
      </c>
      <c r="G4609" s="27"/>
    </row>
    <row r="4610">
      <c r="A4610" s="21"/>
      <c r="B4610" s="21" t="s">
        <v>10761</v>
      </c>
      <c r="D4610" s="25">
        <v>0.0</v>
      </c>
      <c r="E4610" s="27"/>
      <c r="F4610" s="25">
        <v>0.0</v>
      </c>
      <c r="G4610" s="27"/>
    </row>
    <row r="4611">
      <c r="A4611" s="21"/>
      <c r="B4611" s="21" t="s">
        <v>10762</v>
      </c>
      <c r="D4611" s="25">
        <v>0.0</v>
      </c>
      <c r="E4611" s="27"/>
      <c r="F4611" s="25">
        <v>0.0</v>
      </c>
      <c r="G4611" s="27"/>
    </row>
    <row r="4612">
      <c r="A4612" s="21"/>
      <c r="B4612" s="21" t="s">
        <v>10763</v>
      </c>
      <c r="D4612" s="25">
        <v>0.0</v>
      </c>
      <c r="E4612" s="27"/>
      <c r="F4612" s="25">
        <v>0.0</v>
      </c>
      <c r="G4612" s="27"/>
    </row>
    <row r="4613">
      <c r="A4613" s="21"/>
      <c r="B4613" s="21" t="s">
        <v>10764</v>
      </c>
      <c r="D4613" s="25">
        <v>0.0</v>
      </c>
      <c r="E4613" s="27"/>
      <c r="F4613" s="25">
        <v>0.0</v>
      </c>
      <c r="G4613" s="27"/>
    </row>
    <row r="4614">
      <c r="A4614" s="21"/>
      <c r="B4614" s="21" t="s">
        <v>10765</v>
      </c>
      <c r="D4614" s="25">
        <v>0.0</v>
      </c>
      <c r="E4614" s="27"/>
      <c r="F4614" s="25">
        <v>0.0</v>
      </c>
      <c r="G4614" s="27"/>
    </row>
    <row r="4615">
      <c r="A4615" s="21"/>
      <c r="B4615" s="21" t="s">
        <v>10766</v>
      </c>
      <c r="D4615" s="25">
        <v>0.0</v>
      </c>
      <c r="E4615" s="27"/>
      <c r="F4615" s="25">
        <v>0.0</v>
      </c>
      <c r="G4615" s="27"/>
    </row>
    <row r="4616">
      <c r="A4616" s="21"/>
      <c r="B4616" s="21" t="s">
        <v>10767</v>
      </c>
      <c r="D4616" s="25">
        <v>0.0</v>
      </c>
      <c r="E4616" s="27"/>
      <c r="F4616" s="25">
        <v>0.0</v>
      </c>
      <c r="G4616" s="27"/>
    </row>
    <row r="4617">
      <c r="A4617" s="21"/>
      <c r="B4617" s="21" t="s">
        <v>10768</v>
      </c>
      <c r="D4617" s="25">
        <v>0.0</v>
      </c>
      <c r="E4617" s="27"/>
      <c r="F4617" s="25">
        <v>0.85</v>
      </c>
      <c r="G4617" s="27"/>
    </row>
    <row r="4618">
      <c r="A4618" s="21"/>
      <c r="B4618" s="21" t="s">
        <v>10769</v>
      </c>
      <c r="D4618" s="25">
        <v>0.0</v>
      </c>
      <c r="E4618" s="27"/>
      <c r="F4618" s="25">
        <v>0.0</v>
      </c>
      <c r="G4618" s="27"/>
    </row>
    <row r="4619">
      <c r="A4619" s="21"/>
      <c r="B4619" s="21" t="s">
        <v>10770</v>
      </c>
      <c r="D4619" s="25">
        <v>0.0</v>
      </c>
      <c r="E4619" s="27"/>
      <c r="F4619" s="25">
        <v>0.0</v>
      </c>
      <c r="G4619" s="27"/>
    </row>
    <row r="4620">
      <c r="A4620" s="21"/>
      <c r="B4620" s="21" t="s">
        <v>10771</v>
      </c>
      <c r="D4620" s="25">
        <v>0.0</v>
      </c>
      <c r="E4620" s="27"/>
      <c r="F4620" s="25">
        <v>0.0</v>
      </c>
      <c r="G4620" s="27"/>
    </row>
    <row r="4621">
      <c r="A4621" s="21"/>
      <c r="B4621" s="21" t="s">
        <v>10772</v>
      </c>
      <c r="D4621" s="25">
        <v>0.0</v>
      </c>
      <c r="E4621" s="27"/>
      <c r="F4621" s="25">
        <v>0.0</v>
      </c>
      <c r="G4621" s="27"/>
    </row>
    <row r="4622">
      <c r="A4622" s="21"/>
      <c r="B4622" s="21" t="s">
        <v>10773</v>
      </c>
      <c r="D4622" s="25">
        <v>0.0</v>
      </c>
      <c r="E4622" s="27"/>
      <c r="F4622" s="25">
        <v>0.0</v>
      </c>
      <c r="G4622" s="27"/>
    </row>
    <row r="4623">
      <c r="A4623" s="21"/>
      <c r="B4623" s="21" t="s">
        <v>10774</v>
      </c>
      <c r="D4623" s="25">
        <v>0.0</v>
      </c>
      <c r="E4623" s="27"/>
      <c r="F4623" s="25">
        <v>0.0</v>
      </c>
      <c r="G4623" s="27"/>
    </row>
    <row r="4624">
      <c r="A4624" s="21"/>
      <c r="B4624" s="21" t="s">
        <v>10775</v>
      </c>
      <c r="D4624" s="25">
        <v>0.0</v>
      </c>
      <c r="E4624" s="27"/>
      <c r="F4624" s="25">
        <v>0.0</v>
      </c>
      <c r="G4624" s="27"/>
    </row>
    <row r="4625">
      <c r="A4625" s="21"/>
      <c r="B4625" s="21" t="s">
        <v>10776</v>
      </c>
      <c r="D4625" s="25">
        <v>0.0</v>
      </c>
      <c r="E4625" s="27"/>
      <c r="F4625" s="25">
        <v>0.0</v>
      </c>
      <c r="G4625" s="27"/>
    </row>
    <row r="4626">
      <c r="A4626" s="21"/>
      <c r="B4626" s="21" t="s">
        <v>10777</v>
      </c>
      <c r="D4626" s="25">
        <v>0.0</v>
      </c>
      <c r="E4626" s="27"/>
      <c r="F4626" s="25">
        <v>0.0</v>
      </c>
      <c r="G4626" s="27"/>
    </row>
    <row r="4627">
      <c r="A4627" s="21"/>
      <c r="B4627" s="21" t="s">
        <v>10778</v>
      </c>
      <c r="D4627" s="25">
        <v>0.0</v>
      </c>
      <c r="E4627" s="27"/>
      <c r="F4627" s="25">
        <v>0.0</v>
      </c>
      <c r="G4627" s="27"/>
    </row>
    <row r="4628">
      <c r="A4628" s="21"/>
      <c r="B4628" s="21" t="s">
        <v>10779</v>
      </c>
      <c r="D4628" s="25">
        <v>0.0</v>
      </c>
      <c r="E4628" s="27"/>
      <c r="F4628" s="25">
        <v>0.0</v>
      </c>
      <c r="G4628" s="27"/>
    </row>
    <row r="4629">
      <c r="A4629" s="21"/>
      <c r="B4629" s="21" t="s">
        <v>10780</v>
      </c>
      <c r="D4629" s="25">
        <v>0.0</v>
      </c>
      <c r="E4629" s="27"/>
      <c r="F4629" s="25">
        <v>0.0</v>
      </c>
      <c r="G4629" s="27"/>
    </row>
    <row r="4630">
      <c r="A4630" s="21"/>
      <c r="B4630" s="21" t="s">
        <v>10781</v>
      </c>
      <c r="D4630" s="25">
        <v>0.0</v>
      </c>
      <c r="E4630" s="27"/>
      <c r="F4630" s="25">
        <v>0.0</v>
      </c>
      <c r="G4630" s="27"/>
    </row>
    <row r="4631">
      <c r="A4631" s="21"/>
      <c r="B4631" s="21" t="s">
        <v>6051</v>
      </c>
      <c r="D4631" s="25">
        <v>0.0</v>
      </c>
      <c r="E4631" s="27"/>
      <c r="F4631" s="25">
        <v>0.99</v>
      </c>
      <c r="G4631" s="27"/>
    </row>
    <row r="4632">
      <c r="A4632" s="21"/>
      <c r="B4632" s="21" t="s">
        <v>10782</v>
      </c>
      <c r="D4632" s="25">
        <v>0.0</v>
      </c>
      <c r="E4632" s="27"/>
      <c r="F4632" s="25">
        <v>0.0</v>
      </c>
      <c r="G4632" s="27"/>
    </row>
    <row r="4633">
      <c r="A4633" s="21"/>
      <c r="B4633" s="21" t="s">
        <v>10783</v>
      </c>
      <c r="D4633" s="25">
        <v>0.0</v>
      </c>
      <c r="E4633" s="27"/>
      <c r="F4633" s="25">
        <v>0.99</v>
      </c>
      <c r="G4633" s="27"/>
    </row>
    <row r="4634">
      <c r="A4634" s="21"/>
      <c r="B4634" s="21" t="s">
        <v>10784</v>
      </c>
      <c r="D4634" s="25">
        <v>0.0</v>
      </c>
      <c r="E4634" s="27"/>
      <c r="F4634" s="25">
        <v>0.0</v>
      </c>
      <c r="G4634" s="27"/>
    </row>
    <row r="4635">
      <c r="A4635" s="21"/>
      <c r="B4635" s="21" t="s">
        <v>10785</v>
      </c>
      <c r="D4635" s="25">
        <v>0.0</v>
      </c>
      <c r="E4635" s="27"/>
      <c r="F4635" s="25">
        <v>0.0</v>
      </c>
      <c r="G4635" s="27"/>
    </row>
    <row r="4636">
      <c r="A4636" s="21"/>
      <c r="B4636" s="21" t="s">
        <v>10786</v>
      </c>
      <c r="D4636" s="25">
        <v>0.0</v>
      </c>
      <c r="E4636" s="27"/>
      <c r="F4636" s="25">
        <v>0.0</v>
      </c>
      <c r="G4636" s="27"/>
    </row>
    <row r="4637">
      <c r="A4637" s="21"/>
      <c r="B4637" s="21" t="s">
        <v>10787</v>
      </c>
      <c r="D4637" s="25">
        <v>0.0</v>
      </c>
      <c r="E4637" s="27"/>
      <c r="F4637" s="25">
        <v>0.0</v>
      </c>
      <c r="G4637" s="27"/>
    </row>
    <row r="4638">
      <c r="A4638" s="21"/>
      <c r="B4638" s="21" t="s">
        <v>10788</v>
      </c>
      <c r="D4638" s="25">
        <v>0.0</v>
      </c>
      <c r="E4638" s="27"/>
      <c r="F4638" s="25">
        <v>0.0</v>
      </c>
      <c r="G4638" s="27"/>
    </row>
    <row r="4639">
      <c r="A4639" s="21"/>
      <c r="B4639" s="21" t="s">
        <v>10789</v>
      </c>
      <c r="D4639" s="25">
        <v>0.0</v>
      </c>
      <c r="E4639" s="27"/>
      <c r="F4639" s="25">
        <v>0.0</v>
      </c>
      <c r="G4639" s="27"/>
    </row>
    <row r="4640">
      <c r="A4640" s="21"/>
      <c r="B4640" s="21" t="s">
        <v>10790</v>
      </c>
      <c r="D4640" s="25">
        <v>0.0</v>
      </c>
      <c r="E4640" s="27"/>
      <c r="F4640" s="25">
        <v>0.0</v>
      </c>
      <c r="G4640" s="27"/>
    </row>
    <row r="4641">
      <c r="A4641" s="21"/>
      <c r="B4641" s="21" t="s">
        <v>10791</v>
      </c>
      <c r="D4641" s="25">
        <v>0.0</v>
      </c>
      <c r="E4641" s="27"/>
      <c r="F4641" s="25">
        <v>0.0</v>
      </c>
      <c r="G4641" s="27"/>
    </row>
    <row r="4642">
      <c r="A4642" s="21"/>
      <c r="B4642" s="21" t="s">
        <v>10792</v>
      </c>
      <c r="D4642" s="25">
        <v>0.0</v>
      </c>
      <c r="E4642" s="27"/>
      <c r="F4642" s="25">
        <v>0.0</v>
      </c>
      <c r="G4642" s="27"/>
    </row>
    <row r="4643">
      <c r="A4643" s="21"/>
      <c r="B4643" s="21" t="s">
        <v>10793</v>
      </c>
      <c r="D4643" s="25">
        <v>0.0</v>
      </c>
      <c r="E4643" s="27"/>
      <c r="F4643" s="25">
        <v>0.0</v>
      </c>
      <c r="G4643" s="27"/>
    </row>
    <row r="4644">
      <c r="A4644" s="21"/>
      <c r="B4644" s="21" t="s">
        <v>10794</v>
      </c>
      <c r="D4644" s="25">
        <v>0.0</v>
      </c>
      <c r="E4644" s="27"/>
      <c r="F4644" s="25">
        <v>0.0</v>
      </c>
      <c r="G4644" s="27"/>
    </row>
    <row r="4645">
      <c r="A4645" s="21"/>
      <c r="B4645" s="21" t="s">
        <v>10795</v>
      </c>
      <c r="D4645" s="25">
        <v>0.0</v>
      </c>
      <c r="E4645" s="27"/>
      <c r="F4645" s="25">
        <v>0.0</v>
      </c>
      <c r="G4645" s="27"/>
    </row>
    <row r="4646">
      <c r="A4646" s="21"/>
      <c r="B4646" s="21" t="s">
        <v>10796</v>
      </c>
      <c r="D4646" s="25">
        <v>0.0</v>
      </c>
      <c r="E4646" s="27"/>
      <c r="F4646" s="25">
        <v>0.0</v>
      </c>
      <c r="G4646" s="27"/>
    </row>
    <row r="4647">
      <c r="A4647" s="21"/>
      <c r="B4647" s="21" t="s">
        <v>10797</v>
      </c>
      <c r="D4647" s="25">
        <v>0.0</v>
      </c>
      <c r="E4647" s="27"/>
      <c r="F4647" s="25">
        <v>0.0</v>
      </c>
      <c r="G4647" s="27"/>
    </row>
    <row r="4648">
      <c r="A4648" s="21"/>
      <c r="B4648" s="21" t="s">
        <v>10798</v>
      </c>
      <c r="D4648" s="25">
        <v>0.0</v>
      </c>
      <c r="E4648" s="27"/>
      <c r="F4648" s="25">
        <v>0.0</v>
      </c>
      <c r="G4648" s="27"/>
    </row>
    <row r="4649">
      <c r="A4649" s="21"/>
      <c r="B4649" s="21" t="s">
        <v>10799</v>
      </c>
      <c r="D4649" s="25">
        <v>0.0</v>
      </c>
      <c r="E4649" s="27"/>
      <c r="F4649" s="25">
        <v>0.0</v>
      </c>
      <c r="G4649" s="27"/>
    </row>
    <row r="4650">
      <c r="A4650" s="21"/>
      <c r="B4650" s="21" t="s">
        <v>10800</v>
      </c>
      <c r="D4650" s="25">
        <v>0.0</v>
      </c>
      <c r="E4650" s="27"/>
      <c r="F4650" s="25">
        <v>0.0</v>
      </c>
      <c r="G4650" s="27"/>
    </row>
    <row r="4651">
      <c r="A4651" s="21"/>
      <c r="B4651" s="21" t="s">
        <v>10801</v>
      </c>
      <c r="D4651" s="25">
        <v>0.0</v>
      </c>
      <c r="E4651" s="27"/>
      <c r="F4651" s="25">
        <v>0.0</v>
      </c>
      <c r="G4651" s="27"/>
    </row>
    <row r="4652">
      <c r="A4652" s="21"/>
      <c r="B4652" s="21" t="s">
        <v>10802</v>
      </c>
      <c r="D4652" s="25">
        <v>0.0</v>
      </c>
      <c r="E4652" s="27"/>
      <c r="F4652" s="25">
        <v>0.0</v>
      </c>
      <c r="G4652" s="27"/>
    </row>
    <row r="4653">
      <c r="A4653" s="21"/>
      <c r="B4653" s="21" t="s">
        <v>10803</v>
      </c>
      <c r="D4653" s="25">
        <v>0.0</v>
      </c>
      <c r="E4653" s="27"/>
      <c r="F4653" s="25">
        <v>0.0</v>
      </c>
      <c r="G4653" s="27"/>
    </row>
    <row r="4654">
      <c r="A4654" s="21"/>
      <c r="B4654" s="21" t="s">
        <v>10804</v>
      </c>
      <c r="D4654" s="25">
        <v>0.0</v>
      </c>
      <c r="E4654" s="27"/>
      <c r="F4654" s="25">
        <v>0.0</v>
      </c>
      <c r="G4654" s="27"/>
    </row>
    <row r="4655">
      <c r="A4655" s="21"/>
      <c r="B4655" s="21" t="s">
        <v>10805</v>
      </c>
      <c r="D4655" s="25">
        <v>0.0</v>
      </c>
      <c r="E4655" s="27"/>
      <c r="F4655" s="25">
        <v>0.0</v>
      </c>
      <c r="G4655" s="27"/>
    </row>
    <row r="4656">
      <c r="A4656" s="21"/>
      <c r="B4656" s="21" t="s">
        <v>10806</v>
      </c>
      <c r="D4656" s="25">
        <v>0.0</v>
      </c>
      <c r="E4656" s="27"/>
      <c r="F4656" s="25">
        <v>0.0</v>
      </c>
      <c r="G4656" s="27"/>
    </row>
    <row r="4657">
      <c r="A4657" s="21"/>
      <c r="B4657" s="21" t="s">
        <v>10807</v>
      </c>
      <c r="D4657" s="25">
        <v>0.0</v>
      </c>
      <c r="E4657" s="27"/>
      <c r="F4657" s="25">
        <v>0.0</v>
      </c>
      <c r="G4657" s="27"/>
    </row>
    <row r="4658">
      <c r="A4658" s="21"/>
      <c r="B4658" s="21" t="s">
        <v>10808</v>
      </c>
      <c r="D4658" s="25">
        <v>0.0</v>
      </c>
      <c r="E4658" s="27"/>
      <c r="F4658" s="25">
        <v>0.0</v>
      </c>
      <c r="G4658" s="27"/>
    </row>
    <row r="4659">
      <c r="A4659" s="21"/>
      <c r="B4659" s="21" t="s">
        <v>10809</v>
      </c>
      <c r="D4659" s="25">
        <v>0.0</v>
      </c>
      <c r="E4659" s="27"/>
      <c r="F4659" s="25">
        <v>0.0</v>
      </c>
      <c r="G4659" s="27"/>
    </row>
    <row r="4660">
      <c r="A4660" s="21"/>
      <c r="B4660" s="21" t="s">
        <v>10810</v>
      </c>
      <c r="D4660" s="25">
        <v>0.0</v>
      </c>
      <c r="E4660" s="27"/>
      <c r="F4660" s="25">
        <v>0.0</v>
      </c>
      <c r="G4660" s="27"/>
    </row>
    <row r="4661">
      <c r="A4661" s="21"/>
      <c r="B4661" s="21" t="s">
        <v>10811</v>
      </c>
      <c r="D4661" s="25">
        <v>0.0</v>
      </c>
      <c r="E4661" s="27"/>
      <c r="F4661" s="25">
        <v>0.0</v>
      </c>
      <c r="G4661" s="27"/>
    </row>
    <row r="4662">
      <c r="A4662" s="21"/>
      <c r="B4662" s="21" t="s">
        <v>10812</v>
      </c>
      <c r="D4662" s="25">
        <v>0.0</v>
      </c>
      <c r="E4662" s="27"/>
      <c r="F4662" s="25">
        <v>0.0</v>
      </c>
      <c r="G4662" s="27"/>
    </row>
    <row r="4663">
      <c r="A4663" s="21"/>
      <c r="B4663" s="21" t="s">
        <v>10813</v>
      </c>
      <c r="D4663" s="25">
        <v>0.0</v>
      </c>
      <c r="E4663" s="27"/>
      <c r="F4663" s="25">
        <v>0.0</v>
      </c>
      <c r="G4663" s="27"/>
    </row>
    <row r="4664">
      <c r="A4664" s="21"/>
      <c r="B4664" s="21" t="s">
        <v>10814</v>
      </c>
      <c r="D4664" s="25">
        <v>0.0</v>
      </c>
      <c r="E4664" s="27"/>
      <c r="F4664" s="25">
        <v>0.0</v>
      </c>
      <c r="G4664" s="27"/>
    </row>
    <row r="4665">
      <c r="A4665" s="21"/>
      <c r="B4665" s="21" t="s">
        <v>10815</v>
      </c>
      <c r="D4665" s="25">
        <v>0.0</v>
      </c>
      <c r="E4665" s="27"/>
      <c r="F4665" s="25">
        <v>0.0</v>
      </c>
      <c r="G4665" s="27"/>
    </row>
    <row r="4666">
      <c r="A4666" s="21"/>
      <c r="B4666" s="21" t="s">
        <v>10816</v>
      </c>
      <c r="D4666" s="25">
        <v>0.0</v>
      </c>
      <c r="E4666" s="27"/>
      <c r="F4666" s="25">
        <v>0.0</v>
      </c>
      <c r="G4666" s="27"/>
    </row>
    <row r="4667">
      <c r="A4667" s="21"/>
      <c r="B4667" s="21" t="s">
        <v>10817</v>
      </c>
      <c r="D4667" s="25">
        <v>0.0</v>
      </c>
      <c r="E4667" s="27"/>
      <c r="F4667" s="25">
        <v>0.0</v>
      </c>
      <c r="G4667" s="27"/>
    </row>
    <row r="4668">
      <c r="A4668" s="21"/>
      <c r="B4668" s="21" t="s">
        <v>10818</v>
      </c>
      <c r="D4668" s="25">
        <v>0.0</v>
      </c>
      <c r="E4668" s="27"/>
      <c r="F4668" s="25">
        <v>0.0</v>
      </c>
      <c r="G4668" s="27"/>
    </row>
    <row r="4669">
      <c r="A4669" s="21"/>
      <c r="B4669" s="21" t="s">
        <v>10819</v>
      </c>
      <c r="D4669" s="25">
        <v>0.0</v>
      </c>
      <c r="E4669" s="27"/>
      <c r="F4669" s="25">
        <v>0.0</v>
      </c>
      <c r="G4669" s="27"/>
    </row>
    <row r="4670">
      <c r="A4670" s="21"/>
      <c r="B4670" s="21" t="s">
        <v>10820</v>
      </c>
      <c r="D4670" s="25">
        <v>0.0</v>
      </c>
      <c r="E4670" s="27"/>
      <c r="F4670" s="25">
        <v>0.0</v>
      </c>
      <c r="G4670" s="27"/>
    </row>
    <row r="4671">
      <c r="A4671" s="21"/>
      <c r="B4671" s="21" t="s">
        <v>10821</v>
      </c>
      <c r="D4671" s="25">
        <v>0.0</v>
      </c>
      <c r="E4671" s="27"/>
      <c r="F4671" s="25">
        <v>0.0</v>
      </c>
      <c r="G4671" s="27"/>
    </row>
    <row r="4672">
      <c r="A4672" s="21"/>
      <c r="B4672" s="21" t="s">
        <v>10822</v>
      </c>
      <c r="D4672" s="25">
        <v>0.0</v>
      </c>
      <c r="E4672" s="27"/>
      <c r="F4672" s="25">
        <v>0.0</v>
      </c>
      <c r="G4672" s="27"/>
    </row>
    <row r="4673">
      <c r="A4673" s="21"/>
      <c r="B4673" s="21" t="s">
        <v>10823</v>
      </c>
      <c r="D4673" s="25">
        <v>0.0</v>
      </c>
      <c r="E4673" s="27"/>
      <c r="F4673" s="25">
        <v>0.0</v>
      </c>
      <c r="G4673" s="27"/>
    </row>
    <row r="4674">
      <c r="A4674" s="21"/>
      <c r="B4674" s="21" t="s">
        <v>10824</v>
      </c>
      <c r="D4674" s="25">
        <v>0.0</v>
      </c>
      <c r="E4674" s="27"/>
      <c r="F4674" s="25">
        <v>0.0</v>
      </c>
      <c r="G4674" s="27"/>
    </row>
    <row r="4675">
      <c r="A4675" s="21"/>
      <c r="B4675" s="21" t="s">
        <v>10825</v>
      </c>
      <c r="D4675" s="25">
        <v>0.0</v>
      </c>
      <c r="E4675" s="27"/>
      <c r="F4675" s="25">
        <v>0.0</v>
      </c>
      <c r="G4675" s="27"/>
    </row>
    <row r="4676">
      <c r="A4676" s="21"/>
      <c r="B4676" s="21" t="s">
        <v>10826</v>
      </c>
      <c r="D4676" s="25">
        <v>0.0</v>
      </c>
      <c r="E4676" s="27"/>
      <c r="F4676" s="25">
        <v>0.0</v>
      </c>
      <c r="G4676" s="27"/>
    </row>
    <row r="4677">
      <c r="A4677" s="21"/>
      <c r="B4677" s="21" t="s">
        <v>10827</v>
      </c>
      <c r="D4677" s="25">
        <v>0.0</v>
      </c>
      <c r="E4677" s="27"/>
      <c r="F4677" s="25">
        <v>0.0</v>
      </c>
      <c r="G4677" s="27"/>
    </row>
    <row r="4678">
      <c r="A4678" s="21"/>
      <c r="B4678" s="21" t="s">
        <v>10828</v>
      </c>
      <c r="D4678" s="25">
        <v>0.0</v>
      </c>
      <c r="E4678" s="27"/>
      <c r="F4678" s="25">
        <v>0.0</v>
      </c>
      <c r="G4678" s="27"/>
    </row>
    <row r="4679">
      <c r="A4679" s="21"/>
      <c r="B4679" s="21" t="s">
        <v>10829</v>
      </c>
      <c r="D4679" s="25">
        <v>0.0</v>
      </c>
      <c r="E4679" s="27"/>
      <c r="F4679" s="25">
        <v>0.0</v>
      </c>
      <c r="G4679" s="27"/>
    </row>
    <row r="4680">
      <c r="A4680" s="21"/>
      <c r="B4680" s="21" t="s">
        <v>10830</v>
      </c>
      <c r="D4680" s="25">
        <v>0.0</v>
      </c>
      <c r="E4680" s="27"/>
      <c r="F4680" s="25">
        <v>0.0</v>
      </c>
      <c r="G4680" s="27"/>
    </row>
    <row r="4681">
      <c r="A4681" s="21"/>
      <c r="B4681" s="21" t="s">
        <v>10831</v>
      </c>
      <c r="D4681" s="25">
        <v>0.0</v>
      </c>
      <c r="E4681" s="27"/>
      <c r="F4681" s="25">
        <v>0.0</v>
      </c>
      <c r="G4681" s="27"/>
    </row>
    <row r="4682">
      <c r="A4682" s="21"/>
      <c r="B4682" s="21" t="s">
        <v>10832</v>
      </c>
      <c r="D4682" s="25">
        <v>0.0</v>
      </c>
      <c r="E4682" s="27"/>
      <c r="F4682" s="25">
        <v>0.0</v>
      </c>
      <c r="G4682" s="27"/>
    </row>
    <row r="4683">
      <c r="A4683" s="21"/>
      <c r="B4683" s="21" t="s">
        <v>10833</v>
      </c>
      <c r="D4683" s="25">
        <v>0.0</v>
      </c>
      <c r="E4683" s="27"/>
      <c r="F4683" s="25">
        <v>0.0</v>
      </c>
      <c r="G4683" s="27"/>
    </row>
    <row r="4684">
      <c r="A4684" s="21"/>
      <c r="B4684" s="21" t="s">
        <v>10834</v>
      </c>
      <c r="D4684" s="25">
        <v>0.0</v>
      </c>
      <c r="E4684" s="27"/>
      <c r="F4684" s="25">
        <v>0.0</v>
      </c>
      <c r="G4684" s="27"/>
    </row>
    <row r="4685">
      <c r="A4685" s="21"/>
      <c r="B4685" s="21" t="s">
        <v>10835</v>
      </c>
      <c r="D4685" s="25">
        <v>0.0</v>
      </c>
      <c r="E4685" s="27"/>
      <c r="F4685" s="25">
        <v>0.0</v>
      </c>
      <c r="G4685" s="27"/>
    </row>
    <row r="4686">
      <c r="A4686" s="21"/>
      <c r="B4686" s="21" t="s">
        <v>10836</v>
      </c>
      <c r="D4686" s="25">
        <v>0.0</v>
      </c>
      <c r="E4686" s="27"/>
      <c r="F4686" s="25">
        <v>0.0</v>
      </c>
      <c r="G4686" s="27"/>
    </row>
    <row r="4687">
      <c r="A4687" s="21"/>
      <c r="B4687" s="21" t="s">
        <v>10837</v>
      </c>
      <c r="D4687" s="25">
        <v>0.0</v>
      </c>
      <c r="E4687" s="27"/>
      <c r="F4687" s="25">
        <v>0.0</v>
      </c>
      <c r="G4687" s="27"/>
    </row>
    <row r="4688">
      <c r="A4688" s="21"/>
      <c r="B4688" s="21" t="s">
        <v>10838</v>
      </c>
      <c r="D4688" s="25">
        <v>0.0</v>
      </c>
      <c r="E4688" s="27"/>
      <c r="F4688" s="25">
        <v>0.0</v>
      </c>
      <c r="G4688" s="27"/>
    </row>
    <row r="4689">
      <c r="A4689" s="21"/>
      <c r="B4689" s="21" t="s">
        <v>10839</v>
      </c>
      <c r="D4689" s="25">
        <v>0.0</v>
      </c>
      <c r="E4689" s="27"/>
      <c r="F4689" s="25">
        <v>0.0</v>
      </c>
      <c r="G4689" s="27"/>
    </row>
    <row r="4690">
      <c r="A4690" s="21"/>
      <c r="B4690" s="21" t="s">
        <v>10840</v>
      </c>
      <c r="D4690" s="25">
        <v>0.0</v>
      </c>
      <c r="E4690" s="27"/>
      <c r="F4690" s="25">
        <v>0.0</v>
      </c>
      <c r="G4690" s="27"/>
    </row>
    <row r="4691">
      <c r="A4691" s="21"/>
      <c r="B4691" s="21" t="s">
        <v>10841</v>
      </c>
      <c r="D4691" s="25">
        <v>0.0</v>
      </c>
      <c r="E4691" s="27"/>
      <c r="F4691" s="25">
        <v>0.0</v>
      </c>
      <c r="G4691" s="27"/>
    </row>
    <row r="4692">
      <c r="A4692" s="21"/>
      <c r="B4692" s="21" t="s">
        <v>10842</v>
      </c>
      <c r="D4692" s="25">
        <v>0.0</v>
      </c>
      <c r="E4692" s="27"/>
      <c r="F4692" s="25">
        <v>0.0</v>
      </c>
      <c r="G4692" s="27"/>
    </row>
    <row r="4693">
      <c r="A4693" s="21"/>
      <c r="B4693" s="21" t="s">
        <v>10843</v>
      </c>
      <c r="D4693" s="25">
        <v>0.0</v>
      </c>
      <c r="E4693" s="27"/>
      <c r="F4693" s="25">
        <v>0.0</v>
      </c>
      <c r="G4693" s="27"/>
    </row>
    <row r="4694">
      <c r="A4694" s="21"/>
      <c r="B4694" s="21" t="s">
        <v>10844</v>
      </c>
      <c r="D4694" s="25">
        <v>0.0</v>
      </c>
      <c r="E4694" s="27"/>
      <c r="F4694" s="25">
        <v>0.0</v>
      </c>
      <c r="G4694" s="27"/>
    </row>
    <row r="4695">
      <c r="A4695" s="21"/>
      <c r="B4695" s="21" t="s">
        <v>10845</v>
      </c>
      <c r="D4695" s="25">
        <v>0.0</v>
      </c>
      <c r="E4695" s="27"/>
      <c r="F4695" s="25">
        <v>0.0</v>
      </c>
      <c r="G4695" s="27"/>
    </row>
    <row r="4696">
      <c r="A4696" s="21"/>
      <c r="B4696" s="21" t="s">
        <v>10846</v>
      </c>
      <c r="D4696" s="25">
        <v>0.0</v>
      </c>
      <c r="E4696" s="27"/>
      <c r="F4696" s="25">
        <v>0.0</v>
      </c>
      <c r="G4696" s="27"/>
    </row>
    <row r="4697">
      <c r="A4697" s="21"/>
      <c r="B4697" s="21" t="s">
        <v>10847</v>
      </c>
      <c r="D4697" s="25">
        <v>0.0</v>
      </c>
      <c r="E4697" s="27"/>
      <c r="F4697" s="25">
        <v>0.0</v>
      </c>
      <c r="G4697" s="27"/>
    </row>
    <row r="4698">
      <c r="A4698" s="21"/>
      <c r="B4698" s="21" t="s">
        <v>10848</v>
      </c>
      <c r="D4698" s="25">
        <v>0.0</v>
      </c>
      <c r="E4698" s="27"/>
      <c r="F4698" s="25">
        <v>0.0</v>
      </c>
      <c r="G4698" s="27"/>
    </row>
    <row r="4699">
      <c r="A4699" s="21"/>
      <c r="B4699" s="21" t="s">
        <v>10849</v>
      </c>
      <c r="D4699" s="25">
        <v>0.0</v>
      </c>
      <c r="E4699" s="27"/>
      <c r="F4699" s="25">
        <v>0.0</v>
      </c>
      <c r="G4699" s="27"/>
    </row>
    <row r="4700">
      <c r="A4700" s="21"/>
      <c r="B4700" s="21" t="s">
        <v>10850</v>
      </c>
      <c r="D4700" s="25">
        <v>0.0</v>
      </c>
      <c r="E4700" s="27"/>
      <c r="F4700" s="25">
        <v>0.0</v>
      </c>
      <c r="G4700" s="27"/>
    </row>
    <row r="4701">
      <c r="A4701" s="21"/>
      <c r="B4701" s="21" t="s">
        <v>10851</v>
      </c>
      <c r="D4701" s="25">
        <v>0.0</v>
      </c>
      <c r="E4701" s="27"/>
      <c r="F4701" s="25">
        <v>0.0</v>
      </c>
      <c r="G4701" s="27"/>
    </row>
    <row r="4702">
      <c r="A4702" s="21"/>
      <c r="B4702" s="21" t="s">
        <v>10852</v>
      </c>
      <c r="D4702" s="25">
        <v>0.0</v>
      </c>
      <c r="E4702" s="27"/>
      <c r="F4702" s="25">
        <v>0.0</v>
      </c>
      <c r="G4702" s="27"/>
    </row>
    <row r="4703">
      <c r="A4703" s="21"/>
      <c r="B4703" s="21" t="s">
        <v>10853</v>
      </c>
      <c r="D4703" s="25">
        <v>0.0</v>
      </c>
      <c r="E4703" s="27"/>
      <c r="F4703" s="25">
        <v>0.0</v>
      </c>
      <c r="G4703" s="27"/>
    </row>
    <row r="4704">
      <c r="A4704" s="21"/>
      <c r="B4704" s="21" t="s">
        <v>10854</v>
      </c>
      <c r="D4704" s="25">
        <v>0.0</v>
      </c>
      <c r="E4704" s="27"/>
      <c r="F4704" s="25">
        <v>0.0</v>
      </c>
      <c r="G4704" s="27"/>
    </row>
    <row r="4705">
      <c r="A4705" s="21"/>
      <c r="B4705" s="21" t="s">
        <v>10855</v>
      </c>
      <c r="D4705" s="25">
        <v>0.0</v>
      </c>
      <c r="E4705" s="27"/>
      <c r="F4705" s="25">
        <v>0.0</v>
      </c>
      <c r="G4705" s="27"/>
    </row>
    <row r="4706">
      <c r="A4706" s="21"/>
      <c r="B4706" s="21" t="s">
        <v>10856</v>
      </c>
      <c r="D4706" s="25">
        <v>0.0</v>
      </c>
      <c r="E4706" s="27"/>
      <c r="F4706" s="25">
        <v>0.0</v>
      </c>
      <c r="G4706" s="27"/>
    </row>
    <row r="4707">
      <c r="A4707" s="21"/>
      <c r="B4707" s="21" t="s">
        <v>10857</v>
      </c>
      <c r="D4707" s="25">
        <v>0.0</v>
      </c>
      <c r="E4707" s="27"/>
      <c r="F4707" s="25">
        <v>0.0</v>
      </c>
      <c r="G4707" s="27"/>
    </row>
    <row r="4708">
      <c r="A4708" s="21"/>
      <c r="B4708" s="21" t="s">
        <v>10858</v>
      </c>
      <c r="D4708" s="25">
        <v>0.0</v>
      </c>
      <c r="E4708" s="27"/>
      <c r="F4708" s="25">
        <v>0.0</v>
      </c>
      <c r="G4708" s="27"/>
    </row>
    <row r="4709">
      <c r="A4709" s="21"/>
      <c r="B4709" s="21" t="s">
        <v>10859</v>
      </c>
      <c r="D4709" s="25">
        <v>0.0</v>
      </c>
      <c r="E4709" s="27"/>
      <c r="F4709" s="25">
        <v>0.0</v>
      </c>
      <c r="G4709" s="27"/>
    </row>
    <row r="4710">
      <c r="A4710" s="21"/>
      <c r="B4710" s="21" t="s">
        <v>10860</v>
      </c>
      <c r="D4710" s="25">
        <v>0.0</v>
      </c>
      <c r="E4710" s="27"/>
      <c r="F4710" s="25">
        <v>0.0</v>
      </c>
      <c r="G4710" s="27"/>
    </row>
    <row r="4711">
      <c r="A4711" s="21"/>
      <c r="B4711" s="21" t="s">
        <v>10861</v>
      </c>
      <c r="D4711" s="25">
        <v>0.0</v>
      </c>
      <c r="E4711" s="27"/>
      <c r="F4711" s="25">
        <v>0.0</v>
      </c>
      <c r="G4711" s="27"/>
    </row>
    <row r="4712">
      <c r="A4712" s="21"/>
      <c r="B4712" s="21" t="s">
        <v>10862</v>
      </c>
      <c r="D4712" s="25">
        <v>0.0</v>
      </c>
      <c r="E4712" s="27"/>
      <c r="F4712" s="25">
        <v>0.0</v>
      </c>
      <c r="G4712" s="27"/>
    </row>
    <row r="4713">
      <c r="A4713" s="21"/>
      <c r="B4713" s="21" t="s">
        <v>10863</v>
      </c>
      <c r="D4713" s="25">
        <v>0.0</v>
      </c>
      <c r="E4713" s="27"/>
      <c r="F4713" s="25">
        <v>0.0</v>
      </c>
      <c r="G4713" s="27"/>
    </row>
    <row r="4714">
      <c r="A4714" s="21"/>
      <c r="B4714" s="21" t="s">
        <v>10864</v>
      </c>
      <c r="D4714" s="25">
        <v>0.0</v>
      </c>
      <c r="E4714" s="27"/>
      <c r="F4714" s="25">
        <v>1.21</v>
      </c>
      <c r="G4714" s="27"/>
    </row>
    <row r="4715">
      <c r="A4715" s="21"/>
      <c r="B4715" s="21" t="s">
        <v>10865</v>
      </c>
      <c r="D4715" s="25">
        <v>0.0</v>
      </c>
      <c r="E4715" s="27"/>
      <c r="F4715" s="25">
        <v>0.0</v>
      </c>
      <c r="G4715" s="27"/>
    </row>
    <row r="4716">
      <c r="A4716" s="21"/>
      <c r="B4716" s="21" t="s">
        <v>10866</v>
      </c>
      <c r="D4716" s="25">
        <v>0.0</v>
      </c>
      <c r="E4716" s="27"/>
      <c r="F4716" s="25">
        <v>0.0</v>
      </c>
      <c r="G4716" s="27"/>
    </row>
    <row r="4717">
      <c r="A4717" s="21"/>
      <c r="B4717" s="21" t="s">
        <v>10867</v>
      </c>
      <c r="D4717" s="25">
        <v>0.0</v>
      </c>
      <c r="E4717" s="27"/>
      <c r="F4717" s="25">
        <v>0.0</v>
      </c>
      <c r="G4717" s="27"/>
    </row>
    <row r="4718">
      <c r="A4718" s="21"/>
      <c r="B4718" s="21" t="s">
        <v>10868</v>
      </c>
      <c r="D4718" s="25">
        <v>0.0</v>
      </c>
      <c r="E4718" s="27"/>
      <c r="F4718" s="25">
        <v>0.0</v>
      </c>
      <c r="G4718" s="27"/>
    </row>
    <row r="4719">
      <c r="A4719" s="21"/>
      <c r="B4719" s="21" t="s">
        <v>10869</v>
      </c>
      <c r="D4719" s="25">
        <v>0.0</v>
      </c>
      <c r="E4719" s="27"/>
      <c r="F4719" s="25">
        <v>0.0</v>
      </c>
      <c r="G4719" s="27"/>
    </row>
    <row r="4720">
      <c r="A4720" s="21"/>
      <c r="B4720" s="21" t="s">
        <v>10870</v>
      </c>
      <c r="D4720" s="25">
        <v>0.0</v>
      </c>
      <c r="E4720" s="27"/>
      <c r="F4720" s="25">
        <v>0.0</v>
      </c>
      <c r="G4720" s="27"/>
    </row>
    <row r="4721">
      <c r="A4721" s="21"/>
      <c r="B4721" s="21" t="s">
        <v>10871</v>
      </c>
      <c r="D4721" s="25">
        <v>0.0</v>
      </c>
      <c r="E4721" s="27"/>
      <c r="F4721" s="25">
        <v>0.0</v>
      </c>
      <c r="G4721" s="27"/>
    </row>
    <row r="4722">
      <c r="A4722" s="21"/>
      <c r="B4722" s="21" t="s">
        <v>10872</v>
      </c>
      <c r="D4722" s="25">
        <v>0.0</v>
      </c>
      <c r="E4722" s="27"/>
      <c r="F4722" s="25">
        <v>0.0</v>
      </c>
      <c r="G4722" s="27"/>
    </row>
    <row r="4723">
      <c r="A4723" s="21"/>
      <c r="B4723" s="21" t="s">
        <v>10873</v>
      </c>
      <c r="D4723" s="25">
        <v>0.0</v>
      </c>
      <c r="E4723" s="27"/>
      <c r="F4723" s="25">
        <v>0.0</v>
      </c>
      <c r="G4723" s="27"/>
    </row>
    <row r="4724">
      <c r="A4724" s="21"/>
      <c r="B4724" s="21" t="s">
        <v>10874</v>
      </c>
      <c r="D4724" s="25">
        <v>0.0</v>
      </c>
      <c r="E4724" s="27"/>
      <c r="F4724" s="25">
        <v>0.0</v>
      </c>
      <c r="G4724" s="27"/>
    </row>
    <row r="4725">
      <c r="A4725" s="21"/>
      <c r="B4725" s="21" t="s">
        <v>10875</v>
      </c>
      <c r="D4725" s="25">
        <v>0.0</v>
      </c>
      <c r="E4725" s="27"/>
      <c r="F4725" s="25">
        <v>0.0</v>
      </c>
      <c r="G4725" s="27"/>
    </row>
    <row r="4726">
      <c r="A4726" s="21"/>
      <c r="B4726" s="21" t="s">
        <v>10876</v>
      </c>
      <c r="D4726" s="25">
        <v>0.0</v>
      </c>
      <c r="E4726" s="27"/>
      <c r="F4726" s="25">
        <v>0.0</v>
      </c>
      <c r="G4726" s="27"/>
    </row>
    <row r="4727">
      <c r="A4727" s="21"/>
      <c r="B4727" s="21" t="s">
        <v>10877</v>
      </c>
      <c r="D4727" s="25">
        <v>0.0</v>
      </c>
      <c r="E4727" s="27"/>
      <c r="F4727" s="25">
        <v>0.0</v>
      </c>
      <c r="G4727" s="27"/>
    </row>
    <row r="4728">
      <c r="A4728" s="21"/>
      <c r="B4728" s="21" t="s">
        <v>10878</v>
      </c>
      <c r="D4728" s="25">
        <v>0.0</v>
      </c>
      <c r="E4728" s="27"/>
      <c r="F4728" s="25">
        <v>0.0</v>
      </c>
      <c r="G4728" s="27"/>
    </row>
    <row r="4729">
      <c r="A4729" s="21"/>
      <c r="B4729" s="21" t="s">
        <v>10879</v>
      </c>
      <c r="D4729" s="25">
        <v>0.0</v>
      </c>
      <c r="E4729" s="27"/>
      <c r="F4729" s="25">
        <v>0.0</v>
      </c>
      <c r="G4729" s="27"/>
    </row>
    <row r="4730">
      <c r="A4730" s="21"/>
      <c r="B4730" s="21" t="s">
        <v>10880</v>
      </c>
      <c r="D4730" s="25">
        <v>0.0</v>
      </c>
      <c r="E4730" s="27"/>
      <c r="F4730" s="25">
        <v>0.0</v>
      </c>
      <c r="G4730" s="27"/>
    </row>
    <row r="4731">
      <c r="A4731" s="21"/>
      <c r="B4731" s="21" t="s">
        <v>10881</v>
      </c>
      <c r="D4731" s="25">
        <v>0.0</v>
      </c>
      <c r="E4731" s="27"/>
      <c r="F4731" s="25">
        <v>0.0</v>
      </c>
      <c r="G4731" s="27"/>
    </row>
    <row r="4732">
      <c r="A4732" s="21"/>
      <c r="B4732" s="21" t="s">
        <v>10882</v>
      </c>
      <c r="D4732" s="25">
        <v>0.0</v>
      </c>
      <c r="E4732" s="27"/>
      <c r="F4732" s="25">
        <v>0.0</v>
      </c>
      <c r="G4732" s="27"/>
    </row>
    <row r="4733">
      <c r="A4733" s="21"/>
      <c r="B4733" s="21" t="s">
        <v>10883</v>
      </c>
      <c r="D4733" s="25">
        <v>0.0</v>
      </c>
      <c r="E4733" s="27"/>
      <c r="F4733" s="25">
        <v>0.0</v>
      </c>
      <c r="G4733" s="27"/>
    </row>
    <row r="4734">
      <c r="A4734" s="21"/>
      <c r="B4734" s="21" t="s">
        <v>10884</v>
      </c>
      <c r="D4734" s="25">
        <v>0.0</v>
      </c>
      <c r="E4734" s="27"/>
      <c r="F4734" s="25">
        <v>0.0</v>
      </c>
      <c r="G4734" s="27"/>
    </row>
    <row r="4735">
      <c r="A4735" s="21"/>
      <c r="B4735" s="21" t="s">
        <v>10885</v>
      </c>
      <c r="D4735" s="25">
        <v>0.0</v>
      </c>
      <c r="E4735" s="27"/>
      <c r="F4735" s="25">
        <v>0.0</v>
      </c>
      <c r="G4735" s="27"/>
    </row>
    <row r="4736">
      <c r="A4736" s="21"/>
      <c r="B4736" s="21" t="s">
        <v>10886</v>
      </c>
      <c r="D4736" s="25">
        <v>0.0</v>
      </c>
      <c r="E4736" s="27"/>
      <c r="F4736" s="25">
        <v>0.0</v>
      </c>
      <c r="G4736" s="27"/>
    </row>
    <row r="4737">
      <c r="A4737" s="21"/>
      <c r="B4737" s="21" t="s">
        <v>10887</v>
      </c>
      <c r="D4737" s="25">
        <v>0.0</v>
      </c>
      <c r="E4737" s="27"/>
      <c r="F4737" s="25">
        <v>0.0</v>
      </c>
      <c r="G4737" s="27"/>
    </row>
    <row r="4738">
      <c r="A4738" s="21"/>
      <c r="B4738" s="21" t="s">
        <v>10888</v>
      </c>
      <c r="D4738" s="25">
        <v>0.0</v>
      </c>
      <c r="E4738" s="27"/>
      <c r="F4738" s="25">
        <v>0.0</v>
      </c>
      <c r="G4738" s="27"/>
    </row>
    <row r="4739">
      <c r="A4739" s="21"/>
      <c r="B4739" s="21" t="s">
        <v>10889</v>
      </c>
      <c r="D4739" s="25">
        <v>0.0</v>
      </c>
      <c r="E4739" s="27"/>
      <c r="F4739" s="25">
        <v>0.0</v>
      </c>
      <c r="G4739" s="27"/>
    </row>
    <row r="4740">
      <c r="A4740" s="21"/>
      <c r="B4740" s="21" t="s">
        <v>10890</v>
      </c>
      <c r="D4740" s="25">
        <v>0.0</v>
      </c>
      <c r="E4740" s="27"/>
      <c r="F4740" s="25">
        <v>0.0</v>
      </c>
      <c r="G4740" s="27"/>
    </row>
    <row r="4741">
      <c r="A4741" s="21"/>
      <c r="B4741" s="21" t="s">
        <v>10891</v>
      </c>
      <c r="D4741" s="25">
        <v>0.0</v>
      </c>
      <c r="E4741" s="27"/>
      <c r="F4741" s="25">
        <v>0.0</v>
      </c>
      <c r="G4741" s="27"/>
    </row>
    <row r="4742">
      <c r="A4742" s="21"/>
      <c r="B4742" s="21" t="s">
        <v>10892</v>
      </c>
      <c r="D4742" s="25">
        <v>0.0</v>
      </c>
      <c r="E4742" s="27"/>
      <c r="F4742" s="25">
        <v>0.0</v>
      </c>
      <c r="G4742" s="27"/>
    </row>
    <row r="4743">
      <c r="A4743" s="21"/>
      <c r="B4743" s="21" t="s">
        <v>10893</v>
      </c>
      <c r="D4743" s="25">
        <v>0.0</v>
      </c>
      <c r="E4743" s="27"/>
      <c r="F4743" s="25">
        <v>0.0</v>
      </c>
      <c r="G4743" s="27"/>
    </row>
    <row r="4744">
      <c r="A4744" s="21"/>
      <c r="B4744" s="21" t="s">
        <v>10894</v>
      </c>
      <c r="D4744" s="25">
        <v>0.0</v>
      </c>
      <c r="E4744" s="27"/>
      <c r="F4744" s="25">
        <v>0.0</v>
      </c>
      <c r="G4744" s="27"/>
    </row>
    <row r="4745">
      <c r="A4745" s="21"/>
      <c r="B4745" s="21" t="s">
        <v>10895</v>
      </c>
      <c r="D4745" s="25">
        <v>0.0</v>
      </c>
      <c r="E4745" s="27"/>
      <c r="F4745" s="25">
        <v>0.0</v>
      </c>
      <c r="G4745" s="27"/>
    </row>
    <row r="4746">
      <c r="A4746" s="21"/>
      <c r="B4746" s="21" t="s">
        <v>10896</v>
      </c>
      <c r="D4746" s="25">
        <v>0.0</v>
      </c>
      <c r="E4746" s="27"/>
      <c r="F4746" s="25">
        <v>0.0</v>
      </c>
      <c r="G4746" s="27"/>
    </row>
    <row r="4747">
      <c r="A4747" s="21"/>
      <c r="B4747" s="21" t="s">
        <v>10897</v>
      </c>
      <c r="D4747" s="25">
        <v>0.0</v>
      </c>
      <c r="E4747" s="27"/>
      <c r="F4747" s="25">
        <v>0.0</v>
      </c>
      <c r="G4747" s="27"/>
    </row>
    <row r="4748">
      <c r="A4748" s="21"/>
      <c r="B4748" s="21" t="s">
        <v>10898</v>
      </c>
      <c r="D4748" s="25">
        <v>0.0</v>
      </c>
      <c r="E4748" s="27"/>
      <c r="F4748" s="25">
        <v>0.0</v>
      </c>
      <c r="G4748" s="27"/>
    </row>
    <row r="4749">
      <c r="A4749" s="21"/>
      <c r="B4749" s="21" t="s">
        <v>10899</v>
      </c>
      <c r="D4749" s="25">
        <v>0.0</v>
      </c>
      <c r="E4749" s="27"/>
      <c r="F4749" s="25">
        <v>0.0</v>
      </c>
      <c r="G4749" s="27"/>
    </row>
    <row r="4750">
      <c r="A4750" s="21"/>
      <c r="B4750" s="21" t="s">
        <v>10900</v>
      </c>
      <c r="D4750" s="25">
        <v>0.0</v>
      </c>
      <c r="E4750" s="27"/>
      <c r="F4750" s="25">
        <v>0.0</v>
      </c>
      <c r="G4750" s="27"/>
    </row>
    <row r="4751">
      <c r="A4751" s="21"/>
      <c r="B4751" s="21" t="s">
        <v>10901</v>
      </c>
      <c r="D4751" s="25">
        <v>0.0</v>
      </c>
      <c r="E4751" s="27"/>
      <c r="F4751" s="25">
        <v>0.0</v>
      </c>
      <c r="G4751" s="27"/>
    </row>
    <row r="4752">
      <c r="A4752" s="21"/>
      <c r="B4752" s="21" t="s">
        <v>10902</v>
      </c>
      <c r="D4752" s="25">
        <v>0.0</v>
      </c>
      <c r="E4752" s="27"/>
      <c r="F4752" s="25">
        <v>0.0</v>
      </c>
      <c r="G4752" s="27"/>
    </row>
    <row r="4753">
      <c r="A4753" s="21"/>
      <c r="B4753" s="21" t="s">
        <v>10903</v>
      </c>
      <c r="D4753" s="25">
        <v>0.0</v>
      </c>
      <c r="E4753" s="27"/>
      <c r="F4753" s="25">
        <v>0.0</v>
      </c>
      <c r="G4753" s="27"/>
    </row>
    <row r="4754">
      <c r="A4754" s="21"/>
      <c r="B4754" s="21" t="s">
        <v>10904</v>
      </c>
      <c r="D4754" s="25">
        <v>0.0</v>
      </c>
      <c r="E4754" s="27"/>
      <c r="F4754" s="25">
        <v>0.0</v>
      </c>
      <c r="G4754" s="27"/>
    </row>
    <row r="4755">
      <c r="A4755" s="21"/>
      <c r="B4755" s="21" t="s">
        <v>10905</v>
      </c>
      <c r="D4755" s="25">
        <v>0.0</v>
      </c>
      <c r="E4755" s="27"/>
      <c r="F4755" s="25">
        <v>0.0</v>
      </c>
      <c r="G4755" s="27"/>
    </row>
    <row r="4756">
      <c r="A4756" s="21"/>
      <c r="B4756" s="21" t="s">
        <v>10906</v>
      </c>
      <c r="D4756" s="25">
        <v>0.0</v>
      </c>
      <c r="E4756" s="27"/>
      <c r="F4756" s="25">
        <v>0.0</v>
      </c>
      <c r="G4756" s="27"/>
    </row>
    <row r="4757">
      <c r="A4757" s="21"/>
      <c r="B4757" s="21" t="s">
        <v>10907</v>
      </c>
      <c r="D4757" s="25">
        <v>0.0</v>
      </c>
      <c r="E4757" s="27"/>
      <c r="F4757" s="25">
        <v>0.0</v>
      </c>
      <c r="G4757" s="27"/>
    </row>
    <row r="4758">
      <c r="A4758" s="21"/>
      <c r="B4758" s="21" t="s">
        <v>10908</v>
      </c>
      <c r="D4758" s="25">
        <v>0.0</v>
      </c>
      <c r="E4758" s="27"/>
      <c r="F4758" s="25">
        <v>0.0</v>
      </c>
      <c r="G4758" s="27"/>
    </row>
    <row r="4759">
      <c r="A4759" s="21"/>
      <c r="B4759" s="21" t="s">
        <v>10909</v>
      </c>
      <c r="D4759" s="25">
        <v>0.0</v>
      </c>
      <c r="E4759" s="27"/>
      <c r="F4759" s="25">
        <v>0.0</v>
      </c>
      <c r="G4759" s="27"/>
    </row>
    <row r="4760">
      <c r="A4760" s="21"/>
      <c r="B4760" s="21" t="s">
        <v>10910</v>
      </c>
      <c r="D4760" s="25">
        <v>0.0</v>
      </c>
      <c r="E4760" s="27"/>
      <c r="F4760" s="25">
        <v>0.0</v>
      </c>
      <c r="G4760" s="27"/>
    </row>
    <row r="4761">
      <c r="A4761" s="21"/>
      <c r="B4761" s="21" t="s">
        <v>10911</v>
      </c>
      <c r="D4761" s="25">
        <v>0.0</v>
      </c>
      <c r="E4761" s="27"/>
      <c r="F4761" s="25">
        <v>0.0</v>
      </c>
      <c r="G4761" s="27"/>
    </row>
    <row r="4762">
      <c r="A4762" s="21"/>
      <c r="B4762" s="21" t="s">
        <v>10912</v>
      </c>
      <c r="D4762" s="25">
        <v>0.0</v>
      </c>
      <c r="E4762" s="27"/>
      <c r="F4762" s="25">
        <v>0.0</v>
      </c>
      <c r="G4762" s="27"/>
    </row>
    <row r="4763">
      <c r="A4763" s="21"/>
      <c r="B4763" s="21" t="s">
        <v>10913</v>
      </c>
      <c r="D4763" s="25">
        <v>0.0</v>
      </c>
      <c r="E4763" s="27"/>
      <c r="F4763" s="25">
        <v>0.0</v>
      </c>
      <c r="G4763" s="27"/>
    </row>
    <row r="4764">
      <c r="A4764" s="21"/>
      <c r="B4764" s="21" t="s">
        <v>10914</v>
      </c>
      <c r="D4764" s="25">
        <v>0.0</v>
      </c>
      <c r="E4764" s="27"/>
      <c r="F4764" s="25">
        <v>0.0</v>
      </c>
      <c r="G4764" s="27"/>
    </row>
    <row r="4765">
      <c r="A4765" s="21"/>
      <c r="B4765" s="21" t="s">
        <v>10915</v>
      </c>
      <c r="D4765" s="25">
        <v>0.0</v>
      </c>
      <c r="E4765" s="27"/>
      <c r="F4765" s="25">
        <v>0.0</v>
      </c>
      <c r="G4765" s="27"/>
    </row>
    <row r="4766">
      <c r="A4766" s="21"/>
      <c r="B4766" s="21" t="s">
        <v>10916</v>
      </c>
      <c r="D4766" s="25">
        <v>0.0</v>
      </c>
      <c r="E4766" s="27"/>
      <c r="F4766" s="25">
        <v>0.0</v>
      </c>
      <c r="G4766" s="27"/>
    </row>
    <row r="4767">
      <c r="A4767" s="21"/>
      <c r="B4767" s="21" t="s">
        <v>10917</v>
      </c>
      <c r="D4767" s="25">
        <v>0.0</v>
      </c>
      <c r="E4767" s="27"/>
      <c r="F4767" s="25">
        <v>0.0</v>
      </c>
      <c r="G4767" s="27"/>
    </row>
    <row r="4768">
      <c r="A4768" s="21"/>
      <c r="B4768" s="21" t="s">
        <v>10918</v>
      </c>
      <c r="D4768" s="25">
        <v>0.0</v>
      </c>
      <c r="E4768" s="27"/>
      <c r="F4768" s="25">
        <v>0.0</v>
      </c>
      <c r="G4768" s="27"/>
    </row>
    <row r="4769">
      <c r="A4769" s="21"/>
      <c r="B4769" s="21" t="s">
        <v>10919</v>
      </c>
      <c r="D4769" s="25">
        <v>0.0</v>
      </c>
      <c r="E4769" s="27"/>
      <c r="F4769" s="25">
        <v>0.0</v>
      </c>
      <c r="G4769" s="27"/>
    </row>
    <row r="4770">
      <c r="A4770" s="21"/>
      <c r="B4770" s="21" t="s">
        <v>10920</v>
      </c>
      <c r="D4770" s="25">
        <v>0.0</v>
      </c>
      <c r="E4770" s="27"/>
      <c r="F4770" s="25">
        <v>0.0</v>
      </c>
      <c r="G4770" s="27"/>
    </row>
    <row r="4771">
      <c r="A4771" s="21"/>
      <c r="B4771" s="21" t="s">
        <v>10921</v>
      </c>
      <c r="D4771" s="25">
        <v>0.0</v>
      </c>
      <c r="E4771" s="27"/>
      <c r="F4771" s="25">
        <v>0.0</v>
      </c>
      <c r="G4771" s="27"/>
    </row>
    <row r="4772">
      <c r="A4772" s="21"/>
      <c r="B4772" s="21" t="s">
        <v>10922</v>
      </c>
      <c r="D4772" s="25">
        <v>0.0</v>
      </c>
      <c r="E4772" s="27"/>
      <c r="F4772" s="25">
        <v>0.0</v>
      </c>
      <c r="G4772" s="27"/>
    </row>
    <row r="4773">
      <c r="A4773" s="21"/>
      <c r="B4773" s="21" t="s">
        <v>10923</v>
      </c>
      <c r="D4773" s="25">
        <v>0.0</v>
      </c>
      <c r="E4773" s="27"/>
      <c r="F4773" s="25">
        <v>0.0</v>
      </c>
      <c r="G4773" s="27"/>
    </row>
    <row r="4774">
      <c r="A4774" s="21"/>
      <c r="B4774" s="21" t="s">
        <v>10924</v>
      </c>
      <c r="D4774" s="25">
        <v>0.0</v>
      </c>
      <c r="E4774" s="27"/>
      <c r="F4774" s="25">
        <v>0.0</v>
      </c>
      <c r="G4774" s="27"/>
    </row>
    <row r="4775">
      <c r="A4775" s="21"/>
      <c r="B4775" s="21" t="s">
        <v>10925</v>
      </c>
      <c r="D4775" s="25">
        <v>0.0</v>
      </c>
      <c r="E4775" s="27"/>
      <c r="F4775" s="25">
        <v>0.0</v>
      </c>
      <c r="G4775" s="27"/>
    </row>
    <row r="4776">
      <c r="A4776" s="21"/>
      <c r="B4776" s="21" t="s">
        <v>10926</v>
      </c>
      <c r="D4776" s="25">
        <v>0.0</v>
      </c>
      <c r="E4776" s="27"/>
      <c r="F4776" s="25">
        <v>0.0</v>
      </c>
      <c r="G4776" s="27"/>
    </row>
    <row r="4777">
      <c r="A4777" s="21"/>
      <c r="B4777" s="21" t="s">
        <v>10927</v>
      </c>
      <c r="D4777" s="25">
        <v>0.0</v>
      </c>
      <c r="E4777" s="27"/>
      <c r="F4777" s="25">
        <v>0.0</v>
      </c>
      <c r="G4777" s="27"/>
    </row>
    <row r="4778">
      <c r="A4778" s="21"/>
      <c r="B4778" s="21" t="s">
        <v>10928</v>
      </c>
      <c r="D4778" s="25">
        <v>0.0</v>
      </c>
      <c r="E4778" s="27"/>
      <c r="F4778" s="25">
        <v>0.0</v>
      </c>
      <c r="G4778" s="27"/>
    </row>
    <row r="4779">
      <c r="A4779" s="21"/>
      <c r="B4779" s="21" t="s">
        <v>10929</v>
      </c>
      <c r="D4779" s="25">
        <v>0.0</v>
      </c>
      <c r="E4779" s="27"/>
      <c r="F4779" s="25">
        <v>0.0</v>
      </c>
      <c r="G4779" s="27"/>
    </row>
    <row r="4780">
      <c r="A4780" s="21"/>
      <c r="B4780" s="21" t="s">
        <v>10930</v>
      </c>
      <c r="D4780" s="25">
        <v>0.0</v>
      </c>
      <c r="E4780" s="27"/>
      <c r="F4780" s="25">
        <v>0.0</v>
      </c>
      <c r="G4780" s="27"/>
    </row>
    <row r="4781">
      <c r="A4781" s="21"/>
      <c r="B4781" s="21" t="s">
        <v>10931</v>
      </c>
      <c r="D4781" s="25">
        <v>0.0</v>
      </c>
      <c r="E4781" s="27"/>
      <c r="F4781" s="25">
        <v>0.0</v>
      </c>
      <c r="G4781" s="27"/>
    </row>
    <row r="4782">
      <c r="A4782" s="21"/>
      <c r="B4782" s="21" t="s">
        <v>10932</v>
      </c>
      <c r="D4782" s="25">
        <v>0.0</v>
      </c>
      <c r="E4782" s="27"/>
      <c r="F4782" s="25">
        <v>0.0</v>
      </c>
      <c r="G4782" s="27"/>
    </row>
    <row r="4783">
      <c r="A4783" s="21"/>
      <c r="B4783" s="21" t="s">
        <v>10933</v>
      </c>
      <c r="D4783" s="25">
        <v>0.0</v>
      </c>
      <c r="E4783" s="27"/>
      <c r="F4783" s="25">
        <v>0.0</v>
      </c>
      <c r="G4783" s="27"/>
    </row>
    <row r="4784">
      <c r="A4784" s="21"/>
      <c r="B4784" s="21" t="s">
        <v>10934</v>
      </c>
      <c r="D4784" s="25">
        <v>0.0</v>
      </c>
      <c r="E4784" s="27"/>
      <c r="F4784" s="25">
        <v>0.0</v>
      </c>
      <c r="G4784" s="27"/>
    </row>
    <row r="4785">
      <c r="A4785" s="21"/>
      <c r="B4785" s="21" t="s">
        <v>10935</v>
      </c>
      <c r="D4785" s="25">
        <v>0.0</v>
      </c>
      <c r="E4785" s="27"/>
      <c r="F4785" s="25">
        <v>0.0</v>
      </c>
      <c r="G4785" s="27"/>
    </row>
    <row r="4786">
      <c r="A4786" s="21"/>
      <c r="B4786" s="21" t="s">
        <v>10936</v>
      </c>
      <c r="D4786" s="25">
        <v>0.0</v>
      </c>
      <c r="E4786" s="27"/>
      <c r="F4786" s="25">
        <v>0.0</v>
      </c>
      <c r="G4786" s="27"/>
    </row>
    <row r="4787">
      <c r="A4787" s="21"/>
      <c r="B4787" s="21" t="s">
        <v>10937</v>
      </c>
      <c r="D4787" s="25">
        <v>0.0</v>
      </c>
      <c r="E4787" s="27"/>
      <c r="F4787" s="25">
        <v>0.0</v>
      </c>
      <c r="G4787" s="27"/>
    </row>
    <row r="4788">
      <c r="A4788" s="21"/>
      <c r="B4788" s="21" t="s">
        <v>10938</v>
      </c>
      <c r="D4788" s="25">
        <v>0.0</v>
      </c>
      <c r="E4788" s="27"/>
      <c r="F4788" s="25">
        <v>0.0</v>
      </c>
      <c r="G4788" s="27"/>
    </row>
    <row r="4789">
      <c r="A4789" s="21"/>
      <c r="B4789" s="21" t="s">
        <v>10939</v>
      </c>
      <c r="D4789" s="25">
        <v>0.0</v>
      </c>
      <c r="E4789" s="27"/>
      <c r="F4789" s="25">
        <v>0.0</v>
      </c>
      <c r="G4789" s="27"/>
    </row>
    <row r="4790">
      <c r="A4790" s="21"/>
      <c r="B4790" s="21" t="s">
        <v>10940</v>
      </c>
      <c r="D4790" s="25">
        <v>0.0</v>
      </c>
      <c r="E4790" s="27"/>
      <c r="F4790" s="25">
        <v>0.0</v>
      </c>
      <c r="G4790" s="27"/>
    </row>
    <row r="4791">
      <c r="A4791" s="21"/>
      <c r="B4791" s="21" t="s">
        <v>10941</v>
      </c>
      <c r="D4791" s="25">
        <v>0.0</v>
      </c>
      <c r="E4791" s="27"/>
      <c r="F4791" s="25">
        <v>0.0</v>
      </c>
      <c r="G4791" s="27"/>
    </row>
    <row r="4792">
      <c r="A4792" s="21"/>
      <c r="B4792" s="21" t="s">
        <v>10942</v>
      </c>
      <c r="D4792" s="25">
        <v>0.0</v>
      </c>
      <c r="E4792" s="27"/>
      <c r="F4792" s="25">
        <v>0.0</v>
      </c>
      <c r="G4792" s="27"/>
    </row>
    <row r="4793">
      <c r="A4793" s="21"/>
      <c r="B4793" s="21" t="s">
        <v>10943</v>
      </c>
      <c r="D4793" s="25">
        <v>0.0</v>
      </c>
      <c r="E4793" s="27"/>
      <c r="F4793" s="25">
        <v>0.0</v>
      </c>
      <c r="G4793" s="27"/>
    </row>
    <row r="4794">
      <c r="A4794" s="21"/>
      <c r="B4794" s="21" t="s">
        <v>10944</v>
      </c>
      <c r="D4794" s="25">
        <v>0.0</v>
      </c>
      <c r="E4794" s="27"/>
      <c r="F4794" s="25">
        <v>0.0</v>
      </c>
      <c r="G4794" s="27"/>
    </row>
    <row r="4795">
      <c r="A4795" s="21"/>
      <c r="B4795" s="21" t="s">
        <v>10945</v>
      </c>
      <c r="D4795" s="25">
        <v>0.0</v>
      </c>
      <c r="E4795" s="27"/>
      <c r="F4795" s="25">
        <v>0.0</v>
      </c>
      <c r="G4795" s="27"/>
    </row>
    <row r="4796">
      <c r="A4796" s="21"/>
      <c r="B4796" s="21" t="s">
        <v>10946</v>
      </c>
      <c r="D4796" s="25">
        <v>0.0</v>
      </c>
      <c r="E4796" s="27"/>
      <c r="F4796" s="25">
        <v>0.0</v>
      </c>
      <c r="G4796" s="27"/>
    </row>
    <row r="4797">
      <c r="A4797" s="21"/>
      <c r="B4797" s="21" t="s">
        <v>10947</v>
      </c>
      <c r="D4797" s="25">
        <v>0.0</v>
      </c>
      <c r="E4797" s="27"/>
      <c r="F4797" s="25">
        <v>0.0</v>
      </c>
      <c r="G4797" s="27"/>
    </row>
    <row r="4798">
      <c r="A4798" s="21"/>
      <c r="B4798" s="21" t="s">
        <v>10948</v>
      </c>
      <c r="D4798" s="25">
        <v>0.0</v>
      </c>
      <c r="E4798" s="27"/>
      <c r="F4798" s="25">
        <v>0.0</v>
      </c>
      <c r="G4798" s="27"/>
    </row>
    <row r="4799">
      <c r="A4799" s="21"/>
      <c r="B4799" s="21" t="s">
        <v>10949</v>
      </c>
      <c r="D4799" s="25">
        <v>0.0</v>
      </c>
      <c r="E4799" s="27"/>
      <c r="F4799" s="25">
        <v>0.0</v>
      </c>
      <c r="G4799" s="27"/>
    </row>
    <row r="4800">
      <c r="A4800" s="21"/>
      <c r="B4800" s="21" t="s">
        <v>10950</v>
      </c>
      <c r="D4800" s="25">
        <v>0.0</v>
      </c>
      <c r="E4800" s="27"/>
      <c r="F4800" s="25">
        <v>0.0</v>
      </c>
      <c r="G4800" s="27"/>
    </row>
    <row r="4801">
      <c r="A4801" s="21"/>
      <c r="B4801" s="21" t="s">
        <v>10951</v>
      </c>
      <c r="D4801" s="25">
        <v>0.0</v>
      </c>
      <c r="E4801" s="27"/>
      <c r="F4801" s="25">
        <v>0.0</v>
      </c>
      <c r="G4801" s="27"/>
    </row>
    <row r="4802">
      <c r="A4802" s="21"/>
      <c r="B4802" s="21" t="s">
        <v>10952</v>
      </c>
      <c r="D4802" s="25">
        <v>0.0</v>
      </c>
      <c r="E4802" s="27"/>
      <c r="F4802" s="25">
        <v>0.0</v>
      </c>
      <c r="G4802" s="27"/>
    </row>
    <row r="4803">
      <c r="A4803" s="21"/>
      <c r="B4803" s="21" t="s">
        <v>10953</v>
      </c>
      <c r="D4803" s="25">
        <v>0.0</v>
      </c>
      <c r="E4803" s="27"/>
      <c r="F4803" s="25">
        <v>0.0</v>
      </c>
      <c r="G4803" s="27"/>
    </row>
    <row r="4804">
      <c r="A4804" s="21"/>
      <c r="B4804" s="21" t="s">
        <v>10954</v>
      </c>
      <c r="D4804" s="25">
        <v>0.0</v>
      </c>
      <c r="E4804" s="27"/>
      <c r="F4804" s="25">
        <v>0.0</v>
      </c>
      <c r="G4804" s="27"/>
    </row>
    <row r="4805">
      <c r="A4805" s="21"/>
      <c r="B4805" s="21" t="s">
        <v>10955</v>
      </c>
      <c r="D4805" s="25">
        <v>0.0</v>
      </c>
      <c r="E4805" s="27"/>
      <c r="F4805" s="25">
        <v>0.0</v>
      </c>
      <c r="G4805" s="27"/>
    </row>
    <row r="4806">
      <c r="A4806" s="21"/>
      <c r="B4806" s="21" t="s">
        <v>10956</v>
      </c>
      <c r="D4806" s="25">
        <v>0.0</v>
      </c>
      <c r="E4806" s="27"/>
      <c r="F4806" s="25">
        <v>0.0</v>
      </c>
      <c r="G4806" s="27"/>
    </row>
    <row r="4807">
      <c r="A4807" s="21"/>
      <c r="B4807" s="21" t="s">
        <v>10957</v>
      </c>
      <c r="D4807" s="25">
        <v>0.0</v>
      </c>
      <c r="E4807" s="27"/>
      <c r="F4807" s="25">
        <v>0.0</v>
      </c>
      <c r="G4807" s="27"/>
    </row>
    <row r="4808">
      <c r="A4808" s="21"/>
      <c r="B4808" s="21" t="s">
        <v>10958</v>
      </c>
      <c r="C4808" s="27"/>
      <c r="D4808" s="25">
        <v>0.0</v>
      </c>
      <c r="E4808" s="27"/>
      <c r="F4808" s="25">
        <v>0.0</v>
      </c>
      <c r="G4808" s="27"/>
    </row>
    <row r="4809">
      <c r="A4809" s="21"/>
      <c r="B4809" s="21" t="s">
        <v>10959</v>
      </c>
      <c r="D4809" s="25">
        <v>0.0</v>
      </c>
      <c r="E4809" s="27"/>
      <c r="F4809" s="25">
        <v>0.0</v>
      </c>
      <c r="G4809" s="27"/>
    </row>
    <row r="4810">
      <c r="A4810" s="21"/>
      <c r="B4810" s="38" t="s">
        <v>10960</v>
      </c>
      <c r="D4810" s="25">
        <v>0.0</v>
      </c>
      <c r="E4810" s="27"/>
      <c r="F4810" s="25">
        <v>0.0</v>
      </c>
      <c r="G4810" s="27"/>
    </row>
    <row r="4811">
      <c r="A4811" s="21"/>
      <c r="B4811" s="21" t="s">
        <v>10961</v>
      </c>
      <c r="D4811" s="25">
        <v>0.0</v>
      </c>
      <c r="E4811" s="27"/>
      <c r="F4811" s="25">
        <v>0.0</v>
      </c>
      <c r="G4811" s="27"/>
    </row>
    <row r="4812">
      <c r="A4812" s="21"/>
      <c r="B4812" s="21" t="s">
        <v>10962</v>
      </c>
      <c r="D4812" s="25">
        <v>0.0</v>
      </c>
      <c r="E4812" s="27"/>
      <c r="F4812" s="25">
        <v>0.0</v>
      </c>
      <c r="G4812" s="27"/>
    </row>
    <row r="4813">
      <c r="A4813" s="21"/>
      <c r="B4813" s="21" t="s">
        <v>10963</v>
      </c>
      <c r="D4813" s="25">
        <v>0.0</v>
      </c>
      <c r="E4813" s="27"/>
      <c r="F4813" s="25">
        <v>0.0</v>
      </c>
      <c r="G4813" s="27"/>
    </row>
    <row r="4814">
      <c r="A4814" s="21"/>
      <c r="B4814" s="21" t="s">
        <v>10964</v>
      </c>
      <c r="D4814" s="25">
        <v>0.0</v>
      </c>
      <c r="E4814" s="27"/>
      <c r="F4814" s="25">
        <v>0.0</v>
      </c>
      <c r="G4814" s="27"/>
    </row>
    <row r="4815">
      <c r="A4815" s="21"/>
      <c r="B4815" s="21" t="s">
        <v>10965</v>
      </c>
      <c r="D4815" s="25">
        <v>0.0</v>
      </c>
      <c r="E4815" s="27"/>
      <c r="F4815" s="25">
        <v>0.0</v>
      </c>
      <c r="G4815" s="27"/>
    </row>
    <row r="4816">
      <c r="A4816" s="21"/>
      <c r="B4816" s="21" t="s">
        <v>10966</v>
      </c>
      <c r="D4816" s="25">
        <v>0.0</v>
      </c>
      <c r="E4816" s="27"/>
      <c r="F4816" s="25">
        <v>0.0</v>
      </c>
      <c r="G4816" s="27"/>
    </row>
    <row r="4817">
      <c r="A4817" s="21"/>
      <c r="B4817" s="21" t="s">
        <v>10967</v>
      </c>
      <c r="D4817" s="25">
        <v>0.0</v>
      </c>
      <c r="E4817" s="27"/>
      <c r="F4817" s="25">
        <v>0.0</v>
      </c>
      <c r="G4817" s="27"/>
    </row>
    <row r="4818">
      <c r="A4818" s="21"/>
      <c r="B4818" s="21" t="s">
        <v>10968</v>
      </c>
      <c r="D4818" s="25">
        <v>0.0</v>
      </c>
      <c r="E4818" s="27"/>
      <c r="F4818" s="25">
        <v>0.0</v>
      </c>
      <c r="G4818" s="27"/>
    </row>
    <row r="4819">
      <c r="A4819" s="21"/>
      <c r="B4819" s="21" t="s">
        <v>10969</v>
      </c>
      <c r="D4819" s="25">
        <v>0.0</v>
      </c>
      <c r="E4819" s="27"/>
      <c r="F4819" s="25">
        <v>0.0</v>
      </c>
      <c r="G4819" s="27"/>
    </row>
    <row r="4820">
      <c r="A4820" s="21"/>
      <c r="B4820" s="21" t="s">
        <v>10970</v>
      </c>
      <c r="D4820" s="25">
        <v>0.0</v>
      </c>
      <c r="E4820" s="27"/>
      <c r="F4820" s="25">
        <v>0.0</v>
      </c>
      <c r="G4820" s="27"/>
    </row>
    <row r="4821">
      <c r="A4821" s="21"/>
      <c r="B4821" s="21" t="s">
        <v>10971</v>
      </c>
      <c r="D4821" s="25">
        <v>0.0</v>
      </c>
      <c r="E4821" s="27"/>
      <c r="F4821" s="25">
        <v>0.0</v>
      </c>
      <c r="G4821" s="27"/>
    </row>
    <row r="4822">
      <c r="A4822" s="21"/>
      <c r="B4822" s="21" t="s">
        <v>10972</v>
      </c>
      <c r="D4822" s="25">
        <v>0.0</v>
      </c>
      <c r="E4822" s="27"/>
      <c r="F4822" s="25">
        <v>0.0</v>
      </c>
      <c r="G4822" s="27"/>
    </row>
    <row r="4823">
      <c r="A4823" s="21"/>
      <c r="B4823" s="21" t="s">
        <v>10973</v>
      </c>
      <c r="D4823" s="25">
        <v>0.0</v>
      </c>
      <c r="E4823" s="27"/>
      <c r="F4823" s="25">
        <v>0.0</v>
      </c>
      <c r="G4823" s="27"/>
    </row>
    <row r="4824">
      <c r="A4824" s="21"/>
      <c r="B4824" s="21" t="s">
        <v>10974</v>
      </c>
      <c r="D4824" s="25">
        <v>0.0</v>
      </c>
      <c r="E4824" s="27"/>
      <c r="F4824" s="25">
        <v>0.0</v>
      </c>
      <c r="G4824" s="27"/>
    </row>
    <row r="4825">
      <c r="A4825" s="21"/>
      <c r="B4825" s="21" t="s">
        <v>10975</v>
      </c>
      <c r="D4825" s="25">
        <v>0.0</v>
      </c>
      <c r="E4825" s="27"/>
      <c r="F4825" s="25">
        <v>0.0</v>
      </c>
      <c r="G4825" s="27"/>
    </row>
    <row r="4826">
      <c r="A4826" s="21"/>
      <c r="B4826" s="21" t="s">
        <v>10976</v>
      </c>
      <c r="D4826" s="25">
        <v>0.0</v>
      </c>
      <c r="E4826" s="27"/>
      <c r="F4826" s="25">
        <v>0.0</v>
      </c>
      <c r="G4826" s="27"/>
    </row>
    <row r="4827">
      <c r="A4827" s="21"/>
      <c r="B4827" s="21" t="s">
        <v>10977</v>
      </c>
      <c r="D4827" s="25">
        <v>0.0</v>
      </c>
      <c r="E4827" s="27"/>
      <c r="F4827" s="25">
        <v>0.0</v>
      </c>
      <c r="G4827" s="27"/>
    </row>
    <row r="4828">
      <c r="A4828" s="21"/>
      <c r="B4828" s="21" t="s">
        <v>10978</v>
      </c>
      <c r="D4828" s="25">
        <v>0.0</v>
      </c>
      <c r="E4828" s="27"/>
      <c r="F4828" s="25">
        <v>0.0</v>
      </c>
      <c r="G4828" s="27"/>
    </row>
    <row r="4829">
      <c r="A4829" s="21"/>
      <c r="B4829" s="21" t="s">
        <v>10979</v>
      </c>
      <c r="D4829" s="25">
        <v>0.0</v>
      </c>
      <c r="E4829" s="27"/>
      <c r="F4829" s="25">
        <v>0.0</v>
      </c>
      <c r="G4829" s="27"/>
    </row>
    <row r="4830">
      <c r="A4830" s="21"/>
      <c r="B4830" s="21" t="s">
        <v>10980</v>
      </c>
      <c r="D4830" s="25">
        <v>0.0</v>
      </c>
      <c r="E4830" s="27"/>
      <c r="F4830" s="25">
        <v>0.0</v>
      </c>
      <c r="G4830" s="27"/>
    </row>
    <row r="4831">
      <c r="A4831" s="21"/>
      <c r="B4831" s="21" t="s">
        <v>10981</v>
      </c>
      <c r="D4831" s="25">
        <v>0.0</v>
      </c>
      <c r="E4831" s="27"/>
      <c r="F4831" s="25">
        <v>0.0</v>
      </c>
      <c r="G4831" s="27"/>
    </row>
    <row r="4832">
      <c r="A4832" s="21"/>
      <c r="B4832" s="21" t="s">
        <v>10982</v>
      </c>
      <c r="D4832" s="25">
        <v>0.0</v>
      </c>
      <c r="E4832" s="27"/>
      <c r="F4832" s="25">
        <v>0.0</v>
      </c>
      <c r="G4832" s="27"/>
    </row>
    <row r="4833">
      <c r="A4833" s="21"/>
      <c r="B4833" s="21" t="s">
        <v>10983</v>
      </c>
      <c r="D4833" s="25">
        <v>0.0</v>
      </c>
      <c r="E4833" s="27"/>
      <c r="F4833" s="25">
        <v>0.0</v>
      </c>
      <c r="G4833" s="27"/>
    </row>
    <row r="4834">
      <c r="A4834" s="21"/>
      <c r="B4834" s="21" t="s">
        <v>10984</v>
      </c>
      <c r="D4834" s="25">
        <v>0.0</v>
      </c>
      <c r="E4834" s="27"/>
      <c r="F4834" s="25">
        <v>0.0</v>
      </c>
      <c r="G4834" s="27"/>
    </row>
    <row r="4835">
      <c r="A4835" s="21"/>
      <c r="B4835" s="21" t="s">
        <v>10985</v>
      </c>
      <c r="D4835" s="25">
        <v>0.0</v>
      </c>
      <c r="E4835" s="27"/>
      <c r="F4835" s="25">
        <v>0.0</v>
      </c>
      <c r="G4835" s="27"/>
    </row>
    <row r="4836">
      <c r="A4836" s="21"/>
      <c r="B4836" s="21" t="s">
        <v>10986</v>
      </c>
      <c r="D4836" s="25">
        <v>0.0</v>
      </c>
      <c r="E4836" s="27"/>
      <c r="F4836" s="25">
        <v>0.0</v>
      </c>
      <c r="G4836" s="27"/>
    </row>
    <row r="4837">
      <c r="A4837" s="21"/>
      <c r="B4837" s="21" t="s">
        <v>10987</v>
      </c>
      <c r="D4837" s="25">
        <v>0.0</v>
      </c>
      <c r="E4837" s="27"/>
      <c r="F4837" s="25">
        <v>0.0</v>
      </c>
      <c r="G4837" s="27"/>
    </row>
    <row r="4838">
      <c r="A4838" s="21"/>
      <c r="B4838" s="21" t="s">
        <v>10988</v>
      </c>
      <c r="D4838" s="25">
        <v>0.0</v>
      </c>
      <c r="E4838" s="27"/>
      <c r="F4838" s="25">
        <v>0.0</v>
      </c>
      <c r="G4838" s="27"/>
    </row>
    <row r="4839">
      <c r="A4839" s="21"/>
      <c r="B4839" s="21" t="s">
        <v>10989</v>
      </c>
      <c r="D4839" s="25">
        <v>0.0</v>
      </c>
      <c r="E4839" s="27"/>
      <c r="F4839" s="25">
        <v>0.0</v>
      </c>
      <c r="G4839" s="27"/>
    </row>
    <row r="4840">
      <c r="A4840" s="21"/>
      <c r="B4840" s="21" t="s">
        <v>10990</v>
      </c>
      <c r="D4840" s="25">
        <v>0.0</v>
      </c>
      <c r="E4840" s="27"/>
      <c r="F4840" s="25">
        <v>0.0</v>
      </c>
      <c r="G4840" s="27"/>
    </row>
    <row r="4841">
      <c r="A4841" s="21"/>
      <c r="B4841" s="21" t="s">
        <v>10991</v>
      </c>
      <c r="D4841" s="25">
        <v>0.0</v>
      </c>
      <c r="E4841" s="27"/>
      <c r="F4841" s="25">
        <v>0.0</v>
      </c>
      <c r="G4841" s="27"/>
    </row>
    <row r="4842">
      <c r="A4842" s="21"/>
      <c r="B4842" s="21" t="s">
        <v>10992</v>
      </c>
      <c r="D4842" s="25">
        <v>0.0</v>
      </c>
      <c r="E4842" s="27"/>
      <c r="F4842" s="25">
        <v>0.0</v>
      </c>
      <c r="G4842" s="27"/>
    </row>
    <row r="4843">
      <c r="A4843" s="21"/>
      <c r="B4843" s="21" t="s">
        <v>10993</v>
      </c>
      <c r="D4843" s="25">
        <v>0.0</v>
      </c>
      <c r="E4843" s="27"/>
      <c r="F4843" s="25">
        <v>0.0</v>
      </c>
      <c r="G4843" s="27"/>
    </row>
    <row r="4844">
      <c r="A4844" s="21"/>
      <c r="B4844" s="21" t="s">
        <v>10994</v>
      </c>
      <c r="D4844" s="25">
        <v>0.0</v>
      </c>
      <c r="E4844" s="27"/>
      <c r="F4844" s="25">
        <v>0.0</v>
      </c>
      <c r="G4844" s="27"/>
    </row>
    <row r="4845">
      <c r="A4845" s="21"/>
      <c r="B4845" s="21" t="s">
        <v>10995</v>
      </c>
      <c r="D4845" s="25">
        <v>0.0</v>
      </c>
      <c r="E4845" s="27"/>
      <c r="F4845" s="25">
        <v>0.0</v>
      </c>
      <c r="G4845" s="27"/>
    </row>
    <row r="4846">
      <c r="A4846" s="21"/>
      <c r="B4846" s="21" t="s">
        <v>10996</v>
      </c>
      <c r="D4846" s="25">
        <v>0.0</v>
      </c>
      <c r="E4846" s="27"/>
      <c r="F4846" s="25">
        <v>0.0</v>
      </c>
      <c r="G4846" s="27"/>
    </row>
    <row r="4847">
      <c r="A4847" s="21"/>
      <c r="B4847" s="21" t="s">
        <v>10997</v>
      </c>
      <c r="D4847" s="25">
        <v>0.0</v>
      </c>
      <c r="E4847" s="27"/>
      <c r="F4847" s="25">
        <v>0.0</v>
      </c>
      <c r="G4847" s="27"/>
    </row>
    <row r="4848">
      <c r="A4848" s="21"/>
      <c r="B4848" s="21" t="s">
        <v>10998</v>
      </c>
      <c r="D4848" s="25">
        <v>0.0</v>
      </c>
      <c r="E4848" s="27"/>
      <c r="F4848" s="25">
        <v>0.0</v>
      </c>
      <c r="G4848" s="27"/>
    </row>
    <row r="4849">
      <c r="A4849" s="21"/>
      <c r="B4849" s="21" t="s">
        <v>10999</v>
      </c>
      <c r="D4849" s="25">
        <v>0.0</v>
      </c>
      <c r="E4849" s="27"/>
      <c r="F4849" s="25">
        <v>0.0</v>
      </c>
      <c r="G4849" s="27"/>
    </row>
    <row r="4850">
      <c r="A4850" s="21"/>
      <c r="B4850" s="21" t="s">
        <v>11000</v>
      </c>
      <c r="D4850" s="25">
        <v>0.0</v>
      </c>
      <c r="E4850" s="27"/>
      <c r="F4850" s="25">
        <v>0.0</v>
      </c>
      <c r="G4850" s="27"/>
    </row>
    <row r="4851">
      <c r="A4851" s="21"/>
      <c r="B4851" s="21" t="s">
        <v>11001</v>
      </c>
      <c r="D4851" s="25">
        <v>0.0</v>
      </c>
      <c r="E4851" s="27"/>
      <c r="F4851" s="25">
        <v>0.0</v>
      </c>
      <c r="G4851" s="27"/>
    </row>
    <row r="4852">
      <c r="A4852" s="21"/>
      <c r="B4852" s="21" t="s">
        <v>11002</v>
      </c>
      <c r="D4852" s="25">
        <v>0.0</v>
      </c>
      <c r="E4852" s="27"/>
      <c r="F4852" s="25">
        <v>0.0</v>
      </c>
      <c r="G4852" s="27"/>
    </row>
    <row r="4853">
      <c r="A4853" s="21"/>
      <c r="B4853" s="21" t="s">
        <v>11003</v>
      </c>
      <c r="D4853" s="25">
        <v>0.0</v>
      </c>
      <c r="E4853" s="27"/>
      <c r="F4853" s="25">
        <v>0.0</v>
      </c>
      <c r="G4853" s="27"/>
    </row>
    <row r="4854">
      <c r="A4854" s="21"/>
      <c r="B4854" s="21" t="s">
        <v>11004</v>
      </c>
      <c r="D4854" s="25">
        <v>0.0</v>
      </c>
      <c r="E4854" s="27"/>
      <c r="F4854" s="25">
        <v>0.0</v>
      </c>
      <c r="G4854" s="27"/>
    </row>
    <row r="4855">
      <c r="A4855" s="21"/>
      <c r="B4855" s="21" t="s">
        <v>11005</v>
      </c>
      <c r="D4855" s="25">
        <v>0.0</v>
      </c>
      <c r="E4855" s="27"/>
      <c r="F4855" s="25">
        <v>0.0</v>
      </c>
      <c r="G4855" s="27"/>
    </row>
    <row r="4856">
      <c r="A4856" s="21"/>
      <c r="B4856" s="21" t="s">
        <v>11006</v>
      </c>
      <c r="D4856" s="25">
        <v>0.0</v>
      </c>
      <c r="E4856" s="27"/>
      <c r="F4856" s="25">
        <v>0.0</v>
      </c>
      <c r="G4856" s="27"/>
    </row>
    <row r="4857">
      <c r="A4857" s="21"/>
      <c r="B4857" s="21" t="s">
        <v>11007</v>
      </c>
      <c r="D4857" s="25">
        <v>0.0</v>
      </c>
      <c r="E4857" s="27"/>
      <c r="F4857" s="25">
        <v>0.0</v>
      </c>
      <c r="G4857" s="27"/>
    </row>
    <row r="4858">
      <c r="A4858" s="21"/>
      <c r="B4858" s="21" t="s">
        <v>11008</v>
      </c>
      <c r="D4858" s="25">
        <v>0.0</v>
      </c>
      <c r="E4858" s="27"/>
      <c r="F4858" s="25">
        <v>0.0</v>
      </c>
      <c r="G4858" s="27"/>
    </row>
    <row r="4859">
      <c r="A4859" s="21"/>
      <c r="B4859" s="21" t="s">
        <v>11009</v>
      </c>
      <c r="D4859" s="25">
        <v>0.0</v>
      </c>
      <c r="E4859" s="27"/>
      <c r="F4859" s="25">
        <v>0.0</v>
      </c>
      <c r="G4859" s="27"/>
    </row>
    <row r="4860">
      <c r="A4860" s="21"/>
      <c r="B4860" s="21" t="s">
        <v>11010</v>
      </c>
      <c r="D4860" s="25">
        <v>0.0</v>
      </c>
      <c r="E4860" s="27"/>
      <c r="F4860" s="25">
        <v>0.0</v>
      </c>
      <c r="G4860" s="27"/>
    </row>
    <row r="4861">
      <c r="A4861" s="21"/>
      <c r="B4861" s="21" t="s">
        <v>11011</v>
      </c>
      <c r="D4861" s="25">
        <v>0.0</v>
      </c>
      <c r="E4861" s="27"/>
      <c r="F4861" s="25">
        <v>0.0</v>
      </c>
      <c r="G4861" s="27"/>
    </row>
    <row r="4862">
      <c r="A4862" s="21"/>
      <c r="B4862" s="21" t="s">
        <v>11012</v>
      </c>
      <c r="D4862" s="25">
        <v>0.0</v>
      </c>
      <c r="E4862" s="27"/>
      <c r="F4862" s="25">
        <v>0.0</v>
      </c>
      <c r="G4862" s="27"/>
    </row>
    <row r="4863">
      <c r="A4863" s="21"/>
      <c r="B4863" s="21" t="s">
        <v>11013</v>
      </c>
      <c r="D4863" s="25">
        <v>0.0</v>
      </c>
      <c r="E4863" s="27"/>
      <c r="F4863" s="25">
        <v>0.0</v>
      </c>
      <c r="G4863" s="27"/>
    </row>
    <row r="4864">
      <c r="A4864" s="21"/>
      <c r="B4864" s="21" t="s">
        <v>11014</v>
      </c>
      <c r="D4864" s="25">
        <v>0.0</v>
      </c>
      <c r="E4864" s="27"/>
      <c r="F4864" s="25">
        <v>0.0</v>
      </c>
      <c r="G4864" s="27"/>
    </row>
    <row r="4865">
      <c r="A4865" s="21"/>
      <c r="B4865" s="21" t="s">
        <v>11015</v>
      </c>
      <c r="D4865" s="25">
        <v>0.0</v>
      </c>
      <c r="E4865" s="27"/>
      <c r="F4865" s="25">
        <v>0.0</v>
      </c>
      <c r="G4865" s="27"/>
    </row>
    <row r="4866">
      <c r="A4866" s="21"/>
      <c r="B4866" s="21" t="s">
        <v>11016</v>
      </c>
      <c r="D4866" s="25">
        <v>0.0</v>
      </c>
      <c r="E4866" s="27"/>
      <c r="F4866" s="25">
        <v>0.0</v>
      </c>
      <c r="G4866" s="27"/>
    </row>
    <row r="4867">
      <c r="A4867" s="21"/>
      <c r="B4867" s="21" t="s">
        <v>11017</v>
      </c>
      <c r="D4867" s="25">
        <v>0.0</v>
      </c>
      <c r="E4867" s="27"/>
      <c r="F4867" s="25">
        <v>0.0</v>
      </c>
      <c r="G4867" s="27"/>
    </row>
    <row r="4868">
      <c r="A4868" s="21"/>
      <c r="B4868" s="21" t="s">
        <v>11018</v>
      </c>
      <c r="D4868" s="25">
        <v>0.0</v>
      </c>
      <c r="E4868" s="27"/>
      <c r="F4868" s="25">
        <v>0.0</v>
      </c>
      <c r="G4868" s="27"/>
    </row>
    <row r="4869">
      <c r="A4869" s="21"/>
      <c r="B4869" s="21" t="s">
        <v>11019</v>
      </c>
      <c r="D4869" s="25">
        <v>0.0</v>
      </c>
      <c r="E4869" s="27"/>
      <c r="F4869" s="25">
        <v>0.0</v>
      </c>
      <c r="G4869" s="27"/>
    </row>
    <row r="4870">
      <c r="A4870" s="21"/>
      <c r="B4870" s="21" t="s">
        <v>11020</v>
      </c>
      <c r="D4870" s="25">
        <v>0.0</v>
      </c>
      <c r="E4870" s="27"/>
      <c r="F4870" s="25">
        <v>0.0</v>
      </c>
      <c r="G4870" s="27"/>
    </row>
    <row r="4871">
      <c r="A4871" s="21"/>
      <c r="B4871" s="21" t="s">
        <v>11021</v>
      </c>
      <c r="D4871" s="25">
        <v>0.0</v>
      </c>
      <c r="E4871" s="27"/>
      <c r="F4871" s="25">
        <v>0.0</v>
      </c>
      <c r="G4871" s="27"/>
    </row>
    <row r="4872">
      <c r="A4872" s="21"/>
      <c r="B4872" s="21" t="s">
        <v>11022</v>
      </c>
      <c r="D4872" s="25">
        <v>0.0</v>
      </c>
      <c r="E4872" s="27"/>
      <c r="F4872" s="25">
        <v>0.0</v>
      </c>
      <c r="G4872" s="27"/>
    </row>
    <row r="4873">
      <c r="A4873" s="21"/>
      <c r="B4873" s="21" t="s">
        <v>11023</v>
      </c>
      <c r="C4873" s="27"/>
      <c r="D4873" s="25">
        <v>0.0</v>
      </c>
      <c r="E4873" s="27"/>
      <c r="F4873" s="25">
        <v>0.0</v>
      </c>
      <c r="G4873" s="27"/>
    </row>
    <row r="4874">
      <c r="A4874" s="21"/>
      <c r="B4874" s="21" t="s">
        <v>11024</v>
      </c>
      <c r="D4874" s="25">
        <v>0.0</v>
      </c>
      <c r="E4874" s="27"/>
      <c r="F4874" s="25">
        <v>0.0</v>
      </c>
      <c r="G4874" s="27"/>
    </row>
    <row r="4875">
      <c r="A4875" s="21"/>
      <c r="B4875" s="21" t="s">
        <v>11025</v>
      </c>
      <c r="D4875" s="25">
        <v>0.0</v>
      </c>
      <c r="E4875" s="27"/>
      <c r="F4875" s="25">
        <v>0.0</v>
      </c>
      <c r="G4875" s="27"/>
    </row>
    <row r="4876">
      <c r="A4876" s="21"/>
      <c r="B4876" s="21" t="s">
        <v>11026</v>
      </c>
      <c r="D4876" s="25">
        <v>0.0</v>
      </c>
      <c r="E4876" s="27"/>
      <c r="F4876" s="25">
        <v>0.0</v>
      </c>
      <c r="G4876" s="27"/>
    </row>
    <row r="4877">
      <c r="A4877" s="21"/>
      <c r="B4877" s="21" t="s">
        <v>11027</v>
      </c>
      <c r="D4877" s="25">
        <v>0.0</v>
      </c>
      <c r="E4877" s="27"/>
      <c r="F4877" s="25">
        <v>0.0</v>
      </c>
      <c r="G4877" s="27"/>
    </row>
    <row r="4878">
      <c r="A4878" s="21"/>
      <c r="B4878" s="21" t="s">
        <v>11028</v>
      </c>
      <c r="D4878" s="25">
        <v>0.0</v>
      </c>
      <c r="E4878" s="27"/>
      <c r="F4878" s="25">
        <v>0.0</v>
      </c>
      <c r="G4878" s="27"/>
    </row>
    <row r="4879">
      <c r="A4879" s="21"/>
      <c r="B4879" s="21" t="s">
        <v>11029</v>
      </c>
      <c r="D4879" s="25">
        <v>0.0</v>
      </c>
      <c r="E4879" s="27"/>
      <c r="F4879" s="25">
        <v>0.0</v>
      </c>
      <c r="G4879" s="27"/>
    </row>
    <row r="4880">
      <c r="A4880" s="21"/>
      <c r="B4880" s="21" t="s">
        <v>11030</v>
      </c>
      <c r="D4880" s="25">
        <v>0.0</v>
      </c>
      <c r="E4880" s="27"/>
      <c r="F4880" s="25">
        <v>0.0</v>
      </c>
      <c r="G4880" s="27"/>
    </row>
    <row r="4881">
      <c r="A4881" s="21"/>
      <c r="B4881" s="21" t="s">
        <v>11031</v>
      </c>
      <c r="D4881" s="25">
        <v>0.0</v>
      </c>
      <c r="E4881" s="27"/>
      <c r="F4881" s="25">
        <v>0.0</v>
      </c>
      <c r="G4881" s="27"/>
    </row>
    <row r="4882">
      <c r="A4882" s="21"/>
      <c r="B4882" s="21" t="s">
        <v>11032</v>
      </c>
      <c r="D4882" s="25">
        <v>0.0</v>
      </c>
      <c r="E4882" s="27"/>
      <c r="F4882" s="25">
        <v>0.0</v>
      </c>
      <c r="G4882" s="27"/>
    </row>
    <row r="4883">
      <c r="A4883" s="21"/>
      <c r="B4883" s="21" t="s">
        <v>11033</v>
      </c>
      <c r="D4883" s="25">
        <v>0.0</v>
      </c>
      <c r="E4883" s="27"/>
      <c r="F4883" s="25">
        <v>0.0</v>
      </c>
      <c r="G4883" s="27"/>
    </row>
    <row r="4884">
      <c r="A4884" s="21"/>
      <c r="B4884" s="21" t="s">
        <v>11034</v>
      </c>
      <c r="D4884" s="25">
        <v>0.0</v>
      </c>
      <c r="E4884" s="27"/>
      <c r="F4884" s="25">
        <v>0.0</v>
      </c>
      <c r="G4884" s="27"/>
    </row>
    <row r="4885">
      <c r="A4885" s="21"/>
      <c r="B4885" s="21" t="s">
        <v>11035</v>
      </c>
      <c r="D4885" s="25">
        <v>0.0</v>
      </c>
      <c r="E4885" s="27"/>
      <c r="F4885" s="25">
        <v>0.0</v>
      </c>
      <c r="G4885" s="27"/>
    </row>
    <row r="4886">
      <c r="A4886" s="21"/>
      <c r="B4886" s="21" t="s">
        <v>11036</v>
      </c>
      <c r="D4886" s="25">
        <v>0.0</v>
      </c>
      <c r="E4886" s="27"/>
      <c r="F4886" s="25">
        <v>0.0</v>
      </c>
      <c r="G4886" s="27"/>
    </row>
    <row r="4887">
      <c r="A4887" s="21"/>
      <c r="B4887" s="21" t="s">
        <v>11037</v>
      </c>
      <c r="D4887" s="25">
        <v>0.0</v>
      </c>
      <c r="E4887" s="27"/>
      <c r="F4887" s="25">
        <v>0.0</v>
      </c>
      <c r="G4887" s="27"/>
    </row>
    <row r="4888">
      <c r="A4888" s="21"/>
      <c r="B4888" s="21" t="s">
        <v>11038</v>
      </c>
      <c r="D4888" s="25">
        <v>0.0</v>
      </c>
      <c r="E4888" s="27"/>
      <c r="F4888" s="25">
        <v>0.0</v>
      </c>
      <c r="G4888" s="27"/>
    </row>
    <row r="4889">
      <c r="A4889" s="21"/>
      <c r="B4889" s="21" t="s">
        <v>11039</v>
      </c>
      <c r="D4889" s="25">
        <v>0.0</v>
      </c>
      <c r="E4889" s="27"/>
      <c r="F4889" s="25">
        <v>0.0</v>
      </c>
      <c r="G4889" s="27"/>
    </row>
    <row r="4890">
      <c r="A4890" s="21"/>
      <c r="B4890" s="21" t="s">
        <v>11040</v>
      </c>
      <c r="D4890" s="25">
        <v>0.0</v>
      </c>
      <c r="E4890" s="27"/>
      <c r="F4890" s="25">
        <v>0.0</v>
      </c>
      <c r="G4890" s="27"/>
    </row>
    <row r="4891">
      <c r="A4891" s="21"/>
      <c r="B4891" s="21" t="s">
        <v>11041</v>
      </c>
      <c r="D4891" s="25">
        <v>0.0</v>
      </c>
      <c r="E4891" s="27"/>
      <c r="F4891" s="25">
        <v>0.0</v>
      </c>
      <c r="G4891" s="27"/>
    </row>
    <row r="4892">
      <c r="A4892" s="21"/>
      <c r="B4892" s="21" t="s">
        <v>11042</v>
      </c>
      <c r="D4892" s="25">
        <v>0.0</v>
      </c>
      <c r="E4892" s="27"/>
      <c r="F4892" s="25">
        <v>0.0</v>
      </c>
      <c r="G4892" s="27"/>
    </row>
    <row r="4893">
      <c r="A4893" s="21"/>
      <c r="B4893" s="21" t="s">
        <v>11043</v>
      </c>
      <c r="D4893" s="25">
        <v>0.0</v>
      </c>
      <c r="E4893" s="27"/>
      <c r="F4893" s="25">
        <v>0.0</v>
      </c>
      <c r="G4893" s="27"/>
    </row>
    <row r="4894">
      <c r="A4894" s="21"/>
      <c r="B4894" s="21" t="s">
        <v>11044</v>
      </c>
      <c r="D4894" s="25">
        <v>0.0</v>
      </c>
      <c r="E4894" s="27"/>
      <c r="F4894" s="25">
        <v>0.0</v>
      </c>
      <c r="G4894" s="27"/>
    </row>
    <row r="4895">
      <c r="A4895" s="21"/>
      <c r="B4895" s="21" t="s">
        <v>11045</v>
      </c>
      <c r="D4895" s="25">
        <v>0.0</v>
      </c>
      <c r="E4895" s="27"/>
      <c r="F4895" s="25">
        <v>0.0</v>
      </c>
      <c r="G4895" s="27"/>
    </row>
    <row r="4896">
      <c r="A4896" s="21"/>
      <c r="B4896" s="21" t="s">
        <v>11046</v>
      </c>
      <c r="D4896" s="25">
        <v>0.0</v>
      </c>
      <c r="E4896" s="27"/>
      <c r="F4896" s="25">
        <v>0.0</v>
      </c>
      <c r="G4896" s="27"/>
    </row>
    <row r="4897">
      <c r="A4897" s="21"/>
      <c r="B4897" s="21" t="s">
        <v>11047</v>
      </c>
      <c r="D4897" s="25">
        <v>0.0</v>
      </c>
      <c r="E4897" s="27"/>
      <c r="F4897" s="25">
        <v>0.0</v>
      </c>
      <c r="G4897" s="27"/>
    </row>
    <row r="4898">
      <c r="A4898" s="21"/>
      <c r="B4898" s="21" t="s">
        <v>11048</v>
      </c>
      <c r="D4898" s="25">
        <v>0.0</v>
      </c>
      <c r="E4898" s="27"/>
      <c r="F4898" s="25">
        <v>0.0</v>
      </c>
      <c r="G4898" s="27"/>
    </row>
    <row r="4899">
      <c r="A4899" s="21"/>
      <c r="B4899" s="21" t="s">
        <v>11049</v>
      </c>
      <c r="D4899" s="25">
        <v>0.0</v>
      </c>
      <c r="E4899" s="27"/>
      <c r="F4899" s="25">
        <v>0.0</v>
      </c>
      <c r="G4899" s="27"/>
    </row>
    <row r="4900">
      <c r="A4900" s="21"/>
      <c r="B4900" s="21" t="s">
        <v>11050</v>
      </c>
      <c r="D4900" s="25">
        <v>0.0</v>
      </c>
      <c r="E4900" s="27"/>
      <c r="F4900" s="25">
        <v>0.0</v>
      </c>
      <c r="G4900" s="27"/>
    </row>
    <row r="4901">
      <c r="A4901" s="21"/>
      <c r="B4901" s="21" t="s">
        <v>11051</v>
      </c>
      <c r="D4901" s="25">
        <v>0.0</v>
      </c>
      <c r="E4901" s="27"/>
      <c r="F4901" s="25">
        <v>0.0</v>
      </c>
      <c r="G4901" s="27"/>
    </row>
    <row r="4902">
      <c r="A4902" s="21"/>
      <c r="B4902" s="21" t="s">
        <v>11052</v>
      </c>
      <c r="D4902" s="25">
        <v>0.0</v>
      </c>
      <c r="E4902" s="27"/>
      <c r="F4902" s="25">
        <v>0.0</v>
      </c>
      <c r="G4902" s="27"/>
    </row>
    <row r="4903">
      <c r="A4903" s="21"/>
      <c r="B4903" s="21" t="s">
        <v>11053</v>
      </c>
      <c r="D4903" s="25">
        <v>0.0</v>
      </c>
      <c r="E4903" s="27"/>
      <c r="F4903" s="25">
        <v>0.0</v>
      </c>
      <c r="G4903" s="27"/>
    </row>
    <row r="4904">
      <c r="A4904" s="21"/>
      <c r="B4904" s="21" t="s">
        <v>11054</v>
      </c>
      <c r="D4904" s="25">
        <v>0.0</v>
      </c>
      <c r="E4904" s="27"/>
      <c r="F4904" s="25">
        <v>0.0</v>
      </c>
      <c r="G4904" s="27"/>
    </row>
    <row r="4905">
      <c r="A4905" s="21"/>
      <c r="B4905" s="21" t="s">
        <v>11055</v>
      </c>
      <c r="D4905" s="25">
        <v>0.0</v>
      </c>
      <c r="E4905" s="27"/>
      <c r="F4905" s="25">
        <v>0.0</v>
      </c>
      <c r="G4905" s="27"/>
    </row>
    <row r="4906">
      <c r="A4906" s="21"/>
      <c r="B4906" s="21" t="s">
        <v>11056</v>
      </c>
      <c r="D4906" s="25">
        <v>0.0</v>
      </c>
      <c r="E4906" s="27"/>
      <c r="F4906" s="25">
        <v>0.0</v>
      </c>
      <c r="G4906" s="27"/>
    </row>
    <row r="4907">
      <c r="A4907" s="21"/>
      <c r="B4907" s="21" t="s">
        <v>11057</v>
      </c>
      <c r="D4907" s="25">
        <v>0.0</v>
      </c>
      <c r="E4907" s="27"/>
      <c r="F4907" s="25">
        <v>0.0</v>
      </c>
      <c r="G4907" s="27"/>
    </row>
    <row r="4908">
      <c r="A4908" s="21"/>
      <c r="B4908" s="21" t="s">
        <v>11058</v>
      </c>
      <c r="D4908" s="25">
        <v>0.0</v>
      </c>
      <c r="E4908" s="27"/>
      <c r="F4908" s="25">
        <v>0.0</v>
      </c>
      <c r="G4908" s="27"/>
    </row>
    <row r="4909">
      <c r="A4909" s="21"/>
      <c r="B4909" s="21" t="s">
        <v>11059</v>
      </c>
      <c r="D4909" s="25">
        <v>0.0</v>
      </c>
      <c r="E4909" s="27"/>
      <c r="F4909" s="25">
        <v>0.0</v>
      </c>
      <c r="G4909" s="27"/>
    </row>
    <row r="4910">
      <c r="A4910" s="21"/>
      <c r="B4910" s="21" t="s">
        <v>11060</v>
      </c>
      <c r="D4910" s="25">
        <v>0.0</v>
      </c>
      <c r="E4910" s="27"/>
      <c r="F4910" s="25">
        <v>0.0</v>
      </c>
      <c r="G4910" s="27"/>
    </row>
    <row r="4911">
      <c r="A4911" s="21"/>
      <c r="B4911" s="21" t="s">
        <v>11061</v>
      </c>
      <c r="D4911" s="25">
        <v>0.0</v>
      </c>
      <c r="E4911" s="27"/>
      <c r="F4911" s="25">
        <v>0.0</v>
      </c>
      <c r="G4911" s="27"/>
    </row>
    <row r="4912">
      <c r="A4912" s="21"/>
      <c r="B4912" s="21" t="s">
        <v>11062</v>
      </c>
      <c r="D4912" s="25">
        <v>0.0</v>
      </c>
      <c r="E4912" s="27"/>
      <c r="F4912" s="25">
        <v>0.0</v>
      </c>
      <c r="G4912" s="27"/>
    </row>
    <row r="4913">
      <c r="A4913" s="21"/>
      <c r="B4913" s="21" t="s">
        <v>11063</v>
      </c>
      <c r="D4913" s="25">
        <v>0.0</v>
      </c>
      <c r="E4913" s="27"/>
      <c r="F4913" s="25">
        <v>0.0</v>
      </c>
      <c r="G4913" s="27"/>
    </row>
    <row r="4914">
      <c r="A4914" s="21"/>
      <c r="B4914" s="21" t="s">
        <v>11064</v>
      </c>
      <c r="D4914" s="25">
        <v>0.0</v>
      </c>
      <c r="E4914" s="27"/>
      <c r="F4914" s="25">
        <v>0.0</v>
      </c>
      <c r="G4914" s="27"/>
    </row>
    <row r="4915">
      <c r="A4915" s="21"/>
      <c r="B4915" s="21" t="s">
        <v>11065</v>
      </c>
      <c r="D4915" s="25">
        <v>0.0</v>
      </c>
      <c r="E4915" s="27"/>
      <c r="F4915" s="25">
        <v>0.0</v>
      </c>
      <c r="G4915" s="27"/>
    </row>
    <row r="4916">
      <c r="A4916" s="21"/>
      <c r="B4916" s="21" t="s">
        <v>11066</v>
      </c>
      <c r="D4916" s="25">
        <v>0.0</v>
      </c>
      <c r="E4916" s="27"/>
      <c r="F4916" s="25">
        <v>0.0</v>
      </c>
      <c r="G4916" s="27"/>
    </row>
    <row r="4917">
      <c r="A4917" s="21"/>
      <c r="B4917" s="21" t="s">
        <v>11067</v>
      </c>
      <c r="D4917" s="25">
        <v>0.0</v>
      </c>
      <c r="E4917" s="27"/>
      <c r="F4917" s="25">
        <v>0.0</v>
      </c>
      <c r="G4917" s="27"/>
    </row>
    <row r="4918">
      <c r="A4918" s="21"/>
      <c r="B4918" s="21" t="s">
        <v>11068</v>
      </c>
      <c r="D4918" s="25">
        <v>0.0</v>
      </c>
      <c r="E4918" s="27"/>
      <c r="F4918" s="25">
        <v>0.0</v>
      </c>
      <c r="G4918" s="27"/>
    </row>
    <row r="4919">
      <c r="A4919" s="21"/>
      <c r="B4919" s="21" t="s">
        <v>11069</v>
      </c>
      <c r="D4919" s="25">
        <v>0.0</v>
      </c>
      <c r="E4919" s="27"/>
      <c r="F4919" s="25">
        <v>0.0</v>
      </c>
      <c r="G4919" s="27"/>
    </row>
    <row r="4920">
      <c r="A4920" s="21"/>
      <c r="B4920" s="21" t="s">
        <v>11070</v>
      </c>
      <c r="D4920" s="25">
        <v>0.0</v>
      </c>
      <c r="E4920" s="27"/>
      <c r="F4920" s="25">
        <v>0.0</v>
      </c>
      <c r="G4920" s="27"/>
    </row>
    <row r="4921">
      <c r="A4921" s="21"/>
      <c r="B4921" s="21" t="s">
        <v>11071</v>
      </c>
      <c r="D4921" s="25">
        <v>0.0</v>
      </c>
      <c r="E4921" s="27"/>
      <c r="F4921" s="25">
        <v>0.0</v>
      </c>
      <c r="G4921" s="27"/>
    </row>
    <row r="4922">
      <c r="A4922" s="21"/>
      <c r="B4922" s="21" t="s">
        <v>11072</v>
      </c>
      <c r="D4922" s="25">
        <v>0.0</v>
      </c>
      <c r="E4922" s="27"/>
      <c r="F4922" s="25">
        <v>0.0</v>
      </c>
      <c r="G4922" s="27"/>
    </row>
    <row r="4923">
      <c r="A4923" s="21"/>
      <c r="B4923" s="21" t="s">
        <v>11073</v>
      </c>
      <c r="D4923" s="25">
        <v>0.0</v>
      </c>
      <c r="E4923" s="27"/>
      <c r="F4923" s="25">
        <v>0.0</v>
      </c>
      <c r="G4923" s="27"/>
    </row>
    <row r="4924">
      <c r="A4924" s="21"/>
      <c r="B4924" s="21" t="s">
        <v>11074</v>
      </c>
      <c r="D4924" s="25">
        <v>0.0</v>
      </c>
      <c r="E4924" s="27"/>
      <c r="F4924" s="25">
        <v>0.0</v>
      </c>
      <c r="G4924" s="27"/>
    </row>
    <row r="4925">
      <c r="A4925" s="21"/>
      <c r="B4925" s="21" t="s">
        <v>11075</v>
      </c>
      <c r="D4925" s="25">
        <v>0.0</v>
      </c>
      <c r="E4925" s="27"/>
      <c r="F4925" s="25">
        <v>0.0</v>
      </c>
      <c r="G4925" s="27"/>
    </row>
    <row r="4926">
      <c r="A4926" s="21"/>
      <c r="B4926" s="21" t="s">
        <v>11076</v>
      </c>
      <c r="D4926" s="25">
        <v>0.0</v>
      </c>
      <c r="E4926" s="27"/>
      <c r="F4926" s="25">
        <v>0.0</v>
      </c>
      <c r="G4926" s="27"/>
    </row>
    <row r="4927">
      <c r="A4927" s="21"/>
      <c r="B4927" s="21" t="s">
        <v>11077</v>
      </c>
      <c r="D4927" s="25">
        <v>0.0</v>
      </c>
      <c r="E4927" s="27"/>
      <c r="F4927" s="25">
        <v>0.0</v>
      </c>
      <c r="G4927" s="27"/>
    </row>
    <row r="4928">
      <c r="A4928" s="21"/>
      <c r="B4928" s="21" t="s">
        <v>11078</v>
      </c>
      <c r="D4928" s="25">
        <v>0.0</v>
      </c>
      <c r="E4928" s="27"/>
      <c r="F4928" s="25">
        <v>0.0</v>
      </c>
      <c r="G4928" s="27"/>
    </row>
    <row r="4929">
      <c r="A4929" s="21"/>
      <c r="B4929" s="21" t="s">
        <v>11079</v>
      </c>
      <c r="D4929" s="25">
        <v>0.0</v>
      </c>
      <c r="E4929" s="27"/>
      <c r="F4929" s="25">
        <v>0.0</v>
      </c>
      <c r="G4929" s="27"/>
    </row>
    <row r="4930">
      <c r="A4930" s="21"/>
      <c r="B4930" s="21" t="s">
        <v>11080</v>
      </c>
      <c r="D4930" s="25">
        <v>0.0</v>
      </c>
      <c r="E4930" s="27"/>
      <c r="F4930" s="25">
        <v>0.0</v>
      </c>
      <c r="G4930" s="27"/>
    </row>
    <row r="4931">
      <c r="A4931" s="21"/>
      <c r="B4931" s="21" t="s">
        <v>11081</v>
      </c>
      <c r="D4931" s="25">
        <v>0.0</v>
      </c>
      <c r="E4931" s="27"/>
      <c r="F4931" s="25">
        <v>0.0</v>
      </c>
      <c r="G4931" s="27"/>
    </row>
    <row r="4932">
      <c r="A4932" s="21"/>
      <c r="B4932" s="21" t="s">
        <v>11082</v>
      </c>
      <c r="D4932" s="25">
        <v>0.0</v>
      </c>
      <c r="E4932" s="27"/>
      <c r="F4932" s="25">
        <v>0.0</v>
      </c>
      <c r="G4932" s="27"/>
    </row>
    <row r="4933">
      <c r="A4933" s="21"/>
      <c r="B4933" s="21" t="s">
        <v>11083</v>
      </c>
      <c r="D4933" s="25">
        <v>0.0</v>
      </c>
      <c r="E4933" s="27"/>
      <c r="F4933" s="25">
        <v>0.0</v>
      </c>
      <c r="G4933" s="27"/>
    </row>
    <row r="4934">
      <c r="A4934" s="21"/>
      <c r="B4934" s="21" t="s">
        <v>11084</v>
      </c>
      <c r="D4934" s="25">
        <v>0.0</v>
      </c>
      <c r="E4934" s="27"/>
      <c r="F4934" s="25">
        <v>0.0</v>
      </c>
      <c r="G4934" s="27"/>
    </row>
    <row r="4935">
      <c r="A4935" s="21"/>
      <c r="B4935" s="21" t="s">
        <v>11085</v>
      </c>
      <c r="D4935" s="25">
        <v>0.0</v>
      </c>
      <c r="E4935" s="27"/>
      <c r="F4935" s="25">
        <v>0.0</v>
      </c>
      <c r="G4935" s="27"/>
    </row>
    <row r="4936">
      <c r="A4936" s="21"/>
      <c r="B4936" s="21" t="s">
        <v>11086</v>
      </c>
      <c r="D4936" s="25">
        <v>0.0</v>
      </c>
      <c r="E4936" s="27"/>
      <c r="F4936" s="25">
        <v>0.0</v>
      </c>
      <c r="G4936" s="27"/>
    </row>
    <row r="4937">
      <c r="A4937" s="21"/>
      <c r="B4937" s="21" t="s">
        <v>11087</v>
      </c>
      <c r="D4937" s="25">
        <v>0.0</v>
      </c>
      <c r="E4937" s="27"/>
      <c r="F4937" s="25">
        <v>0.0</v>
      </c>
      <c r="G4937" s="27"/>
    </row>
    <row r="4938">
      <c r="A4938" s="21"/>
      <c r="B4938" s="21" t="s">
        <v>11088</v>
      </c>
      <c r="D4938" s="25">
        <v>0.0</v>
      </c>
      <c r="E4938" s="27"/>
      <c r="F4938" s="25">
        <v>0.0</v>
      </c>
      <c r="G4938" s="27"/>
    </row>
    <row r="4939">
      <c r="A4939" s="21"/>
      <c r="B4939" s="21" t="s">
        <v>11089</v>
      </c>
      <c r="D4939" s="25">
        <v>0.0</v>
      </c>
      <c r="E4939" s="27"/>
      <c r="F4939" s="25">
        <v>0.0</v>
      </c>
      <c r="G4939" s="27"/>
    </row>
    <row r="4940">
      <c r="A4940" s="21"/>
      <c r="B4940" s="21" t="s">
        <v>11090</v>
      </c>
      <c r="D4940" s="25">
        <v>0.0</v>
      </c>
      <c r="E4940" s="27"/>
      <c r="F4940" s="25">
        <v>0.0</v>
      </c>
      <c r="G4940" s="27"/>
    </row>
    <row r="4941">
      <c r="A4941" s="21"/>
      <c r="B4941" s="21" t="s">
        <v>11091</v>
      </c>
      <c r="D4941" s="25">
        <v>0.0</v>
      </c>
      <c r="E4941" s="27"/>
      <c r="F4941" s="25">
        <v>0.0</v>
      </c>
      <c r="G4941" s="27"/>
    </row>
    <row r="4942">
      <c r="A4942" s="21"/>
      <c r="B4942" s="21" t="s">
        <v>11092</v>
      </c>
      <c r="D4942" s="25">
        <v>0.0</v>
      </c>
      <c r="E4942" s="27"/>
      <c r="F4942" s="25">
        <v>0.0</v>
      </c>
      <c r="G4942" s="27"/>
    </row>
    <row r="4943">
      <c r="A4943" s="21"/>
      <c r="B4943" s="21" t="s">
        <v>11093</v>
      </c>
      <c r="D4943" s="25">
        <v>0.0</v>
      </c>
      <c r="E4943" s="27"/>
      <c r="F4943" s="25">
        <v>0.0</v>
      </c>
      <c r="G4943" s="27"/>
    </row>
    <row r="4944">
      <c r="A4944" s="21"/>
      <c r="B4944" s="21" t="s">
        <v>11094</v>
      </c>
      <c r="D4944" s="25">
        <v>0.0</v>
      </c>
      <c r="E4944" s="27"/>
      <c r="F4944" s="25">
        <v>0.0</v>
      </c>
      <c r="G4944" s="27"/>
    </row>
    <row r="4945">
      <c r="A4945" s="21"/>
      <c r="B4945" s="21" t="s">
        <v>11095</v>
      </c>
      <c r="D4945" s="25">
        <v>0.0</v>
      </c>
      <c r="E4945" s="27"/>
      <c r="F4945" s="25">
        <v>0.0</v>
      </c>
      <c r="G4945" s="27"/>
    </row>
    <row r="4946">
      <c r="A4946" s="21"/>
      <c r="B4946" s="21" t="s">
        <v>11096</v>
      </c>
      <c r="D4946" s="25">
        <v>0.0</v>
      </c>
      <c r="E4946" s="27"/>
      <c r="F4946" s="25">
        <v>0.0</v>
      </c>
      <c r="G4946" s="27"/>
    </row>
    <row r="4947">
      <c r="A4947" s="21"/>
      <c r="B4947" s="21" t="s">
        <v>11097</v>
      </c>
      <c r="D4947" s="25">
        <v>0.0</v>
      </c>
      <c r="E4947" s="27"/>
      <c r="F4947" s="25">
        <v>0.0</v>
      </c>
      <c r="G4947" s="27"/>
    </row>
    <row r="4948">
      <c r="A4948" s="21"/>
      <c r="B4948" s="21" t="s">
        <v>11098</v>
      </c>
      <c r="D4948" s="25">
        <v>0.0</v>
      </c>
      <c r="E4948" s="27"/>
      <c r="F4948" s="25">
        <v>0.0</v>
      </c>
      <c r="G4948" s="27"/>
    </row>
    <row r="4949">
      <c r="A4949" s="21"/>
      <c r="B4949" s="21" t="s">
        <v>11099</v>
      </c>
      <c r="D4949" s="25">
        <v>0.0</v>
      </c>
      <c r="E4949" s="27"/>
      <c r="F4949" s="25">
        <v>0.0</v>
      </c>
      <c r="G4949" s="27"/>
    </row>
    <row r="4950">
      <c r="A4950" s="21"/>
      <c r="B4950" s="21" t="s">
        <v>11100</v>
      </c>
      <c r="D4950" s="25">
        <v>0.0</v>
      </c>
      <c r="E4950" s="27"/>
      <c r="F4950" s="25">
        <v>0.0</v>
      </c>
      <c r="G4950" s="27"/>
    </row>
    <row r="4951">
      <c r="A4951" s="21"/>
      <c r="B4951" s="21" t="s">
        <v>11101</v>
      </c>
      <c r="D4951" s="25">
        <v>0.0</v>
      </c>
      <c r="E4951" s="27"/>
      <c r="F4951" s="25">
        <v>0.0</v>
      </c>
      <c r="G4951" s="27"/>
    </row>
    <row r="4952">
      <c r="A4952" s="21"/>
      <c r="B4952" s="21" t="s">
        <v>11102</v>
      </c>
      <c r="D4952" s="25">
        <v>0.0</v>
      </c>
      <c r="E4952" s="27"/>
      <c r="F4952" s="25">
        <v>0.0</v>
      </c>
      <c r="G4952" s="27"/>
    </row>
    <row r="4953">
      <c r="A4953" s="21"/>
      <c r="B4953" s="21" t="s">
        <v>11103</v>
      </c>
      <c r="D4953" s="25">
        <v>0.0</v>
      </c>
      <c r="E4953" s="27"/>
      <c r="F4953" s="25">
        <v>0.0</v>
      </c>
      <c r="G4953" s="27"/>
    </row>
    <row r="4954">
      <c r="A4954" s="21"/>
      <c r="B4954" s="21" t="s">
        <v>11104</v>
      </c>
      <c r="D4954" s="25">
        <v>0.0</v>
      </c>
      <c r="E4954" s="27"/>
      <c r="F4954" s="25">
        <v>0.0</v>
      </c>
      <c r="G4954" s="27"/>
    </row>
    <row r="4955">
      <c r="A4955" s="21"/>
      <c r="B4955" s="21" t="s">
        <v>11105</v>
      </c>
      <c r="D4955" s="25">
        <v>0.0</v>
      </c>
      <c r="E4955" s="27"/>
      <c r="F4955" s="25">
        <v>0.0</v>
      </c>
      <c r="G4955" s="27"/>
    </row>
    <row r="4956">
      <c r="A4956" s="21"/>
      <c r="B4956" s="21" t="s">
        <v>11106</v>
      </c>
      <c r="D4956" s="25">
        <v>0.0</v>
      </c>
      <c r="E4956" s="27"/>
      <c r="F4956" s="25">
        <v>0.0</v>
      </c>
      <c r="G4956" s="27"/>
    </row>
    <row r="4957">
      <c r="A4957" s="21"/>
      <c r="B4957" s="21" t="s">
        <v>11107</v>
      </c>
      <c r="D4957" s="25">
        <v>0.0</v>
      </c>
      <c r="E4957" s="27"/>
      <c r="F4957" s="25">
        <v>0.0</v>
      </c>
      <c r="G4957" s="27"/>
    </row>
    <row r="4958">
      <c r="A4958" s="21"/>
      <c r="B4958" s="21" t="s">
        <v>11108</v>
      </c>
      <c r="D4958" s="25">
        <v>0.0</v>
      </c>
      <c r="E4958" s="27"/>
      <c r="F4958" s="25">
        <v>0.0</v>
      </c>
      <c r="G4958" s="27"/>
    </row>
    <row r="4959">
      <c r="A4959" s="21"/>
      <c r="B4959" s="21" t="s">
        <v>11109</v>
      </c>
      <c r="D4959" s="25">
        <v>0.0</v>
      </c>
      <c r="E4959" s="27"/>
      <c r="F4959" s="25">
        <v>0.0</v>
      </c>
      <c r="G4959" s="27"/>
    </row>
    <row r="4960">
      <c r="A4960" s="21"/>
      <c r="B4960" s="21" t="s">
        <v>11110</v>
      </c>
      <c r="D4960" s="25">
        <v>0.0</v>
      </c>
      <c r="E4960" s="27"/>
      <c r="F4960" s="25">
        <v>0.0</v>
      </c>
      <c r="G4960" s="27"/>
    </row>
    <row r="4961">
      <c r="A4961" s="21"/>
      <c r="B4961" s="21" t="s">
        <v>11111</v>
      </c>
      <c r="D4961" s="25">
        <v>0.0</v>
      </c>
      <c r="E4961" s="27"/>
      <c r="F4961" s="25">
        <v>0.0</v>
      </c>
      <c r="G4961" s="27"/>
    </row>
    <row r="4962">
      <c r="A4962" s="21"/>
      <c r="B4962" s="21" t="s">
        <v>11112</v>
      </c>
      <c r="D4962" s="25">
        <v>0.0</v>
      </c>
      <c r="E4962" s="27"/>
      <c r="F4962" s="25">
        <v>0.0</v>
      </c>
      <c r="G4962" s="27"/>
    </row>
    <row r="4963">
      <c r="A4963" s="21"/>
      <c r="B4963" s="21" t="s">
        <v>11113</v>
      </c>
      <c r="D4963" s="25">
        <v>0.0</v>
      </c>
      <c r="E4963" s="27"/>
      <c r="F4963" s="25">
        <v>0.0</v>
      </c>
      <c r="G4963" s="27"/>
    </row>
    <row r="4964">
      <c r="A4964" s="21"/>
      <c r="B4964" s="21" t="s">
        <v>11114</v>
      </c>
      <c r="D4964" s="25">
        <v>0.0</v>
      </c>
      <c r="E4964" s="27"/>
      <c r="F4964" s="25">
        <v>0.0</v>
      </c>
      <c r="G4964" s="27"/>
    </row>
    <row r="4965">
      <c r="A4965" s="21"/>
      <c r="B4965" s="21" t="s">
        <v>11115</v>
      </c>
      <c r="D4965" s="25">
        <v>0.0</v>
      </c>
      <c r="E4965" s="27"/>
      <c r="F4965" s="25">
        <v>0.0</v>
      </c>
      <c r="G4965" s="27"/>
    </row>
    <row r="4966">
      <c r="A4966" s="21"/>
      <c r="B4966" s="21" t="s">
        <v>11116</v>
      </c>
      <c r="D4966" s="25">
        <v>0.0</v>
      </c>
      <c r="E4966" s="27"/>
      <c r="F4966" s="25">
        <v>0.0</v>
      </c>
      <c r="G4966" s="27"/>
    </row>
    <row r="4967">
      <c r="A4967" s="21"/>
      <c r="B4967" s="21" t="s">
        <v>11117</v>
      </c>
      <c r="D4967" s="25">
        <v>0.0</v>
      </c>
      <c r="E4967" s="27"/>
      <c r="F4967" s="25">
        <v>0.0</v>
      </c>
      <c r="G4967" s="27"/>
    </row>
    <row r="4968">
      <c r="A4968" s="21"/>
      <c r="B4968" s="21" t="s">
        <v>11118</v>
      </c>
      <c r="D4968" s="25">
        <v>0.0</v>
      </c>
      <c r="E4968" s="27"/>
      <c r="F4968" s="25">
        <v>0.0</v>
      </c>
      <c r="G4968" s="27"/>
    </row>
    <row r="4969">
      <c r="A4969" s="21"/>
      <c r="B4969" s="21" t="s">
        <v>11119</v>
      </c>
      <c r="D4969" s="25">
        <v>0.0</v>
      </c>
      <c r="E4969" s="27"/>
      <c r="F4969" s="25">
        <v>0.0</v>
      </c>
      <c r="G4969" s="27"/>
    </row>
    <row r="4970">
      <c r="A4970" s="21"/>
      <c r="B4970" s="21" t="s">
        <v>11120</v>
      </c>
      <c r="D4970" s="25">
        <v>0.0</v>
      </c>
      <c r="E4970" s="27"/>
      <c r="F4970" s="25">
        <v>0.0</v>
      </c>
      <c r="G4970" s="27"/>
    </row>
    <row r="4971">
      <c r="A4971" s="21"/>
      <c r="B4971" s="21" t="s">
        <v>11121</v>
      </c>
      <c r="D4971" s="25">
        <v>0.0</v>
      </c>
      <c r="E4971" s="27"/>
      <c r="F4971" s="25">
        <v>0.0</v>
      </c>
      <c r="G4971" s="27"/>
    </row>
    <row r="4972">
      <c r="A4972" s="21"/>
      <c r="B4972" s="21" t="s">
        <v>11122</v>
      </c>
      <c r="D4972" s="25">
        <v>0.0</v>
      </c>
      <c r="E4972" s="27"/>
      <c r="F4972" s="25">
        <v>0.0</v>
      </c>
      <c r="G4972" s="27"/>
    </row>
    <row r="4973">
      <c r="A4973" s="21"/>
      <c r="B4973" s="21" t="s">
        <v>11123</v>
      </c>
      <c r="D4973" s="25">
        <v>0.0</v>
      </c>
      <c r="E4973" s="27"/>
      <c r="F4973" s="25">
        <v>0.0</v>
      </c>
      <c r="G4973" s="27"/>
    </row>
    <row r="4974">
      <c r="A4974" s="21"/>
      <c r="B4974" s="21" t="s">
        <v>11124</v>
      </c>
      <c r="D4974" s="25">
        <v>0.0</v>
      </c>
      <c r="E4974" s="27"/>
      <c r="F4974" s="25">
        <v>0.0</v>
      </c>
      <c r="G4974" s="27"/>
    </row>
    <row r="4975">
      <c r="A4975" s="21"/>
      <c r="B4975" s="21" t="s">
        <v>11125</v>
      </c>
      <c r="D4975" s="25">
        <v>0.0</v>
      </c>
      <c r="E4975" s="27"/>
      <c r="F4975" s="25">
        <v>0.0</v>
      </c>
      <c r="G4975" s="27"/>
    </row>
    <row r="4976">
      <c r="A4976" s="21"/>
      <c r="B4976" s="21" t="s">
        <v>11126</v>
      </c>
      <c r="D4976" s="25">
        <v>0.0</v>
      </c>
      <c r="E4976" s="27"/>
      <c r="F4976" s="25">
        <v>0.0</v>
      </c>
      <c r="G4976" s="27"/>
    </row>
    <row r="4977">
      <c r="A4977" s="21"/>
      <c r="B4977" s="21" t="s">
        <v>11127</v>
      </c>
      <c r="D4977" s="25">
        <v>0.0</v>
      </c>
      <c r="E4977" s="27"/>
      <c r="F4977" s="25">
        <v>0.0</v>
      </c>
      <c r="G4977" s="27"/>
    </row>
    <row r="4978">
      <c r="A4978" s="21"/>
      <c r="B4978" s="21" t="s">
        <v>11128</v>
      </c>
      <c r="D4978" s="25">
        <v>0.0</v>
      </c>
      <c r="E4978" s="27"/>
      <c r="F4978" s="25">
        <v>0.0</v>
      </c>
      <c r="G4978" s="27"/>
    </row>
    <row r="4979">
      <c r="A4979" s="21"/>
      <c r="B4979" s="21" t="s">
        <v>11129</v>
      </c>
      <c r="D4979" s="25">
        <v>0.0</v>
      </c>
      <c r="E4979" s="27"/>
      <c r="F4979" s="25">
        <v>0.0</v>
      </c>
      <c r="G4979" s="27"/>
    </row>
    <row r="4980">
      <c r="A4980" s="21"/>
      <c r="B4980" s="21" t="s">
        <v>11130</v>
      </c>
      <c r="D4980" s="25">
        <v>0.0</v>
      </c>
      <c r="E4980" s="27"/>
      <c r="F4980" s="25">
        <v>0.0</v>
      </c>
      <c r="G4980" s="27"/>
    </row>
    <row r="4981">
      <c r="A4981" s="21"/>
      <c r="B4981" s="21" t="s">
        <v>11131</v>
      </c>
      <c r="D4981" s="25">
        <v>0.0</v>
      </c>
      <c r="E4981" s="27"/>
      <c r="F4981" s="25">
        <v>0.0</v>
      </c>
      <c r="G4981" s="27"/>
    </row>
    <row r="4982">
      <c r="A4982" s="21"/>
      <c r="B4982" s="21" t="s">
        <v>11132</v>
      </c>
      <c r="D4982" s="25">
        <v>0.0</v>
      </c>
      <c r="E4982" s="27"/>
      <c r="F4982" s="25">
        <v>0.0</v>
      </c>
      <c r="G4982" s="27"/>
    </row>
    <row r="4983">
      <c r="A4983" s="21"/>
      <c r="B4983" s="21" t="s">
        <v>11133</v>
      </c>
      <c r="D4983" s="25">
        <v>0.0</v>
      </c>
      <c r="E4983" s="27"/>
      <c r="F4983" s="25">
        <v>0.0</v>
      </c>
      <c r="G4983" s="27"/>
    </row>
    <row r="4984">
      <c r="A4984" s="21"/>
      <c r="B4984" s="21" t="s">
        <v>11134</v>
      </c>
      <c r="C4984" s="27"/>
      <c r="D4984" s="25">
        <v>0.0</v>
      </c>
      <c r="E4984" s="27"/>
      <c r="F4984" s="25">
        <v>0.0</v>
      </c>
      <c r="G4984" s="27"/>
    </row>
    <row r="4985">
      <c r="A4985" s="21"/>
      <c r="B4985" s="21" t="s">
        <v>11135</v>
      </c>
      <c r="D4985" s="25">
        <v>0.0</v>
      </c>
      <c r="E4985" s="27"/>
      <c r="F4985" s="25">
        <v>0.0</v>
      </c>
      <c r="G4985" s="27"/>
    </row>
    <row r="4986">
      <c r="A4986" s="21"/>
      <c r="B4986" s="21" t="s">
        <v>11136</v>
      </c>
      <c r="D4986" s="25">
        <v>0.0</v>
      </c>
      <c r="E4986" s="27"/>
      <c r="F4986" s="25">
        <v>0.0</v>
      </c>
      <c r="G4986" s="27"/>
    </row>
    <row r="4987">
      <c r="A4987" s="21"/>
      <c r="B4987" s="21" t="s">
        <v>11137</v>
      </c>
      <c r="D4987" s="25">
        <v>0.0</v>
      </c>
      <c r="E4987" s="27"/>
      <c r="F4987" s="25">
        <v>0.0</v>
      </c>
      <c r="G4987" s="27"/>
    </row>
    <row r="4988">
      <c r="A4988" s="21"/>
      <c r="B4988" s="21" t="s">
        <v>11138</v>
      </c>
      <c r="D4988" s="25">
        <v>0.0</v>
      </c>
      <c r="E4988" s="27"/>
      <c r="F4988" s="25">
        <v>0.0</v>
      </c>
      <c r="G4988" s="27"/>
    </row>
    <row r="4989">
      <c r="A4989" s="21"/>
      <c r="B4989" s="21" t="s">
        <v>11139</v>
      </c>
      <c r="D4989" s="25">
        <v>0.0</v>
      </c>
      <c r="E4989" s="27"/>
      <c r="F4989" s="25">
        <v>0.0</v>
      </c>
      <c r="G4989" s="27"/>
    </row>
    <row r="4990">
      <c r="A4990" s="21"/>
      <c r="B4990" s="21" t="s">
        <v>11140</v>
      </c>
      <c r="D4990" s="25">
        <v>0.0</v>
      </c>
      <c r="E4990" s="27"/>
      <c r="F4990" s="25">
        <v>0.0</v>
      </c>
      <c r="G4990" s="27"/>
    </row>
    <row r="4991">
      <c r="A4991" s="21"/>
      <c r="B4991" s="21" t="s">
        <v>11141</v>
      </c>
      <c r="D4991" s="25">
        <v>0.0</v>
      </c>
      <c r="E4991" s="27"/>
      <c r="F4991" s="25">
        <v>0.0</v>
      </c>
      <c r="G4991" s="27"/>
    </row>
    <row r="4992">
      <c r="A4992" s="21"/>
      <c r="B4992" s="21" t="s">
        <v>11142</v>
      </c>
      <c r="D4992" s="25">
        <v>0.0</v>
      </c>
      <c r="E4992" s="27"/>
      <c r="F4992" s="25">
        <v>0.0</v>
      </c>
      <c r="G4992" s="27"/>
    </row>
    <row r="4993">
      <c r="A4993" s="21"/>
      <c r="B4993" s="21" t="s">
        <v>11143</v>
      </c>
      <c r="D4993" s="25">
        <v>0.0</v>
      </c>
      <c r="E4993" s="27"/>
      <c r="F4993" s="25">
        <v>0.0</v>
      </c>
      <c r="G4993" s="27"/>
    </row>
    <row r="4994">
      <c r="A4994" s="21"/>
      <c r="B4994" s="21" t="s">
        <v>11144</v>
      </c>
      <c r="D4994" s="25">
        <v>0.0</v>
      </c>
      <c r="E4994" s="27"/>
      <c r="F4994" s="25">
        <v>0.0</v>
      </c>
      <c r="G4994" s="27"/>
    </row>
    <row r="4995">
      <c r="A4995" s="21"/>
      <c r="B4995" s="21" t="s">
        <v>11145</v>
      </c>
      <c r="D4995" s="25">
        <v>0.0</v>
      </c>
      <c r="E4995" s="27"/>
      <c r="F4995" s="25">
        <v>0.0</v>
      </c>
      <c r="G4995" s="27"/>
    </row>
    <row r="4996">
      <c r="A4996" s="21"/>
      <c r="B4996" s="21" t="s">
        <v>11146</v>
      </c>
      <c r="D4996" s="25">
        <v>0.0</v>
      </c>
      <c r="E4996" s="27"/>
      <c r="F4996" s="25">
        <v>0.0</v>
      </c>
      <c r="G4996" s="27"/>
    </row>
    <row r="4997">
      <c r="A4997" s="21"/>
      <c r="B4997" s="21" t="s">
        <v>11147</v>
      </c>
      <c r="D4997" s="25">
        <v>0.0</v>
      </c>
      <c r="E4997" s="27"/>
      <c r="F4997" s="25">
        <v>0.0</v>
      </c>
      <c r="G4997" s="27"/>
    </row>
    <row r="4998">
      <c r="A4998" s="21"/>
      <c r="B4998" s="21" t="s">
        <v>11148</v>
      </c>
      <c r="D4998" s="25">
        <v>0.0</v>
      </c>
      <c r="E4998" s="27"/>
      <c r="F4998" s="25">
        <v>0.0</v>
      </c>
      <c r="G4998" s="27"/>
    </row>
    <row r="4999">
      <c r="A4999" s="21"/>
      <c r="B4999" s="21" t="s">
        <v>11149</v>
      </c>
      <c r="D4999" s="25">
        <v>0.0</v>
      </c>
      <c r="E4999" s="27"/>
      <c r="F4999" s="25">
        <v>0.0</v>
      </c>
      <c r="G4999" s="27"/>
    </row>
    <row r="5000">
      <c r="A5000" s="21"/>
      <c r="B5000" s="21" t="s">
        <v>11150</v>
      </c>
      <c r="D5000" s="25">
        <v>0.0</v>
      </c>
      <c r="E5000" s="27"/>
      <c r="F5000" s="25">
        <v>0.0</v>
      </c>
      <c r="G5000" s="27"/>
    </row>
    <row r="5001">
      <c r="A5001" s="21"/>
      <c r="B5001" s="21" t="s">
        <v>11151</v>
      </c>
      <c r="D5001" s="25">
        <v>0.0</v>
      </c>
      <c r="E5001" s="27"/>
      <c r="F5001" s="25">
        <v>0.0</v>
      </c>
      <c r="G5001" s="27"/>
    </row>
    <row r="5002">
      <c r="A5002" s="21"/>
      <c r="B5002" s="21" t="s">
        <v>11152</v>
      </c>
      <c r="D5002" s="25">
        <v>0.0</v>
      </c>
      <c r="E5002" s="27"/>
      <c r="F5002" s="25">
        <v>0.0</v>
      </c>
      <c r="G5002" s="27"/>
    </row>
    <row r="5003">
      <c r="A5003" s="21"/>
      <c r="B5003" s="21" t="s">
        <v>11153</v>
      </c>
      <c r="D5003" s="25">
        <v>0.0</v>
      </c>
      <c r="E5003" s="27"/>
      <c r="F5003" s="25">
        <v>0.0</v>
      </c>
      <c r="G5003" s="27"/>
    </row>
    <row r="5004">
      <c r="A5004" s="21"/>
      <c r="B5004" s="21" t="s">
        <v>11154</v>
      </c>
      <c r="D5004" s="25">
        <v>0.0</v>
      </c>
      <c r="E5004" s="27"/>
      <c r="F5004" s="25">
        <v>0.0</v>
      </c>
      <c r="G5004" s="27"/>
    </row>
    <row r="5005">
      <c r="A5005" s="21"/>
      <c r="B5005" s="21" t="s">
        <v>11155</v>
      </c>
      <c r="D5005" s="25">
        <v>0.0</v>
      </c>
      <c r="E5005" s="27"/>
      <c r="F5005" s="25">
        <v>0.0</v>
      </c>
      <c r="G5005" s="27"/>
    </row>
    <row r="5006">
      <c r="A5006" s="21"/>
      <c r="B5006" s="21" t="s">
        <v>11156</v>
      </c>
      <c r="D5006" s="25">
        <v>0.0</v>
      </c>
      <c r="E5006" s="27"/>
      <c r="F5006" s="25">
        <v>0.0</v>
      </c>
      <c r="G5006" s="27"/>
    </row>
    <row r="5007">
      <c r="A5007" s="21"/>
      <c r="B5007" s="21" t="s">
        <v>11157</v>
      </c>
      <c r="D5007" s="25">
        <v>0.0</v>
      </c>
      <c r="E5007" s="27"/>
      <c r="F5007" s="25">
        <v>0.0</v>
      </c>
      <c r="G5007" s="27"/>
    </row>
    <row r="5008">
      <c r="A5008" s="21"/>
      <c r="B5008" s="21" t="s">
        <v>11158</v>
      </c>
      <c r="D5008" s="25">
        <v>0.0</v>
      </c>
      <c r="E5008" s="27"/>
      <c r="F5008" s="25">
        <v>0.0</v>
      </c>
      <c r="G5008" s="27"/>
    </row>
    <row r="5009">
      <c r="A5009" s="21"/>
      <c r="B5009" s="21" t="s">
        <v>11159</v>
      </c>
      <c r="D5009" s="25">
        <v>0.0</v>
      </c>
      <c r="E5009" s="27"/>
      <c r="F5009" s="25">
        <v>0.0</v>
      </c>
      <c r="G5009" s="27"/>
    </row>
    <row r="5010">
      <c r="A5010" s="21"/>
      <c r="B5010" s="21" t="s">
        <v>11160</v>
      </c>
      <c r="D5010" s="25">
        <v>0.0</v>
      </c>
      <c r="E5010" s="27"/>
      <c r="F5010" s="25">
        <v>0.0</v>
      </c>
      <c r="G5010" s="27"/>
    </row>
    <row r="5011">
      <c r="A5011" s="21"/>
      <c r="B5011" s="21" t="s">
        <v>11161</v>
      </c>
      <c r="D5011" s="25">
        <v>0.0</v>
      </c>
      <c r="E5011" s="27"/>
      <c r="F5011" s="25">
        <v>0.0</v>
      </c>
      <c r="G5011" s="27"/>
    </row>
    <row r="5012">
      <c r="A5012" s="21"/>
      <c r="B5012" s="21" t="s">
        <v>11162</v>
      </c>
      <c r="D5012" s="25">
        <v>0.0</v>
      </c>
      <c r="E5012" s="27"/>
      <c r="F5012" s="25">
        <v>0.0</v>
      </c>
      <c r="G5012" s="27"/>
    </row>
    <row r="5013">
      <c r="A5013" s="21"/>
      <c r="B5013" s="21" t="s">
        <v>11163</v>
      </c>
      <c r="D5013" s="25">
        <v>0.0</v>
      </c>
      <c r="E5013" s="27"/>
      <c r="F5013" s="25">
        <v>0.0</v>
      </c>
      <c r="G5013" s="27"/>
    </row>
    <row r="5014">
      <c r="A5014" s="21"/>
      <c r="B5014" s="21" t="s">
        <v>11164</v>
      </c>
      <c r="D5014" s="25">
        <v>0.0</v>
      </c>
      <c r="E5014" s="27"/>
      <c r="F5014" s="25">
        <v>0.0</v>
      </c>
      <c r="G5014" s="27"/>
    </row>
    <row r="5015">
      <c r="A5015" s="21"/>
      <c r="B5015" s="21" t="s">
        <v>11165</v>
      </c>
      <c r="D5015" s="25">
        <v>0.0</v>
      </c>
      <c r="E5015" s="27"/>
      <c r="F5015" s="25">
        <v>0.0</v>
      </c>
      <c r="G5015" s="27"/>
    </row>
    <row r="5016">
      <c r="A5016" s="21"/>
      <c r="B5016" s="21" t="s">
        <v>11166</v>
      </c>
      <c r="D5016" s="25">
        <v>0.0</v>
      </c>
      <c r="E5016" s="27"/>
      <c r="F5016" s="25">
        <v>0.0</v>
      </c>
      <c r="G5016" s="27"/>
    </row>
    <row r="5017">
      <c r="A5017" s="21"/>
      <c r="B5017" s="21" t="s">
        <v>11167</v>
      </c>
      <c r="D5017" s="25">
        <v>0.0</v>
      </c>
      <c r="E5017" s="27"/>
      <c r="F5017" s="25">
        <v>0.0</v>
      </c>
      <c r="G5017" s="27"/>
    </row>
    <row r="5018">
      <c r="A5018" s="21"/>
      <c r="B5018" s="21" t="s">
        <v>11168</v>
      </c>
      <c r="D5018" s="25">
        <v>0.0</v>
      </c>
      <c r="E5018" s="27"/>
      <c r="F5018" s="25">
        <v>0.0</v>
      </c>
      <c r="G5018" s="27"/>
    </row>
    <row r="5019">
      <c r="A5019" s="21"/>
      <c r="B5019" s="21" t="s">
        <v>11169</v>
      </c>
      <c r="D5019" s="25">
        <v>0.0</v>
      </c>
      <c r="E5019" s="27"/>
      <c r="F5019" s="25">
        <v>0.0</v>
      </c>
      <c r="G5019" s="27"/>
    </row>
    <row r="5020">
      <c r="A5020" s="21"/>
      <c r="B5020" s="21" t="s">
        <v>11170</v>
      </c>
      <c r="D5020" s="25">
        <v>0.0</v>
      </c>
      <c r="E5020" s="27"/>
      <c r="F5020" s="25">
        <v>0.0</v>
      </c>
      <c r="G5020" s="27"/>
    </row>
    <row r="5021">
      <c r="A5021" s="21"/>
      <c r="B5021" s="21" t="s">
        <v>11171</v>
      </c>
      <c r="D5021" s="25">
        <v>0.0</v>
      </c>
      <c r="E5021" s="27"/>
      <c r="F5021" s="25">
        <v>0.0</v>
      </c>
      <c r="G5021" s="27"/>
    </row>
    <row r="5022">
      <c r="A5022" s="21"/>
      <c r="B5022" s="21" t="s">
        <v>11172</v>
      </c>
      <c r="D5022" s="25">
        <v>0.0</v>
      </c>
      <c r="E5022" s="27"/>
      <c r="F5022" s="25">
        <v>0.0</v>
      </c>
      <c r="G5022" s="27"/>
    </row>
    <row r="5023">
      <c r="A5023" s="21"/>
      <c r="B5023" s="21" t="s">
        <v>11173</v>
      </c>
      <c r="D5023" s="25">
        <v>0.0</v>
      </c>
      <c r="E5023" s="27"/>
      <c r="F5023" s="25">
        <v>0.0</v>
      </c>
      <c r="G5023" s="27"/>
    </row>
    <row r="5024">
      <c r="A5024" s="21"/>
      <c r="B5024" s="21" t="s">
        <v>11174</v>
      </c>
      <c r="D5024" s="25">
        <v>0.0</v>
      </c>
      <c r="E5024" s="27"/>
      <c r="F5024" s="25">
        <v>0.0</v>
      </c>
      <c r="G5024" s="27"/>
    </row>
    <row r="5025">
      <c r="A5025" s="21"/>
      <c r="B5025" s="21" t="s">
        <v>6052</v>
      </c>
      <c r="D5025" s="25">
        <v>0.0</v>
      </c>
      <c r="E5025" s="27"/>
      <c r="F5025" s="25">
        <v>0.0</v>
      </c>
      <c r="G5025" s="27"/>
    </row>
    <row r="5026">
      <c r="A5026" s="21"/>
      <c r="B5026" s="21" t="s">
        <v>11175</v>
      </c>
      <c r="D5026" s="25">
        <v>0.0</v>
      </c>
      <c r="E5026" s="27"/>
      <c r="F5026" s="25">
        <v>0.0</v>
      </c>
      <c r="G5026" s="27"/>
    </row>
    <row r="5027">
      <c r="A5027" s="21"/>
      <c r="B5027" s="21" t="s">
        <v>11176</v>
      </c>
      <c r="D5027" s="25">
        <v>0.0</v>
      </c>
      <c r="E5027" s="27"/>
      <c r="F5027" s="25">
        <v>0.0</v>
      </c>
      <c r="G5027" s="27"/>
    </row>
    <row r="5028">
      <c r="A5028" s="21"/>
      <c r="B5028" s="21" t="s">
        <v>11177</v>
      </c>
      <c r="D5028" s="25">
        <v>0.0</v>
      </c>
      <c r="E5028" s="27"/>
      <c r="F5028" s="25">
        <v>0.0</v>
      </c>
      <c r="G5028" s="27"/>
    </row>
    <row r="5029">
      <c r="A5029" s="21"/>
      <c r="B5029" s="21" t="s">
        <v>11178</v>
      </c>
      <c r="D5029" s="25">
        <v>0.0</v>
      </c>
      <c r="E5029" s="27"/>
      <c r="F5029" s="25">
        <v>0.0</v>
      </c>
      <c r="G5029" s="27"/>
    </row>
    <row r="5030">
      <c r="A5030" s="21"/>
      <c r="B5030" s="21" t="s">
        <v>11179</v>
      </c>
      <c r="D5030" s="25">
        <v>0.0</v>
      </c>
      <c r="E5030" s="27"/>
      <c r="F5030" s="25">
        <v>5.91</v>
      </c>
      <c r="G5030" s="27"/>
    </row>
    <row r="5031">
      <c r="A5031" s="21"/>
      <c r="B5031" s="21" t="s">
        <v>11180</v>
      </c>
      <c r="D5031" s="25">
        <v>0.0</v>
      </c>
      <c r="E5031" s="27"/>
      <c r="F5031" s="25">
        <v>0.0</v>
      </c>
      <c r="G5031" s="27"/>
    </row>
    <row r="5032">
      <c r="A5032" s="21"/>
      <c r="B5032" s="21" t="s">
        <v>11181</v>
      </c>
      <c r="D5032" s="25">
        <v>0.0</v>
      </c>
      <c r="E5032" s="27"/>
      <c r="F5032" s="25">
        <v>0.0</v>
      </c>
      <c r="G5032" s="27"/>
    </row>
    <row r="5033">
      <c r="A5033" s="21"/>
      <c r="B5033" s="21" t="s">
        <v>11182</v>
      </c>
      <c r="D5033" s="25">
        <v>0.0</v>
      </c>
      <c r="E5033" s="27"/>
      <c r="F5033" s="25">
        <v>0.0</v>
      </c>
      <c r="G5033" s="27"/>
    </row>
    <row r="5034">
      <c r="A5034" s="21"/>
      <c r="B5034" s="21" t="s">
        <v>11183</v>
      </c>
      <c r="D5034" s="25">
        <v>0.0</v>
      </c>
      <c r="E5034" s="27"/>
      <c r="F5034" s="25">
        <v>0.0</v>
      </c>
      <c r="G5034" s="27"/>
    </row>
    <row r="5035">
      <c r="A5035" s="21"/>
      <c r="B5035" s="21" t="s">
        <v>11184</v>
      </c>
      <c r="D5035" s="25">
        <v>0.0</v>
      </c>
      <c r="E5035" s="27"/>
      <c r="F5035" s="25">
        <v>0.0</v>
      </c>
      <c r="G5035" s="27"/>
    </row>
    <row r="5036">
      <c r="A5036" s="21"/>
      <c r="B5036" s="21" t="s">
        <v>11185</v>
      </c>
      <c r="D5036" s="25">
        <v>0.0</v>
      </c>
      <c r="E5036" s="27"/>
      <c r="F5036" s="25">
        <v>0.0</v>
      </c>
      <c r="G5036" s="27"/>
    </row>
    <row r="5037">
      <c r="A5037" s="21"/>
      <c r="B5037" s="21" t="s">
        <v>11186</v>
      </c>
      <c r="D5037" s="25">
        <v>0.0</v>
      </c>
      <c r="E5037" s="27"/>
      <c r="F5037" s="25">
        <v>0.0</v>
      </c>
      <c r="G5037" s="27"/>
    </row>
    <row r="5038">
      <c r="A5038" s="21"/>
      <c r="B5038" s="21" t="s">
        <v>11187</v>
      </c>
      <c r="D5038" s="25">
        <v>0.0</v>
      </c>
      <c r="E5038" s="27"/>
      <c r="F5038" s="25">
        <v>0.0</v>
      </c>
      <c r="G5038" s="27"/>
    </row>
    <row r="5039">
      <c r="A5039" s="21"/>
      <c r="B5039" s="21" t="s">
        <v>11188</v>
      </c>
      <c r="D5039" s="25">
        <v>0.0</v>
      </c>
      <c r="E5039" s="27"/>
      <c r="F5039" s="25">
        <v>0.0</v>
      </c>
      <c r="G5039" s="27"/>
    </row>
    <row r="5040">
      <c r="A5040" s="21"/>
      <c r="B5040" s="21" t="s">
        <v>11189</v>
      </c>
      <c r="D5040" s="25">
        <v>0.0</v>
      </c>
      <c r="E5040" s="27"/>
      <c r="F5040" s="25">
        <v>0.0</v>
      </c>
      <c r="G5040" s="27"/>
    </row>
    <row r="5041">
      <c r="A5041" s="21"/>
      <c r="B5041" s="21" t="s">
        <v>11190</v>
      </c>
      <c r="D5041" s="25">
        <v>0.0</v>
      </c>
      <c r="E5041" s="27"/>
      <c r="F5041" s="25">
        <v>0.0</v>
      </c>
      <c r="G5041" s="27"/>
    </row>
    <row r="5042">
      <c r="A5042" s="21"/>
      <c r="B5042" s="21" t="s">
        <v>11191</v>
      </c>
      <c r="D5042" s="25">
        <v>0.0</v>
      </c>
      <c r="E5042" s="27"/>
      <c r="F5042" s="25">
        <v>0.0</v>
      </c>
      <c r="G5042" s="27"/>
    </row>
    <row r="5043">
      <c r="A5043" s="21"/>
      <c r="B5043" s="21" t="s">
        <v>11192</v>
      </c>
      <c r="D5043" s="25">
        <v>0.0</v>
      </c>
      <c r="E5043" s="27"/>
      <c r="F5043" s="25">
        <v>0.0</v>
      </c>
      <c r="G5043" s="27"/>
    </row>
    <row r="5044">
      <c r="A5044" s="21"/>
      <c r="B5044" s="21" t="s">
        <v>11193</v>
      </c>
      <c r="D5044" s="25">
        <v>0.0</v>
      </c>
      <c r="E5044" s="27"/>
      <c r="F5044" s="25">
        <v>0.0</v>
      </c>
      <c r="G5044" s="27"/>
    </row>
    <row r="5045">
      <c r="A5045" s="21"/>
      <c r="B5045" s="21" t="s">
        <v>11194</v>
      </c>
      <c r="D5045" s="25">
        <v>0.0</v>
      </c>
      <c r="E5045" s="27"/>
      <c r="F5045" s="25">
        <v>0.0</v>
      </c>
      <c r="G5045" s="27"/>
    </row>
    <row r="5046">
      <c r="A5046" s="21"/>
      <c r="B5046" s="21" t="s">
        <v>11195</v>
      </c>
      <c r="D5046" s="25">
        <v>0.0</v>
      </c>
      <c r="E5046" s="27"/>
      <c r="F5046" s="25">
        <v>0.0</v>
      </c>
      <c r="G5046" s="27"/>
    </row>
    <row r="5047">
      <c r="A5047" s="21"/>
      <c r="B5047" s="21" t="s">
        <v>11196</v>
      </c>
      <c r="D5047" s="25">
        <v>0.0</v>
      </c>
      <c r="E5047" s="27"/>
      <c r="F5047" s="25">
        <v>0.0</v>
      </c>
      <c r="G5047" s="27"/>
    </row>
    <row r="5048">
      <c r="A5048" s="21"/>
      <c r="B5048" s="21" t="s">
        <v>11197</v>
      </c>
      <c r="D5048" s="25">
        <v>0.0</v>
      </c>
      <c r="E5048" s="27"/>
      <c r="F5048" s="25">
        <v>0.0</v>
      </c>
      <c r="G5048" s="27"/>
    </row>
    <row r="5049">
      <c r="A5049" s="21"/>
      <c r="B5049" s="21" t="s">
        <v>11198</v>
      </c>
      <c r="D5049" s="25">
        <v>0.0</v>
      </c>
      <c r="E5049" s="27"/>
      <c r="F5049" s="25">
        <v>0.0</v>
      </c>
      <c r="G5049" s="27"/>
    </row>
    <row r="5050">
      <c r="A5050" s="21"/>
      <c r="B5050" s="21" t="s">
        <v>11199</v>
      </c>
      <c r="D5050" s="25">
        <v>0.0</v>
      </c>
      <c r="E5050" s="27"/>
      <c r="F5050" s="25">
        <v>0.0</v>
      </c>
      <c r="G5050" s="27"/>
    </row>
    <row r="5051">
      <c r="A5051" s="21"/>
      <c r="B5051" s="21" t="s">
        <v>11200</v>
      </c>
      <c r="D5051" s="25">
        <v>0.0</v>
      </c>
      <c r="E5051" s="27"/>
      <c r="F5051" s="25">
        <v>0.0</v>
      </c>
      <c r="G5051" s="27"/>
    </row>
    <row r="5052">
      <c r="A5052" s="21"/>
      <c r="B5052" s="21" t="s">
        <v>11201</v>
      </c>
      <c r="D5052" s="25">
        <v>0.0</v>
      </c>
      <c r="E5052" s="27"/>
      <c r="F5052" s="25">
        <v>0.0</v>
      </c>
      <c r="G5052" s="27"/>
    </row>
    <row r="5053">
      <c r="A5053" s="21"/>
      <c r="B5053" s="21" t="s">
        <v>11202</v>
      </c>
      <c r="D5053" s="25">
        <v>0.0</v>
      </c>
      <c r="E5053" s="27"/>
      <c r="F5053" s="25">
        <v>0.0</v>
      </c>
      <c r="G5053" s="27"/>
    </row>
    <row r="5054">
      <c r="A5054" s="21"/>
      <c r="B5054" s="21" t="s">
        <v>11203</v>
      </c>
      <c r="D5054" s="25">
        <v>0.0</v>
      </c>
      <c r="E5054" s="27"/>
      <c r="F5054" s="25">
        <v>0.0</v>
      </c>
      <c r="G5054" s="27"/>
    </row>
    <row r="5055">
      <c r="A5055" s="21"/>
      <c r="B5055" s="21" t="s">
        <v>11204</v>
      </c>
      <c r="D5055" s="25">
        <v>0.0</v>
      </c>
      <c r="E5055" s="27"/>
      <c r="F5055" s="25">
        <v>0.0</v>
      </c>
      <c r="G5055" s="27"/>
    </row>
    <row r="5056">
      <c r="A5056" s="21"/>
      <c r="B5056" s="21" t="s">
        <v>11205</v>
      </c>
      <c r="D5056" s="25">
        <v>0.0</v>
      </c>
      <c r="E5056" s="27"/>
      <c r="F5056" s="25">
        <v>0.0</v>
      </c>
      <c r="G5056" s="27"/>
    </row>
    <row r="5057">
      <c r="A5057" s="21"/>
      <c r="B5057" s="21" t="s">
        <v>11206</v>
      </c>
      <c r="D5057" s="25">
        <v>0.0</v>
      </c>
      <c r="E5057" s="27"/>
      <c r="F5057" s="25">
        <v>0.0</v>
      </c>
      <c r="G5057" s="27"/>
    </row>
    <row r="5058">
      <c r="A5058" s="21"/>
      <c r="B5058" s="21" t="s">
        <v>11207</v>
      </c>
      <c r="D5058" s="25">
        <v>0.0</v>
      </c>
      <c r="E5058" s="27"/>
      <c r="F5058" s="25">
        <v>0.0</v>
      </c>
      <c r="G5058" s="27"/>
    </row>
    <row r="5059">
      <c r="A5059" s="21"/>
      <c r="B5059" s="21" t="s">
        <v>11208</v>
      </c>
      <c r="D5059" s="25">
        <v>0.0</v>
      </c>
      <c r="E5059" s="27"/>
      <c r="F5059" s="25">
        <v>0.0</v>
      </c>
      <c r="G5059" s="27"/>
    </row>
    <row r="5060">
      <c r="A5060" s="21"/>
      <c r="B5060" s="21" t="s">
        <v>11209</v>
      </c>
      <c r="D5060" s="25">
        <v>0.0</v>
      </c>
      <c r="E5060" s="27"/>
      <c r="F5060" s="25">
        <v>0.0</v>
      </c>
      <c r="G5060" s="27"/>
    </row>
    <row r="5061">
      <c r="A5061" s="21"/>
      <c r="B5061" s="21" t="s">
        <v>11210</v>
      </c>
      <c r="D5061" s="25">
        <v>0.0</v>
      </c>
      <c r="E5061" s="27"/>
      <c r="F5061" s="25">
        <v>0.0</v>
      </c>
      <c r="G5061" s="27"/>
    </row>
    <row r="5062">
      <c r="A5062" s="21"/>
      <c r="B5062" s="21" t="s">
        <v>11211</v>
      </c>
      <c r="D5062" s="25">
        <v>0.0</v>
      </c>
      <c r="E5062" s="27"/>
      <c r="F5062" s="25">
        <v>0.0</v>
      </c>
      <c r="G5062" s="27"/>
    </row>
    <row r="5063">
      <c r="A5063" s="21"/>
      <c r="B5063" s="21" t="s">
        <v>11212</v>
      </c>
      <c r="D5063" s="25">
        <v>0.0</v>
      </c>
      <c r="E5063" s="27"/>
      <c r="F5063" s="25">
        <v>0.0</v>
      </c>
      <c r="G5063" s="27"/>
    </row>
    <row r="5064">
      <c r="A5064" s="21"/>
      <c r="B5064" s="21" t="s">
        <v>11213</v>
      </c>
      <c r="D5064" s="25">
        <v>0.0</v>
      </c>
      <c r="E5064" s="27"/>
      <c r="F5064" s="25">
        <v>0.0</v>
      </c>
      <c r="G5064" s="27"/>
    </row>
    <row r="5065">
      <c r="A5065" s="21"/>
      <c r="B5065" s="21" t="s">
        <v>11214</v>
      </c>
      <c r="D5065" s="25">
        <v>0.0</v>
      </c>
      <c r="E5065" s="27"/>
      <c r="F5065" s="25">
        <v>0.0</v>
      </c>
      <c r="G5065" s="27"/>
    </row>
    <row r="5066">
      <c r="A5066" s="21"/>
      <c r="B5066" s="21" t="s">
        <v>11215</v>
      </c>
      <c r="D5066" s="25">
        <v>0.0</v>
      </c>
      <c r="E5066" s="27"/>
      <c r="F5066" s="25">
        <v>0.0</v>
      </c>
      <c r="G5066" s="27"/>
    </row>
    <row r="5067">
      <c r="A5067" s="21"/>
      <c r="B5067" s="21" t="s">
        <v>11216</v>
      </c>
      <c r="D5067" s="25">
        <v>0.0</v>
      </c>
      <c r="E5067" s="27"/>
      <c r="F5067" s="25">
        <v>0.0</v>
      </c>
      <c r="G5067" s="27"/>
    </row>
    <row r="5068">
      <c r="A5068" s="21"/>
      <c r="B5068" s="21" t="s">
        <v>11217</v>
      </c>
      <c r="D5068" s="25">
        <v>0.0</v>
      </c>
      <c r="E5068" s="27"/>
      <c r="F5068" s="25">
        <v>0.0</v>
      </c>
      <c r="G5068" s="27"/>
    </row>
    <row r="5069">
      <c r="A5069" s="21"/>
      <c r="B5069" s="21" t="s">
        <v>11218</v>
      </c>
      <c r="D5069" s="25">
        <v>0.0</v>
      </c>
      <c r="E5069" s="27"/>
      <c r="F5069" s="25">
        <v>0.0</v>
      </c>
      <c r="G5069" s="27"/>
    </row>
    <row r="5070">
      <c r="A5070" s="21"/>
      <c r="B5070" s="21" t="s">
        <v>11219</v>
      </c>
      <c r="D5070" s="25">
        <v>0.0</v>
      </c>
      <c r="E5070" s="27"/>
      <c r="F5070" s="25">
        <v>0.0</v>
      </c>
      <c r="G5070" s="27"/>
    </row>
    <row r="5071">
      <c r="A5071" s="21"/>
      <c r="B5071" s="21" t="s">
        <v>11220</v>
      </c>
      <c r="D5071" s="25">
        <v>0.0</v>
      </c>
      <c r="E5071" s="27"/>
      <c r="F5071" s="25">
        <v>2.22</v>
      </c>
      <c r="G5071" s="27"/>
    </row>
    <row r="5072">
      <c r="A5072" s="21"/>
      <c r="B5072" s="21" t="s">
        <v>11221</v>
      </c>
      <c r="D5072" s="25">
        <v>0.0</v>
      </c>
      <c r="E5072" s="27"/>
      <c r="F5072" s="25">
        <v>0.0</v>
      </c>
      <c r="G5072" s="27"/>
    </row>
    <row r="5073">
      <c r="A5073" s="21"/>
      <c r="B5073" s="21" t="s">
        <v>11222</v>
      </c>
      <c r="D5073" s="25">
        <v>0.0</v>
      </c>
      <c r="E5073" s="27"/>
      <c r="F5073" s="25">
        <v>0.0</v>
      </c>
      <c r="G5073" s="27"/>
    </row>
    <row r="5074">
      <c r="A5074" s="21"/>
      <c r="B5074" s="21" t="s">
        <v>11223</v>
      </c>
      <c r="D5074" s="25">
        <v>0.0</v>
      </c>
      <c r="E5074" s="27"/>
      <c r="F5074" s="25">
        <v>0.0</v>
      </c>
      <c r="G5074" s="27"/>
    </row>
    <row r="5075">
      <c r="A5075" s="21"/>
      <c r="B5075" s="21" t="s">
        <v>6053</v>
      </c>
      <c r="D5075" s="25">
        <v>0.0</v>
      </c>
      <c r="E5075" s="27"/>
      <c r="F5075" s="25">
        <v>0.0</v>
      </c>
      <c r="G5075" s="27"/>
    </row>
    <row r="5076">
      <c r="A5076" s="21"/>
      <c r="B5076" s="21" t="s">
        <v>11224</v>
      </c>
      <c r="D5076" s="25">
        <v>0.0</v>
      </c>
      <c r="E5076" s="27"/>
      <c r="F5076" s="25">
        <v>0.0</v>
      </c>
      <c r="G5076" s="27"/>
    </row>
    <row r="5077">
      <c r="A5077" s="21"/>
      <c r="B5077" s="21" t="s">
        <v>11225</v>
      </c>
      <c r="D5077" s="25">
        <v>0.0</v>
      </c>
      <c r="E5077" s="27"/>
      <c r="F5077" s="25">
        <v>0.0</v>
      </c>
      <c r="G5077" s="27"/>
    </row>
    <row r="5078">
      <c r="A5078" s="21"/>
      <c r="B5078" s="21" t="s">
        <v>11226</v>
      </c>
      <c r="D5078" s="25">
        <v>0.0</v>
      </c>
      <c r="E5078" s="27"/>
      <c r="F5078" s="25">
        <v>0.0</v>
      </c>
      <c r="G5078" s="27"/>
    </row>
    <row r="5079">
      <c r="A5079" s="21"/>
      <c r="B5079" s="21" t="s">
        <v>11227</v>
      </c>
      <c r="D5079" s="25">
        <v>0.0</v>
      </c>
      <c r="E5079" s="27"/>
      <c r="F5079" s="25">
        <v>0.0</v>
      </c>
      <c r="G5079" s="27"/>
    </row>
    <row r="5080">
      <c r="A5080" s="21"/>
      <c r="B5080" s="21" t="s">
        <v>11228</v>
      </c>
      <c r="D5080" s="25">
        <v>0.0</v>
      </c>
      <c r="E5080" s="27"/>
      <c r="F5080" s="25">
        <v>0.0</v>
      </c>
      <c r="G5080" s="27"/>
    </row>
    <row r="5081">
      <c r="A5081" s="21"/>
      <c r="B5081" s="21" t="s">
        <v>5310</v>
      </c>
      <c r="D5081" s="25">
        <v>0.0</v>
      </c>
      <c r="E5081" s="27"/>
      <c r="F5081" s="25">
        <v>0.0</v>
      </c>
      <c r="G5081" s="27"/>
    </row>
    <row r="5082">
      <c r="A5082" s="21"/>
      <c r="B5082" s="21" t="s">
        <v>11229</v>
      </c>
      <c r="D5082" s="25">
        <v>0.0</v>
      </c>
      <c r="E5082" s="27"/>
      <c r="F5082" s="25">
        <v>0.0</v>
      </c>
      <c r="G5082" s="27"/>
    </row>
    <row r="5083">
      <c r="A5083" s="21"/>
      <c r="B5083" s="21" t="s">
        <v>11230</v>
      </c>
      <c r="D5083" s="25">
        <v>0.0</v>
      </c>
      <c r="E5083" s="27"/>
      <c r="F5083" s="25">
        <v>0.0</v>
      </c>
      <c r="G5083" s="27"/>
    </row>
    <row r="5084">
      <c r="A5084" s="21"/>
      <c r="B5084" s="21" t="s">
        <v>11231</v>
      </c>
      <c r="D5084" s="25">
        <v>0.0</v>
      </c>
      <c r="E5084" s="27"/>
      <c r="F5084" s="25">
        <v>0.0</v>
      </c>
      <c r="G5084" s="27"/>
    </row>
    <row r="5085">
      <c r="A5085" s="21"/>
      <c r="B5085" s="21" t="s">
        <v>11232</v>
      </c>
      <c r="D5085" s="25">
        <v>0.0</v>
      </c>
      <c r="E5085" s="27"/>
      <c r="F5085" s="25">
        <v>0.0</v>
      </c>
      <c r="G5085" s="27"/>
    </row>
    <row r="5086">
      <c r="A5086" s="21"/>
      <c r="B5086" s="21" t="s">
        <v>11233</v>
      </c>
      <c r="D5086" s="25">
        <v>0.0</v>
      </c>
      <c r="E5086" s="27"/>
      <c r="F5086" s="25">
        <v>0.0</v>
      </c>
      <c r="G5086" s="27"/>
    </row>
    <row r="5087">
      <c r="A5087" s="21"/>
      <c r="B5087" s="21" t="s">
        <v>5316</v>
      </c>
      <c r="D5087" s="25">
        <v>0.0</v>
      </c>
      <c r="E5087" s="27"/>
      <c r="F5087" s="25">
        <v>0.0</v>
      </c>
      <c r="G5087" s="27"/>
    </row>
    <row r="5088">
      <c r="A5088" s="21"/>
      <c r="B5088" s="21" t="s">
        <v>5317</v>
      </c>
      <c r="D5088" s="25">
        <v>0.0</v>
      </c>
      <c r="E5088" s="27"/>
      <c r="F5088" s="25">
        <v>0.0</v>
      </c>
      <c r="G5088" s="27"/>
    </row>
    <row r="5089">
      <c r="A5089" s="21"/>
      <c r="B5089" s="21" t="s">
        <v>11234</v>
      </c>
      <c r="D5089" s="25">
        <v>0.0</v>
      </c>
      <c r="E5089" s="27"/>
      <c r="F5089" s="25">
        <v>0.0</v>
      </c>
      <c r="G5089" s="27"/>
    </row>
    <row r="5090">
      <c r="A5090" s="21"/>
      <c r="B5090" s="21" t="s">
        <v>5319</v>
      </c>
      <c r="D5090" s="25">
        <v>0.0</v>
      </c>
      <c r="E5090" s="27"/>
      <c r="F5090" s="25">
        <v>0.0</v>
      </c>
      <c r="G5090" s="27"/>
    </row>
    <row r="5091">
      <c r="A5091" s="21"/>
      <c r="B5091" s="21" t="s">
        <v>5320</v>
      </c>
      <c r="D5091" s="25">
        <v>0.0</v>
      </c>
      <c r="E5091" s="27"/>
      <c r="F5091" s="25">
        <v>0.0</v>
      </c>
      <c r="G5091" s="27"/>
    </row>
    <row r="5092">
      <c r="A5092" s="21"/>
      <c r="B5092" s="21" t="s">
        <v>5321</v>
      </c>
      <c r="D5092" s="25">
        <v>0.0</v>
      </c>
      <c r="E5092" s="27"/>
      <c r="F5092" s="25">
        <v>0.0</v>
      </c>
      <c r="G5092" s="27"/>
    </row>
    <row r="5093">
      <c r="A5093" s="21"/>
      <c r="B5093" s="21" t="s">
        <v>11235</v>
      </c>
      <c r="D5093" s="25">
        <v>0.0</v>
      </c>
      <c r="E5093" s="27"/>
      <c r="F5093" s="25">
        <v>0.0</v>
      </c>
      <c r="G5093" s="27"/>
    </row>
    <row r="5094">
      <c r="A5094" s="21"/>
      <c r="B5094" s="21" t="s">
        <v>11236</v>
      </c>
      <c r="D5094" s="25">
        <v>0.0</v>
      </c>
      <c r="E5094" s="27"/>
      <c r="F5094" s="25">
        <v>0.0</v>
      </c>
      <c r="G5094" s="27"/>
    </row>
    <row r="5095">
      <c r="A5095" s="21"/>
      <c r="B5095" s="21" t="s">
        <v>11237</v>
      </c>
      <c r="D5095" s="25">
        <v>0.0</v>
      </c>
      <c r="E5095" s="27"/>
      <c r="F5095" s="25">
        <v>0.0</v>
      </c>
      <c r="G5095" s="27"/>
    </row>
    <row r="5096">
      <c r="A5096" s="21"/>
      <c r="B5096" s="21" t="s">
        <v>11238</v>
      </c>
      <c r="D5096" s="25">
        <v>0.0</v>
      </c>
      <c r="E5096" s="27"/>
      <c r="F5096" s="25">
        <v>0.0</v>
      </c>
      <c r="G5096" s="27"/>
    </row>
    <row r="5097">
      <c r="A5097" s="21"/>
      <c r="B5097" s="21" t="s">
        <v>11239</v>
      </c>
      <c r="D5097" s="25">
        <v>0.0</v>
      </c>
      <c r="E5097" s="27"/>
      <c r="F5097" s="25">
        <v>0.0</v>
      </c>
      <c r="G5097" s="27"/>
    </row>
    <row r="5098">
      <c r="A5098" s="21"/>
      <c r="B5098" s="21" t="s">
        <v>11240</v>
      </c>
      <c r="D5098" s="25">
        <v>0.0</v>
      </c>
      <c r="E5098" s="27"/>
      <c r="F5098" s="25">
        <v>0.0</v>
      </c>
      <c r="G5098" s="27"/>
    </row>
    <row r="5099">
      <c r="A5099" s="21"/>
      <c r="B5099" s="21" t="s">
        <v>11241</v>
      </c>
      <c r="D5099" s="25">
        <v>0.0</v>
      </c>
      <c r="E5099" s="27"/>
      <c r="F5099" s="25">
        <v>0.0</v>
      </c>
      <c r="G5099" s="27"/>
    </row>
    <row r="5100">
      <c r="A5100" s="21"/>
      <c r="B5100" s="21" t="s">
        <v>11242</v>
      </c>
      <c r="D5100" s="25">
        <v>0.0</v>
      </c>
      <c r="E5100" s="27"/>
      <c r="F5100" s="25">
        <v>0.0</v>
      </c>
      <c r="G5100" s="27"/>
    </row>
    <row r="5101">
      <c r="A5101" s="21"/>
      <c r="B5101" s="21" t="s">
        <v>11243</v>
      </c>
      <c r="D5101" s="25">
        <v>0.0</v>
      </c>
      <c r="E5101" s="27"/>
      <c r="F5101" s="25">
        <v>0.0</v>
      </c>
      <c r="G5101" s="27"/>
    </row>
    <row r="5102">
      <c r="A5102" s="21"/>
      <c r="B5102" s="21" t="s">
        <v>11244</v>
      </c>
      <c r="D5102" s="25">
        <v>0.0</v>
      </c>
      <c r="E5102" s="27"/>
      <c r="F5102" s="25">
        <v>0.0</v>
      </c>
      <c r="G5102" s="27"/>
    </row>
    <row r="5103">
      <c r="A5103" s="21"/>
      <c r="B5103" s="21" t="s">
        <v>11245</v>
      </c>
      <c r="D5103" s="25">
        <v>0.0</v>
      </c>
      <c r="E5103" s="27"/>
      <c r="F5103" s="25">
        <v>0.0</v>
      </c>
      <c r="G5103" s="27"/>
    </row>
    <row r="5104">
      <c r="A5104" s="21"/>
      <c r="B5104" s="21" t="s">
        <v>11246</v>
      </c>
      <c r="D5104" s="25">
        <v>0.0</v>
      </c>
      <c r="E5104" s="27"/>
      <c r="F5104" s="25">
        <v>0.0</v>
      </c>
      <c r="G5104" s="27"/>
    </row>
    <row r="5105">
      <c r="A5105" s="21"/>
      <c r="B5105" s="21" t="s">
        <v>11247</v>
      </c>
      <c r="D5105" s="25">
        <v>0.0</v>
      </c>
      <c r="E5105" s="27"/>
      <c r="F5105" s="25">
        <v>0.0</v>
      </c>
      <c r="G5105" s="27"/>
    </row>
    <row r="5106">
      <c r="A5106" s="21"/>
      <c r="B5106" s="21" t="s">
        <v>11248</v>
      </c>
      <c r="D5106" s="25">
        <v>0.0</v>
      </c>
      <c r="E5106" s="27"/>
      <c r="F5106" s="25">
        <v>0.0</v>
      </c>
      <c r="G5106" s="27"/>
    </row>
    <row r="5107">
      <c r="A5107" s="21"/>
      <c r="B5107" s="21" t="s">
        <v>11249</v>
      </c>
      <c r="D5107" s="25">
        <v>0.0</v>
      </c>
      <c r="E5107" s="27"/>
      <c r="F5107" s="25">
        <v>0.0</v>
      </c>
      <c r="G5107" s="27"/>
    </row>
    <row r="5108">
      <c r="A5108" s="21"/>
      <c r="B5108" s="21" t="s">
        <v>11250</v>
      </c>
      <c r="D5108" s="25">
        <v>0.0</v>
      </c>
      <c r="E5108" s="27"/>
      <c r="F5108" s="25">
        <v>0.0</v>
      </c>
      <c r="G5108" s="27"/>
    </row>
    <row r="5109">
      <c r="A5109" s="21"/>
      <c r="B5109" s="21" t="s">
        <v>11251</v>
      </c>
      <c r="D5109" s="25">
        <v>0.0</v>
      </c>
      <c r="E5109" s="27"/>
      <c r="F5109" s="25">
        <v>0.0</v>
      </c>
      <c r="G5109" s="27"/>
    </row>
    <row r="5110">
      <c r="A5110" s="21"/>
      <c r="B5110" s="21" t="s">
        <v>11252</v>
      </c>
      <c r="D5110" s="25">
        <v>0.0</v>
      </c>
      <c r="E5110" s="27"/>
      <c r="F5110" s="25">
        <v>0.0</v>
      </c>
      <c r="G5110" s="27"/>
    </row>
    <row r="5111">
      <c r="A5111" s="21"/>
      <c r="B5111" s="21" t="s">
        <v>11253</v>
      </c>
      <c r="D5111" s="25">
        <v>0.0</v>
      </c>
      <c r="E5111" s="27"/>
      <c r="F5111" s="25">
        <v>0.0</v>
      </c>
      <c r="G5111" s="27"/>
    </row>
    <row r="5112">
      <c r="A5112" s="21"/>
      <c r="B5112" s="21" t="s">
        <v>11254</v>
      </c>
      <c r="D5112" s="25">
        <v>0.0</v>
      </c>
      <c r="E5112" s="27"/>
      <c r="F5112" s="25">
        <v>0.0</v>
      </c>
      <c r="G5112" s="27"/>
    </row>
    <row r="5113">
      <c r="A5113" s="21"/>
      <c r="B5113" s="21" t="s">
        <v>11255</v>
      </c>
      <c r="D5113" s="25">
        <v>0.0</v>
      </c>
      <c r="E5113" s="27"/>
      <c r="F5113" s="25">
        <v>0.0</v>
      </c>
      <c r="G5113" s="27"/>
    </row>
    <row r="5114">
      <c r="A5114" s="21"/>
      <c r="B5114" s="21" t="s">
        <v>11256</v>
      </c>
      <c r="D5114" s="25">
        <v>0.0</v>
      </c>
      <c r="E5114" s="27"/>
      <c r="F5114" s="25">
        <v>0.0</v>
      </c>
      <c r="G5114" s="27"/>
    </row>
    <row r="5115">
      <c r="A5115" s="21"/>
      <c r="B5115" s="21" t="s">
        <v>11257</v>
      </c>
      <c r="D5115" s="25">
        <v>0.0</v>
      </c>
      <c r="E5115" s="27"/>
      <c r="F5115" s="25">
        <v>0.0</v>
      </c>
      <c r="G5115" s="27"/>
    </row>
    <row r="5116">
      <c r="A5116" s="21"/>
      <c r="B5116" s="21" t="s">
        <v>11258</v>
      </c>
      <c r="D5116" s="25">
        <v>0.0</v>
      </c>
      <c r="E5116" s="27"/>
      <c r="F5116" s="25">
        <v>0.0</v>
      </c>
      <c r="G5116" s="27"/>
    </row>
    <row r="5117">
      <c r="A5117" s="21"/>
      <c r="B5117" s="21" t="s">
        <v>11259</v>
      </c>
      <c r="D5117" s="25">
        <v>0.0</v>
      </c>
      <c r="E5117" s="27"/>
      <c r="F5117" s="25">
        <v>4.24</v>
      </c>
      <c r="G5117" s="27"/>
    </row>
    <row r="5118">
      <c r="A5118" s="21"/>
      <c r="B5118" s="21" t="s">
        <v>11260</v>
      </c>
      <c r="D5118" s="25">
        <v>0.0</v>
      </c>
      <c r="E5118" s="27"/>
      <c r="F5118" s="25">
        <v>0.0</v>
      </c>
      <c r="G5118" s="27"/>
    </row>
    <row r="5119">
      <c r="A5119" s="21"/>
      <c r="B5119" s="21" t="s">
        <v>11261</v>
      </c>
      <c r="D5119" s="25">
        <v>0.0</v>
      </c>
      <c r="E5119" s="27"/>
      <c r="F5119" s="25">
        <v>0.0</v>
      </c>
      <c r="G5119" s="27"/>
    </row>
    <row r="5120">
      <c r="A5120" s="21"/>
      <c r="B5120" s="21" t="s">
        <v>11262</v>
      </c>
      <c r="D5120" s="25">
        <v>0.0</v>
      </c>
      <c r="E5120" s="27"/>
      <c r="F5120" s="25">
        <v>0.0</v>
      </c>
      <c r="G5120" s="27"/>
    </row>
    <row r="5121">
      <c r="A5121" s="21"/>
      <c r="B5121" s="21" t="s">
        <v>11263</v>
      </c>
      <c r="D5121" s="25">
        <v>0.0</v>
      </c>
      <c r="E5121" s="27"/>
      <c r="F5121" s="25">
        <v>0.0</v>
      </c>
      <c r="G5121" s="27"/>
    </row>
    <row r="5122">
      <c r="A5122" s="21"/>
      <c r="B5122" s="21" t="s">
        <v>11264</v>
      </c>
      <c r="D5122" s="25">
        <v>0.0</v>
      </c>
      <c r="E5122" s="27"/>
      <c r="F5122" s="25">
        <v>0.0</v>
      </c>
      <c r="G5122" s="27"/>
    </row>
    <row r="5123">
      <c r="A5123" s="21"/>
      <c r="B5123" s="21" t="s">
        <v>11265</v>
      </c>
      <c r="D5123" s="25">
        <v>0.0</v>
      </c>
      <c r="E5123" s="27"/>
      <c r="F5123" s="25">
        <v>0.0</v>
      </c>
      <c r="G5123" s="27"/>
    </row>
    <row r="5124">
      <c r="A5124" s="21"/>
      <c r="B5124" s="21" t="s">
        <v>11266</v>
      </c>
      <c r="D5124" s="25">
        <v>0.0</v>
      </c>
      <c r="E5124" s="27"/>
      <c r="F5124" s="25">
        <v>0.0</v>
      </c>
      <c r="G5124" s="27"/>
    </row>
    <row r="5125">
      <c r="A5125" s="21"/>
      <c r="B5125" s="21" t="s">
        <v>11267</v>
      </c>
      <c r="D5125" s="25">
        <v>0.0</v>
      </c>
      <c r="E5125" s="27"/>
      <c r="F5125" s="25">
        <v>0.0</v>
      </c>
      <c r="G5125" s="27"/>
    </row>
    <row r="5126">
      <c r="A5126" s="21"/>
      <c r="B5126" s="21" t="s">
        <v>11268</v>
      </c>
      <c r="D5126" s="25">
        <v>0.0</v>
      </c>
      <c r="E5126" s="27"/>
      <c r="F5126" s="25">
        <v>0.0</v>
      </c>
      <c r="G5126" s="27"/>
    </row>
    <row r="5127">
      <c r="A5127" s="21"/>
      <c r="B5127" s="21" t="s">
        <v>11269</v>
      </c>
      <c r="D5127" s="25">
        <v>0.0</v>
      </c>
      <c r="E5127" s="27"/>
      <c r="F5127" s="25">
        <v>0.0</v>
      </c>
      <c r="G5127" s="27"/>
    </row>
    <row r="5128">
      <c r="A5128" s="21"/>
      <c r="B5128" s="21" t="s">
        <v>11270</v>
      </c>
      <c r="D5128" s="25">
        <v>0.0</v>
      </c>
      <c r="E5128" s="27"/>
      <c r="F5128" s="25">
        <v>0.0</v>
      </c>
      <c r="G5128" s="27"/>
    </row>
    <row r="5129">
      <c r="A5129" s="21"/>
      <c r="B5129" s="21" t="s">
        <v>11271</v>
      </c>
      <c r="D5129" s="25">
        <v>0.0</v>
      </c>
      <c r="E5129" s="27"/>
      <c r="F5129" s="25">
        <v>0.0</v>
      </c>
      <c r="G5129" s="27"/>
    </row>
    <row r="5130">
      <c r="A5130" s="21"/>
      <c r="B5130" s="21" t="s">
        <v>11272</v>
      </c>
      <c r="D5130" s="25">
        <v>0.0</v>
      </c>
      <c r="E5130" s="27"/>
      <c r="F5130" s="25">
        <v>0.0</v>
      </c>
      <c r="G5130" s="27"/>
    </row>
    <row r="5131">
      <c r="A5131" s="21"/>
      <c r="B5131" s="21" t="s">
        <v>11273</v>
      </c>
      <c r="D5131" s="25">
        <v>0.0</v>
      </c>
      <c r="E5131" s="27"/>
      <c r="F5131" s="25">
        <v>0.0</v>
      </c>
      <c r="G5131" s="27"/>
    </row>
    <row r="5132">
      <c r="A5132" s="21"/>
      <c r="B5132" s="21" t="s">
        <v>11274</v>
      </c>
      <c r="D5132" s="25">
        <v>0.0</v>
      </c>
      <c r="E5132" s="27"/>
      <c r="F5132" s="25">
        <v>0.0</v>
      </c>
      <c r="G5132" s="27"/>
    </row>
    <row r="5133">
      <c r="A5133" s="21"/>
      <c r="B5133" s="21" t="s">
        <v>11275</v>
      </c>
      <c r="D5133" s="25">
        <v>0.0</v>
      </c>
      <c r="E5133" s="27"/>
      <c r="F5133" s="25">
        <v>0.0</v>
      </c>
      <c r="G5133" s="27"/>
    </row>
    <row r="5134">
      <c r="A5134" s="21"/>
      <c r="B5134" s="21" t="s">
        <v>11276</v>
      </c>
      <c r="D5134" s="25">
        <v>0.0</v>
      </c>
      <c r="E5134" s="27"/>
      <c r="F5134" s="25">
        <v>0.0</v>
      </c>
      <c r="G5134" s="27"/>
    </row>
    <row r="5135">
      <c r="A5135" s="21"/>
      <c r="B5135" s="21" t="s">
        <v>11277</v>
      </c>
      <c r="D5135" s="25">
        <v>0.0</v>
      </c>
      <c r="E5135" s="27"/>
      <c r="F5135" s="25">
        <v>5.48</v>
      </c>
      <c r="G5135" s="27"/>
    </row>
    <row r="5136">
      <c r="A5136" s="21"/>
      <c r="B5136" s="21" t="s">
        <v>11278</v>
      </c>
      <c r="D5136" s="25">
        <v>0.0</v>
      </c>
      <c r="E5136" s="27"/>
      <c r="F5136" s="25">
        <v>0.0</v>
      </c>
      <c r="G5136" s="27"/>
    </row>
    <row r="5137">
      <c r="A5137" s="21"/>
      <c r="B5137" s="21" t="s">
        <v>11279</v>
      </c>
      <c r="D5137" s="25">
        <v>0.0</v>
      </c>
      <c r="E5137" s="27"/>
      <c r="F5137" s="25">
        <v>0.0</v>
      </c>
      <c r="G5137" s="27"/>
    </row>
    <row r="5138">
      <c r="A5138" s="21"/>
      <c r="B5138" s="21" t="s">
        <v>11280</v>
      </c>
      <c r="D5138" s="25">
        <v>0.0</v>
      </c>
      <c r="E5138" s="27"/>
      <c r="F5138" s="25">
        <v>0.0</v>
      </c>
      <c r="G5138" s="27"/>
    </row>
    <row r="5139">
      <c r="A5139" s="21"/>
      <c r="B5139" s="21" t="s">
        <v>11281</v>
      </c>
      <c r="D5139" s="25">
        <v>0.0</v>
      </c>
      <c r="E5139" s="27"/>
      <c r="F5139" s="25">
        <v>0.0</v>
      </c>
      <c r="G5139" s="27"/>
    </row>
    <row r="5140">
      <c r="A5140" s="21"/>
      <c r="B5140" s="21" t="s">
        <v>11282</v>
      </c>
      <c r="D5140" s="25">
        <v>0.0</v>
      </c>
      <c r="E5140" s="27"/>
      <c r="F5140" s="25">
        <v>0.0</v>
      </c>
      <c r="G5140" s="27"/>
    </row>
    <row r="5141">
      <c r="A5141" s="21"/>
      <c r="B5141" s="21" t="s">
        <v>11283</v>
      </c>
      <c r="D5141" s="25">
        <v>0.0</v>
      </c>
      <c r="E5141" s="27"/>
      <c r="F5141" s="25">
        <v>0.0</v>
      </c>
      <c r="G5141" s="27"/>
    </row>
    <row r="5142">
      <c r="A5142" s="21"/>
      <c r="B5142" s="21" t="s">
        <v>11284</v>
      </c>
      <c r="D5142" s="25">
        <v>0.0</v>
      </c>
      <c r="E5142" s="27"/>
      <c r="F5142" s="25">
        <v>0.0</v>
      </c>
      <c r="G5142" s="27"/>
    </row>
    <row r="5143">
      <c r="A5143" s="21"/>
      <c r="B5143" s="21" t="s">
        <v>11285</v>
      </c>
      <c r="D5143" s="25">
        <v>0.0</v>
      </c>
      <c r="E5143" s="27"/>
      <c r="F5143" s="25">
        <v>0.0</v>
      </c>
      <c r="G5143" s="27"/>
    </row>
    <row r="5144">
      <c r="A5144" s="21"/>
      <c r="B5144" s="21" t="s">
        <v>11286</v>
      </c>
      <c r="D5144" s="25">
        <v>0.0</v>
      </c>
      <c r="E5144" s="27"/>
      <c r="F5144" s="25">
        <v>0.0</v>
      </c>
      <c r="G5144" s="27"/>
    </row>
    <row r="5145">
      <c r="A5145" s="21"/>
      <c r="B5145" s="21" t="s">
        <v>11287</v>
      </c>
      <c r="D5145" s="25">
        <v>0.0</v>
      </c>
      <c r="E5145" s="27"/>
      <c r="F5145" s="25">
        <v>0.0</v>
      </c>
      <c r="G5145" s="27"/>
    </row>
    <row r="5146">
      <c r="A5146" s="21"/>
      <c r="B5146" s="21" t="s">
        <v>11288</v>
      </c>
      <c r="D5146" s="25">
        <v>0.0</v>
      </c>
      <c r="E5146" s="27"/>
      <c r="F5146" s="25">
        <v>0.0</v>
      </c>
      <c r="G5146" s="27"/>
    </row>
    <row r="5147">
      <c r="A5147" s="21"/>
      <c r="B5147" s="21" t="s">
        <v>11289</v>
      </c>
      <c r="D5147" s="25">
        <v>0.0</v>
      </c>
      <c r="E5147" s="27"/>
      <c r="F5147" s="25">
        <v>0.0</v>
      </c>
      <c r="G5147" s="27"/>
    </row>
    <row r="5148">
      <c r="A5148" s="21"/>
      <c r="B5148" s="21" t="s">
        <v>11290</v>
      </c>
      <c r="D5148" s="25">
        <v>0.0</v>
      </c>
      <c r="E5148" s="27"/>
      <c r="F5148" s="25">
        <v>0.0</v>
      </c>
      <c r="G5148" s="27"/>
    </row>
    <row r="5149">
      <c r="A5149" s="21"/>
      <c r="B5149" s="21" t="s">
        <v>11291</v>
      </c>
      <c r="D5149" s="25">
        <v>0.0</v>
      </c>
      <c r="E5149" s="27"/>
      <c r="F5149" s="25">
        <v>0.0</v>
      </c>
      <c r="G5149" s="27"/>
    </row>
    <row r="5150">
      <c r="A5150" s="21"/>
      <c r="B5150" s="21" t="s">
        <v>11292</v>
      </c>
      <c r="D5150" s="25">
        <v>0.0</v>
      </c>
      <c r="E5150" s="27"/>
      <c r="F5150" s="25">
        <v>0.0</v>
      </c>
      <c r="G5150" s="27"/>
    </row>
    <row r="5151">
      <c r="A5151" s="21"/>
      <c r="B5151" s="21" t="s">
        <v>11293</v>
      </c>
      <c r="D5151" s="25">
        <v>0.0</v>
      </c>
      <c r="E5151" s="27"/>
      <c r="F5151" s="25">
        <v>0.0</v>
      </c>
      <c r="G5151" s="27"/>
    </row>
    <row r="5152">
      <c r="A5152" s="21"/>
      <c r="B5152" s="21" t="s">
        <v>11294</v>
      </c>
      <c r="D5152" s="25">
        <v>0.0</v>
      </c>
      <c r="E5152" s="27"/>
      <c r="F5152" s="25">
        <v>0.0</v>
      </c>
      <c r="G5152" s="27"/>
    </row>
    <row r="5153">
      <c r="A5153" s="21"/>
      <c r="B5153" s="21" t="s">
        <v>11295</v>
      </c>
      <c r="D5153" s="25">
        <v>0.0</v>
      </c>
      <c r="E5153" s="27"/>
      <c r="F5153" s="25">
        <v>0.0</v>
      </c>
      <c r="G5153" s="27"/>
    </row>
    <row r="5154">
      <c r="A5154" s="21"/>
      <c r="B5154" s="21" t="s">
        <v>11296</v>
      </c>
      <c r="D5154" s="25">
        <v>0.0</v>
      </c>
      <c r="E5154" s="27"/>
      <c r="F5154" s="25">
        <v>0.0</v>
      </c>
      <c r="G5154" s="27"/>
    </row>
    <row r="5155">
      <c r="A5155" s="21"/>
      <c r="B5155" s="21" t="s">
        <v>11297</v>
      </c>
      <c r="D5155" s="25">
        <v>0.0</v>
      </c>
      <c r="E5155" s="27"/>
      <c r="F5155" s="25">
        <v>0.0</v>
      </c>
      <c r="G5155" s="27"/>
    </row>
    <row r="5156">
      <c r="A5156" s="21"/>
      <c r="B5156" s="21" t="s">
        <v>11298</v>
      </c>
      <c r="D5156" s="25">
        <v>0.0</v>
      </c>
      <c r="E5156" s="27"/>
      <c r="F5156" s="25">
        <v>0.0</v>
      </c>
      <c r="G5156" s="27"/>
    </row>
    <row r="5157">
      <c r="A5157" s="21"/>
      <c r="B5157" s="21" t="s">
        <v>11299</v>
      </c>
      <c r="D5157" s="25">
        <v>0.0</v>
      </c>
      <c r="E5157" s="27"/>
      <c r="F5157" s="25">
        <v>0.0</v>
      </c>
      <c r="G5157" s="27"/>
    </row>
    <row r="5158">
      <c r="A5158" s="21"/>
      <c r="B5158" s="21" t="s">
        <v>11300</v>
      </c>
      <c r="D5158" s="25">
        <v>0.0</v>
      </c>
      <c r="E5158" s="27"/>
      <c r="F5158" s="25">
        <v>0.0</v>
      </c>
      <c r="G5158" s="27"/>
    </row>
    <row r="5159">
      <c r="A5159" s="21"/>
      <c r="B5159" s="21" t="s">
        <v>11301</v>
      </c>
      <c r="D5159" s="25">
        <v>0.0</v>
      </c>
      <c r="E5159" s="27"/>
      <c r="F5159" s="25">
        <v>0.0</v>
      </c>
      <c r="G5159" s="27"/>
    </row>
    <row r="5160">
      <c r="A5160" s="21"/>
      <c r="B5160" s="21" t="s">
        <v>11302</v>
      </c>
      <c r="D5160" s="25">
        <v>0.0</v>
      </c>
      <c r="E5160" s="27"/>
      <c r="F5160" s="25">
        <v>0.0</v>
      </c>
      <c r="G5160" s="27"/>
    </row>
    <row r="5161">
      <c r="A5161" s="21"/>
      <c r="B5161" s="21" t="s">
        <v>11303</v>
      </c>
      <c r="D5161" s="25">
        <v>0.0</v>
      </c>
      <c r="E5161" s="27"/>
      <c r="F5161" s="25">
        <v>0.0</v>
      </c>
      <c r="G5161" s="27"/>
    </row>
    <row r="5162">
      <c r="A5162" s="21"/>
      <c r="B5162" s="21" t="s">
        <v>11304</v>
      </c>
      <c r="D5162" s="25">
        <v>0.0</v>
      </c>
      <c r="E5162" s="27"/>
      <c r="F5162" s="25">
        <v>0.0</v>
      </c>
      <c r="G5162" s="27"/>
    </row>
    <row r="5163">
      <c r="A5163" s="21"/>
      <c r="B5163" s="21" t="s">
        <v>11305</v>
      </c>
      <c r="D5163" s="25">
        <v>0.0</v>
      </c>
      <c r="E5163" s="27"/>
      <c r="F5163" s="25">
        <v>0.0</v>
      </c>
      <c r="G5163" s="27"/>
    </row>
    <row r="5164">
      <c r="A5164" s="21"/>
      <c r="B5164" s="21" t="s">
        <v>11306</v>
      </c>
      <c r="D5164" s="25">
        <v>0.0</v>
      </c>
      <c r="E5164" s="27"/>
      <c r="F5164" s="25">
        <v>0.0</v>
      </c>
      <c r="G5164" s="27"/>
    </row>
    <row r="5165">
      <c r="A5165" s="21"/>
      <c r="B5165" s="21" t="s">
        <v>11307</v>
      </c>
      <c r="D5165" s="25">
        <v>0.0</v>
      </c>
      <c r="E5165" s="27"/>
      <c r="F5165" s="25">
        <v>0.0</v>
      </c>
      <c r="G5165" s="27"/>
    </row>
    <row r="5166">
      <c r="A5166" s="21"/>
      <c r="B5166" s="21" t="s">
        <v>11308</v>
      </c>
      <c r="D5166" s="25">
        <v>0.0</v>
      </c>
      <c r="E5166" s="27"/>
      <c r="F5166" s="25">
        <v>0.0</v>
      </c>
      <c r="G5166" s="27"/>
    </row>
    <row r="5167">
      <c r="A5167" s="21"/>
      <c r="B5167" s="21" t="s">
        <v>5367</v>
      </c>
      <c r="D5167" s="25">
        <v>0.0</v>
      </c>
      <c r="E5167" s="27"/>
      <c r="F5167" s="25">
        <v>0.0</v>
      </c>
      <c r="G5167" s="27"/>
    </row>
    <row r="5168">
      <c r="A5168" s="21"/>
      <c r="B5168" s="21" t="s">
        <v>11309</v>
      </c>
      <c r="D5168" s="25">
        <v>0.0</v>
      </c>
      <c r="E5168" s="27"/>
      <c r="F5168" s="25">
        <v>0.0</v>
      </c>
      <c r="G5168" s="27"/>
    </row>
    <row r="5169">
      <c r="A5169" s="21"/>
      <c r="B5169" s="21" t="s">
        <v>11310</v>
      </c>
      <c r="D5169" s="25">
        <v>0.0</v>
      </c>
      <c r="E5169" s="27"/>
      <c r="F5169" s="25">
        <v>4.2</v>
      </c>
      <c r="G5169" s="27"/>
    </row>
    <row r="5170">
      <c r="A5170" s="21"/>
      <c r="B5170" s="21" t="s">
        <v>11311</v>
      </c>
      <c r="D5170" s="25">
        <v>0.0</v>
      </c>
      <c r="E5170" s="27"/>
      <c r="F5170" s="25">
        <v>0.0</v>
      </c>
      <c r="G5170" s="27"/>
    </row>
    <row r="5171">
      <c r="A5171" s="21"/>
      <c r="B5171" s="21" t="s">
        <v>11312</v>
      </c>
      <c r="D5171" s="25">
        <v>0.0</v>
      </c>
      <c r="E5171" s="27"/>
      <c r="F5171" s="25">
        <v>0.0</v>
      </c>
      <c r="G5171" s="27"/>
    </row>
    <row r="5172">
      <c r="A5172" s="21"/>
      <c r="B5172" s="21" t="s">
        <v>11313</v>
      </c>
      <c r="D5172" s="25">
        <v>0.0</v>
      </c>
      <c r="E5172" s="27"/>
      <c r="F5172" s="25">
        <v>0.0</v>
      </c>
      <c r="G5172" s="27"/>
    </row>
    <row r="5173">
      <c r="A5173" s="21"/>
      <c r="B5173" s="21" t="s">
        <v>11314</v>
      </c>
      <c r="D5173" s="25">
        <v>0.0</v>
      </c>
      <c r="E5173" s="27"/>
      <c r="F5173" s="25">
        <v>0.0</v>
      </c>
      <c r="G5173" s="27"/>
    </row>
    <row r="5174">
      <c r="A5174" s="21"/>
      <c r="B5174" s="21" t="s">
        <v>11315</v>
      </c>
      <c r="D5174" s="25">
        <v>0.0</v>
      </c>
      <c r="E5174" s="27"/>
      <c r="F5174" s="25">
        <v>0.0</v>
      </c>
      <c r="G5174" s="27"/>
    </row>
    <row r="5175">
      <c r="A5175" s="21"/>
      <c r="B5175" s="21" t="s">
        <v>11316</v>
      </c>
      <c r="D5175" s="25">
        <v>0.0</v>
      </c>
      <c r="E5175" s="27"/>
      <c r="F5175" s="25">
        <v>0.0</v>
      </c>
      <c r="G5175" s="27"/>
    </row>
    <row r="5176">
      <c r="A5176" s="21"/>
      <c r="B5176" s="21" t="s">
        <v>11317</v>
      </c>
      <c r="D5176" s="25">
        <v>0.0</v>
      </c>
      <c r="E5176" s="27"/>
      <c r="F5176" s="25">
        <v>0.0</v>
      </c>
      <c r="G5176" s="27"/>
    </row>
    <row r="5177">
      <c r="A5177" s="21"/>
      <c r="B5177" s="21" t="s">
        <v>11318</v>
      </c>
      <c r="D5177" s="25">
        <v>0.0</v>
      </c>
      <c r="E5177" s="27"/>
      <c r="F5177" s="25">
        <v>0.0</v>
      </c>
      <c r="G5177" s="27"/>
    </row>
    <row r="5178">
      <c r="A5178" s="21"/>
      <c r="B5178" s="21" t="s">
        <v>11319</v>
      </c>
      <c r="D5178" s="25">
        <v>0.0</v>
      </c>
      <c r="E5178" s="27"/>
      <c r="F5178" s="25">
        <v>0.0</v>
      </c>
      <c r="G5178" s="27"/>
    </row>
    <row r="5179">
      <c r="A5179" s="21"/>
      <c r="B5179" s="21" t="s">
        <v>11320</v>
      </c>
      <c r="D5179" s="25">
        <v>0.0</v>
      </c>
      <c r="E5179" s="27"/>
      <c r="F5179" s="25">
        <v>0.0</v>
      </c>
      <c r="G5179" s="27"/>
    </row>
    <row r="5180">
      <c r="A5180" s="21"/>
      <c r="B5180" s="21" t="s">
        <v>11321</v>
      </c>
      <c r="D5180" s="25">
        <v>0.0</v>
      </c>
      <c r="E5180" s="27"/>
      <c r="F5180" s="25">
        <v>0.0</v>
      </c>
      <c r="G5180" s="27"/>
    </row>
    <row r="5181">
      <c r="A5181" s="21"/>
      <c r="B5181" s="21" t="s">
        <v>11322</v>
      </c>
      <c r="D5181" s="25">
        <v>0.0</v>
      </c>
      <c r="E5181" s="27"/>
      <c r="F5181" s="25">
        <v>0.0</v>
      </c>
      <c r="G5181" s="27"/>
    </row>
    <row r="5182">
      <c r="A5182" s="21"/>
      <c r="B5182" s="21" t="s">
        <v>11323</v>
      </c>
      <c r="D5182" s="25">
        <v>0.0</v>
      </c>
      <c r="E5182" s="27"/>
      <c r="F5182" s="25">
        <v>0.0</v>
      </c>
      <c r="G5182" s="27"/>
    </row>
    <row r="5183">
      <c r="A5183" s="21"/>
      <c r="B5183" s="21" t="s">
        <v>11324</v>
      </c>
      <c r="D5183" s="25">
        <v>0.0</v>
      </c>
      <c r="E5183" s="27"/>
      <c r="F5183" s="25">
        <v>0.0</v>
      </c>
      <c r="G5183" s="27"/>
    </row>
    <row r="5184">
      <c r="A5184" s="21"/>
      <c r="B5184" s="21" t="s">
        <v>11325</v>
      </c>
      <c r="D5184" s="25">
        <v>0.0</v>
      </c>
      <c r="E5184" s="27"/>
      <c r="F5184" s="25">
        <v>0.0</v>
      </c>
      <c r="G5184" s="27"/>
    </row>
    <row r="5185">
      <c r="A5185" s="21"/>
      <c r="B5185" s="21" t="s">
        <v>11326</v>
      </c>
      <c r="D5185" s="25">
        <v>0.0</v>
      </c>
      <c r="E5185" s="27"/>
      <c r="F5185" s="25">
        <v>0.0</v>
      </c>
      <c r="G5185" s="27"/>
    </row>
    <row r="5186">
      <c r="A5186" s="21"/>
      <c r="B5186" s="21" t="s">
        <v>11327</v>
      </c>
      <c r="D5186" s="25">
        <v>0.0</v>
      </c>
      <c r="E5186" s="27"/>
      <c r="F5186" s="25">
        <v>0.0</v>
      </c>
      <c r="G5186" s="27"/>
    </row>
    <row r="5187">
      <c r="A5187" s="21"/>
      <c r="B5187" s="21" t="s">
        <v>11328</v>
      </c>
      <c r="D5187" s="25">
        <v>0.0</v>
      </c>
      <c r="E5187" s="27"/>
      <c r="F5187" s="25">
        <v>0.0</v>
      </c>
      <c r="G5187" s="27"/>
    </row>
    <row r="5188">
      <c r="A5188" s="21"/>
      <c r="B5188" s="21" t="s">
        <v>11329</v>
      </c>
      <c r="D5188" s="25">
        <v>0.0</v>
      </c>
      <c r="E5188" s="27"/>
      <c r="F5188" s="25">
        <v>0.0</v>
      </c>
      <c r="G5188" s="27"/>
    </row>
    <row r="5189">
      <c r="A5189" s="21"/>
      <c r="B5189" s="21" t="s">
        <v>11330</v>
      </c>
      <c r="D5189" s="25">
        <v>0.0</v>
      </c>
      <c r="E5189" s="27"/>
      <c r="F5189" s="25">
        <v>0.0</v>
      </c>
      <c r="G5189" s="27"/>
    </row>
    <row r="5190">
      <c r="A5190" s="21"/>
      <c r="B5190" s="21" t="s">
        <v>11331</v>
      </c>
      <c r="D5190" s="25">
        <v>0.0</v>
      </c>
      <c r="E5190" s="27"/>
      <c r="F5190" s="25">
        <v>0.0</v>
      </c>
      <c r="G5190" s="27"/>
    </row>
    <row r="5191">
      <c r="A5191" s="21"/>
      <c r="B5191" s="21" t="s">
        <v>11332</v>
      </c>
      <c r="D5191" s="25">
        <v>0.0</v>
      </c>
      <c r="E5191" s="27"/>
      <c r="F5191" s="25">
        <v>0.0</v>
      </c>
      <c r="G5191" s="27"/>
    </row>
    <row r="5192">
      <c r="A5192" s="21"/>
      <c r="B5192" s="21" t="s">
        <v>11333</v>
      </c>
      <c r="D5192" s="25">
        <v>0.0</v>
      </c>
      <c r="E5192" s="27"/>
      <c r="F5192" s="25">
        <v>0.0</v>
      </c>
      <c r="G5192" s="27"/>
    </row>
    <row r="5193">
      <c r="A5193" s="21"/>
      <c r="B5193" s="21" t="s">
        <v>11334</v>
      </c>
      <c r="D5193" s="25">
        <v>0.0</v>
      </c>
      <c r="E5193" s="27"/>
      <c r="F5193" s="25">
        <v>0.0</v>
      </c>
      <c r="G5193" s="27"/>
    </row>
    <row r="5194">
      <c r="A5194" s="21"/>
      <c r="B5194" s="21" t="s">
        <v>11335</v>
      </c>
      <c r="D5194" s="25">
        <v>0.0</v>
      </c>
      <c r="E5194" s="27"/>
      <c r="F5194" s="25">
        <v>0.0</v>
      </c>
      <c r="G5194" s="27"/>
    </row>
    <row r="5195">
      <c r="A5195" s="21"/>
      <c r="B5195" s="21" t="s">
        <v>11336</v>
      </c>
      <c r="D5195" s="25">
        <v>0.0</v>
      </c>
      <c r="E5195" s="27"/>
      <c r="F5195" s="25">
        <v>0.0</v>
      </c>
      <c r="G5195" s="27"/>
    </row>
    <row r="5196">
      <c r="A5196" s="21"/>
      <c r="B5196" s="21" t="s">
        <v>11337</v>
      </c>
      <c r="D5196" s="25">
        <v>0.0</v>
      </c>
      <c r="E5196" s="27"/>
      <c r="F5196" s="25">
        <v>0.0</v>
      </c>
      <c r="G5196" s="27"/>
    </row>
    <row r="5197">
      <c r="A5197" s="21"/>
      <c r="B5197" s="21" t="s">
        <v>11338</v>
      </c>
      <c r="D5197" s="25">
        <v>0.0</v>
      </c>
      <c r="E5197" s="27"/>
      <c r="F5197" s="25">
        <v>0.0</v>
      </c>
      <c r="G5197" s="27"/>
    </row>
    <row r="5198">
      <c r="A5198" s="21"/>
      <c r="B5198" s="21" t="s">
        <v>11339</v>
      </c>
      <c r="D5198" s="25">
        <v>0.0</v>
      </c>
      <c r="E5198" s="27"/>
      <c r="F5198" s="25">
        <v>0.0</v>
      </c>
      <c r="G5198" s="27"/>
    </row>
    <row r="5199">
      <c r="A5199" s="21"/>
      <c r="B5199" s="21" t="s">
        <v>11340</v>
      </c>
      <c r="D5199" s="25">
        <v>0.0</v>
      </c>
      <c r="E5199" s="27"/>
      <c r="F5199" s="25">
        <v>0.0</v>
      </c>
      <c r="G5199" s="27"/>
    </row>
    <row r="5200">
      <c r="A5200" s="21"/>
      <c r="B5200" s="21" t="s">
        <v>11341</v>
      </c>
      <c r="D5200" s="25">
        <v>0.0</v>
      </c>
      <c r="E5200" s="27"/>
      <c r="F5200" s="25">
        <v>0.0</v>
      </c>
      <c r="G5200" s="27"/>
    </row>
    <row r="5201">
      <c r="A5201" s="21"/>
      <c r="B5201" s="21" t="s">
        <v>11342</v>
      </c>
      <c r="D5201" s="25">
        <v>0.0</v>
      </c>
      <c r="E5201" s="27"/>
      <c r="F5201" s="25">
        <v>0.0</v>
      </c>
      <c r="G5201" s="27"/>
    </row>
    <row r="5202">
      <c r="A5202" s="21"/>
      <c r="B5202" s="21" t="s">
        <v>11343</v>
      </c>
      <c r="D5202" s="25">
        <v>0.0</v>
      </c>
      <c r="E5202" s="27"/>
      <c r="F5202" s="25">
        <v>0.0</v>
      </c>
      <c r="G5202" s="27"/>
    </row>
    <row r="5203">
      <c r="A5203" s="21"/>
      <c r="B5203" s="21" t="s">
        <v>48</v>
      </c>
      <c r="D5203" s="25">
        <v>0.0</v>
      </c>
      <c r="E5203" s="27"/>
      <c r="F5203" s="25">
        <v>0.0</v>
      </c>
      <c r="G5203" s="27"/>
    </row>
    <row r="5204">
      <c r="A5204" s="21"/>
      <c r="B5204" s="21" t="s">
        <v>11344</v>
      </c>
      <c r="D5204" s="25">
        <v>0.0</v>
      </c>
      <c r="E5204" s="27"/>
      <c r="F5204" s="25">
        <v>0.0</v>
      </c>
      <c r="G5204" s="27"/>
    </row>
    <row r="5205">
      <c r="A5205" s="21"/>
      <c r="B5205" s="21" t="s">
        <v>11345</v>
      </c>
      <c r="D5205" s="25">
        <v>0.0</v>
      </c>
      <c r="E5205" s="27"/>
      <c r="F5205" s="25">
        <v>0.0</v>
      </c>
      <c r="G5205" s="27"/>
    </row>
    <row r="5206">
      <c r="A5206" s="21"/>
      <c r="B5206" s="21" t="s">
        <v>11346</v>
      </c>
      <c r="D5206" s="25">
        <v>0.0</v>
      </c>
      <c r="E5206" s="27"/>
      <c r="F5206" s="25">
        <v>0.0</v>
      </c>
      <c r="G5206" s="27"/>
    </row>
    <row r="5207">
      <c r="A5207" s="21"/>
      <c r="B5207" s="21" t="s">
        <v>11347</v>
      </c>
      <c r="D5207" s="25">
        <v>0.0</v>
      </c>
      <c r="E5207" s="27"/>
      <c r="F5207" s="25">
        <v>0.0</v>
      </c>
      <c r="G5207" s="27"/>
    </row>
    <row r="5208">
      <c r="A5208" s="21"/>
      <c r="B5208" s="21" t="s">
        <v>11348</v>
      </c>
      <c r="D5208" s="25">
        <v>0.0</v>
      </c>
      <c r="E5208" s="27"/>
      <c r="F5208" s="25">
        <v>0.0</v>
      </c>
      <c r="G5208" s="27"/>
    </row>
    <row r="5209">
      <c r="A5209" s="21"/>
      <c r="B5209" s="21" t="s">
        <v>11349</v>
      </c>
      <c r="D5209" s="25">
        <v>0.0</v>
      </c>
      <c r="E5209" s="27"/>
      <c r="F5209" s="25">
        <v>0.0</v>
      </c>
      <c r="G5209" s="27"/>
    </row>
    <row r="5210">
      <c r="A5210" s="21"/>
      <c r="B5210" s="21" t="s">
        <v>11350</v>
      </c>
      <c r="D5210" s="25">
        <v>0.0</v>
      </c>
      <c r="E5210" s="27"/>
      <c r="F5210" s="25">
        <v>0.0</v>
      </c>
      <c r="G5210" s="27"/>
    </row>
    <row r="5211">
      <c r="A5211" s="21"/>
      <c r="B5211" s="21" t="s">
        <v>11351</v>
      </c>
      <c r="D5211" s="25">
        <v>0.0</v>
      </c>
      <c r="E5211" s="27"/>
      <c r="F5211" s="25">
        <v>0.0</v>
      </c>
      <c r="G5211" s="27"/>
    </row>
    <row r="5212">
      <c r="A5212" s="21"/>
      <c r="B5212" s="21" t="s">
        <v>11352</v>
      </c>
      <c r="D5212" s="25">
        <v>0.0</v>
      </c>
      <c r="E5212" s="27"/>
      <c r="F5212" s="25">
        <v>0.0</v>
      </c>
      <c r="G5212" s="27"/>
    </row>
    <row r="5213">
      <c r="A5213" s="21"/>
      <c r="B5213" s="21" t="s">
        <v>11353</v>
      </c>
      <c r="D5213" s="25">
        <v>0.0</v>
      </c>
      <c r="E5213" s="27"/>
      <c r="F5213" s="25">
        <v>0.0</v>
      </c>
      <c r="G5213" s="27"/>
    </row>
    <row r="5214">
      <c r="A5214" s="21"/>
      <c r="B5214" s="21" t="s">
        <v>11354</v>
      </c>
      <c r="D5214" s="25">
        <v>0.0</v>
      </c>
      <c r="E5214" s="27"/>
      <c r="F5214" s="25">
        <v>0.0</v>
      </c>
      <c r="G5214" s="27"/>
    </row>
    <row r="5215">
      <c r="A5215" s="21"/>
      <c r="B5215" s="21" t="s">
        <v>11355</v>
      </c>
      <c r="D5215" s="25">
        <v>0.0</v>
      </c>
      <c r="E5215" s="27"/>
      <c r="F5215" s="25">
        <v>0.0</v>
      </c>
      <c r="G5215" s="27"/>
    </row>
    <row r="5216">
      <c r="A5216" s="21"/>
      <c r="B5216" s="21" t="s">
        <v>11356</v>
      </c>
      <c r="D5216" s="25">
        <v>0.0</v>
      </c>
      <c r="E5216" s="27"/>
      <c r="F5216" s="25">
        <v>0.0</v>
      </c>
      <c r="G5216" s="27"/>
    </row>
    <row r="5217">
      <c r="A5217" s="21"/>
      <c r="B5217" s="21" t="s">
        <v>11357</v>
      </c>
      <c r="D5217" s="25">
        <v>0.0</v>
      </c>
      <c r="E5217" s="27"/>
      <c r="F5217" s="25">
        <v>0.0</v>
      </c>
      <c r="G5217" s="27"/>
    </row>
    <row r="5218">
      <c r="A5218" s="21"/>
      <c r="B5218" s="21" t="s">
        <v>11358</v>
      </c>
      <c r="D5218" s="25">
        <v>0.0</v>
      </c>
      <c r="E5218" s="27"/>
      <c r="F5218" s="25">
        <v>0.0</v>
      </c>
      <c r="G5218" s="27"/>
    </row>
    <row r="5219">
      <c r="A5219" s="21"/>
      <c r="B5219" s="21" t="s">
        <v>11359</v>
      </c>
      <c r="D5219" s="25">
        <v>0.0</v>
      </c>
      <c r="E5219" s="27"/>
      <c r="F5219" s="25">
        <v>0.0</v>
      </c>
      <c r="G5219" s="27"/>
    </row>
    <row r="5220">
      <c r="A5220" s="21"/>
      <c r="B5220" s="21" t="s">
        <v>11360</v>
      </c>
      <c r="D5220" s="25">
        <v>0.0</v>
      </c>
      <c r="E5220" s="27"/>
      <c r="F5220" s="25">
        <v>0.0</v>
      </c>
      <c r="G5220" s="27"/>
    </row>
    <row r="5221">
      <c r="A5221" s="21"/>
      <c r="B5221" s="21" t="s">
        <v>11361</v>
      </c>
      <c r="D5221" s="25">
        <v>0.0</v>
      </c>
      <c r="E5221" s="27"/>
      <c r="F5221" s="25">
        <v>0.0</v>
      </c>
      <c r="G5221" s="27"/>
    </row>
    <row r="5222">
      <c r="A5222" s="21"/>
      <c r="B5222" s="21" t="s">
        <v>11362</v>
      </c>
      <c r="D5222" s="25">
        <v>0.0</v>
      </c>
      <c r="E5222" s="27"/>
      <c r="F5222" s="25">
        <v>0.0</v>
      </c>
      <c r="G5222" s="27"/>
    </row>
    <row r="5223">
      <c r="A5223" s="21"/>
      <c r="B5223" s="21" t="s">
        <v>11363</v>
      </c>
      <c r="D5223" s="25">
        <v>0.0</v>
      </c>
      <c r="E5223" s="27"/>
      <c r="F5223" s="25">
        <v>0.0</v>
      </c>
      <c r="G5223" s="27"/>
    </row>
    <row r="5224">
      <c r="A5224" s="21"/>
      <c r="B5224" s="21" t="s">
        <v>11364</v>
      </c>
      <c r="D5224" s="25">
        <v>0.0</v>
      </c>
      <c r="E5224" s="27"/>
      <c r="F5224" s="25">
        <v>0.0</v>
      </c>
      <c r="G5224" s="27"/>
    </row>
    <row r="5225">
      <c r="A5225" s="21"/>
      <c r="B5225" s="21" t="s">
        <v>11365</v>
      </c>
      <c r="D5225" s="25">
        <v>0.0</v>
      </c>
      <c r="E5225" s="27"/>
      <c r="F5225" s="25">
        <v>0.0</v>
      </c>
      <c r="G5225" s="27"/>
    </row>
    <row r="5226">
      <c r="A5226" s="21"/>
      <c r="B5226" s="21" t="s">
        <v>11366</v>
      </c>
      <c r="D5226" s="25">
        <v>0.0</v>
      </c>
      <c r="E5226" s="27"/>
      <c r="F5226" s="25">
        <v>0.0</v>
      </c>
      <c r="G5226" s="27"/>
    </row>
    <row r="5227">
      <c r="A5227" s="21"/>
      <c r="B5227" s="21" t="s">
        <v>11367</v>
      </c>
      <c r="D5227" s="25">
        <v>0.0</v>
      </c>
      <c r="E5227" s="27"/>
      <c r="F5227" s="25">
        <v>0.0</v>
      </c>
      <c r="G5227" s="27"/>
    </row>
    <row r="5228">
      <c r="A5228" s="21"/>
      <c r="B5228" s="21" t="s">
        <v>11368</v>
      </c>
      <c r="D5228" s="25">
        <v>0.0</v>
      </c>
      <c r="E5228" s="27"/>
      <c r="F5228" s="25">
        <v>0.0</v>
      </c>
      <c r="G5228" s="27"/>
    </row>
    <row r="5229">
      <c r="A5229" s="21"/>
      <c r="B5229" s="21" t="s">
        <v>11369</v>
      </c>
      <c r="D5229" s="25">
        <v>0.0</v>
      </c>
      <c r="E5229" s="27"/>
      <c r="F5229" s="25">
        <v>0.0</v>
      </c>
      <c r="G5229" s="27"/>
    </row>
    <row r="5230">
      <c r="A5230" s="21"/>
      <c r="B5230" s="21" t="s">
        <v>11370</v>
      </c>
      <c r="D5230" s="25">
        <v>0.0</v>
      </c>
      <c r="E5230" s="27"/>
      <c r="F5230" s="25">
        <v>0.0</v>
      </c>
      <c r="G5230" s="27"/>
    </row>
    <row r="5231">
      <c r="A5231" s="21"/>
      <c r="B5231" s="21" t="s">
        <v>11371</v>
      </c>
      <c r="D5231" s="25">
        <v>0.0</v>
      </c>
      <c r="E5231" s="27"/>
      <c r="F5231" s="25">
        <v>0.0</v>
      </c>
      <c r="G5231" s="27"/>
    </row>
    <row r="5232">
      <c r="A5232" s="21"/>
      <c r="B5232" s="21" t="s">
        <v>11372</v>
      </c>
      <c r="D5232" s="25">
        <v>0.0</v>
      </c>
      <c r="E5232" s="27"/>
      <c r="F5232" s="25">
        <v>0.0</v>
      </c>
      <c r="G5232" s="27"/>
    </row>
    <row r="5233">
      <c r="A5233" s="21"/>
      <c r="B5233" s="21" t="s">
        <v>11373</v>
      </c>
      <c r="D5233" s="25">
        <v>0.0</v>
      </c>
      <c r="E5233" s="27"/>
      <c r="F5233" s="25">
        <v>0.0</v>
      </c>
      <c r="G5233" s="27"/>
    </row>
    <row r="5234">
      <c r="A5234" s="21"/>
      <c r="B5234" s="21" t="s">
        <v>11374</v>
      </c>
      <c r="D5234" s="25">
        <v>0.0</v>
      </c>
      <c r="E5234" s="27"/>
      <c r="F5234" s="25">
        <v>0.0</v>
      </c>
      <c r="G5234" s="27"/>
    </row>
    <row r="5235">
      <c r="A5235" s="21"/>
      <c r="B5235" s="21" t="s">
        <v>11375</v>
      </c>
      <c r="D5235" s="25">
        <v>0.0</v>
      </c>
      <c r="E5235" s="27"/>
      <c r="F5235" s="25">
        <v>0.0</v>
      </c>
      <c r="G5235" s="27"/>
    </row>
    <row r="5236">
      <c r="A5236" s="21"/>
      <c r="B5236" s="21" t="s">
        <v>11376</v>
      </c>
      <c r="D5236" s="25">
        <v>0.0</v>
      </c>
      <c r="E5236" s="27"/>
      <c r="F5236" s="25">
        <v>0.0</v>
      </c>
      <c r="G5236" s="27"/>
    </row>
    <row r="5237">
      <c r="A5237" s="21"/>
      <c r="B5237" s="21" t="s">
        <v>11377</v>
      </c>
      <c r="D5237" s="25">
        <v>0.0</v>
      </c>
      <c r="E5237" s="27"/>
      <c r="F5237" s="25">
        <v>0.0</v>
      </c>
      <c r="G5237" s="27"/>
    </row>
    <row r="5238">
      <c r="A5238" s="21"/>
      <c r="B5238" s="21" t="s">
        <v>11378</v>
      </c>
      <c r="D5238" s="25">
        <v>0.0</v>
      </c>
      <c r="E5238" s="27"/>
      <c r="F5238" s="25">
        <v>0.0</v>
      </c>
      <c r="G5238" s="27"/>
    </row>
    <row r="5239">
      <c r="A5239" s="21"/>
      <c r="B5239" s="21" t="s">
        <v>11379</v>
      </c>
      <c r="D5239" s="25">
        <v>0.0</v>
      </c>
      <c r="E5239" s="27"/>
      <c r="F5239" s="25">
        <v>0.0</v>
      </c>
      <c r="G5239" s="27"/>
    </row>
    <row r="5240">
      <c r="A5240" s="21"/>
      <c r="B5240" s="21" t="s">
        <v>11380</v>
      </c>
      <c r="D5240" s="25">
        <v>0.0</v>
      </c>
      <c r="E5240" s="27"/>
      <c r="F5240" s="25">
        <v>0.0</v>
      </c>
      <c r="G5240" s="27"/>
    </row>
    <row r="5241">
      <c r="A5241" s="21"/>
      <c r="B5241" s="21" t="s">
        <v>11381</v>
      </c>
      <c r="D5241" s="25">
        <v>0.0</v>
      </c>
      <c r="E5241" s="27"/>
      <c r="F5241" s="25">
        <v>0.0</v>
      </c>
      <c r="G5241" s="27"/>
    </row>
    <row r="5242">
      <c r="A5242" s="21"/>
      <c r="B5242" s="21" t="s">
        <v>11382</v>
      </c>
      <c r="D5242" s="25">
        <v>0.0</v>
      </c>
      <c r="E5242" s="27"/>
      <c r="F5242" s="25">
        <v>0.0</v>
      </c>
      <c r="G5242" s="27"/>
    </row>
    <row r="5243">
      <c r="A5243" s="21"/>
      <c r="B5243" s="21" t="s">
        <v>11383</v>
      </c>
      <c r="D5243" s="25">
        <v>0.0</v>
      </c>
      <c r="E5243" s="27"/>
      <c r="F5243" s="25">
        <v>0.0</v>
      </c>
      <c r="G5243" s="27"/>
    </row>
    <row r="5244">
      <c r="A5244" s="21"/>
      <c r="B5244" s="21" t="s">
        <v>11384</v>
      </c>
      <c r="D5244" s="25">
        <v>0.0</v>
      </c>
      <c r="E5244" s="27"/>
      <c r="F5244" s="25">
        <v>0.0</v>
      </c>
      <c r="G5244" s="27"/>
    </row>
    <row r="5245">
      <c r="A5245" s="21"/>
      <c r="B5245" s="21" t="s">
        <v>11385</v>
      </c>
      <c r="D5245" s="25">
        <v>0.0</v>
      </c>
      <c r="E5245" s="27"/>
      <c r="F5245" s="25">
        <v>0.0</v>
      </c>
      <c r="G5245" s="27"/>
    </row>
    <row r="5246">
      <c r="A5246" s="21"/>
      <c r="B5246" s="21" t="s">
        <v>11386</v>
      </c>
      <c r="D5246" s="25">
        <v>0.0</v>
      </c>
      <c r="E5246" s="27"/>
      <c r="F5246" s="25">
        <v>0.0</v>
      </c>
      <c r="G5246" s="27"/>
    </row>
    <row r="5247">
      <c r="A5247" s="21"/>
      <c r="B5247" s="21" t="s">
        <v>11387</v>
      </c>
      <c r="D5247" s="25">
        <v>0.0</v>
      </c>
      <c r="E5247" s="27"/>
      <c r="F5247" s="25">
        <v>0.0</v>
      </c>
      <c r="G5247" s="27"/>
    </row>
    <row r="5248">
      <c r="A5248" s="21"/>
      <c r="B5248" s="21" t="s">
        <v>11388</v>
      </c>
      <c r="D5248" s="25">
        <v>0.0</v>
      </c>
      <c r="E5248" s="27"/>
      <c r="F5248" s="25">
        <v>0.0</v>
      </c>
      <c r="G5248" s="27"/>
    </row>
    <row r="5249">
      <c r="A5249" s="21"/>
      <c r="B5249" s="21" t="s">
        <v>11389</v>
      </c>
      <c r="D5249" s="25">
        <v>0.0</v>
      </c>
      <c r="E5249" s="27"/>
      <c r="F5249" s="25">
        <v>0.0</v>
      </c>
      <c r="G5249" s="27"/>
    </row>
    <row r="5250">
      <c r="A5250" s="21"/>
      <c r="B5250" s="21" t="s">
        <v>11390</v>
      </c>
      <c r="D5250" s="25">
        <v>0.0</v>
      </c>
      <c r="E5250" s="27"/>
      <c r="F5250" s="25">
        <v>0.0</v>
      </c>
      <c r="G5250" s="27"/>
    </row>
    <row r="5251">
      <c r="A5251" s="21"/>
      <c r="B5251" s="21" t="s">
        <v>11391</v>
      </c>
      <c r="D5251" s="25">
        <v>0.0</v>
      </c>
      <c r="E5251" s="27"/>
      <c r="F5251" s="25">
        <v>0.0</v>
      </c>
      <c r="G5251" s="27"/>
    </row>
    <row r="5252">
      <c r="A5252" s="21"/>
      <c r="B5252" s="21" t="s">
        <v>11392</v>
      </c>
      <c r="D5252" s="25">
        <v>0.0</v>
      </c>
      <c r="E5252" s="27"/>
      <c r="F5252" s="25">
        <v>0.0</v>
      </c>
      <c r="G5252" s="27"/>
    </row>
    <row r="5253">
      <c r="A5253" s="21"/>
      <c r="B5253" s="21" t="s">
        <v>11393</v>
      </c>
      <c r="D5253" s="25">
        <v>0.0</v>
      </c>
      <c r="E5253" s="27"/>
      <c r="F5253" s="25">
        <v>0.0</v>
      </c>
      <c r="G5253" s="27"/>
    </row>
    <row r="5254">
      <c r="A5254" s="21"/>
      <c r="B5254" s="21" t="s">
        <v>11394</v>
      </c>
      <c r="D5254" s="25">
        <v>0.0</v>
      </c>
      <c r="E5254" s="27"/>
      <c r="F5254" s="25">
        <v>0.0</v>
      </c>
      <c r="G5254" s="27"/>
    </row>
    <row r="5255">
      <c r="A5255" s="21"/>
      <c r="B5255" s="21" t="s">
        <v>11395</v>
      </c>
      <c r="D5255" s="25">
        <v>0.0</v>
      </c>
      <c r="E5255" s="27"/>
      <c r="F5255" s="25">
        <v>0.0</v>
      </c>
      <c r="G5255" s="27"/>
    </row>
    <row r="5256">
      <c r="A5256" s="21"/>
      <c r="B5256" s="21" t="s">
        <v>11396</v>
      </c>
      <c r="D5256" s="25">
        <v>0.0</v>
      </c>
      <c r="E5256" s="27"/>
      <c r="F5256" s="25">
        <v>0.0</v>
      </c>
      <c r="G5256" s="27"/>
    </row>
    <row r="5257">
      <c r="A5257" s="21"/>
      <c r="B5257" s="21" t="s">
        <v>11397</v>
      </c>
      <c r="D5257" s="25">
        <v>0.0</v>
      </c>
      <c r="E5257" s="27"/>
      <c r="F5257" s="25">
        <v>0.0</v>
      </c>
      <c r="G5257" s="27"/>
    </row>
    <row r="5258">
      <c r="A5258" s="21"/>
      <c r="B5258" s="21" t="s">
        <v>11398</v>
      </c>
      <c r="D5258" s="25">
        <v>0.0</v>
      </c>
      <c r="E5258" s="27"/>
      <c r="F5258" s="25">
        <v>0.0</v>
      </c>
      <c r="G5258" s="27"/>
    </row>
    <row r="5259">
      <c r="A5259" s="21"/>
      <c r="B5259" s="21" t="s">
        <v>11399</v>
      </c>
      <c r="D5259" s="25">
        <v>0.0</v>
      </c>
      <c r="E5259" s="27"/>
      <c r="F5259" s="25">
        <v>0.0</v>
      </c>
      <c r="G5259" s="27"/>
    </row>
    <row r="5260">
      <c r="A5260" s="21"/>
      <c r="B5260" s="21" t="s">
        <v>11400</v>
      </c>
      <c r="D5260" s="25">
        <v>0.0</v>
      </c>
      <c r="E5260" s="27"/>
      <c r="F5260" s="25">
        <v>0.0</v>
      </c>
      <c r="G5260" s="27"/>
    </row>
    <row r="5261">
      <c r="A5261" s="21"/>
      <c r="B5261" s="21" t="s">
        <v>11401</v>
      </c>
      <c r="D5261" s="25">
        <v>0.0</v>
      </c>
      <c r="E5261" s="27"/>
      <c r="F5261" s="25">
        <v>0.0</v>
      </c>
      <c r="G5261" s="27"/>
    </row>
    <row r="5262">
      <c r="A5262" s="21"/>
      <c r="B5262" s="21" t="s">
        <v>11402</v>
      </c>
      <c r="D5262" s="25">
        <v>0.0</v>
      </c>
      <c r="E5262" s="27"/>
      <c r="F5262" s="25">
        <v>0.0</v>
      </c>
      <c r="G5262" s="27"/>
    </row>
    <row r="5263">
      <c r="A5263" s="21"/>
      <c r="B5263" s="21" t="s">
        <v>11403</v>
      </c>
      <c r="D5263" s="25">
        <v>0.0</v>
      </c>
      <c r="E5263" s="27"/>
      <c r="F5263" s="25">
        <v>0.0</v>
      </c>
      <c r="G5263" s="27"/>
    </row>
    <row r="5264">
      <c r="A5264" s="21"/>
      <c r="B5264" s="21" t="s">
        <v>11404</v>
      </c>
      <c r="D5264" s="25">
        <v>0.0</v>
      </c>
      <c r="E5264" s="27"/>
      <c r="F5264" s="25">
        <v>0.0</v>
      </c>
      <c r="G5264" s="27"/>
    </row>
    <row r="5265">
      <c r="A5265" s="21"/>
      <c r="B5265" s="21" t="s">
        <v>11405</v>
      </c>
      <c r="D5265" s="25">
        <v>0.0</v>
      </c>
      <c r="E5265" s="27"/>
      <c r="F5265" s="25">
        <v>0.0</v>
      </c>
      <c r="G5265" s="27"/>
    </row>
    <row r="5266">
      <c r="A5266" s="21"/>
      <c r="B5266" s="21" t="s">
        <v>11406</v>
      </c>
      <c r="D5266" s="25">
        <v>0.0</v>
      </c>
      <c r="E5266" s="27"/>
      <c r="F5266" s="25">
        <v>0.0</v>
      </c>
      <c r="G5266" s="27"/>
    </row>
    <row r="5267">
      <c r="A5267" s="21"/>
      <c r="B5267" s="21" t="s">
        <v>11407</v>
      </c>
      <c r="D5267" s="25">
        <v>0.0</v>
      </c>
      <c r="E5267" s="27"/>
      <c r="F5267" s="25">
        <v>0.0</v>
      </c>
      <c r="G5267" s="27"/>
    </row>
    <row r="5268">
      <c r="A5268" s="21"/>
      <c r="B5268" s="21" t="s">
        <v>11408</v>
      </c>
      <c r="D5268" s="25">
        <v>0.0</v>
      </c>
      <c r="E5268" s="27"/>
      <c r="F5268" s="25">
        <v>0.0</v>
      </c>
      <c r="G5268" s="27"/>
    </row>
    <row r="5269">
      <c r="A5269" s="21"/>
      <c r="B5269" s="21" t="s">
        <v>11409</v>
      </c>
      <c r="D5269" s="25">
        <v>0.0</v>
      </c>
      <c r="E5269" s="27"/>
      <c r="F5269" s="25">
        <v>0.0</v>
      </c>
      <c r="G5269" s="27"/>
    </row>
    <row r="5270">
      <c r="A5270" s="21"/>
      <c r="B5270" s="21" t="s">
        <v>11410</v>
      </c>
      <c r="D5270" s="25">
        <v>0.0</v>
      </c>
      <c r="E5270" s="27"/>
      <c r="F5270" s="25">
        <v>0.0</v>
      </c>
      <c r="G5270" s="27"/>
    </row>
    <row r="5271">
      <c r="A5271" s="21"/>
      <c r="B5271" s="21" t="s">
        <v>11411</v>
      </c>
      <c r="D5271" s="25">
        <v>0.0</v>
      </c>
      <c r="E5271" s="27"/>
      <c r="F5271" s="25">
        <v>0.0</v>
      </c>
      <c r="G5271" s="27"/>
    </row>
    <row r="5272">
      <c r="A5272" s="21"/>
      <c r="B5272" s="21" t="s">
        <v>11412</v>
      </c>
      <c r="D5272" s="25">
        <v>0.0</v>
      </c>
      <c r="E5272" s="27"/>
      <c r="F5272" s="25">
        <v>0.0</v>
      </c>
      <c r="G5272" s="27"/>
    </row>
    <row r="5273">
      <c r="A5273" s="21"/>
      <c r="B5273" s="21" t="s">
        <v>11413</v>
      </c>
      <c r="D5273" s="25">
        <v>0.0</v>
      </c>
      <c r="E5273" s="27"/>
      <c r="F5273" s="25">
        <v>2.95</v>
      </c>
      <c r="G5273" s="27"/>
    </row>
    <row r="5274">
      <c r="A5274" s="21"/>
      <c r="B5274" s="21" t="s">
        <v>11414</v>
      </c>
      <c r="D5274" s="25">
        <v>0.0</v>
      </c>
      <c r="E5274" s="27"/>
      <c r="F5274" s="25">
        <v>0.0</v>
      </c>
      <c r="G5274" s="27"/>
    </row>
    <row r="5275">
      <c r="A5275" s="21"/>
      <c r="B5275" s="21" t="s">
        <v>5467</v>
      </c>
      <c r="D5275" s="25">
        <v>0.0</v>
      </c>
      <c r="E5275" s="27"/>
      <c r="F5275" s="25">
        <v>0.0</v>
      </c>
      <c r="G5275" s="27"/>
    </row>
    <row r="5276">
      <c r="A5276" s="21"/>
      <c r="B5276" s="21" t="s">
        <v>11415</v>
      </c>
      <c r="C5276" s="27"/>
      <c r="D5276" s="25">
        <v>0.0</v>
      </c>
      <c r="E5276" s="27"/>
      <c r="F5276" s="25">
        <v>0.0</v>
      </c>
      <c r="G5276" s="27"/>
    </row>
    <row r="5277">
      <c r="A5277" s="21"/>
      <c r="B5277" s="21" t="s">
        <v>11416</v>
      </c>
      <c r="D5277" s="25">
        <v>0.0</v>
      </c>
      <c r="E5277" s="27"/>
      <c r="F5277" s="25">
        <v>0.0</v>
      </c>
      <c r="G5277" s="27"/>
    </row>
    <row r="5278">
      <c r="A5278" s="21"/>
      <c r="B5278" s="21" t="s">
        <v>5471</v>
      </c>
      <c r="D5278" s="25">
        <v>0.0</v>
      </c>
      <c r="E5278" s="27"/>
      <c r="F5278" s="25">
        <v>0.0</v>
      </c>
      <c r="G5278" s="27"/>
    </row>
    <row r="5279">
      <c r="A5279" s="21"/>
      <c r="B5279" s="21" t="s">
        <v>11417</v>
      </c>
      <c r="D5279" s="25">
        <v>0.0</v>
      </c>
      <c r="E5279" s="27"/>
      <c r="F5279" s="25">
        <v>0.0</v>
      </c>
      <c r="G5279" s="27"/>
    </row>
    <row r="5280">
      <c r="A5280" s="21"/>
      <c r="B5280" s="21" t="s">
        <v>11418</v>
      </c>
      <c r="D5280" s="25">
        <v>0.0</v>
      </c>
      <c r="E5280" s="27"/>
      <c r="F5280" s="25">
        <v>0.0</v>
      </c>
      <c r="G5280" s="27"/>
    </row>
    <row r="5281">
      <c r="A5281" s="21"/>
      <c r="B5281" s="21" t="s">
        <v>6054</v>
      </c>
      <c r="D5281" s="25">
        <v>0.0</v>
      </c>
      <c r="E5281" s="27"/>
      <c r="F5281" s="25">
        <v>0.0</v>
      </c>
      <c r="G5281" s="27"/>
    </row>
    <row r="5282">
      <c r="A5282" s="21"/>
      <c r="B5282" s="21" t="s">
        <v>11419</v>
      </c>
      <c r="D5282" s="25">
        <v>0.0</v>
      </c>
      <c r="E5282" s="27"/>
      <c r="F5282" s="25">
        <v>0.0</v>
      </c>
      <c r="G5282" s="27"/>
    </row>
    <row r="5283">
      <c r="A5283" s="21"/>
      <c r="B5283" s="21" t="s">
        <v>11420</v>
      </c>
      <c r="D5283" s="25">
        <v>0.0</v>
      </c>
      <c r="E5283" s="27"/>
      <c r="F5283" s="25">
        <v>0.0</v>
      </c>
      <c r="G5283" s="27"/>
    </row>
    <row r="5284">
      <c r="A5284" s="21"/>
      <c r="B5284" s="21" t="s">
        <v>11421</v>
      </c>
      <c r="D5284" s="25">
        <v>0.0</v>
      </c>
      <c r="E5284" s="27"/>
      <c r="F5284" s="25">
        <v>0.0</v>
      </c>
      <c r="G5284" s="27"/>
    </row>
    <row r="5285">
      <c r="A5285" s="21"/>
      <c r="B5285" s="21" t="s">
        <v>11422</v>
      </c>
      <c r="D5285" s="25">
        <v>0.0</v>
      </c>
      <c r="E5285" s="27"/>
      <c r="F5285" s="25">
        <v>0.0</v>
      </c>
      <c r="G5285" s="27"/>
    </row>
    <row r="5286">
      <c r="A5286" s="21"/>
      <c r="B5286" s="21" t="s">
        <v>11423</v>
      </c>
      <c r="D5286" s="25">
        <v>0.0</v>
      </c>
      <c r="E5286" s="27"/>
      <c r="F5286" s="25">
        <v>0.0</v>
      </c>
      <c r="G5286" s="27"/>
    </row>
    <row r="5287">
      <c r="A5287" s="21"/>
      <c r="B5287" s="21" t="s">
        <v>11424</v>
      </c>
      <c r="D5287" s="25">
        <v>0.0</v>
      </c>
      <c r="E5287" s="27"/>
      <c r="F5287" s="25">
        <v>0.0</v>
      </c>
      <c r="G5287" s="27"/>
    </row>
    <row r="5288">
      <c r="A5288" s="21"/>
      <c r="B5288" s="21" t="s">
        <v>11425</v>
      </c>
      <c r="D5288" s="25">
        <v>0.0</v>
      </c>
      <c r="E5288" s="27"/>
      <c r="F5288" s="25">
        <v>0.0</v>
      </c>
      <c r="G5288" s="27"/>
    </row>
    <row r="5289">
      <c r="A5289" s="21"/>
      <c r="B5289" s="21" t="s">
        <v>11426</v>
      </c>
      <c r="D5289" s="25">
        <v>0.0</v>
      </c>
      <c r="E5289" s="27"/>
      <c r="F5289" s="25">
        <v>0.0</v>
      </c>
      <c r="G5289" s="27"/>
    </row>
    <row r="5290">
      <c r="A5290" s="21"/>
      <c r="B5290" s="21" t="s">
        <v>11427</v>
      </c>
      <c r="D5290" s="25">
        <v>0.0</v>
      </c>
      <c r="E5290" s="27"/>
      <c r="F5290" s="25">
        <v>0.0</v>
      </c>
      <c r="G5290" s="27"/>
    </row>
    <row r="5291">
      <c r="A5291" s="21"/>
      <c r="B5291" s="21" t="s">
        <v>11428</v>
      </c>
      <c r="D5291" s="25">
        <v>0.0</v>
      </c>
      <c r="E5291" s="27"/>
      <c r="F5291" s="25">
        <v>0.0</v>
      </c>
      <c r="G5291" s="27"/>
    </row>
    <row r="5292">
      <c r="A5292" s="21"/>
      <c r="B5292" s="21" t="s">
        <v>11429</v>
      </c>
      <c r="D5292" s="25">
        <v>0.0</v>
      </c>
      <c r="E5292" s="27"/>
      <c r="F5292" s="25">
        <v>0.0</v>
      </c>
      <c r="G5292" s="27"/>
    </row>
    <row r="5293">
      <c r="A5293" s="21"/>
      <c r="B5293" s="21" t="s">
        <v>11430</v>
      </c>
      <c r="D5293" s="25">
        <v>0.0</v>
      </c>
      <c r="E5293" s="27"/>
      <c r="F5293" s="25">
        <v>0.0</v>
      </c>
      <c r="G5293" s="27"/>
    </row>
    <row r="5294">
      <c r="A5294" s="21"/>
      <c r="B5294" s="21" t="s">
        <v>11431</v>
      </c>
      <c r="D5294" s="25">
        <v>0.0</v>
      </c>
      <c r="E5294" s="27"/>
      <c r="F5294" s="25">
        <v>0.0</v>
      </c>
      <c r="G5294" s="27"/>
    </row>
    <row r="5295">
      <c r="A5295" s="21"/>
      <c r="B5295" s="21" t="s">
        <v>11432</v>
      </c>
      <c r="D5295" s="25">
        <v>0.0</v>
      </c>
      <c r="E5295" s="27"/>
      <c r="F5295" s="25">
        <v>0.0</v>
      </c>
      <c r="G5295" s="27"/>
    </row>
    <row r="5296">
      <c r="A5296" s="21"/>
      <c r="B5296" s="21" t="s">
        <v>11433</v>
      </c>
      <c r="D5296" s="25">
        <v>0.0</v>
      </c>
      <c r="E5296" s="27"/>
      <c r="F5296" s="25">
        <v>0.0</v>
      </c>
      <c r="G5296" s="27"/>
    </row>
    <row r="5297">
      <c r="A5297" s="21"/>
      <c r="B5297" s="21" t="s">
        <v>11434</v>
      </c>
      <c r="D5297" s="25">
        <v>0.0</v>
      </c>
      <c r="E5297" s="27"/>
      <c r="F5297" s="25">
        <v>0.0</v>
      </c>
      <c r="G5297" s="27"/>
    </row>
    <row r="5298">
      <c r="A5298" s="21"/>
      <c r="B5298" s="21" t="s">
        <v>5633</v>
      </c>
      <c r="D5298" s="25">
        <v>0.0</v>
      </c>
      <c r="E5298" s="27"/>
      <c r="F5298" s="25">
        <v>0.0</v>
      </c>
      <c r="G5298" s="27"/>
    </row>
    <row r="5299">
      <c r="A5299" s="21"/>
      <c r="B5299" s="21" t="s">
        <v>5634</v>
      </c>
      <c r="D5299" s="25">
        <v>0.0</v>
      </c>
      <c r="E5299" s="27"/>
      <c r="F5299" s="25">
        <v>0.0</v>
      </c>
      <c r="G5299" s="27"/>
    </row>
    <row r="5300">
      <c r="A5300" s="21"/>
      <c r="B5300" s="21" t="s">
        <v>11435</v>
      </c>
      <c r="D5300" s="25">
        <v>0.0</v>
      </c>
      <c r="E5300" s="27"/>
      <c r="F5300" s="25">
        <v>0.0</v>
      </c>
      <c r="G5300" s="27"/>
    </row>
    <row r="5301">
      <c r="A5301" s="21"/>
      <c r="B5301" s="21" t="s">
        <v>11436</v>
      </c>
      <c r="D5301" s="25">
        <v>0.0</v>
      </c>
      <c r="E5301" s="27"/>
      <c r="F5301" s="25">
        <v>0.0</v>
      </c>
      <c r="G5301" s="27"/>
    </row>
    <row r="5302">
      <c r="A5302" s="21"/>
      <c r="B5302" s="21" t="s">
        <v>11437</v>
      </c>
      <c r="D5302" s="25">
        <v>0.0</v>
      </c>
      <c r="E5302" s="27"/>
      <c r="F5302" s="25">
        <v>0.0</v>
      </c>
      <c r="G5302" s="27"/>
    </row>
    <row r="5303">
      <c r="A5303" s="21"/>
      <c r="B5303" s="21" t="s">
        <v>11438</v>
      </c>
      <c r="D5303" s="25">
        <v>0.0</v>
      </c>
      <c r="E5303" s="27"/>
      <c r="F5303" s="25">
        <v>0.0</v>
      </c>
      <c r="G5303" s="27"/>
    </row>
    <row r="5304">
      <c r="A5304" s="21"/>
      <c r="B5304" s="21" t="s">
        <v>11439</v>
      </c>
      <c r="D5304" s="25">
        <v>0.0</v>
      </c>
      <c r="E5304" s="27"/>
      <c r="F5304" s="25">
        <v>0.0</v>
      </c>
      <c r="G5304" s="27"/>
    </row>
    <row r="5305">
      <c r="A5305" s="21"/>
      <c r="B5305" s="21" t="s">
        <v>11440</v>
      </c>
      <c r="D5305" s="25">
        <v>0.0</v>
      </c>
      <c r="E5305" s="27"/>
      <c r="F5305" s="25">
        <v>0.0</v>
      </c>
      <c r="G5305" s="27"/>
    </row>
    <row r="5306">
      <c r="A5306" s="21"/>
      <c r="B5306" s="21" t="s">
        <v>11441</v>
      </c>
      <c r="D5306" s="25">
        <v>0.0</v>
      </c>
      <c r="E5306" s="27"/>
      <c r="F5306" s="25">
        <v>0.0</v>
      </c>
      <c r="G5306" s="27"/>
    </row>
    <row r="5307">
      <c r="A5307" s="21"/>
      <c r="B5307" s="21" t="s">
        <v>11442</v>
      </c>
      <c r="D5307" s="25">
        <v>0.0</v>
      </c>
      <c r="E5307" s="27"/>
      <c r="F5307" s="25">
        <v>0.0</v>
      </c>
      <c r="G5307" s="27"/>
    </row>
    <row r="5308">
      <c r="A5308" s="21"/>
      <c r="B5308" s="21" t="s">
        <v>11443</v>
      </c>
      <c r="C5308" s="27"/>
      <c r="D5308" s="25">
        <v>0.0</v>
      </c>
      <c r="E5308" s="27"/>
      <c r="F5308" s="25">
        <v>4.06</v>
      </c>
      <c r="G5308" s="27"/>
    </row>
    <row r="5309">
      <c r="A5309" s="21"/>
      <c r="B5309" s="21" t="s">
        <v>11444</v>
      </c>
      <c r="D5309" s="25">
        <v>0.0</v>
      </c>
      <c r="E5309" s="27"/>
      <c r="F5309" s="25">
        <v>0.0</v>
      </c>
      <c r="G5309" s="27"/>
    </row>
    <row r="5310">
      <c r="A5310" s="21"/>
      <c r="B5310" s="21" t="s">
        <v>11445</v>
      </c>
      <c r="D5310" s="25">
        <v>0.0</v>
      </c>
      <c r="E5310" s="27"/>
      <c r="F5310" s="25">
        <v>0.0</v>
      </c>
      <c r="G5310" s="27"/>
    </row>
    <row r="5311">
      <c r="A5311" s="21"/>
      <c r="B5311" s="21" t="s">
        <v>11446</v>
      </c>
      <c r="D5311" s="25">
        <v>0.0</v>
      </c>
      <c r="E5311" s="27"/>
      <c r="F5311" s="25">
        <v>0.0</v>
      </c>
      <c r="G5311" s="27"/>
    </row>
    <row r="5312">
      <c r="A5312" s="21"/>
      <c r="B5312" s="21" t="s">
        <v>11447</v>
      </c>
      <c r="D5312" s="25">
        <v>0.0</v>
      </c>
      <c r="E5312" s="27"/>
      <c r="F5312" s="25">
        <v>0.0</v>
      </c>
      <c r="G5312" s="27"/>
    </row>
    <row r="5313">
      <c r="A5313" s="21"/>
      <c r="B5313" s="21" t="s">
        <v>11448</v>
      </c>
      <c r="D5313" s="25">
        <v>0.0</v>
      </c>
      <c r="E5313" s="27"/>
      <c r="F5313" s="25">
        <v>0.0</v>
      </c>
      <c r="G5313" s="27"/>
    </row>
    <row r="5314">
      <c r="A5314" s="21"/>
      <c r="B5314" s="21" t="s">
        <v>11449</v>
      </c>
      <c r="D5314" s="25">
        <v>0.0</v>
      </c>
      <c r="E5314" s="27"/>
      <c r="F5314" s="25">
        <v>0.0</v>
      </c>
      <c r="G5314" s="27"/>
    </row>
    <row r="5315">
      <c r="A5315" s="21"/>
      <c r="B5315" s="21" t="s">
        <v>11450</v>
      </c>
      <c r="C5315" s="27"/>
      <c r="D5315" s="25">
        <v>0.0</v>
      </c>
      <c r="E5315" s="27"/>
      <c r="F5315" s="25">
        <v>0.0</v>
      </c>
      <c r="G5315" s="27"/>
    </row>
    <row r="5316">
      <c r="A5316" s="21"/>
      <c r="B5316" s="21" t="s">
        <v>11451</v>
      </c>
      <c r="D5316" s="25">
        <v>0.0</v>
      </c>
      <c r="E5316" s="27"/>
      <c r="F5316" s="25">
        <v>0.0</v>
      </c>
      <c r="G5316" s="27"/>
    </row>
    <row r="5317">
      <c r="A5317" s="21"/>
      <c r="B5317" s="21" t="s">
        <v>11452</v>
      </c>
      <c r="D5317" s="25">
        <v>0.0</v>
      </c>
      <c r="E5317" s="27"/>
      <c r="F5317" s="25">
        <v>0.0</v>
      </c>
      <c r="G5317" s="27"/>
    </row>
    <row r="5318">
      <c r="A5318" s="21"/>
      <c r="B5318" s="21" t="s">
        <v>11453</v>
      </c>
      <c r="C5318" s="27"/>
      <c r="D5318" s="25">
        <v>0.0</v>
      </c>
      <c r="E5318" s="27"/>
      <c r="F5318" s="25">
        <v>0.0</v>
      </c>
      <c r="G5318" s="27"/>
    </row>
    <row r="5319">
      <c r="A5319" s="21"/>
      <c r="B5319" s="21" t="s">
        <v>11454</v>
      </c>
      <c r="D5319" s="25">
        <v>0.0</v>
      </c>
      <c r="E5319" s="27"/>
      <c r="F5319" s="25">
        <v>0.0</v>
      </c>
      <c r="G5319" s="27"/>
    </row>
    <row r="5320">
      <c r="A5320" s="21"/>
      <c r="B5320" s="21" t="s">
        <v>11455</v>
      </c>
      <c r="D5320" s="25">
        <v>0.0</v>
      </c>
      <c r="E5320" s="27"/>
      <c r="F5320" s="25">
        <v>0.0</v>
      </c>
      <c r="G5320" s="27"/>
    </row>
    <row r="5321">
      <c r="A5321" s="21"/>
      <c r="B5321" s="21" t="s">
        <v>11456</v>
      </c>
      <c r="D5321" s="25">
        <v>0.0</v>
      </c>
      <c r="E5321" s="27"/>
      <c r="F5321" s="25">
        <v>0.0</v>
      </c>
      <c r="G5321" s="27"/>
    </row>
    <row r="5322">
      <c r="A5322" s="21"/>
      <c r="B5322" s="21" t="s">
        <v>11457</v>
      </c>
      <c r="D5322" s="25">
        <v>0.0</v>
      </c>
      <c r="E5322" s="27"/>
      <c r="F5322" s="25">
        <v>0.0</v>
      </c>
      <c r="G5322" s="27"/>
    </row>
    <row r="5323">
      <c r="A5323" s="21"/>
      <c r="B5323" s="21" t="s">
        <v>11458</v>
      </c>
      <c r="D5323" s="25">
        <v>0.0</v>
      </c>
      <c r="E5323" s="27"/>
      <c r="F5323" s="25">
        <v>0.0</v>
      </c>
      <c r="G5323" s="27"/>
    </row>
    <row r="5324">
      <c r="A5324" s="21"/>
      <c r="B5324" s="21" t="s">
        <v>11459</v>
      </c>
      <c r="D5324" s="25">
        <v>0.0</v>
      </c>
      <c r="E5324" s="27"/>
      <c r="F5324" s="25">
        <v>0.0</v>
      </c>
      <c r="G5324" s="27"/>
    </row>
    <row r="5325">
      <c r="A5325" s="21"/>
      <c r="B5325" s="21" t="s">
        <v>11460</v>
      </c>
      <c r="D5325" s="25">
        <v>0.0</v>
      </c>
      <c r="E5325" s="27"/>
      <c r="F5325" s="25">
        <v>0.0</v>
      </c>
      <c r="G5325" s="27"/>
    </row>
    <row r="5326">
      <c r="A5326" s="21"/>
      <c r="B5326" s="21" t="s">
        <v>11461</v>
      </c>
      <c r="D5326" s="25">
        <v>0.0</v>
      </c>
      <c r="E5326" s="27"/>
      <c r="F5326" s="25">
        <v>0.0</v>
      </c>
      <c r="G5326" s="27"/>
    </row>
    <row r="5327">
      <c r="A5327" s="21"/>
      <c r="B5327" s="21" t="s">
        <v>11462</v>
      </c>
      <c r="D5327" s="25">
        <v>0.0</v>
      </c>
      <c r="E5327" s="27"/>
      <c r="F5327" s="25">
        <v>0.0</v>
      </c>
      <c r="G5327" s="27"/>
    </row>
    <row r="5328">
      <c r="A5328" s="21"/>
      <c r="B5328" s="21" t="s">
        <v>11463</v>
      </c>
      <c r="D5328" s="25">
        <v>0.0</v>
      </c>
      <c r="E5328" s="27"/>
      <c r="F5328" s="25">
        <v>0.0</v>
      </c>
      <c r="G5328" s="27"/>
    </row>
    <row r="5329">
      <c r="A5329" s="21"/>
      <c r="B5329" s="21" t="s">
        <v>11464</v>
      </c>
      <c r="D5329" s="25">
        <v>0.0</v>
      </c>
      <c r="E5329" s="27"/>
      <c r="F5329" s="25">
        <v>0.0</v>
      </c>
      <c r="G5329" s="27"/>
    </row>
    <row r="5330">
      <c r="A5330" s="21"/>
      <c r="B5330" s="21" t="s">
        <v>11465</v>
      </c>
      <c r="D5330" s="25">
        <v>0.0</v>
      </c>
      <c r="E5330" s="27"/>
      <c r="F5330" s="25">
        <v>0.0</v>
      </c>
      <c r="G5330" s="27"/>
    </row>
    <row r="5331">
      <c r="A5331" s="21"/>
      <c r="B5331" s="21" t="s">
        <v>11466</v>
      </c>
      <c r="D5331" s="25">
        <v>0.0</v>
      </c>
      <c r="E5331" s="27"/>
      <c r="F5331" s="25">
        <v>0.0</v>
      </c>
      <c r="G5331" s="27"/>
    </row>
    <row r="5332">
      <c r="A5332" s="21"/>
      <c r="B5332" s="21" t="s">
        <v>11467</v>
      </c>
      <c r="D5332" s="25">
        <v>0.0</v>
      </c>
      <c r="E5332" s="27"/>
      <c r="F5332" s="25">
        <v>0.0</v>
      </c>
      <c r="G5332" s="27"/>
    </row>
    <row r="5333">
      <c r="A5333" s="21"/>
      <c r="B5333" s="21" t="s">
        <v>11468</v>
      </c>
      <c r="D5333" s="25">
        <v>0.0</v>
      </c>
      <c r="E5333" s="27"/>
      <c r="F5333" s="25">
        <v>3.33</v>
      </c>
      <c r="G5333" s="27"/>
    </row>
    <row r="5334">
      <c r="A5334" s="21"/>
      <c r="B5334" s="21" t="s">
        <v>11469</v>
      </c>
      <c r="D5334" s="25">
        <v>0.0</v>
      </c>
      <c r="E5334" s="27"/>
      <c r="F5334" s="25">
        <v>0.0</v>
      </c>
      <c r="G5334" s="27"/>
    </row>
    <row r="5335">
      <c r="A5335" s="21"/>
      <c r="B5335" s="21" t="s">
        <v>11470</v>
      </c>
      <c r="D5335" s="25">
        <v>0.0</v>
      </c>
      <c r="E5335" s="27"/>
      <c r="F5335" s="25">
        <v>0.0</v>
      </c>
      <c r="G5335" s="27"/>
    </row>
    <row r="5336">
      <c r="A5336" s="21"/>
      <c r="B5336" s="21" t="s">
        <v>11471</v>
      </c>
      <c r="D5336" s="25">
        <v>0.0</v>
      </c>
      <c r="E5336" s="27"/>
      <c r="F5336" s="25">
        <v>0.0</v>
      </c>
      <c r="G5336" s="27"/>
    </row>
    <row r="5337">
      <c r="A5337" s="21"/>
      <c r="B5337" s="21" t="s">
        <v>11472</v>
      </c>
      <c r="D5337" s="25">
        <v>0.0</v>
      </c>
      <c r="E5337" s="27"/>
      <c r="F5337" s="25">
        <v>0.0</v>
      </c>
      <c r="G5337" s="27"/>
    </row>
    <row r="5338">
      <c r="A5338" s="21"/>
      <c r="B5338" s="21" t="s">
        <v>11473</v>
      </c>
      <c r="D5338" s="25">
        <v>0.0</v>
      </c>
      <c r="E5338" s="27"/>
      <c r="F5338" s="25">
        <v>0.0</v>
      </c>
      <c r="G5338" s="27"/>
    </row>
    <row r="5339">
      <c r="A5339" s="21"/>
      <c r="B5339" s="21" t="s">
        <v>11474</v>
      </c>
      <c r="D5339" s="25">
        <v>0.0</v>
      </c>
      <c r="E5339" s="27"/>
      <c r="F5339" s="25">
        <v>0.0</v>
      </c>
      <c r="G5339" s="27"/>
    </row>
    <row r="5340">
      <c r="A5340" s="21"/>
      <c r="B5340" s="21" t="s">
        <v>11475</v>
      </c>
      <c r="D5340" s="25">
        <v>0.0</v>
      </c>
      <c r="E5340" s="27"/>
      <c r="F5340" s="25">
        <v>0.0</v>
      </c>
      <c r="G5340" s="27"/>
    </row>
    <row r="5341">
      <c r="A5341" s="21"/>
      <c r="B5341" s="21" t="s">
        <v>11476</v>
      </c>
      <c r="D5341" s="25">
        <v>0.0</v>
      </c>
      <c r="E5341" s="27"/>
      <c r="F5341" s="25">
        <v>0.0</v>
      </c>
      <c r="G5341" s="27"/>
    </row>
    <row r="5342">
      <c r="A5342" s="21"/>
      <c r="B5342" s="21" t="s">
        <v>11477</v>
      </c>
      <c r="D5342" s="25">
        <v>0.0</v>
      </c>
      <c r="E5342" s="27"/>
      <c r="F5342" s="25">
        <v>0.0</v>
      </c>
      <c r="G5342" s="27"/>
    </row>
    <row r="5343">
      <c r="A5343" s="21"/>
      <c r="B5343" s="21" t="s">
        <v>11478</v>
      </c>
      <c r="D5343" s="25">
        <v>0.0</v>
      </c>
      <c r="E5343" s="27"/>
      <c r="F5343" s="25">
        <v>0.0</v>
      </c>
      <c r="G5343" s="27"/>
    </row>
    <row r="5344">
      <c r="A5344" s="21"/>
      <c r="B5344" s="21" t="s">
        <v>11479</v>
      </c>
      <c r="D5344" s="25">
        <v>0.0</v>
      </c>
      <c r="E5344" s="27"/>
      <c r="F5344" s="25">
        <v>0.0</v>
      </c>
      <c r="G5344" s="27"/>
    </row>
    <row r="5345">
      <c r="A5345" s="21"/>
      <c r="B5345" s="21" t="s">
        <v>11480</v>
      </c>
      <c r="D5345" s="25">
        <v>0.0</v>
      </c>
      <c r="E5345" s="27"/>
      <c r="F5345" s="25">
        <v>0.0</v>
      </c>
      <c r="G5345" s="27"/>
    </row>
    <row r="5346">
      <c r="A5346" s="21"/>
      <c r="B5346" s="21" t="s">
        <v>11481</v>
      </c>
      <c r="D5346" s="25">
        <v>0.0</v>
      </c>
      <c r="E5346" s="27"/>
      <c r="F5346" s="25">
        <v>0.0</v>
      </c>
      <c r="G5346" s="27"/>
    </row>
    <row r="5347">
      <c r="A5347" s="21"/>
      <c r="B5347" s="21" t="s">
        <v>11482</v>
      </c>
      <c r="D5347" s="25">
        <v>0.0</v>
      </c>
      <c r="E5347" s="27"/>
      <c r="F5347" s="25">
        <v>0.0</v>
      </c>
      <c r="G5347" s="27"/>
    </row>
    <row r="5348">
      <c r="A5348" s="21"/>
      <c r="B5348" s="21" t="s">
        <v>11483</v>
      </c>
      <c r="D5348" s="25">
        <v>0.0</v>
      </c>
      <c r="E5348" s="27"/>
      <c r="F5348" s="25">
        <v>3.95</v>
      </c>
      <c r="G5348" s="27"/>
    </row>
    <row r="5349">
      <c r="A5349" s="21"/>
      <c r="B5349" s="21" t="s">
        <v>11484</v>
      </c>
      <c r="D5349" s="25">
        <v>0.0</v>
      </c>
      <c r="E5349" s="27"/>
      <c r="F5349" s="25">
        <v>0.0</v>
      </c>
      <c r="G5349" s="27"/>
    </row>
    <row r="5350">
      <c r="A5350" s="21"/>
      <c r="B5350" s="21" t="s">
        <v>11485</v>
      </c>
      <c r="D5350" s="25">
        <v>0.0</v>
      </c>
      <c r="E5350" s="27"/>
      <c r="F5350" s="25">
        <v>0.0</v>
      </c>
      <c r="G5350" s="27"/>
    </row>
    <row r="5351">
      <c r="A5351" s="21"/>
      <c r="B5351" s="21" t="s">
        <v>11486</v>
      </c>
      <c r="D5351" s="25">
        <v>0.0</v>
      </c>
      <c r="E5351" s="27"/>
      <c r="F5351" s="25">
        <v>0.0</v>
      </c>
      <c r="G5351" s="27"/>
    </row>
    <row r="5352">
      <c r="A5352" s="21"/>
      <c r="B5352" s="21" t="s">
        <v>11487</v>
      </c>
      <c r="D5352" s="25">
        <v>0.0</v>
      </c>
      <c r="E5352" s="27"/>
      <c r="F5352" s="25">
        <v>0.0</v>
      </c>
      <c r="G5352" s="27"/>
    </row>
    <row r="5353">
      <c r="A5353" s="21"/>
      <c r="B5353" s="21" t="s">
        <v>5716</v>
      </c>
      <c r="D5353" s="25">
        <v>0.0</v>
      </c>
      <c r="E5353" s="27"/>
      <c r="F5353" s="25">
        <v>0.0</v>
      </c>
      <c r="G5353" s="27"/>
    </row>
    <row r="5354">
      <c r="A5354" s="21"/>
      <c r="B5354" s="21" t="s">
        <v>11488</v>
      </c>
      <c r="D5354" s="25">
        <v>0.0</v>
      </c>
      <c r="E5354" s="27"/>
      <c r="F5354" s="25">
        <v>0.0</v>
      </c>
      <c r="G5354" s="27"/>
    </row>
    <row r="5355">
      <c r="A5355" s="21"/>
      <c r="B5355" s="21" t="s">
        <v>11489</v>
      </c>
      <c r="D5355" s="25">
        <v>0.0</v>
      </c>
      <c r="E5355" s="27"/>
      <c r="F5355" s="25">
        <v>0.0</v>
      </c>
      <c r="G5355" s="27"/>
    </row>
    <row r="5356">
      <c r="A5356" s="21"/>
      <c r="B5356" s="21" t="s">
        <v>11490</v>
      </c>
      <c r="D5356" s="25">
        <v>0.0</v>
      </c>
      <c r="E5356" s="27"/>
      <c r="F5356" s="25">
        <v>0.0</v>
      </c>
      <c r="G5356" s="27"/>
    </row>
    <row r="5357">
      <c r="A5357" s="21"/>
      <c r="B5357" s="21" t="s">
        <v>11491</v>
      </c>
      <c r="D5357" s="25">
        <v>0.0</v>
      </c>
      <c r="E5357" s="27"/>
      <c r="F5357" s="25">
        <v>0.0</v>
      </c>
      <c r="G5357" s="27"/>
    </row>
    <row r="5358">
      <c r="A5358" s="21"/>
      <c r="B5358" s="21" t="s">
        <v>11492</v>
      </c>
      <c r="D5358" s="25">
        <v>0.0</v>
      </c>
      <c r="E5358" s="27"/>
      <c r="F5358" s="25">
        <v>0.0</v>
      </c>
      <c r="G5358" s="27"/>
    </row>
    <row r="5359">
      <c r="A5359" s="21"/>
      <c r="B5359" s="21" t="s">
        <v>11493</v>
      </c>
      <c r="D5359" s="25">
        <v>0.0</v>
      </c>
      <c r="E5359" s="27"/>
      <c r="F5359" s="25">
        <v>0.0</v>
      </c>
      <c r="G5359" s="27"/>
    </row>
    <row r="5360">
      <c r="A5360" s="21"/>
      <c r="B5360" s="21" t="s">
        <v>11494</v>
      </c>
      <c r="D5360" s="25">
        <v>0.0</v>
      </c>
      <c r="E5360" s="27"/>
      <c r="F5360" s="25">
        <v>0.0</v>
      </c>
      <c r="G5360" s="27"/>
    </row>
    <row r="5361">
      <c r="A5361" s="21"/>
      <c r="B5361" s="21" t="s">
        <v>11495</v>
      </c>
      <c r="D5361" s="25">
        <v>0.0</v>
      </c>
      <c r="E5361" s="27"/>
      <c r="F5361" s="25">
        <v>0.0</v>
      </c>
      <c r="G5361" s="27"/>
    </row>
    <row r="5362">
      <c r="A5362" s="21"/>
      <c r="B5362" s="21" t="s">
        <v>11496</v>
      </c>
      <c r="D5362" s="25">
        <v>0.0</v>
      </c>
      <c r="E5362" s="27"/>
      <c r="F5362" s="25">
        <v>0.0</v>
      </c>
      <c r="G5362" s="27"/>
    </row>
    <row r="5363">
      <c r="A5363" s="21"/>
      <c r="B5363" s="21" t="s">
        <v>11497</v>
      </c>
      <c r="C5363" s="27"/>
      <c r="D5363" s="25">
        <v>0.0</v>
      </c>
      <c r="E5363" s="27"/>
      <c r="F5363" s="25">
        <v>4.22</v>
      </c>
      <c r="G5363" s="27"/>
    </row>
    <row r="5364">
      <c r="A5364" s="21"/>
      <c r="B5364" s="21" t="s">
        <v>11498</v>
      </c>
      <c r="D5364" s="25">
        <v>0.0</v>
      </c>
      <c r="E5364" s="27"/>
      <c r="F5364" s="25">
        <v>0.0</v>
      </c>
      <c r="G5364" s="27"/>
    </row>
    <row r="5365">
      <c r="A5365" s="21"/>
      <c r="B5365" s="21" t="s">
        <v>11499</v>
      </c>
      <c r="D5365" s="25">
        <v>0.0</v>
      </c>
      <c r="E5365" s="27"/>
      <c r="F5365" s="25">
        <v>0.0</v>
      </c>
      <c r="G5365" s="27"/>
    </row>
    <row r="5366">
      <c r="A5366" s="21"/>
      <c r="B5366" s="21" t="s">
        <v>6055</v>
      </c>
      <c r="D5366" s="25">
        <v>0.0</v>
      </c>
      <c r="E5366" s="27"/>
      <c r="F5366" s="25">
        <v>0.0</v>
      </c>
      <c r="G5366" s="27"/>
    </row>
    <row r="5367">
      <c r="A5367" s="21"/>
      <c r="B5367" s="21" t="s">
        <v>6056</v>
      </c>
      <c r="D5367" s="25">
        <v>0.0</v>
      </c>
      <c r="E5367" s="27"/>
      <c r="F5367" s="25">
        <v>0.0</v>
      </c>
      <c r="G5367" s="27"/>
    </row>
    <row r="5368">
      <c r="A5368" s="21"/>
      <c r="B5368" s="21" t="s">
        <v>6057</v>
      </c>
      <c r="D5368" s="25">
        <v>0.0</v>
      </c>
      <c r="E5368" s="27"/>
      <c r="F5368" s="25">
        <v>0.0</v>
      </c>
      <c r="G5368" s="27"/>
    </row>
    <row r="5369">
      <c r="A5369" s="21"/>
      <c r="B5369" s="21" t="s">
        <v>11500</v>
      </c>
      <c r="D5369" s="25">
        <v>0.0</v>
      </c>
      <c r="E5369" s="27"/>
      <c r="F5369" s="25">
        <v>0.0</v>
      </c>
      <c r="G5369" s="27"/>
    </row>
    <row r="5370">
      <c r="A5370" s="21"/>
      <c r="B5370" s="21" t="s">
        <v>11501</v>
      </c>
      <c r="D5370" s="25">
        <v>0.0</v>
      </c>
      <c r="E5370" s="27"/>
      <c r="F5370" s="25">
        <v>0.0</v>
      </c>
      <c r="G5370" s="27"/>
    </row>
    <row r="5371">
      <c r="A5371" s="21"/>
      <c r="B5371" s="21" t="s">
        <v>11502</v>
      </c>
      <c r="D5371" s="25">
        <v>0.0</v>
      </c>
      <c r="E5371" s="27"/>
      <c r="F5371" s="25">
        <v>0.0</v>
      </c>
      <c r="G5371" s="27"/>
    </row>
    <row r="5372">
      <c r="A5372" s="21"/>
      <c r="B5372" s="21" t="s">
        <v>11503</v>
      </c>
      <c r="D5372" s="25">
        <v>0.0</v>
      </c>
      <c r="E5372" s="27"/>
      <c r="F5372" s="25">
        <v>0.0</v>
      </c>
      <c r="G5372" s="27"/>
    </row>
    <row r="5373">
      <c r="A5373" s="21"/>
      <c r="B5373" s="21" t="s">
        <v>11504</v>
      </c>
      <c r="D5373" s="25">
        <v>0.0</v>
      </c>
      <c r="E5373" s="27"/>
      <c r="F5373" s="25">
        <v>0.0</v>
      </c>
      <c r="G5373" s="27"/>
    </row>
    <row r="5374">
      <c r="A5374" s="21"/>
      <c r="B5374" s="21" t="s">
        <v>11505</v>
      </c>
      <c r="D5374" s="25">
        <v>0.0</v>
      </c>
      <c r="E5374" s="27"/>
      <c r="F5374" s="25">
        <v>0.0</v>
      </c>
      <c r="G5374" s="27"/>
    </row>
    <row r="5375">
      <c r="A5375" s="21"/>
      <c r="B5375" s="21" t="s">
        <v>11506</v>
      </c>
      <c r="D5375" s="25">
        <v>0.0</v>
      </c>
      <c r="E5375" s="27"/>
      <c r="F5375" s="25">
        <v>0.0</v>
      </c>
      <c r="G5375" s="27"/>
    </row>
    <row r="5376">
      <c r="A5376" s="21"/>
      <c r="B5376" s="21" t="s">
        <v>11507</v>
      </c>
      <c r="D5376" s="25">
        <v>0.0</v>
      </c>
      <c r="E5376" s="27"/>
      <c r="F5376" s="25">
        <v>0.0</v>
      </c>
      <c r="G5376" s="27"/>
    </row>
    <row r="5377">
      <c r="A5377" s="21"/>
      <c r="B5377" s="21" t="s">
        <v>11508</v>
      </c>
      <c r="D5377" s="25">
        <v>0.0</v>
      </c>
      <c r="E5377" s="27"/>
      <c r="F5377" s="25">
        <v>0.0</v>
      </c>
      <c r="G5377" s="27"/>
    </row>
    <row r="5378">
      <c r="A5378" s="21"/>
      <c r="B5378" s="21" t="s">
        <v>11509</v>
      </c>
      <c r="D5378" s="25">
        <v>0.0</v>
      </c>
      <c r="E5378" s="27"/>
      <c r="F5378" s="25">
        <v>0.0</v>
      </c>
      <c r="G5378" s="27"/>
    </row>
    <row r="5379">
      <c r="A5379" s="21"/>
      <c r="B5379" s="21" t="s">
        <v>11510</v>
      </c>
      <c r="D5379" s="25">
        <v>0.0</v>
      </c>
      <c r="E5379" s="27"/>
      <c r="F5379" s="25">
        <v>0.0</v>
      </c>
      <c r="G5379" s="27"/>
    </row>
    <row r="5380">
      <c r="A5380" s="21"/>
      <c r="B5380" s="21" t="s">
        <v>11511</v>
      </c>
      <c r="D5380" s="25">
        <v>0.0</v>
      </c>
      <c r="E5380" s="27"/>
      <c r="F5380" s="25">
        <v>0.0</v>
      </c>
      <c r="G5380" s="27"/>
    </row>
    <row r="5381">
      <c r="A5381" s="21"/>
      <c r="B5381" s="21" t="s">
        <v>11512</v>
      </c>
      <c r="D5381" s="25">
        <v>0.0</v>
      </c>
      <c r="E5381" s="27"/>
      <c r="F5381" s="25">
        <v>0.0</v>
      </c>
      <c r="G5381" s="27"/>
    </row>
    <row r="5382">
      <c r="A5382" s="21"/>
      <c r="B5382" s="21" t="s">
        <v>11513</v>
      </c>
      <c r="D5382" s="25">
        <v>0.0</v>
      </c>
      <c r="E5382" s="27"/>
      <c r="F5382" s="25">
        <v>0.0</v>
      </c>
      <c r="G5382" s="27"/>
    </row>
    <row r="5383">
      <c r="A5383" s="21"/>
      <c r="B5383" s="21" t="s">
        <v>11514</v>
      </c>
      <c r="D5383" s="25">
        <v>0.0</v>
      </c>
      <c r="E5383" s="27"/>
      <c r="F5383" s="25">
        <v>0.0</v>
      </c>
      <c r="G5383" s="27"/>
    </row>
    <row r="5384">
      <c r="A5384" s="21"/>
      <c r="B5384" s="21" t="s">
        <v>11515</v>
      </c>
      <c r="D5384" s="25">
        <v>0.0</v>
      </c>
      <c r="E5384" s="27"/>
      <c r="F5384" s="25">
        <v>0.0</v>
      </c>
      <c r="G5384" s="27"/>
    </row>
    <row r="5385">
      <c r="A5385" s="21"/>
      <c r="B5385" s="21" t="s">
        <v>11516</v>
      </c>
      <c r="D5385" s="25">
        <v>0.0</v>
      </c>
      <c r="E5385" s="27"/>
      <c r="F5385" s="25">
        <v>0.0</v>
      </c>
      <c r="G5385" s="27"/>
    </row>
    <row r="5386">
      <c r="A5386" s="21"/>
      <c r="B5386" s="21" t="s">
        <v>11517</v>
      </c>
      <c r="D5386" s="25">
        <v>0.0</v>
      </c>
      <c r="E5386" s="27"/>
      <c r="F5386" s="25">
        <v>0.0</v>
      </c>
      <c r="G5386" s="27"/>
    </row>
    <row r="5387">
      <c r="A5387" s="21"/>
      <c r="B5387" s="21" t="s">
        <v>11518</v>
      </c>
      <c r="D5387" s="25">
        <v>0.0</v>
      </c>
      <c r="E5387" s="27"/>
      <c r="F5387" s="25">
        <v>0.0</v>
      </c>
      <c r="G5387" s="27"/>
    </row>
    <row r="5388">
      <c r="A5388" s="21"/>
      <c r="B5388" s="21" t="s">
        <v>11519</v>
      </c>
      <c r="D5388" s="25">
        <v>0.0</v>
      </c>
      <c r="E5388" s="27"/>
      <c r="F5388" s="25">
        <v>0.0</v>
      </c>
      <c r="G5388" s="27"/>
    </row>
    <row r="5389">
      <c r="A5389" s="21"/>
      <c r="B5389" s="21" t="s">
        <v>11520</v>
      </c>
      <c r="D5389" s="25">
        <v>0.0</v>
      </c>
      <c r="E5389" s="27"/>
      <c r="F5389" s="25">
        <v>0.0</v>
      </c>
      <c r="G5389" s="27"/>
    </row>
    <row r="5390">
      <c r="A5390" s="21"/>
      <c r="B5390" s="21" t="s">
        <v>11521</v>
      </c>
      <c r="D5390" s="25">
        <v>0.0</v>
      </c>
      <c r="E5390" s="27"/>
      <c r="F5390" s="25">
        <v>4.05</v>
      </c>
      <c r="G5390" s="27"/>
    </row>
    <row r="5391">
      <c r="A5391" s="21"/>
      <c r="B5391" s="21" t="s">
        <v>11522</v>
      </c>
      <c r="D5391" s="25">
        <v>0.0</v>
      </c>
      <c r="E5391" s="27"/>
      <c r="F5391" s="25">
        <v>0.0</v>
      </c>
      <c r="G5391" s="27"/>
    </row>
    <row r="5392">
      <c r="A5392" s="21"/>
      <c r="B5392" s="21" t="s">
        <v>11523</v>
      </c>
      <c r="D5392" s="25">
        <v>0.0</v>
      </c>
      <c r="E5392" s="27"/>
      <c r="F5392" s="25">
        <v>0.0</v>
      </c>
      <c r="G5392" s="27"/>
    </row>
    <row r="5393">
      <c r="A5393" s="21"/>
      <c r="B5393" s="21" t="s">
        <v>11524</v>
      </c>
      <c r="D5393" s="25">
        <v>0.0</v>
      </c>
      <c r="E5393" s="27"/>
      <c r="F5393" s="25">
        <v>0.0</v>
      </c>
      <c r="G5393" s="27"/>
    </row>
    <row r="5394">
      <c r="A5394" s="21"/>
      <c r="B5394" s="21" t="s">
        <v>11525</v>
      </c>
      <c r="D5394" s="25">
        <v>0.0</v>
      </c>
      <c r="E5394" s="27"/>
      <c r="F5394" s="25">
        <v>0.0</v>
      </c>
      <c r="G5394" s="27"/>
    </row>
    <row r="5395">
      <c r="A5395" s="21"/>
      <c r="B5395" s="21" t="s">
        <v>11526</v>
      </c>
      <c r="D5395" s="25">
        <v>0.0</v>
      </c>
      <c r="E5395" s="27"/>
      <c r="F5395" s="25">
        <v>0.0</v>
      </c>
      <c r="G5395" s="27"/>
    </row>
    <row r="5396">
      <c r="A5396" s="21"/>
      <c r="B5396" s="21" t="s">
        <v>11527</v>
      </c>
      <c r="D5396" s="25">
        <v>0.0</v>
      </c>
      <c r="E5396" s="27"/>
      <c r="F5396" s="25">
        <v>0.0</v>
      </c>
      <c r="G5396" s="27"/>
    </row>
    <row r="5397">
      <c r="A5397" s="21"/>
      <c r="B5397" s="21" t="s">
        <v>11528</v>
      </c>
      <c r="D5397" s="25">
        <v>0.0</v>
      </c>
      <c r="E5397" s="27"/>
      <c r="F5397" s="25">
        <v>0.0</v>
      </c>
      <c r="G5397" s="27"/>
    </row>
    <row r="5398">
      <c r="A5398" s="21"/>
      <c r="B5398" s="21" t="s">
        <v>11529</v>
      </c>
      <c r="D5398" s="25">
        <v>0.0</v>
      </c>
      <c r="E5398" s="27"/>
      <c r="F5398" s="25">
        <v>0.0</v>
      </c>
      <c r="G5398" s="27"/>
    </row>
    <row r="5399">
      <c r="A5399" s="21"/>
      <c r="B5399" s="21" t="s">
        <v>11530</v>
      </c>
      <c r="D5399" s="25">
        <v>0.0</v>
      </c>
      <c r="E5399" s="27"/>
      <c r="F5399" s="25">
        <v>3.48</v>
      </c>
      <c r="G5399" s="27"/>
    </row>
    <row r="5400">
      <c r="A5400" s="21"/>
      <c r="B5400" s="21" t="s">
        <v>11531</v>
      </c>
      <c r="D5400" s="25">
        <v>0.0</v>
      </c>
      <c r="E5400" s="27"/>
      <c r="F5400" s="25">
        <v>3.48</v>
      </c>
      <c r="G5400" s="27"/>
    </row>
    <row r="5401">
      <c r="A5401" s="21"/>
      <c r="B5401" s="21" t="s">
        <v>11532</v>
      </c>
      <c r="D5401" s="25">
        <v>0.0</v>
      </c>
      <c r="E5401" s="27"/>
      <c r="F5401" s="25">
        <v>0.0</v>
      </c>
      <c r="G5401" s="27"/>
    </row>
    <row r="5402">
      <c r="A5402" s="21"/>
      <c r="B5402" s="21" t="s">
        <v>11533</v>
      </c>
      <c r="D5402" s="25">
        <v>0.0</v>
      </c>
      <c r="E5402" s="27"/>
      <c r="F5402" s="25">
        <v>0.0</v>
      </c>
      <c r="G5402" s="27"/>
    </row>
    <row r="5403">
      <c r="A5403" s="21"/>
      <c r="B5403" s="21" t="s">
        <v>11534</v>
      </c>
      <c r="D5403" s="25">
        <v>0.0</v>
      </c>
      <c r="E5403" s="27"/>
      <c r="F5403" s="25">
        <v>0.0</v>
      </c>
      <c r="G5403" s="27"/>
    </row>
    <row r="5404">
      <c r="A5404" s="21"/>
      <c r="B5404" s="21" t="s">
        <v>11535</v>
      </c>
      <c r="D5404" s="25">
        <v>0.0</v>
      </c>
      <c r="E5404" s="27"/>
      <c r="F5404" s="25">
        <v>0.0</v>
      </c>
      <c r="G5404" s="27"/>
    </row>
    <row r="5405">
      <c r="A5405" s="21"/>
      <c r="B5405" s="21" t="s">
        <v>11536</v>
      </c>
      <c r="D5405" s="25">
        <v>0.0</v>
      </c>
      <c r="E5405" s="27"/>
      <c r="F5405" s="25">
        <v>0.0</v>
      </c>
      <c r="G5405" s="27"/>
    </row>
    <row r="5406">
      <c r="A5406" s="21"/>
      <c r="B5406" s="21" t="s">
        <v>11537</v>
      </c>
      <c r="D5406" s="25">
        <v>0.0</v>
      </c>
      <c r="E5406" s="27"/>
      <c r="F5406" s="25">
        <v>0.0</v>
      </c>
      <c r="G5406" s="27"/>
    </row>
    <row r="5407">
      <c r="A5407" s="21"/>
      <c r="B5407" s="21" t="s">
        <v>11538</v>
      </c>
      <c r="D5407" s="25">
        <v>0.0</v>
      </c>
      <c r="E5407" s="27"/>
      <c r="F5407" s="25">
        <v>0.0</v>
      </c>
      <c r="G5407" s="27"/>
    </row>
    <row r="5408">
      <c r="A5408" s="21"/>
      <c r="B5408" s="21" t="s">
        <v>11539</v>
      </c>
      <c r="D5408" s="25">
        <v>0.0</v>
      </c>
      <c r="E5408" s="27"/>
      <c r="F5408" s="25">
        <v>0.0</v>
      </c>
      <c r="G5408" s="27"/>
    </row>
    <row r="5409">
      <c r="A5409" s="21"/>
      <c r="B5409" s="21" t="s">
        <v>11540</v>
      </c>
      <c r="D5409" s="25">
        <v>0.0</v>
      </c>
      <c r="E5409" s="27"/>
      <c r="F5409" s="25">
        <v>0.0</v>
      </c>
      <c r="G5409" s="27"/>
    </row>
    <row r="5410">
      <c r="A5410" s="21"/>
      <c r="B5410" s="21" t="s">
        <v>11541</v>
      </c>
      <c r="D5410" s="25">
        <v>0.0</v>
      </c>
      <c r="E5410" s="27"/>
      <c r="F5410" s="25">
        <v>0.0</v>
      </c>
      <c r="G5410" s="27"/>
    </row>
    <row r="5411">
      <c r="A5411" s="21"/>
      <c r="B5411" s="21" t="s">
        <v>11542</v>
      </c>
      <c r="D5411" s="25">
        <v>0.0</v>
      </c>
      <c r="E5411" s="27"/>
      <c r="F5411" s="25">
        <v>1.45</v>
      </c>
      <c r="G5411" s="27"/>
    </row>
    <row r="5412">
      <c r="A5412" s="21"/>
      <c r="B5412" s="21" t="s">
        <v>11543</v>
      </c>
      <c r="D5412" s="25">
        <v>0.0</v>
      </c>
      <c r="E5412" s="27"/>
      <c r="F5412" s="25">
        <v>0.0</v>
      </c>
      <c r="G5412" s="27"/>
    </row>
    <row r="5413">
      <c r="A5413" s="21"/>
      <c r="B5413" s="21" t="s">
        <v>11544</v>
      </c>
      <c r="D5413" s="25">
        <v>0.0</v>
      </c>
      <c r="E5413" s="27"/>
      <c r="F5413" s="25">
        <v>0.0</v>
      </c>
      <c r="G5413" s="27"/>
    </row>
    <row r="5414">
      <c r="A5414" s="21"/>
      <c r="B5414" s="21" t="s">
        <v>11545</v>
      </c>
      <c r="D5414" s="25">
        <v>0.0</v>
      </c>
      <c r="E5414" s="27"/>
      <c r="F5414" s="25">
        <v>0.0</v>
      </c>
      <c r="G5414" s="27"/>
    </row>
    <row r="5415">
      <c r="A5415" s="21"/>
      <c r="B5415" s="21" t="s">
        <v>11546</v>
      </c>
      <c r="D5415" s="25">
        <v>0.0</v>
      </c>
      <c r="E5415" s="27"/>
      <c r="F5415" s="25">
        <v>0.0</v>
      </c>
      <c r="G5415" s="27"/>
    </row>
    <row r="5416">
      <c r="A5416" s="21"/>
      <c r="B5416" s="21" t="s">
        <v>11547</v>
      </c>
      <c r="D5416" s="25">
        <v>0.0</v>
      </c>
      <c r="E5416" s="27"/>
      <c r="F5416" s="25">
        <v>0.0</v>
      </c>
      <c r="G5416" s="27"/>
    </row>
    <row r="5417">
      <c r="A5417" s="21"/>
      <c r="B5417" s="21" t="s">
        <v>11548</v>
      </c>
      <c r="D5417" s="25">
        <v>0.0</v>
      </c>
      <c r="E5417" s="27"/>
      <c r="F5417" s="25">
        <v>0.0</v>
      </c>
      <c r="G5417" s="27"/>
    </row>
    <row r="5418">
      <c r="A5418" s="21"/>
      <c r="B5418" s="21" t="s">
        <v>11549</v>
      </c>
      <c r="D5418" s="25">
        <v>0.0</v>
      </c>
      <c r="E5418" s="27"/>
      <c r="F5418" s="25">
        <v>0.0</v>
      </c>
      <c r="G5418" s="27"/>
    </row>
    <row r="5419">
      <c r="A5419" s="21"/>
      <c r="B5419" s="21" t="s">
        <v>11550</v>
      </c>
      <c r="D5419" s="25">
        <v>0.0</v>
      </c>
      <c r="E5419" s="27"/>
      <c r="F5419" s="25">
        <v>0.0</v>
      </c>
      <c r="G5419" s="27"/>
    </row>
    <row r="5420">
      <c r="A5420" s="21"/>
      <c r="B5420" s="21" t="s">
        <v>11551</v>
      </c>
      <c r="D5420" s="25">
        <v>0.0</v>
      </c>
      <c r="E5420" s="27"/>
      <c r="F5420" s="25">
        <v>5.2</v>
      </c>
      <c r="G5420" s="27"/>
    </row>
    <row r="5421">
      <c r="A5421" s="21"/>
      <c r="B5421" s="21" t="s">
        <v>11552</v>
      </c>
      <c r="D5421" s="25">
        <v>0.0</v>
      </c>
      <c r="E5421" s="27"/>
      <c r="F5421" s="25">
        <v>3.87</v>
      </c>
      <c r="G5421" s="27"/>
    </row>
    <row r="5422">
      <c r="A5422" s="21"/>
      <c r="B5422" s="21" t="s">
        <v>11553</v>
      </c>
      <c r="D5422" s="25">
        <v>0.0</v>
      </c>
      <c r="E5422" s="27"/>
      <c r="F5422" s="25">
        <v>4.38</v>
      </c>
      <c r="G5422" s="27"/>
    </row>
    <row r="5423">
      <c r="A5423" s="21"/>
      <c r="B5423" s="21" t="s">
        <v>11554</v>
      </c>
      <c r="D5423" s="25">
        <v>0.0</v>
      </c>
      <c r="E5423" s="27"/>
      <c r="F5423" s="25">
        <v>0.0</v>
      </c>
      <c r="G5423" s="27"/>
    </row>
    <row r="5424">
      <c r="A5424" s="21"/>
      <c r="B5424" s="21" t="s">
        <v>11555</v>
      </c>
      <c r="D5424" s="25">
        <v>0.0</v>
      </c>
      <c r="E5424" s="27"/>
      <c r="F5424" s="25">
        <v>0.0</v>
      </c>
      <c r="G5424" s="27"/>
    </row>
    <row r="5425">
      <c r="A5425" s="21"/>
      <c r="B5425" s="21" t="s">
        <v>11556</v>
      </c>
      <c r="D5425" s="25">
        <v>0.0</v>
      </c>
      <c r="E5425" s="27"/>
      <c r="F5425" s="25">
        <v>0.0</v>
      </c>
      <c r="G5425" s="27"/>
    </row>
    <row r="5426">
      <c r="A5426" s="21"/>
      <c r="B5426" s="21" t="s">
        <v>11557</v>
      </c>
      <c r="D5426" s="25">
        <v>0.0</v>
      </c>
      <c r="E5426" s="27"/>
      <c r="F5426" s="25">
        <v>0.0</v>
      </c>
      <c r="G5426" s="27"/>
    </row>
    <row r="5427">
      <c r="A5427" s="21"/>
      <c r="B5427" s="21" t="s">
        <v>11558</v>
      </c>
      <c r="D5427" s="25">
        <v>0.0</v>
      </c>
      <c r="E5427" s="27"/>
      <c r="F5427" s="25">
        <v>0.0</v>
      </c>
      <c r="G5427" s="27"/>
    </row>
    <row r="5428">
      <c r="A5428" s="21"/>
      <c r="B5428" s="21" t="s">
        <v>11559</v>
      </c>
      <c r="D5428" s="25">
        <v>0.0</v>
      </c>
      <c r="E5428" s="27"/>
      <c r="F5428" s="25">
        <v>0.0</v>
      </c>
      <c r="G5428" s="27"/>
    </row>
    <row r="5429">
      <c r="A5429" s="21"/>
      <c r="B5429" s="21" t="s">
        <v>11560</v>
      </c>
      <c r="D5429" s="25">
        <v>0.0</v>
      </c>
      <c r="E5429" s="27"/>
      <c r="F5429" s="25">
        <v>0.0</v>
      </c>
      <c r="G5429" s="27"/>
    </row>
    <row r="5430">
      <c r="A5430" s="21"/>
      <c r="B5430" s="21" t="s">
        <v>11561</v>
      </c>
      <c r="D5430" s="25">
        <v>0.0</v>
      </c>
      <c r="E5430" s="27"/>
      <c r="F5430" s="25">
        <v>0.0</v>
      </c>
      <c r="G5430" s="27"/>
    </row>
    <row r="5431">
      <c r="A5431" s="21"/>
      <c r="B5431" s="21" t="s">
        <v>11562</v>
      </c>
      <c r="D5431" s="25">
        <v>0.0</v>
      </c>
      <c r="E5431" s="27"/>
      <c r="F5431" s="25">
        <v>0.0</v>
      </c>
      <c r="G5431" s="27"/>
    </row>
    <row r="5432">
      <c r="A5432" s="21"/>
      <c r="B5432" s="21" t="s">
        <v>11563</v>
      </c>
      <c r="D5432" s="25">
        <v>0.0</v>
      </c>
      <c r="E5432" s="27"/>
      <c r="F5432" s="25">
        <v>0.0</v>
      </c>
      <c r="G5432" s="27"/>
    </row>
    <row r="5433">
      <c r="A5433" s="21"/>
      <c r="B5433" s="21" t="s">
        <v>11564</v>
      </c>
      <c r="D5433" s="25">
        <v>0.0</v>
      </c>
      <c r="E5433" s="27"/>
      <c r="F5433" s="25">
        <v>0.0</v>
      </c>
      <c r="G5433" s="27"/>
    </row>
    <row r="5434">
      <c r="A5434" s="21"/>
      <c r="B5434" s="21" t="s">
        <v>11565</v>
      </c>
      <c r="D5434" s="25">
        <v>0.0</v>
      </c>
      <c r="E5434" s="27"/>
      <c r="F5434" s="25">
        <v>0.0</v>
      </c>
      <c r="G5434" s="27"/>
    </row>
    <row r="5435">
      <c r="A5435" s="21"/>
      <c r="B5435" s="21" t="s">
        <v>11566</v>
      </c>
      <c r="D5435" s="25">
        <v>0.0</v>
      </c>
      <c r="E5435" s="27"/>
      <c r="F5435" s="25">
        <v>0.0</v>
      </c>
      <c r="G5435" s="27"/>
    </row>
    <row r="5436">
      <c r="A5436" s="21"/>
      <c r="B5436" s="21" t="s">
        <v>11567</v>
      </c>
      <c r="D5436" s="25">
        <v>0.0</v>
      </c>
      <c r="E5436" s="27"/>
      <c r="F5436" s="25">
        <v>0.0</v>
      </c>
      <c r="G5436" s="27"/>
    </row>
    <row r="5437">
      <c r="A5437" s="21"/>
      <c r="B5437" s="21" t="s">
        <v>11568</v>
      </c>
      <c r="D5437" s="25">
        <v>0.0</v>
      </c>
      <c r="E5437" s="27"/>
      <c r="F5437" s="25">
        <v>0.0</v>
      </c>
      <c r="G5437" s="27"/>
    </row>
    <row r="5438">
      <c r="A5438" s="21"/>
      <c r="B5438" s="21" t="s">
        <v>11569</v>
      </c>
      <c r="D5438" s="25">
        <v>0.0</v>
      </c>
      <c r="E5438" s="27"/>
      <c r="F5438" s="25">
        <v>0.0</v>
      </c>
      <c r="G5438" s="27"/>
    </row>
    <row r="5439">
      <c r="A5439" s="21"/>
      <c r="B5439" s="21" t="s">
        <v>11570</v>
      </c>
      <c r="D5439" s="25">
        <v>0.0</v>
      </c>
      <c r="E5439" s="27"/>
      <c r="F5439" s="25">
        <v>6.79</v>
      </c>
      <c r="G5439" s="27"/>
    </row>
    <row r="5440">
      <c r="A5440" s="21"/>
      <c r="B5440" s="21" t="s">
        <v>11571</v>
      </c>
      <c r="D5440" s="25">
        <v>0.0</v>
      </c>
      <c r="E5440" s="27"/>
      <c r="F5440" s="25">
        <v>0.0</v>
      </c>
      <c r="G5440" s="27"/>
    </row>
    <row r="5441">
      <c r="A5441" s="21"/>
      <c r="B5441" s="21" t="s">
        <v>11572</v>
      </c>
      <c r="D5441" s="25">
        <v>0.0</v>
      </c>
      <c r="E5441" s="27"/>
      <c r="F5441" s="25">
        <v>0.0</v>
      </c>
      <c r="G5441" s="27"/>
    </row>
    <row r="5442">
      <c r="A5442" s="21"/>
      <c r="B5442" s="21" t="s">
        <v>11573</v>
      </c>
      <c r="D5442" s="25">
        <v>0.0</v>
      </c>
      <c r="E5442" s="27"/>
      <c r="F5442" s="25">
        <v>0.0</v>
      </c>
      <c r="G5442" s="27"/>
    </row>
    <row r="5443">
      <c r="A5443" s="21"/>
      <c r="B5443" s="21" t="s">
        <v>11574</v>
      </c>
      <c r="D5443" s="25">
        <v>0.0</v>
      </c>
      <c r="E5443" s="27"/>
      <c r="F5443" s="25">
        <v>0.0</v>
      </c>
      <c r="G5443" s="27"/>
    </row>
    <row r="5444">
      <c r="A5444" s="21"/>
      <c r="B5444" s="21" t="s">
        <v>11575</v>
      </c>
      <c r="D5444" s="25">
        <v>0.0</v>
      </c>
      <c r="E5444" s="27"/>
      <c r="F5444" s="25">
        <v>4.79</v>
      </c>
      <c r="G5444" s="27"/>
    </row>
    <row r="5445">
      <c r="A5445" s="21"/>
      <c r="B5445" s="21" t="s">
        <v>11576</v>
      </c>
      <c r="D5445" s="25">
        <v>0.0</v>
      </c>
      <c r="E5445" s="27"/>
      <c r="F5445" s="25">
        <v>0.0</v>
      </c>
      <c r="G5445" s="27"/>
    </row>
    <row r="5446">
      <c r="A5446" s="21"/>
      <c r="B5446" s="21" t="s">
        <v>11577</v>
      </c>
      <c r="D5446" s="25">
        <v>0.0</v>
      </c>
      <c r="E5446" s="27"/>
      <c r="F5446" s="25">
        <v>0.0</v>
      </c>
      <c r="G5446" s="27"/>
    </row>
    <row r="5447">
      <c r="A5447" s="21"/>
      <c r="B5447" s="21" t="s">
        <v>11578</v>
      </c>
      <c r="D5447" s="25">
        <v>0.0</v>
      </c>
      <c r="E5447" s="27"/>
      <c r="F5447" s="25">
        <v>0.0</v>
      </c>
      <c r="G5447" s="27"/>
    </row>
    <row r="5448">
      <c r="A5448" s="21"/>
      <c r="B5448" s="21" t="s">
        <v>11579</v>
      </c>
      <c r="D5448" s="25">
        <v>0.0</v>
      </c>
      <c r="E5448" s="27"/>
      <c r="F5448" s="25">
        <v>0.0</v>
      </c>
      <c r="G5448" s="27"/>
    </row>
    <row r="5449">
      <c r="A5449" s="21"/>
      <c r="B5449" s="21" t="s">
        <v>11580</v>
      </c>
      <c r="D5449" s="25">
        <v>0.0</v>
      </c>
      <c r="E5449" s="27"/>
      <c r="F5449" s="25">
        <v>0.0</v>
      </c>
      <c r="G5449" s="27"/>
    </row>
    <row r="5450">
      <c r="A5450" s="21"/>
      <c r="B5450" s="21" t="s">
        <v>11581</v>
      </c>
      <c r="D5450" s="25">
        <v>0.0</v>
      </c>
      <c r="E5450" s="27"/>
      <c r="F5450" s="25">
        <v>0.0</v>
      </c>
      <c r="G5450" s="27"/>
    </row>
    <row r="5451">
      <c r="A5451" s="21"/>
      <c r="B5451" s="21" t="s">
        <v>11582</v>
      </c>
      <c r="D5451" s="25">
        <v>0.0</v>
      </c>
      <c r="E5451" s="27"/>
      <c r="F5451" s="25">
        <v>0.0</v>
      </c>
      <c r="G5451" s="27"/>
    </row>
    <row r="5452">
      <c r="A5452" s="21"/>
      <c r="B5452" s="21" t="s">
        <v>11583</v>
      </c>
      <c r="D5452" s="25">
        <v>0.0</v>
      </c>
      <c r="E5452" s="27"/>
      <c r="F5452" s="25">
        <v>0.0</v>
      </c>
      <c r="G5452" s="27"/>
    </row>
    <row r="5453">
      <c r="A5453" s="21"/>
      <c r="B5453" s="21" t="s">
        <v>11584</v>
      </c>
      <c r="D5453" s="25">
        <v>0.0</v>
      </c>
      <c r="E5453" s="27"/>
      <c r="F5453" s="25">
        <v>0.0</v>
      </c>
      <c r="G5453" s="27"/>
    </row>
    <row r="5454">
      <c r="A5454" s="21"/>
      <c r="B5454" s="21" t="s">
        <v>11585</v>
      </c>
      <c r="D5454" s="25">
        <v>0.0</v>
      </c>
      <c r="E5454" s="27"/>
      <c r="F5454" s="25">
        <v>0.0</v>
      </c>
      <c r="G5454" s="27"/>
    </row>
    <row r="5455">
      <c r="A5455" s="21"/>
      <c r="B5455" s="21" t="s">
        <v>11586</v>
      </c>
      <c r="D5455" s="25">
        <v>0.0</v>
      </c>
      <c r="E5455" s="27"/>
      <c r="F5455" s="25">
        <v>0.0</v>
      </c>
      <c r="G5455" s="27"/>
    </row>
    <row r="5456">
      <c r="A5456" s="21"/>
      <c r="B5456" s="21" t="s">
        <v>11587</v>
      </c>
      <c r="D5456" s="25">
        <v>0.0</v>
      </c>
      <c r="E5456" s="27"/>
      <c r="F5456" s="25">
        <v>0.0</v>
      </c>
      <c r="G5456" s="27"/>
    </row>
    <row r="5457">
      <c r="A5457" s="21"/>
      <c r="B5457" s="21" t="s">
        <v>11588</v>
      </c>
      <c r="D5457" s="25">
        <v>0.0</v>
      </c>
      <c r="E5457" s="27"/>
      <c r="F5457" s="25">
        <v>0.0</v>
      </c>
      <c r="G5457" s="27"/>
    </row>
    <row r="5458">
      <c r="A5458" s="21"/>
      <c r="B5458" s="21" t="s">
        <v>11589</v>
      </c>
      <c r="D5458" s="25">
        <v>0.0</v>
      </c>
      <c r="E5458" s="27"/>
      <c r="F5458" s="25">
        <v>0.0</v>
      </c>
      <c r="G5458" s="27"/>
    </row>
    <row r="5459">
      <c r="A5459" s="21"/>
      <c r="B5459" s="21" t="s">
        <v>11590</v>
      </c>
      <c r="D5459" s="25">
        <v>0.0</v>
      </c>
      <c r="E5459" s="27"/>
      <c r="F5459" s="25">
        <v>0.0</v>
      </c>
      <c r="G5459" s="27"/>
    </row>
    <row r="5460">
      <c r="A5460" s="21"/>
      <c r="B5460" s="21" t="s">
        <v>11591</v>
      </c>
      <c r="D5460" s="25">
        <v>0.0</v>
      </c>
      <c r="E5460" s="27"/>
      <c r="F5460" s="25">
        <v>0.0</v>
      </c>
      <c r="G5460" s="27"/>
    </row>
    <row r="5461">
      <c r="A5461" s="21"/>
      <c r="B5461" s="21" t="s">
        <v>11592</v>
      </c>
      <c r="D5461" s="25">
        <v>0.0</v>
      </c>
      <c r="E5461" s="27"/>
      <c r="F5461" s="25">
        <v>7.1</v>
      </c>
      <c r="G5461" s="27"/>
    </row>
    <row r="5462">
      <c r="A5462" s="21"/>
      <c r="B5462" s="21" t="s">
        <v>11593</v>
      </c>
      <c r="D5462" s="25">
        <v>0.0</v>
      </c>
      <c r="E5462" s="27"/>
      <c r="F5462" s="25">
        <v>0.0</v>
      </c>
      <c r="G5462" s="27"/>
    </row>
    <row r="5463">
      <c r="A5463" s="21"/>
      <c r="B5463" s="21" t="s">
        <v>11594</v>
      </c>
      <c r="D5463" s="25">
        <v>0.0</v>
      </c>
      <c r="E5463" s="27"/>
      <c r="F5463" s="25">
        <v>0.0</v>
      </c>
      <c r="G5463" s="27"/>
    </row>
    <row r="5464">
      <c r="A5464" s="21"/>
      <c r="B5464" s="21" t="s">
        <v>11595</v>
      </c>
      <c r="D5464" s="25">
        <v>0.0</v>
      </c>
      <c r="E5464" s="27"/>
      <c r="F5464" s="25">
        <v>0.0</v>
      </c>
      <c r="G5464" s="27"/>
    </row>
    <row r="5465">
      <c r="A5465" s="21"/>
      <c r="B5465" s="21" t="s">
        <v>11596</v>
      </c>
      <c r="D5465" s="25">
        <v>0.0</v>
      </c>
      <c r="E5465" s="27"/>
      <c r="F5465" s="25">
        <v>0.0</v>
      </c>
      <c r="G5465" s="27"/>
    </row>
    <row r="5466">
      <c r="A5466" s="21"/>
      <c r="B5466" s="21" t="s">
        <v>11597</v>
      </c>
      <c r="D5466" s="25">
        <v>0.0</v>
      </c>
      <c r="E5466" s="27"/>
      <c r="F5466" s="25">
        <v>0.0</v>
      </c>
      <c r="G5466" s="27"/>
    </row>
    <row r="5467">
      <c r="A5467" s="21"/>
      <c r="B5467" s="21" t="s">
        <v>11598</v>
      </c>
      <c r="D5467" s="25">
        <v>0.0</v>
      </c>
      <c r="E5467" s="27"/>
      <c r="F5467" s="25">
        <v>0.0</v>
      </c>
      <c r="G5467" s="27"/>
    </row>
    <row r="5468">
      <c r="A5468" s="21"/>
      <c r="B5468" s="21" t="s">
        <v>11599</v>
      </c>
      <c r="D5468" s="25">
        <v>0.0</v>
      </c>
      <c r="E5468" s="27"/>
      <c r="F5468" s="25">
        <v>0.0</v>
      </c>
      <c r="G5468" s="27"/>
    </row>
    <row r="5469">
      <c r="A5469" s="21"/>
      <c r="B5469" s="21" t="s">
        <v>11600</v>
      </c>
      <c r="D5469" s="25">
        <v>0.0</v>
      </c>
      <c r="E5469" s="27"/>
      <c r="F5469" s="25">
        <v>0.0</v>
      </c>
      <c r="G5469" s="27"/>
    </row>
    <row r="5470">
      <c r="A5470" s="21"/>
      <c r="B5470" s="21" t="s">
        <v>11601</v>
      </c>
      <c r="D5470" s="25">
        <v>0.0</v>
      </c>
      <c r="E5470" s="27"/>
      <c r="F5470" s="25">
        <v>0.0</v>
      </c>
      <c r="G5470" s="27"/>
    </row>
    <row r="5471">
      <c r="A5471" s="21"/>
      <c r="B5471" s="21" t="s">
        <v>6058</v>
      </c>
      <c r="D5471" s="25">
        <v>0.0</v>
      </c>
      <c r="E5471" s="27"/>
      <c r="F5471" s="25">
        <v>0.0</v>
      </c>
      <c r="G5471" s="27"/>
    </row>
    <row r="5472">
      <c r="A5472" s="21"/>
      <c r="B5472" s="21" t="s">
        <v>11602</v>
      </c>
      <c r="D5472" s="25">
        <v>0.0</v>
      </c>
      <c r="E5472" s="27"/>
      <c r="F5472" s="25">
        <v>0.0</v>
      </c>
      <c r="G5472" s="27"/>
    </row>
    <row r="5473">
      <c r="A5473" s="21"/>
      <c r="B5473" s="21" t="s">
        <v>11603</v>
      </c>
      <c r="D5473" s="25">
        <v>0.0</v>
      </c>
      <c r="E5473" s="27"/>
      <c r="F5473" s="25">
        <v>0.0</v>
      </c>
      <c r="G5473" s="27"/>
    </row>
    <row r="5474">
      <c r="A5474" s="21"/>
      <c r="B5474" s="21" t="s">
        <v>11604</v>
      </c>
      <c r="D5474" s="25">
        <v>0.0</v>
      </c>
      <c r="E5474" s="27"/>
      <c r="F5474" s="25">
        <v>0.0</v>
      </c>
      <c r="G5474" s="27"/>
    </row>
    <row r="5475">
      <c r="A5475" s="21"/>
      <c r="B5475" s="21" t="s">
        <v>11605</v>
      </c>
      <c r="D5475" s="25">
        <v>0.0</v>
      </c>
      <c r="E5475" s="27"/>
      <c r="F5475" s="25">
        <v>0.0</v>
      </c>
      <c r="G5475" s="27"/>
    </row>
    <row r="5476">
      <c r="A5476" s="21"/>
      <c r="B5476" s="21" t="s">
        <v>11606</v>
      </c>
      <c r="D5476" s="25">
        <v>0.0</v>
      </c>
      <c r="E5476" s="27"/>
      <c r="F5476" s="25">
        <v>0.0</v>
      </c>
      <c r="G5476" s="27"/>
    </row>
    <row r="5477">
      <c r="A5477" s="21"/>
      <c r="B5477" s="21" t="s">
        <v>11607</v>
      </c>
      <c r="D5477" s="25">
        <v>0.0</v>
      </c>
      <c r="E5477" s="27"/>
      <c r="F5477" s="25">
        <v>0.0</v>
      </c>
      <c r="G5477" s="27"/>
    </row>
    <row r="5478">
      <c r="A5478" s="21"/>
      <c r="B5478" s="21" t="s">
        <v>11608</v>
      </c>
      <c r="D5478" s="25">
        <v>0.0</v>
      </c>
      <c r="E5478" s="27"/>
      <c r="F5478" s="25">
        <v>0.0</v>
      </c>
      <c r="G5478" s="27"/>
    </row>
    <row r="5479">
      <c r="A5479" s="21"/>
      <c r="B5479" s="21" t="s">
        <v>11609</v>
      </c>
      <c r="D5479" s="25">
        <v>0.0</v>
      </c>
      <c r="E5479" s="27"/>
      <c r="F5479" s="25">
        <v>0.0</v>
      </c>
      <c r="G5479" s="27"/>
    </row>
    <row r="5480">
      <c r="A5480" s="21"/>
      <c r="B5480" s="21" t="s">
        <v>11610</v>
      </c>
      <c r="D5480" s="25">
        <v>0.0</v>
      </c>
      <c r="E5480" s="27"/>
      <c r="F5480" s="25">
        <v>0.0</v>
      </c>
      <c r="G5480" s="27"/>
    </row>
    <row r="5481">
      <c r="A5481" s="21"/>
      <c r="B5481" s="21" t="s">
        <v>11611</v>
      </c>
      <c r="D5481" s="25">
        <v>0.0</v>
      </c>
      <c r="E5481" s="27"/>
      <c r="F5481" s="25">
        <v>0.0</v>
      </c>
      <c r="G5481" s="27"/>
    </row>
    <row r="5482">
      <c r="A5482" s="21"/>
      <c r="B5482" s="21" t="s">
        <v>11612</v>
      </c>
      <c r="D5482" s="25">
        <v>0.0</v>
      </c>
      <c r="E5482" s="27"/>
      <c r="F5482" s="25">
        <v>0.0</v>
      </c>
      <c r="G5482" s="27"/>
    </row>
    <row r="5483">
      <c r="A5483" s="21"/>
      <c r="B5483" s="21" t="s">
        <v>11613</v>
      </c>
      <c r="D5483" s="25">
        <v>0.0</v>
      </c>
      <c r="E5483" s="27"/>
      <c r="F5483" s="25">
        <v>0.0</v>
      </c>
      <c r="G5483" s="27"/>
    </row>
    <row r="5484">
      <c r="A5484" s="21"/>
      <c r="B5484" s="21" t="s">
        <v>11614</v>
      </c>
      <c r="D5484" s="25">
        <v>0.0</v>
      </c>
      <c r="E5484" s="27"/>
      <c r="F5484" s="25">
        <v>0.0</v>
      </c>
      <c r="G5484" s="27"/>
    </row>
    <row r="5485">
      <c r="A5485" s="21"/>
      <c r="B5485" s="21" t="s">
        <v>11615</v>
      </c>
      <c r="D5485" s="25">
        <v>0.0</v>
      </c>
      <c r="E5485" s="27"/>
      <c r="F5485" s="25">
        <v>0.0</v>
      </c>
      <c r="G5485" s="27"/>
    </row>
    <row r="5486">
      <c r="A5486" s="21"/>
      <c r="B5486" s="21" t="s">
        <v>11616</v>
      </c>
      <c r="D5486" s="25">
        <v>0.0</v>
      </c>
      <c r="E5486" s="27"/>
      <c r="F5486" s="25">
        <v>0.0</v>
      </c>
      <c r="G5486" s="27"/>
    </row>
    <row r="5487">
      <c r="A5487" s="21"/>
      <c r="B5487" s="21" t="s">
        <v>11617</v>
      </c>
      <c r="D5487" s="25">
        <v>0.0</v>
      </c>
      <c r="E5487" s="27"/>
      <c r="F5487" s="25">
        <v>0.0</v>
      </c>
      <c r="G5487" s="27"/>
    </row>
    <row r="5488">
      <c r="A5488" s="21"/>
      <c r="B5488" s="21" t="s">
        <v>11618</v>
      </c>
      <c r="D5488" s="25">
        <v>0.0</v>
      </c>
      <c r="E5488" s="27"/>
      <c r="F5488" s="25">
        <v>0.0</v>
      </c>
      <c r="G5488" s="27"/>
    </row>
    <row r="5489">
      <c r="A5489" s="21"/>
      <c r="B5489" s="21" t="s">
        <v>11619</v>
      </c>
      <c r="D5489" s="25">
        <v>0.0</v>
      </c>
      <c r="E5489" s="27"/>
      <c r="F5489" s="25">
        <v>0.0</v>
      </c>
      <c r="G5489" s="27"/>
    </row>
    <row r="5490">
      <c r="A5490" s="21"/>
      <c r="B5490" s="21" t="s">
        <v>11620</v>
      </c>
      <c r="D5490" s="25">
        <v>0.0</v>
      </c>
      <c r="E5490" s="27"/>
      <c r="F5490" s="25">
        <v>0.0</v>
      </c>
      <c r="G5490" s="27"/>
    </row>
    <row r="5491">
      <c r="A5491" s="21"/>
      <c r="B5491" s="21" t="s">
        <v>11621</v>
      </c>
      <c r="D5491" s="25">
        <v>0.0</v>
      </c>
      <c r="E5491" s="27"/>
      <c r="F5491" s="25">
        <v>0.0</v>
      </c>
      <c r="G5491" s="27"/>
    </row>
    <row r="5492">
      <c r="A5492" s="21"/>
      <c r="B5492" s="21" t="s">
        <v>11622</v>
      </c>
      <c r="D5492" s="25">
        <v>0.0</v>
      </c>
      <c r="E5492" s="27"/>
      <c r="F5492" s="25">
        <v>0.0</v>
      </c>
      <c r="G5492" s="27"/>
    </row>
    <row r="5493">
      <c r="A5493" s="21"/>
      <c r="B5493" s="21" t="s">
        <v>11623</v>
      </c>
      <c r="D5493" s="25">
        <v>0.0</v>
      </c>
      <c r="E5493" s="27"/>
      <c r="F5493" s="25">
        <v>0.0</v>
      </c>
      <c r="G5493" s="27"/>
    </row>
    <row r="5494">
      <c r="A5494" s="21"/>
      <c r="B5494" s="21" t="s">
        <v>11624</v>
      </c>
      <c r="D5494" s="25">
        <v>0.0</v>
      </c>
      <c r="E5494" s="27"/>
      <c r="F5494" s="25">
        <v>0.0</v>
      </c>
      <c r="G5494" s="27"/>
    </row>
    <row r="5495">
      <c r="A5495" s="21"/>
      <c r="B5495" s="21" t="s">
        <v>11625</v>
      </c>
      <c r="D5495" s="25">
        <v>0.0</v>
      </c>
      <c r="E5495" s="27"/>
      <c r="F5495" s="25">
        <v>0.0</v>
      </c>
      <c r="G5495" s="27"/>
    </row>
    <row r="5496">
      <c r="A5496" s="21"/>
      <c r="B5496" s="21" t="s">
        <v>11626</v>
      </c>
      <c r="D5496" s="25">
        <v>0.0</v>
      </c>
      <c r="E5496" s="27"/>
      <c r="F5496" s="25">
        <v>0.0</v>
      </c>
      <c r="G5496" s="27"/>
    </row>
    <row r="5497">
      <c r="A5497" s="21"/>
      <c r="B5497" s="21" t="s">
        <v>11627</v>
      </c>
      <c r="D5497" s="25">
        <v>0.0</v>
      </c>
      <c r="E5497" s="27"/>
      <c r="F5497" s="25">
        <v>0.0</v>
      </c>
      <c r="G5497" s="27"/>
    </row>
    <row r="5498">
      <c r="A5498" s="21"/>
      <c r="B5498" s="21" t="s">
        <v>11628</v>
      </c>
      <c r="D5498" s="25">
        <v>0.0</v>
      </c>
      <c r="E5498" s="27"/>
      <c r="F5498" s="25">
        <v>0.0</v>
      </c>
      <c r="G5498" s="27"/>
    </row>
    <row r="5499">
      <c r="A5499" s="21"/>
      <c r="B5499" s="21" t="s">
        <v>11629</v>
      </c>
      <c r="D5499" s="25">
        <v>0.0</v>
      </c>
      <c r="E5499" s="27"/>
      <c r="F5499" s="25">
        <v>0.0</v>
      </c>
      <c r="G5499" s="27"/>
    </row>
    <row r="5500">
      <c r="A5500" s="21"/>
      <c r="B5500" s="21" t="s">
        <v>11630</v>
      </c>
      <c r="D5500" s="25">
        <v>0.0</v>
      </c>
      <c r="E5500" s="27"/>
      <c r="F5500" s="25">
        <v>0.0</v>
      </c>
      <c r="G5500" s="27"/>
    </row>
    <row r="5501">
      <c r="A5501" s="21"/>
      <c r="B5501" s="21" t="s">
        <v>11631</v>
      </c>
      <c r="D5501" s="25">
        <v>0.0</v>
      </c>
      <c r="E5501" s="27"/>
      <c r="F5501" s="25">
        <v>0.0</v>
      </c>
      <c r="G5501" s="27"/>
    </row>
    <row r="5502">
      <c r="A5502" s="21"/>
      <c r="B5502" s="21" t="s">
        <v>11632</v>
      </c>
      <c r="D5502" s="25">
        <v>0.0</v>
      </c>
      <c r="E5502" s="27"/>
      <c r="F5502" s="25">
        <v>0.0</v>
      </c>
      <c r="G5502" s="27"/>
    </row>
    <row r="5503">
      <c r="A5503" s="21"/>
      <c r="B5503" s="21" t="s">
        <v>11633</v>
      </c>
      <c r="D5503" s="25">
        <v>0.0</v>
      </c>
      <c r="E5503" s="27"/>
      <c r="F5503" s="25">
        <v>0.0</v>
      </c>
      <c r="G5503" s="27"/>
    </row>
    <row r="5504">
      <c r="A5504" s="21"/>
      <c r="B5504" s="21" t="s">
        <v>11634</v>
      </c>
      <c r="D5504" s="25">
        <v>0.0</v>
      </c>
      <c r="E5504" s="27"/>
      <c r="F5504" s="25">
        <v>0.0</v>
      </c>
      <c r="G5504" s="27"/>
    </row>
    <row r="5505">
      <c r="A5505" s="21"/>
      <c r="B5505" s="21" t="s">
        <v>11635</v>
      </c>
      <c r="D5505" s="25">
        <v>0.0</v>
      </c>
      <c r="E5505" s="27"/>
      <c r="F5505" s="25">
        <v>0.0</v>
      </c>
      <c r="G5505" s="27"/>
    </row>
    <row r="5506">
      <c r="A5506" s="21"/>
      <c r="B5506" s="21" t="s">
        <v>11636</v>
      </c>
      <c r="D5506" s="25">
        <v>0.0</v>
      </c>
      <c r="E5506" s="27"/>
      <c r="F5506" s="25">
        <v>0.0</v>
      </c>
      <c r="G5506" s="27"/>
    </row>
    <row r="5507">
      <c r="A5507" s="21"/>
      <c r="B5507" s="21" t="s">
        <v>11637</v>
      </c>
      <c r="D5507" s="25">
        <v>0.0</v>
      </c>
      <c r="E5507" s="27"/>
      <c r="F5507" s="25">
        <v>0.0</v>
      </c>
      <c r="G5507" s="27"/>
    </row>
    <row r="5508">
      <c r="A5508" s="21"/>
      <c r="B5508" s="21" t="s">
        <v>11638</v>
      </c>
      <c r="D5508" s="25">
        <v>0.0</v>
      </c>
      <c r="E5508" s="27"/>
      <c r="F5508" s="25">
        <v>0.0</v>
      </c>
      <c r="G5508" s="27"/>
    </row>
    <row r="5509">
      <c r="A5509" s="21"/>
      <c r="B5509" s="21" t="s">
        <v>11639</v>
      </c>
      <c r="D5509" s="25">
        <v>0.0</v>
      </c>
      <c r="E5509" s="27"/>
      <c r="F5509" s="25">
        <v>0.0</v>
      </c>
      <c r="G5509" s="27"/>
    </row>
    <row r="5510">
      <c r="A5510" s="21"/>
      <c r="B5510" s="21" t="s">
        <v>11640</v>
      </c>
      <c r="D5510" s="25">
        <v>0.0</v>
      </c>
      <c r="E5510" s="27"/>
      <c r="F5510" s="25">
        <v>0.0</v>
      </c>
      <c r="G5510" s="27"/>
    </row>
    <row r="5511">
      <c r="A5511" s="21"/>
      <c r="B5511" s="21" t="s">
        <v>11641</v>
      </c>
      <c r="D5511" s="25">
        <v>0.0</v>
      </c>
      <c r="E5511" s="27"/>
      <c r="F5511" s="25">
        <v>0.0</v>
      </c>
      <c r="G5511" s="27"/>
    </row>
    <row r="5512">
      <c r="A5512" s="21"/>
      <c r="B5512" s="21" t="s">
        <v>11642</v>
      </c>
      <c r="D5512" s="25">
        <v>0.0</v>
      </c>
      <c r="E5512" s="27"/>
      <c r="F5512" s="25">
        <v>0.0</v>
      </c>
      <c r="G5512" s="27"/>
    </row>
    <row r="5513">
      <c r="A5513" s="21"/>
      <c r="B5513" s="21" t="s">
        <v>11643</v>
      </c>
      <c r="D5513" s="25">
        <v>0.0</v>
      </c>
      <c r="E5513" s="27"/>
      <c r="F5513" s="25">
        <v>0.0</v>
      </c>
      <c r="G5513" s="27"/>
    </row>
    <row r="5514">
      <c r="A5514" s="21"/>
      <c r="B5514" s="21" t="s">
        <v>11644</v>
      </c>
      <c r="D5514" s="25">
        <v>0.0</v>
      </c>
      <c r="E5514" s="27"/>
      <c r="F5514" s="25">
        <v>0.0</v>
      </c>
      <c r="G5514" s="27"/>
    </row>
    <row r="5515">
      <c r="A5515" s="21"/>
      <c r="B5515" s="21" t="s">
        <v>11645</v>
      </c>
      <c r="D5515" s="25">
        <v>0.0</v>
      </c>
      <c r="E5515" s="27"/>
      <c r="F5515" s="25">
        <v>0.0</v>
      </c>
      <c r="G5515" s="27"/>
    </row>
    <row r="5516">
      <c r="A5516" s="21"/>
      <c r="B5516" s="21" t="s">
        <v>11646</v>
      </c>
      <c r="D5516" s="25">
        <v>0.0</v>
      </c>
      <c r="E5516" s="27"/>
      <c r="F5516" s="25">
        <v>0.0</v>
      </c>
      <c r="G5516" s="27"/>
    </row>
    <row r="5517">
      <c r="A5517" s="21"/>
      <c r="B5517" s="21" t="s">
        <v>11647</v>
      </c>
      <c r="D5517" s="25">
        <v>0.0</v>
      </c>
      <c r="E5517" s="27"/>
      <c r="F5517" s="25">
        <v>1.55</v>
      </c>
      <c r="G5517" s="27"/>
    </row>
    <row r="5518">
      <c r="A5518" s="21"/>
      <c r="B5518" s="21" t="s">
        <v>11648</v>
      </c>
      <c r="D5518" s="25">
        <v>0.0</v>
      </c>
      <c r="E5518" s="27"/>
      <c r="F5518" s="25">
        <v>0.0</v>
      </c>
      <c r="G5518" s="27"/>
    </row>
    <row r="5519">
      <c r="A5519" s="21"/>
      <c r="B5519" s="21" t="s">
        <v>11649</v>
      </c>
      <c r="D5519" s="25">
        <v>0.0</v>
      </c>
      <c r="E5519" s="27"/>
      <c r="F5519" s="25">
        <v>0.0</v>
      </c>
      <c r="G5519" s="27"/>
    </row>
    <row r="5520">
      <c r="A5520" s="21"/>
      <c r="B5520" s="21" t="s">
        <v>11650</v>
      </c>
      <c r="D5520" s="25">
        <v>0.0</v>
      </c>
      <c r="E5520" s="27"/>
      <c r="F5520" s="25">
        <v>0.0</v>
      </c>
      <c r="G5520" s="27"/>
    </row>
    <row r="5521">
      <c r="A5521" s="21"/>
      <c r="B5521" s="21" t="s">
        <v>11651</v>
      </c>
      <c r="D5521" s="25">
        <v>0.0</v>
      </c>
      <c r="E5521" s="27"/>
      <c r="F5521" s="25">
        <v>0.0</v>
      </c>
      <c r="G5521" s="27"/>
    </row>
    <row r="5522">
      <c r="A5522" s="21"/>
      <c r="B5522" s="21" t="s">
        <v>11652</v>
      </c>
      <c r="D5522" s="25">
        <v>0.0</v>
      </c>
      <c r="E5522" s="27"/>
      <c r="F5522" s="25">
        <v>0.0</v>
      </c>
      <c r="G5522" s="27"/>
    </row>
    <row r="5523">
      <c r="A5523" s="21"/>
      <c r="B5523" s="21" t="s">
        <v>11653</v>
      </c>
      <c r="D5523" s="25">
        <v>0.0</v>
      </c>
      <c r="E5523" s="27"/>
      <c r="F5523" s="25">
        <v>0.0</v>
      </c>
      <c r="G5523" s="27"/>
    </row>
    <row r="5524">
      <c r="A5524" s="21"/>
      <c r="B5524" s="21" t="s">
        <v>11654</v>
      </c>
      <c r="D5524" s="25">
        <v>0.0</v>
      </c>
      <c r="E5524" s="27"/>
      <c r="F5524" s="25">
        <v>0.0</v>
      </c>
      <c r="G5524" s="27"/>
    </row>
    <row r="5525">
      <c r="A5525" s="21"/>
      <c r="B5525" s="21" t="s">
        <v>11655</v>
      </c>
      <c r="D5525" s="25">
        <v>0.0</v>
      </c>
      <c r="E5525" s="27"/>
      <c r="F5525" s="25">
        <v>0.0</v>
      </c>
      <c r="G5525" s="27"/>
    </row>
    <row r="5526">
      <c r="A5526" s="21"/>
      <c r="B5526" s="21" t="s">
        <v>11656</v>
      </c>
      <c r="D5526" s="25">
        <v>0.0</v>
      </c>
      <c r="E5526" s="27"/>
      <c r="F5526" s="25">
        <v>2.6</v>
      </c>
      <c r="G5526" s="27"/>
    </row>
    <row r="5527">
      <c r="A5527" s="21"/>
      <c r="B5527" s="21" t="s">
        <v>11657</v>
      </c>
      <c r="D5527" s="25">
        <v>0.0</v>
      </c>
      <c r="E5527" s="27"/>
      <c r="F5527" s="25">
        <v>0.0</v>
      </c>
      <c r="G5527" s="27"/>
    </row>
    <row r="5528">
      <c r="A5528" s="21"/>
      <c r="B5528" s="21" t="s">
        <v>11658</v>
      </c>
      <c r="D5528" s="25">
        <v>0.0</v>
      </c>
      <c r="E5528" s="27"/>
      <c r="F5528" s="25">
        <v>0.0</v>
      </c>
      <c r="G5528" s="27"/>
    </row>
    <row r="5529">
      <c r="A5529" s="21"/>
      <c r="B5529" s="21" t="s">
        <v>11659</v>
      </c>
      <c r="D5529" s="25">
        <v>0.0</v>
      </c>
      <c r="E5529" s="27"/>
      <c r="F5529" s="25">
        <v>0.0</v>
      </c>
      <c r="G5529" s="27"/>
    </row>
    <row r="5530">
      <c r="A5530" s="21"/>
      <c r="B5530" s="21" t="s">
        <v>11660</v>
      </c>
      <c r="D5530" s="25">
        <v>0.0</v>
      </c>
      <c r="E5530" s="27"/>
      <c r="F5530" s="25">
        <v>0.0</v>
      </c>
      <c r="G5530" s="27"/>
    </row>
    <row r="5531">
      <c r="A5531" s="21"/>
      <c r="B5531" s="21" t="s">
        <v>11661</v>
      </c>
      <c r="D5531" s="25">
        <v>0.0</v>
      </c>
      <c r="E5531" s="27"/>
      <c r="F5531" s="25">
        <v>0.0</v>
      </c>
      <c r="G5531" s="27"/>
    </row>
    <row r="5532">
      <c r="A5532" s="21"/>
      <c r="B5532" s="21" t="s">
        <v>11662</v>
      </c>
      <c r="D5532" s="25">
        <v>0.0</v>
      </c>
      <c r="E5532" s="27"/>
      <c r="F5532" s="25">
        <v>0.0</v>
      </c>
      <c r="G5532" s="27"/>
    </row>
    <row r="5533">
      <c r="A5533" s="21"/>
      <c r="B5533" s="21" t="s">
        <v>11663</v>
      </c>
      <c r="D5533" s="25">
        <v>0.0</v>
      </c>
      <c r="E5533" s="27"/>
      <c r="F5533" s="25">
        <v>0.0</v>
      </c>
      <c r="G5533" s="27"/>
    </row>
    <row r="5534">
      <c r="A5534" s="21"/>
      <c r="B5534" s="21" t="s">
        <v>11664</v>
      </c>
      <c r="D5534" s="25">
        <v>0.0</v>
      </c>
      <c r="E5534" s="27"/>
      <c r="F5534" s="25">
        <v>0.0</v>
      </c>
      <c r="G5534" s="27"/>
    </row>
    <row r="5535">
      <c r="A5535" s="21"/>
      <c r="B5535" s="21" t="s">
        <v>11665</v>
      </c>
      <c r="D5535" s="25">
        <v>0.0</v>
      </c>
      <c r="E5535" s="27"/>
      <c r="F5535" s="25">
        <v>0.0</v>
      </c>
      <c r="G5535" s="27"/>
    </row>
    <row r="5536">
      <c r="A5536" s="21"/>
      <c r="B5536" s="21" t="s">
        <v>11666</v>
      </c>
      <c r="D5536" s="25">
        <v>0.0</v>
      </c>
      <c r="E5536" s="27"/>
      <c r="F5536" s="25">
        <v>0.0</v>
      </c>
      <c r="G5536" s="27"/>
    </row>
    <row r="5537">
      <c r="A5537" s="21"/>
      <c r="B5537" s="21" t="s">
        <v>11667</v>
      </c>
      <c r="D5537" s="25">
        <v>0.0</v>
      </c>
      <c r="E5537" s="27"/>
      <c r="F5537" s="25">
        <v>0.0</v>
      </c>
      <c r="G5537" s="27"/>
    </row>
    <row r="5538">
      <c r="A5538" s="21"/>
      <c r="B5538" s="21" t="s">
        <v>11668</v>
      </c>
      <c r="D5538" s="25">
        <v>0.0</v>
      </c>
      <c r="E5538" s="27"/>
      <c r="F5538" s="25">
        <v>0.0</v>
      </c>
      <c r="G5538" s="27"/>
    </row>
    <row r="5539">
      <c r="A5539" s="21"/>
      <c r="B5539" s="21" t="s">
        <v>11669</v>
      </c>
      <c r="D5539" s="25">
        <v>0.0</v>
      </c>
      <c r="E5539" s="27"/>
      <c r="F5539" s="25">
        <v>0.0</v>
      </c>
      <c r="G5539" s="27"/>
    </row>
    <row r="5540">
      <c r="A5540" s="21"/>
      <c r="B5540" s="21" t="s">
        <v>11670</v>
      </c>
      <c r="D5540" s="25">
        <v>0.0</v>
      </c>
      <c r="E5540" s="27"/>
      <c r="F5540" s="25">
        <v>0.0</v>
      </c>
      <c r="G5540" s="27"/>
    </row>
    <row r="5541">
      <c r="A5541" s="21"/>
      <c r="B5541" s="21" t="s">
        <v>11671</v>
      </c>
      <c r="D5541" s="25">
        <v>0.0</v>
      </c>
      <c r="E5541" s="27"/>
      <c r="F5541" s="25">
        <v>0.0</v>
      </c>
      <c r="G5541" s="27"/>
    </row>
    <row r="5542">
      <c r="A5542" s="21"/>
      <c r="B5542" s="21" t="s">
        <v>11672</v>
      </c>
      <c r="D5542" s="25">
        <v>0.0</v>
      </c>
      <c r="E5542" s="27"/>
      <c r="F5542" s="25">
        <v>0.0</v>
      </c>
      <c r="G5542" s="27"/>
    </row>
    <row r="5543">
      <c r="A5543" s="21"/>
      <c r="B5543" s="21" t="s">
        <v>11673</v>
      </c>
      <c r="D5543" s="25">
        <v>0.0</v>
      </c>
      <c r="E5543" s="27"/>
      <c r="F5543" s="25">
        <v>0.0</v>
      </c>
      <c r="G5543" s="27"/>
    </row>
    <row r="5544">
      <c r="A5544" s="21"/>
      <c r="B5544" s="21" t="s">
        <v>11674</v>
      </c>
      <c r="D5544" s="25">
        <v>0.0</v>
      </c>
      <c r="E5544" s="27"/>
      <c r="F5544" s="25">
        <v>0.0</v>
      </c>
      <c r="G5544" s="27"/>
    </row>
    <row r="5545">
      <c r="A5545" s="21"/>
      <c r="B5545" s="21" t="s">
        <v>11675</v>
      </c>
      <c r="D5545" s="25">
        <v>0.0</v>
      </c>
      <c r="E5545" s="27"/>
      <c r="F5545" s="25">
        <v>0.0</v>
      </c>
      <c r="G5545" s="27"/>
    </row>
    <row r="5546">
      <c r="A5546" s="21"/>
      <c r="B5546" s="21" t="s">
        <v>11676</v>
      </c>
      <c r="D5546" s="25">
        <v>0.0</v>
      </c>
      <c r="E5546" s="27"/>
      <c r="F5546" s="25">
        <v>0.0</v>
      </c>
      <c r="G5546" s="27"/>
    </row>
    <row r="5547">
      <c r="A5547" s="21"/>
      <c r="B5547" s="21" t="s">
        <v>11677</v>
      </c>
      <c r="D5547" s="25">
        <v>0.0</v>
      </c>
      <c r="E5547" s="27"/>
      <c r="F5547" s="25">
        <v>0.0</v>
      </c>
      <c r="G5547" s="27"/>
    </row>
    <row r="5548">
      <c r="A5548" s="21"/>
      <c r="B5548" s="21" t="s">
        <v>11678</v>
      </c>
      <c r="D5548" s="25">
        <v>0.0</v>
      </c>
      <c r="E5548" s="27"/>
      <c r="F5548" s="25">
        <v>0.0</v>
      </c>
      <c r="G5548" s="27"/>
    </row>
    <row r="5549">
      <c r="A5549" s="21"/>
      <c r="B5549" s="21" t="s">
        <v>11679</v>
      </c>
      <c r="D5549" s="25">
        <v>0.0</v>
      </c>
      <c r="E5549" s="27"/>
      <c r="F5549" s="25">
        <v>0.0</v>
      </c>
      <c r="G5549" s="27"/>
    </row>
    <row r="5550">
      <c r="A5550" s="21"/>
      <c r="B5550" s="21" t="s">
        <v>11680</v>
      </c>
      <c r="D5550" s="25">
        <v>0.0</v>
      </c>
      <c r="E5550" s="27"/>
      <c r="F5550" s="25">
        <v>0.0</v>
      </c>
      <c r="G5550" s="27"/>
    </row>
    <row r="5551">
      <c r="A5551" s="21"/>
      <c r="B5551" s="21" t="s">
        <v>11681</v>
      </c>
      <c r="D5551" s="25">
        <v>0.0</v>
      </c>
      <c r="E5551" s="27"/>
      <c r="F5551" s="25">
        <v>0.0</v>
      </c>
      <c r="G5551" s="27"/>
    </row>
    <row r="5552">
      <c r="A5552" s="21"/>
      <c r="B5552" s="21" t="s">
        <v>11682</v>
      </c>
      <c r="D5552" s="25">
        <v>0.0</v>
      </c>
      <c r="E5552" s="27"/>
      <c r="F5552" s="25">
        <v>0.0</v>
      </c>
      <c r="G5552" s="27"/>
    </row>
    <row r="5553">
      <c r="A5553" s="21"/>
      <c r="B5553" s="21" t="s">
        <v>11683</v>
      </c>
      <c r="D5553" s="25">
        <v>0.0</v>
      </c>
      <c r="E5553" s="27"/>
      <c r="F5553" s="25">
        <v>0.0</v>
      </c>
      <c r="G5553" s="27"/>
    </row>
    <row r="5554">
      <c r="A5554" s="21"/>
      <c r="B5554" s="21" t="s">
        <v>11684</v>
      </c>
      <c r="D5554" s="25">
        <v>0.0</v>
      </c>
      <c r="E5554" s="27"/>
      <c r="F5554" s="25">
        <v>0.0</v>
      </c>
      <c r="G5554" s="27"/>
    </row>
    <row r="5555">
      <c r="A5555" s="21"/>
      <c r="B5555" s="21" t="s">
        <v>11685</v>
      </c>
      <c r="D5555" s="25">
        <v>0.0</v>
      </c>
      <c r="E5555" s="27"/>
      <c r="F5555" s="25">
        <v>0.0</v>
      </c>
      <c r="G5555" s="27"/>
    </row>
    <row r="5556">
      <c r="A5556" s="21"/>
      <c r="B5556" s="21" t="s">
        <v>11686</v>
      </c>
      <c r="D5556" s="25">
        <v>0.0</v>
      </c>
      <c r="E5556" s="27"/>
      <c r="F5556" s="25">
        <v>0.0</v>
      </c>
      <c r="G5556" s="27"/>
    </row>
    <row r="5557">
      <c r="A5557" s="21"/>
      <c r="B5557" s="21" t="s">
        <v>11687</v>
      </c>
      <c r="D5557" s="25">
        <v>0.0</v>
      </c>
      <c r="E5557" s="27"/>
      <c r="F5557" s="25">
        <v>0.0</v>
      </c>
      <c r="G5557" s="27"/>
    </row>
    <row r="5558">
      <c r="A5558" s="21"/>
      <c r="B5558" s="21" t="s">
        <v>11688</v>
      </c>
      <c r="D5558" s="25">
        <v>0.0</v>
      </c>
      <c r="E5558" s="27"/>
      <c r="F5558" s="25">
        <v>0.0</v>
      </c>
      <c r="G5558" s="27"/>
    </row>
    <row r="5559">
      <c r="A5559" s="21"/>
      <c r="B5559" s="21" t="s">
        <v>11689</v>
      </c>
      <c r="D5559" s="25">
        <v>0.0</v>
      </c>
      <c r="E5559" s="27"/>
      <c r="F5559" s="25">
        <v>0.0</v>
      </c>
      <c r="G5559" s="27"/>
    </row>
    <row r="5560">
      <c r="A5560" s="21"/>
      <c r="B5560" s="21" t="s">
        <v>11690</v>
      </c>
      <c r="D5560" s="25">
        <v>0.0</v>
      </c>
      <c r="E5560" s="27"/>
      <c r="F5560" s="25">
        <v>0.0</v>
      </c>
      <c r="G5560" s="27"/>
    </row>
    <row r="5561">
      <c r="A5561" s="21"/>
      <c r="B5561" s="21" t="s">
        <v>11691</v>
      </c>
      <c r="D5561" s="25">
        <v>0.0</v>
      </c>
      <c r="E5561" s="27"/>
      <c r="F5561" s="25">
        <v>0.0</v>
      </c>
      <c r="G5561" s="27"/>
    </row>
    <row r="5562">
      <c r="A5562" s="21"/>
      <c r="B5562" s="21" t="s">
        <v>11692</v>
      </c>
      <c r="D5562" s="25">
        <v>0.0</v>
      </c>
      <c r="E5562" s="27"/>
      <c r="F5562" s="25">
        <v>0.0</v>
      </c>
      <c r="G5562" s="27"/>
    </row>
    <row r="5563">
      <c r="A5563" s="21"/>
      <c r="B5563" s="21" t="s">
        <v>11693</v>
      </c>
      <c r="D5563" s="25">
        <v>0.0</v>
      </c>
      <c r="E5563" s="27"/>
      <c r="F5563" s="25">
        <v>0.0</v>
      </c>
      <c r="G5563" s="27"/>
    </row>
    <row r="5564">
      <c r="A5564" s="21"/>
      <c r="B5564" s="21" t="s">
        <v>11694</v>
      </c>
      <c r="D5564" s="25">
        <v>0.0</v>
      </c>
      <c r="E5564" s="27"/>
      <c r="F5564" s="25">
        <v>0.0</v>
      </c>
      <c r="G5564" s="27"/>
    </row>
    <row r="5565">
      <c r="A5565" s="21"/>
      <c r="B5565" s="21" t="s">
        <v>11695</v>
      </c>
      <c r="D5565" s="25">
        <v>0.0</v>
      </c>
      <c r="E5565" s="27"/>
      <c r="F5565" s="25">
        <v>0.0</v>
      </c>
      <c r="G5565" s="27"/>
    </row>
    <row r="5566">
      <c r="A5566" s="21"/>
      <c r="B5566" s="21" t="s">
        <v>11696</v>
      </c>
      <c r="D5566" s="25">
        <v>0.0</v>
      </c>
      <c r="E5566" s="27"/>
      <c r="F5566" s="25">
        <v>0.0</v>
      </c>
      <c r="G5566" s="27"/>
    </row>
    <row r="5567">
      <c r="A5567" s="21"/>
      <c r="B5567" s="21" t="s">
        <v>11697</v>
      </c>
      <c r="D5567" s="25">
        <v>0.0</v>
      </c>
      <c r="E5567" s="27"/>
      <c r="F5567" s="25">
        <v>0.0</v>
      </c>
      <c r="G5567" s="27"/>
    </row>
    <row r="5568">
      <c r="A5568" s="21"/>
      <c r="B5568" s="21" t="s">
        <v>11698</v>
      </c>
      <c r="D5568" s="25">
        <v>0.0</v>
      </c>
      <c r="E5568" s="27"/>
      <c r="F5568" s="25">
        <v>0.0</v>
      </c>
      <c r="G5568" s="27"/>
    </row>
    <row r="5569">
      <c r="A5569" s="21"/>
      <c r="B5569" s="21" t="s">
        <v>11699</v>
      </c>
      <c r="D5569" s="25">
        <v>0.0</v>
      </c>
      <c r="E5569" s="27"/>
      <c r="F5569" s="25">
        <v>0.0</v>
      </c>
      <c r="G5569" s="27"/>
    </row>
    <row r="5570">
      <c r="A5570" s="21"/>
      <c r="B5570" s="21" t="s">
        <v>11700</v>
      </c>
      <c r="D5570" s="25">
        <v>0.0</v>
      </c>
      <c r="E5570" s="27"/>
      <c r="F5570" s="25">
        <v>0.0</v>
      </c>
      <c r="G5570" s="27"/>
    </row>
    <row r="5571">
      <c r="A5571" s="21"/>
      <c r="B5571" s="21" t="s">
        <v>11701</v>
      </c>
      <c r="D5571" s="25">
        <v>0.0</v>
      </c>
      <c r="E5571" s="27"/>
      <c r="F5571" s="25">
        <v>0.0</v>
      </c>
      <c r="G5571" s="27"/>
    </row>
    <row r="5572">
      <c r="A5572" s="21"/>
      <c r="B5572" s="21" t="s">
        <v>11702</v>
      </c>
      <c r="D5572" s="25">
        <v>0.0</v>
      </c>
      <c r="E5572" s="27"/>
      <c r="F5572" s="25">
        <v>0.0</v>
      </c>
      <c r="G5572" s="27"/>
    </row>
    <row r="5573">
      <c r="A5573" s="21"/>
      <c r="B5573" s="21" t="s">
        <v>11703</v>
      </c>
      <c r="D5573" s="25">
        <v>0.0</v>
      </c>
      <c r="E5573" s="27"/>
      <c r="F5573" s="25">
        <v>0.0</v>
      </c>
      <c r="G5573" s="27"/>
    </row>
    <row r="5574">
      <c r="A5574" s="21"/>
      <c r="B5574" s="21" t="s">
        <v>11704</v>
      </c>
      <c r="D5574" s="25">
        <v>0.0</v>
      </c>
      <c r="E5574" s="27"/>
      <c r="F5574" s="25">
        <v>0.0</v>
      </c>
      <c r="G5574" s="27"/>
    </row>
    <row r="5575">
      <c r="A5575" s="21"/>
      <c r="B5575" s="21" t="s">
        <v>11705</v>
      </c>
      <c r="D5575" s="25">
        <v>0.0</v>
      </c>
      <c r="E5575" s="27"/>
      <c r="F5575" s="25">
        <v>0.0</v>
      </c>
      <c r="G5575" s="27"/>
    </row>
    <row r="5576">
      <c r="A5576" s="21"/>
      <c r="B5576" s="21" t="s">
        <v>11706</v>
      </c>
      <c r="D5576" s="25">
        <v>0.0</v>
      </c>
      <c r="E5576" s="27"/>
      <c r="F5576" s="25">
        <v>0.0</v>
      </c>
      <c r="G5576" s="27"/>
    </row>
    <row r="5577">
      <c r="A5577" s="21"/>
      <c r="B5577" s="21" t="s">
        <v>11707</v>
      </c>
      <c r="D5577" s="25">
        <v>0.0</v>
      </c>
      <c r="E5577" s="27"/>
      <c r="F5577" s="25">
        <v>0.0</v>
      </c>
      <c r="G5577" s="27"/>
    </row>
    <row r="5578">
      <c r="A5578" s="21"/>
      <c r="B5578" s="21" t="s">
        <v>11708</v>
      </c>
      <c r="D5578" s="25">
        <v>0.0</v>
      </c>
      <c r="E5578" s="27"/>
      <c r="F5578" s="25">
        <v>0.0</v>
      </c>
      <c r="G5578" s="27"/>
    </row>
    <row r="5579">
      <c r="A5579" s="21"/>
      <c r="B5579" s="21" t="s">
        <v>11709</v>
      </c>
      <c r="D5579" s="25">
        <v>0.0</v>
      </c>
      <c r="E5579" s="27"/>
      <c r="F5579" s="25">
        <v>0.0</v>
      </c>
      <c r="G5579" s="27"/>
    </row>
    <row r="5580">
      <c r="A5580" s="21"/>
      <c r="B5580" s="21" t="s">
        <v>11710</v>
      </c>
      <c r="D5580" s="25">
        <v>0.0</v>
      </c>
      <c r="E5580" s="27"/>
      <c r="F5580" s="25">
        <v>0.0</v>
      </c>
      <c r="G5580" s="27"/>
    </row>
    <row r="5581">
      <c r="A5581" s="21"/>
      <c r="B5581" s="21" t="s">
        <v>11711</v>
      </c>
      <c r="D5581" s="25">
        <v>0.0</v>
      </c>
      <c r="E5581" s="27"/>
      <c r="F5581" s="25">
        <v>0.0</v>
      </c>
      <c r="G5581" s="27"/>
    </row>
    <row r="5582">
      <c r="A5582" s="21"/>
      <c r="B5582" s="21" t="s">
        <v>11712</v>
      </c>
      <c r="D5582" s="25">
        <v>0.0</v>
      </c>
      <c r="E5582" s="27"/>
      <c r="F5582" s="25">
        <v>0.0</v>
      </c>
      <c r="G5582" s="27"/>
    </row>
    <row r="5583">
      <c r="A5583" s="21"/>
      <c r="B5583" s="21" t="s">
        <v>11713</v>
      </c>
      <c r="D5583" s="25">
        <v>0.0</v>
      </c>
      <c r="E5583" s="27"/>
      <c r="F5583" s="25">
        <v>0.0</v>
      </c>
      <c r="G5583" s="27"/>
    </row>
    <row r="5584">
      <c r="A5584" s="21"/>
      <c r="B5584" s="21" t="s">
        <v>11714</v>
      </c>
      <c r="D5584" s="25">
        <v>0.0</v>
      </c>
      <c r="E5584" s="27"/>
      <c r="F5584" s="25">
        <v>0.0</v>
      </c>
      <c r="G5584" s="27"/>
    </row>
    <row r="5585">
      <c r="A5585" s="21"/>
      <c r="B5585" s="21" t="s">
        <v>11715</v>
      </c>
      <c r="D5585" s="25">
        <v>0.0</v>
      </c>
      <c r="E5585" s="27"/>
      <c r="F5585" s="25">
        <v>0.0</v>
      </c>
      <c r="G5585" s="27"/>
    </row>
    <row r="5586">
      <c r="A5586" s="21"/>
      <c r="B5586" s="21" t="s">
        <v>11716</v>
      </c>
      <c r="D5586" s="25">
        <v>0.0</v>
      </c>
      <c r="E5586" s="27"/>
      <c r="F5586" s="25">
        <v>0.0</v>
      </c>
      <c r="G5586" s="27"/>
    </row>
    <row r="5587">
      <c r="A5587" s="21"/>
      <c r="B5587" s="21" t="s">
        <v>11717</v>
      </c>
      <c r="D5587" s="25">
        <v>0.0</v>
      </c>
      <c r="E5587" s="27"/>
      <c r="F5587" s="25">
        <v>0.0</v>
      </c>
      <c r="G5587" s="27"/>
    </row>
    <row r="5588">
      <c r="A5588" s="21"/>
      <c r="B5588" s="21" t="s">
        <v>11718</v>
      </c>
      <c r="D5588" s="25">
        <v>0.0</v>
      </c>
      <c r="E5588" s="27"/>
      <c r="F5588" s="25">
        <v>0.0</v>
      </c>
      <c r="G5588" s="27"/>
    </row>
    <row r="5589">
      <c r="A5589" s="21"/>
      <c r="B5589" s="21" t="s">
        <v>11719</v>
      </c>
      <c r="D5589" s="25">
        <v>0.0</v>
      </c>
      <c r="E5589" s="27"/>
      <c r="F5589" s="25">
        <v>0.0</v>
      </c>
      <c r="G5589" s="27"/>
    </row>
    <row r="5590">
      <c r="A5590" s="21"/>
      <c r="B5590" s="21" t="s">
        <v>11720</v>
      </c>
      <c r="D5590" s="25">
        <v>0.0</v>
      </c>
      <c r="E5590" s="27"/>
      <c r="F5590" s="25">
        <v>0.0</v>
      </c>
      <c r="G5590" s="27"/>
    </row>
    <row r="5591">
      <c r="A5591" s="21"/>
      <c r="B5591" s="21" t="s">
        <v>11721</v>
      </c>
      <c r="D5591" s="25">
        <v>0.0</v>
      </c>
      <c r="E5591" s="27"/>
      <c r="F5591" s="25">
        <v>0.0</v>
      </c>
      <c r="G5591" s="27"/>
    </row>
    <row r="5592">
      <c r="A5592" s="21"/>
      <c r="B5592" s="21" t="s">
        <v>11722</v>
      </c>
      <c r="D5592" s="25">
        <v>0.0</v>
      </c>
      <c r="E5592" s="27"/>
      <c r="F5592" s="25">
        <v>0.0</v>
      </c>
      <c r="G5592" s="27"/>
    </row>
    <row r="5593">
      <c r="A5593" s="21"/>
      <c r="B5593" s="21" t="s">
        <v>11723</v>
      </c>
      <c r="D5593" s="25">
        <v>0.0</v>
      </c>
      <c r="E5593" s="27"/>
      <c r="F5593" s="25">
        <v>0.0</v>
      </c>
      <c r="G5593" s="27"/>
    </row>
    <row r="5594">
      <c r="A5594" s="21"/>
      <c r="B5594" s="21" t="s">
        <v>11724</v>
      </c>
      <c r="D5594" s="25">
        <v>0.0</v>
      </c>
      <c r="E5594" s="27"/>
      <c r="F5594" s="25">
        <v>0.0</v>
      </c>
      <c r="G5594" s="27"/>
    </row>
    <row r="5595">
      <c r="A5595" s="21"/>
      <c r="B5595" s="21" t="s">
        <v>11725</v>
      </c>
      <c r="D5595" s="25">
        <v>0.0</v>
      </c>
      <c r="E5595" s="27"/>
      <c r="F5595" s="25">
        <v>0.0</v>
      </c>
      <c r="G5595" s="27"/>
    </row>
    <row r="5596">
      <c r="A5596" s="21"/>
      <c r="B5596" s="21" t="s">
        <v>11726</v>
      </c>
      <c r="D5596" s="25">
        <v>0.0</v>
      </c>
      <c r="E5596" s="27"/>
      <c r="F5596" s="25">
        <v>0.0</v>
      </c>
      <c r="G5596" s="27"/>
    </row>
    <row r="5597">
      <c r="A5597" s="21"/>
      <c r="B5597" s="21" t="s">
        <v>11727</v>
      </c>
      <c r="D5597" s="25">
        <v>0.0</v>
      </c>
      <c r="E5597" s="27"/>
      <c r="F5597" s="25">
        <v>0.0</v>
      </c>
      <c r="G5597" s="27"/>
    </row>
    <row r="5598">
      <c r="A5598" s="21"/>
      <c r="B5598" s="21" t="s">
        <v>11728</v>
      </c>
      <c r="D5598" s="25">
        <v>0.0</v>
      </c>
      <c r="E5598" s="27"/>
      <c r="F5598" s="25">
        <v>0.0</v>
      </c>
      <c r="G5598" s="27"/>
    </row>
    <row r="5599">
      <c r="A5599" s="21"/>
      <c r="B5599" s="21" t="s">
        <v>11729</v>
      </c>
      <c r="D5599" s="25">
        <v>0.0</v>
      </c>
      <c r="E5599" s="27"/>
      <c r="F5599" s="25">
        <v>0.0</v>
      </c>
      <c r="G5599" s="27"/>
    </row>
    <row r="5600">
      <c r="A5600" s="21"/>
      <c r="B5600" s="21" t="s">
        <v>11730</v>
      </c>
      <c r="D5600" s="25">
        <v>0.0</v>
      </c>
      <c r="E5600" s="27"/>
      <c r="F5600" s="25">
        <v>0.0</v>
      </c>
      <c r="G5600" s="27"/>
    </row>
    <row r="5601">
      <c r="A5601" s="21"/>
      <c r="B5601" s="21" t="s">
        <v>11731</v>
      </c>
      <c r="D5601" s="25">
        <v>0.0</v>
      </c>
      <c r="E5601" s="27"/>
      <c r="F5601" s="25">
        <v>0.0</v>
      </c>
      <c r="G5601" s="27"/>
    </row>
    <row r="5602">
      <c r="A5602" s="21"/>
      <c r="B5602" s="21" t="s">
        <v>11732</v>
      </c>
      <c r="D5602" s="25">
        <v>0.0</v>
      </c>
      <c r="E5602" s="27"/>
      <c r="F5602" s="25">
        <v>0.0</v>
      </c>
      <c r="G5602" s="27"/>
    </row>
    <row r="5603">
      <c r="A5603" s="21"/>
      <c r="B5603" s="21" t="s">
        <v>11733</v>
      </c>
      <c r="D5603" s="25">
        <v>0.0</v>
      </c>
      <c r="E5603" s="27"/>
      <c r="F5603" s="25">
        <v>0.0</v>
      </c>
      <c r="G5603" s="27"/>
    </row>
    <row r="5604">
      <c r="A5604" s="21"/>
      <c r="B5604" s="21" t="s">
        <v>11734</v>
      </c>
      <c r="D5604" s="25">
        <v>0.0</v>
      </c>
      <c r="E5604" s="27"/>
      <c r="F5604" s="25">
        <v>0.0</v>
      </c>
      <c r="G5604" s="27"/>
    </row>
    <row r="5605">
      <c r="A5605" s="21"/>
      <c r="B5605" s="21" t="s">
        <v>11735</v>
      </c>
      <c r="D5605" s="25">
        <v>0.0</v>
      </c>
      <c r="E5605" s="27"/>
      <c r="F5605" s="25">
        <v>0.0</v>
      </c>
      <c r="G5605" s="27"/>
    </row>
    <row r="5606">
      <c r="A5606" s="21"/>
      <c r="B5606" s="21" t="s">
        <v>11736</v>
      </c>
      <c r="D5606" s="25">
        <v>0.0</v>
      </c>
      <c r="E5606" s="27"/>
      <c r="F5606" s="25">
        <v>0.0</v>
      </c>
      <c r="G5606" s="27"/>
    </row>
    <row r="5607">
      <c r="A5607" s="21"/>
      <c r="B5607" s="21" t="s">
        <v>11737</v>
      </c>
      <c r="D5607" s="25">
        <v>0.0</v>
      </c>
      <c r="E5607" s="27"/>
      <c r="F5607" s="25">
        <v>0.0</v>
      </c>
      <c r="G5607" s="27"/>
    </row>
    <row r="5608">
      <c r="A5608" s="21"/>
      <c r="B5608" s="21" t="s">
        <v>11738</v>
      </c>
      <c r="D5608" s="25">
        <v>0.0</v>
      </c>
      <c r="E5608" s="27"/>
      <c r="F5608" s="25">
        <v>0.0</v>
      </c>
      <c r="G5608" s="27"/>
    </row>
    <row r="5609">
      <c r="A5609" s="21"/>
      <c r="B5609" s="21" t="s">
        <v>11739</v>
      </c>
      <c r="C5609" s="27"/>
      <c r="D5609" s="25">
        <v>0.0</v>
      </c>
      <c r="E5609" s="27"/>
      <c r="F5609" s="25">
        <v>0.0</v>
      </c>
      <c r="G5609" s="27"/>
    </row>
    <row r="5610">
      <c r="A5610" s="21"/>
      <c r="B5610" s="21" t="s">
        <v>11740</v>
      </c>
      <c r="D5610" s="25">
        <v>0.0</v>
      </c>
      <c r="E5610" s="27"/>
      <c r="F5610" s="25">
        <v>0.0</v>
      </c>
      <c r="G5610" s="27"/>
    </row>
    <row r="5611">
      <c r="A5611" s="21"/>
      <c r="B5611" s="21" t="s">
        <v>5717</v>
      </c>
      <c r="D5611" s="25">
        <v>0.0</v>
      </c>
      <c r="E5611" s="27"/>
      <c r="F5611" s="25">
        <v>0.0</v>
      </c>
      <c r="G5611" s="27"/>
    </row>
    <row r="5612">
      <c r="A5612" s="21"/>
      <c r="B5612" s="21" t="s">
        <v>5718</v>
      </c>
      <c r="D5612" s="25">
        <v>0.0</v>
      </c>
      <c r="E5612" s="27"/>
      <c r="F5612" s="25">
        <v>0.0</v>
      </c>
      <c r="G5612" s="27"/>
    </row>
    <row r="5613">
      <c r="A5613" s="21"/>
      <c r="B5613" s="21" t="s">
        <v>11741</v>
      </c>
      <c r="D5613" s="25">
        <v>0.0</v>
      </c>
      <c r="E5613" s="27"/>
      <c r="F5613" s="25">
        <v>0.0</v>
      </c>
      <c r="G5613" s="27"/>
    </row>
    <row r="5614">
      <c r="A5614" s="21"/>
      <c r="B5614" s="21" t="s">
        <v>5719</v>
      </c>
      <c r="D5614" s="25">
        <v>0.0</v>
      </c>
      <c r="E5614" s="27"/>
      <c r="F5614" s="25">
        <v>0.0</v>
      </c>
      <c r="G5614" s="27"/>
    </row>
    <row r="5615">
      <c r="A5615" s="21"/>
      <c r="B5615" s="21" t="s">
        <v>11742</v>
      </c>
      <c r="D5615" s="25">
        <v>0.0</v>
      </c>
      <c r="E5615" s="27"/>
      <c r="F5615" s="25">
        <v>0.0</v>
      </c>
      <c r="G5615" s="27"/>
    </row>
    <row r="5616">
      <c r="A5616" s="21"/>
      <c r="B5616" s="21" t="s">
        <v>11743</v>
      </c>
      <c r="D5616" s="25">
        <v>0.0</v>
      </c>
      <c r="E5616" s="27"/>
      <c r="F5616" s="25">
        <v>0.0</v>
      </c>
      <c r="G5616" s="27"/>
    </row>
    <row r="5617">
      <c r="A5617" s="21"/>
      <c r="B5617" s="21" t="s">
        <v>11744</v>
      </c>
      <c r="C5617" s="27"/>
      <c r="D5617" s="25">
        <v>0.0</v>
      </c>
      <c r="E5617" s="27"/>
      <c r="F5617" s="25">
        <v>0.51</v>
      </c>
      <c r="G5617" s="27"/>
    </row>
    <row r="5618">
      <c r="A5618" s="21"/>
      <c r="B5618" s="21" t="s">
        <v>11745</v>
      </c>
      <c r="D5618" s="25">
        <v>0.0</v>
      </c>
      <c r="E5618" s="27"/>
      <c r="F5618" s="25">
        <v>0.0</v>
      </c>
      <c r="G5618" s="27"/>
    </row>
    <row r="5619">
      <c r="A5619" s="21"/>
      <c r="B5619" s="21" t="s">
        <v>11746</v>
      </c>
      <c r="D5619" s="25">
        <v>0.0</v>
      </c>
      <c r="E5619" s="27"/>
      <c r="F5619" s="25">
        <v>4.74</v>
      </c>
      <c r="G5619" s="27"/>
    </row>
    <row r="5620">
      <c r="A5620" s="21"/>
      <c r="B5620" s="21" t="s">
        <v>11747</v>
      </c>
      <c r="D5620" s="25">
        <v>0.0</v>
      </c>
      <c r="E5620" s="27"/>
      <c r="F5620" s="25">
        <v>0.0</v>
      </c>
      <c r="G5620" s="27"/>
    </row>
    <row r="5621">
      <c r="A5621" s="21"/>
      <c r="B5621" s="21" t="s">
        <v>11748</v>
      </c>
      <c r="D5621" s="25">
        <v>0.0</v>
      </c>
      <c r="E5621" s="27"/>
      <c r="F5621" s="25">
        <v>0.0</v>
      </c>
      <c r="G5621" s="27"/>
    </row>
    <row r="5622">
      <c r="A5622" s="21"/>
      <c r="B5622" s="21" t="s">
        <v>11749</v>
      </c>
      <c r="D5622" s="25">
        <v>0.0</v>
      </c>
      <c r="E5622" s="27"/>
      <c r="F5622" s="25">
        <v>0.0</v>
      </c>
      <c r="G5622" s="27"/>
    </row>
    <row r="5623">
      <c r="A5623" s="21"/>
      <c r="B5623" s="21" t="s">
        <v>11750</v>
      </c>
      <c r="D5623" s="25">
        <v>0.0</v>
      </c>
      <c r="E5623" s="27"/>
      <c r="F5623" s="25">
        <v>0.0</v>
      </c>
      <c r="G5623" s="27"/>
    </row>
    <row r="5624">
      <c r="A5624" s="21"/>
      <c r="B5624" s="21" t="s">
        <v>11751</v>
      </c>
      <c r="D5624" s="25">
        <v>0.0</v>
      </c>
      <c r="E5624" s="27"/>
      <c r="F5624" s="25">
        <v>0.0</v>
      </c>
      <c r="G5624" s="27"/>
    </row>
    <row r="5625">
      <c r="A5625" s="21"/>
      <c r="B5625" s="21" t="s">
        <v>11752</v>
      </c>
      <c r="D5625" s="25">
        <v>0.0</v>
      </c>
      <c r="E5625" s="27"/>
      <c r="F5625" s="25">
        <v>0.0</v>
      </c>
      <c r="G5625" s="27"/>
    </row>
    <row r="5626">
      <c r="A5626" s="21"/>
      <c r="B5626" s="21" t="s">
        <v>11753</v>
      </c>
      <c r="D5626" s="25">
        <v>0.0</v>
      </c>
      <c r="E5626" s="27"/>
      <c r="F5626" s="25">
        <v>0.0</v>
      </c>
      <c r="G5626" s="27"/>
    </row>
    <row r="5627">
      <c r="A5627" s="21"/>
      <c r="B5627" s="21" t="s">
        <v>11754</v>
      </c>
      <c r="D5627" s="25">
        <v>0.0</v>
      </c>
      <c r="E5627" s="27"/>
      <c r="F5627" s="25">
        <v>0.0</v>
      </c>
      <c r="G5627" s="27"/>
    </row>
    <row r="5628">
      <c r="A5628" s="21"/>
      <c r="B5628" s="21" t="s">
        <v>11755</v>
      </c>
      <c r="D5628" s="25">
        <v>0.0</v>
      </c>
      <c r="E5628" s="27"/>
      <c r="F5628" s="25">
        <v>0.0</v>
      </c>
      <c r="G5628" s="27"/>
    </row>
    <row r="5629">
      <c r="A5629" s="21"/>
      <c r="B5629" s="21" t="s">
        <v>11756</v>
      </c>
      <c r="D5629" s="25">
        <v>0.0</v>
      </c>
      <c r="E5629" s="27"/>
      <c r="F5629" s="25">
        <v>0.0</v>
      </c>
      <c r="G5629" s="27"/>
    </row>
    <row r="5630">
      <c r="A5630" s="21"/>
      <c r="B5630" s="21" t="s">
        <v>11757</v>
      </c>
      <c r="D5630" s="25">
        <v>0.0</v>
      </c>
      <c r="E5630" s="27"/>
      <c r="F5630" s="25">
        <v>0.0</v>
      </c>
      <c r="G5630" s="27"/>
    </row>
    <row r="5631">
      <c r="A5631" s="21"/>
      <c r="B5631" s="21" t="s">
        <v>11758</v>
      </c>
      <c r="D5631" s="25">
        <v>0.0</v>
      </c>
      <c r="E5631" s="27"/>
      <c r="F5631" s="25">
        <v>0.0</v>
      </c>
      <c r="G5631" s="27"/>
    </row>
    <row r="5632">
      <c r="A5632" s="21"/>
      <c r="B5632" s="21" t="s">
        <v>11759</v>
      </c>
      <c r="D5632" s="25">
        <v>0.0</v>
      </c>
      <c r="E5632" s="27"/>
      <c r="F5632" s="25">
        <v>0.0</v>
      </c>
      <c r="G5632" s="27"/>
    </row>
    <row r="5633">
      <c r="A5633" s="21"/>
      <c r="B5633" s="21" t="s">
        <v>11760</v>
      </c>
      <c r="D5633" s="25">
        <v>0.0</v>
      </c>
      <c r="E5633" s="27"/>
      <c r="F5633" s="25">
        <v>0.0</v>
      </c>
      <c r="G5633" s="27"/>
    </row>
    <row r="5634">
      <c r="A5634" s="21"/>
      <c r="B5634" s="21" t="s">
        <v>11761</v>
      </c>
      <c r="D5634" s="25">
        <v>0.0</v>
      </c>
      <c r="E5634" s="27"/>
      <c r="F5634" s="25">
        <v>0.0</v>
      </c>
      <c r="G5634" s="27"/>
    </row>
    <row r="5635">
      <c r="A5635" s="21"/>
      <c r="B5635" s="21" t="s">
        <v>11762</v>
      </c>
      <c r="D5635" s="25">
        <v>0.0</v>
      </c>
      <c r="E5635" s="27"/>
      <c r="F5635" s="25">
        <v>0.0</v>
      </c>
      <c r="G5635" s="27"/>
    </row>
    <row r="5636">
      <c r="A5636" s="21"/>
      <c r="B5636" s="21" t="s">
        <v>11763</v>
      </c>
      <c r="D5636" s="25">
        <v>0.0</v>
      </c>
      <c r="E5636" s="27"/>
      <c r="F5636" s="25">
        <v>2.66</v>
      </c>
      <c r="G5636" s="27"/>
    </row>
    <row r="5637">
      <c r="A5637" s="21"/>
      <c r="B5637" s="21" t="s">
        <v>11764</v>
      </c>
      <c r="D5637" s="25">
        <v>0.0</v>
      </c>
      <c r="E5637" s="27"/>
      <c r="F5637" s="25">
        <v>0.0</v>
      </c>
      <c r="G5637" s="27"/>
    </row>
    <row r="5638">
      <c r="A5638" s="21"/>
      <c r="B5638" s="21" t="s">
        <v>11765</v>
      </c>
      <c r="D5638" s="25">
        <v>0.0</v>
      </c>
      <c r="E5638" s="27"/>
      <c r="F5638" s="25">
        <v>0.0</v>
      </c>
      <c r="G5638" s="27"/>
    </row>
    <row r="5639">
      <c r="A5639" s="21"/>
      <c r="B5639" s="21" t="s">
        <v>11766</v>
      </c>
      <c r="D5639" s="25">
        <v>0.0</v>
      </c>
      <c r="E5639" s="27"/>
      <c r="F5639" s="25">
        <v>0.0</v>
      </c>
      <c r="G5639" s="27"/>
    </row>
    <row r="5640">
      <c r="A5640" s="21"/>
      <c r="B5640" s="21" t="s">
        <v>11767</v>
      </c>
      <c r="D5640" s="25">
        <v>0.0</v>
      </c>
      <c r="E5640" s="27"/>
      <c r="F5640" s="25">
        <v>0.0</v>
      </c>
      <c r="G5640" s="27"/>
    </row>
    <row r="5641">
      <c r="A5641" s="21"/>
      <c r="B5641" s="21" t="s">
        <v>11768</v>
      </c>
      <c r="D5641" s="25">
        <v>0.0</v>
      </c>
      <c r="E5641" s="27"/>
      <c r="F5641" s="25">
        <v>0.0</v>
      </c>
      <c r="G5641" s="27"/>
    </row>
    <row r="5642">
      <c r="A5642" s="21"/>
      <c r="B5642" s="21" t="s">
        <v>11769</v>
      </c>
      <c r="D5642" s="25">
        <v>0.0</v>
      </c>
      <c r="E5642" s="27"/>
      <c r="F5642" s="25">
        <v>0.0</v>
      </c>
      <c r="G5642" s="27"/>
    </row>
    <row r="5643">
      <c r="A5643" s="21"/>
      <c r="B5643" s="21" t="s">
        <v>11770</v>
      </c>
      <c r="D5643" s="25">
        <v>0.0</v>
      </c>
      <c r="E5643" s="27"/>
      <c r="F5643" s="25">
        <v>0.0</v>
      </c>
      <c r="G5643" s="27"/>
    </row>
    <row r="5644">
      <c r="A5644" s="21"/>
      <c r="B5644" s="21" t="s">
        <v>11771</v>
      </c>
      <c r="D5644" s="25">
        <v>0.0</v>
      </c>
      <c r="E5644" s="27"/>
      <c r="F5644" s="25">
        <v>0.0</v>
      </c>
      <c r="G5644" s="27"/>
    </row>
    <row r="5645">
      <c r="A5645" s="21"/>
      <c r="B5645" s="21" t="s">
        <v>11772</v>
      </c>
      <c r="D5645" s="25">
        <v>0.0</v>
      </c>
      <c r="E5645" s="27"/>
      <c r="F5645" s="25">
        <v>0.0</v>
      </c>
      <c r="G5645" s="27"/>
    </row>
    <row r="5646">
      <c r="A5646" s="21"/>
      <c r="B5646" s="21" t="s">
        <v>11773</v>
      </c>
      <c r="D5646" s="25">
        <v>0.0</v>
      </c>
      <c r="E5646" s="27"/>
      <c r="F5646" s="25">
        <v>0.0</v>
      </c>
      <c r="G5646" s="27"/>
    </row>
    <row r="5647">
      <c r="A5647" s="21"/>
      <c r="B5647" s="21" t="s">
        <v>11774</v>
      </c>
      <c r="D5647" s="25">
        <v>0.0</v>
      </c>
      <c r="E5647" s="27"/>
      <c r="F5647" s="25">
        <v>0.0</v>
      </c>
      <c r="G5647" s="27"/>
    </row>
    <row r="5648">
      <c r="A5648" s="21"/>
      <c r="B5648" s="21" t="s">
        <v>11775</v>
      </c>
      <c r="D5648" s="25">
        <v>0.0</v>
      </c>
      <c r="E5648" s="27"/>
      <c r="F5648" s="25">
        <v>0.0</v>
      </c>
      <c r="G5648" s="27"/>
    </row>
    <row r="5649">
      <c r="A5649" s="21"/>
      <c r="B5649" s="21" t="s">
        <v>11776</v>
      </c>
      <c r="D5649" s="25">
        <v>0.0</v>
      </c>
      <c r="E5649" s="27"/>
      <c r="F5649" s="25">
        <v>0.0</v>
      </c>
      <c r="G5649" s="27"/>
    </row>
    <row r="5650">
      <c r="A5650" s="21"/>
      <c r="B5650" s="21" t="s">
        <v>11777</v>
      </c>
      <c r="D5650" s="25">
        <v>0.0</v>
      </c>
      <c r="E5650" s="27"/>
      <c r="F5650" s="25">
        <v>0.0</v>
      </c>
      <c r="G5650" s="27"/>
    </row>
    <row r="5651">
      <c r="A5651" s="21"/>
      <c r="B5651" s="21" t="s">
        <v>11778</v>
      </c>
      <c r="D5651" s="25">
        <v>0.0</v>
      </c>
      <c r="E5651" s="27"/>
      <c r="F5651" s="25">
        <v>0.0</v>
      </c>
      <c r="G5651" s="27"/>
    </row>
    <row r="5652">
      <c r="A5652" s="21"/>
      <c r="B5652" s="21" t="s">
        <v>11779</v>
      </c>
      <c r="D5652" s="25">
        <v>0.0</v>
      </c>
      <c r="E5652" s="27"/>
      <c r="F5652" s="25">
        <v>0.0</v>
      </c>
      <c r="G5652" s="27"/>
    </row>
    <row r="5653">
      <c r="A5653" s="21"/>
      <c r="B5653" s="21" t="s">
        <v>11780</v>
      </c>
      <c r="D5653" s="25">
        <v>0.0</v>
      </c>
      <c r="E5653" s="27"/>
      <c r="F5653" s="25">
        <v>0.0</v>
      </c>
      <c r="G5653" s="27"/>
    </row>
    <row r="5654">
      <c r="A5654" s="21"/>
      <c r="B5654" s="21" t="s">
        <v>11781</v>
      </c>
      <c r="D5654" s="25">
        <v>0.0</v>
      </c>
      <c r="E5654" s="27"/>
      <c r="F5654" s="25">
        <v>0.0</v>
      </c>
      <c r="G5654" s="27"/>
    </row>
    <row r="5655">
      <c r="A5655" s="21"/>
      <c r="B5655" s="21" t="s">
        <v>11782</v>
      </c>
      <c r="D5655" s="25">
        <v>0.0</v>
      </c>
      <c r="E5655" s="27"/>
      <c r="F5655" s="25">
        <v>0.0</v>
      </c>
      <c r="G5655" s="27"/>
    </row>
    <row r="5656">
      <c r="A5656" s="21"/>
      <c r="B5656" s="21" t="s">
        <v>11783</v>
      </c>
      <c r="D5656" s="25">
        <v>0.0</v>
      </c>
      <c r="E5656" s="27"/>
      <c r="F5656" s="25">
        <v>0.0</v>
      </c>
      <c r="G5656" s="27"/>
    </row>
    <row r="5657">
      <c r="A5657" s="21"/>
      <c r="B5657" s="21" t="s">
        <v>11784</v>
      </c>
      <c r="D5657" s="25">
        <v>0.0</v>
      </c>
      <c r="E5657" s="27"/>
      <c r="F5657" s="25">
        <v>0.0</v>
      </c>
      <c r="G5657" s="27"/>
    </row>
    <row r="5658">
      <c r="A5658" s="21"/>
      <c r="B5658" s="21" t="s">
        <v>11785</v>
      </c>
      <c r="D5658" s="25">
        <v>0.0</v>
      </c>
      <c r="E5658" s="27"/>
      <c r="F5658" s="25">
        <v>0.0</v>
      </c>
      <c r="G5658" s="27"/>
    </row>
    <row r="5659">
      <c r="A5659" s="21"/>
      <c r="B5659" s="21" t="s">
        <v>11786</v>
      </c>
      <c r="D5659" s="25">
        <v>0.0</v>
      </c>
      <c r="E5659" s="27"/>
      <c r="F5659" s="25">
        <v>0.0</v>
      </c>
      <c r="G5659" s="27"/>
    </row>
    <row r="5660">
      <c r="A5660" s="21"/>
      <c r="B5660" s="21" t="s">
        <v>11787</v>
      </c>
      <c r="D5660" s="25">
        <v>0.0</v>
      </c>
      <c r="E5660" s="27"/>
      <c r="F5660" s="25">
        <v>0.0</v>
      </c>
      <c r="G5660" s="27"/>
    </row>
    <row r="5661">
      <c r="A5661" s="21"/>
      <c r="B5661" s="21" t="s">
        <v>11788</v>
      </c>
      <c r="D5661" s="25">
        <v>0.0</v>
      </c>
      <c r="E5661" s="27"/>
      <c r="F5661" s="25">
        <v>0.0</v>
      </c>
      <c r="G5661" s="27"/>
    </row>
    <row r="5662">
      <c r="A5662" s="21"/>
      <c r="B5662" s="21" t="s">
        <v>11789</v>
      </c>
      <c r="D5662" s="25">
        <v>0.0</v>
      </c>
      <c r="E5662" s="27"/>
      <c r="F5662" s="25">
        <v>0.0</v>
      </c>
      <c r="G5662" s="27"/>
    </row>
    <row r="5663">
      <c r="A5663" s="21"/>
      <c r="B5663" s="21" t="s">
        <v>11790</v>
      </c>
      <c r="D5663" s="25">
        <v>0.0</v>
      </c>
      <c r="E5663" s="27"/>
      <c r="F5663" s="25">
        <v>0.0</v>
      </c>
      <c r="G5663" s="27"/>
    </row>
    <row r="5664">
      <c r="A5664" s="21"/>
      <c r="B5664" s="21" t="s">
        <v>11791</v>
      </c>
      <c r="D5664" s="25">
        <v>0.0</v>
      </c>
      <c r="E5664" s="27"/>
      <c r="F5664" s="25">
        <v>0.0</v>
      </c>
      <c r="G5664" s="27"/>
    </row>
    <row r="5665">
      <c r="A5665" s="21"/>
      <c r="B5665" s="21" t="s">
        <v>11792</v>
      </c>
      <c r="D5665" s="25">
        <v>0.0</v>
      </c>
      <c r="E5665" s="27"/>
      <c r="F5665" s="25">
        <v>0.0</v>
      </c>
      <c r="G5665" s="27"/>
    </row>
    <row r="5666">
      <c r="A5666" s="21"/>
      <c r="B5666" s="21" t="s">
        <v>11793</v>
      </c>
      <c r="D5666" s="25">
        <v>0.0</v>
      </c>
      <c r="E5666" s="27"/>
      <c r="F5666" s="25">
        <v>0.0</v>
      </c>
      <c r="G5666" s="27"/>
    </row>
    <row r="5667">
      <c r="A5667" s="21"/>
      <c r="B5667" s="21" t="s">
        <v>11794</v>
      </c>
      <c r="D5667" s="25">
        <v>0.0</v>
      </c>
      <c r="E5667" s="27"/>
      <c r="F5667" s="25">
        <v>0.0</v>
      </c>
      <c r="G5667" s="27"/>
    </row>
    <row r="5668">
      <c r="A5668" s="21"/>
      <c r="B5668" s="21" t="s">
        <v>11795</v>
      </c>
      <c r="D5668" s="25">
        <v>0.0</v>
      </c>
      <c r="E5668" s="27"/>
      <c r="F5668" s="25">
        <v>0.0</v>
      </c>
      <c r="G5668" s="27"/>
    </row>
    <row r="5669">
      <c r="A5669" s="21"/>
      <c r="B5669" s="21" t="s">
        <v>11796</v>
      </c>
      <c r="D5669" s="25">
        <v>0.0</v>
      </c>
      <c r="E5669" s="27"/>
      <c r="F5669" s="25">
        <v>0.0</v>
      </c>
      <c r="G5669" s="27"/>
    </row>
    <row r="5670">
      <c r="A5670" s="21"/>
      <c r="B5670" s="21" t="s">
        <v>11797</v>
      </c>
      <c r="D5670" s="25">
        <v>0.0</v>
      </c>
      <c r="E5670" s="27"/>
      <c r="F5670" s="25">
        <v>0.0</v>
      </c>
      <c r="G5670" s="27"/>
    </row>
    <row r="5671">
      <c r="A5671" s="21"/>
      <c r="B5671" s="21" t="s">
        <v>11798</v>
      </c>
      <c r="D5671" s="25">
        <v>0.0</v>
      </c>
      <c r="E5671" s="27"/>
      <c r="F5671" s="25">
        <v>0.0</v>
      </c>
      <c r="G5671" s="27"/>
    </row>
    <row r="5672">
      <c r="A5672" s="21"/>
      <c r="B5672" s="21" t="s">
        <v>11799</v>
      </c>
      <c r="D5672" s="25">
        <v>0.0</v>
      </c>
      <c r="E5672" s="27"/>
      <c r="F5672" s="25">
        <v>0.0</v>
      </c>
      <c r="G5672" s="27"/>
    </row>
    <row r="5673">
      <c r="A5673" s="21"/>
      <c r="B5673" s="21" t="s">
        <v>11800</v>
      </c>
      <c r="D5673" s="25">
        <v>0.0</v>
      </c>
      <c r="E5673" s="27"/>
      <c r="F5673" s="25">
        <v>0.0</v>
      </c>
      <c r="G5673" s="27"/>
    </row>
    <row r="5674">
      <c r="A5674" s="21"/>
      <c r="B5674" s="21" t="s">
        <v>11801</v>
      </c>
      <c r="D5674" s="25">
        <v>0.0</v>
      </c>
      <c r="E5674" s="27"/>
      <c r="F5674" s="25">
        <v>0.0</v>
      </c>
      <c r="G5674" s="27"/>
    </row>
    <row r="5675">
      <c r="A5675" s="21"/>
      <c r="B5675" s="21" t="s">
        <v>11802</v>
      </c>
      <c r="D5675" s="25">
        <v>0.0</v>
      </c>
      <c r="E5675" s="27"/>
      <c r="F5675" s="25">
        <v>0.0</v>
      </c>
      <c r="G5675" s="27"/>
    </row>
    <row r="5676">
      <c r="A5676" s="21"/>
      <c r="B5676" s="21" t="s">
        <v>11803</v>
      </c>
      <c r="D5676" s="25">
        <v>0.0</v>
      </c>
      <c r="E5676" s="27"/>
      <c r="F5676" s="25">
        <v>0.0</v>
      </c>
      <c r="G5676" s="27"/>
    </row>
    <row r="5677">
      <c r="A5677" s="21"/>
      <c r="B5677" s="21" t="s">
        <v>11804</v>
      </c>
      <c r="D5677" s="25">
        <v>0.0</v>
      </c>
      <c r="E5677" s="27"/>
      <c r="F5677" s="25">
        <v>0.0</v>
      </c>
      <c r="G5677" s="27"/>
    </row>
    <row r="5678">
      <c r="A5678" s="21"/>
      <c r="B5678" s="21" t="s">
        <v>11805</v>
      </c>
      <c r="D5678" s="25">
        <v>0.0</v>
      </c>
      <c r="E5678" s="27"/>
      <c r="F5678" s="25">
        <v>0.0</v>
      </c>
      <c r="G5678" s="27"/>
    </row>
    <row r="5679">
      <c r="A5679" s="21"/>
      <c r="B5679" s="21" t="s">
        <v>11806</v>
      </c>
      <c r="D5679" s="25">
        <v>0.0</v>
      </c>
      <c r="E5679" s="27"/>
      <c r="F5679" s="25">
        <v>0.0</v>
      </c>
      <c r="G5679" s="27"/>
    </row>
    <row r="5680">
      <c r="A5680" s="21"/>
      <c r="B5680" s="21" t="s">
        <v>11807</v>
      </c>
      <c r="D5680" s="25">
        <v>0.0</v>
      </c>
      <c r="E5680" s="27"/>
      <c r="F5680" s="25">
        <v>0.0</v>
      </c>
      <c r="G5680" s="27"/>
    </row>
    <row r="5681">
      <c r="A5681" s="21"/>
      <c r="B5681" s="21" t="s">
        <v>11808</v>
      </c>
      <c r="D5681" s="25">
        <v>0.0</v>
      </c>
      <c r="E5681" s="27"/>
      <c r="F5681" s="25">
        <v>0.0</v>
      </c>
      <c r="G5681" s="27"/>
    </row>
    <row r="5682">
      <c r="A5682" s="21"/>
      <c r="B5682" s="21" t="s">
        <v>11809</v>
      </c>
      <c r="D5682" s="25">
        <v>0.0</v>
      </c>
      <c r="E5682" s="27"/>
      <c r="F5682" s="25">
        <v>0.0</v>
      </c>
      <c r="G5682" s="27"/>
    </row>
    <row r="5683">
      <c r="A5683" s="21"/>
      <c r="B5683" s="21" t="s">
        <v>11810</v>
      </c>
      <c r="D5683" s="25">
        <v>0.0</v>
      </c>
      <c r="E5683" s="27"/>
      <c r="F5683" s="25">
        <v>0.0</v>
      </c>
      <c r="G5683" s="27"/>
    </row>
    <row r="5684">
      <c r="A5684" s="21"/>
      <c r="B5684" s="21" t="s">
        <v>11811</v>
      </c>
      <c r="D5684" s="25">
        <v>0.0</v>
      </c>
      <c r="E5684" s="27"/>
      <c r="F5684" s="25">
        <v>0.0</v>
      </c>
      <c r="G5684" s="27"/>
    </row>
    <row r="5685">
      <c r="A5685" s="21"/>
      <c r="B5685" s="21" t="s">
        <v>11812</v>
      </c>
      <c r="D5685" s="25">
        <v>0.0</v>
      </c>
      <c r="E5685" s="27"/>
      <c r="F5685" s="25">
        <v>0.0</v>
      </c>
      <c r="G5685" s="27"/>
    </row>
    <row r="5686">
      <c r="A5686" s="21"/>
      <c r="B5686" s="21" t="s">
        <v>11813</v>
      </c>
      <c r="D5686" s="25">
        <v>0.0</v>
      </c>
      <c r="E5686" s="27"/>
      <c r="F5686" s="25">
        <v>0.0</v>
      </c>
      <c r="G5686" s="27"/>
    </row>
    <row r="5687">
      <c r="A5687" s="21"/>
      <c r="B5687" s="21" t="s">
        <v>11814</v>
      </c>
      <c r="D5687" s="25">
        <v>0.0</v>
      </c>
      <c r="E5687" s="27"/>
      <c r="F5687" s="25">
        <v>0.0</v>
      </c>
      <c r="G5687" s="27"/>
    </row>
    <row r="5688">
      <c r="A5688" s="21"/>
      <c r="B5688" s="21" t="s">
        <v>11815</v>
      </c>
      <c r="D5688" s="25">
        <v>0.0</v>
      </c>
      <c r="E5688" s="27"/>
      <c r="F5688" s="25">
        <v>0.0</v>
      </c>
      <c r="G5688" s="27"/>
    </row>
    <row r="5689">
      <c r="A5689" s="21"/>
      <c r="B5689" s="21" t="s">
        <v>11816</v>
      </c>
      <c r="D5689" s="25">
        <v>0.0</v>
      </c>
      <c r="E5689" s="27"/>
      <c r="F5689" s="25">
        <v>0.0</v>
      </c>
      <c r="G5689" s="27"/>
    </row>
    <row r="5690">
      <c r="A5690" s="21"/>
      <c r="B5690" s="21" t="s">
        <v>11817</v>
      </c>
      <c r="D5690" s="25">
        <v>0.0</v>
      </c>
      <c r="E5690" s="27"/>
      <c r="F5690" s="25">
        <v>0.0</v>
      </c>
      <c r="G5690" s="27"/>
    </row>
    <row r="5691">
      <c r="A5691" s="21"/>
      <c r="B5691" s="21" t="s">
        <v>11818</v>
      </c>
      <c r="D5691" s="25">
        <v>0.0</v>
      </c>
      <c r="E5691" s="27"/>
      <c r="F5691" s="25">
        <v>0.0</v>
      </c>
      <c r="G5691" s="27"/>
    </row>
    <row r="5692">
      <c r="A5692" s="21"/>
      <c r="B5692" s="21" t="s">
        <v>11819</v>
      </c>
      <c r="D5692" s="25">
        <v>0.0</v>
      </c>
      <c r="E5692" s="27"/>
      <c r="F5692" s="25">
        <v>0.0</v>
      </c>
      <c r="G5692" s="27"/>
    </row>
    <row r="5693">
      <c r="A5693" s="21"/>
      <c r="B5693" s="21" t="s">
        <v>11820</v>
      </c>
      <c r="D5693" s="25">
        <v>0.0</v>
      </c>
      <c r="E5693" s="27"/>
      <c r="F5693" s="25">
        <v>0.0</v>
      </c>
      <c r="G5693" s="27"/>
    </row>
    <row r="5694">
      <c r="A5694" s="21"/>
      <c r="B5694" s="21" t="s">
        <v>11821</v>
      </c>
      <c r="D5694" s="25">
        <v>0.0</v>
      </c>
      <c r="E5694" s="27"/>
      <c r="F5694" s="25">
        <v>0.0</v>
      </c>
      <c r="G5694" s="27"/>
    </row>
    <row r="5695">
      <c r="A5695" s="21"/>
      <c r="B5695" s="21" t="s">
        <v>11822</v>
      </c>
      <c r="D5695" s="25">
        <v>0.0</v>
      </c>
      <c r="E5695" s="27"/>
      <c r="F5695" s="25">
        <v>5.96</v>
      </c>
      <c r="G5695" s="27"/>
    </row>
    <row r="5696">
      <c r="A5696" s="21"/>
      <c r="B5696" s="21" t="s">
        <v>11823</v>
      </c>
      <c r="D5696" s="25">
        <v>0.0</v>
      </c>
      <c r="E5696" s="27"/>
      <c r="F5696" s="25">
        <v>0.0</v>
      </c>
      <c r="G5696" s="27"/>
    </row>
    <row r="5697">
      <c r="A5697" s="21"/>
      <c r="B5697" s="21" t="s">
        <v>11824</v>
      </c>
      <c r="D5697" s="25">
        <v>0.0</v>
      </c>
      <c r="E5697" s="27"/>
      <c r="F5697" s="25">
        <v>0.0</v>
      </c>
      <c r="G5697" s="27"/>
    </row>
    <row r="5698">
      <c r="A5698" s="21"/>
      <c r="B5698" s="21" t="s">
        <v>11825</v>
      </c>
      <c r="D5698" s="25">
        <v>0.0</v>
      </c>
      <c r="E5698" s="27"/>
      <c r="F5698" s="25">
        <v>0.0</v>
      </c>
      <c r="G5698" s="27"/>
    </row>
    <row r="5699">
      <c r="A5699" s="21"/>
      <c r="B5699" s="21" t="s">
        <v>11826</v>
      </c>
      <c r="D5699" s="25">
        <v>0.0</v>
      </c>
      <c r="E5699" s="27"/>
      <c r="F5699" s="25">
        <v>0.0</v>
      </c>
      <c r="G5699" s="27"/>
    </row>
    <row r="5700">
      <c r="A5700" s="21"/>
      <c r="B5700" s="21" t="s">
        <v>11827</v>
      </c>
      <c r="D5700" s="25">
        <v>0.0</v>
      </c>
      <c r="E5700" s="27"/>
      <c r="F5700" s="25">
        <v>0.0</v>
      </c>
      <c r="G5700" s="27"/>
    </row>
    <row r="5701">
      <c r="A5701" s="21"/>
      <c r="B5701" s="21" t="s">
        <v>11828</v>
      </c>
      <c r="C5701" s="27"/>
      <c r="D5701" s="25">
        <v>0.0</v>
      </c>
      <c r="E5701" s="27"/>
      <c r="F5701" s="25">
        <v>0.0</v>
      </c>
      <c r="G5701" s="27"/>
    </row>
    <row r="5702">
      <c r="A5702" s="21"/>
      <c r="B5702" s="21" t="s">
        <v>11829</v>
      </c>
      <c r="D5702" s="25">
        <v>0.0</v>
      </c>
      <c r="E5702" s="27"/>
      <c r="F5702" s="25">
        <v>0.0</v>
      </c>
      <c r="G5702" s="27"/>
    </row>
    <row r="5703">
      <c r="A5703" s="21"/>
      <c r="B5703" s="21" t="s">
        <v>11830</v>
      </c>
      <c r="D5703" s="25">
        <v>0.0</v>
      </c>
      <c r="E5703" s="27"/>
      <c r="F5703" s="25">
        <v>0.0</v>
      </c>
      <c r="G5703" s="27"/>
    </row>
    <row r="5704">
      <c r="A5704" s="21"/>
      <c r="B5704" s="21" t="s">
        <v>11831</v>
      </c>
      <c r="D5704" s="25">
        <v>0.0</v>
      </c>
      <c r="E5704" s="27"/>
      <c r="F5704" s="25">
        <v>0.0</v>
      </c>
      <c r="G5704" s="27"/>
    </row>
    <row r="5705">
      <c r="A5705" s="21"/>
      <c r="B5705" s="21" t="s">
        <v>11832</v>
      </c>
      <c r="D5705" s="25">
        <v>0.0</v>
      </c>
      <c r="E5705" s="27"/>
      <c r="F5705" s="25">
        <v>0.0</v>
      </c>
      <c r="G5705" s="27"/>
    </row>
    <row r="5706">
      <c r="A5706" s="21"/>
      <c r="B5706" s="21" t="s">
        <v>11833</v>
      </c>
      <c r="D5706" s="25">
        <v>0.0</v>
      </c>
      <c r="E5706" s="27"/>
      <c r="F5706" s="25">
        <v>0.0</v>
      </c>
      <c r="G5706" s="27"/>
    </row>
    <row r="5707">
      <c r="A5707" s="21"/>
      <c r="B5707" s="21" t="s">
        <v>11834</v>
      </c>
      <c r="D5707" s="25">
        <v>0.0</v>
      </c>
      <c r="E5707" s="27"/>
      <c r="F5707" s="25">
        <v>0.0</v>
      </c>
      <c r="G5707" s="27"/>
    </row>
    <row r="5708">
      <c r="A5708" s="21"/>
      <c r="B5708" s="21" t="s">
        <v>11835</v>
      </c>
      <c r="D5708" s="25">
        <v>0.0</v>
      </c>
      <c r="E5708" s="27"/>
      <c r="F5708" s="25">
        <v>0.0</v>
      </c>
      <c r="G5708" s="27"/>
    </row>
    <row r="5709">
      <c r="A5709" s="21"/>
      <c r="B5709" s="21" t="s">
        <v>11836</v>
      </c>
      <c r="D5709" s="25">
        <v>0.0</v>
      </c>
      <c r="E5709" s="27"/>
      <c r="F5709" s="25">
        <v>0.0</v>
      </c>
      <c r="G5709" s="27"/>
    </row>
    <row r="5710">
      <c r="A5710" s="21"/>
      <c r="B5710" s="21" t="s">
        <v>11837</v>
      </c>
      <c r="D5710" s="25">
        <v>0.0</v>
      </c>
      <c r="E5710" s="27"/>
      <c r="F5710" s="25">
        <v>0.0</v>
      </c>
      <c r="G5710" s="27"/>
    </row>
    <row r="5711">
      <c r="A5711" s="21"/>
      <c r="B5711" s="21" t="s">
        <v>11838</v>
      </c>
      <c r="D5711" s="25">
        <v>0.0</v>
      </c>
      <c r="E5711" s="27"/>
      <c r="F5711" s="25">
        <v>0.0</v>
      </c>
      <c r="G5711" s="27"/>
    </row>
    <row r="5712">
      <c r="A5712" s="21"/>
      <c r="B5712" s="21" t="s">
        <v>11839</v>
      </c>
      <c r="D5712" s="25">
        <v>0.0</v>
      </c>
      <c r="E5712" s="27"/>
      <c r="F5712" s="25">
        <v>0.0</v>
      </c>
      <c r="G5712" s="27"/>
    </row>
    <row r="5713">
      <c r="A5713" s="21"/>
      <c r="B5713" s="21" t="s">
        <v>11840</v>
      </c>
      <c r="D5713" s="25">
        <v>0.0</v>
      </c>
      <c r="E5713" s="27"/>
      <c r="F5713" s="25">
        <v>0.0</v>
      </c>
      <c r="G5713" s="27"/>
    </row>
    <row r="5714">
      <c r="A5714" s="21"/>
      <c r="B5714" s="21" t="s">
        <v>11841</v>
      </c>
      <c r="D5714" s="25">
        <v>0.0</v>
      </c>
      <c r="E5714" s="27"/>
      <c r="F5714" s="25">
        <v>0.0</v>
      </c>
      <c r="G5714" s="27"/>
    </row>
    <row r="5715">
      <c r="A5715" s="21"/>
      <c r="B5715" s="21" t="s">
        <v>11842</v>
      </c>
      <c r="D5715" s="25">
        <v>0.0</v>
      </c>
      <c r="E5715" s="27"/>
      <c r="F5715" s="25">
        <v>0.0</v>
      </c>
      <c r="G5715" s="27"/>
    </row>
    <row r="5716">
      <c r="A5716" s="21"/>
      <c r="B5716" s="21" t="s">
        <v>11843</v>
      </c>
      <c r="D5716" s="25">
        <v>0.0</v>
      </c>
      <c r="E5716" s="27"/>
      <c r="F5716" s="25">
        <v>4.77</v>
      </c>
      <c r="G5716" s="27"/>
    </row>
    <row r="5717">
      <c r="A5717" s="21"/>
      <c r="B5717" s="21" t="s">
        <v>11844</v>
      </c>
      <c r="D5717" s="25">
        <v>0.0</v>
      </c>
      <c r="E5717" s="27"/>
      <c r="F5717" s="25">
        <v>0.0</v>
      </c>
      <c r="G5717" s="27"/>
    </row>
    <row r="5718">
      <c r="A5718" s="21"/>
      <c r="B5718" s="21" t="s">
        <v>11845</v>
      </c>
      <c r="D5718" s="25">
        <v>0.0</v>
      </c>
      <c r="E5718" s="27"/>
      <c r="F5718" s="25">
        <v>0.0</v>
      </c>
      <c r="G5718" s="27"/>
    </row>
    <row r="5719">
      <c r="A5719" s="21"/>
      <c r="B5719" s="21" t="s">
        <v>11846</v>
      </c>
      <c r="D5719" s="25">
        <v>0.0</v>
      </c>
      <c r="E5719" s="27"/>
      <c r="F5719" s="25">
        <v>0.0</v>
      </c>
      <c r="G5719" s="27"/>
    </row>
    <row r="5720">
      <c r="A5720" s="21"/>
      <c r="B5720" s="21" t="s">
        <v>11847</v>
      </c>
      <c r="D5720" s="25">
        <v>0.0</v>
      </c>
      <c r="E5720" s="27"/>
      <c r="F5720" s="25">
        <v>0.0</v>
      </c>
      <c r="G5720" s="27"/>
    </row>
    <row r="5721">
      <c r="A5721" s="21"/>
      <c r="B5721" s="21" t="s">
        <v>11848</v>
      </c>
      <c r="D5721" s="25">
        <v>0.0</v>
      </c>
      <c r="E5721" s="27"/>
      <c r="F5721" s="25">
        <v>0.0</v>
      </c>
      <c r="G5721" s="27"/>
    </row>
    <row r="5722">
      <c r="A5722" s="21"/>
      <c r="B5722" s="21" t="s">
        <v>11849</v>
      </c>
      <c r="D5722" s="25">
        <v>0.0</v>
      </c>
      <c r="E5722" s="27"/>
      <c r="F5722" s="25">
        <v>0.0</v>
      </c>
      <c r="G5722" s="27"/>
    </row>
    <row r="5723">
      <c r="A5723" s="21"/>
      <c r="B5723" s="21" t="s">
        <v>11850</v>
      </c>
      <c r="D5723" s="25">
        <v>0.0</v>
      </c>
      <c r="E5723" s="27"/>
      <c r="F5723" s="25">
        <v>0.0</v>
      </c>
      <c r="G5723" s="27"/>
    </row>
    <row r="5724">
      <c r="A5724" s="21"/>
      <c r="B5724" s="21" t="s">
        <v>11851</v>
      </c>
      <c r="D5724" s="25">
        <v>0.0</v>
      </c>
      <c r="E5724" s="27"/>
      <c r="F5724" s="25">
        <v>0.0</v>
      </c>
      <c r="G5724" s="27"/>
    </row>
    <row r="5725">
      <c r="A5725" s="21"/>
      <c r="B5725" s="21" t="s">
        <v>11852</v>
      </c>
      <c r="D5725" s="25">
        <v>0.0</v>
      </c>
      <c r="E5725" s="27"/>
      <c r="F5725" s="25">
        <v>0.0</v>
      </c>
      <c r="G5725" s="27"/>
    </row>
    <row r="5726">
      <c r="A5726" s="21"/>
      <c r="B5726" s="21" t="s">
        <v>11853</v>
      </c>
      <c r="D5726" s="25">
        <v>0.0</v>
      </c>
      <c r="E5726" s="27"/>
      <c r="F5726" s="25">
        <v>0.0</v>
      </c>
      <c r="G5726" s="27"/>
    </row>
    <row r="5727">
      <c r="A5727" s="21"/>
      <c r="B5727" s="21" t="s">
        <v>11854</v>
      </c>
      <c r="D5727" s="25">
        <v>0.0</v>
      </c>
      <c r="E5727" s="27"/>
      <c r="F5727" s="25">
        <v>0.0</v>
      </c>
      <c r="G5727" s="27"/>
    </row>
    <row r="5728">
      <c r="A5728" s="21"/>
      <c r="B5728" s="21" t="s">
        <v>11855</v>
      </c>
      <c r="D5728" s="25">
        <v>0.0</v>
      </c>
      <c r="E5728" s="27"/>
      <c r="F5728" s="25">
        <v>0.0</v>
      </c>
      <c r="G5728" s="27"/>
    </row>
    <row r="5729">
      <c r="A5729" s="21"/>
      <c r="B5729" s="21" t="s">
        <v>11856</v>
      </c>
      <c r="D5729" s="25">
        <v>0.0</v>
      </c>
      <c r="E5729" s="27"/>
      <c r="F5729" s="25">
        <v>0.0</v>
      </c>
      <c r="G5729" s="27"/>
    </row>
    <row r="5730">
      <c r="A5730" s="21"/>
      <c r="B5730" s="21" t="s">
        <v>11857</v>
      </c>
      <c r="D5730" s="25">
        <v>0.0</v>
      </c>
      <c r="E5730" s="27"/>
      <c r="F5730" s="25">
        <v>0.0</v>
      </c>
      <c r="G5730" s="27"/>
    </row>
    <row r="5731">
      <c r="A5731" s="21"/>
      <c r="B5731" s="21" t="s">
        <v>11858</v>
      </c>
      <c r="D5731" s="25">
        <v>0.0</v>
      </c>
      <c r="E5731" s="27"/>
      <c r="F5731" s="25">
        <v>0.0</v>
      </c>
      <c r="G5731" s="27"/>
    </row>
    <row r="5732">
      <c r="A5732" s="21"/>
      <c r="B5732" s="21" t="s">
        <v>11859</v>
      </c>
      <c r="D5732" s="25">
        <v>0.0</v>
      </c>
      <c r="E5732" s="27"/>
      <c r="F5732" s="25">
        <v>0.0</v>
      </c>
      <c r="G5732" s="27"/>
    </row>
    <row r="5733">
      <c r="A5733" s="21"/>
      <c r="B5733" s="21" t="s">
        <v>11860</v>
      </c>
      <c r="D5733" s="25">
        <v>0.0</v>
      </c>
      <c r="E5733" s="27"/>
      <c r="F5733" s="25">
        <v>0.0</v>
      </c>
      <c r="G5733" s="27"/>
    </row>
    <row r="5734">
      <c r="A5734" s="21"/>
      <c r="B5734" s="21" t="s">
        <v>11861</v>
      </c>
      <c r="D5734" s="25">
        <v>0.0</v>
      </c>
      <c r="E5734" s="27"/>
      <c r="F5734" s="25">
        <v>0.0</v>
      </c>
      <c r="G5734" s="27"/>
    </row>
    <row r="5735">
      <c r="A5735" s="21"/>
      <c r="B5735" s="21" t="s">
        <v>11862</v>
      </c>
      <c r="D5735" s="25">
        <v>0.0</v>
      </c>
      <c r="E5735" s="27"/>
      <c r="F5735" s="25">
        <v>0.0</v>
      </c>
      <c r="G5735" s="27"/>
    </row>
    <row r="5736">
      <c r="A5736" s="21"/>
      <c r="B5736" s="21" t="s">
        <v>11863</v>
      </c>
      <c r="D5736" s="25">
        <v>0.0</v>
      </c>
      <c r="E5736" s="27"/>
      <c r="F5736" s="25">
        <v>0.0</v>
      </c>
      <c r="G5736" s="27"/>
    </row>
    <row r="5737">
      <c r="A5737" s="21"/>
      <c r="B5737" s="21" t="s">
        <v>11864</v>
      </c>
      <c r="D5737" s="25">
        <v>0.0</v>
      </c>
      <c r="E5737" s="27"/>
      <c r="F5737" s="25">
        <v>0.0</v>
      </c>
      <c r="G5737" s="27"/>
    </row>
    <row r="5738">
      <c r="A5738" s="21"/>
      <c r="B5738" s="21" t="s">
        <v>11865</v>
      </c>
      <c r="D5738" s="25">
        <v>0.0</v>
      </c>
      <c r="E5738" s="27"/>
      <c r="F5738" s="25">
        <v>0.0</v>
      </c>
      <c r="G5738" s="27"/>
    </row>
    <row r="5739">
      <c r="A5739" s="21"/>
      <c r="B5739" s="21" t="s">
        <v>11866</v>
      </c>
      <c r="D5739" s="25">
        <v>0.0</v>
      </c>
      <c r="E5739" s="27"/>
      <c r="F5739" s="25">
        <v>0.0</v>
      </c>
      <c r="G5739" s="27"/>
    </row>
    <row r="5740">
      <c r="A5740" s="21"/>
      <c r="B5740" s="21" t="s">
        <v>11867</v>
      </c>
      <c r="C5740" s="27"/>
      <c r="D5740" s="25">
        <v>0.0</v>
      </c>
      <c r="E5740" s="27"/>
      <c r="F5740" s="25">
        <v>0.0</v>
      </c>
      <c r="G5740" s="27"/>
    </row>
    <row r="5741">
      <c r="A5741" s="21"/>
      <c r="B5741" s="21" t="s">
        <v>11868</v>
      </c>
      <c r="D5741" s="25">
        <v>0.0</v>
      </c>
      <c r="E5741" s="27"/>
      <c r="F5741" s="25">
        <v>0.0</v>
      </c>
      <c r="G5741" s="27"/>
    </row>
    <row r="5742">
      <c r="A5742" s="21"/>
      <c r="B5742" s="21" t="s">
        <v>11869</v>
      </c>
      <c r="D5742" s="25">
        <v>0.0</v>
      </c>
      <c r="E5742" s="27"/>
      <c r="F5742" s="25">
        <v>0.0</v>
      </c>
      <c r="G5742" s="27"/>
    </row>
    <row r="5743">
      <c r="A5743" s="21"/>
      <c r="B5743" s="21" t="s">
        <v>11870</v>
      </c>
      <c r="D5743" s="25">
        <v>0.0</v>
      </c>
      <c r="E5743" s="27"/>
      <c r="F5743" s="25">
        <v>0.0</v>
      </c>
      <c r="G5743" s="27"/>
    </row>
    <row r="5744">
      <c r="A5744" s="21"/>
      <c r="B5744" s="21" t="s">
        <v>11871</v>
      </c>
      <c r="D5744" s="25">
        <v>0.0</v>
      </c>
      <c r="E5744" s="27"/>
      <c r="F5744" s="25">
        <v>0.0</v>
      </c>
      <c r="G5744" s="27"/>
    </row>
    <row r="5745">
      <c r="A5745" s="21"/>
      <c r="B5745" s="21" t="s">
        <v>11872</v>
      </c>
      <c r="D5745" s="25">
        <v>0.0</v>
      </c>
      <c r="E5745" s="27"/>
      <c r="F5745" s="25">
        <v>0.0</v>
      </c>
      <c r="G5745" s="27"/>
    </row>
    <row r="5746">
      <c r="A5746" s="21"/>
      <c r="B5746" s="21" t="s">
        <v>11873</v>
      </c>
      <c r="C5746" s="27"/>
      <c r="D5746" s="25">
        <v>0.0</v>
      </c>
      <c r="E5746" s="27"/>
      <c r="F5746" s="25">
        <v>0.0</v>
      </c>
      <c r="G5746" s="27"/>
    </row>
    <row r="5747">
      <c r="A5747" s="21"/>
      <c r="B5747" s="21" t="s">
        <v>11874</v>
      </c>
      <c r="D5747" s="25">
        <v>0.0</v>
      </c>
      <c r="E5747" s="27"/>
      <c r="F5747" s="25">
        <v>0.0</v>
      </c>
      <c r="G5747" s="27"/>
    </row>
    <row r="5748">
      <c r="A5748" s="21"/>
      <c r="B5748" s="21" t="s">
        <v>11875</v>
      </c>
      <c r="D5748" s="25">
        <v>0.0</v>
      </c>
      <c r="E5748" s="27"/>
      <c r="F5748" s="25">
        <v>0.0</v>
      </c>
      <c r="G5748" s="27"/>
    </row>
    <row r="5749">
      <c r="A5749" s="21"/>
      <c r="B5749" s="21" t="s">
        <v>5720</v>
      </c>
      <c r="D5749" s="25">
        <v>0.0</v>
      </c>
      <c r="E5749" s="27"/>
      <c r="F5749" s="25">
        <v>0.0</v>
      </c>
      <c r="G5749" s="27"/>
    </row>
    <row r="5750">
      <c r="A5750" s="21"/>
      <c r="B5750" s="21" t="s">
        <v>11876</v>
      </c>
      <c r="D5750" s="25">
        <v>0.0</v>
      </c>
      <c r="E5750" s="27"/>
      <c r="F5750" s="25">
        <v>0.0</v>
      </c>
      <c r="G5750" s="27"/>
    </row>
    <row r="5751">
      <c r="A5751" s="21"/>
      <c r="B5751" s="21" t="s">
        <v>11877</v>
      </c>
      <c r="D5751" s="25">
        <v>0.0</v>
      </c>
      <c r="E5751" s="27"/>
      <c r="F5751" s="25">
        <v>0.0</v>
      </c>
      <c r="G5751" s="27"/>
    </row>
    <row r="5752">
      <c r="A5752" s="21"/>
      <c r="B5752" s="21" t="s">
        <v>11878</v>
      </c>
      <c r="D5752" s="25">
        <v>0.0</v>
      </c>
      <c r="E5752" s="27"/>
      <c r="F5752" s="25">
        <v>0.0</v>
      </c>
      <c r="G5752" s="27"/>
    </row>
    <row r="5753">
      <c r="A5753" s="21"/>
      <c r="B5753" s="21" t="s">
        <v>11879</v>
      </c>
      <c r="D5753" s="25">
        <v>0.0</v>
      </c>
      <c r="E5753" s="27"/>
      <c r="F5753" s="25">
        <v>0.0</v>
      </c>
      <c r="G5753" s="27"/>
    </row>
    <row r="5754">
      <c r="A5754" s="21"/>
      <c r="B5754" s="21" t="s">
        <v>11880</v>
      </c>
      <c r="D5754" s="25">
        <v>0.0</v>
      </c>
      <c r="E5754" s="27"/>
      <c r="F5754" s="25">
        <v>0.0</v>
      </c>
      <c r="G5754" s="27"/>
    </row>
    <row r="5755">
      <c r="A5755" s="21"/>
      <c r="B5755" s="21" t="s">
        <v>11881</v>
      </c>
      <c r="D5755" s="25">
        <v>0.0</v>
      </c>
      <c r="E5755" s="27"/>
      <c r="F5755" s="25">
        <v>0.0</v>
      </c>
      <c r="G5755" s="27"/>
    </row>
    <row r="5756">
      <c r="A5756" s="21"/>
      <c r="B5756" s="21" t="s">
        <v>11882</v>
      </c>
      <c r="D5756" s="25">
        <v>0.0</v>
      </c>
      <c r="E5756" s="27"/>
      <c r="F5756" s="25">
        <v>0.0</v>
      </c>
      <c r="G5756" s="27"/>
    </row>
    <row r="5757">
      <c r="A5757" s="21"/>
      <c r="B5757" s="21" t="s">
        <v>11883</v>
      </c>
      <c r="D5757" s="25">
        <v>0.0</v>
      </c>
      <c r="E5757" s="27"/>
      <c r="F5757" s="25">
        <v>0.0</v>
      </c>
      <c r="G5757" s="27"/>
    </row>
    <row r="5758">
      <c r="A5758" s="21"/>
      <c r="B5758" s="21" t="s">
        <v>11884</v>
      </c>
      <c r="D5758" s="25">
        <v>0.0</v>
      </c>
      <c r="E5758" s="27"/>
      <c r="F5758" s="25">
        <v>0.0</v>
      </c>
      <c r="G5758" s="27"/>
    </row>
    <row r="5759">
      <c r="A5759" s="21"/>
      <c r="B5759" s="21" t="s">
        <v>11885</v>
      </c>
      <c r="D5759" s="25">
        <v>0.0</v>
      </c>
      <c r="E5759" s="27"/>
      <c r="F5759" s="25">
        <v>0.0</v>
      </c>
      <c r="G5759" s="27"/>
    </row>
    <row r="5760">
      <c r="A5760" s="21"/>
      <c r="B5760" s="21" t="s">
        <v>11886</v>
      </c>
      <c r="D5760" s="25">
        <v>0.0</v>
      </c>
      <c r="E5760" s="27"/>
      <c r="F5760" s="25">
        <v>0.0</v>
      </c>
      <c r="G5760" s="27"/>
    </row>
    <row r="5761">
      <c r="A5761" s="21"/>
      <c r="B5761" s="21" t="s">
        <v>11887</v>
      </c>
      <c r="D5761" s="25">
        <v>0.0</v>
      </c>
      <c r="E5761" s="27"/>
      <c r="F5761" s="25">
        <v>0.0</v>
      </c>
      <c r="G5761" s="27"/>
    </row>
    <row r="5762">
      <c r="A5762" s="21"/>
      <c r="B5762" s="21" t="s">
        <v>11888</v>
      </c>
      <c r="D5762" s="25">
        <v>0.0</v>
      </c>
      <c r="E5762" s="27"/>
      <c r="F5762" s="25">
        <v>0.0</v>
      </c>
      <c r="G5762" s="27"/>
    </row>
    <row r="5763">
      <c r="A5763" s="21"/>
      <c r="B5763" s="21" t="s">
        <v>11889</v>
      </c>
      <c r="D5763" s="25">
        <v>0.0</v>
      </c>
      <c r="E5763" s="27"/>
      <c r="F5763" s="25">
        <v>0.0</v>
      </c>
      <c r="G5763" s="27"/>
    </row>
    <row r="5764">
      <c r="A5764" s="21"/>
      <c r="B5764" s="21" t="s">
        <v>11890</v>
      </c>
      <c r="D5764" s="25">
        <v>0.0</v>
      </c>
      <c r="E5764" s="27"/>
      <c r="F5764" s="25">
        <v>0.0</v>
      </c>
      <c r="G5764" s="27"/>
    </row>
    <row r="5765">
      <c r="A5765" s="21"/>
      <c r="B5765" s="21" t="s">
        <v>11891</v>
      </c>
      <c r="D5765" s="25">
        <v>0.0</v>
      </c>
      <c r="E5765" s="27"/>
      <c r="F5765" s="25">
        <v>0.0</v>
      </c>
      <c r="G5765" s="27"/>
    </row>
    <row r="5766">
      <c r="A5766" s="21"/>
      <c r="B5766" s="21" t="s">
        <v>11892</v>
      </c>
      <c r="D5766" s="25">
        <v>0.0</v>
      </c>
      <c r="E5766" s="27"/>
      <c r="F5766" s="25">
        <v>0.0</v>
      </c>
      <c r="G5766" s="27"/>
    </row>
    <row r="5767">
      <c r="A5767" s="21"/>
      <c r="B5767" s="21" t="s">
        <v>11893</v>
      </c>
      <c r="D5767" s="25">
        <v>0.0</v>
      </c>
      <c r="E5767" s="27"/>
      <c r="F5767" s="25">
        <v>0.0</v>
      </c>
      <c r="G5767" s="27"/>
    </row>
    <row r="5768">
      <c r="A5768" s="21"/>
      <c r="B5768" s="21" t="s">
        <v>11894</v>
      </c>
      <c r="D5768" s="25">
        <v>0.0</v>
      </c>
      <c r="E5768" s="27"/>
      <c r="F5768" s="25">
        <v>0.0</v>
      </c>
      <c r="G5768" s="27"/>
    </row>
    <row r="5769">
      <c r="A5769" s="21"/>
      <c r="B5769" s="21" t="s">
        <v>11895</v>
      </c>
      <c r="D5769" s="25">
        <v>0.0</v>
      </c>
      <c r="E5769" s="27"/>
      <c r="F5769" s="25">
        <v>0.0</v>
      </c>
      <c r="G5769" s="27"/>
    </row>
    <row r="5770">
      <c r="A5770" s="21"/>
      <c r="B5770" s="21" t="s">
        <v>11896</v>
      </c>
      <c r="D5770" s="25">
        <v>0.0</v>
      </c>
      <c r="E5770" s="27"/>
      <c r="F5770" s="25">
        <v>0.0</v>
      </c>
      <c r="G5770" s="27"/>
    </row>
    <row r="5771">
      <c r="A5771" s="21"/>
      <c r="B5771" s="21" t="s">
        <v>11897</v>
      </c>
      <c r="D5771" s="25">
        <v>0.0</v>
      </c>
      <c r="E5771" s="27"/>
      <c r="F5771" s="25">
        <v>0.0</v>
      </c>
      <c r="G5771" s="27"/>
    </row>
    <row r="5772">
      <c r="A5772" s="21"/>
      <c r="B5772" s="21" t="s">
        <v>11898</v>
      </c>
      <c r="D5772" s="25">
        <v>0.0</v>
      </c>
      <c r="E5772" s="27"/>
      <c r="F5772" s="25">
        <v>0.0</v>
      </c>
      <c r="G5772" s="27"/>
    </row>
    <row r="5773">
      <c r="A5773" s="21"/>
      <c r="B5773" s="21" t="s">
        <v>11899</v>
      </c>
      <c r="D5773" s="25">
        <v>0.0</v>
      </c>
      <c r="E5773" s="27"/>
      <c r="F5773" s="25">
        <v>0.0</v>
      </c>
      <c r="G5773" s="27"/>
    </row>
    <row r="5774">
      <c r="A5774" s="21"/>
      <c r="B5774" s="21" t="s">
        <v>11900</v>
      </c>
      <c r="D5774" s="25">
        <v>0.0</v>
      </c>
      <c r="E5774" s="27"/>
      <c r="F5774" s="25">
        <v>0.0</v>
      </c>
      <c r="G5774" s="27"/>
    </row>
    <row r="5775">
      <c r="A5775" s="21"/>
      <c r="B5775" s="21" t="s">
        <v>11901</v>
      </c>
      <c r="D5775" s="25">
        <v>0.0</v>
      </c>
      <c r="E5775" s="27"/>
      <c r="F5775" s="25">
        <v>0.0</v>
      </c>
      <c r="G5775" s="27"/>
    </row>
    <row r="5776">
      <c r="A5776" s="21"/>
      <c r="B5776" s="21" t="s">
        <v>11902</v>
      </c>
      <c r="D5776" s="25">
        <v>0.0</v>
      </c>
      <c r="E5776" s="27"/>
      <c r="F5776" s="25">
        <v>0.0</v>
      </c>
      <c r="G5776" s="27"/>
    </row>
    <row r="5777">
      <c r="A5777" s="21"/>
      <c r="B5777" s="21" t="s">
        <v>11903</v>
      </c>
      <c r="D5777" s="25">
        <v>0.0</v>
      </c>
      <c r="E5777" s="27"/>
      <c r="F5777" s="25">
        <v>0.0</v>
      </c>
      <c r="G5777" s="27"/>
    </row>
    <row r="5778">
      <c r="A5778" s="21"/>
      <c r="B5778" s="21" t="s">
        <v>11904</v>
      </c>
      <c r="D5778" s="25">
        <v>0.0</v>
      </c>
      <c r="E5778" s="27"/>
      <c r="F5778" s="25">
        <v>0.0</v>
      </c>
      <c r="G5778" s="27"/>
    </row>
    <row r="5779">
      <c r="A5779" s="21"/>
      <c r="B5779" s="21" t="s">
        <v>11905</v>
      </c>
      <c r="D5779" s="25">
        <v>0.0</v>
      </c>
      <c r="E5779" s="27"/>
      <c r="F5779" s="25">
        <v>0.0</v>
      </c>
      <c r="G5779" s="27"/>
    </row>
    <row r="5780">
      <c r="A5780" s="21"/>
      <c r="B5780" s="21" t="s">
        <v>11906</v>
      </c>
      <c r="D5780" s="25">
        <v>0.0</v>
      </c>
      <c r="E5780" s="27"/>
      <c r="F5780" s="25">
        <v>0.0</v>
      </c>
      <c r="G5780" s="27"/>
    </row>
    <row r="5781">
      <c r="A5781" s="21"/>
      <c r="B5781" s="21" t="s">
        <v>11907</v>
      </c>
      <c r="D5781" s="25">
        <v>0.0</v>
      </c>
      <c r="E5781" s="27"/>
      <c r="F5781" s="25">
        <v>0.0</v>
      </c>
      <c r="G5781" s="27"/>
    </row>
    <row r="5782">
      <c r="A5782" s="21"/>
      <c r="B5782" s="21" t="s">
        <v>11908</v>
      </c>
      <c r="D5782" s="25">
        <v>0.0</v>
      </c>
      <c r="E5782" s="27"/>
      <c r="F5782" s="25">
        <v>0.0</v>
      </c>
      <c r="G5782" s="27"/>
    </row>
    <row r="5783">
      <c r="A5783" s="21"/>
      <c r="B5783" s="21" t="s">
        <v>11909</v>
      </c>
      <c r="D5783" s="25">
        <v>0.0</v>
      </c>
      <c r="E5783" s="27"/>
      <c r="F5783" s="25">
        <v>0.0</v>
      </c>
      <c r="G5783" s="27"/>
    </row>
    <row r="5784">
      <c r="A5784" s="21"/>
      <c r="B5784" s="21" t="s">
        <v>11910</v>
      </c>
      <c r="D5784" s="25">
        <v>0.0</v>
      </c>
      <c r="E5784" s="27"/>
      <c r="F5784" s="25">
        <v>0.0</v>
      </c>
      <c r="G5784" s="27"/>
    </row>
    <row r="5785">
      <c r="A5785" s="21"/>
      <c r="B5785" s="21" t="s">
        <v>11911</v>
      </c>
      <c r="D5785" s="25">
        <v>0.0</v>
      </c>
      <c r="E5785" s="27"/>
      <c r="F5785" s="25">
        <v>0.0</v>
      </c>
      <c r="G5785" s="27"/>
    </row>
    <row r="5786">
      <c r="A5786" s="21"/>
      <c r="B5786" s="21" t="s">
        <v>11912</v>
      </c>
      <c r="D5786" s="25">
        <v>0.0</v>
      </c>
      <c r="E5786" s="27"/>
      <c r="F5786" s="25">
        <v>0.0</v>
      </c>
      <c r="G5786" s="27"/>
    </row>
    <row r="5787">
      <c r="A5787" s="21"/>
      <c r="B5787" s="21" t="s">
        <v>11913</v>
      </c>
      <c r="D5787" s="25">
        <v>0.0</v>
      </c>
      <c r="E5787" s="27"/>
      <c r="F5787" s="25">
        <v>0.0</v>
      </c>
      <c r="G5787" s="27"/>
    </row>
    <row r="5788">
      <c r="A5788" s="21"/>
      <c r="B5788" s="21" t="s">
        <v>11914</v>
      </c>
      <c r="D5788" s="25">
        <v>0.0</v>
      </c>
      <c r="E5788" s="27"/>
      <c r="F5788" s="25">
        <v>0.0</v>
      </c>
      <c r="G5788" s="27"/>
    </row>
    <row r="5789">
      <c r="A5789" s="21"/>
      <c r="B5789" s="21" t="s">
        <v>11915</v>
      </c>
      <c r="D5789" s="25">
        <v>0.0</v>
      </c>
      <c r="E5789" s="27"/>
      <c r="F5789" s="25">
        <v>1.55</v>
      </c>
      <c r="G5789" s="27"/>
    </row>
    <row r="5790">
      <c r="A5790" s="21"/>
      <c r="B5790" s="21" t="s">
        <v>11916</v>
      </c>
      <c r="D5790" s="25">
        <v>0.0</v>
      </c>
      <c r="E5790" s="27"/>
      <c r="F5790" s="25">
        <v>0.0</v>
      </c>
      <c r="G5790" s="27"/>
    </row>
    <row r="5791">
      <c r="A5791" s="21"/>
      <c r="B5791" s="21" t="s">
        <v>11917</v>
      </c>
      <c r="D5791" s="25">
        <v>0.0</v>
      </c>
      <c r="E5791" s="27"/>
      <c r="F5791" s="25">
        <v>0.0</v>
      </c>
      <c r="G5791" s="27"/>
    </row>
    <row r="5792">
      <c r="A5792" s="21"/>
      <c r="B5792" s="21" t="s">
        <v>11918</v>
      </c>
      <c r="D5792" s="25">
        <v>0.0</v>
      </c>
      <c r="E5792" s="27"/>
      <c r="F5792" s="25">
        <v>0.0</v>
      </c>
      <c r="G5792" s="27"/>
    </row>
    <row r="5793">
      <c r="A5793" s="21"/>
      <c r="B5793" s="21" t="s">
        <v>11919</v>
      </c>
      <c r="D5793" s="25">
        <v>0.0</v>
      </c>
      <c r="E5793" s="27"/>
      <c r="F5793" s="25">
        <v>0.0</v>
      </c>
      <c r="G5793" s="27"/>
    </row>
    <row r="5794">
      <c r="A5794" s="21"/>
      <c r="B5794" s="21" t="s">
        <v>11920</v>
      </c>
      <c r="D5794" s="25">
        <v>0.0</v>
      </c>
      <c r="E5794" s="27"/>
      <c r="F5794" s="25">
        <v>0.0</v>
      </c>
      <c r="G5794" s="27"/>
    </row>
    <row r="5795">
      <c r="A5795" s="21"/>
      <c r="B5795" s="21" t="s">
        <v>11921</v>
      </c>
      <c r="D5795" s="25">
        <v>0.0</v>
      </c>
      <c r="E5795" s="27"/>
      <c r="F5795" s="25">
        <v>0.0</v>
      </c>
      <c r="G5795" s="27"/>
    </row>
    <row r="5796">
      <c r="A5796" s="21"/>
      <c r="B5796" s="21" t="s">
        <v>11922</v>
      </c>
      <c r="D5796" s="25">
        <v>0.0</v>
      </c>
      <c r="E5796" s="27"/>
      <c r="F5796" s="25">
        <v>0.0</v>
      </c>
      <c r="G5796" s="27"/>
    </row>
    <row r="5797">
      <c r="A5797" s="21"/>
      <c r="B5797" s="21" t="s">
        <v>11923</v>
      </c>
      <c r="D5797" s="25">
        <v>0.0</v>
      </c>
      <c r="E5797" s="27"/>
      <c r="F5797" s="25">
        <v>0.0</v>
      </c>
      <c r="G5797" s="27"/>
    </row>
    <row r="5798">
      <c r="A5798" s="21"/>
      <c r="B5798" s="21" t="s">
        <v>11924</v>
      </c>
      <c r="C5798" s="27"/>
      <c r="D5798" s="25">
        <v>0.0</v>
      </c>
      <c r="E5798" s="27"/>
      <c r="F5798" s="25">
        <v>0.0</v>
      </c>
      <c r="G5798" s="27"/>
    </row>
    <row r="5799">
      <c r="A5799" s="21"/>
      <c r="B5799" s="21" t="s">
        <v>11925</v>
      </c>
      <c r="D5799" s="25">
        <v>0.0</v>
      </c>
      <c r="E5799" s="27"/>
      <c r="F5799" s="25">
        <v>0.0</v>
      </c>
      <c r="G5799" s="27"/>
    </row>
    <row r="5800">
      <c r="A5800" s="21"/>
      <c r="B5800" s="21" t="s">
        <v>11926</v>
      </c>
      <c r="D5800" s="25">
        <v>0.0</v>
      </c>
      <c r="E5800" s="27"/>
      <c r="F5800" s="25">
        <v>0.0</v>
      </c>
      <c r="G5800" s="27"/>
    </row>
    <row r="5801">
      <c r="A5801" s="21"/>
      <c r="B5801" s="21" t="s">
        <v>11927</v>
      </c>
      <c r="D5801" s="25">
        <v>0.0</v>
      </c>
      <c r="E5801" s="27"/>
      <c r="F5801" s="25">
        <v>0.0</v>
      </c>
      <c r="G5801" s="27"/>
    </row>
    <row r="5802">
      <c r="A5802" s="21"/>
      <c r="B5802" s="21" t="s">
        <v>11928</v>
      </c>
      <c r="D5802" s="25">
        <v>0.0</v>
      </c>
      <c r="E5802" s="27"/>
      <c r="F5802" s="25">
        <v>0.0</v>
      </c>
      <c r="G5802" s="27"/>
    </row>
    <row r="5803">
      <c r="A5803" s="21"/>
      <c r="B5803" s="21" t="s">
        <v>11929</v>
      </c>
      <c r="D5803" s="25">
        <v>0.0</v>
      </c>
      <c r="E5803" s="27"/>
      <c r="F5803" s="25">
        <v>0.0</v>
      </c>
      <c r="G5803" s="27"/>
    </row>
    <row r="5804">
      <c r="A5804" s="21"/>
      <c r="B5804" s="21" t="s">
        <v>11930</v>
      </c>
      <c r="D5804" s="25">
        <v>0.0</v>
      </c>
      <c r="E5804" s="27"/>
      <c r="F5804" s="25">
        <v>0.0</v>
      </c>
      <c r="G5804" s="27"/>
    </row>
    <row r="5805">
      <c r="A5805" s="21"/>
      <c r="B5805" s="21" t="s">
        <v>11931</v>
      </c>
      <c r="D5805" s="25">
        <v>0.0</v>
      </c>
      <c r="E5805" s="27"/>
      <c r="F5805" s="25">
        <v>0.0</v>
      </c>
      <c r="G5805" s="27"/>
    </row>
    <row r="5806">
      <c r="A5806" s="21"/>
      <c r="B5806" s="21" t="s">
        <v>11932</v>
      </c>
      <c r="D5806" s="25">
        <v>0.0</v>
      </c>
      <c r="E5806" s="27"/>
      <c r="F5806" s="25">
        <v>1.08</v>
      </c>
      <c r="G5806" s="27"/>
    </row>
    <row r="5807">
      <c r="A5807" s="21"/>
      <c r="B5807" s="21" t="s">
        <v>11933</v>
      </c>
      <c r="D5807" s="25">
        <v>0.0</v>
      </c>
      <c r="E5807" s="27"/>
      <c r="F5807" s="25">
        <v>0.0</v>
      </c>
      <c r="G5807" s="27"/>
    </row>
    <row r="5808">
      <c r="A5808" s="21"/>
      <c r="B5808" s="21" t="s">
        <v>11934</v>
      </c>
      <c r="D5808" s="25">
        <v>0.0</v>
      </c>
      <c r="E5808" s="27"/>
      <c r="F5808" s="25">
        <v>0.0</v>
      </c>
      <c r="G5808" s="27"/>
    </row>
    <row r="5809">
      <c r="A5809" s="21"/>
      <c r="B5809" s="21" t="s">
        <v>11935</v>
      </c>
      <c r="D5809" s="25">
        <v>0.0</v>
      </c>
      <c r="E5809" s="27"/>
      <c r="F5809" s="25">
        <v>0.0</v>
      </c>
      <c r="G5809" s="27"/>
    </row>
    <row r="5810">
      <c r="A5810" s="21"/>
      <c r="B5810" s="21" t="s">
        <v>11936</v>
      </c>
      <c r="D5810" s="25">
        <v>0.0</v>
      </c>
      <c r="E5810" s="27"/>
      <c r="F5810" s="25">
        <v>0.0</v>
      </c>
      <c r="G5810" s="27"/>
    </row>
    <row r="5811">
      <c r="A5811" s="21"/>
      <c r="B5811" s="21" t="s">
        <v>11937</v>
      </c>
      <c r="D5811" s="25">
        <v>0.0</v>
      </c>
      <c r="E5811" s="27"/>
      <c r="F5811" s="25">
        <v>0.0</v>
      </c>
      <c r="G5811" s="27"/>
    </row>
    <row r="5812">
      <c r="A5812" s="21"/>
      <c r="B5812" s="21" t="s">
        <v>11938</v>
      </c>
      <c r="D5812" s="25">
        <v>0.0</v>
      </c>
      <c r="E5812" s="27"/>
      <c r="F5812" s="25">
        <v>0.0</v>
      </c>
      <c r="G5812" s="27"/>
    </row>
    <row r="5813">
      <c r="A5813" s="21"/>
      <c r="B5813" s="21" t="s">
        <v>11939</v>
      </c>
      <c r="D5813" s="25">
        <v>0.0</v>
      </c>
      <c r="E5813" s="27"/>
      <c r="F5813" s="25">
        <v>0.0</v>
      </c>
      <c r="G5813" s="27"/>
    </row>
    <row r="5814">
      <c r="A5814" s="21"/>
      <c r="B5814" s="21" t="s">
        <v>11940</v>
      </c>
      <c r="D5814" s="25">
        <v>0.0</v>
      </c>
      <c r="E5814" s="27"/>
      <c r="F5814" s="25">
        <v>0.0</v>
      </c>
      <c r="G5814" s="27"/>
    </row>
    <row r="5815">
      <c r="A5815" s="21"/>
      <c r="B5815" s="21" t="s">
        <v>11941</v>
      </c>
      <c r="D5815" s="25">
        <v>0.0</v>
      </c>
      <c r="E5815" s="27"/>
      <c r="F5815" s="25">
        <v>0.0</v>
      </c>
      <c r="G5815" s="27"/>
    </row>
    <row r="5816">
      <c r="A5816" s="21"/>
      <c r="B5816" s="21" t="s">
        <v>11942</v>
      </c>
      <c r="D5816" s="25">
        <v>0.0</v>
      </c>
      <c r="E5816" s="27"/>
      <c r="F5816" s="25">
        <v>0.0</v>
      </c>
      <c r="G5816" s="27"/>
    </row>
    <row r="5817">
      <c r="A5817" s="21"/>
      <c r="B5817" s="21" t="s">
        <v>11943</v>
      </c>
      <c r="D5817" s="25">
        <v>0.0</v>
      </c>
      <c r="E5817" s="27"/>
      <c r="F5817" s="25">
        <v>0.0</v>
      </c>
      <c r="G5817" s="27"/>
    </row>
    <row r="5818">
      <c r="A5818" s="21"/>
      <c r="B5818" s="21" t="s">
        <v>11944</v>
      </c>
      <c r="D5818" s="25">
        <v>0.0</v>
      </c>
      <c r="E5818" s="27"/>
      <c r="F5818" s="25">
        <v>0.0</v>
      </c>
      <c r="G5818" s="27"/>
    </row>
    <row r="5819">
      <c r="A5819" s="21"/>
      <c r="B5819" s="21" t="s">
        <v>11945</v>
      </c>
      <c r="D5819" s="25">
        <v>0.0</v>
      </c>
      <c r="E5819" s="27"/>
      <c r="F5819" s="25">
        <v>0.0</v>
      </c>
      <c r="G5819" s="27"/>
    </row>
    <row r="5820">
      <c r="A5820" s="21"/>
      <c r="B5820" s="21" t="s">
        <v>11946</v>
      </c>
      <c r="D5820" s="25">
        <v>0.0</v>
      </c>
      <c r="E5820" s="27"/>
      <c r="F5820" s="25">
        <v>3.35</v>
      </c>
      <c r="G5820" s="27"/>
    </row>
    <row r="5821">
      <c r="A5821" s="21"/>
      <c r="B5821" s="21" t="s">
        <v>11947</v>
      </c>
      <c r="D5821" s="25">
        <v>0.0</v>
      </c>
      <c r="E5821" s="27"/>
      <c r="F5821" s="25">
        <v>0.0</v>
      </c>
      <c r="G5821" s="27"/>
    </row>
    <row r="5822">
      <c r="A5822" s="21"/>
      <c r="B5822" s="21" t="s">
        <v>11948</v>
      </c>
      <c r="D5822" s="25">
        <v>0.0</v>
      </c>
      <c r="E5822" s="27"/>
      <c r="F5822" s="25">
        <v>0.0</v>
      </c>
      <c r="G5822" s="27"/>
    </row>
    <row r="5823">
      <c r="A5823" s="21"/>
      <c r="B5823" s="21" t="s">
        <v>11949</v>
      </c>
      <c r="D5823" s="25">
        <v>0.0</v>
      </c>
      <c r="E5823" s="27"/>
      <c r="F5823" s="25">
        <v>0.0</v>
      </c>
      <c r="G5823" s="27"/>
    </row>
    <row r="5824">
      <c r="A5824" s="21"/>
      <c r="B5824" s="21" t="s">
        <v>11950</v>
      </c>
      <c r="D5824" s="25">
        <v>0.0</v>
      </c>
      <c r="E5824" s="27"/>
      <c r="F5824" s="25">
        <v>0.0</v>
      </c>
      <c r="G5824" s="27"/>
    </row>
    <row r="5825">
      <c r="A5825" s="21"/>
      <c r="B5825" s="21" t="s">
        <v>11951</v>
      </c>
      <c r="D5825" s="25">
        <v>0.0</v>
      </c>
      <c r="E5825" s="27"/>
      <c r="F5825" s="25">
        <v>0.0</v>
      </c>
      <c r="G5825" s="27"/>
    </row>
    <row r="5826">
      <c r="A5826" s="21"/>
      <c r="B5826" s="21" t="s">
        <v>11952</v>
      </c>
      <c r="D5826" s="25">
        <v>0.0</v>
      </c>
      <c r="E5826" s="27"/>
      <c r="F5826" s="25">
        <v>0.0</v>
      </c>
      <c r="G5826" s="27"/>
    </row>
    <row r="5827">
      <c r="A5827" s="21"/>
      <c r="B5827" s="21" t="s">
        <v>11953</v>
      </c>
      <c r="D5827" s="25">
        <v>0.0</v>
      </c>
      <c r="E5827" s="27"/>
      <c r="F5827" s="25">
        <v>0.0</v>
      </c>
      <c r="G5827" s="27"/>
    </row>
    <row r="5828">
      <c r="A5828" s="21"/>
      <c r="B5828" s="21" t="s">
        <v>11954</v>
      </c>
      <c r="D5828" s="25">
        <v>0.0</v>
      </c>
      <c r="E5828" s="27"/>
      <c r="F5828" s="25">
        <v>0.0</v>
      </c>
      <c r="G5828" s="27"/>
    </row>
    <row r="5829">
      <c r="A5829" s="21"/>
      <c r="B5829" s="21" t="s">
        <v>11955</v>
      </c>
      <c r="D5829" s="25">
        <v>0.0</v>
      </c>
      <c r="E5829" s="27"/>
      <c r="F5829" s="25">
        <v>0.0</v>
      </c>
      <c r="G5829" s="27"/>
    </row>
    <row r="5830">
      <c r="A5830" s="21"/>
      <c r="B5830" s="21" t="s">
        <v>11956</v>
      </c>
      <c r="D5830" s="25">
        <v>0.0</v>
      </c>
      <c r="E5830" s="27"/>
      <c r="F5830" s="25">
        <v>0.0</v>
      </c>
      <c r="G5830" s="27"/>
    </row>
    <row r="5831">
      <c r="A5831" s="21"/>
      <c r="B5831" s="21" t="s">
        <v>11957</v>
      </c>
      <c r="D5831" s="25">
        <v>0.0</v>
      </c>
      <c r="E5831" s="27"/>
      <c r="F5831" s="25">
        <v>0.0</v>
      </c>
      <c r="G5831" s="27"/>
    </row>
    <row r="5832">
      <c r="A5832" s="21"/>
      <c r="B5832" s="21" t="s">
        <v>11958</v>
      </c>
      <c r="D5832" s="25">
        <v>0.0</v>
      </c>
      <c r="E5832" s="27"/>
      <c r="F5832" s="25">
        <v>0.0</v>
      </c>
      <c r="G5832" s="27"/>
    </row>
    <row r="5833">
      <c r="A5833" s="21"/>
      <c r="B5833" s="21" t="s">
        <v>11959</v>
      </c>
      <c r="D5833" s="25">
        <v>0.0</v>
      </c>
      <c r="E5833" s="27"/>
      <c r="F5833" s="25">
        <v>0.0</v>
      </c>
      <c r="G5833" s="27"/>
    </row>
    <row r="5834">
      <c r="A5834" s="21"/>
      <c r="B5834" s="21" t="s">
        <v>11960</v>
      </c>
      <c r="D5834" s="25">
        <v>0.0</v>
      </c>
      <c r="E5834" s="27"/>
      <c r="F5834" s="25">
        <v>0.0</v>
      </c>
      <c r="G5834" s="27"/>
    </row>
    <row r="5835">
      <c r="A5835" s="21"/>
      <c r="B5835" s="21" t="s">
        <v>11961</v>
      </c>
      <c r="D5835" s="25">
        <v>0.0</v>
      </c>
      <c r="E5835" s="27"/>
      <c r="F5835" s="25">
        <v>0.0</v>
      </c>
      <c r="G5835" s="27"/>
    </row>
    <row r="5836">
      <c r="A5836" s="21"/>
      <c r="B5836" s="21" t="s">
        <v>11962</v>
      </c>
      <c r="D5836" s="25">
        <v>0.0</v>
      </c>
      <c r="E5836" s="27"/>
      <c r="F5836" s="25">
        <v>0.0</v>
      </c>
      <c r="G5836" s="27"/>
    </row>
    <row r="5837">
      <c r="A5837" s="21"/>
      <c r="B5837" s="21" t="s">
        <v>11963</v>
      </c>
      <c r="D5837" s="25">
        <v>0.0</v>
      </c>
      <c r="E5837" s="27"/>
      <c r="F5837" s="25">
        <v>0.0</v>
      </c>
      <c r="G5837" s="27"/>
    </row>
    <row r="5838">
      <c r="A5838" s="21"/>
      <c r="B5838" s="21" t="s">
        <v>11964</v>
      </c>
      <c r="D5838" s="25">
        <v>0.0</v>
      </c>
      <c r="E5838" s="27"/>
      <c r="F5838" s="25">
        <v>0.0</v>
      </c>
      <c r="G5838" s="27"/>
    </row>
    <row r="5839">
      <c r="A5839" s="21"/>
      <c r="B5839" s="21" t="s">
        <v>11965</v>
      </c>
      <c r="D5839" s="25">
        <v>0.0</v>
      </c>
      <c r="E5839" s="27"/>
      <c r="F5839" s="25">
        <v>0.0</v>
      </c>
      <c r="G5839" s="27"/>
    </row>
    <row r="5840">
      <c r="A5840" s="21"/>
      <c r="B5840" s="21" t="s">
        <v>11966</v>
      </c>
      <c r="D5840" s="25">
        <v>0.0</v>
      </c>
      <c r="E5840" s="27"/>
      <c r="F5840" s="25">
        <v>0.0</v>
      </c>
      <c r="G5840" s="27"/>
    </row>
    <row r="5841">
      <c r="A5841" s="21"/>
      <c r="B5841" s="21" t="s">
        <v>11967</v>
      </c>
      <c r="D5841" s="25">
        <v>0.0</v>
      </c>
      <c r="E5841" s="27"/>
      <c r="F5841" s="25">
        <v>0.0</v>
      </c>
      <c r="G5841" s="27"/>
    </row>
    <row r="5842">
      <c r="A5842" s="21"/>
      <c r="B5842" s="21" t="s">
        <v>11968</v>
      </c>
      <c r="D5842" s="25">
        <v>0.0</v>
      </c>
      <c r="E5842" s="27"/>
      <c r="F5842" s="25">
        <v>0.0</v>
      </c>
      <c r="G5842" s="27"/>
    </row>
    <row r="5843">
      <c r="A5843" s="21"/>
      <c r="B5843" s="21" t="s">
        <v>11969</v>
      </c>
      <c r="D5843" s="25">
        <v>0.0</v>
      </c>
      <c r="E5843" s="27"/>
      <c r="F5843" s="25">
        <v>0.0</v>
      </c>
      <c r="G5843" s="27"/>
    </row>
    <row r="5844">
      <c r="A5844" s="21"/>
      <c r="B5844" s="21" t="s">
        <v>11970</v>
      </c>
      <c r="D5844" s="25">
        <v>0.0</v>
      </c>
      <c r="E5844" s="27"/>
      <c r="F5844" s="25">
        <v>0.0</v>
      </c>
      <c r="G5844" s="27"/>
    </row>
    <row r="5845">
      <c r="A5845" s="21"/>
      <c r="B5845" s="21" t="s">
        <v>11971</v>
      </c>
      <c r="D5845" s="25">
        <v>0.0</v>
      </c>
      <c r="E5845" s="27"/>
      <c r="F5845" s="25">
        <v>0.0</v>
      </c>
      <c r="G5845" s="27"/>
    </row>
    <row r="5846">
      <c r="A5846" s="21"/>
      <c r="B5846" s="21" t="s">
        <v>11972</v>
      </c>
      <c r="D5846" s="25">
        <v>0.0</v>
      </c>
      <c r="E5846" s="27"/>
      <c r="F5846" s="25">
        <v>0.0</v>
      </c>
      <c r="G5846" s="27"/>
    </row>
    <row r="5847">
      <c r="A5847" s="21"/>
      <c r="B5847" s="21" t="s">
        <v>11973</v>
      </c>
      <c r="D5847" s="25">
        <v>0.0</v>
      </c>
      <c r="E5847" s="27"/>
      <c r="F5847" s="25">
        <v>0.0</v>
      </c>
      <c r="G5847" s="27"/>
    </row>
    <row r="5848">
      <c r="A5848" s="21"/>
      <c r="B5848" s="21" t="s">
        <v>11974</v>
      </c>
      <c r="D5848" s="25">
        <v>0.0</v>
      </c>
      <c r="E5848" s="27"/>
      <c r="F5848" s="25">
        <v>1.45</v>
      </c>
      <c r="G5848" s="27"/>
    </row>
    <row r="5849">
      <c r="A5849" s="21"/>
      <c r="B5849" s="21" t="s">
        <v>11975</v>
      </c>
      <c r="D5849" s="25">
        <v>0.0</v>
      </c>
      <c r="E5849" s="27"/>
      <c r="F5849" s="25">
        <v>0.0</v>
      </c>
      <c r="G5849" s="27"/>
    </row>
    <row r="5850">
      <c r="A5850" s="21"/>
      <c r="B5850" s="21" t="s">
        <v>11976</v>
      </c>
      <c r="D5850" s="25">
        <v>0.0</v>
      </c>
      <c r="E5850" s="27"/>
      <c r="F5850" s="25">
        <v>0.0</v>
      </c>
      <c r="G5850" s="27"/>
    </row>
    <row r="5851">
      <c r="A5851" s="21"/>
      <c r="B5851" s="21" t="s">
        <v>11977</v>
      </c>
      <c r="D5851" s="25">
        <v>0.0</v>
      </c>
      <c r="E5851" s="27"/>
      <c r="F5851" s="25">
        <v>0.0</v>
      </c>
      <c r="G5851" s="27"/>
    </row>
    <row r="5852">
      <c r="A5852" s="21"/>
      <c r="B5852" s="21" t="s">
        <v>11978</v>
      </c>
      <c r="D5852" s="25">
        <v>0.0</v>
      </c>
      <c r="E5852" s="27"/>
      <c r="F5852" s="25">
        <v>0.0</v>
      </c>
      <c r="G5852" s="27"/>
    </row>
    <row r="5853">
      <c r="A5853" s="21"/>
      <c r="B5853" s="21" t="s">
        <v>11979</v>
      </c>
      <c r="D5853" s="25">
        <v>0.0</v>
      </c>
      <c r="E5853" s="27"/>
      <c r="F5853" s="25">
        <v>0.0</v>
      </c>
      <c r="G5853" s="27"/>
    </row>
    <row r="5854">
      <c r="A5854" s="21"/>
      <c r="B5854" s="21" t="s">
        <v>11980</v>
      </c>
      <c r="D5854" s="25">
        <v>0.0</v>
      </c>
      <c r="E5854" s="27"/>
      <c r="F5854" s="25">
        <v>0.0</v>
      </c>
      <c r="G5854" s="27"/>
    </row>
    <row r="5855">
      <c r="A5855" s="21"/>
      <c r="B5855" s="21" t="s">
        <v>11981</v>
      </c>
      <c r="D5855" s="25">
        <v>0.0</v>
      </c>
      <c r="E5855" s="27"/>
      <c r="F5855" s="25">
        <v>0.0</v>
      </c>
      <c r="G5855" s="27"/>
    </row>
    <row r="5856">
      <c r="A5856" s="21"/>
      <c r="B5856" s="21" t="s">
        <v>11982</v>
      </c>
      <c r="D5856" s="25">
        <v>0.0</v>
      </c>
      <c r="E5856" s="27"/>
      <c r="F5856" s="25">
        <v>0.0</v>
      </c>
      <c r="G5856" s="27"/>
    </row>
    <row r="5857">
      <c r="A5857" s="21"/>
      <c r="B5857" s="21" t="s">
        <v>11983</v>
      </c>
      <c r="D5857" s="25">
        <v>0.0</v>
      </c>
      <c r="E5857" s="27"/>
      <c r="F5857" s="25">
        <v>7.31</v>
      </c>
      <c r="G5857" s="27"/>
    </row>
    <row r="5858">
      <c r="A5858" s="21"/>
      <c r="B5858" s="21" t="s">
        <v>11984</v>
      </c>
      <c r="D5858" s="25">
        <v>0.0</v>
      </c>
      <c r="E5858" s="27"/>
      <c r="F5858" s="25">
        <v>0.0</v>
      </c>
      <c r="G5858" s="27"/>
    </row>
    <row r="5859">
      <c r="A5859" s="21"/>
      <c r="B5859" s="21" t="s">
        <v>11985</v>
      </c>
      <c r="D5859" s="25">
        <v>0.0</v>
      </c>
      <c r="E5859" s="27"/>
      <c r="F5859" s="25">
        <v>0.0</v>
      </c>
      <c r="G5859" s="27"/>
    </row>
    <row r="5860">
      <c r="A5860" s="21"/>
      <c r="B5860" s="21" t="s">
        <v>11986</v>
      </c>
      <c r="D5860" s="25">
        <v>0.0</v>
      </c>
      <c r="E5860" s="27"/>
      <c r="F5860" s="25">
        <v>0.0</v>
      </c>
      <c r="G5860" s="27"/>
    </row>
    <row r="5861">
      <c r="A5861" s="21"/>
      <c r="B5861" s="21" t="s">
        <v>11987</v>
      </c>
      <c r="D5861" s="25">
        <v>0.0</v>
      </c>
      <c r="E5861" s="27"/>
      <c r="F5861" s="25">
        <v>0.0</v>
      </c>
      <c r="G5861" s="27"/>
    </row>
    <row r="5862">
      <c r="A5862" s="21"/>
      <c r="B5862" s="21" t="s">
        <v>11988</v>
      </c>
      <c r="D5862" s="25">
        <v>0.0</v>
      </c>
      <c r="E5862" s="27"/>
      <c r="F5862" s="25">
        <v>0.0</v>
      </c>
      <c r="G5862" s="27"/>
    </row>
    <row r="5863">
      <c r="A5863" s="21"/>
      <c r="B5863" s="21" t="s">
        <v>11989</v>
      </c>
      <c r="D5863" s="25">
        <v>0.0</v>
      </c>
      <c r="E5863" s="27"/>
      <c r="F5863" s="25">
        <v>0.0</v>
      </c>
      <c r="G5863" s="27"/>
    </row>
    <row r="5864">
      <c r="A5864" s="21"/>
      <c r="B5864" s="21" t="s">
        <v>11990</v>
      </c>
      <c r="D5864" s="25">
        <v>0.0</v>
      </c>
      <c r="E5864" s="27"/>
      <c r="F5864" s="25">
        <v>0.0</v>
      </c>
      <c r="G5864" s="27"/>
    </row>
    <row r="5865">
      <c r="A5865" s="21"/>
      <c r="B5865" s="21" t="s">
        <v>11991</v>
      </c>
      <c r="D5865" s="25">
        <v>0.0</v>
      </c>
      <c r="E5865" s="27"/>
      <c r="F5865" s="25">
        <v>0.0</v>
      </c>
      <c r="G5865" s="27"/>
    </row>
    <row r="5866">
      <c r="A5866" s="21"/>
      <c r="B5866" s="21" t="s">
        <v>11992</v>
      </c>
      <c r="D5866" s="25">
        <v>0.0</v>
      </c>
      <c r="E5866" s="27"/>
      <c r="F5866" s="25">
        <v>3.7</v>
      </c>
      <c r="G5866" s="27"/>
    </row>
    <row r="5867">
      <c r="A5867" s="21"/>
      <c r="B5867" s="21" t="s">
        <v>11993</v>
      </c>
      <c r="D5867" s="25">
        <v>0.0</v>
      </c>
      <c r="E5867" s="27"/>
      <c r="F5867" s="25">
        <v>0.0</v>
      </c>
      <c r="G5867" s="27"/>
    </row>
    <row r="5868">
      <c r="A5868" s="21"/>
      <c r="B5868" s="21" t="s">
        <v>11994</v>
      </c>
      <c r="D5868" s="25">
        <v>0.0</v>
      </c>
      <c r="E5868" s="27"/>
      <c r="F5868" s="25">
        <v>0.0</v>
      </c>
      <c r="G5868" s="27"/>
    </row>
    <row r="5869">
      <c r="A5869" s="21"/>
      <c r="B5869" s="21" t="s">
        <v>11995</v>
      </c>
      <c r="D5869" s="25">
        <v>0.0</v>
      </c>
      <c r="E5869" s="27"/>
      <c r="F5869" s="25">
        <v>0.0</v>
      </c>
      <c r="G5869" s="27"/>
    </row>
    <row r="5870">
      <c r="A5870" s="21"/>
      <c r="B5870" s="21" t="s">
        <v>11996</v>
      </c>
      <c r="D5870" s="25">
        <v>0.0</v>
      </c>
      <c r="E5870" s="27"/>
      <c r="F5870" s="25">
        <v>0.0</v>
      </c>
      <c r="G5870" s="27"/>
    </row>
    <row r="5871">
      <c r="A5871" s="21"/>
      <c r="B5871" s="21" t="s">
        <v>11997</v>
      </c>
      <c r="D5871" s="25">
        <v>0.0</v>
      </c>
      <c r="E5871" s="27"/>
      <c r="F5871" s="25">
        <v>0.0</v>
      </c>
      <c r="G5871" s="27"/>
    </row>
    <row r="5872">
      <c r="A5872" s="21"/>
      <c r="B5872" s="21" t="s">
        <v>11998</v>
      </c>
      <c r="D5872" s="25">
        <v>0.0</v>
      </c>
      <c r="E5872" s="27"/>
      <c r="F5872" s="25">
        <v>0.0</v>
      </c>
      <c r="G5872" s="27"/>
    </row>
    <row r="5873">
      <c r="A5873" s="21"/>
      <c r="B5873" s="21" t="s">
        <v>11999</v>
      </c>
      <c r="D5873" s="25">
        <v>0.0</v>
      </c>
      <c r="E5873" s="27"/>
      <c r="F5873" s="25">
        <v>0.0</v>
      </c>
      <c r="G5873" s="27"/>
    </row>
    <row r="5874">
      <c r="A5874" s="21"/>
      <c r="B5874" s="21" t="s">
        <v>12000</v>
      </c>
      <c r="D5874" s="25">
        <v>0.0</v>
      </c>
      <c r="E5874" s="27"/>
      <c r="F5874" s="25">
        <v>0.0</v>
      </c>
      <c r="G5874" s="27"/>
    </row>
    <row r="5875">
      <c r="A5875" s="21"/>
      <c r="B5875" s="21" t="s">
        <v>12001</v>
      </c>
      <c r="D5875" s="25">
        <v>0.0</v>
      </c>
      <c r="E5875" s="27"/>
      <c r="F5875" s="25">
        <v>0.0</v>
      </c>
      <c r="G5875" s="27"/>
    </row>
    <row r="5876">
      <c r="A5876" s="21"/>
      <c r="B5876" s="21" t="s">
        <v>12002</v>
      </c>
      <c r="D5876" s="25">
        <v>0.0</v>
      </c>
      <c r="E5876" s="27"/>
      <c r="F5876" s="25">
        <v>0.0</v>
      </c>
      <c r="G5876" s="27"/>
    </row>
    <row r="5877">
      <c r="A5877" s="21"/>
      <c r="B5877" s="21" t="s">
        <v>12003</v>
      </c>
      <c r="D5877" s="25">
        <v>0.0</v>
      </c>
      <c r="E5877" s="27"/>
      <c r="F5877" s="25">
        <v>0.0</v>
      </c>
      <c r="G5877" s="27"/>
    </row>
    <row r="5878">
      <c r="A5878" s="21"/>
      <c r="B5878" s="21" t="s">
        <v>12004</v>
      </c>
      <c r="D5878" s="25">
        <v>0.0</v>
      </c>
      <c r="E5878" s="27"/>
      <c r="F5878" s="25">
        <v>0.0</v>
      </c>
      <c r="G5878" s="27"/>
    </row>
    <row r="5879">
      <c r="A5879" s="21"/>
      <c r="B5879" s="21" t="s">
        <v>12005</v>
      </c>
      <c r="D5879" s="25">
        <v>0.0</v>
      </c>
      <c r="E5879" s="27"/>
      <c r="F5879" s="25">
        <v>0.0</v>
      </c>
      <c r="G5879" s="27"/>
    </row>
    <row r="5880">
      <c r="A5880" s="21"/>
      <c r="B5880" s="21" t="s">
        <v>12006</v>
      </c>
      <c r="D5880" s="25">
        <v>0.0</v>
      </c>
      <c r="E5880" s="27"/>
      <c r="F5880" s="25">
        <v>0.0</v>
      </c>
      <c r="G5880" s="27"/>
    </row>
    <row r="5881">
      <c r="A5881" s="21"/>
      <c r="B5881" s="21" t="s">
        <v>12007</v>
      </c>
      <c r="D5881" s="25">
        <v>0.0</v>
      </c>
      <c r="E5881" s="27"/>
      <c r="F5881" s="25">
        <v>0.0</v>
      </c>
      <c r="G5881" s="27"/>
    </row>
    <row r="5882">
      <c r="A5882" s="21"/>
      <c r="B5882" s="21" t="s">
        <v>12008</v>
      </c>
      <c r="D5882" s="25">
        <v>0.0</v>
      </c>
      <c r="E5882" s="27"/>
      <c r="F5882" s="25">
        <v>0.0</v>
      </c>
      <c r="G5882" s="27"/>
    </row>
    <row r="5883">
      <c r="A5883" s="21"/>
      <c r="B5883" s="21" t="s">
        <v>12009</v>
      </c>
      <c r="D5883" s="25">
        <v>0.0</v>
      </c>
      <c r="E5883" s="27"/>
      <c r="F5883" s="25">
        <v>0.0</v>
      </c>
      <c r="G5883" s="27"/>
    </row>
    <row r="5884">
      <c r="A5884" s="21"/>
      <c r="B5884" s="21" t="s">
        <v>12010</v>
      </c>
      <c r="C5884" s="27"/>
      <c r="D5884" s="25">
        <v>0.0</v>
      </c>
      <c r="E5884" s="27"/>
      <c r="F5884" s="25">
        <v>0.0</v>
      </c>
      <c r="G5884" s="27"/>
    </row>
    <row r="5885">
      <c r="A5885" s="21"/>
      <c r="B5885" s="21" t="s">
        <v>12011</v>
      </c>
      <c r="D5885" s="25">
        <v>0.0</v>
      </c>
      <c r="E5885" s="27"/>
      <c r="F5885" s="25">
        <v>0.0</v>
      </c>
      <c r="G5885" s="27"/>
    </row>
    <row r="5886">
      <c r="A5886" s="21"/>
      <c r="B5886" s="21" t="s">
        <v>12012</v>
      </c>
      <c r="D5886" s="25">
        <v>0.0</v>
      </c>
      <c r="E5886" s="27"/>
      <c r="F5886" s="25">
        <v>0.0</v>
      </c>
      <c r="G5886" s="27"/>
    </row>
    <row r="5887">
      <c r="A5887" s="21"/>
      <c r="B5887" s="21" t="s">
        <v>12013</v>
      </c>
      <c r="D5887" s="25">
        <v>0.0</v>
      </c>
      <c r="E5887" s="27"/>
      <c r="F5887" s="25">
        <v>0.0</v>
      </c>
      <c r="G5887" s="27"/>
    </row>
    <row r="5888">
      <c r="A5888" s="21"/>
      <c r="B5888" s="21" t="s">
        <v>12014</v>
      </c>
      <c r="D5888" s="25">
        <v>0.0</v>
      </c>
      <c r="E5888" s="27"/>
      <c r="F5888" s="25">
        <v>0.0</v>
      </c>
      <c r="G5888" s="27"/>
    </row>
    <row r="5889">
      <c r="A5889" s="21"/>
      <c r="B5889" s="21" t="s">
        <v>12015</v>
      </c>
      <c r="D5889" s="25">
        <v>0.0</v>
      </c>
      <c r="E5889" s="27"/>
      <c r="F5889" s="25">
        <v>0.0</v>
      </c>
      <c r="G5889" s="27"/>
    </row>
    <row r="5890">
      <c r="A5890" s="21"/>
      <c r="B5890" s="21" t="s">
        <v>12016</v>
      </c>
      <c r="D5890" s="25">
        <v>0.0</v>
      </c>
      <c r="E5890" s="27"/>
      <c r="F5890" s="25">
        <v>0.0</v>
      </c>
      <c r="G5890" s="27"/>
    </row>
    <row r="5891">
      <c r="A5891" s="21"/>
      <c r="B5891" s="21" t="s">
        <v>12017</v>
      </c>
      <c r="D5891" s="25">
        <v>0.0</v>
      </c>
      <c r="E5891" s="27"/>
      <c r="F5891" s="25">
        <v>0.0</v>
      </c>
      <c r="G5891" s="27"/>
    </row>
    <row r="5892">
      <c r="A5892" s="21"/>
      <c r="B5892" s="21" t="s">
        <v>12018</v>
      </c>
      <c r="D5892" s="25">
        <v>0.0</v>
      </c>
      <c r="E5892" s="27"/>
      <c r="F5892" s="25">
        <v>0.0</v>
      </c>
      <c r="G5892" s="27"/>
    </row>
    <row r="5893">
      <c r="A5893" s="21"/>
      <c r="B5893" s="21" t="s">
        <v>12019</v>
      </c>
      <c r="D5893" s="25">
        <v>0.0</v>
      </c>
      <c r="E5893" s="27"/>
      <c r="F5893" s="25">
        <v>0.0</v>
      </c>
      <c r="G5893" s="27"/>
    </row>
    <row r="5894">
      <c r="A5894" s="21"/>
      <c r="B5894" s="21" t="s">
        <v>12020</v>
      </c>
      <c r="D5894" s="25">
        <v>0.0</v>
      </c>
      <c r="E5894" s="27"/>
      <c r="F5894" s="25">
        <v>0.0</v>
      </c>
      <c r="G5894" s="27"/>
    </row>
    <row r="5895">
      <c r="A5895" s="21"/>
      <c r="B5895" s="21" t="s">
        <v>12021</v>
      </c>
      <c r="D5895" s="25">
        <v>0.0</v>
      </c>
      <c r="E5895" s="27"/>
      <c r="F5895" s="25">
        <v>0.0</v>
      </c>
      <c r="G5895" s="27"/>
    </row>
    <row r="5896">
      <c r="A5896" s="21"/>
      <c r="B5896" s="21" t="s">
        <v>12022</v>
      </c>
      <c r="D5896" s="25">
        <v>0.0</v>
      </c>
      <c r="E5896" s="27"/>
      <c r="F5896" s="25">
        <v>0.0</v>
      </c>
      <c r="G5896" s="27"/>
    </row>
    <row r="5897">
      <c r="A5897" s="21"/>
      <c r="B5897" s="21" t="s">
        <v>12023</v>
      </c>
      <c r="D5897" s="25">
        <v>0.0</v>
      </c>
      <c r="E5897" s="27"/>
      <c r="F5897" s="25">
        <v>0.0</v>
      </c>
      <c r="G5897" s="27"/>
    </row>
    <row r="5898">
      <c r="A5898" s="21"/>
      <c r="B5898" s="21" t="s">
        <v>12024</v>
      </c>
      <c r="D5898" s="25">
        <v>0.0</v>
      </c>
      <c r="E5898" s="27"/>
      <c r="F5898" s="25">
        <v>0.0</v>
      </c>
      <c r="G5898" s="27"/>
    </row>
    <row r="5899">
      <c r="A5899" s="21"/>
      <c r="B5899" s="21" t="s">
        <v>12025</v>
      </c>
      <c r="D5899" s="25">
        <v>0.0</v>
      </c>
      <c r="E5899" s="27"/>
      <c r="F5899" s="25">
        <v>0.0</v>
      </c>
      <c r="G5899" s="27"/>
    </row>
    <row r="5900">
      <c r="A5900" s="21"/>
      <c r="B5900" s="21" t="s">
        <v>12026</v>
      </c>
      <c r="D5900" s="25">
        <v>0.0</v>
      </c>
      <c r="E5900" s="27"/>
      <c r="F5900" s="25">
        <v>0.0</v>
      </c>
      <c r="G5900" s="27"/>
    </row>
    <row r="5901">
      <c r="A5901" s="21"/>
      <c r="B5901" s="21" t="s">
        <v>12027</v>
      </c>
      <c r="D5901" s="25">
        <v>0.0</v>
      </c>
      <c r="E5901" s="27"/>
      <c r="F5901" s="25">
        <v>0.0</v>
      </c>
      <c r="G5901" s="27"/>
    </row>
    <row r="5902">
      <c r="A5902" s="21"/>
      <c r="B5902" s="21" t="s">
        <v>12028</v>
      </c>
      <c r="D5902" s="25">
        <v>0.0</v>
      </c>
      <c r="E5902" s="27"/>
      <c r="F5902" s="25">
        <v>0.0</v>
      </c>
      <c r="G5902" s="27"/>
    </row>
    <row r="5903">
      <c r="A5903" s="21"/>
      <c r="B5903" s="21" t="s">
        <v>12029</v>
      </c>
      <c r="D5903" s="25">
        <v>0.0</v>
      </c>
      <c r="E5903" s="27"/>
      <c r="F5903" s="25">
        <v>0.0</v>
      </c>
      <c r="G5903" s="27"/>
    </row>
    <row r="5904">
      <c r="A5904" s="21"/>
      <c r="B5904" s="21" t="s">
        <v>12030</v>
      </c>
      <c r="D5904" s="25">
        <v>0.0</v>
      </c>
      <c r="E5904" s="27"/>
      <c r="F5904" s="25">
        <v>7.23</v>
      </c>
      <c r="G5904" s="27"/>
    </row>
    <row r="5905">
      <c r="A5905" s="21"/>
      <c r="B5905" s="21" t="s">
        <v>12031</v>
      </c>
      <c r="D5905" s="25">
        <v>0.0</v>
      </c>
      <c r="E5905" s="27"/>
      <c r="F5905" s="25">
        <v>0.0</v>
      </c>
      <c r="G5905" s="27"/>
    </row>
    <row r="5906">
      <c r="A5906" s="21"/>
      <c r="B5906" s="21" t="s">
        <v>12032</v>
      </c>
      <c r="D5906" s="25">
        <v>0.0</v>
      </c>
      <c r="E5906" s="27"/>
      <c r="F5906" s="25">
        <v>0.0</v>
      </c>
      <c r="G5906" s="27"/>
    </row>
    <row r="5907">
      <c r="A5907" s="21"/>
      <c r="B5907" s="21" t="s">
        <v>12033</v>
      </c>
      <c r="D5907" s="25">
        <v>0.0</v>
      </c>
      <c r="E5907" s="27"/>
      <c r="F5907" s="25">
        <v>0.0</v>
      </c>
      <c r="G5907" s="27"/>
    </row>
    <row r="5908">
      <c r="A5908" s="21"/>
      <c r="B5908" s="21" t="s">
        <v>12034</v>
      </c>
      <c r="D5908" s="25">
        <v>0.0</v>
      </c>
      <c r="E5908" s="27"/>
      <c r="F5908" s="25">
        <v>0.0</v>
      </c>
      <c r="G5908" s="27"/>
    </row>
    <row r="5909">
      <c r="A5909" s="21"/>
      <c r="B5909" s="21" t="s">
        <v>12035</v>
      </c>
      <c r="D5909" s="25">
        <v>0.0</v>
      </c>
      <c r="E5909" s="27"/>
      <c r="F5909" s="25">
        <v>0.0</v>
      </c>
      <c r="G5909" s="27"/>
    </row>
    <row r="5910">
      <c r="A5910" s="21"/>
      <c r="B5910" s="21" t="s">
        <v>12036</v>
      </c>
      <c r="D5910" s="25">
        <v>0.0</v>
      </c>
      <c r="E5910" s="27"/>
      <c r="F5910" s="25">
        <v>3.2</v>
      </c>
      <c r="G5910" s="27"/>
    </row>
    <row r="5911">
      <c r="A5911" s="21"/>
      <c r="B5911" s="21" t="s">
        <v>12037</v>
      </c>
      <c r="D5911" s="25">
        <v>0.0</v>
      </c>
      <c r="E5911" s="27"/>
      <c r="F5911" s="25">
        <v>0.0</v>
      </c>
      <c r="G5911" s="27"/>
    </row>
    <row r="5912">
      <c r="A5912" s="21"/>
      <c r="B5912" s="21" t="s">
        <v>12038</v>
      </c>
      <c r="D5912" s="25">
        <v>0.0</v>
      </c>
      <c r="E5912" s="27"/>
      <c r="F5912" s="25">
        <v>0.0</v>
      </c>
      <c r="G5912" s="27"/>
    </row>
    <row r="5913">
      <c r="A5913" s="21"/>
      <c r="B5913" s="21" t="s">
        <v>12039</v>
      </c>
      <c r="D5913" s="25">
        <v>0.0</v>
      </c>
      <c r="E5913" s="27"/>
      <c r="F5913" s="25">
        <v>0.0</v>
      </c>
      <c r="G5913" s="27"/>
    </row>
    <row r="5914">
      <c r="A5914" s="21"/>
      <c r="B5914" s="21" t="s">
        <v>12040</v>
      </c>
      <c r="D5914" s="25">
        <v>0.0</v>
      </c>
      <c r="E5914" s="27"/>
      <c r="F5914" s="25">
        <v>0.0</v>
      </c>
      <c r="G5914" s="27"/>
    </row>
    <row r="5915">
      <c r="A5915" s="21"/>
      <c r="B5915" s="21" t="s">
        <v>12041</v>
      </c>
      <c r="D5915" s="25">
        <v>0.0</v>
      </c>
      <c r="E5915" s="27"/>
      <c r="F5915" s="25">
        <v>0.0</v>
      </c>
      <c r="G5915" s="27"/>
    </row>
    <row r="5916">
      <c r="A5916" s="21"/>
      <c r="B5916" s="21" t="s">
        <v>12042</v>
      </c>
      <c r="D5916" s="25">
        <v>0.0</v>
      </c>
      <c r="E5916" s="27"/>
      <c r="F5916" s="25">
        <v>0.0</v>
      </c>
      <c r="G5916" s="27"/>
    </row>
    <row r="5917">
      <c r="A5917" s="21"/>
      <c r="B5917" s="21" t="s">
        <v>12043</v>
      </c>
      <c r="D5917" s="25">
        <v>0.0</v>
      </c>
      <c r="E5917" s="27"/>
      <c r="F5917" s="25">
        <v>0.0</v>
      </c>
      <c r="G5917" s="27"/>
    </row>
    <row r="5918">
      <c r="A5918" s="21"/>
      <c r="B5918" s="21" t="s">
        <v>12044</v>
      </c>
      <c r="D5918" s="25">
        <v>0.0</v>
      </c>
      <c r="E5918" s="27"/>
      <c r="F5918" s="25">
        <v>0.0</v>
      </c>
      <c r="G5918" s="27"/>
    </row>
    <row r="5919">
      <c r="A5919" s="21"/>
      <c r="B5919" s="21" t="s">
        <v>12045</v>
      </c>
      <c r="D5919" s="25">
        <v>0.0</v>
      </c>
      <c r="E5919" s="27"/>
      <c r="F5919" s="25">
        <v>0.0</v>
      </c>
      <c r="G5919" s="27"/>
    </row>
    <row r="5920">
      <c r="A5920" s="21"/>
      <c r="B5920" s="21" t="s">
        <v>12046</v>
      </c>
      <c r="D5920" s="25">
        <v>0.0</v>
      </c>
      <c r="E5920" s="27"/>
      <c r="F5920" s="25">
        <v>0.0</v>
      </c>
      <c r="G5920" s="27"/>
    </row>
    <row r="5921">
      <c r="A5921" s="21"/>
      <c r="B5921" s="21" t="s">
        <v>12047</v>
      </c>
      <c r="D5921" s="25">
        <v>0.0</v>
      </c>
      <c r="E5921" s="27"/>
      <c r="F5921" s="25">
        <v>0.0</v>
      </c>
      <c r="G5921" s="27"/>
    </row>
    <row r="5922">
      <c r="A5922" s="21"/>
      <c r="B5922" s="21" t="s">
        <v>12048</v>
      </c>
      <c r="D5922" s="25">
        <v>0.0</v>
      </c>
      <c r="E5922" s="27"/>
      <c r="F5922" s="25">
        <v>0.0</v>
      </c>
      <c r="G5922" s="27"/>
    </row>
    <row r="5923">
      <c r="A5923" s="21"/>
      <c r="B5923" s="21" t="s">
        <v>12049</v>
      </c>
      <c r="D5923" s="25">
        <v>0.0</v>
      </c>
      <c r="E5923" s="27"/>
      <c r="F5923" s="25">
        <v>0.0</v>
      </c>
      <c r="G5923" s="27"/>
    </row>
    <row r="5924">
      <c r="A5924" s="21"/>
      <c r="B5924" s="21" t="s">
        <v>12050</v>
      </c>
      <c r="D5924" s="25">
        <v>0.0</v>
      </c>
      <c r="E5924" s="27"/>
      <c r="F5924" s="25">
        <v>0.0</v>
      </c>
      <c r="G5924" s="27"/>
    </row>
    <row r="5925">
      <c r="A5925" s="21"/>
      <c r="B5925" s="21" t="s">
        <v>12051</v>
      </c>
      <c r="D5925" s="25">
        <v>0.0</v>
      </c>
      <c r="E5925" s="27"/>
      <c r="F5925" s="25">
        <v>0.0</v>
      </c>
      <c r="G5925" s="27"/>
    </row>
    <row r="5926">
      <c r="A5926" s="21"/>
      <c r="B5926" s="21" t="s">
        <v>12052</v>
      </c>
      <c r="D5926" s="25">
        <v>0.0</v>
      </c>
      <c r="E5926" s="27"/>
      <c r="F5926" s="25">
        <v>0.0</v>
      </c>
      <c r="G5926" s="27"/>
    </row>
    <row r="5927">
      <c r="A5927" s="21"/>
      <c r="B5927" s="21" t="s">
        <v>12053</v>
      </c>
      <c r="D5927" s="25">
        <v>0.0</v>
      </c>
      <c r="E5927" s="27"/>
      <c r="F5927" s="25">
        <v>0.0</v>
      </c>
      <c r="G5927" s="27"/>
    </row>
    <row r="5928">
      <c r="A5928" s="21"/>
      <c r="B5928" s="21" t="s">
        <v>12054</v>
      </c>
      <c r="D5928" s="25">
        <v>0.0</v>
      </c>
      <c r="E5928" s="27"/>
      <c r="F5928" s="25">
        <v>0.0</v>
      </c>
      <c r="G5928" s="27"/>
    </row>
    <row r="5929">
      <c r="A5929" s="21"/>
      <c r="B5929" s="21" t="s">
        <v>12055</v>
      </c>
      <c r="D5929" s="25">
        <v>0.0</v>
      </c>
      <c r="E5929" s="27"/>
      <c r="F5929" s="25">
        <v>0.0</v>
      </c>
      <c r="G5929" s="27"/>
    </row>
    <row r="5930">
      <c r="A5930" s="21"/>
      <c r="B5930" s="21" t="s">
        <v>12056</v>
      </c>
      <c r="D5930" s="25">
        <v>0.0</v>
      </c>
      <c r="E5930" s="27"/>
      <c r="F5930" s="25">
        <v>0.0</v>
      </c>
      <c r="G5930" s="27"/>
    </row>
    <row r="5931">
      <c r="A5931" s="21"/>
      <c r="B5931" s="21" t="s">
        <v>12057</v>
      </c>
      <c r="D5931" s="25">
        <v>0.0</v>
      </c>
      <c r="E5931" s="27"/>
      <c r="F5931" s="25">
        <v>0.0</v>
      </c>
      <c r="G5931" s="27"/>
    </row>
    <row r="5932">
      <c r="A5932" s="21"/>
      <c r="B5932" s="21" t="s">
        <v>12058</v>
      </c>
      <c r="D5932" s="25">
        <v>0.0</v>
      </c>
      <c r="E5932" s="27"/>
      <c r="F5932" s="25">
        <v>0.0</v>
      </c>
      <c r="G5932" s="27"/>
    </row>
    <row r="5933">
      <c r="A5933" s="21"/>
      <c r="B5933" s="21" t="s">
        <v>12059</v>
      </c>
      <c r="D5933" s="25">
        <v>0.0</v>
      </c>
      <c r="E5933" s="27"/>
      <c r="F5933" s="25">
        <v>0.0</v>
      </c>
      <c r="G5933" s="27"/>
    </row>
    <row r="5934">
      <c r="A5934" s="21"/>
      <c r="B5934" s="21" t="s">
        <v>12060</v>
      </c>
      <c r="D5934" s="25">
        <v>0.0</v>
      </c>
      <c r="E5934" s="27"/>
      <c r="F5934" s="25">
        <v>0.0</v>
      </c>
      <c r="G5934" s="27"/>
    </row>
    <row r="5935">
      <c r="A5935" s="21"/>
      <c r="B5935" s="21" t="s">
        <v>12061</v>
      </c>
      <c r="D5935" s="25">
        <v>0.0</v>
      </c>
      <c r="E5935" s="27"/>
      <c r="F5935" s="25">
        <v>0.0</v>
      </c>
      <c r="G5935" s="27"/>
    </row>
    <row r="5936">
      <c r="A5936" s="21"/>
      <c r="B5936" s="21" t="s">
        <v>12062</v>
      </c>
      <c r="D5936" s="25">
        <v>0.0</v>
      </c>
      <c r="E5936" s="27"/>
      <c r="F5936" s="25">
        <v>0.0</v>
      </c>
      <c r="G5936" s="27"/>
    </row>
    <row r="5937">
      <c r="A5937" s="21"/>
      <c r="B5937" s="38" t="s">
        <v>12063</v>
      </c>
      <c r="D5937" s="25">
        <v>0.0</v>
      </c>
      <c r="E5937" s="27"/>
      <c r="F5937" s="25">
        <v>0.0</v>
      </c>
      <c r="G5937" s="27"/>
    </row>
    <row r="5938">
      <c r="A5938" s="21"/>
      <c r="B5938" s="21" t="s">
        <v>12064</v>
      </c>
      <c r="D5938" s="25">
        <v>0.0</v>
      </c>
      <c r="E5938" s="27"/>
      <c r="F5938" s="25">
        <v>0.0</v>
      </c>
      <c r="G5938" s="27"/>
    </row>
    <row r="5939">
      <c r="A5939" s="21"/>
      <c r="B5939" s="21" t="s">
        <v>12065</v>
      </c>
      <c r="D5939" s="25">
        <v>0.0</v>
      </c>
      <c r="E5939" s="27"/>
      <c r="F5939" s="25">
        <v>0.0</v>
      </c>
      <c r="G5939" s="27"/>
    </row>
    <row r="5940">
      <c r="A5940" s="21"/>
      <c r="B5940" s="21" t="s">
        <v>12066</v>
      </c>
      <c r="D5940" s="25">
        <v>0.0</v>
      </c>
      <c r="E5940" s="27"/>
      <c r="F5940" s="25">
        <v>0.0</v>
      </c>
      <c r="G5940" s="27"/>
    </row>
    <row r="5941">
      <c r="A5941" s="21"/>
      <c r="B5941" s="38" t="s">
        <v>12067</v>
      </c>
      <c r="D5941" s="25">
        <v>0.0</v>
      </c>
      <c r="E5941" s="27"/>
      <c r="F5941" s="25">
        <v>0.0</v>
      </c>
      <c r="G5941" s="27"/>
    </row>
    <row r="5942">
      <c r="A5942" s="21"/>
      <c r="B5942" s="21" t="s">
        <v>12068</v>
      </c>
      <c r="D5942" s="25">
        <v>0.0</v>
      </c>
      <c r="E5942" s="27"/>
      <c r="F5942" s="25">
        <v>0.0</v>
      </c>
      <c r="G5942" s="27"/>
    </row>
    <row r="5943">
      <c r="A5943" s="21"/>
      <c r="B5943" s="21" t="s">
        <v>12069</v>
      </c>
      <c r="D5943" s="25">
        <v>0.0</v>
      </c>
      <c r="E5943" s="27"/>
      <c r="F5943" s="25">
        <v>0.0</v>
      </c>
      <c r="G5943" s="27"/>
    </row>
    <row r="5944">
      <c r="A5944" s="21"/>
      <c r="B5944" s="21" t="s">
        <v>6059</v>
      </c>
      <c r="D5944" s="25">
        <v>0.0</v>
      </c>
      <c r="E5944" s="27"/>
      <c r="F5944" s="25">
        <v>0.0</v>
      </c>
      <c r="G5944" s="27"/>
    </row>
    <row r="5945">
      <c r="A5945" s="21"/>
      <c r="B5945" s="21" t="s">
        <v>12070</v>
      </c>
      <c r="D5945" s="25">
        <v>0.0</v>
      </c>
      <c r="E5945" s="27"/>
      <c r="F5945" s="25">
        <v>0.0</v>
      </c>
      <c r="G5945" s="27"/>
    </row>
    <row r="5946">
      <c r="A5946" s="21"/>
      <c r="B5946" s="21" t="s">
        <v>12071</v>
      </c>
      <c r="D5946" s="25">
        <v>0.0</v>
      </c>
      <c r="E5946" s="27"/>
      <c r="F5946" s="25">
        <v>0.0</v>
      </c>
      <c r="G5946" s="27"/>
    </row>
    <row r="5947">
      <c r="A5947" s="21"/>
      <c r="B5947" s="21" t="s">
        <v>12072</v>
      </c>
      <c r="D5947" s="25">
        <v>0.0</v>
      </c>
      <c r="E5947" s="27"/>
      <c r="F5947" s="25">
        <v>0.0</v>
      </c>
      <c r="G5947" s="27"/>
    </row>
    <row r="5948">
      <c r="A5948" s="21"/>
      <c r="B5948" s="21" t="s">
        <v>12073</v>
      </c>
      <c r="D5948" s="25">
        <v>0.0</v>
      </c>
      <c r="E5948" s="27"/>
      <c r="F5948" s="25">
        <v>0.0</v>
      </c>
      <c r="G5948" s="27"/>
    </row>
    <row r="5949">
      <c r="A5949" s="21"/>
      <c r="B5949" s="21" t="s">
        <v>12074</v>
      </c>
      <c r="D5949" s="25">
        <v>0.0</v>
      </c>
      <c r="E5949" s="27"/>
      <c r="F5949" s="25">
        <v>0.0</v>
      </c>
      <c r="G5949" s="27"/>
    </row>
    <row r="5950">
      <c r="A5950" s="21"/>
      <c r="B5950" s="21" t="s">
        <v>12075</v>
      </c>
      <c r="D5950" s="25">
        <v>0.0</v>
      </c>
      <c r="E5950" s="27"/>
      <c r="F5950" s="25">
        <v>0.0</v>
      </c>
      <c r="G5950" s="27"/>
    </row>
    <row r="5951">
      <c r="A5951" s="21"/>
      <c r="B5951" s="21" t="s">
        <v>12076</v>
      </c>
      <c r="D5951" s="25">
        <v>0.0</v>
      </c>
      <c r="E5951" s="27"/>
      <c r="F5951" s="25">
        <v>0.0</v>
      </c>
      <c r="G5951" s="27"/>
    </row>
    <row r="5952">
      <c r="A5952" s="21"/>
      <c r="B5952" s="21" t="s">
        <v>12077</v>
      </c>
      <c r="D5952" s="25">
        <v>0.0</v>
      </c>
      <c r="E5952" s="27"/>
      <c r="F5952" s="25">
        <v>0.0</v>
      </c>
      <c r="G5952" s="27"/>
    </row>
    <row r="5953">
      <c r="A5953" s="21"/>
      <c r="B5953" s="21" t="s">
        <v>12078</v>
      </c>
      <c r="D5953" s="25">
        <v>0.0</v>
      </c>
      <c r="E5953" s="27"/>
      <c r="F5953" s="25">
        <v>0.0</v>
      </c>
      <c r="G5953" s="27"/>
    </row>
    <row r="5954">
      <c r="A5954" s="21"/>
      <c r="B5954" s="21" t="s">
        <v>12079</v>
      </c>
      <c r="D5954" s="25">
        <v>0.0</v>
      </c>
      <c r="E5954" s="27"/>
      <c r="F5954" s="25">
        <v>0.0</v>
      </c>
      <c r="G5954" s="27"/>
    </row>
    <row r="5955">
      <c r="A5955" s="21"/>
      <c r="B5955" s="21" t="s">
        <v>12080</v>
      </c>
      <c r="D5955" s="25">
        <v>0.0</v>
      </c>
      <c r="E5955" s="27"/>
      <c r="F5955" s="25">
        <v>0.0</v>
      </c>
      <c r="G5955" s="27"/>
    </row>
    <row r="5956">
      <c r="A5956" s="21"/>
      <c r="B5956" s="21" t="s">
        <v>12081</v>
      </c>
      <c r="D5956" s="25">
        <v>0.0</v>
      </c>
      <c r="E5956" s="27"/>
      <c r="F5956" s="25">
        <v>0.0</v>
      </c>
      <c r="G5956" s="27"/>
    </row>
    <row r="5957">
      <c r="A5957" s="21"/>
      <c r="B5957" s="21" t="s">
        <v>12082</v>
      </c>
      <c r="D5957" s="25">
        <v>0.0</v>
      </c>
      <c r="E5957" s="27"/>
      <c r="F5957" s="25">
        <v>0.0</v>
      </c>
      <c r="G5957" s="27"/>
    </row>
    <row r="5958">
      <c r="A5958" s="21"/>
      <c r="B5958" s="21" t="s">
        <v>12083</v>
      </c>
      <c r="D5958" s="25">
        <v>0.0</v>
      </c>
      <c r="E5958" s="27"/>
      <c r="F5958" s="25">
        <v>0.0</v>
      </c>
      <c r="G5958" s="27"/>
    </row>
    <row r="5959">
      <c r="A5959" s="21"/>
      <c r="B5959" s="21" t="s">
        <v>12084</v>
      </c>
      <c r="D5959" s="25">
        <v>0.0</v>
      </c>
      <c r="E5959" s="27"/>
      <c r="F5959" s="25">
        <v>0.0</v>
      </c>
      <c r="G5959" s="27"/>
    </row>
    <row r="5960">
      <c r="A5960" s="21"/>
      <c r="B5960" s="21" t="s">
        <v>12085</v>
      </c>
      <c r="D5960" s="25">
        <v>0.0</v>
      </c>
      <c r="E5960" s="27"/>
      <c r="F5960" s="25">
        <v>0.0</v>
      </c>
      <c r="G5960" s="27"/>
    </row>
    <row r="5961">
      <c r="A5961" s="21"/>
      <c r="B5961" s="21" t="s">
        <v>12086</v>
      </c>
      <c r="D5961" s="25">
        <v>0.0</v>
      </c>
      <c r="E5961" s="27"/>
      <c r="F5961" s="25">
        <v>0.0</v>
      </c>
      <c r="G5961" s="27"/>
    </row>
    <row r="5962">
      <c r="A5962" s="21"/>
      <c r="B5962" s="21" t="s">
        <v>12087</v>
      </c>
      <c r="D5962" s="25">
        <v>0.0</v>
      </c>
      <c r="E5962" s="27"/>
      <c r="F5962" s="25">
        <v>0.0</v>
      </c>
      <c r="G5962" s="27"/>
    </row>
    <row r="5963">
      <c r="A5963" s="21"/>
      <c r="B5963" s="21" t="s">
        <v>12088</v>
      </c>
      <c r="D5963" s="25">
        <v>0.0</v>
      </c>
      <c r="E5963" s="27"/>
      <c r="F5963" s="25">
        <v>2.82</v>
      </c>
      <c r="G5963" s="27"/>
    </row>
    <row r="5964">
      <c r="A5964" s="21"/>
      <c r="B5964" s="21" t="s">
        <v>12089</v>
      </c>
      <c r="D5964" s="25">
        <v>0.0</v>
      </c>
      <c r="E5964" s="27"/>
      <c r="F5964" s="25">
        <v>0.0</v>
      </c>
      <c r="G5964" s="27"/>
    </row>
    <row r="5965">
      <c r="A5965" s="21"/>
      <c r="B5965" s="21" t="s">
        <v>12090</v>
      </c>
      <c r="D5965" s="25">
        <v>0.0</v>
      </c>
      <c r="E5965" s="27"/>
      <c r="F5965" s="25">
        <v>0.0</v>
      </c>
      <c r="G5965" s="27"/>
    </row>
    <row r="5966">
      <c r="A5966" s="21"/>
      <c r="B5966" s="21" t="s">
        <v>12091</v>
      </c>
      <c r="D5966" s="25">
        <v>0.0</v>
      </c>
      <c r="E5966" s="27"/>
      <c r="F5966" s="25">
        <v>0.0</v>
      </c>
      <c r="G5966" s="27"/>
    </row>
    <row r="5967">
      <c r="A5967" s="21"/>
      <c r="B5967" s="21" t="s">
        <v>12092</v>
      </c>
      <c r="D5967" s="25">
        <v>0.0</v>
      </c>
      <c r="E5967" s="27"/>
      <c r="F5967" s="25">
        <v>0.0</v>
      </c>
      <c r="G5967" s="27"/>
    </row>
    <row r="5968">
      <c r="A5968" s="21"/>
      <c r="B5968" s="21" t="s">
        <v>12093</v>
      </c>
      <c r="D5968" s="25">
        <v>0.0</v>
      </c>
      <c r="E5968" s="27"/>
      <c r="F5968" s="25">
        <v>3.35</v>
      </c>
      <c r="G5968" s="27"/>
    </row>
    <row r="5969">
      <c r="A5969" s="21"/>
      <c r="B5969" s="21" t="s">
        <v>12094</v>
      </c>
      <c r="D5969" s="25">
        <v>0.0</v>
      </c>
      <c r="E5969" s="27"/>
      <c r="F5969" s="25">
        <v>0.0</v>
      </c>
      <c r="G5969" s="27"/>
    </row>
    <row r="5970">
      <c r="A5970" s="21"/>
      <c r="B5970" s="21" t="s">
        <v>12095</v>
      </c>
      <c r="D5970" s="25">
        <v>0.0</v>
      </c>
      <c r="E5970" s="27"/>
      <c r="F5970" s="25">
        <v>0.0</v>
      </c>
      <c r="G5970" s="27"/>
    </row>
    <row r="5971">
      <c r="A5971" s="21"/>
      <c r="B5971" s="21" t="s">
        <v>12096</v>
      </c>
      <c r="D5971" s="25">
        <v>0.0</v>
      </c>
      <c r="E5971" s="27"/>
      <c r="F5971" s="25">
        <v>0.0</v>
      </c>
      <c r="G5971" s="27"/>
    </row>
    <row r="5972">
      <c r="A5972" s="21"/>
      <c r="B5972" s="21" t="s">
        <v>12097</v>
      </c>
      <c r="D5972" s="25">
        <v>0.0</v>
      </c>
      <c r="E5972" s="27"/>
      <c r="F5972" s="25">
        <v>0.0</v>
      </c>
      <c r="G5972" s="27"/>
    </row>
    <row r="5973">
      <c r="A5973" s="21"/>
      <c r="B5973" s="21" t="s">
        <v>6060</v>
      </c>
      <c r="D5973" s="25">
        <v>0.0</v>
      </c>
      <c r="E5973" s="27"/>
      <c r="F5973" s="25">
        <v>0.42</v>
      </c>
      <c r="G5973" s="27"/>
    </row>
    <row r="5974">
      <c r="A5974" s="21"/>
      <c r="B5974" s="21" t="s">
        <v>12098</v>
      </c>
      <c r="D5974" s="25">
        <v>0.0</v>
      </c>
      <c r="E5974" s="27"/>
      <c r="F5974" s="25">
        <v>0.0</v>
      </c>
      <c r="G5974" s="27"/>
    </row>
    <row r="5975">
      <c r="A5975" s="21"/>
      <c r="B5975" s="21" t="s">
        <v>12099</v>
      </c>
      <c r="D5975" s="25">
        <v>0.0</v>
      </c>
      <c r="E5975" s="27"/>
      <c r="F5975" s="25">
        <v>0.0</v>
      </c>
      <c r="G5975" s="27"/>
    </row>
    <row r="5976">
      <c r="A5976" s="21"/>
      <c r="B5976" s="21" t="s">
        <v>12100</v>
      </c>
      <c r="D5976" s="25">
        <v>0.0</v>
      </c>
      <c r="E5976" s="27"/>
      <c r="F5976" s="25">
        <v>0.0</v>
      </c>
      <c r="G5976" s="27"/>
    </row>
    <row r="5977">
      <c r="A5977" s="21"/>
      <c r="B5977" s="21" t="s">
        <v>12101</v>
      </c>
      <c r="D5977" s="25">
        <v>0.0</v>
      </c>
      <c r="E5977" s="27"/>
      <c r="F5977" s="25">
        <v>0.0</v>
      </c>
      <c r="G5977" s="27"/>
    </row>
    <row r="5978">
      <c r="A5978" s="21"/>
      <c r="B5978" s="21" t="s">
        <v>12102</v>
      </c>
      <c r="D5978" s="25">
        <v>0.0</v>
      </c>
      <c r="E5978" s="27"/>
      <c r="F5978" s="25">
        <v>0.0</v>
      </c>
      <c r="G5978" s="27"/>
    </row>
    <row r="5979">
      <c r="A5979" s="21"/>
      <c r="B5979" s="21" t="s">
        <v>12103</v>
      </c>
      <c r="D5979" s="25">
        <v>0.0</v>
      </c>
      <c r="E5979" s="27"/>
      <c r="F5979" s="25">
        <v>0.0</v>
      </c>
      <c r="G5979" s="27"/>
    </row>
    <row r="5980">
      <c r="A5980" s="21"/>
      <c r="B5980" s="21" t="s">
        <v>12104</v>
      </c>
      <c r="D5980" s="25">
        <v>0.0</v>
      </c>
      <c r="E5980" s="27"/>
      <c r="F5980" s="25">
        <v>0.0</v>
      </c>
      <c r="G5980" s="27"/>
    </row>
    <row r="5981">
      <c r="A5981" s="21"/>
      <c r="B5981" s="21" t="s">
        <v>12105</v>
      </c>
      <c r="D5981" s="25">
        <v>0.0</v>
      </c>
      <c r="E5981" s="27"/>
      <c r="F5981" s="25">
        <v>0.0</v>
      </c>
      <c r="G5981" s="27"/>
    </row>
    <row r="5982">
      <c r="A5982" s="21"/>
      <c r="B5982" s="21" t="s">
        <v>12106</v>
      </c>
      <c r="D5982" s="25">
        <v>0.0</v>
      </c>
      <c r="E5982" s="27"/>
      <c r="F5982" s="25">
        <v>0.0</v>
      </c>
      <c r="G5982" s="27"/>
    </row>
    <row r="5983">
      <c r="A5983" s="21"/>
      <c r="B5983" s="21" t="s">
        <v>12107</v>
      </c>
      <c r="D5983" s="25">
        <v>0.0</v>
      </c>
      <c r="E5983" s="27"/>
      <c r="F5983" s="25">
        <v>0.0</v>
      </c>
      <c r="G5983" s="27"/>
    </row>
    <row r="5984">
      <c r="A5984" s="21"/>
      <c r="B5984" s="21" t="s">
        <v>12108</v>
      </c>
      <c r="D5984" s="25">
        <v>0.0</v>
      </c>
      <c r="E5984" s="27"/>
      <c r="F5984" s="25">
        <v>0.0</v>
      </c>
      <c r="G5984" s="27"/>
    </row>
    <row r="5985">
      <c r="A5985" s="21"/>
      <c r="B5985" s="21" t="s">
        <v>12109</v>
      </c>
      <c r="D5985" s="25">
        <v>0.0</v>
      </c>
      <c r="E5985" s="27"/>
      <c r="F5985" s="25">
        <v>0.0</v>
      </c>
      <c r="G5985" s="27"/>
    </row>
    <row r="5986">
      <c r="A5986" s="21"/>
      <c r="B5986" s="21" t="s">
        <v>12110</v>
      </c>
      <c r="D5986" s="25">
        <v>0.0</v>
      </c>
      <c r="E5986" s="27"/>
      <c r="F5986" s="25">
        <v>0.0</v>
      </c>
      <c r="G5986" s="27"/>
    </row>
    <row r="5987">
      <c r="A5987" s="21"/>
      <c r="B5987" s="21" t="s">
        <v>12111</v>
      </c>
      <c r="D5987" s="25">
        <v>0.0</v>
      </c>
      <c r="E5987" s="27"/>
      <c r="F5987" s="25">
        <v>0.0</v>
      </c>
      <c r="G5987" s="27"/>
    </row>
    <row r="5988">
      <c r="A5988" s="21"/>
      <c r="B5988" s="21" t="s">
        <v>12112</v>
      </c>
      <c r="D5988" s="25">
        <v>0.0</v>
      </c>
      <c r="E5988" s="27"/>
      <c r="F5988" s="25">
        <v>0.0</v>
      </c>
      <c r="G5988" s="27"/>
    </row>
    <row r="5989">
      <c r="A5989" s="21"/>
      <c r="B5989" s="21" t="s">
        <v>12113</v>
      </c>
      <c r="D5989" s="25">
        <v>0.0</v>
      </c>
      <c r="E5989" s="27"/>
      <c r="F5989" s="25">
        <v>0.0</v>
      </c>
      <c r="G5989" s="27"/>
    </row>
    <row r="5990">
      <c r="A5990" s="21"/>
      <c r="B5990" s="21" t="s">
        <v>12114</v>
      </c>
      <c r="D5990" s="25">
        <v>0.0</v>
      </c>
      <c r="E5990" s="27"/>
      <c r="F5990" s="25">
        <v>0.0</v>
      </c>
      <c r="G5990" s="27"/>
    </row>
    <row r="5991">
      <c r="A5991" s="21"/>
      <c r="B5991" s="21" t="s">
        <v>12115</v>
      </c>
      <c r="D5991" s="25">
        <v>0.0</v>
      </c>
      <c r="E5991" s="27"/>
      <c r="F5991" s="25">
        <v>0.0</v>
      </c>
      <c r="G5991" s="27"/>
    </row>
    <row r="5992">
      <c r="A5992" s="21"/>
      <c r="B5992" s="21" t="s">
        <v>12116</v>
      </c>
      <c r="D5992" s="25">
        <v>0.0</v>
      </c>
      <c r="E5992" s="27"/>
      <c r="F5992" s="25">
        <v>0.0</v>
      </c>
      <c r="G5992" s="27"/>
    </row>
    <row r="5993">
      <c r="A5993" s="21"/>
      <c r="B5993" s="21" t="s">
        <v>12117</v>
      </c>
      <c r="D5993" s="25">
        <v>0.0</v>
      </c>
      <c r="E5993" s="27"/>
      <c r="F5993" s="25">
        <v>6.03</v>
      </c>
      <c r="G5993" s="27"/>
    </row>
    <row r="5994">
      <c r="A5994" s="21"/>
      <c r="B5994" s="21" t="s">
        <v>12118</v>
      </c>
      <c r="D5994" s="25">
        <v>0.0</v>
      </c>
      <c r="E5994" s="27"/>
      <c r="F5994" s="25">
        <v>0.0</v>
      </c>
      <c r="G5994" s="27"/>
    </row>
    <row r="5995">
      <c r="A5995" s="21"/>
      <c r="B5995" s="21" t="s">
        <v>12119</v>
      </c>
      <c r="C5995" s="27"/>
      <c r="D5995" s="25">
        <v>0.0</v>
      </c>
      <c r="E5995" s="27"/>
      <c r="F5995" s="25">
        <v>0.0</v>
      </c>
      <c r="G5995" s="27"/>
    </row>
    <row r="5996">
      <c r="A5996" s="21"/>
      <c r="B5996" s="21" t="s">
        <v>6061</v>
      </c>
      <c r="D5996" s="25">
        <v>0.0</v>
      </c>
      <c r="E5996" s="27"/>
      <c r="F5996" s="25">
        <v>0.0</v>
      </c>
      <c r="G5996" s="27"/>
    </row>
    <row r="5997">
      <c r="A5997" s="21"/>
      <c r="B5997" s="21" t="s">
        <v>12120</v>
      </c>
      <c r="D5997" s="25">
        <v>0.0</v>
      </c>
      <c r="E5997" s="27"/>
      <c r="F5997" s="25">
        <v>0.0</v>
      </c>
      <c r="G5997" s="27"/>
    </row>
    <row r="5998">
      <c r="A5998" s="21"/>
      <c r="B5998" s="21" t="s">
        <v>12121</v>
      </c>
      <c r="D5998" s="25">
        <v>0.0</v>
      </c>
      <c r="E5998" s="27"/>
      <c r="F5998" s="25">
        <v>0.0</v>
      </c>
      <c r="G5998" s="27"/>
    </row>
    <row r="5999">
      <c r="A5999" s="21"/>
      <c r="B5999" s="21" t="s">
        <v>12122</v>
      </c>
      <c r="D5999" s="25">
        <v>0.0</v>
      </c>
      <c r="E5999" s="27"/>
      <c r="F5999" s="25">
        <v>0.0</v>
      </c>
      <c r="G5999" s="27"/>
    </row>
    <row r="6000">
      <c r="A6000" s="21"/>
      <c r="B6000" s="21" t="s">
        <v>12123</v>
      </c>
      <c r="D6000" s="25">
        <v>0.0</v>
      </c>
      <c r="E6000" s="27"/>
      <c r="F6000" s="25">
        <v>0.0</v>
      </c>
      <c r="G6000" s="27"/>
    </row>
    <row r="6001">
      <c r="A6001" s="21"/>
      <c r="B6001" s="21" t="s">
        <v>12124</v>
      </c>
      <c r="D6001" s="25">
        <v>0.0</v>
      </c>
      <c r="E6001" s="27"/>
      <c r="F6001" s="25">
        <v>0.0</v>
      </c>
      <c r="G6001" s="27"/>
    </row>
    <row r="6002">
      <c r="A6002" s="21"/>
      <c r="B6002" s="21" t="s">
        <v>12125</v>
      </c>
      <c r="C6002" s="27"/>
      <c r="D6002" s="25">
        <v>0.0</v>
      </c>
      <c r="E6002" s="27"/>
      <c r="F6002" s="25">
        <v>4.06</v>
      </c>
      <c r="G6002" s="27"/>
    </row>
    <row r="6003">
      <c r="A6003" s="21"/>
      <c r="B6003" s="21" t="s">
        <v>12126</v>
      </c>
      <c r="D6003" s="25">
        <v>0.0</v>
      </c>
      <c r="E6003" s="27"/>
      <c r="F6003" s="25">
        <v>0.0</v>
      </c>
      <c r="G6003" s="27"/>
    </row>
    <row r="6004">
      <c r="A6004" s="21"/>
      <c r="B6004" s="21" t="s">
        <v>12127</v>
      </c>
      <c r="D6004" s="25">
        <v>0.0</v>
      </c>
      <c r="E6004" s="27"/>
      <c r="F6004" s="25">
        <v>0.0</v>
      </c>
      <c r="G6004" s="27"/>
    </row>
    <row r="6005">
      <c r="A6005" s="21"/>
      <c r="B6005" s="21" t="s">
        <v>12128</v>
      </c>
      <c r="D6005" s="25">
        <v>0.0</v>
      </c>
      <c r="E6005" s="27"/>
      <c r="F6005" s="25">
        <v>0.0</v>
      </c>
      <c r="G6005" s="27"/>
    </row>
    <row r="6006">
      <c r="A6006" s="21"/>
      <c r="B6006" s="21" t="s">
        <v>12129</v>
      </c>
      <c r="D6006" s="25">
        <v>0.0</v>
      </c>
      <c r="E6006" s="27"/>
      <c r="F6006" s="25">
        <v>0.0</v>
      </c>
      <c r="G6006" s="27"/>
    </row>
    <row r="6007">
      <c r="A6007" s="21"/>
      <c r="B6007" s="21" t="s">
        <v>12130</v>
      </c>
      <c r="D6007" s="25">
        <v>0.0</v>
      </c>
      <c r="E6007" s="27"/>
      <c r="F6007" s="25">
        <v>0.0</v>
      </c>
      <c r="G6007" s="27"/>
    </row>
    <row r="6008">
      <c r="A6008" s="21"/>
      <c r="B6008" s="21" t="s">
        <v>12131</v>
      </c>
      <c r="D6008" s="25">
        <v>0.0</v>
      </c>
      <c r="E6008" s="27"/>
      <c r="F6008" s="25">
        <v>0.0</v>
      </c>
      <c r="G6008" s="27"/>
    </row>
    <row r="6009">
      <c r="A6009" s="21"/>
      <c r="B6009" s="21" t="s">
        <v>12132</v>
      </c>
      <c r="D6009" s="25">
        <v>0.0</v>
      </c>
      <c r="E6009" s="27"/>
      <c r="F6009" s="25">
        <v>0.0</v>
      </c>
      <c r="G6009" s="27"/>
    </row>
    <row r="6010">
      <c r="A6010" s="21"/>
      <c r="B6010" s="21" t="s">
        <v>6062</v>
      </c>
      <c r="D6010" s="25">
        <v>0.0</v>
      </c>
      <c r="E6010" s="27"/>
      <c r="F6010" s="25">
        <v>0.0</v>
      </c>
      <c r="G6010" s="27"/>
    </row>
    <row r="6011">
      <c r="A6011" s="21"/>
      <c r="B6011" s="21" t="s">
        <v>12133</v>
      </c>
      <c r="D6011" s="25">
        <v>0.0</v>
      </c>
      <c r="E6011" s="27"/>
      <c r="F6011" s="25">
        <v>0.0</v>
      </c>
      <c r="G6011" s="27"/>
    </row>
    <row r="6012">
      <c r="A6012" s="21"/>
      <c r="B6012" s="21" t="s">
        <v>12134</v>
      </c>
      <c r="D6012" s="25">
        <v>0.0</v>
      </c>
      <c r="E6012" s="27"/>
      <c r="F6012" s="25">
        <v>0.0</v>
      </c>
      <c r="G6012" s="27"/>
    </row>
    <row r="6013">
      <c r="A6013" s="21"/>
      <c r="B6013" s="21" t="s">
        <v>12135</v>
      </c>
      <c r="D6013" s="25">
        <v>0.0</v>
      </c>
      <c r="E6013" s="27"/>
      <c r="F6013" s="25">
        <v>0.0</v>
      </c>
      <c r="G6013" s="27"/>
    </row>
    <row r="6014">
      <c r="A6014" s="21"/>
      <c r="B6014" s="21" t="s">
        <v>12136</v>
      </c>
      <c r="D6014" s="25">
        <v>0.0</v>
      </c>
      <c r="E6014" s="27"/>
      <c r="F6014" s="25">
        <v>0.0</v>
      </c>
      <c r="G6014" s="27"/>
    </row>
    <row r="6015">
      <c r="A6015" s="21"/>
      <c r="B6015" s="21" t="s">
        <v>12137</v>
      </c>
      <c r="D6015" s="25">
        <v>0.0</v>
      </c>
      <c r="E6015" s="27"/>
      <c r="F6015" s="25">
        <v>0.0</v>
      </c>
      <c r="G6015" s="27"/>
    </row>
    <row r="6016">
      <c r="A6016" s="21"/>
      <c r="B6016" s="21" t="s">
        <v>12138</v>
      </c>
      <c r="D6016" s="25">
        <v>0.0</v>
      </c>
      <c r="E6016" s="27"/>
      <c r="F6016" s="25">
        <v>0.0</v>
      </c>
      <c r="G6016" s="27"/>
    </row>
    <row r="6017">
      <c r="A6017" s="21"/>
      <c r="B6017" s="21" t="s">
        <v>12139</v>
      </c>
      <c r="D6017" s="25">
        <v>0.0</v>
      </c>
      <c r="E6017" s="27"/>
      <c r="F6017" s="25">
        <v>0.0</v>
      </c>
      <c r="G6017" s="27"/>
    </row>
    <row r="6018">
      <c r="A6018" s="21"/>
      <c r="B6018" s="21" t="s">
        <v>12140</v>
      </c>
      <c r="D6018" s="25">
        <v>0.0</v>
      </c>
      <c r="E6018" s="27"/>
      <c r="F6018" s="25">
        <v>0.0</v>
      </c>
      <c r="G6018" s="27"/>
    </row>
    <row r="6019">
      <c r="A6019" s="21"/>
      <c r="B6019" s="21" t="s">
        <v>12141</v>
      </c>
      <c r="D6019" s="25">
        <v>0.0</v>
      </c>
      <c r="E6019" s="27"/>
      <c r="F6019" s="25">
        <v>0.0</v>
      </c>
      <c r="G6019" s="27"/>
    </row>
    <row r="6020">
      <c r="A6020" s="21"/>
      <c r="B6020" s="21" t="s">
        <v>12142</v>
      </c>
      <c r="D6020" s="25">
        <v>0.0</v>
      </c>
      <c r="E6020" s="27"/>
      <c r="F6020" s="25">
        <v>0.0</v>
      </c>
      <c r="G6020" s="27"/>
    </row>
    <row r="6021">
      <c r="A6021" s="21"/>
      <c r="B6021" s="21" t="s">
        <v>12143</v>
      </c>
      <c r="D6021" s="25">
        <v>0.0</v>
      </c>
      <c r="E6021" s="27"/>
      <c r="F6021" s="25">
        <v>0.0</v>
      </c>
      <c r="G6021" s="27"/>
    </row>
    <row r="6022">
      <c r="A6022" s="21"/>
      <c r="B6022" s="21" t="s">
        <v>12144</v>
      </c>
      <c r="D6022" s="25">
        <v>0.0</v>
      </c>
      <c r="E6022" s="27"/>
      <c r="F6022" s="25">
        <v>3.31</v>
      </c>
      <c r="G6022" s="27"/>
    </row>
    <row r="6023">
      <c r="A6023" s="21"/>
      <c r="B6023" s="21" t="s">
        <v>12145</v>
      </c>
      <c r="D6023" s="25">
        <v>0.0</v>
      </c>
      <c r="E6023" s="27"/>
      <c r="F6023" s="25">
        <v>0.0</v>
      </c>
      <c r="G6023" s="27"/>
    </row>
    <row r="6024">
      <c r="A6024" s="21"/>
      <c r="B6024" s="21" t="s">
        <v>12146</v>
      </c>
      <c r="D6024" s="25">
        <v>0.0</v>
      </c>
      <c r="E6024" s="27"/>
      <c r="F6024" s="25">
        <v>0.0</v>
      </c>
      <c r="G6024" s="27"/>
    </row>
    <row r="6025">
      <c r="A6025" s="21"/>
      <c r="B6025" s="21" t="s">
        <v>12147</v>
      </c>
      <c r="D6025" s="25">
        <v>0.0</v>
      </c>
      <c r="E6025" s="27"/>
      <c r="F6025" s="25">
        <v>0.0</v>
      </c>
      <c r="G6025" s="27"/>
    </row>
    <row r="6026">
      <c r="A6026" s="21"/>
      <c r="B6026" s="21" t="s">
        <v>12148</v>
      </c>
      <c r="D6026" s="25">
        <v>0.0</v>
      </c>
      <c r="E6026" s="27"/>
      <c r="F6026" s="25">
        <v>0.0</v>
      </c>
      <c r="G6026" s="27"/>
    </row>
    <row r="6027">
      <c r="A6027" s="21"/>
      <c r="B6027" s="21" t="s">
        <v>12149</v>
      </c>
      <c r="D6027" s="25">
        <v>0.0</v>
      </c>
      <c r="E6027" s="27"/>
      <c r="F6027" s="25">
        <v>0.0</v>
      </c>
      <c r="G6027" s="27"/>
    </row>
    <row r="6028">
      <c r="A6028" s="21"/>
      <c r="B6028" s="21" t="s">
        <v>12150</v>
      </c>
      <c r="D6028" s="25">
        <v>0.0</v>
      </c>
      <c r="E6028" s="27"/>
      <c r="F6028" s="25">
        <v>0.0</v>
      </c>
      <c r="G6028" s="27"/>
    </row>
    <row r="6029">
      <c r="A6029" s="21"/>
      <c r="B6029" s="21" t="s">
        <v>12151</v>
      </c>
      <c r="D6029" s="25">
        <v>0.0</v>
      </c>
      <c r="E6029" s="27"/>
      <c r="F6029" s="25">
        <v>0.0</v>
      </c>
      <c r="G6029" s="27"/>
    </row>
    <row r="6030">
      <c r="A6030" s="21"/>
      <c r="B6030" s="21" t="s">
        <v>12152</v>
      </c>
      <c r="D6030" s="25">
        <v>0.0</v>
      </c>
      <c r="E6030" s="27"/>
      <c r="F6030" s="25">
        <v>0.0</v>
      </c>
      <c r="G6030" s="27"/>
    </row>
    <row r="6031">
      <c r="A6031" s="21"/>
      <c r="B6031" s="21" t="s">
        <v>12153</v>
      </c>
      <c r="D6031" s="25">
        <v>0.0</v>
      </c>
      <c r="E6031" s="27"/>
      <c r="F6031" s="25">
        <v>0.0</v>
      </c>
      <c r="G6031" s="27"/>
    </row>
    <row r="6032">
      <c r="A6032" s="21"/>
      <c r="B6032" s="21" t="s">
        <v>12154</v>
      </c>
      <c r="D6032" s="25">
        <v>0.0</v>
      </c>
      <c r="E6032" s="27"/>
      <c r="F6032" s="25">
        <v>0.0</v>
      </c>
      <c r="G6032" s="27"/>
    </row>
    <row r="6033">
      <c r="A6033" s="21"/>
      <c r="B6033" s="21" t="s">
        <v>12155</v>
      </c>
      <c r="D6033" s="25">
        <v>0.0</v>
      </c>
      <c r="E6033" s="27"/>
      <c r="F6033" s="25">
        <v>0.0</v>
      </c>
      <c r="G6033" s="27"/>
    </row>
    <row r="6034">
      <c r="A6034" s="21"/>
      <c r="B6034" s="21" t="s">
        <v>12156</v>
      </c>
      <c r="D6034" s="25">
        <v>0.0</v>
      </c>
      <c r="E6034" s="27"/>
      <c r="F6034" s="25">
        <v>0.0</v>
      </c>
      <c r="G6034" s="27"/>
    </row>
    <row r="6035">
      <c r="A6035" s="21"/>
      <c r="B6035" s="21" t="s">
        <v>12157</v>
      </c>
      <c r="D6035" s="25">
        <v>0.0</v>
      </c>
      <c r="E6035" s="27"/>
      <c r="F6035" s="25">
        <v>0.0</v>
      </c>
      <c r="G6035" s="27"/>
    </row>
    <row r="6036">
      <c r="A6036" s="21"/>
      <c r="B6036" s="21" t="s">
        <v>12158</v>
      </c>
      <c r="D6036" s="25">
        <v>0.0</v>
      </c>
      <c r="E6036" s="27"/>
      <c r="F6036" s="25">
        <v>0.0</v>
      </c>
      <c r="G6036" s="27"/>
    </row>
    <row r="6037">
      <c r="A6037" s="21"/>
      <c r="B6037" s="21" t="s">
        <v>12159</v>
      </c>
      <c r="D6037" s="25">
        <v>0.0</v>
      </c>
      <c r="E6037" s="27"/>
      <c r="F6037" s="25">
        <v>0.0</v>
      </c>
      <c r="G6037" s="27"/>
    </row>
    <row r="6038">
      <c r="A6038" s="21"/>
      <c r="B6038" s="21" t="s">
        <v>12160</v>
      </c>
      <c r="D6038" s="25">
        <v>0.0</v>
      </c>
      <c r="E6038" s="27"/>
      <c r="F6038" s="25">
        <v>0.0</v>
      </c>
      <c r="G6038" s="27"/>
    </row>
    <row r="6039">
      <c r="A6039" s="21"/>
      <c r="B6039" s="21" t="s">
        <v>12161</v>
      </c>
      <c r="D6039" s="25">
        <v>0.0</v>
      </c>
      <c r="E6039" s="27"/>
      <c r="F6039" s="25">
        <v>0.0</v>
      </c>
      <c r="G6039" s="27"/>
    </row>
    <row r="6040">
      <c r="A6040" s="21"/>
      <c r="B6040" s="21" t="s">
        <v>12162</v>
      </c>
      <c r="D6040" s="25">
        <v>0.0</v>
      </c>
      <c r="E6040" s="27"/>
      <c r="F6040" s="25">
        <v>0.0</v>
      </c>
      <c r="G6040" s="27"/>
    </row>
    <row r="6041">
      <c r="A6041" s="21"/>
      <c r="B6041" s="21" t="s">
        <v>12163</v>
      </c>
      <c r="D6041" s="25">
        <v>0.0</v>
      </c>
      <c r="E6041" s="27"/>
      <c r="F6041" s="25">
        <v>0.0</v>
      </c>
      <c r="G6041" s="27"/>
    </row>
    <row r="6042">
      <c r="A6042" s="21"/>
      <c r="B6042" s="21" t="s">
        <v>12164</v>
      </c>
      <c r="D6042" s="25">
        <v>0.0</v>
      </c>
      <c r="E6042" s="27"/>
      <c r="F6042" s="25">
        <v>0.0</v>
      </c>
      <c r="G6042" s="27"/>
    </row>
    <row r="6043">
      <c r="A6043" s="21"/>
      <c r="B6043" s="21" t="s">
        <v>12165</v>
      </c>
      <c r="D6043" s="25">
        <v>0.0</v>
      </c>
      <c r="E6043" s="27"/>
      <c r="F6043" s="25">
        <v>0.0</v>
      </c>
      <c r="G6043" s="27"/>
    </row>
    <row r="6044">
      <c r="A6044" s="21"/>
      <c r="B6044" s="21" t="s">
        <v>12166</v>
      </c>
      <c r="D6044" s="25">
        <v>0.0</v>
      </c>
      <c r="E6044" s="27"/>
      <c r="F6044" s="25">
        <v>0.0</v>
      </c>
      <c r="G6044" s="27"/>
    </row>
    <row r="6045">
      <c r="A6045" s="21"/>
      <c r="B6045" s="21" t="s">
        <v>12167</v>
      </c>
      <c r="D6045" s="25">
        <v>0.0</v>
      </c>
      <c r="E6045" s="27"/>
      <c r="F6045" s="25">
        <v>0.0</v>
      </c>
      <c r="G6045" s="27"/>
    </row>
    <row r="6046">
      <c r="A6046" s="21"/>
      <c r="B6046" s="21" t="s">
        <v>12168</v>
      </c>
      <c r="D6046" s="25">
        <v>0.0</v>
      </c>
      <c r="E6046" s="27"/>
      <c r="F6046" s="25">
        <v>0.0</v>
      </c>
      <c r="G6046" s="27"/>
    </row>
    <row r="6047">
      <c r="A6047" s="21"/>
      <c r="B6047" s="21" t="s">
        <v>12169</v>
      </c>
      <c r="D6047" s="25">
        <v>0.0</v>
      </c>
      <c r="E6047" s="27"/>
      <c r="F6047" s="25">
        <v>0.0</v>
      </c>
      <c r="G6047" s="27"/>
    </row>
    <row r="6048">
      <c r="A6048" s="21"/>
      <c r="B6048" s="21" t="s">
        <v>12170</v>
      </c>
      <c r="D6048" s="25">
        <v>0.0</v>
      </c>
      <c r="E6048" s="27"/>
      <c r="F6048" s="25">
        <v>0.0</v>
      </c>
      <c r="G6048" s="27"/>
    </row>
    <row r="6049">
      <c r="A6049" s="21"/>
      <c r="B6049" s="21" t="s">
        <v>12171</v>
      </c>
      <c r="D6049" s="25">
        <v>0.0</v>
      </c>
      <c r="E6049" s="27"/>
      <c r="F6049" s="25">
        <v>0.0</v>
      </c>
      <c r="G6049" s="27"/>
    </row>
    <row r="6050">
      <c r="A6050" s="21"/>
      <c r="B6050" s="21" t="s">
        <v>12172</v>
      </c>
      <c r="D6050" s="25">
        <v>0.0</v>
      </c>
      <c r="E6050" s="27"/>
      <c r="F6050" s="25">
        <v>0.0</v>
      </c>
      <c r="G6050" s="27"/>
    </row>
    <row r="6051">
      <c r="A6051" s="21"/>
      <c r="B6051" s="21" t="s">
        <v>12173</v>
      </c>
      <c r="D6051" s="25">
        <v>0.0</v>
      </c>
      <c r="E6051" s="27"/>
      <c r="F6051" s="25">
        <v>0.0</v>
      </c>
      <c r="G6051" s="27"/>
    </row>
    <row r="6052">
      <c r="A6052" s="21"/>
      <c r="B6052" s="21" t="s">
        <v>12174</v>
      </c>
      <c r="D6052" s="25">
        <v>0.0</v>
      </c>
      <c r="E6052" s="27"/>
      <c r="F6052" s="25">
        <v>0.0</v>
      </c>
      <c r="G6052" s="27"/>
    </row>
    <row r="6053">
      <c r="A6053" s="21"/>
      <c r="B6053" s="21" t="s">
        <v>12175</v>
      </c>
      <c r="D6053" s="25">
        <v>0.0</v>
      </c>
      <c r="E6053" s="27"/>
      <c r="F6053" s="25">
        <v>0.0</v>
      </c>
      <c r="G6053" s="27"/>
    </row>
    <row r="6054">
      <c r="A6054" s="21"/>
      <c r="B6054" s="21" t="s">
        <v>12176</v>
      </c>
      <c r="D6054" s="25">
        <v>0.0</v>
      </c>
      <c r="E6054" s="27"/>
      <c r="F6054" s="25">
        <v>0.0</v>
      </c>
      <c r="G6054" s="27"/>
    </row>
    <row r="6055">
      <c r="A6055" s="21"/>
      <c r="B6055" s="21" t="s">
        <v>12177</v>
      </c>
      <c r="D6055" s="25">
        <v>0.0</v>
      </c>
      <c r="E6055" s="27"/>
      <c r="F6055" s="25">
        <v>0.0</v>
      </c>
      <c r="G6055" s="27"/>
    </row>
    <row r="6056">
      <c r="A6056" s="21"/>
      <c r="B6056" s="21" t="s">
        <v>12178</v>
      </c>
      <c r="D6056" s="25">
        <v>0.0</v>
      </c>
      <c r="E6056" s="27"/>
      <c r="F6056" s="25">
        <v>0.0</v>
      </c>
      <c r="G6056" s="27"/>
    </row>
    <row r="6057">
      <c r="A6057" s="21"/>
      <c r="B6057" s="21" t="s">
        <v>12179</v>
      </c>
      <c r="D6057" s="25">
        <v>0.0</v>
      </c>
      <c r="E6057" s="27"/>
      <c r="F6057" s="25">
        <v>0.0</v>
      </c>
      <c r="G6057" s="27"/>
    </row>
    <row r="6058">
      <c r="A6058" s="21"/>
      <c r="B6058" s="21" t="s">
        <v>12180</v>
      </c>
      <c r="D6058" s="25">
        <v>0.0</v>
      </c>
      <c r="E6058" s="27"/>
      <c r="F6058" s="25">
        <v>0.0</v>
      </c>
      <c r="G6058" s="27"/>
    </row>
    <row r="6059">
      <c r="A6059" s="21"/>
      <c r="B6059" s="21" t="s">
        <v>12181</v>
      </c>
      <c r="D6059" s="25">
        <v>0.0</v>
      </c>
      <c r="E6059" s="27"/>
      <c r="F6059" s="25">
        <v>0.0</v>
      </c>
      <c r="G6059" s="27"/>
    </row>
    <row r="6060">
      <c r="A6060" s="21"/>
      <c r="B6060" s="21" t="s">
        <v>12182</v>
      </c>
      <c r="D6060" s="25">
        <v>0.0</v>
      </c>
      <c r="E6060" s="27"/>
      <c r="F6060" s="25">
        <v>0.0</v>
      </c>
      <c r="G6060" s="27"/>
    </row>
    <row r="6061">
      <c r="A6061" s="21"/>
      <c r="B6061" s="21" t="s">
        <v>12183</v>
      </c>
      <c r="D6061" s="25">
        <v>0.0</v>
      </c>
      <c r="E6061" s="27"/>
      <c r="F6061" s="25">
        <v>0.0</v>
      </c>
      <c r="G6061" s="27"/>
    </row>
    <row r="6062">
      <c r="A6062" s="21"/>
      <c r="B6062" s="21" t="s">
        <v>12184</v>
      </c>
      <c r="D6062" s="25">
        <v>0.0</v>
      </c>
      <c r="E6062" s="27"/>
      <c r="F6062" s="25">
        <v>0.0</v>
      </c>
      <c r="G6062" s="27"/>
    </row>
    <row r="6063">
      <c r="A6063" s="21"/>
      <c r="B6063" s="21" t="s">
        <v>12185</v>
      </c>
      <c r="D6063" s="25">
        <v>0.0</v>
      </c>
      <c r="E6063" s="27"/>
      <c r="F6063" s="25">
        <v>0.0</v>
      </c>
      <c r="G6063" s="27"/>
    </row>
    <row r="6064">
      <c r="A6064" s="21"/>
      <c r="B6064" s="21" t="s">
        <v>12186</v>
      </c>
      <c r="D6064" s="25">
        <v>0.0</v>
      </c>
      <c r="E6064" s="27"/>
      <c r="F6064" s="25">
        <v>0.0</v>
      </c>
      <c r="G6064" s="27"/>
    </row>
    <row r="6065">
      <c r="A6065" s="21"/>
      <c r="B6065" s="21" t="s">
        <v>12187</v>
      </c>
      <c r="D6065" s="25">
        <v>0.0</v>
      </c>
      <c r="E6065" s="27"/>
      <c r="F6065" s="25">
        <v>0.0</v>
      </c>
      <c r="G6065" s="27"/>
    </row>
    <row r="6066">
      <c r="A6066" s="21"/>
      <c r="B6066" s="21" t="s">
        <v>12188</v>
      </c>
      <c r="D6066" s="25">
        <v>0.0</v>
      </c>
      <c r="E6066" s="27"/>
      <c r="F6066" s="25">
        <v>0.0</v>
      </c>
      <c r="G6066" s="27"/>
    </row>
    <row r="6067">
      <c r="A6067" s="21"/>
      <c r="B6067" s="21" t="s">
        <v>12189</v>
      </c>
      <c r="D6067" s="25">
        <v>0.0</v>
      </c>
      <c r="E6067" s="27"/>
      <c r="F6067" s="25">
        <v>0.0</v>
      </c>
      <c r="G6067" s="27"/>
    </row>
    <row r="6068">
      <c r="A6068" s="21"/>
      <c r="B6068" s="21" t="s">
        <v>12190</v>
      </c>
      <c r="D6068" s="25">
        <v>0.0</v>
      </c>
      <c r="E6068" s="27"/>
      <c r="F6068" s="25">
        <v>0.0</v>
      </c>
      <c r="G6068" s="27"/>
    </row>
    <row r="6069">
      <c r="A6069" s="21"/>
      <c r="B6069" s="21" t="s">
        <v>12191</v>
      </c>
      <c r="D6069" s="25">
        <v>0.0</v>
      </c>
      <c r="E6069" s="27"/>
      <c r="F6069" s="25">
        <v>0.0</v>
      </c>
      <c r="G6069" s="27"/>
    </row>
    <row r="6070">
      <c r="A6070" s="21"/>
      <c r="B6070" s="21" t="s">
        <v>12192</v>
      </c>
      <c r="D6070" s="25">
        <v>0.0</v>
      </c>
      <c r="E6070" s="27"/>
      <c r="F6070" s="25">
        <v>3.95</v>
      </c>
      <c r="G6070" s="27"/>
    </row>
    <row r="6071">
      <c r="A6071" s="21"/>
      <c r="B6071" s="21" t="s">
        <v>12193</v>
      </c>
      <c r="D6071" s="25">
        <v>0.0</v>
      </c>
      <c r="E6071" s="27"/>
      <c r="F6071" s="25">
        <v>0.0</v>
      </c>
      <c r="G6071" s="27"/>
    </row>
    <row r="6072">
      <c r="A6072" s="21"/>
      <c r="B6072" s="21" t="s">
        <v>12194</v>
      </c>
      <c r="D6072" s="25">
        <v>0.0</v>
      </c>
      <c r="E6072" s="27"/>
      <c r="F6072" s="25">
        <v>0.0</v>
      </c>
      <c r="G6072" s="27"/>
    </row>
    <row r="6073">
      <c r="A6073" s="21"/>
      <c r="B6073" s="21" t="s">
        <v>12195</v>
      </c>
      <c r="D6073" s="25">
        <v>0.0</v>
      </c>
      <c r="E6073" s="27"/>
      <c r="F6073" s="25">
        <v>0.0</v>
      </c>
      <c r="G6073" s="27"/>
    </row>
    <row r="6074">
      <c r="A6074" s="21"/>
      <c r="B6074" s="21" t="s">
        <v>12196</v>
      </c>
      <c r="D6074" s="25">
        <v>0.0</v>
      </c>
      <c r="E6074" s="27"/>
      <c r="F6074" s="25">
        <v>0.0</v>
      </c>
      <c r="G6074" s="27"/>
    </row>
    <row r="6075">
      <c r="A6075" s="21"/>
      <c r="B6075" s="21" t="s">
        <v>12197</v>
      </c>
      <c r="D6075" s="25">
        <v>0.0</v>
      </c>
      <c r="E6075" s="27"/>
      <c r="F6075" s="25">
        <v>0.0</v>
      </c>
      <c r="G6075" s="27"/>
    </row>
    <row r="6076">
      <c r="A6076" s="21"/>
      <c r="B6076" s="21" t="s">
        <v>12198</v>
      </c>
      <c r="D6076" s="25">
        <v>0.0</v>
      </c>
      <c r="E6076" s="27"/>
      <c r="F6076" s="25">
        <v>0.0</v>
      </c>
      <c r="G6076" s="27"/>
    </row>
    <row r="6077">
      <c r="A6077" s="21"/>
      <c r="B6077" s="21" t="s">
        <v>12199</v>
      </c>
      <c r="D6077" s="25">
        <v>0.0</v>
      </c>
      <c r="E6077" s="27"/>
      <c r="F6077" s="25">
        <v>0.0</v>
      </c>
      <c r="G6077" s="27"/>
    </row>
    <row r="6078">
      <c r="A6078" s="21"/>
      <c r="B6078" s="21" t="s">
        <v>12200</v>
      </c>
      <c r="D6078" s="25">
        <v>0.0</v>
      </c>
      <c r="E6078" s="27"/>
      <c r="F6078" s="25">
        <v>0.0</v>
      </c>
      <c r="G6078" s="27"/>
    </row>
    <row r="6079">
      <c r="A6079" s="21"/>
      <c r="B6079" s="21" t="s">
        <v>12201</v>
      </c>
      <c r="D6079" s="25">
        <v>0.0</v>
      </c>
      <c r="E6079" s="27"/>
      <c r="F6079" s="25">
        <v>0.0</v>
      </c>
      <c r="G6079" s="27"/>
    </row>
    <row r="6080">
      <c r="A6080" s="21"/>
      <c r="B6080" s="21" t="s">
        <v>12202</v>
      </c>
      <c r="D6080" s="25">
        <v>0.0</v>
      </c>
      <c r="E6080" s="27"/>
      <c r="F6080" s="25">
        <v>0.0</v>
      </c>
      <c r="G6080" s="27"/>
    </row>
    <row r="6081">
      <c r="A6081" s="21"/>
      <c r="B6081" s="21" t="s">
        <v>12203</v>
      </c>
      <c r="D6081" s="25">
        <v>0.0</v>
      </c>
      <c r="E6081" s="27"/>
      <c r="F6081" s="25">
        <v>0.0</v>
      </c>
      <c r="G6081" s="27"/>
    </row>
    <row r="6082">
      <c r="A6082" s="21"/>
      <c r="B6082" s="21" t="s">
        <v>12204</v>
      </c>
      <c r="D6082" s="25">
        <v>0.0</v>
      </c>
      <c r="E6082" s="27"/>
      <c r="F6082" s="25">
        <v>0.0</v>
      </c>
      <c r="G6082" s="27"/>
    </row>
    <row r="6083">
      <c r="A6083" s="21"/>
      <c r="B6083" s="21" t="s">
        <v>12205</v>
      </c>
      <c r="D6083" s="25">
        <v>0.0</v>
      </c>
      <c r="E6083" s="27"/>
      <c r="F6083" s="25">
        <v>0.0</v>
      </c>
      <c r="G6083" s="27"/>
    </row>
    <row r="6084">
      <c r="A6084" s="21"/>
      <c r="B6084" s="21" t="s">
        <v>12206</v>
      </c>
      <c r="D6084" s="25">
        <v>0.0</v>
      </c>
      <c r="E6084" s="27"/>
      <c r="F6084" s="25">
        <v>4.22</v>
      </c>
      <c r="G6084" s="27"/>
    </row>
    <row r="6085">
      <c r="A6085" s="21"/>
      <c r="B6085" s="21" t="s">
        <v>12207</v>
      </c>
      <c r="D6085" s="25">
        <v>0.0</v>
      </c>
      <c r="E6085" s="27"/>
      <c r="F6085" s="25">
        <v>0.0</v>
      </c>
      <c r="G6085" s="27"/>
    </row>
    <row r="6086">
      <c r="A6086" s="21"/>
      <c r="B6086" s="21" t="s">
        <v>12208</v>
      </c>
      <c r="D6086" s="25">
        <v>0.0</v>
      </c>
      <c r="E6086" s="27"/>
      <c r="F6086" s="25">
        <v>0.0</v>
      </c>
      <c r="G6086" s="27"/>
    </row>
    <row r="6087">
      <c r="A6087" s="21"/>
      <c r="B6087" s="21" t="s">
        <v>6063</v>
      </c>
      <c r="D6087" s="25">
        <v>0.0</v>
      </c>
      <c r="E6087" s="27"/>
      <c r="F6087" s="25">
        <v>0.0</v>
      </c>
      <c r="G6087" s="27"/>
    </row>
    <row r="6088">
      <c r="A6088" s="21"/>
      <c r="B6088" s="21" t="s">
        <v>6064</v>
      </c>
      <c r="D6088" s="25">
        <v>0.0</v>
      </c>
      <c r="E6088" s="27"/>
      <c r="F6088" s="25">
        <v>0.0</v>
      </c>
      <c r="G6088" s="27"/>
    </row>
    <row r="6089">
      <c r="A6089" s="21"/>
      <c r="B6089" s="21" t="s">
        <v>12209</v>
      </c>
      <c r="D6089" s="25">
        <v>0.0</v>
      </c>
      <c r="E6089" s="27"/>
      <c r="F6089" s="25">
        <v>0.0</v>
      </c>
      <c r="G6089" s="27"/>
    </row>
    <row r="6090">
      <c r="A6090" s="21"/>
      <c r="B6090" s="21" t="s">
        <v>12210</v>
      </c>
      <c r="D6090" s="25">
        <v>0.0</v>
      </c>
      <c r="E6090" s="27"/>
      <c r="F6090" s="25">
        <v>0.0</v>
      </c>
      <c r="G6090" s="27"/>
    </row>
    <row r="6091">
      <c r="A6091" s="21"/>
      <c r="B6091" s="21" t="s">
        <v>12211</v>
      </c>
      <c r="D6091" s="25">
        <v>0.0</v>
      </c>
      <c r="E6091" s="27"/>
      <c r="F6091" s="25">
        <v>0.0</v>
      </c>
      <c r="G6091" s="27"/>
    </row>
    <row r="6092">
      <c r="A6092" s="21"/>
      <c r="B6092" s="21" t="s">
        <v>12212</v>
      </c>
      <c r="D6092" s="25">
        <v>0.0</v>
      </c>
      <c r="E6092" s="27"/>
      <c r="F6092" s="25">
        <v>0.0</v>
      </c>
      <c r="G6092" s="27"/>
    </row>
    <row r="6093">
      <c r="A6093" s="21"/>
      <c r="B6093" s="21" t="s">
        <v>12213</v>
      </c>
      <c r="D6093" s="25">
        <v>0.0</v>
      </c>
      <c r="E6093" s="27"/>
      <c r="F6093" s="25">
        <v>0.0</v>
      </c>
      <c r="G6093" s="27"/>
    </row>
    <row r="6094">
      <c r="A6094" s="21"/>
      <c r="B6094" s="21" t="s">
        <v>12214</v>
      </c>
      <c r="D6094" s="25">
        <v>0.0</v>
      </c>
      <c r="E6094" s="27"/>
      <c r="F6094" s="25">
        <v>0.0</v>
      </c>
      <c r="G6094" s="27"/>
    </row>
    <row r="6095">
      <c r="A6095" s="21"/>
      <c r="B6095" s="21" t="s">
        <v>12215</v>
      </c>
      <c r="D6095" s="25">
        <v>0.0</v>
      </c>
      <c r="E6095" s="27"/>
      <c r="F6095" s="25">
        <v>0.0</v>
      </c>
      <c r="G6095" s="27"/>
    </row>
    <row r="6096">
      <c r="A6096" s="21"/>
      <c r="B6096" s="21" t="s">
        <v>12216</v>
      </c>
      <c r="D6096" s="25">
        <v>0.0</v>
      </c>
      <c r="E6096" s="27"/>
      <c r="F6096" s="25">
        <v>0.0</v>
      </c>
      <c r="G6096" s="27"/>
    </row>
    <row r="6097">
      <c r="A6097" s="21"/>
      <c r="B6097" s="21" t="s">
        <v>12217</v>
      </c>
      <c r="D6097" s="25">
        <v>0.0</v>
      </c>
      <c r="E6097" s="27"/>
      <c r="F6097" s="25">
        <v>0.0</v>
      </c>
      <c r="G6097" s="27"/>
    </row>
    <row r="6098">
      <c r="A6098" s="21"/>
      <c r="B6098" s="21" t="s">
        <v>12218</v>
      </c>
      <c r="D6098" s="25">
        <v>0.0</v>
      </c>
      <c r="E6098" s="27"/>
      <c r="F6098" s="25">
        <v>0.0</v>
      </c>
      <c r="G6098" s="27"/>
    </row>
    <row r="6099">
      <c r="A6099" s="21"/>
      <c r="B6099" s="21" t="s">
        <v>12219</v>
      </c>
      <c r="D6099" s="25">
        <v>0.0</v>
      </c>
      <c r="E6099" s="27"/>
      <c r="F6099" s="25">
        <v>0.0</v>
      </c>
      <c r="G6099" s="27"/>
    </row>
    <row r="6100">
      <c r="A6100" s="21"/>
      <c r="B6100" s="21" t="s">
        <v>12220</v>
      </c>
      <c r="D6100" s="25">
        <v>0.0</v>
      </c>
      <c r="E6100" s="27"/>
      <c r="F6100" s="25">
        <v>0.0</v>
      </c>
      <c r="G6100" s="27"/>
    </row>
    <row r="6101">
      <c r="A6101" s="21"/>
      <c r="B6101" s="21" t="s">
        <v>12221</v>
      </c>
      <c r="D6101" s="25">
        <v>0.0</v>
      </c>
      <c r="E6101" s="27"/>
      <c r="F6101" s="25">
        <v>0.0</v>
      </c>
      <c r="G6101" s="27"/>
    </row>
    <row r="6102">
      <c r="A6102" s="21"/>
      <c r="B6102" s="21" t="s">
        <v>12222</v>
      </c>
      <c r="D6102" s="25">
        <v>0.0</v>
      </c>
      <c r="E6102" s="27"/>
      <c r="F6102" s="25">
        <v>0.0</v>
      </c>
      <c r="G6102" s="27"/>
    </row>
    <row r="6103">
      <c r="A6103" s="21"/>
      <c r="B6103" s="21" t="s">
        <v>12223</v>
      </c>
      <c r="D6103" s="25">
        <v>0.0</v>
      </c>
      <c r="E6103" s="27"/>
      <c r="F6103" s="25">
        <v>0.0</v>
      </c>
      <c r="G6103" s="27"/>
    </row>
    <row r="6104">
      <c r="A6104" s="21"/>
      <c r="B6104" s="21" t="s">
        <v>12224</v>
      </c>
      <c r="D6104" s="25">
        <v>0.0</v>
      </c>
      <c r="E6104" s="27"/>
      <c r="F6104" s="25">
        <v>0.0</v>
      </c>
      <c r="G6104" s="27"/>
    </row>
    <row r="6105">
      <c r="A6105" s="21"/>
      <c r="B6105" s="21" t="s">
        <v>12225</v>
      </c>
      <c r="D6105" s="25">
        <v>0.0</v>
      </c>
      <c r="E6105" s="27"/>
      <c r="F6105" s="25">
        <v>0.0</v>
      </c>
      <c r="G6105" s="27"/>
    </row>
    <row r="6106">
      <c r="A6106" s="21"/>
      <c r="B6106" s="21" t="s">
        <v>12226</v>
      </c>
      <c r="D6106" s="25">
        <v>0.0</v>
      </c>
      <c r="E6106" s="27"/>
      <c r="F6106" s="25">
        <v>0.0</v>
      </c>
      <c r="G6106" s="27"/>
    </row>
    <row r="6107">
      <c r="A6107" s="21"/>
      <c r="B6107" s="21" t="s">
        <v>12227</v>
      </c>
      <c r="D6107" s="25">
        <v>0.0</v>
      </c>
      <c r="E6107" s="27"/>
      <c r="F6107" s="25">
        <v>0.0</v>
      </c>
      <c r="G6107" s="27"/>
    </row>
    <row r="6108">
      <c r="A6108" s="21"/>
      <c r="B6108" s="21" t="s">
        <v>12228</v>
      </c>
      <c r="D6108" s="25">
        <v>0.0</v>
      </c>
      <c r="E6108" s="27"/>
      <c r="F6108" s="25">
        <v>0.0</v>
      </c>
      <c r="G6108" s="27"/>
    </row>
    <row r="6109">
      <c r="A6109" s="21"/>
      <c r="B6109" s="21" t="s">
        <v>12229</v>
      </c>
      <c r="D6109" s="25">
        <v>0.0</v>
      </c>
      <c r="E6109" s="27"/>
      <c r="F6109" s="25">
        <v>0.0</v>
      </c>
      <c r="G6109" s="27"/>
    </row>
    <row r="6110">
      <c r="A6110" s="21"/>
      <c r="B6110" s="21" t="s">
        <v>12230</v>
      </c>
      <c r="D6110" s="25">
        <v>0.0</v>
      </c>
      <c r="E6110" s="27"/>
      <c r="F6110" s="25">
        <v>0.0</v>
      </c>
      <c r="G6110" s="27"/>
    </row>
    <row r="6111">
      <c r="A6111" s="21"/>
      <c r="B6111" s="21" t="s">
        <v>12231</v>
      </c>
      <c r="D6111" s="25">
        <v>0.0</v>
      </c>
      <c r="E6111" s="27"/>
      <c r="F6111" s="25">
        <v>0.0</v>
      </c>
      <c r="G6111" s="27"/>
    </row>
    <row r="6112">
      <c r="A6112" s="21"/>
      <c r="B6112" s="21" t="s">
        <v>12232</v>
      </c>
      <c r="D6112" s="25">
        <v>0.0</v>
      </c>
      <c r="E6112" s="27"/>
      <c r="F6112" s="25">
        <v>0.0</v>
      </c>
      <c r="G6112" s="27"/>
    </row>
    <row r="6113">
      <c r="A6113" s="21"/>
      <c r="B6113" s="21" t="s">
        <v>12233</v>
      </c>
      <c r="D6113" s="25">
        <v>0.0</v>
      </c>
      <c r="E6113" s="27"/>
      <c r="F6113" s="25">
        <v>0.0</v>
      </c>
      <c r="G6113" s="27"/>
    </row>
    <row r="6114">
      <c r="A6114" s="21"/>
      <c r="B6114" s="21" t="s">
        <v>12234</v>
      </c>
      <c r="D6114" s="25">
        <v>0.0</v>
      </c>
      <c r="E6114" s="27"/>
      <c r="F6114" s="25">
        <v>0.0</v>
      </c>
      <c r="G6114" s="27"/>
    </row>
    <row r="6115">
      <c r="A6115" s="21"/>
      <c r="B6115" s="21" t="s">
        <v>12235</v>
      </c>
      <c r="D6115" s="25">
        <v>0.0</v>
      </c>
      <c r="E6115" s="27"/>
      <c r="F6115" s="25">
        <v>4.67</v>
      </c>
      <c r="G6115" s="27"/>
    </row>
    <row r="6116">
      <c r="A6116" s="21"/>
      <c r="B6116" s="21" t="s">
        <v>12236</v>
      </c>
      <c r="D6116" s="25">
        <v>0.0</v>
      </c>
      <c r="E6116" s="27"/>
      <c r="F6116" s="25">
        <v>0.0</v>
      </c>
      <c r="G6116" s="27"/>
    </row>
    <row r="6117">
      <c r="A6117" s="21"/>
      <c r="B6117" s="21" t="s">
        <v>12237</v>
      </c>
      <c r="D6117" s="25">
        <v>0.0</v>
      </c>
      <c r="E6117" s="27"/>
      <c r="F6117" s="25">
        <v>0.0</v>
      </c>
      <c r="G6117" s="27"/>
    </row>
    <row r="6118">
      <c r="A6118" s="21"/>
      <c r="B6118" s="21" t="s">
        <v>12238</v>
      </c>
      <c r="D6118" s="25">
        <v>0.0</v>
      </c>
      <c r="E6118" s="27"/>
      <c r="F6118" s="25">
        <v>0.0</v>
      </c>
      <c r="G6118" s="27"/>
    </row>
    <row r="6119">
      <c r="A6119" s="21"/>
      <c r="B6119" s="21" t="s">
        <v>12239</v>
      </c>
      <c r="D6119" s="25">
        <v>0.0</v>
      </c>
      <c r="E6119" s="27"/>
      <c r="F6119" s="25">
        <v>0.0</v>
      </c>
      <c r="G6119" s="27"/>
    </row>
    <row r="6120">
      <c r="A6120" s="21"/>
      <c r="B6120" s="21" t="s">
        <v>12240</v>
      </c>
      <c r="D6120" s="25">
        <v>0.0</v>
      </c>
      <c r="E6120" s="27"/>
      <c r="F6120" s="25">
        <v>0.0</v>
      </c>
      <c r="G6120" s="27"/>
    </row>
    <row r="6121">
      <c r="A6121" s="21"/>
      <c r="B6121" s="21" t="s">
        <v>12241</v>
      </c>
      <c r="D6121" s="25">
        <v>0.0</v>
      </c>
      <c r="E6121" s="27"/>
      <c r="F6121" s="25">
        <v>0.0</v>
      </c>
      <c r="G6121" s="27"/>
    </row>
    <row r="6122">
      <c r="A6122" s="21"/>
      <c r="B6122" s="21" t="s">
        <v>12242</v>
      </c>
      <c r="D6122" s="25">
        <v>0.0</v>
      </c>
      <c r="E6122" s="27"/>
      <c r="F6122" s="25">
        <v>0.0</v>
      </c>
      <c r="G6122" s="27"/>
    </row>
    <row r="6123">
      <c r="A6123" s="21"/>
      <c r="B6123" s="21" t="s">
        <v>12243</v>
      </c>
      <c r="D6123" s="25">
        <v>0.0</v>
      </c>
      <c r="E6123" s="27"/>
      <c r="F6123" s="25">
        <v>0.0</v>
      </c>
      <c r="G6123" s="27"/>
    </row>
    <row r="6124">
      <c r="A6124" s="21"/>
      <c r="B6124" s="21" t="s">
        <v>12244</v>
      </c>
      <c r="D6124" s="25">
        <v>0.0</v>
      </c>
      <c r="E6124" s="27"/>
      <c r="F6124" s="25">
        <v>0.0</v>
      </c>
      <c r="G6124" s="27"/>
    </row>
    <row r="6125">
      <c r="A6125" s="21"/>
      <c r="B6125" s="21" t="s">
        <v>12245</v>
      </c>
      <c r="D6125" s="25">
        <v>0.0</v>
      </c>
      <c r="E6125" s="27"/>
      <c r="F6125" s="25">
        <v>6.96</v>
      </c>
      <c r="G6125" s="27"/>
    </row>
    <row r="6126">
      <c r="A6126" s="21"/>
      <c r="B6126" s="21" t="s">
        <v>12246</v>
      </c>
      <c r="D6126" s="25">
        <v>0.0</v>
      </c>
      <c r="E6126" s="27"/>
      <c r="F6126" s="25">
        <v>0.0</v>
      </c>
      <c r="G6126" s="27"/>
    </row>
    <row r="6127">
      <c r="A6127" s="21"/>
      <c r="B6127" s="21" t="s">
        <v>12247</v>
      </c>
      <c r="D6127" s="25">
        <v>0.0</v>
      </c>
      <c r="E6127" s="27"/>
      <c r="F6127" s="25">
        <v>0.0</v>
      </c>
      <c r="G6127" s="27"/>
    </row>
    <row r="6128">
      <c r="A6128" s="21"/>
      <c r="B6128" s="21" t="s">
        <v>12248</v>
      </c>
      <c r="D6128" s="25">
        <v>0.0</v>
      </c>
      <c r="E6128" s="27"/>
      <c r="F6128" s="25">
        <v>0.0</v>
      </c>
      <c r="G6128" s="27"/>
    </row>
    <row r="6129">
      <c r="A6129" s="21"/>
      <c r="B6129" s="21" t="s">
        <v>12249</v>
      </c>
      <c r="D6129" s="25">
        <v>0.0</v>
      </c>
      <c r="E6129" s="27"/>
      <c r="F6129" s="25">
        <v>0.0</v>
      </c>
      <c r="G6129" s="27"/>
    </row>
    <row r="6130">
      <c r="A6130" s="21"/>
      <c r="B6130" s="21" t="s">
        <v>12250</v>
      </c>
      <c r="D6130" s="25">
        <v>0.0</v>
      </c>
      <c r="E6130" s="27"/>
      <c r="F6130" s="25">
        <v>0.0</v>
      </c>
      <c r="G6130" s="27"/>
    </row>
    <row r="6131">
      <c r="A6131" s="21"/>
      <c r="B6131" s="21" t="s">
        <v>12251</v>
      </c>
      <c r="D6131" s="25">
        <v>0.0</v>
      </c>
      <c r="E6131" s="27"/>
      <c r="F6131" s="25">
        <v>0.93</v>
      </c>
      <c r="G6131" s="27"/>
    </row>
    <row r="6132">
      <c r="A6132" s="21"/>
      <c r="B6132" s="21" t="s">
        <v>12252</v>
      </c>
      <c r="D6132" s="25">
        <v>0.0</v>
      </c>
      <c r="E6132" s="27"/>
      <c r="F6132" s="25">
        <v>0.0</v>
      </c>
      <c r="G6132" s="27"/>
    </row>
    <row r="6133">
      <c r="A6133" s="21"/>
      <c r="B6133" s="21" t="s">
        <v>12253</v>
      </c>
      <c r="D6133" s="25">
        <v>0.0</v>
      </c>
      <c r="E6133" s="27"/>
      <c r="F6133" s="25">
        <v>0.0</v>
      </c>
      <c r="G6133" s="27"/>
    </row>
    <row r="6134">
      <c r="A6134" s="21"/>
      <c r="B6134" s="21" t="s">
        <v>12254</v>
      </c>
      <c r="D6134" s="25">
        <v>0.0</v>
      </c>
      <c r="E6134" s="27"/>
      <c r="F6134" s="25">
        <v>0.0</v>
      </c>
      <c r="G6134" s="27"/>
    </row>
    <row r="6135">
      <c r="A6135" s="21"/>
      <c r="B6135" s="21" t="s">
        <v>12255</v>
      </c>
      <c r="D6135" s="25">
        <v>0.0</v>
      </c>
      <c r="E6135" s="27"/>
      <c r="F6135" s="25">
        <v>0.0</v>
      </c>
      <c r="G6135" s="27"/>
    </row>
    <row r="6136">
      <c r="A6136" s="21"/>
      <c r="B6136" s="21" t="s">
        <v>12256</v>
      </c>
      <c r="D6136" s="25">
        <v>0.0</v>
      </c>
      <c r="E6136" s="27"/>
      <c r="F6136" s="25">
        <v>7.17</v>
      </c>
      <c r="G6136" s="27"/>
    </row>
    <row r="6137">
      <c r="A6137" s="21"/>
      <c r="B6137" s="21" t="s">
        <v>12257</v>
      </c>
      <c r="D6137" s="25">
        <v>0.0</v>
      </c>
      <c r="E6137" s="27"/>
      <c r="F6137" s="25">
        <v>0.0</v>
      </c>
      <c r="G6137" s="27"/>
    </row>
    <row r="6138">
      <c r="A6138" s="21"/>
      <c r="B6138" s="21" t="s">
        <v>12258</v>
      </c>
      <c r="D6138" s="25">
        <v>0.0</v>
      </c>
      <c r="E6138" s="27"/>
      <c r="F6138" s="25">
        <v>3.87</v>
      </c>
      <c r="G6138" s="27"/>
    </row>
    <row r="6139">
      <c r="A6139" s="21"/>
      <c r="B6139" s="21" t="s">
        <v>12259</v>
      </c>
      <c r="D6139" s="25">
        <v>0.0</v>
      </c>
      <c r="E6139" s="27"/>
      <c r="F6139" s="25">
        <v>0.0</v>
      </c>
      <c r="G6139" s="27"/>
    </row>
    <row r="6140">
      <c r="A6140" s="21"/>
      <c r="B6140" s="21" t="s">
        <v>12260</v>
      </c>
      <c r="D6140" s="25">
        <v>0.0</v>
      </c>
      <c r="E6140" s="27"/>
      <c r="F6140" s="25">
        <v>0.0</v>
      </c>
      <c r="G6140" s="27"/>
    </row>
    <row r="6141">
      <c r="A6141" s="21"/>
      <c r="B6141" s="21" t="s">
        <v>12261</v>
      </c>
      <c r="D6141" s="25">
        <v>0.0</v>
      </c>
      <c r="E6141" s="27"/>
      <c r="F6141" s="25">
        <v>0.0</v>
      </c>
      <c r="G6141" s="27"/>
    </row>
    <row r="6142">
      <c r="A6142" s="21"/>
      <c r="B6142" s="21" t="s">
        <v>12262</v>
      </c>
      <c r="D6142" s="25">
        <v>0.0</v>
      </c>
      <c r="E6142" s="27"/>
      <c r="F6142" s="25">
        <v>0.0</v>
      </c>
      <c r="G6142" s="27"/>
    </row>
    <row r="6143">
      <c r="A6143" s="21"/>
      <c r="B6143" s="21" t="s">
        <v>12263</v>
      </c>
      <c r="D6143" s="25">
        <v>0.0</v>
      </c>
      <c r="E6143" s="27"/>
      <c r="F6143" s="25">
        <v>0.0</v>
      </c>
      <c r="G6143" s="27"/>
    </row>
    <row r="6144">
      <c r="A6144" s="21"/>
      <c r="B6144" s="21" t="s">
        <v>12264</v>
      </c>
      <c r="D6144" s="25">
        <v>0.0</v>
      </c>
      <c r="E6144" s="27"/>
      <c r="F6144" s="25">
        <v>0.0</v>
      </c>
      <c r="G6144" s="27"/>
    </row>
    <row r="6145">
      <c r="A6145" s="21"/>
      <c r="B6145" s="21" t="s">
        <v>12265</v>
      </c>
      <c r="D6145" s="25">
        <v>0.0</v>
      </c>
      <c r="E6145" s="27"/>
      <c r="F6145" s="25">
        <v>0.0</v>
      </c>
      <c r="G6145" s="27"/>
    </row>
    <row r="6146">
      <c r="A6146" s="21"/>
      <c r="B6146" s="21" t="s">
        <v>12266</v>
      </c>
      <c r="D6146" s="25">
        <v>0.0</v>
      </c>
      <c r="E6146" s="27"/>
      <c r="F6146" s="25">
        <v>0.0</v>
      </c>
      <c r="G6146" s="27"/>
    </row>
    <row r="6147">
      <c r="A6147" s="21"/>
      <c r="B6147" s="21" t="s">
        <v>12267</v>
      </c>
      <c r="D6147" s="25">
        <v>0.0</v>
      </c>
      <c r="E6147" s="27"/>
      <c r="F6147" s="25">
        <v>0.0</v>
      </c>
      <c r="G6147" s="27"/>
    </row>
    <row r="6148">
      <c r="A6148" s="21"/>
      <c r="B6148" s="21" t="s">
        <v>12268</v>
      </c>
      <c r="D6148" s="25">
        <v>0.0</v>
      </c>
      <c r="E6148" s="27"/>
      <c r="F6148" s="25">
        <v>0.0</v>
      </c>
      <c r="G6148" s="27"/>
    </row>
    <row r="6149">
      <c r="A6149" s="21"/>
      <c r="B6149" s="21" t="s">
        <v>12269</v>
      </c>
      <c r="D6149" s="25">
        <v>0.0</v>
      </c>
      <c r="E6149" s="27"/>
      <c r="F6149" s="25">
        <v>0.0</v>
      </c>
      <c r="G6149" s="27"/>
    </row>
    <row r="6150">
      <c r="A6150" s="21"/>
      <c r="B6150" s="21" t="s">
        <v>12270</v>
      </c>
      <c r="D6150" s="25">
        <v>0.0</v>
      </c>
      <c r="E6150" s="27"/>
      <c r="F6150" s="25">
        <v>0.0</v>
      </c>
      <c r="G6150" s="27"/>
    </row>
    <row r="6151">
      <c r="A6151" s="21"/>
      <c r="B6151" s="21" t="s">
        <v>12271</v>
      </c>
      <c r="D6151" s="25">
        <v>0.0</v>
      </c>
      <c r="E6151" s="27"/>
      <c r="F6151" s="25">
        <v>0.0</v>
      </c>
      <c r="G6151" s="27"/>
    </row>
    <row r="6152">
      <c r="A6152" s="21"/>
      <c r="B6152" s="21" t="s">
        <v>12272</v>
      </c>
      <c r="D6152" s="25">
        <v>0.0</v>
      </c>
      <c r="E6152" s="27"/>
      <c r="F6152" s="25">
        <v>0.0</v>
      </c>
      <c r="G6152" s="27"/>
    </row>
    <row r="6153">
      <c r="A6153" s="21"/>
      <c r="B6153" s="21" t="s">
        <v>12273</v>
      </c>
      <c r="D6153" s="25">
        <v>0.0</v>
      </c>
      <c r="E6153" s="27"/>
      <c r="F6153" s="25">
        <v>0.0</v>
      </c>
      <c r="G6153" s="27"/>
    </row>
    <row r="6154">
      <c r="A6154" s="21"/>
      <c r="B6154" s="21" t="s">
        <v>12274</v>
      </c>
      <c r="D6154" s="25">
        <v>0.0</v>
      </c>
      <c r="E6154" s="27"/>
      <c r="F6154" s="25">
        <v>0.0</v>
      </c>
      <c r="G6154" s="27"/>
    </row>
    <row r="6155">
      <c r="A6155" s="21"/>
      <c r="B6155" s="21" t="s">
        <v>12275</v>
      </c>
      <c r="D6155" s="25">
        <v>0.0</v>
      </c>
      <c r="E6155" s="27"/>
      <c r="F6155" s="25">
        <v>0.0</v>
      </c>
      <c r="G6155" s="27"/>
    </row>
    <row r="6156">
      <c r="A6156" s="21"/>
      <c r="B6156" s="21" t="s">
        <v>12276</v>
      </c>
      <c r="D6156" s="25">
        <v>0.0</v>
      </c>
      <c r="E6156" s="27"/>
      <c r="F6156" s="25">
        <v>0.0</v>
      </c>
      <c r="G6156" s="27"/>
    </row>
    <row r="6157">
      <c r="A6157" s="21"/>
      <c r="B6157" s="21" t="s">
        <v>12277</v>
      </c>
      <c r="D6157" s="25">
        <v>0.0</v>
      </c>
      <c r="E6157" s="27"/>
      <c r="F6157" s="25">
        <v>0.0</v>
      </c>
      <c r="G6157" s="27"/>
    </row>
    <row r="6158">
      <c r="A6158" s="21"/>
      <c r="B6158" s="21" t="s">
        <v>12278</v>
      </c>
      <c r="D6158" s="25">
        <v>0.0</v>
      </c>
      <c r="E6158" s="27"/>
      <c r="F6158" s="25">
        <v>0.0</v>
      </c>
      <c r="G6158" s="27"/>
    </row>
    <row r="6159">
      <c r="A6159" s="21"/>
      <c r="B6159" s="21" t="s">
        <v>12279</v>
      </c>
      <c r="D6159" s="25">
        <v>0.0</v>
      </c>
      <c r="E6159" s="27"/>
      <c r="F6159" s="25">
        <v>0.0</v>
      </c>
      <c r="G6159" s="27"/>
    </row>
    <row r="6160">
      <c r="A6160" s="21"/>
      <c r="B6160" s="21" t="s">
        <v>12280</v>
      </c>
      <c r="D6160" s="25">
        <v>0.0</v>
      </c>
      <c r="E6160" s="27"/>
      <c r="F6160" s="25">
        <v>0.0</v>
      </c>
      <c r="G6160" s="27"/>
    </row>
    <row r="6161">
      <c r="A6161" s="21"/>
      <c r="B6161" s="21" t="s">
        <v>12281</v>
      </c>
      <c r="D6161" s="25">
        <v>0.0</v>
      </c>
      <c r="E6161" s="27"/>
      <c r="F6161" s="25">
        <v>0.0</v>
      </c>
      <c r="G6161" s="27"/>
    </row>
    <row r="6162">
      <c r="A6162" s="21"/>
      <c r="B6162" s="21" t="s">
        <v>12282</v>
      </c>
      <c r="D6162" s="25">
        <v>0.0</v>
      </c>
      <c r="E6162" s="27"/>
      <c r="F6162" s="25">
        <v>0.0</v>
      </c>
      <c r="G6162" s="27"/>
    </row>
    <row r="6163">
      <c r="A6163" s="21"/>
      <c r="B6163" s="21" t="s">
        <v>12283</v>
      </c>
      <c r="D6163" s="25">
        <v>0.0</v>
      </c>
      <c r="E6163" s="27"/>
      <c r="F6163" s="25">
        <v>0.0</v>
      </c>
      <c r="G6163" s="27"/>
    </row>
    <row r="6164">
      <c r="A6164" s="21"/>
      <c r="B6164" s="21" t="s">
        <v>12284</v>
      </c>
      <c r="D6164" s="25">
        <v>0.0</v>
      </c>
      <c r="E6164" s="27"/>
      <c r="F6164" s="25">
        <v>0.0</v>
      </c>
      <c r="G6164" s="27"/>
    </row>
    <row r="6165">
      <c r="A6165" s="21"/>
      <c r="B6165" s="21" t="s">
        <v>12285</v>
      </c>
      <c r="D6165" s="25">
        <v>0.0</v>
      </c>
      <c r="E6165" s="27"/>
      <c r="F6165" s="25">
        <v>0.0</v>
      </c>
      <c r="G6165" s="27"/>
    </row>
    <row r="6166">
      <c r="A6166" s="21"/>
      <c r="B6166" s="21" t="s">
        <v>12286</v>
      </c>
      <c r="D6166" s="25">
        <v>0.0</v>
      </c>
      <c r="E6166" s="27"/>
      <c r="F6166" s="25">
        <v>0.0</v>
      </c>
      <c r="G6166" s="27"/>
    </row>
    <row r="6167">
      <c r="A6167" s="21"/>
      <c r="B6167" s="21" t="s">
        <v>12287</v>
      </c>
      <c r="D6167" s="25">
        <v>0.0</v>
      </c>
      <c r="E6167" s="27"/>
      <c r="F6167" s="25">
        <v>0.0</v>
      </c>
      <c r="G6167" s="27"/>
    </row>
    <row r="6168">
      <c r="A6168" s="21"/>
      <c r="B6168" s="21" t="s">
        <v>12288</v>
      </c>
      <c r="D6168" s="25">
        <v>0.0</v>
      </c>
      <c r="E6168" s="27"/>
      <c r="F6168" s="25">
        <v>0.0</v>
      </c>
      <c r="G6168" s="27"/>
    </row>
    <row r="6169">
      <c r="A6169" s="21"/>
      <c r="B6169" s="21" t="s">
        <v>12289</v>
      </c>
      <c r="D6169" s="25">
        <v>0.0</v>
      </c>
      <c r="E6169" s="27"/>
      <c r="F6169" s="25">
        <v>0.0</v>
      </c>
      <c r="G6169" s="27"/>
    </row>
    <row r="6170">
      <c r="A6170" s="21"/>
      <c r="B6170" s="21" t="s">
        <v>12290</v>
      </c>
      <c r="D6170" s="25">
        <v>0.0</v>
      </c>
      <c r="E6170" s="27"/>
      <c r="F6170" s="25">
        <v>0.0</v>
      </c>
      <c r="G6170" s="27"/>
    </row>
    <row r="6171">
      <c r="A6171" s="21"/>
      <c r="B6171" s="21" t="s">
        <v>12291</v>
      </c>
      <c r="D6171" s="25">
        <v>0.0</v>
      </c>
      <c r="E6171" s="27"/>
      <c r="F6171" s="25">
        <v>0.0</v>
      </c>
      <c r="G6171" s="27"/>
    </row>
    <row r="6172">
      <c r="A6172" s="21"/>
      <c r="B6172" s="21" t="s">
        <v>12292</v>
      </c>
      <c r="D6172" s="25">
        <v>0.0</v>
      </c>
      <c r="E6172" s="27"/>
      <c r="F6172" s="25">
        <v>0.0</v>
      </c>
      <c r="G6172" s="27"/>
    </row>
    <row r="6173">
      <c r="A6173" s="21"/>
      <c r="B6173" s="21" t="s">
        <v>12293</v>
      </c>
      <c r="D6173" s="25">
        <v>0.0</v>
      </c>
      <c r="E6173" s="27"/>
      <c r="F6173" s="25">
        <v>0.0</v>
      </c>
      <c r="G6173" s="27"/>
    </row>
    <row r="6174">
      <c r="A6174" s="21"/>
      <c r="B6174" s="21" t="s">
        <v>12294</v>
      </c>
      <c r="D6174" s="25">
        <v>0.0</v>
      </c>
      <c r="E6174" s="27"/>
      <c r="F6174" s="25">
        <v>0.0</v>
      </c>
      <c r="G6174" s="27"/>
    </row>
    <row r="6175">
      <c r="A6175" s="21"/>
      <c r="B6175" s="21" t="s">
        <v>12295</v>
      </c>
      <c r="D6175" s="25">
        <v>0.0</v>
      </c>
      <c r="E6175" s="27"/>
      <c r="F6175" s="25">
        <v>0.0</v>
      </c>
      <c r="G6175" s="27"/>
    </row>
    <row r="6176">
      <c r="A6176" s="21"/>
      <c r="B6176" s="21" t="s">
        <v>12296</v>
      </c>
      <c r="D6176" s="25">
        <v>0.0</v>
      </c>
      <c r="E6176" s="27"/>
      <c r="F6176" s="25">
        <v>0.0</v>
      </c>
      <c r="G6176" s="27"/>
    </row>
    <row r="6177">
      <c r="A6177" s="21"/>
      <c r="B6177" s="21" t="s">
        <v>12297</v>
      </c>
      <c r="D6177" s="25">
        <v>0.0</v>
      </c>
      <c r="E6177" s="27"/>
      <c r="F6177" s="25">
        <v>0.0</v>
      </c>
      <c r="G6177" s="27"/>
    </row>
    <row r="6178">
      <c r="A6178" s="21"/>
      <c r="B6178" s="21" t="s">
        <v>12298</v>
      </c>
      <c r="D6178" s="25">
        <v>0.0</v>
      </c>
      <c r="E6178" s="27"/>
      <c r="F6178" s="25">
        <v>0.0</v>
      </c>
      <c r="G6178" s="27"/>
    </row>
    <row r="6179">
      <c r="A6179" s="21"/>
      <c r="B6179" s="21" t="s">
        <v>12299</v>
      </c>
      <c r="D6179" s="25">
        <v>0.0</v>
      </c>
      <c r="E6179" s="27"/>
      <c r="F6179" s="25">
        <v>1.97</v>
      </c>
      <c r="G6179" s="27"/>
    </row>
    <row r="6180">
      <c r="A6180" s="21"/>
      <c r="B6180" s="21" t="s">
        <v>12300</v>
      </c>
      <c r="D6180" s="25">
        <v>0.0</v>
      </c>
      <c r="E6180" s="27"/>
      <c r="F6180" s="25">
        <v>0.0</v>
      </c>
      <c r="G6180" s="27"/>
    </row>
    <row r="6181">
      <c r="A6181" s="21"/>
      <c r="B6181" s="21" t="s">
        <v>12301</v>
      </c>
      <c r="D6181" s="25">
        <v>0.0</v>
      </c>
      <c r="E6181" s="27"/>
      <c r="F6181" s="25">
        <v>0.0</v>
      </c>
      <c r="G6181" s="27"/>
    </row>
    <row r="6182">
      <c r="A6182" s="21"/>
      <c r="B6182" s="21" t="s">
        <v>12302</v>
      </c>
      <c r="D6182" s="25">
        <v>0.0</v>
      </c>
      <c r="E6182" s="27"/>
      <c r="F6182" s="25">
        <v>0.0</v>
      </c>
      <c r="G6182" s="27"/>
    </row>
    <row r="6183">
      <c r="A6183" s="21"/>
      <c r="B6183" s="21" t="s">
        <v>12303</v>
      </c>
      <c r="D6183" s="25">
        <v>0.0</v>
      </c>
      <c r="E6183" s="27"/>
      <c r="F6183" s="25">
        <v>0.0</v>
      </c>
      <c r="G6183" s="27"/>
    </row>
    <row r="6184">
      <c r="A6184" s="21"/>
      <c r="B6184" s="21" t="s">
        <v>12304</v>
      </c>
      <c r="D6184" s="25">
        <v>0.0</v>
      </c>
      <c r="E6184" s="27"/>
      <c r="F6184" s="25">
        <v>0.0</v>
      </c>
      <c r="G6184" s="27"/>
    </row>
    <row r="6185">
      <c r="A6185" s="21"/>
      <c r="B6185" s="21" t="s">
        <v>12305</v>
      </c>
      <c r="D6185" s="25">
        <v>0.0</v>
      </c>
      <c r="E6185" s="27"/>
      <c r="F6185" s="25">
        <v>0.0</v>
      </c>
      <c r="G6185" s="27"/>
    </row>
    <row r="6186">
      <c r="A6186" s="21"/>
      <c r="B6186" s="21" t="s">
        <v>12306</v>
      </c>
      <c r="D6186" s="25">
        <v>0.0</v>
      </c>
      <c r="E6186" s="27"/>
      <c r="F6186" s="25">
        <v>0.0</v>
      </c>
      <c r="G6186" s="27"/>
    </row>
    <row r="6187">
      <c r="A6187" s="21"/>
      <c r="B6187" s="21" t="s">
        <v>12307</v>
      </c>
      <c r="D6187" s="25">
        <v>0.0</v>
      </c>
      <c r="E6187" s="27"/>
      <c r="F6187" s="25">
        <v>0.0</v>
      </c>
      <c r="G6187" s="27"/>
    </row>
    <row r="6188">
      <c r="A6188" s="21"/>
      <c r="B6188" s="21" t="s">
        <v>12308</v>
      </c>
      <c r="D6188" s="25">
        <v>0.0</v>
      </c>
      <c r="E6188" s="27"/>
      <c r="F6188" s="25">
        <v>0.0</v>
      </c>
      <c r="G6188" s="27"/>
    </row>
    <row r="6189">
      <c r="A6189" s="21"/>
      <c r="B6189" s="21" t="s">
        <v>12309</v>
      </c>
      <c r="D6189" s="25">
        <v>0.0</v>
      </c>
      <c r="E6189" s="27"/>
      <c r="F6189" s="25">
        <v>0.0</v>
      </c>
      <c r="G6189" s="27"/>
    </row>
    <row r="6190">
      <c r="A6190" s="21"/>
      <c r="B6190" s="21" t="s">
        <v>12310</v>
      </c>
      <c r="D6190" s="25">
        <v>0.0</v>
      </c>
      <c r="E6190" s="27"/>
      <c r="F6190" s="25">
        <v>0.0</v>
      </c>
      <c r="G6190" s="27"/>
    </row>
    <row r="6191">
      <c r="A6191" s="21"/>
      <c r="B6191" s="21" t="s">
        <v>12311</v>
      </c>
      <c r="D6191" s="25">
        <v>0.0</v>
      </c>
      <c r="E6191" s="27"/>
      <c r="F6191" s="25">
        <v>0.0</v>
      </c>
      <c r="G6191" s="27"/>
    </row>
    <row r="6192">
      <c r="A6192" s="21"/>
      <c r="B6192" s="21" t="s">
        <v>12312</v>
      </c>
      <c r="D6192" s="25">
        <v>0.0</v>
      </c>
      <c r="E6192" s="27"/>
      <c r="F6192" s="25">
        <v>0.0</v>
      </c>
      <c r="G6192" s="27"/>
    </row>
    <row r="6193">
      <c r="A6193" s="21"/>
      <c r="B6193" s="21" t="s">
        <v>12313</v>
      </c>
      <c r="D6193" s="25">
        <v>0.0</v>
      </c>
      <c r="E6193" s="27"/>
      <c r="F6193" s="25">
        <v>0.0</v>
      </c>
      <c r="G6193" s="27"/>
    </row>
    <row r="6194">
      <c r="A6194" s="21"/>
      <c r="B6194" s="21" t="s">
        <v>12314</v>
      </c>
      <c r="D6194" s="25">
        <v>0.0</v>
      </c>
      <c r="E6194" s="27"/>
      <c r="F6194" s="25">
        <v>4.77</v>
      </c>
      <c r="G6194" s="27"/>
    </row>
    <row r="6195">
      <c r="A6195" s="21"/>
      <c r="B6195" s="21" t="s">
        <v>12315</v>
      </c>
      <c r="D6195" s="25">
        <v>0.0</v>
      </c>
      <c r="E6195" s="27"/>
      <c r="F6195" s="25">
        <v>0.0</v>
      </c>
      <c r="G6195" s="27"/>
    </row>
    <row r="6196">
      <c r="A6196" s="21"/>
      <c r="B6196" s="21" t="s">
        <v>12316</v>
      </c>
      <c r="D6196" s="25">
        <v>0.0</v>
      </c>
      <c r="E6196" s="27"/>
      <c r="F6196" s="25">
        <v>0.0</v>
      </c>
      <c r="G6196" s="27"/>
    </row>
    <row r="6197">
      <c r="A6197" s="21"/>
      <c r="B6197" s="21" t="s">
        <v>12317</v>
      </c>
      <c r="D6197" s="25">
        <v>0.0</v>
      </c>
      <c r="E6197" s="27"/>
      <c r="F6197" s="25">
        <v>0.0</v>
      </c>
      <c r="G6197" s="27"/>
    </row>
    <row r="6198">
      <c r="A6198" s="21"/>
      <c r="B6198" s="21" t="s">
        <v>12318</v>
      </c>
      <c r="D6198" s="25">
        <v>0.0</v>
      </c>
      <c r="E6198" s="27"/>
      <c r="F6198" s="25">
        <v>0.0</v>
      </c>
      <c r="G6198" s="27"/>
    </row>
    <row r="6199">
      <c r="A6199" s="21"/>
      <c r="B6199" s="21" t="s">
        <v>12319</v>
      </c>
      <c r="D6199" s="25">
        <v>0.0</v>
      </c>
      <c r="E6199" s="27"/>
      <c r="F6199" s="25">
        <v>0.0</v>
      </c>
      <c r="G6199" s="27"/>
    </row>
    <row r="6200">
      <c r="A6200" s="21"/>
      <c r="B6200" s="21" t="s">
        <v>12320</v>
      </c>
      <c r="D6200" s="25">
        <v>0.0</v>
      </c>
      <c r="E6200" s="27"/>
      <c r="F6200" s="25">
        <v>0.0</v>
      </c>
      <c r="G6200" s="27"/>
    </row>
    <row r="6201">
      <c r="A6201" s="21"/>
      <c r="B6201" s="21" t="s">
        <v>12321</v>
      </c>
      <c r="D6201" s="25">
        <v>0.0</v>
      </c>
      <c r="E6201" s="27"/>
      <c r="F6201" s="25">
        <v>0.0</v>
      </c>
      <c r="G6201" s="27"/>
    </row>
    <row r="6202">
      <c r="A6202" s="21"/>
      <c r="B6202" s="21" t="s">
        <v>12322</v>
      </c>
      <c r="D6202" s="25">
        <v>0.0</v>
      </c>
      <c r="E6202" s="27"/>
      <c r="F6202" s="25">
        <v>0.0</v>
      </c>
      <c r="G6202" s="27"/>
    </row>
    <row r="6203">
      <c r="A6203" s="21"/>
      <c r="B6203" s="21" t="s">
        <v>12323</v>
      </c>
      <c r="D6203" s="25">
        <v>0.0</v>
      </c>
      <c r="E6203" s="27"/>
      <c r="F6203" s="25">
        <v>0.0</v>
      </c>
      <c r="G6203" s="27"/>
    </row>
    <row r="6204">
      <c r="A6204" s="21"/>
      <c r="B6204" s="21" t="s">
        <v>12324</v>
      </c>
      <c r="D6204" s="25">
        <v>0.0</v>
      </c>
      <c r="E6204" s="27"/>
      <c r="F6204" s="25">
        <v>0.0</v>
      </c>
      <c r="G6204" s="27"/>
    </row>
    <row r="6205">
      <c r="A6205" s="21"/>
      <c r="B6205" s="21" t="s">
        <v>12325</v>
      </c>
      <c r="D6205" s="25">
        <v>0.0</v>
      </c>
      <c r="E6205" s="27"/>
      <c r="F6205" s="25">
        <v>0.0</v>
      </c>
      <c r="G6205" s="27"/>
    </row>
    <row r="6206">
      <c r="A6206" s="21"/>
      <c r="B6206" s="21" t="s">
        <v>12326</v>
      </c>
      <c r="D6206" s="25">
        <v>0.0</v>
      </c>
      <c r="E6206" s="27"/>
      <c r="F6206" s="25">
        <v>0.0</v>
      </c>
      <c r="G6206" s="27"/>
    </row>
    <row r="6207">
      <c r="A6207" s="21"/>
      <c r="B6207" s="21" t="s">
        <v>12327</v>
      </c>
      <c r="D6207" s="25">
        <v>0.0</v>
      </c>
      <c r="E6207" s="27"/>
      <c r="F6207" s="25">
        <v>0.0</v>
      </c>
      <c r="G6207" s="27"/>
    </row>
    <row r="6208">
      <c r="A6208" s="21"/>
      <c r="B6208" s="21" t="s">
        <v>12328</v>
      </c>
      <c r="D6208" s="25">
        <v>0.0</v>
      </c>
      <c r="E6208" s="27"/>
      <c r="F6208" s="25">
        <v>0.0</v>
      </c>
      <c r="G6208" s="27"/>
    </row>
    <row r="6209">
      <c r="A6209" s="21"/>
      <c r="B6209" s="21" t="s">
        <v>12329</v>
      </c>
      <c r="D6209" s="25">
        <v>0.0</v>
      </c>
      <c r="E6209" s="27"/>
      <c r="F6209" s="25">
        <v>0.0</v>
      </c>
      <c r="G6209" s="27"/>
    </row>
    <row r="6210">
      <c r="A6210" s="21"/>
      <c r="B6210" s="21" t="s">
        <v>12330</v>
      </c>
      <c r="D6210" s="25">
        <v>0.0</v>
      </c>
      <c r="E6210" s="27"/>
      <c r="F6210" s="25">
        <v>0.0</v>
      </c>
      <c r="G6210" s="27"/>
    </row>
    <row r="6211">
      <c r="A6211" s="21"/>
      <c r="B6211" s="21" t="s">
        <v>12331</v>
      </c>
      <c r="D6211" s="25">
        <v>0.0</v>
      </c>
      <c r="E6211" s="27"/>
      <c r="F6211" s="25">
        <v>0.0</v>
      </c>
      <c r="G6211" s="27"/>
    </row>
    <row r="6212">
      <c r="A6212" s="21"/>
      <c r="B6212" s="21" t="s">
        <v>12332</v>
      </c>
      <c r="D6212" s="25">
        <v>0.0</v>
      </c>
      <c r="E6212" s="27"/>
      <c r="F6212" s="25">
        <v>0.0</v>
      </c>
      <c r="G6212" s="27"/>
    </row>
    <row r="6213">
      <c r="A6213" s="21"/>
      <c r="B6213" s="21" t="s">
        <v>12333</v>
      </c>
      <c r="D6213" s="25">
        <v>0.0</v>
      </c>
      <c r="E6213" s="27"/>
      <c r="F6213" s="25">
        <v>0.0</v>
      </c>
      <c r="G6213" s="27"/>
    </row>
    <row r="6214">
      <c r="A6214" s="21"/>
      <c r="B6214" s="21" t="s">
        <v>12334</v>
      </c>
      <c r="D6214" s="25">
        <v>0.0</v>
      </c>
      <c r="E6214" s="27"/>
      <c r="F6214" s="25">
        <v>0.0</v>
      </c>
      <c r="G6214" s="27"/>
    </row>
    <row r="6215">
      <c r="A6215" s="21"/>
      <c r="B6215" s="21" t="s">
        <v>12335</v>
      </c>
      <c r="D6215" s="25">
        <v>0.0</v>
      </c>
      <c r="E6215" s="27"/>
      <c r="F6215" s="25">
        <v>0.0</v>
      </c>
      <c r="G6215" s="27"/>
    </row>
    <row r="6216">
      <c r="A6216" s="21"/>
      <c r="B6216" s="21" t="s">
        <v>12336</v>
      </c>
      <c r="D6216" s="25">
        <v>0.0</v>
      </c>
      <c r="E6216" s="27"/>
      <c r="F6216" s="25">
        <v>0.0</v>
      </c>
      <c r="G6216" s="27"/>
    </row>
    <row r="6217">
      <c r="A6217" s="21"/>
      <c r="B6217" s="21" t="s">
        <v>12337</v>
      </c>
      <c r="D6217" s="25">
        <v>0.0</v>
      </c>
      <c r="E6217" s="27"/>
      <c r="F6217" s="25">
        <v>0.0</v>
      </c>
      <c r="G6217" s="27"/>
    </row>
    <row r="6218">
      <c r="A6218" s="21"/>
      <c r="B6218" s="21" t="s">
        <v>12338</v>
      </c>
      <c r="D6218" s="25">
        <v>0.0</v>
      </c>
      <c r="E6218" s="27"/>
      <c r="F6218" s="25">
        <v>0.0</v>
      </c>
      <c r="G6218" s="27"/>
    </row>
    <row r="6219">
      <c r="A6219" s="21"/>
      <c r="B6219" s="21" t="s">
        <v>12339</v>
      </c>
      <c r="D6219" s="25">
        <v>0.0</v>
      </c>
      <c r="E6219" s="27"/>
      <c r="F6219" s="25">
        <v>0.0</v>
      </c>
      <c r="G6219" s="27"/>
    </row>
    <row r="6220">
      <c r="A6220" s="21"/>
      <c r="B6220" s="21" t="s">
        <v>12340</v>
      </c>
      <c r="D6220" s="25">
        <v>0.0</v>
      </c>
      <c r="E6220" s="27"/>
      <c r="F6220" s="25">
        <v>0.0</v>
      </c>
      <c r="G6220" s="27"/>
    </row>
    <row r="6221">
      <c r="A6221" s="21"/>
      <c r="B6221" s="21" t="s">
        <v>12341</v>
      </c>
      <c r="D6221" s="25">
        <v>0.0</v>
      </c>
      <c r="E6221" s="27"/>
      <c r="F6221" s="25">
        <v>0.0</v>
      </c>
      <c r="G6221" s="27"/>
    </row>
    <row r="6222">
      <c r="A6222" s="21"/>
      <c r="B6222" s="21" t="s">
        <v>12342</v>
      </c>
      <c r="D6222" s="25">
        <v>0.0</v>
      </c>
      <c r="E6222" s="27"/>
      <c r="F6222" s="25">
        <v>0.0</v>
      </c>
      <c r="G6222" s="27"/>
    </row>
    <row r="6223">
      <c r="A6223" s="21"/>
      <c r="B6223" s="21" t="s">
        <v>12343</v>
      </c>
      <c r="D6223" s="25">
        <v>0.0</v>
      </c>
      <c r="E6223" s="27"/>
      <c r="F6223" s="25">
        <v>0.0</v>
      </c>
      <c r="G6223" s="27"/>
    </row>
    <row r="6224">
      <c r="A6224" s="21"/>
      <c r="B6224" s="21" t="s">
        <v>12344</v>
      </c>
      <c r="C6224" s="27"/>
      <c r="D6224" s="25">
        <v>0.0</v>
      </c>
      <c r="E6224" s="27"/>
      <c r="F6224" s="25">
        <v>0.0</v>
      </c>
      <c r="G6224" s="27"/>
    </row>
    <row r="6225">
      <c r="A6225" s="21"/>
      <c r="B6225" s="21" t="s">
        <v>12345</v>
      </c>
      <c r="D6225" s="25">
        <v>0.0</v>
      </c>
      <c r="E6225" s="27"/>
      <c r="F6225" s="25">
        <v>0.0</v>
      </c>
      <c r="G6225" s="27"/>
    </row>
    <row r="6226">
      <c r="A6226" s="21"/>
      <c r="B6226" s="21" t="s">
        <v>12346</v>
      </c>
      <c r="D6226" s="25">
        <v>0.0</v>
      </c>
      <c r="E6226" s="27"/>
      <c r="F6226" s="25">
        <v>0.0</v>
      </c>
      <c r="G6226" s="27"/>
    </row>
    <row r="6227">
      <c r="A6227" s="21"/>
      <c r="B6227" s="21" t="s">
        <v>12347</v>
      </c>
      <c r="D6227" s="25">
        <v>0.0</v>
      </c>
      <c r="E6227" s="27"/>
      <c r="F6227" s="25">
        <v>0.0</v>
      </c>
      <c r="G6227" s="27"/>
    </row>
    <row r="6228">
      <c r="A6228" s="21"/>
      <c r="B6228" s="21" t="s">
        <v>12348</v>
      </c>
      <c r="D6228" s="25">
        <v>0.0</v>
      </c>
      <c r="E6228" s="27"/>
      <c r="F6228" s="25">
        <v>0.0</v>
      </c>
      <c r="G6228" s="27"/>
    </row>
    <row r="6229">
      <c r="A6229" s="21"/>
      <c r="B6229" s="21" t="s">
        <v>12349</v>
      </c>
      <c r="D6229" s="25">
        <v>0.0</v>
      </c>
      <c r="E6229" s="27"/>
      <c r="F6229" s="25">
        <v>0.0</v>
      </c>
      <c r="G6229" s="27"/>
    </row>
    <row r="6230">
      <c r="A6230" s="21"/>
      <c r="B6230" s="21" t="s">
        <v>12350</v>
      </c>
      <c r="D6230" s="25">
        <v>0.0</v>
      </c>
      <c r="E6230" s="27"/>
      <c r="F6230" s="25">
        <v>0.0</v>
      </c>
      <c r="G6230" s="27"/>
    </row>
    <row r="6231">
      <c r="A6231" s="21"/>
      <c r="B6231" s="21" t="s">
        <v>12351</v>
      </c>
      <c r="D6231" s="25">
        <v>0.0</v>
      </c>
      <c r="E6231" s="27"/>
      <c r="F6231" s="25">
        <v>0.0</v>
      </c>
      <c r="G6231" s="27"/>
    </row>
    <row r="6232">
      <c r="A6232" s="21"/>
      <c r="B6232" s="21" t="s">
        <v>12352</v>
      </c>
      <c r="D6232" s="25">
        <v>0.0</v>
      </c>
      <c r="E6232" s="27"/>
      <c r="F6232" s="25">
        <v>0.0</v>
      </c>
      <c r="G6232" s="27"/>
    </row>
    <row r="6233">
      <c r="A6233" s="21"/>
      <c r="B6233" s="21" t="s">
        <v>12353</v>
      </c>
      <c r="D6233" s="25">
        <v>0.0</v>
      </c>
      <c r="E6233" s="27"/>
      <c r="F6233" s="25">
        <v>0.0</v>
      </c>
      <c r="G6233" s="27"/>
    </row>
    <row r="6234">
      <c r="A6234" s="21"/>
      <c r="B6234" s="21" t="s">
        <v>12354</v>
      </c>
      <c r="D6234" s="25">
        <v>0.0</v>
      </c>
      <c r="E6234" s="27"/>
      <c r="F6234" s="25">
        <v>0.0</v>
      </c>
      <c r="G6234" s="27"/>
    </row>
    <row r="6235">
      <c r="A6235" s="21"/>
      <c r="B6235" s="21" t="s">
        <v>12355</v>
      </c>
      <c r="D6235" s="25">
        <v>0.0</v>
      </c>
      <c r="E6235" s="27"/>
      <c r="F6235" s="25">
        <v>1.55</v>
      </c>
      <c r="G6235" s="27"/>
    </row>
    <row r="6236">
      <c r="A6236" s="21"/>
      <c r="B6236" s="21" t="s">
        <v>12356</v>
      </c>
      <c r="D6236" s="25">
        <v>0.0</v>
      </c>
      <c r="E6236" s="27"/>
      <c r="F6236" s="25">
        <v>0.0</v>
      </c>
      <c r="G6236" s="27"/>
    </row>
    <row r="6237">
      <c r="A6237" s="21"/>
      <c r="B6237" s="21" t="s">
        <v>12357</v>
      </c>
      <c r="D6237" s="25">
        <v>0.0</v>
      </c>
      <c r="E6237" s="27"/>
      <c r="F6237" s="25">
        <v>0.0</v>
      </c>
      <c r="G6237" s="27"/>
    </row>
    <row r="6238">
      <c r="A6238" s="21"/>
      <c r="B6238" s="21" t="s">
        <v>12358</v>
      </c>
      <c r="D6238" s="25">
        <v>0.0</v>
      </c>
      <c r="E6238" s="27"/>
      <c r="F6238" s="25">
        <v>0.0</v>
      </c>
      <c r="G6238" s="27"/>
    </row>
    <row r="6239">
      <c r="A6239" s="21"/>
      <c r="B6239" s="21" t="s">
        <v>12359</v>
      </c>
      <c r="D6239" s="25">
        <v>0.0</v>
      </c>
      <c r="E6239" s="27"/>
      <c r="F6239" s="25">
        <v>0.0</v>
      </c>
      <c r="G6239" s="27"/>
    </row>
    <row r="6240">
      <c r="A6240" s="21"/>
      <c r="B6240" s="21" t="s">
        <v>12360</v>
      </c>
      <c r="D6240" s="25">
        <v>0.0</v>
      </c>
      <c r="E6240" s="27"/>
      <c r="F6240" s="25">
        <v>0.0</v>
      </c>
      <c r="G6240" s="27"/>
    </row>
    <row r="6241">
      <c r="A6241" s="21"/>
      <c r="B6241" s="21" t="s">
        <v>12361</v>
      </c>
      <c r="D6241" s="25">
        <v>0.0</v>
      </c>
      <c r="E6241" s="27"/>
      <c r="F6241" s="25">
        <v>0.0</v>
      </c>
      <c r="G6241" s="27"/>
    </row>
    <row r="6242">
      <c r="A6242" s="21"/>
      <c r="B6242" s="21" t="s">
        <v>12362</v>
      </c>
      <c r="D6242" s="25">
        <v>0.0</v>
      </c>
      <c r="E6242" s="27"/>
      <c r="F6242" s="25">
        <v>0.0</v>
      </c>
      <c r="G6242" s="27"/>
    </row>
    <row r="6243">
      <c r="A6243" s="21"/>
      <c r="B6243" s="21" t="s">
        <v>12363</v>
      </c>
      <c r="D6243" s="25">
        <v>0.0</v>
      </c>
      <c r="E6243" s="27"/>
      <c r="F6243" s="25">
        <v>0.0</v>
      </c>
      <c r="G6243" s="27"/>
    </row>
    <row r="6244">
      <c r="A6244" s="21"/>
      <c r="B6244" s="21" t="s">
        <v>12364</v>
      </c>
      <c r="D6244" s="25">
        <v>0.0</v>
      </c>
      <c r="E6244" s="27"/>
      <c r="F6244" s="25">
        <v>0.0</v>
      </c>
      <c r="G6244" s="27"/>
    </row>
    <row r="6245">
      <c r="A6245" s="21"/>
      <c r="B6245" s="21" t="s">
        <v>12365</v>
      </c>
      <c r="D6245" s="25">
        <v>0.0</v>
      </c>
      <c r="E6245" s="27"/>
      <c r="F6245" s="25">
        <v>0.0</v>
      </c>
      <c r="G6245" s="27"/>
    </row>
    <row r="6246">
      <c r="A6246" s="21"/>
      <c r="B6246" s="21" t="s">
        <v>12366</v>
      </c>
      <c r="D6246" s="25">
        <v>0.0</v>
      </c>
      <c r="E6246" s="27"/>
      <c r="F6246" s="25">
        <v>0.0</v>
      </c>
      <c r="G6246" s="27"/>
    </row>
    <row r="6247">
      <c r="A6247" s="21"/>
      <c r="B6247" s="21" t="s">
        <v>12367</v>
      </c>
      <c r="D6247" s="25">
        <v>0.0</v>
      </c>
      <c r="E6247" s="27"/>
      <c r="F6247" s="25">
        <v>0.0</v>
      </c>
      <c r="G6247" s="27"/>
    </row>
    <row r="6248">
      <c r="A6248" s="21"/>
      <c r="B6248" s="21" t="s">
        <v>12368</v>
      </c>
      <c r="D6248" s="25">
        <v>0.0</v>
      </c>
      <c r="E6248" s="27"/>
      <c r="F6248" s="25">
        <v>0.0</v>
      </c>
      <c r="G6248" s="27"/>
    </row>
    <row r="6249">
      <c r="A6249" s="21"/>
      <c r="B6249" s="21" t="s">
        <v>12369</v>
      </c>
      <c r="D6249" s="25">
        <v>0.0</v>
      </c>
      <c r="E6249" s="27"/>
      <c r="F6249" s="25">
        <v>0.0</v>
      </c>
      <c r="G6249" s="27"/>
    </row>
    <row r="6250">
      <c r="A6250" s="21"/>
      <c r="B6250" s="21" t="s">
        <v>12370</v>
      </c>
      <c r="D6250" s="25">
        <v>0.0</v>
      </c>
      <c r="E6250" s="27"/>
      <c r="F6250" s="25">
        <v>0.0</v>
      </c>
      <c r="G6250" s="27"/>
    </row>
    <row r="6251">
      <c r="A6251" s="21"/>
      <c r="B6251" s="21" t="s">
        <v>12371</v>
      </c>
      <c r="D6251" s="25">
        <v>0.0</v>
      </c>
      <c r="E6251" s="27"/>
      <c r="F6251" s="25">
        <v>0.0</v>
      </c>
      <c r="G6251" s="27"/>
    </row>
    <row r="6252">
      <c r="A6252" s="21"/>
      <c r="B6252" s="21" t="s">
        <v>12372</v>
      </c>
      <c r="D6252" s="25">
        <v>0.0</v>
      </c>
      <c r="E6252" s="27"/>
      <c r="F6252" s="25">
        <v>0.0</v>
      </c>
      <c r="G6252" s="27"/>
    </row>
    <row r="6253">
      <c r="A6253" s="21"/>
      <c r="B6253" s="21" t="s">
        <v>12373</v>
      </c>
      <c r="D6253" s="25">
        <v>0.0</v>
      </c>
      <c r="E6253" s="27"/>
      <c r="F6253" s="25">
        <v>0.0</v>
      </c>
      <c r="G6253" s="27"/>
    </row>
    <row r="6254">
      <c r="A6254" s="21"/>
      <c r="B6254" s="21" t="s">
        <v>12374</v>
      </c>
      <c r="D6254" s="25">
        <v>0.0</v>
      </c>
      <c r="E6254" s="27"/>
      <c r="F6254" s="25">
        <v>0.0</v>
      </c>
      <c r="G6254" s="27"/>
    </row>
    <row r="6255">
      <c r="A6255" s="21"/>
      <c r="B6255" s="21" t="s">
        <v>12375</v>
      </c>
      <c r="D6255" s="25">
        <v>0.0</v>
      </c>
      <c r="E6255" s="27"/>
      <c r="F6255" s="25">
        <v>0.0</v>
      </c>
      <c r="G6255" s="27"/>
    </row>
    <row r="6256">
      <c r="A6256" s="21"/>
      <c r="B6256" s="21" t="s">
        <v>12376</v>
      </c>
      <c r="D6256" s="25">
        <v>0.0</v>
      </c>
      <c r="E6256" s="27"/>
      <c r="F6256" s="25">
        <v>0.0</v>
      </c>
      <c r="G6256" s="27"/>
    </row>
    <row r="6257">
      <c r="A6257" s="21"/>
      <c r="B6257" s="21" t="s">
        <v>12377</v>
      </c>
      <c r="D6257" s="25">
        <v>0.0</v>
      </c>
      <c r="E6257" s="27"/>
      <c r="F6257" s="25">
        <v>0.0</v>
      </c>
      <c r="G6257" s="27"/>
    </row>
    <row r="6258">
      <c r="A6258" s="21"/>
      <c r="B6258" s="21" t="s">
        <v>12378</v>
      </c>
      <c r="D6258" s="25">
        <v>0.0</v>
      </c>
      <c r="E6258" s="27"/>
      <c r="F6258" s="25">
        <v>0.0</v>
      </c>
      <c r="G6258" s="27"/>
    </row>
    <row r="6259">
      <c r="A6259" s="21"/>
      <c r="B6259" s="21" t="s">
        <v>12379</v>
      </c>
      <c r="D6259" s="25">
        <v>0.0</v>
      </c>
      <c r="E6259" s="27"/>
      <c r="F6259" s="25">
        <v>1.33</v>
      </c>
      <c r="G6259" s="27"/>
    </row>
    <row r="6260">
      <c r="A6260" s="21"/>
      <c r="B6260" s="21" t="s">
        <v>12380</v>
      </c>
      <c r="D6260" s="25">
        <v>0.0</v>
      </c>
      <c r="E6260" s="27"/>
      <c r="F6260" s="25">
        <v>0.0</v>
      </c>
      <c r="G6260" s="27"/>
    </row>
    <row r="6261">
      <c r="A6261" s="21"/>
      <c r="B6261" s="21" t="s">
        <v>12381</v>
      </c>
      <c r="D6261" s="25">
        <v>0.0</v>
      </c>
      <c r="E6261" s="27"/>
      <c r="F6261" s="25">
        <v>0.0</v>
      </c>
      <c r="G6261" s="27"/>
    </row>
    <row r="6262">
      <c r="A6262" s="21"/>
      <c r="B6262" s="21" t="s">
        <v>12382</v>
      </c>
      <c r="D6262" s="25">
        <v>0.0</v>
      </c>
      <c r="E6262" s="27"/>
      <c r="F6262" s="25">
        <v>0.0</v>
      </c>
      <c r="G6262" s="27"/>
    </row>
    <row r="6263">
      <c r="A6263" s="21"/>
      <c r="B6263" s="21" t="s">
        <v>12383</v>
      </c>
      <c r="D6263" s="25">
        <v>0.0</v>
      </c>
      <c r="E6263" s="27"/>
      <c r="F6263" s="25">
        <v>1.04</v>
      </c>
      <c r="G6263" s="27"/>
    </row>
    <row r="6264">
      <c r="A6264" s="21"/>
      <c r="B6264" s="21" t="s">
        <v>12384</v>
      </c>
      <c r="D6264" s="25">
        <v>0.0</v>
      </c>
      <c r="E6264" s="27"/>
      <c r="F6264" s="25">
        <v>0.0</v>
      </c>
      <c r="G6264" s="27"/>
    </row>
    <row r="6265">
      <c r="A6265" s="21"/>
      <c r="B6265" s="21" t="s">
        <v>12385</v>
      </c>
      <c r="D6265" s="25">
        <v>0.0</v>
      </c>
      <c r="E6265" s="27"/>
      <c r="F6265" s="25">
        <v>0.0</v>
      </c>
      <c r="G6265" s="27"/>
    </row>
    <row r="6266">
      <c r="A6266" s="21"/>
      <c r="B6266" s="21" t="s">
        <v>12386</v>
      </c>
      <c r="D6266" s="25">
        <v>0.0</v>
      </c>
      <c r="E6266" s="27"/>
      <c r="F6266" s="25">
        <v>0.0</v>
      </c>
      <c r="G6266" s="27"/>
    </row>
    <row r="6267">
      <c r="A6267" s="21"/>
      <c r="B6267" s="21" t="s">
        <v>12387</v>
      </c>
      <c r="D6267" s="25">
        <v>0.0</v>
      </c>
      <c r="E6267" s="27"/>
      <c r="F6267" s="25">
        <v>0.0</v>
      </c>
      <c r="G6267" s="27"/>
    </row>
    <row r="6268">
      <c r="A6268" s="21"/>
      <c r="B6268" s="21" t="s">
        <v>12388</v>
      </c>
      <c r="D6268" s="25">
        <v>0.0</v>
      </c>
      <c r="E6268" s="27"/>
      <c r="F6268" s="25">
        <v>0.0</v>
      </c>
      <c r="G6268" s="27"/>
    </row>
    <row r="6269">
      <c r="A6269" s="21"/>
      <c r="B6269" s="21" t="s">
        <v>12389</v>
      </c>
      <c r="D6269" s="25">
        <v>0.0</v>
      </c>
      <c r="E6269" s="27"/>
      <c r="F6269" s="25">
        <v>0.0</v>
      </c>
      <c r="G6269" s="27"/>
    </row>
    <row r="6270">
      <c r="A6270" s="21"/>
      <c r="B6270" s="21" t="s">
        <v>12390</v>
      </c>
      <c r="D6270" s="25">
        <v>0.0</v>
      </c>
      <c r="E6270" s="27"/>
      <c r="F6270" s="25">
        <v>0.0</v>
      </c>
      <c r="G6270" s="27"/>
    </row>
    <row r="6271">
      <c r="A6271" s="21"/>
      <c r="B6271" s="21" t="s">
        <v>12391</v>
      </c>
      <c r="D6271" s="25">
        <v>0.0</v>
      </c>
      <c r="E6271" s="27"/>
      <c r="F6271" s="25">
        <v>0.0</v>
      </c>
      <c r="G6271" s="27"/>
    </row>
    <row r="6272">
      <c r="A6272" s="21"/>
      <c r="B6272" s="21" t="s">
        <v>12392</v>
      </c>
      <c r="D6272" s="25">
        <v>0.0</v>
      </c>
      <c r="E6272" s="27"/>
      <c r="F6272" s="25">
        <v>0.0</v>
      </c>
      <c r="G6272" s="27"/>
    </row>
    <row r="6273">
      <c r="A6273" s="21"/>
      <c r="B6273" s="21" t="s">
        <v>12393</v>
      </c>
      <c r="D6273" s="25">
        <v>0.0</v>
      </c>
      <c r="E6273" s="27"/>
      <c r="F6273" s="25">
        <v>0.0</v>
      </c>
      <c r="G6273" s="27"/>
    </row>
    <row r="6274">
      <c r="A6274" s="21"/>
      <c r="B6274" s="21" t="s">
        <v>12394</v>
      </c>
      <c r="D6274" s="25">
        <v>0.0</v>
      </c>
      <c r="E6274" s="27"/>
      <c r="F6274" s="25">
        <v>0.0</v>
      </c>
      <c r="G6274" s="27"/>
    </row>
    <row r="6275">
      <c r="A6275" s="21"/>
      <c r="B6275" s="21" t="s">
        <v>12395</v>
      </c>
      <c r="D6275" s="25">
        <v>0.0</v>
      </c>
      <c r="E6275" s="27"/>
      <c r="F6275" s="25">
        <v>0.0</v>
      </c>
      <c r="G6275" s="27"/>
    </row>
    <row r="6276">
      <c r="A6276" s="21"/>
      <c r="B6276" s="21" t="s">
        <v>12396</v>
      </c>
      <c r="D6276" s="25">
        <v>0.0</v>
      </c>
      <c r="E6276" s="27"/>
      <c r="F6276" s="25">
        <v>0.0</v>
      </c>
      <c r="G6276" s="27"/>
    </row>
    <row r="6277">
      <c r="A6277" s="21"/>
      <c r="B6277" s="21" t="s">
        <v>12397</v>
      </c>
      <c r="D6277" s="25">
        <v>0.0</v>
      </c>
      <c r="E6277" s="27"/>
      <c r="F6277" s="25">
        <v>0.0</v>
      </c>
      <c r="G6277" s="27"/>
    </row>
    <row r="6278">
      <c r="A6278" s="21"/>
      <c r="B6278" s="21" t="s">
        <v>12398</v>
      </c>
      <c r="D6278" s="25">
        <v>0.0</v>
      </c>
      <c r="E6278" s="27"/>
      <c r="F6278" s="25">
        <v>0.0</v>
      </c>
      <c r="G6278" s="27"/>
    </row>
    <row r="6279">
      <c r="A6279" s="21"/>
      <c r="B6279" s="21" t="s">
        <v>12399</v>
      </c>
      <c r="D6279" s="25">
        <v>0.0</v>
      </c>
      <c r="E6279" s="27"/>
      <c r="F6279" s="25">
        <v>0.0</v>
      </c>
      <c r="G6279" s="27"/>
    </row>
    <row r="6280">
      <c r="A6280" s="21"/>
      <c r="B6280" s="21" t="s">
        <v>12400</v>
      </c>
      <c r="D6280" s="25">
        <v>0.0</v>
      </c>
      <c r="E6280" s="27"/>
      <c r="F6280" s="25">
        <v>0.0</v>
      </c>
      <c r="G6280" s="27"/>
    </row>
    <row r="6281">
      <c r="A6281" s="21"/>
      <c r="B6281" s="21" t="s">
        <v>12401</v>
      </c>
      <c r="D6281" s="25">
        <v>0.0</v>
      </c>
      <c r="E6281" s="27"/>
      <c r="F6281" s="25">
        <v>0.0</v>
      </c>
      <c r="G6281" s="27"/>
    </row>
    <row r="6282">
      <c r="A6282" s="21"/>
      <c r="B6282" s="21" t="s">
        <v>12402</v>
      </c>
      <c r="D6282" s="25">
        <v>0.0</v>
      </c>
      <c r="E6282" s="27"/>
      <c r="F6282" s="25">
        <v>0.0</v>
      </c>
      <c r="G6282" s="27"/>
    </row>
    <row r="6283">
      <c r="A6283" s="21"/>
      <c r="B6283" s="21" t="s">
        <v>12403</v>
      </c>
      <c r="D6283" s="25">
        <v>0.0</v>
      </c>
      <c r="E6283" s="27"/>
      <c r="F6283" s="25">
        <v>0.0</v>
      </c>
      <c r="G6283" s="27"/>
    </row>
    <row r="6284">
      <c r="A6284" s="21"/>
      <c r="B6284" s="21" t="s">
        <v>12404</v>
      </c>
      <c r="D6284" s="25">
        <v>0.0</v>
      </c>
      <c r="E6284" s="27"/>
      <c r="F6284" s="25">
        <v>0.0</v>
      </c>
      <c r="G6284" s="27"/>
    </row>
    <row r="6285">
      <c r="A6285" s="21"/>
      <c r="B6285" s="21" t="s">
        <v>12405</v>
      </c>
      <c r="D6285" s="25">
        <v>0.0</v>
      </c>
      <c r="E6285" s="27"/>
      <c r="F6285" s="25">
        <v>0.0</v>
      </c>
      <c r="G6285" s="27"/>
    </row>
    <row r="6286">
      <c r="A6286" s="21"/>
      <c r="B6286" s="21" t="s">
        <v>12406</v>
      </c>
      <c r="D6286" s="25">
        <v>0.0</v>
      </c>
      <c r="E6286" s="27"/>
      <c r="F6286" s="25">
        <v>0.0</v>
      </c>
      <c r="G6286" s="27"/>
    </row>
    <row r="6287">
      <c r="A6287" s="21"/>
      <c r="B6287" s="21" t="s">
        <v>12407</v>
      </c>
      <c r="D6287" s="25">
        <v>0.0</v>
      </c>
      <c r="E6287" s="27"/>
      <c r="F6287" s="25">
        <v>0.0</v>
      </c>
      <c r="G6287" s="27"/>
    </row>
    <row r="6288">
      <c r="A6288" s="21"/>
      <c r="B6288" s="21" t="s">
        <v>12408</v>
      </c>
      <c r="D6288" s="25">
        <v>0.0</v>
      </c>
      <c r="E6288" s="27"/>
      <c r="F6288" s="25">
        <v>0.0</v>
      </c>
      <c r="G6288" s="27"/>
    </row>
    <row r="6289">
      <c r="A6289" s="21"/>
      <c r="B6289" s="21" t="s">
        <v>12409</v>
      </c>
      <c r="D6289" s="25">
        <v>0.0</v>
      </c>
      <c r="E6289" s="27"/>
      <c r="F6289" s="25">
        <v>0.0</v>
      </c>
      <c r="G6289" s="27"/>
    </row>
    <row r="6290">
      <c r="A6290" s="21"/>
      <c r="B6290" s="21" t="s">
        <v>12410</v>
      </c>
      <c r="D6290" s="25">
        <v>0.0</v>
      </c>
      <c r="E6290" s="27"/>
      <c r="F6290" s="25">
        <v>0.0</v>
      </c>
      <c r="G6290" s="27"/>
    </row>
    <row r="6291">
      <c r="A6291" s="21"/>
      <c r="B6291" s="21" t="s">
        <v>12411</v>
      </c>
      <c r="D6291" s="25">
        <v>0.0</v>
      </c>
      <c r="E6291" s="27"/>
      <c r="F6291" s="25">
        <v>0.0</v>
      </c>
      <c r="G6291" s="27"/>
    </row>
    <row r="6292">
      <c r="A6292" s="21"/>
      <c r="B6292" s="21" t="s">
        <v>12412</v>
      </c>
      <c r="D6292" s="25">
        <v>0.0</v>
      </c>
      <c r="E6292" s="27"/>
      <c r="F6292" s="25">
        <v>0.0</v>
      </c>
      <c r="G6292" s="27"/>
    </row>
    <row r="6293">
      <c r="A6293" s="21"/>
      <c r="B6293" s="21" t="s">
        <v>12413</v>
      </c>
      <c r="D6293" s="25">
        <v>0.0</v>
      </c>
      <c r="E6293" s="27"/>
      <c r="F6293" s="25">
        <v>0.0</v>
      </c>
      <c r="G6293" s="27"/>
    </row>
    <row r="6294">
      <c r="A6294" s="21"/>
      <c r="B6294" s="21" t="s">
        <v>12414</v>
      </c>
      <c r="D6294" s="25">
        <v>0.0</v>
      </c>
      <c r="E6294" s="27"/>
      <c r="F6294" s="25">
        <v>0.0</v>
      </c>
      <c r="G6294" s="27"/>
    </row>
    <row r="6295">
      <c r="A6295" s="21"/>
      <c r="B6295" s="21" t="s">
        <v>12415</v>
      </c>
      <c r="D6295" s="25">
        <v>0.0</v>
      </c>
      <c r="E6295" s="27"/>
      <c r="F6295" s="25">
        <v>0.0</v>
      </c>
      <c r="G6295" s="27"/>
    </row>
    <row r="6296">
      <c r="A6296" s="21"/>
      <c r="B6296" s="21" t="s">
        <v>12416</v>
      </c>
      <c r="D6296" s="25">
        <v>0.0</v>
      </c>
      <c r="E6296" s="27"/>
      <c r="F6296" s="25">
        <v>0.0</v>
      </c>
      <c r="G6296" s="27"/>
    </row>
    <row r="6297">
      <c r="A6297" s="21"/>
      <c r="B6297" s="21" t="s">
        <v>12417</v>
      </c>
      <c r="D6297" s="25">
        <v>0.0</v>
      </c>
      <c r="E6297" s="27"/>
      <c r="F6297" s="25">
        <v>0.0</v>
      </c>
      <c r="G6297" s="27"/>
    </row>
    <row r="6298">
      <c r="A6298" s="21"/>
      <c r="B6298" s="21" t="s">
        <v>12418</v>
      </c>
      <c r="D6298" s="25">
        <v>0.0</v>
      </c>
      <c r="E6298" s="27"/>
      <c r="F6298" s="25">
        <v>0.0</v>
      </c>
      <c r="G6298" s="27"/>
    </row>
    <row r="6299">
      <c r="A6299" s="21"/>
      <c r="B6299" s="21" t="s">
        <v>12419</v>
      </c>
      <c r="D6299" s="25">
        <v>0.0</v>
      </c>
      <c r="E6299" s="27"/>
      <c r="F6299" s="25">
        <v>0.0</v>
      </c>
      <c r="G6299" s="27"/>
    </row>
    <row r="6300">
      <c r="A6300" s="21"/>
      <c r="B6300" s="21" t="s">
        <v>12420</v>
      </c>
      <c r="D6300" s="25">
        <v>0.0</v>
      </c>
      <c r="E6300" s="27"/>
      <c r="F6300" s="25">
        <v>0.0</v>
      </c>
      <c r="G6300" s="27"/>
    </row>
    <row r="6301">
      <c r="A6301" s="21"/>
      <c r="B6301" s="21" t="s">
        <v>12421</v>
      </c>
      <c r="D6301" s="25">
        <v>0.0</v>
      </c>
      <c r="E6301" s="27"/>
      <c r="F6301" s="25">
        <v>0.0</v>
      </c>
      <c r="G6301" s="27"/>
    </row>
    <row r="6302">
      <c r="A6302" s="21"/>
      <c r="B6302" s="21" t="s">
        <v>12422</v>
      </c>
      <c r="D6302" s="25">
        <v>0.0</v>
      </c>
      <c r="E6302" s="27"/>
      <c r="F6302" s="25">
        <v>0.0</v>
      </c>
      <c r="G6302" s="27"/>
    </row>
    <row r="6303">
      <c r="A6303" s="21"/>
      <c r="B6303" s="21" t="s">
        <v>12423</v>
      </c>
      <c r="D6303" s="25">
        <v>0.0</v>
      </c>
      <c r="E6303" s="27"/>
      <c r="F6303" s="25">
        <v>0.51</v>
      </c>
      <c r="G6303" s="27"/>
    </row>
    <row r="6304">
      <c r="A6304" s="21"/>
      <c r="B6304" s="21" t="s">
        <v>12424</v>
      </c>
      <c r="D6304" s="25">
        <v>0.0</v>
      </c>
      <c r="E6304" s="27"/>
      <c r="F6304" s="25">
        <v>0.0</v>
      </c>
      <c r="G6304" s="27"/>
    </row>
    <row r="6305">
      <c r="A6305" s="21"/>
      <c r="B6305" s="21" t="s">
        <v>12425</v>
      </c>
      <c r="D6305" s="25">
        <v>0.0</v>
      </c>
      <c r="E6305" s="27"/>
      <c r="F6305" s="25">
        <v>0.0</v>
      </c>
      <c r="G6305" s="27"/>
    </row>
    <row r="6306">
      <c r="A6306" s="21"/>
      <c r="B6306" s="21" t="s">
        <v>12426</v>
      </c>
      <c r="D6306" s="25">
        <v>0.0</v>
      </c>
      <c r="E6306" s="27"/>
      <c r="F6306" s="25">
        <v>0.0</v>
      </c>
      <c r="G6306" s="27"/>
    </row>
    <row r="6307">
      <c r="A6307" s="21"/>
      <c r="B6307" s="21" t="s">
        <v>12427</v>
      </c>
      <c r="D6307" s="25">
        <v>0.0</v>
      </c>
      <c r="E6307" s="27"/>
      <c r="F6307" s="25">
        <v>0.0</v>
      </c>
      <c r="G6307" s="27"/>
    </row>
    <row r="6308">
      <c r="A6308" s="21"/>
      <c r="B6308" s="21" t="s">
        <v>12428</v>
      </c>
      <c r="D6308" s="25">
        <v>0.0</v>
      </c>
      <c r="E6308" s="27"/>
      <c r="F6308" s="25">
        <v>0.0</v>
      </c>
      <c r="G6308" s="27"/>
    </row>
    <row r="6309">
      <c r="A6309" s="21"/>
      <c r="B6309" s="21" t="s">
        <v>12429</v>
      </c>
      <c r="D6309" s="25">
        <v>0.0</v>
      </c>
      <c r="E6309" s="27"/>
      <c r="F6309" s="25">
        <v>0.0</v>
      </c>
      <c r="G6309" s="27"/>
    </row>
    <row r="6310">
      <c r="A6310" s="21"/>
      <c r="B6310" s="21" t="s">
        <v>12430</v>
      </c>
      <c r="D6310" s="25">
        <v>0.0</v>
      </c>
      <c r="E6310" s="27"/>
      <c r="F6310" s="25">
        <v>0.0</v>
      </c>
      <c r="G6310" s="27"/>
    </row>
    <row r="6311">
      <c r="A6311" s="21"/>
      <c r="B6311" s="21" t="s">
        <v>12431</v>
      </c>
      <c r="D6311" s="25">
        <v>0.0</v>
      </c>
      <c r="E6311" s="27"/>
      <c r="F6311" s="25">
        <v>0.0</v>
      </c>
      <c r="G6311" s="27"/>
    </row>
    <row r="6312">
      <c r="A6312" s="21"/>
      <c r="B6312" s="21" t="s">
        <v>12432</v>
      </c>
      <c r="D6312" s="25">
        <v>0.0</v>
      </c>
      <c r="E6312" s="27"/>
      <c r="F6312" s="25">
        <v>0.0</v>
      </c>
      <c r="G6312" s="27"/>
    </row>
    <row r="6313">
      <c r="A6313" s="21"/>
      <c r="B6313" s="21" t="s">
        <v>12433</v>
      </c>
      <c r="D6313" s="25">
        <v>0.0</v>
      </c>
      <c r="E6313" s="27"/>
      <c r="F6313" s="25">
        <v>0.0</v>
      </c>
      <c r="G6313" s="27"/>
    </row>
    <row r="6314">
      <c r="A6314" s="21"/>
      <c r="B6314" s="21" t="s">
        <v>12434</v>
      </c>
      <c r="D6314" s="25">
        <v>0.0</v>
      </c>
      <c r="E6314" s="27"/>
      <c r="F6314" s="25">
        <v>0.0</v>
      </c>
      <c r="G6314" s="27"/>
    </row>
    <row r="6315">
      <c r="A6315" s="21"/>
      <c r="B6315" s="21" t="s">
        <v>12435</v>
      </c>
      <c r="D6315" s="25">
        <v>0.0</v>
      </c>
      <c r="E6315" s="27"/>
      <c r="F6315" s="25">
        <v>0.0</v>
      </c>
      <c r="G6315" s="27"/>
    </row>
    <row r="6316">
      <c r="A6316" s="21"/>
      <c r="B6316" s="21" t="s">
        <v>12436</v>
      </c>
      <c r="D6316" s="25">
        <v>0.0</v>
      </c>
      <c r="E6316" s="27"/>
      <c r="F6316" s="25">
        <v>0.0</v>
      </c>
      <c r="G6316" s="27"/>
    </row>
    <row r="6317">
      <c r="A6317" s="21"/>
      <c r="B6317" s="21" t="s">
        <v>12437</v>
      </c>
      <c r="D6317" s="25">
        <v>0.0</v>
      </c>
      <c r="E6317" s="27"/>
      <c r="F6317" s="25">
        <v>0.0</v>
      </c>
      <c r="G6317" s="27"/>
    </row>
    <row r="6318">
      <c r="A6318" s="21"/>
      <c r="B6318" s="21" t="s">
        <v>12438</v>
      </c>
      <c r="D6318" s="25">
        <v>0.0</v>
      </c>
      <c r="E6318" s="27"/>
      <c r="F6318" s="25">
        <v>0.0</v>
      </c>
      <c r="G6318" s="27"/>
    </row>
    <row r="6319">
      <c r="A6319" s="21"/>
      <c r="B6319" s="21" t="s">
        <v>12439</v>
      </c>
      <c r="D6319" s="25">
        <v>0.0</v>
      </c>
      <c r="E6319" s="27"/>
      <c r="F6319" s="25">
        <v>0.0</v>
      </c>
      <c r="G6319" s="27"/>
    </row>
    <row r="6320">
      <c r="A6320" s="21"/>
      <c r="B6320" s="21" t="s">
        <v>12440</v>
      </c>
      <c r="D6320" s="25">
        <v>0.0</v>
      </c>
      <c r="E6320" s="27"/>
      <c r="F6320" s="25">
        <v>0.0</v>
      </c>
      <c r="G6320" s="27"/>
    </row>
    <row r="6321">
      <c r="A6321" s="21"/>
      <c r="B6321" s="21" t="s">
        <v>12441</v>
      </c>
      <c r="D6321" s="25">
        <v>0.0</v>
      </c>
      <c r="E6321" s="27"/>
      <c r="F6321" s="25">
        <v>0.0</v>
      </c>
      <c r="G6321" s="27"/>
    </row>
    <row r="6322">
      <c r="A6322" s="21"/>
      <c r="B6322" s="21" t="s">
        <v>12442</v>
      </c>
      <c r="D6322" s="25">
        <v>0.0</v>
      </c>
      <c r="E6322" s="27"/>
      <c r="F6322" s="25">
        <v>0.0</v>
      </c>
      <c r="G6322" s="27"/>
    </row>
    <row r="6323">
      <c r="A6323" s="21"/>
      <c r="B6323" s="21" t="s">
        <v>12443</v>
      </c>
      <c r="D6323" s="25">
        <v>0.0</v>
      </c>
      <c r="E6323" s="27"/>
      <c r="F6323" s="25">
        <v>0.0</v>
      </c>
      <c r="G6323" s="27"/>
    </row>
    <row r="6324">
      <c r="A6324" s="21"/>
      <c r="B6324" s="21" t="s">
        <v>12444</v>
      </c>
      <c r="D6324" s="25">
        <v>0.0</v>
      </c>
      <c r="E6324" s="27"/>
      <c r="F6324" s="25">
        <v>0.0</v>
      </c>
      <c r="G6324" s="27"/>
    </row>
    <row r="6325">
      <c r="A6325" s="21"/>
      <c r="B6325" s="21" t="s">
        <v>12445</v>
      </c>
      <c r="D6325" s="25">
        <v>0.0</v>
      </c>
      <c r="E6325" s="27"/>
      <c r="F6325" s="25">
        <v>0.0</v>
      </c>
      <c r="G6325" s="27"/>
    </row>
    <row r="6326">
      <c r="A6326" s="21"/>
      <c r="B6326" s="21" t="s">
        <v>12446</v>
      </c>
      <c r="D6326" s="25">
        <v>0.0</v>
      </c>
      <c r="E6326" s="27"/>
      <c r="F6326" s="25">
        <v>0.0</v>
      </c>
      <c r="G6326" s="27"/>
    </row>
    <row r="6327">
      <c r="A6327" s="21"/>
      <c r="B6327" s="21" t="s">
        <v>12447</v>
      </c>
      <c r="D6327" s="25">
        <v>0.0</v>
      </c>
      <c r="E6327" s="27"/>
      <c r="F6327" s="25">
        <v>0.0</v>
      </c>
      <c r="G6327" s="27"/>
    </row>
    <row r="6328">
      <c r="A6328" s="21"/>
      <c r="B6328" s="21" t="s">
        <v>12448</v>
      </c>
      <c r="D6328" s="25">
        <v>0.0</v>
      </c>
      <c r="E6328" s="27"/>
      <c r="F6328" s="25">
        <v>0.0</v>
      </c>
      <c r="G6328" s="27"/>
    </row>
    <row r="6329">
      <c r="A6329" s="21"/>
      <c r="B6329" s="21" t="s">
        <v>12449</v>
      </c>
      <c r="D6329" s="25">
        <v>0.0</v>
      </c>
      <c r="E6329" s="27"/>
      <c r="F6329" s="25">
        <v>0.0</v>
      </c>
      <c r="G6329" s="27"/>
    </row>
    <row r="6330">
      <c r="A6330" s="21"/>
      <c r="B6330" s="21" t="s">
        <v>12450</v>
      </c>
      <c r="D6330" s="25">
        <v>0.0</v>
      </c>
      <c r="E6330" s="27"/>
      <c r="F6330" s="25">
        <v>0.0</v>
      </c>
      <c r="G6330" s="27"/>
    </row>
    <row r="6331">
      <c r="A6331" s="21"/>
      <c r="B6331" s="21" t="s">
        <v>12451</v>
      </c>
      <c r="D6331" s="25">
        <v>0.0</v>
      </c>
      <c r="E6331" s="27"/>
      <c r="F6331" s="25">
        <v>0.0</v>
      </c>
      <c r="G6331" s="27"/>
    </row>
    <row r="6332">
      <c r="A6332" s="21"/>
      <c r="B6332" s="21" t="s">
        <v>12452</v>
      </c>
      <c r="D6332" s="25">
        <v>0.0</v>
      </c>
      <c r="E6332" s="27"/>
      <c r="F6332" s="25">
        <v>0.0</v>
      </c>
      <c r="G6332" s="27"/>
    </row>
    <row r="6333">
      <c r="A6333" s="21"/>
      <c r="B6333" s="21" t="s">
        <v>12453</v>
      </c>
      <c r="D6333" s="25">
        <v>0.0</v>
      </c>
      <c r="E6333" s="27"/>
      <c r="F6333" s="25">
        <v>0.0</v>
      </c>
      <c r="G6333" s="27"/>
    </row>
    <row r="6334">
      <c r="A6334" s="21"/>
      <c r="B6334" s="21" t="s">
        <v>12454</v>
      </c>
      <c r="D6334" s="25">
        <v>0.0</v>
      </c>
      <c r="E6334" s="27"/>
      <c r="F6334" s="25">
        <v>0.0</v>
      </c>
      <c r="G6334" s="27"/>
    </row>
    <row r="6335">
      <c r="A6335" s="21"/>
      <c r="B6335" s="21" t="s">
        <v>12455</v>
      </c>
      <c r="D6335" s="25">
        <v>0.0</v>
      </c>
      <c r="E6335" s="27"/>
      <c r="F6335" s="25">
        <v>0.0</v>
      </c>
      <c r="G6335" s="27"/>
    </row>
    <row r="6336">
      <c r="A6336" s="21"/>
      <c r="B6336" s="21" t="s">
        <v>12456</v>
      </c>
      <c r="D6336" s="25">
        <v>0.0</v>
      </c>
      <c r="E6336" s="27"/>
      <c r="F6336" s="25">
        <v>0.0</v>
      </c>
      <c r="G6336" s="27"/>
    </row>
    <row r="6337">
      <c r="A6337" s="21"/>
      <c r="B6337" s="21" t="s">
        <v>12457</v>
      </c>
      <c r="D6337" s="25">
        <v>0.0</v>
      </c>
      <c r="E6337" s="27"/>
      <c r="F6337" s="25">
        <v>0.0</v>
      </c>
      <c r="G6337" s="27"/>
    </row>
    <row r="6338">
      <c r="A6338" s="21"/>
      <c r="B6338" s="21" t="s">
        <v>12458</v>
      </c>
      <c r="D6338" s="25">
        <v>0.0</v>
      </c>
      <c r="E6338" s="27"/>
      <c r="F6338" s="25">
        <v>0.0</v>
      </c>
      <c r="G6338" s="27"/>
    </row>
    <row r="6339">
      <c r="A6339" s="21"/>
      <c r="B6339" s="21" t="s">
        <v>12459</v>
      </c>
      <c r="D6339" s="25">
        <v>0.0</v>
      </c>
      <c r="E6339" s="27"/>
      <c r="F6339" s="25">
        <v>0.0</v>
      </c>
      <c r="G6339" s="27"/>
    </row>
    <row r="6340">
      <c r="A6340" s="21"/>
      <c r="B6340" s="21" t="s">
        <v>12460</v>
      </c>
      <c r="D6340" s="25">
        <v>0.0</v>
      </c>
      <c r="E6340" s="27"/>
      <c r="F6340" s="25">
        <v>0.0</v>
      </c>
      <c r="G6340" s="27"/>
    </row>
    <row r="6341">
      <c r="A6341" s="21"/>
      <c r="B6341" s="21" t="s">
        <v>12461</v>
      </c>
      <c r="D6341" s="25">
        <v>0.0</v>
      </c>
      <c r="E6341" s="27"/>
      <c r="F6341" s="25">
        <v>0.0</v>
      </c>
      <c r="G6341" s="27"/>
    </row>
    <row r="6342">
      <c r="A6342" s="21"/>
      <c r="B6342" s="21" t="s">
        <v>12462</v>
      </c>
      <c r="D6342" s="25">
        <v>0.0</v>
      </c>
      <c r="E6342" s="27"/>
      <c r="F6342" s="25">
        <v>0.0</v>
      </c>
      <c r="G6342" s="27"/>
    </row>
    <row r="6343">
      <c r="A6343" s="21"/>
      <c r="B6343" s="21" t="s">
        <v>12463</v>
      </c>
      <c r="D6343" s="25">
        <v>0.0</v>
      </c>
      <c r="E6343" s="27"/>
      <c r="F6343" s="25">
        <v>0.0</v>
      </c>
      <c r="G6343" s="27"/>
    </row>
    <row r="6344">
      <c r="A6344" s="21"/>
      <c r="B6344" s="21" t="s">
        <v>12464</v>
      </c>
      <c r="D6344" s="25">
        <v>0.0</v>
      </c>
      <c r="E6344" s="27"/>
      <c r="F6344" s="25">
        <v>0.0</v>
      </c>
      <c r="G6344" s="27"/>
    </row>
    <row r="6345">
      <c r="A6345" s="21"/>
      <c r="B6345" s="21" t="s">
        <v>12465</v>
      </c>
      <c r="D6345" s="25">
        <v>0.0</v>
      </c>
      <c r="E6345" s="27"/>
      <c r="F6345" s="25">
        <v>0.0</v>
      </c>
      <c r="G6345" s="27"/>
    </row>
    <row r="6346">
      <c r="A6346" s="21"/>
      <c r="B6346" s="21" t="s">
        <v>12466</v>
      </c>
      <c r="D6346" s="25">
        <v>0.0</v>
      </c>
      <c r="E6346" s="27"/>
      <c r="F6346" s="25">
        <v>0.0</v>
      </c>
      <c r="G6346" s="27"/>
    </row>
    <row r="6347">
      <c r="A6347" s="21"/>
      <c r="B6347" s="21" t="s">
        <v>12467</v>
      </c>
      <c r="D6347" s="25">
        <v>0.0</v>
      </c>
      <c r="E6347" s="27"/>
      <c r="F6347" s="25">
        <v>0.0</v>
      </c>
      <c r="G6347" s="27"/>
    </row>
    <row r="6348">
      <c r="A6348" s="21"/>
      <c r="B6348" s="21" t="s">
        <v>12468</v>
      </c>
      <c r="D6348" s="25">
        <v>0.0</v>
      </c>
      <c r="E6348" s="27"/>
      <c r="F6348" s="25">
        <v>0.0</v>
      </c>
      <c r="G6348" s="27"/>
    </row>
    <row r="6349">
      <c r="A6349" s="21"/>
      <c r="B6349" s="21" t="s">
        <v>12469</v>
      </c>
      <c r="D6349" s="25">
        <v>0.0</v>
      </c>
      <c r="E6349" s="27"/>
      <c r="F6349" s="25">
        <v>0.0</v>
      </c>
      <c r="G6349" s="27"/>
    </row>
    <row r="6350">
      <c r="A6350" s="21"/>
      <c r="B6350" s="21" t="s">
        <v>12470</v>
      </c>
      <c r="D6350" s="25">
        <v>0.0</v>
      </c>
      <c r="E6350" s="27"/>
      <c r="F6350" s="25">
        <v>0.0</v>
      </c>
      <c r="G6350" s="27"/>
    </row>
    <row r="6351">
      <c r="A6351" s="21"/>
      <c r="B6351" s="21" t="s">
        <v>12471</v>
      </c>
      <c r="D6351" s="25">
        <v>0.0</v>
      </c>
      <c r="E6351" s="27"/>
      <c r="F6351" s="25">
        <v>0.0</v>
      </c>
      <c r="G6351" s="27"/>
    </row>
    <row r="6352">
      <c r="A6352" s="21"/>
      <c r="B6352" s="21" t="s">
        <v>12472</v>
      </c>
      <c r="D6352" s="25">
        <v>0.0</v>
      </c>
      <c r="E6352" s="27"/>
      <c r="F6352" s="25">
        <v>0.0</v>
      </c>
      <c r="G6352" s="27"/>
    </row>
    <row r="6353">
      <c r="A6353" s="21"/>
      <c r="B6353" s="21" t="s">
        <v>12473</v>
      </c>
      <c r="D6353" s="25">
        <v>0.0</v>
      </c>
      <c r="E6353" s="27"/>
      <c r="F6353" s="25">
        <v>0.0</v>
      </c>
      <c r="G6353" s="27"/>
    </row>
    <row r="6354">
      <c r="A6354" s="21"/>
      <c r="B6354" s="21" t="s">
        <v>12474</v>
      </c>
      <c r="D6354" s="25">
        <v>0.0</v>
      </c>
      <c r="E6354" s="27"/>
      <c r="F6354" s="25">
        <v>0.0</v>
      </c>
      <c r="G6354" s="27"/>
    </row>
    <row r="6355">
      <c r="A6355" s="21"/>
      <c r="B6355" s="21" t="s">
        <v>12475</v>
      </c>
      <c r="D6355" s="25">
        <v>0.0</v>
      </c>
      <c r="E6355" s="27"/>
      <c r="F6355" s="25">
        <v>0.0</v>
      </c>
      <c r="G6355" s="27"/>
    </row>
    <row r="6356">
      <c r="A6356" s="21"/>
      <c r="B6356" s="21" t="s">
        <v>12476</v>
      </c>
      <c r="D6356" s="25">
        <v>0.0</v>
      </c>
      <c r="E6356" s="27"/>
      <c r="F6356" s="25">
        <v>0.0</v>
      </c>
      <c r="G6356" s="27"/>
    </row>
    <row r="6357">
      <c r="A6357" s="21"/>
      <c r="B6357" s="21" t="s">
        <v>12477</v>
      </c>
      <c r="D6357" s="25">
        <v>0.0</v>
      </c>
      <c r="E6357" s="27"/>
      <c r="F6357" s="25">
        <v>0.0</v>
      </c>
      <c r="G6357" s="27"/>
    </row>
    <row r="6358">
      <c r="A6358" s="21"/>
      <c r="B6358" s="21" t="s">
        <v>12478</v>
      </c>
      <c r="D6358" s="25">
        <v>0.0</v>
      </c>
      <c r="E6358" s="27"/>
      <c r="F6358" s="25">
        <v>0.0</v>
      </c>
      <c r="G6358" s="27"/>
    </row>
    <row r="6359">
      <c r="A6359" s="21"/>
      <c r="B6359" s="21" t="s">
        <v>12479</v>
      </c>
      <c r="D6359" s="25">
        <v>0.0</v>
      </c>
      <c r="E6359" s="27"/>
      <c r="F6359" s="25">
        <v>0.0</v>
      </c>
      <c r="G6359" s="27"/>
    </row>
    <row r="6360">
      <c r="A6360" s="21"/>
      <c r="B6360" s="21" t="s">
        <v>12480</v>
      </c>
      <c r="D6360" s="25">
        <v>0.0</v>
      </c>
      <c r="E6360" s="27"/>
      <c r="F6360" s="25">
        <v>0.0</v>
      </c>
      <c r="G6360" s="27"/>
    </row>
    <row r="6361">
      <c r="A6361" s="21"/>
      <c r="B6361" s="21" t="s">
        <v>12481</v>
      </c>
      <c r="D6361" s="25">
        <v>0.0</v>
      </c>
      <c r="E6361" s="27"/>
      <c r="F6361" s="25">
        <v>0.0</v>
      </c>
      <c r="G6361" s="27"/>
    </row>
    <row r="6362">
      <c r="A6362" s="21"/>
      <c r="B6362" s="21" t="s">
        <v>12482</v>
      </c>
      <c r="D6362" s="25">
        <v>0.0</v>
      </c>
      <c r="E6362" s="27"/>
      <c r="F6362" s="25">
        <v>0.0</v>
      </c>
      <c r="G6362" s="27"/>
    </row>
    <row r="6363">
      <c r="A6363" s="21"/>
      <c r="B6363" s="21" t="s">
        <v>12483</v>
      </c>
      <c r="D6363" s="25">
        <v>0.0</v>
      </c>
      <c r="E6363" s="27"/>
      <c r="F6363" s="25">
        <v>0.0</v>
      </c>
      <c r="G6363" s="27"/>
    </row>
    <row r="6364">
      <c r="A6364" s="21"/>
      <c r="B6364" s="21" t="s">
        <v>12484</v>
      </c>
      <c r="D6364" s="25">
        <v>0.0</v>
      </c>
      <c r="E6364" s="27"/>
      <c r="F6364" s="25">
        <v>0.0</v>
      </c>
      <c r="G6364" s="27"/>
    </row>
    <row r="6365">
      <c r="A6365" s="21"/>
      <c r="B6365" s="21" t="s">
        <v>12485</v>
      </c>
      <c r="D6365" s="25">
        <v>0.0</v>
      </c>
      <c r="E6365" s="27"/>
      <c r="F6365" s="25">
        <v>0.0</v>
      </c>
      <c r="G6365" s="27"/>
    </row>
    <row r="6366">
      <c r="A6366" s="21"/>
      <c r="B6366" s="21" t="s">
        <v>12486</v>
      </c>
      <c r="D6366" s="25">
        <v>0.0</v>
      </c>
      <c r="E6366" s="27"/>
      <c r="F6366" s="25">
        <v>0.0</v>
      </c>
      <c r="G6366" s="27"/>
    </row>
    <row r="6367">
      <c r="A6367" s="21"/>
      <c r="B6367" s="21" t="s">
        <v>12487</v>
      </c>
      <c r="D6367" s="25">
        <v>0.0</v>
      </c>
      <c r="E6367" s="27"/>
      <c r="F6367" s="25">
        <v>0.0</v>
      </c>
      <c r="G6367" s="27"/>
    </row>
    <row r="6368">
      <c r="A6368" s="21"/>
      <c r="B6368" s="21" t="s">
        <v>12488</v>
      </c>
      <c r="D6368" s="25">
        <v>0.0</v>
      </c>
      <c r="E6368" s="27"/>
      <c r="F6368" s="25">
        <v>0.0</v>
      </c>
      <c r="G6368" s="27"/>
    </row>
    <row r="6369">
      <c r="A6369" s="21"/>
      <c r="B6369" s="21" t="s">
        <v>12489</v>
      </c>
      <c r="D6369" s="25">
        <v>0.0</v>
      </c>
      <c r="E6369" s="27"/>
      <c r="F6369" s="25">
        <v>0.0</v>
      </c>
      <c r="G6369" s="27"/>
    </row>
    <row r="6370">
      <c r="A6370" s="21"/>
      <c r="B6370" s="21" t="s">
        <v>12490</v>
      </c>
      <c r="D6370" s="25">
        <v>0.0</v>
      </c>
      <c r="E6370" s="27"/>
      <c r="F6370" s="25">
        <v>0.0</v>
      </c>
      <c r="G6370" s="27"/>
    </row>
    <row r="6371">
      <c r="A6371" s="21"/>
      <c r="B6371" s="21" t="s">
        <v>12491</v>
      </c>
      <c r="D6371" s="25">
        <v>0.0</v>
      </c>
      <c r="E6371" s="27"/>
      <c r="F6371" s="25">
        <v>0.0</v>
      </c>
      <c r="G6371" s="27"/>
    </row>
    <row r="6372">
      <c r="A6372" s="21"/>
      <c r="B6372" s="21" t="s">
        <v>12492</v>
      </c>
      <c r="D6372" s="25">
        <v>0.0</v>
      </c>
      <c r="E6372" s="27"/>
      <c r="F6372" s="25">
        <v>0.0</v>
      </c>
      <c r="G6372" s="27"/>
    </row>
    <row r="6373">
      <c r="A6373" s="21"/>
      <c r="B6373" s="21" t="s">
        <v>12493</v>
      </c>
      <c r="D6373" s="25">
        <v>0.0</v>
      </c>
      <c r="E6373" s="27"/>
      <c r="F6373" s="25">
        <v>0.0</v>
      </c>
      <c r="G6373" s="27"/>
    </row>
    <row r="6374">
      <c r="A6374" s="21"/>
      <c r="B6374" s="21" t="s">
        <v>12494</v>
      </c>
      <c r="D6374" s="25">
        <v>0.0</v>
      </c>
      <c r="E6374" s="27"/>
      <c r="F6374" s="25">
        <v>0.0</v>
      </c>
      <c r="G6374" s="27"/>
    </row>
    <row r="6375">
      <c r="A6375" s="21"/>
      <c r="B6375" s="21" t="s">
        <v>12495</v>
      </c>
      <c r="D6375" s="25">
        <v>0.0</v>
      </c>
      <c r="E6375" s="27"/>
      <c r="F6375" s="25">
        <v>0.0</v>
      </c>
      <c r="G6375" s="27"/>
    </row>
    <row r="6376">
      <c r="A6376" s="21"/>
      <c r="B6376" s="21" t="s">
        <v>12496</v>
      </c>
      <c r="D6376" s="25">
        <v>0.0</v>
      </c>
      <c r="E6376" s="27"/>
      <c r="F6376" s="25">
        <v>0.0</v>
      </c>
      <c r="G6376" s="27"/>
    </row>
    <row r="6377">
      <c r="A6377" s="21"/>
      <c r="B6377" s="21" t="s">
        <v>12497</v>
      </c>
      <c r="D6377" s="25">
        <v>0.0</v>
      </c>
      <c r="E6377" s="27"/>
      <c r="F6377" s="25">
        <v>1.78</v>
      </c>
      <c r="G6377" s="27"/>
    </row>
    <row r="6378">
      <c r="A6378" s="21"/>
      <c r="B6378" s="21" t="s">
        <v>12498</v>
      </c>
      <c r="D6378" s="25">
        <v>0.0</v>
      </c>
      <c r="E6378" s="27"/>
      <c r="F6378" s="25">
        <v>0.0</v>
      </c>
      <c r="G6378" s="27"/>
    </row>
    <row r="6379">
      <c r="A6379" s="21"/>
      <c r="B6379" s="21" t="s">
        <v>12499</v>
      </c>
      <c r="D6379" s="25">
        <v>0.0</v>
      </c>
      <c r="E6379" s="27"/>
      <c r="F6379" s="25">
        <v>0.0</v>
      </c>
      <c r="G6379" s="27"/>
    </row>
    <row r="6380">
      <c r="A6380" s="21"/>
      <c r="B6380" s="21" t="s">
        <v>12500</v>
      </c>
      <c r="D6380" s="25">
        <v>0.0</v>
      </c>
      <c r="E6380" s="27"/>
      <c r="F6380" s="25">
        <v>0.0</v>
      </c>
      <c r="G6380" s="27"/>
    </row>
    <row r="6381">
      <c r="A6381" s="21"/>
      <c r="B6381" s="21" t="s">
        <v>12501</v>
      </c>
      <c r="D6381" s="25">
        <v>0.0</v>
      </c>
      <c r="E6381" s="27"/>
      <c r="F6381" s="25">
        <v>0.0</v>
      </c>
      <c r="G6381" s="27"/>
    </row>
    <row r="6382">
      <c r="A6382" s="21"/>
      <c r="B6382" s="21" t="s">
        <v>12502</v>
      </c>
      <c r="D6382" s="25">
        <v>0.0</v>
      </c>
      <c r="E6382" s="27"/>
      <c r="F6382" s="25">
        <v>0.0</v>
      </c>
      <c r="G6382" s="27"/>
    </row>
    <row r="6383">
      <c r="A6383" s="21"/>
      <c r="B6383" s="21" t="s">
        <v>12503</v>
      </c>
      <c r="D6383" s="25">
        <v>0.0</v>
      </c>
      <c r="E6383" s="27"/>
      <c r="F6383" s="25">
        <v>2.96</v>
      </c>
      <c r="G6383" s="27"/>
    </row>
    <row r="6384">
      <c r="A6384" s="21"/>
      <c r="B6384" s="21" t="s">
        <v>12504</v>
      </c>
      <c r="D6384" s="25">
        <v>0.0</v>
      </c>
      <c r="E6384" s="27"/>
      <c r="F6384" s="25">
        <v>0.0</v>
      </c>
      <c r="G6384" s="27"/>
    </row>
    <row r="6385">
      <c r="A6385" s="21"/>
      <c r="B6385" s="21" t="s">
        <v>12505</v>
      </c>
      <c r="D6385" s="25">
        <v>0.0</v>
      </c>
      <c r="E6385" s="27"/>
      <c r="F6385" s="25">
        <v>0.0</v>
      </c>
      <c r="G6385" s="27"/>
    </row>
    <row r="6386">
      <c r="A6386" s="21"/>
      <c r="B6386" s="21" t="s">
        <v>12506</v>
      </c>
      <c r="D6386" s="25">
        <v>0.0</v>
      </c>
      <c r="E6386" s="27"/>
      <c r="F6386" s="25">
        <v>0.0</v>
      </c>
      <c r="G6386" s="27"/>
    </row>
    <row r="6387">
      <c r="A6387" s="21"/>
      <c r="B6387" s="21" t="s">
        <v>12507</v>
      </c>
      <c r="D6387" s="25">
        <v>0.0</v>
      </c>
      <c r="E6387" s="27"/>
      <c r="F6387" s="25">
        <v>0.0</v>
      </c>
      <c r="G6387" s="27"/>
    </row>
    <row r="6388">
      <c r="A6388" s="21"/>
      <c r="B6388" s="21" t="s">
        <v>12508</v>
      </c>
      <c r="D6388" s="25">
        <v>0.0</v>
      </c>
      <c r="E6388" s="27"/>
      <c r="F6388" s="25">
        <v>0.0</v>
      </c>
      <c r="G6388" s="27"/>
    </row>
    <row r="6389">
      <c r="A6389" s="21"/>
      <c r="B6389" s="21" t="s">
        <v>12509</v>
      </c>
      <c r="D6389" s="25">
        <v>0.0</v>
      </c>
      <c r="E6389" s="27"/>
      <c r="F6389" s="25">
        <v>0.0</v>
      </c>
      <c r="G6389" s="27"/>
    </row>
    <row r="6390">
      <c r="A6390" s="21"/>
      <c r="B6390" s="21" t="s">
        <v>12510</v>
      </c>
      <c r="D6390" s="25">
        <v>0.0</v>
      </c>
      <c r="E6390" s="27"/>
      <c r="F6390" s="25">
        <v>0.0</v>
      </c>
      <c r="G6390" s="27"/>
    </row>
    <row r="6391">
      <c r="A6391" s="21"/>
      <c r="B6391" s="21" t="s">
        <v>12511</v>
      </c>
      <c r="D6391" s="25">
        <v>0.0</v>
      </c>
      <c r="E6391" s="27"/>
      <c r="F6391" s="25">
        <v>0.0</v>
      </c>
      <c r="G6391" s="27"/>
    </row>
    <row r="6392">
      <c r="A6392" s="21"/>
      <c r="B6392" s="21" t="s">
        <v>12512</v>
      </c>
      <c r="D6392" s="25">
        <v>0.0</v>
      </c>
      <c r="E6392" s="27"/>
      <c r="F6392" s="25">
        <v>0.0</v>
      </c>
      <c r="G6392" s="27"/>
    </row>
    <row r="6393">
      <c r="A6393" s="21"/>
      <c r="B6393" s="21" t="s">
        <v>12513</v>
      </c>
      <c r="D6393" s="25">
        <v>0.0</v>
      </c>
      <c r="E6393" s="27"/>
      <c r="F6393" s="25">
        <v>0.0</v>
      </c>
      <c r="G6393" s="27"/>
    </row>
    <row r="6394">
      <c r="A6394" s="21"/>
      <c r="B6394" s="21" t="s">
        <v>12514</v>
      </c>
      <c r="D6394" s="25">
        <v>0.0</v>
      </c>
      <c r="E6394" s="27"/>
      <c r="F6394" s="25">
        <v>0.0</v>
      </c>
      <c r="G6394" s="27"/>
    </row>
    <row r="6395">
      <c r="A6395" s="21"/>
      <c r="B6395" s="21" t="s">
        <v>12515</v>
      </c>
      <c r="D6395" s="25">
        <v>0.0</v>
      </c>
      <c r="E6395" s="27"/>
      <c r="F6395" s="25">
        <v>0.0</v>
      </c>
      <c r="G6395" s="27"/>
    </row>
    <row r="6396">
      <c r="A6396" s="21"/>
      <c r="B6396" s="21" t="s">
        <v>12516</v>
      </c>
      <c r="D6396" s="25">
        <v>0.0</v>
      </c>
      <c r="E6396" s="27"/>
      <c r="F6396" s="25">
        <v>0.0</v>
      </c>
      <c r="G6396" s="27"/>
    </row>
    <row r="6397">
      <c r="A6397" s="21"/>
      <c r="B6397" s="21" t="s">
        <v>12517</v>
      </c>
      <c r="D6397" s="25">
        <v>0.0</v>
      </c>
      <c r="E6397" s="27"/>
      <c r="F6397" s="25">
        <v>0.0</v>
      </c>
      <c r="G6397" s="27"/>
    </row>
    <row r="6398">
      <c r="A6398" s="21"/>
      <c r="B6398" s="21" t="s">
        <v>12518</v>
      </c>
      <c r="D6398" s="25">
        <v>0.0</v>
      </c>
      <c r="E6398" s="27"/>
      <c r="F6398" s="25">
        <v>0.0</v>
      </c>
      <c r="G6398" s="27"/>
    </row>
    <row r="6399">
      <c r="A6399" s="21"/>
      <c r="B6399" s="21" t="s">
        <v>12519</v>
      </c>
      <c r="C6399" s="27"/>
      <c r="D6399" s="25">
        <v>0.0</v>
      </c>
      <c r="E6399" s="27"/>
      <c r="F6399" s="25">
        <v>0.0</v>
      </c>
      <c r="G6399" s="27"/>
    </row>
    <row r="6400">
      <c r="A6400" s="21"/>
      <c r="B6400" s="21" t="s">
        <v>12520</v>
      </c>
      <c r="D6400" s="25">
        <v>0.0</v>
      </c>
      <c r="E6400" s="27"/>
      <c r="F6400" s="25">
        <v>0.0</v>
      </c>
      <c r="G6400" s="27"/>
    </row>
    <row r="6401">
      <c r="A6401" s="21"/>
      <c r="B6401" s="21" t="s">
        <v>12521</v>
      </c>
      <c r="D6401" s="25">
        <v>0.0</v>
      </c>
      <c r="E6401" s="27"/>
      <c r="F6401" s="25">
        <v>0.0</v>
      </c>
      <c r="G6401" s="27"/>
    </row>
    <row r="6402">
      <c r="A6402" s="21"/>
      <c r="B6402" s="21" t="s">
        <v>12522</v>
      </c>
      <c r="D6402" s="25">
        <v>0.0</v>
      </c>
      <c r="E6402" s="27"/>
      <c r="F6402" s="25">
        <v>0.0</v>
      </c>
      <c r="G6402" s="27"/>
    </row>
    <row r="6403">
      <c r="A6403" s="21"/>
      <c r="B6403" s="21" t="s">
        <v>12523</v>
      </c>
      <c r="D6403" s="25">
        <v>0.0</v>
      </c>
      <c r="E6403" s="27"/>
      <c r="F6403" s="25">
        <v>0.0</v>
      </c>
      <c r="G6403" s="27"/>
    </row>
    <row r="6404">
      <c r="A6404" s="21"/>
      <c r="B6404" s="21" t="s">
        <v>12524</v>
      </c>
      <c r="D6404" s="25">
        <v>0.0</v>
      </c>
      <c r="E6404" s="27"/>
      <c r="F6404" s="25">
        <v>0.0</v>
      </c>
      <c r="G6404" s="27"/>
    </row>
    <row r="6405">
      <c r="A6405" s="21"/>
      <c r="B6405" s="21" t="s">
        <v>12525</v>
      </c>
      <c r="D6405" s="25">
        <v>0.0</v>
      </c>
      <c r="E6405" s="27"/>
      <c r="F6405" s="25">
        <v>0.0</v>
      </c>
      <c r="G6405" s="27"/>
    </row>
    <row r="6406">
      <c r="A6406" s="21"/>
      <c r="B6406" s="21" t="s">
        <v>12526</v>
      </c>
      <c r="D6406" s="25">
        <v>0.0</v>
      </c>
      <c r="E6406" s="27"/>
      <c r="F6406" s="25">
        <v>0.0</v>
      </c>
      <c r="G6406" s="27"/>
    </row>
    <row r="6407">
      <c r="A6407" s="21"/>
      <c r="B6407" s="21" t="s">
        <v>12527</v>
      </c>
      <c r="D6407" s="25">
        <v>0.0</v>
      </c>
      <c r="E6407" s="27"/>
      <c r="F6407" s="25">
        <v>3.03</v>
      </c>
      <c r="G6407" s="27"/>
    </row>
    <row r="6408">
      <c r="A6408" s="21"/>
      <c r="B6408" s="21" t="s">
        <v>12528</v>
      </c>
      <c r="D6408" s="25">
        <v>0.0</v>
      </c>
      <c r="E6408" s="27"/>
      <c r="F6408" s="25">
        <v>0.0</v>
      </c>
      <c r="G6408" s="27"/>
    </row>
    <row r="6409">
      <c r="A6409" s="21"/>
      <c r="B6409" s="21" t="s">
        <v>12529</v>
      </c>
      <c r="D6409" s="25">
        <v>0.0</v>
      </c>
      <c r="E6409" s="27"/>
      <c r="F6409" s="25">
        <v>0.0</v>
      </c>
      <c r="G6409" s="27"/>
    </row>
    <row r="6410">
      <c r="A6410" s="21"/>
      <c r="B6410" s="21" t="s">
        <v>12530</v>
      </c>
      <c r="D6410" s="25">
        <v>0.0</v>
      </c>
      <c r="E6410" s="27"/>
      <c r="F6410" s="25">
        <v>0.0</v>
      </c>
      <c r="G6410" s="27"/>
    </row>
    <row r="6411">
      <c r="A6411" s="21"/>
      <c r="B6411" s="21" t="s">
        <v>12531</v>
      </c>
      <c r="D6411" s="25">
        <v>0.0</v>
      </c>
      <c r="E6411" s="27"/>
      <c r="F6411" s="25">
        <v>0.0</v>
      </c>
      <c r="G6411" s="27"/>
    </row>
    <row r="6412">
      <c r="A6412" s="21"/>
      <c r="B6412" s="21" t="s">
        <v>12532</v>
      </c>
      <c r="D6412" s="25">
        <v>0.0</v>
      </c>
      <c r="E6412" s="27"/>
      <c r="F6412" s="25">
        <v>0.0</v>
      </c>
      <c r="G6412" s="27"/>
    </row>
    <row r="6413">
      <c r="A6413" s="21"/>
      <c r="B6413" s="21" t="s">
        <v>12533</v>
      </c>
      <c r="D6413" s="25">
        <v>0.0</v>
      </c>
      <c r="E6413" s="27"/>
      <c r="F6413" s="25">
        <v>0.0</v>
      </c>
      <c r="G6413" s="27"/>
    </row>
    <row r="6414">
      <c r="A6414" s="21"/>
      <c r="B6414" s="21" t="s">
        <v>12534</v>
      </c>
      <c r="D6414" s="25">
        <v>0.0</v>
      </c>
      <c r="E6414" s="27"/>
      <c r="F6414" s="25">
        <v>0.0</v>
      </c>
      <c r="G6414" s="27"/>
    </row>
    <row r="6415">
      <c r="A6415" s="21"/>
      <c r="B6415" s="21" t="s">
        <v>12535</v>
      </c>
      <c r="D6415" s="25">
        <v>0.0</v>
      </c>
      <c r="E6415" s="27"/>
      <c r="F6415" s="25">
        <v>0.0</v>
      </c>
      <c r="G6415" s="27"/>
    </row>
    <row r="6416">
      <c r="A6416" s="21"/>
      <c r="B6416" s="21" t="s">
        <v>12536</v>
      </c>
      <c r="D6416" s="25">
        <v>0.0</v>
      </c>
      <c r="E6416" s="27"/>
      <c r="F6416" s="25">
        <v>0.0</v>
      </c>
      <c r="G6416" s="27"/>
    </row>
    <row r="6417">
      <c r="A6417" s="21"/>
      <c r="B6417" s="21" t="s">
        <v>12537</v>
      </c>
      <c r="D6417" s="25">
        <v>0.0</v>
      </c>
      <c r="E6417" s="27"/>
      <c r="F6417" s="25">
        <v>0.0</v>
      </c>
      <c r="G6417" s="27"/>
    </row>
    <row r="6418">
      <c r="A6418" s="21"/>
      <c r="B6418" s="21" t="s">
        <v>12538</v>
      </c>
      <c r="D6418" s="25">
        <v>0.0</v>
      </c>
      <c r="E6418" s="27"/>
      <c r="F6418" s="25">
        <v>0.0</v>
      </c>
      <c r="G6418" s="27"/>
    </row>
    <row r="6419">
      <c r="A6419" s="21"/>
      <c r="B6419" s="21" t="s">
        <v>12539</v>
      </c>
      <c r="D6419" s="25">
        <v>0.0</v>
      </c>
      <c r="E6419" s="27"/>
      <c r="F6419" s="25">
        <v>0.0</v>
      </c>
      <c r="G6419" s="27"/>
    </row>
    <row r="6420">
      <c r="A6420" s="21"/>
      <c r="B6420" s="21" t="s">
        <v>12540</v>
      </c>
      <c r="D6420" s="25">
        <v>0.0</v>
      </c>
      <c r="E6420" s="27"/>
      <c r="F6420" s="25">
        <v>0.0</v>
      </c>
      <c r="G6420" s="27"/>
    </row>
    <row r="6421">
      <c r="A6421" s="21"/>
      <c r="B6421" s="21" t="s">
        <v>12541</v>
      </c>
      <c r="D6421" s="25">
        <v>0.0</v>
      </c>
      <c r="E6421" s="27"/>
      <c r="F6421" s="25">
        <v>0.0</v>
      </c>
      <c r="G6421" s="27"/>
    </row>
    <row r="6422">
      <c r="A6422" s="21"/>
      <c r="B6422" s="21" t="s">
        <v>12542</v>
      </c>
      <c r="D6422" s="25">
        <v>0.0</v>
      </c>
      <c r="E6422" s="27"/>
      <c r="F6422" s="25">
        <v>0.0</v>
      </c>
      <c r="G6422" s="27"/>
    </row>
    <row r="6423">
      <c r="A6423" s="21"/>
      <c r="B6423" s="21" t="s">
        <v>12543</v>
      </c>
      <c r="D6423" s="25">
        <v>0.0</v>
      </c>
      <c r="E6423" s="27"/>
      <c r="F6423" s="25">
        <v>0.0</v>
      </c>
      <c r="G6423" s="27"/>
    </row>
    <row r="6424">
      <c r="A6424" s="21"/>
      <c r="B6424" s="21" t="s">
        <v>12544</v>
      </c>
      <c r="D6424" s="25">
        <v>0.0</v>
      </c>
      <c r="E6424" s="27"/>
      <c r="F6424" s="25">
        <v>0.0</v>
      </c>
      <c r="G6424" s="27"/>
    </row>
    <row r="6425">
      <c r="A6425" s="21"/>
      <c r="B6425" s="21" t="s">
        <v>12545</v>
      </c>
      <c r="D6425" s="25">
        <v>0.0</v>
      </c>
      <c r="E6425" s="27"/>
      <c r="F6425" s="25">
        <v>0.0</v>
      </c>
      <c r="G6425" s="27"/>
    </row>
    <row r="6426">
      <c r="A6426" s="21"/>
      <c r="B6426" s="21" t="s">
        <v>12546</v>
      </c>
      <c r="D6426" s="25">
        <v>0.0</v>
      </c>
      <c r="E6426" s="27"/>
      <c r="F6426" s="25">
        <v>0.0</v>
      </c>
      <c r="G6426" s="27"/>
    </row>
    <row r="6427">
      <c r="A6427" s="21"/>
      <c r="B6427" s="21" t="s">
        <v>12547</v>
      </c>
      <c r="D6427" s="25">
        <v>0.0</v>
      </c>
      <c r="E6427" s="27"/>
      <c r="F6427" s="25">
        <v>0.0</v>
      </c>
      <c r="G6427" s="27"/>
    </row>
    <row r="6428">
      <c r="A6428" s="21"/>
      <c r="B6428" s="21" t="s">
        <v>12548</v>
      </c>
      <c r="D6428" s="25">
        <v>0.0</v>
      </c>
      <c r="E6428" s="27"/>
      <c r="F6428" s="25">
        <v>0.0</v>
      </c>
      <c r="G6428" s="27"/>
    </row>
    <row r="6429">
      <c r="A6429" s="21"/>
      <c r="B6429" s="21" t="s">
        <v>12549</v>
      </c>
      <c r="D6429" s="25">
        <v>0.0</v>
      </c>
      <c r="E6429" s="27"/>
      <c r="F6429" s="25">
        <v>0.0</v>
      </c>
      <c r="G6429" s="27"/>
    </row>
    <row r="6430">
      <c r="A6430" s="21"/>
      <c r="B6430" s="21" t="s">
        <v>12550</v>
      </c>
      <c r="D6430" s="25">
        <v>0.0</v>
      </c>
      <c r="E6430" s="27"/>
      <c r="F6430" s="25">
        <v>0.0</v>
      </c>
      <c r="G6430" s="27"/>
    </row>
    <row r="6431">
      <c r="A6431" s="21"/>
      <c r="B6431" s="21" t="s">
        <v>12551</v>
      </c>
      <c r="D6431" s="25">
        <v>0.0</v>
      </c>
      <c r="E6431" s="27"/>
      <c r="F6431" s="25">
        <v>0.0</v>
      </c>
      <c r="G6431" s="27"/>
    </row>
    <row r="6432">
      <c r="A6432" s="21"/>
      <c r="B6432" s="21" t="s">
        <v>12552</v>
      </c>
      <c r="D6432" s="25">
        <v>0.0</v>
      </c>
      <c r="E6432" s="27"/>
      <c r="F6432" s="25">
        <v>0.0</v>
      </c>
      <c r="G6432" s="27"/>
    </row>
    <row r="6433">
      <c r="A6433" s="21"/>
      <c r="B6433" s="21" t="s">
        <v>12553</v>
      </c>
      <c r="D6433" s="25">
        <v>0.0</v>
      </c>
      <c r="E6433" s="27"/>
      <c r="F6433" s="25">
        <v>0.0</v>
      </c>
      <c r="G6433" s="27"/>
    </row>
    <row r="6434">
      <c r="A6434" s="21"/>
      <c r="B6434" s="21" t="s">
        <v>12554</v>
      </c>
      <c r="D6434" s="25">
        <v>0.0</v>
      </c>
      <c r="E6434" s="27"/>
      <c r="F6434" s="25">
        <v>0.0</v>
      </c>
      <c r="G6434" s="27"/>
    </row>
    <row r="6435">
      <c r="A6435" s="21"/>
      <c r="B6435" s="21" t="s">
        <v>12555</v>
      </c>
      <c r="D6435" s="25">
        <v>0.0</v>
      </c>
      <c r="E6435" s="27"/>
      <c r="F6435" s="25">
        <v>0.0</v>
      </c>
      <c r="G6435" s="27"/>
    </row>
    <row r="6436">
      <c r="A6436" s="21"/>
      <c r="B6436" s="21" t="s">
        <v>12556</v>
      </c>
      <c r="D6436" s="25">
        <v>0.0</v>
      </c>
      <c r="E6436" s="27"/>
      <c r="F6436" s="25">
        <v>0.0</v>
      </c>
      <c r="G6436" s="27"/>
    </row>
    <row r="6437">
      <c r="A6437" s="21"/>
      <c r="B6437" s="21" t="s">
        <v>12557</v>
      </c>
      <c r="D6437" s="25">
        <v>0.0</v>
      </c>
      <c r="E6437" s="27"/>
      <c r="F6437" s="25">
        <v>0.0</v>
      </c>
      <c r="G6437" s="27"/>
    </row>
    <row r="6438">
      <c r="A6438" s="21"/>
      <c r="B6438" s="21" t="s">
        <v>12558</v>
      </c>
      <c r="D6438" s="25">
        <v>0.0</v>
      </c>
      <c r="E6438" s="27"/>
      <c r="F6438" s="25">
        <v>0.0</v>
      </c>
      <c r="G6438" s="27"/>
    </row>
    <row r="6439">
      <c r="A6439" s="21"/>
      <c r="B6439" s="21" t="s">
        <v>12559</v>
      </c>
      <c r="D6439" s="25">
        <v>0.0</v>
      </c>
      <c r="E6439" s="27"/>
      <c r="F6439" s="25">
        <v>0.0</v>
      </c>
      <c r="G6439" s="27"/>
    </row>
    <row r="6440">
      <c r="A6440" s="21"/>
      <c r="B6440" s="21" t="s">
        <v>12560</v>
      </c>
      <c r="D6440" s="25">
        <v>0.0</v>
      </c>
      <c r="E6440" s="27"/>
      <c r="F6440" s="25">
        <v>0.0</v>
      </c>
      <c r="G6440" s="27"/>
    </row>
    <row r="6441">
      <c r="A6441" s="21"/>
      <c r="B6441" s="21" t="s">
        <v>12561</v>
      </c>
      <c r="D6441" s="25">
        <v>0.0</v>
      </c>
      <c r="E6441" s="27"/>
      <c r="F6441" s="25">
        <v>0.0</v>
      </c>
      <c r="G6441" s="27"/>
    </row>
    <row r="6442">
      <c r="A6442" s="21"/>
      <c r="B6442" s="21" t="s">
        <v>12562</v>
      </c>
      <c r="D6442" s="25">
        <v>0.0</v>
      </c>
      <c r="E6442" s="27"/>
      <c r="F6442" s="25">
        <v>0.0</v>
      </c>
      <c r="G6442" s="27"/>
    </row>
    <row r="6443">
      <c r="A6443" s="21"/>
      <c r="B6443" s="21" t="s">
        <v>12563</v>
      </c>
      <c r="D6443" s="25">
        <v>0.0</v>
      </c>
      <c r="E6443" s="27"/>
      <c r="F6443" s="25">
        <v>0.0</v>
      </c>
      <c r="G6443" s="27"/>
    </row>
    <row r="6444">
      <c r="A6444" s="21"/>
      <c r="B6444" s="21" t="s">
        <v>12564</v>
      </c>
      <c r="D6444" s="25">
        <v>0.0</v>
      </c>
      <c r="E6444" s="27"/>
      <c r="F6444" s="25">
        <v>0.75</v>
      </c>
      <c r="G6444" s="27"/>
    </row>
    <row r="6445">
      <c r="A6445" s="21"/>
      <c r="B6445" s="21" t="s">
        <v>12565</v>
      </c>
      <c r="D6445" s="25">
        <v>0.0</v>
      </c>
      <c r="E6445" s="27"/>
      <c r="F6445" s="25">
        <v>0.0</v>
      </c>
      <c r="G6445" s="27"/>
    </row>
    <row r="6446">
      <c r="A6446" s="21"/>
      <c r="B6446" s="21" t="s">
        <v>12566</v>
      </c>
      <c r="D6446" s="25">
        <v>0.0</v>
      </c>
      <c r="E6446" s="27"/>
      <c r="F6446" s="25">
        <v>0.0</v>
      </c>
      <c r="G6446" s="27"/>
    </row>
    <row r="6447">
      <c r="A6447" s="21"/>
      <c r="B6447" s="21" t="s">
        <v>12567</v>
      </c>
      <c r="D6447" s="25">
        <v>0.0</v>
      </c>
      <c r="E6447" s="27"/>
      <c r="F6447" s="25">
        <v>0.0</v>
      </c>
      <c r="G6447" s="27"/>
    </row>
    <row r="6448">
      <c r="A6448" s="21"/>
      <c r="B6448" s="21" t="s">
        <v>12568</v>
      </c>
      <c r="D6448" s="25">
        <v>0.0</v>
      </c>
      <c r="E6448" s="27"/>
      <c r="F6448" s="25">
        <v>0.0</v>
      </c>
      <c r="G6448" s="27"/>
    </row>
    <row r="6449">
      <c r="A6449" s="21"/>
      <c r="B6449" s="21" t="s">
        <v>12569</v>
      </c>
      <c r="D6449" s="25">
        <v>0.0</v>
      </c>
      <c r="E6449" s="27"/>
      <c r="F6449" s="25">
        <v>0.0</v>
      </c>
      <c r="G6449" s="27"/>
    </row>
    <row r="6450">
      <c r="A6450" s="21"/>
      <c r="B6450" s="21" t="s">
        <v>12570</v>
      </c>
      <c r="D6450" s="25">
        <v>0.0</v>
      </c>
      <c r="E6450" s="27"/>
      <c r="F6450" s="25">
        <v>0.0</v>
      </c>
      <c r="G6450" s="27"/>
    </row>
    <row r="6451">
      <c r="A6451" s="21"/>
      <c r="B6451" s="21" t="s">
        <v>12571</v>
      </c>
      <c r="D6451" s="25">
        <v>0.0</v>
      </c>
      <c r="E6451" s="27"/>
      <c r="F6451" s="25">
        <v>0.0</v>
      </c>
      <c r="G6451" s="27"/>
    </row>
    <row r="6452">
      <c r="A6452" s="21"/>
      <c r="B6452" s="21" t="s">
        <v>12572</v>
      </c>
      <c r="D6452" s="25">
        <v>0.0</v>
      </c>
      <c r="E6452" s="27"/>
      <c r="F6452" s="25">
        <v>4.22</v>
      </c>
      <c r="G6452" s="27"/>
    </row>
    <row r="6453">
      <c r="A6453" s="21"/>
      <c r="B6453" s="21" t="s">
        <v>12573</v>
      </c>
      <c r="D6453" s="25">
        <v>0.0</v>
      </c>
      <c r="E6453" s="27"/>
      <c r="F6453" s="25">
        <v>0.0</v>
      </c>
      <c r="G6453" s="27"/>
    </row>
    <row r="6454">
      <c r="A6454" s="21"/>
      <c r="B6454" s="21" t="s">
        <v>12574</v>
      </c>
      <c r="D6454" s="25">
        <v>0.0</v>
      </c>
      <c r="E6454" s="27"/>
      <c r="F6454" s="25">
        <v>0.0</v>
      </c>
      <c r="G6454" s="27"/>
    </row>
    <row r="6455">
      <c r="A6455" s="21"/>
      <c r="B6455" s="21" t="s">
        <v>12575</v>
      </c>
      <c r="D6455" s="25">
        <v>0.0</v>
      </c>
      <c r="E6455" s="27"/>
      <c r="F6455" s="25">
        <v>0.0</v>
      </c>
      <c r="G6455" s="27"/>
    </row>
    <row r="6456">
      <c r="A6456" s="21"/>
      <c r="B6456" s="21" t="s">
        <v>12576</v>
      </c>
      <c r="D6456" s="25">
        <v>0.0</v>
      </c>
      <c r="E6456" s="27"/>
      <c r="F6456" s="25">
        <v>0.0</v>
      </c>
      <c r="G6456" s="27"/>
    </row>
    <row r="6457">
      <c r="A6457" s="21"/>
      <c r="B6457" s="21" t="s">
        <v>12577</v>
      </c>
      <c r="D6457" s="25">
        <v>0.0</v>
      </c>
      <c r="E6457" s="27"/>
      <c r="F6457" s="25">
        <v>0.0</v>
      </c>
      <c r="G6457" s="27"/>
    </row>
    <row r="6458">
      <c r="A6458" s="21"/>
      <c r="B6458" s="21" t="s">
        <v>12578</v>
      </c>
      <c r="D6458" s="25">
        <v>0.0</v>
      </c>
      <c r="E6458" s="27"/>
      <c r="F6458" s="25">
        <v>0.0</v>
      </c>
      <c r="G6458" s="27"/>
    </row>
    <row r="6459">
      <c r="A6459" s="21"/>
      <c r="B6459" s="21" t="s">
        <v>12579</v>
      </c>
      <c r="D6459" s="25">
        <v>0.0</v>
      </c>
      <c r="E6459" s="27"/>
      <c r="F6459" s="25">
        <v>0.0</v>
      </c>
      <c r="G6459" s="27"/>
    </row>
    <row r="6460">
      <c r="A6460" s="21"/>
      <c r="B6460" s="21" t="s">
        <v>12580</v>
      </c>
      <c r="D6460" s="25">
        <v>0.0</v>
      </c>
      <c r="E6460" s="27"/>
      <c r="F6460" s="25">
        <v>0.0</v>
      </c>
      <c r="G6460" s="27"/>
    </row>
    <row r="6461">
      <c r="A6461" s="21"/>
      <c r="B6461" s="21" t="s">
        <v>12581</v>
      </c>
      <c r="D6461" s="25">
        <v>0.0</v>
      </c>
      <c r="E6461" s="27"/>
      <c r="F6461" s="25">
        <v>0.0</v>
      </c>
      <c r="G6461" s="27"/>
    </row>
    <row r="6462">
      <c r="A6462" s="21"/>
      <c r="B6462" s="21" t="s">
        <v>12582</v>
      </c>
      <c r="D6462" s="25">
        <v>0.0</v>
      </c>
      <c r="E6462" s="27"/>
      <c r="F6462" s="25">
        <v>0.0</v>
      </c>
      <c r="G6462" s="27"/>
    </row>
    <row r="6463">
      <c r="A6463" s="21"/>
      <c r="B6463" s="21" t="s">
        <v>12583</v>
      </c>
      <c r="D6463" s="25">
        <v>0.0</v>
      </c>
      <c r="E6463" s="27"/>
      <c r="F6463" s="25">
        <v>0.0</v>
      </c>
      <c r="G6463" s="27"/>
    </row>
    <row r="6464">
      <c r="A6464" s="21"/>
      <c r="B6464" s="21" t="s">
        <v>12584</v>
      </c>
      <c r="D6464" s="25">
        <v>0.0</v>
      </c>
      <c r="E6464" s="27"/>
      <c r="F6464" s="25">
        <v>0.0</v>
      </c>
      <c r="G6464" s="27"/>
    </row>
    <row r="6465">
      <c r="A6465" s="21"/>
      <c r="B6465" s="21" t="s">
        <v>12585</v>
      </c>
      <c r="D6465" s="25">
        <v>0.0</v>
      </c>
      <c r="E6465" s="27"/>
      <c r="F6465" s="25">
        <v>0.0</v>
      </c>
      <c r="G6465" s="27"/>
    </row>
    <row r="6466">
      <c r="A6466" s="21"/>
      <c r="B6466" s="21" t="s">
        <v>12586</v>
      </c>
      <c r="D6466" s="25">
        <v>0.0</v>
      </c>
      <c r="E6466" s="27"/>
      <c r="F6466" s="25">
        <v>0.0</v>
      </c>
      <c r="G6466" s="27"/>
    </row>
    <row r="6467">
      <c r="A6467" s="21"/>
      <c r="B6467" s="21" t="s">
        <v>12587</v>
      </c>
      <c r="D6467" s="25">
        <v>0.0</v>
      </c>
      <c r="E6467" s="27"/>
      <c r="F6467" s="25">
        <v>0.0</v>
      </c>
      <c r="G6467" s="27"/>
    </row>
    <row r="6468">
      <c r="A6468" s="21"/>
      <c r="B6468" s="21" t="s">
        <v>12588</v>
      </c>
      <c r="D6468" s="25">
        <v>0.0</v>
      </c>
      <c r="E6468" s="27"/>
      <c r="F6468" s="25">
        <v>0.0</v>
      </c>
      <c r="G6468" s="27"/>
    </row>
    <row r="6469">
      <c r="A6469" s="21"/>
      <c r="B6469" s="21" t="s">
        <v>12589</v>
      </c>
      <c r="D6469" s="25">
        <v>0.0</v>
      </c>
      <c r="E6469" s="27"/>
      <c r="F6469" s="25">
        <v>0.0</v>
      </c>
      <c r="G6469" s="27"/>
    </row>
    <row r="6470">
      <c r="A6470" s="21"/>
      <c r="B6470" s="21" t="s">
        <v>12590</v>
      </c>
      <c r="D6470" s="25">
        <v>0.0</v>
      </c>
      <c r="E6470" s="27"/>
      <c r="F6470" s="25">
        <v>0.0</v>
      </c>
      <c r="G6470" s="27"/>
    </row>
    <row r="6471">
      <c r="A6471" s="21"/>
      <c r="B6471" s="21" t="s">
        <v>12591</v>
      </c>
      <c r="D6471" s="25">
        <v>0.0</v>
      </c>
      <c r="E6471" s="27"/>
      <c r="F6471" s="25">
        <v>0.0</v>
      </c>
      <c r="G6471" s="27"/>
    </row>
    <row r="6472">
      <c r="A6472" s="21"/>
      <c r="B6472" s="21" t="s">
        <v>12592</v>
      </c>
      <c r="D6472" s="25">
        <v>0.0</v>
      </c>
      <c r="E6472" s="27"/>
      <c r="F6472" s="25">
        <v>0.0</v>
      </c>
      <c r="G6472" s="27"/>
    </row>
    <row r="6473">
      <c r="A6473" s="21"/>
      <c r="B6473" s="21" t="s">
        <v>12593</v>
      </c>
      <c r="D6473" s="25">
        <v>0.0</v>
      </c>
      <c r="E6473" s="27"/>
      <c r="F6473" s="25">
        <v>2.06</v>
      </c>
      <c r="G6473" s="27"/>
    </row>
    <row r="6474">
      <c r="A6474" s="21"/>
      <c r="B6474" s="21" t="s">
        <v>12594</v>
      </c>
      <c r="D6474" s="25">
        <v>0.0</v>
      </c>
      <c r="E6474" s="27"/>
      <c r="F6474" s="25">
        <v>2.06</v>
      </c>
      <c r="G6474" s="27"/>
    </row>
    <row r="6475">
      <c r="A6475" s="21"/>
      <c r="B6475" s="21" t="s">
        <v>12595</v>
      </c>
      <c r="D6475" s="25">
        <v>0.0</v>
      </c>
      <c r="E6475" s="27"/>
      <c r="F6475" s="25">
        <v>0.0</v>
      </c>
      <c r="G6475" s="27"/>
    </row>
    <row r="6476">
      <c r="A6476" s="21"/>
      <c r="B6476" s="21" t="s">
        <v>12596</v>
      </c>
      <c r="D6476" s="25">
        <v>0.0</v>
      </c>
      <c r="E6476" s="27"/>
      <c r="F6476" s="25">
        <v>0.0</v>
      </c>
      <c r="G6476" s="27"/>
    </row>
    <row r="6477">
      <c r="A6477" s="21"/>
      <c r="B6477" s="21" t="s">
        <v>12597</v>
      </c>
      <c r="D6477" s="25">
        <v>0.0</v>
      </c>
      <c r="E6477" s="27"/>
      <c r="F6477" s="25">
        <v>0.0</v>
      </c>
      <c r="G6477" s="27"/>
    </row>
    <row r="6478">
      <c r="A6478" s="21"/>
      <c r="B6478" s="21" t="s">
        <v>12598</v>
      </c>
      <c r="D6478" s="25">
        <v>0.0</v>
      </c>
      <c r="E6478" s="27"/>
      <c r="F6478" s="25">
        <v>0.0</v>
      </c>
      <c r="G6478" s="27"/>
    </row>
    <row r="6479">
      <c r="A6479" s="21"/>
      <c r="B6479" s="21" t="s">
        <v>12599</v>
      </c>
      <c r="D6479" s="25">
        <v>0.0</v>
      </c>
      <c r="E6479" s="27"/>
      <c r="F6479" s="25">
        <v>0.0</v>
      </c>
      <c r="G6479" s="27"/>
    </row>
    <row r="6480">
      <c r="A6480" s="21"/>
      <c r="B6480" s="21" t="s">
        <v>12600</v>
      </c>
      <c r="D6480" s="25">
        <v>0.0</v>
      </c>
      <c r="E6480" s="27"/>
      <c r="F6480" s="25">
        <v>0.0</v>
      </c>
      <c r="G6480" s="27"/>
    </row>
    <row r="6481">
      <c r="A6481" s="21"/>
      <c r="B6481" s="21" t="s">
        <v>12601</v>
      </c>
      <c r="D6481" s="25">
        <v>0.0</v>
      </c>
      <c r="E6481" s="27"/>
      <c r="F6481" s="25">
        <v>0.0</v>
      </c>
      <c r="G6481" s="27"/>
    </row>
    <row r="6482">
      <c r="A6482" s="21"/>
      <c r="B6482" s="21" t="s">
        <v>12602</v>
      </c>
      <c r="D6482" s="25">
        <v>0.0</v>
      </c>
      <c r="E6482" s="27"/>
      <c r="F6482" s="25">
        <v>0.0</v>
      </c>
      <c r="G6482" s="27"/>
    </row>
    <row r="6483">
      <c r="A6483" s="21"/>
      <c r="B6483" s="21" t="s">
        <v>12603</v>
      </c>
      <c r="D6483" s="25">
        <v>0.0</v>
      </c>
      <c r="E6483" s="27"/>
      <c r="F6483" s="25">
        <v>0.0</v>
      </c>
      <c r="G6483" s="27"/>
    </row>
    <row r="6484">
      <c r="A6484" s="21"/>
      <c r="B6484" s="21" t="s">
        <v>12604</v>
      </c>
      <c r="D6484" s="25">
        <v>0.0</v>
      </c>
      <c r="E6484" s="27"/>
      <c r="F6484" s="25">
        <v>0.0</v>
      </c>
      <c r="G6484" s="27"/>
    </row>
    <row r="6485">
      <c r="A6485" s="21"/>
      <c r="B6485" s="21" t="s">
        <v>12605</v>
      </c>
      <c r="D6485" s="25">
        <v>0.0</v>
      </c>
      <c r="E6485" s="27"/>
      <c r="F6485" s="25">
        <v>0.0</v>
      </c>
      <c r="G6485" s="27"/>
    </row>
    <row r="6486">
      <c r="A6486" s="21"/>
      <c r="B6486" s="21" t="s">
        <v>12606</v>
      </c>
      <c r="D6486" s="25">
        <v>0.0</v>
      </c>
      <c r="E6486" s="27"/>
      <c r="F6486" s="25">
        <v>0.0</v>
      </c>
      <c r="G6486" s="27"/>
    </row>
    <row r="6487">
      <c r="A6487" s="21"/>
      <c r="B6487" s="21" t="s">
        <v>12607</v>
      </c>
      <c r="D6487" s="25">
        <v>0.0</v>
      </c>
      <c r="E6487" s="27"/>
      <c r="F6487" s="25">
        <v>0.0</v>
      </c>
      <c r="G6487" s="27"/>
    </row>
    <row r="6488">
      <c r="A6488" s="21"/>
      <c r="B6488" s="21" t="s">
        <v>12608</v>
      </c>
      <c r="D6488" s="25">
        <v>0.0</v>
      </c>
      <c r="E6488" s="27"/>
      <c r="F6488" s="25">
        <v>0.0</v>
      </c>
      <c r="G6488" s="27"/>
    </row>
    <row r="6489">
      <c r="A6489" s="21"/>
      <c r="B6489" s="21" t="s">
        <v>12609</v>
      </c>
      <c r="D6489" s="25">
        <v>0.0</v>
      </c>
      <c r="E6489" s="27"/>
      <c r="F6489" s="25">
        <v>0.0</v>
      </c>
      <c r="G6489" s="27"/>
    </row>
    <row r="6490">
      <c r="A6490" s="21"/>
      <c r="B6490" s="21" t="s">
        <v>12610</v>
      </c>
      <c r="D6490" s="25">
        <v>0.0</v>
      </c>
      <c r="E6490" s="27"/>
      <c r="F6490" s="25">
        <v>0.0</v>
      </c>
      <c r="G6490" s="27"/>
    </row>
    <row r="6491">
      <c r="A6491" s="21"/>
      <c r="B6491" s="21" t="s">
        <v>12611</v>
      </c>
      <c r="D6491" s="25">
        <v>0.0</v>
      </c>
      <c r="E6491" s="27"/>
      <c r="F6491" s="25">
        <v>0.0</v>
      </c>
      <c r="G6491" s="27"/>
    </row>
    <row r="6492">
      <c r="A6492" s="21"/>
      <c r="B6492" s="21" t="s">
        <v>12612</v>
      </c>
      <c r="D6492" s="25">
        <v>0.0</v>
      </c>
      <c r="E6492" s="27"/>
      <c r="F6492" s="25">
        <v>0.0</v>
      </c>
      <c r="G6492" s="27"/>
    </row>
    <row r="6493">
      <c r="A6493" s="21"/>
      <c r="B6493" s="21" t="s">
        <v>12613</v>
      </c>
      <c r="D6493" s="25">
        <v>0.0</v>
      </c>
      <c r="E6493" s="27"/>
      <c r="F6493" s="25">
        <v>0.0</v>
      </c>
      <c r="G6493" s="27"/>
    </row>
    <row r="6494">
      <c r="A6494" s="21"/>
      <c r="B6494" s="21" t="s">
        <v>12614</v>
      </c>
      <c r="D6494" s="25">
        <v>0.0</v>
      </c>
      <c r="E6494" s="27"/>
      <c r="F6494" s="25">
        <v>0.0</v>
      </c>
      <c r="G6494" s="27"/>
    </row>
    <row r="6495">
      <c r="A6495" s="21"/>
      <c r="B6495" s="21" t="s">
        <v>12615</v>
      </c>
      <c r="D6495" s="25">
        <v>0.0</v>
      </c>
      <c r="E6495" s="27"/>
      <c r="F6495" s="25">
        <v>0.0</v>
      </c>
      <c r="G6495" s="27"/>
    </row>
    <row r="6496">
      <c r="A6496" s="21"/>
      <c r="B6496" s="21" t="s">
        <v>12616</v>
      </c>
      <c r="D6496" s="25">
        <v>0.0</v>
      </c>
      <c r="E6496" s="27"/>
      <c r="F6496" s="25">
        <v>0.0</v>
      </c>
      <c r="G6496" s="27"/>
    </row>
    <row r="6497">
      <c r="A6497" s="21"/>
      <c r="B6497" s="21" t="s">
        <v>12617</v>
      </c>
      <c r="D6497" s="25">
        <v>0.0</v>
      </c>
      <c r="E6497" s="27"/>
      <c r="F6497" s="25">
        <v>0.0</v>
      </c>
      <c r="G6497" s="27"/>
    </row>
    <row r="6498">
      <c r="A6498" s="21"/>
      <c r="B6498" s="21" t="s">
        <v>12618</v>
      </c>
      <c r="D6498" s="25">
        <v>0.0</v>
      </c>
      <c r="E6498" s="27"/>
      <c r="F6498" s="25">
        <v>0.0</v>
      </c>
      <c r="G6498" s="27"/>
    </row>
    <row r="6499">
      <c r="A6499" s="21"/>
      <c r="B6499" s="21" t="s">
        <v>12619</v>
      </c>
      <c r="D6499" s="25">
        <v>0.0</v>
      </c>
      <c r="E6499" s="27"/>
      <c r="F6499" s="25">
        <v>0.0</v>
      </c>
      <c r="G6499" s="27"/>
    </row>
    <row r="6500">
      <c r="A6500" s="21"/>
      <c r="B6500" s="21" t="s">
        <v>12620</v>
      </c>
      <c r="D6500" s="25">
        <v>0.0</v>
      </c>
      <c r="E6500" s="27"/>
      <c r="F6500" s="25">
        <v>0.0</v>
      </c>
      <c r="G6500" s="27"/>
    </row>
    <row r="6501">
      <c r="A6501" s="21"/>
      <c r="B6501" s="21" t="s">
        <v>12621</v>
      </c>
      <c r="D6501" s="25">
        <v>0.0</v>
      </c>
      <c r="E6501" s="27"/>
      <c r="F6501" s="25">
        <v>0.0</v>
      </c>
      <c r="G6501" s="27"/>
    </row>
    <row r="6502">
      <c r="A6502" s="21"/>
      <c r="B6502" s="21" t="s">
        <v>12622</v>
      </c>
      <c r="D6502" s="25">
        <v>0.0</v>
      </c>
      <c r="E6502" s="27"/>
      <c r="F6502" s="25">
        <v>0.0</v>
      </c>
      <c r="G6502" s="27"/>
    </row>
    <row r="6503">
      <c r="A6503" s="21"/>
      <c r="B6503" s="21" t="s">
        <v>12623</v>
      </c>
      <c r="D6503" s="25">
        <v>0.0</v>
      </c>
      <c r="E6503" s="27"/>
      <c r="F6503" s="25">
        <v>0.0</v>
      </c>
      <c r="G6503" s="27"/>
    </row>
    <row r="6504">
      <c r="A6504" s="21"/>
      <c r="B6504" s="21" t="s">
        <v>12624</v>
      </c>
      <c r="D6504" s="25">
        <v>0.0</v>
      </c>
      <c r="E6504" s="27"/>
      <c r="F6504" s="25">
        <v>0.0</v>
      </c>
      <c r="G6504" s="27"/>
    </row>
    <row r="6505">
      <c r="A6505" s="21"/>
      <c r="B6505" s="21" t="s">
        <v>12625</v>
      </c>
      <c r="D6505" s="25">
        <v>0.0</v>
      </c>
      <c r="E6505" s="27"/>
      <c r="F6505" s="25">
        <v>0.0</v>
      </c>
      <c r="G6505" s="27"/>
    </row>
    <row r="6506">
      <c r="A6506" s="21"/>
      <c r="B6506" s="21" t="s">
        <v>12626</v>
      </c>
      <c r="D6506" s="25">
        <v>0.0</v>
      </c>
      <c r="E6506" s="27"/>
      <c r="F6506" s="25">
        <v>0.0</v>
      </c>
      <c r="G6506" s="27"/>
    </row>
    <row r="6507">
      <c r="A6507" s="21"/>
      <c r="B6507" s="21" t="s">
        <v>12627</v>
      </c>
      <c r="D6507" s="25">
        <v>0.0</v>
      </c>
      <c r="E6507" s="27"/>
      <c r="F6507" s="25">
        <v>0.0</v>
      </c>
      <c r="G6507" s="27"/>
    </row>
    <row r="6508">
      <c r="A6508" s="21"/>
      <c r="B6508" s="21" t="s">
        <v>12628</v>
      </c>
      <c r="D6508" s="25">
        <v>0.0</v>
      </c>
      <c r="E6508" s="27"/>
      <c r="F6508" s="25">
        <v>0.0</v>
      </c>
      <c r="G6508" s="27"/>
    </row>
    <row r="6509">
      <c r="A6509" s="21"/>
      <c r="B6509" s="21" t="s">
        <v>12629</v>
      </c>
      <c r="D6509" s="25">
        <v>0.0</v>
      </c>
      <c r="E6509" s="27"/>
      <c r="F6509" s="25">
        <v>0.0</v>
      </c>
      <c r="G6509" s="27"/>
    </row>
    <row r="6510">
      <c r="A6510" s="21"/>
      <c r="B6510" s="21" t="s">
        <v>12630</v>
      </c>
      <c r="D6510" s="25">
        <v>0.0</v>
      </c>
      <c r="E6510" s="27"/>
      <c r="F6510" s="25">
        <v>0.0</v>
      </c>
      <c r="G6510" s="27"/>
    </row>
    <row r="6511">
      <c r="A6511" s="21"/>
      <c r="B6511" s="21" t="s">
        <v>12631</v>
      </c>
      <c r="D6511" s="25">
        <v>0.0</v>
      </c>
      <c r="E6511" s="27"/>
      <c r="F6511" s="25">
        <v>0.0</v>
      </c>
      <c r="G6511" s="27"/>
    </row>
    <row r="6512">
      <c r="A6512" s="21"/>
      <c r="B6512" s="21" t="s">
        <v>12632</v>
      </c>
      <c r="D6512" s="25">
        <v>0.0</v>
      </c>
      <c r="E6512" s="27"/>
      <c r="F6512" s="25">
        <v>0.0</v>
      </c>
      <c r="G6512" s="27"/>
    </row>
    <row r="6513">
      <c r="A6513" s="21"/>
      <c r="B6513" s="21" t="s">
        <v>12633</v>
      </c>
      <c r="D6513" s="25">
        <v>0.0</v>
      </c>
      <c r="E6513" s="27"/>
      <c r="F6513" s="25">
        <v>0.0</v>
      </c>
      <c r="G6513" s="27"/>
    </row>
    <row r="6514">
      <c r="A6514" s="21"/>
      <c r="B6514" s="21" t="s">
        <v>12634</v>
      </c>
      <c r="D6514" s="25">
        <v>0.0</v>
      </c>
      <c r="E6514" s="27"/>
      <c r="F6514" s="25">
        <v>4.51</v>
      </c>
      <c r="G6514" s="27"/>
    </row>
    <row r="6515">
      <c r="A6515" s="21"/>
      <c r="B6515" s="21" t="s">
        <v>12635</v>
      </c>
      <c r="D6515" s="25">
        <v>0.0</v>
      </c>
      <c r="E6515" s="27"/>
      <c r="F6515" s="25">
        <v>0.0</v>
      </c>
      <c r="G6515" s="27"/>
    </row>
    <row r="6516">
      <c r="A6516" s="21"/>
      <c r="B6516" s="21" t="s">
        <v>12636</v>
      </c>
      <c r="D6516" s="25">
        <v>0.0</v>
      </c>
      <c r="E6516" s="27"/>
      <c r="F6516" s="25">
        <v>0.0</v>
      </c>
      <c r="G6516" s="27"/>
    </row>
    <row r="6517">
      <c r="A6517" s="21"/>
      <c r="B6517" s="21" t="s">
        <v>12637</v>
      </c>
      <c r="D6517" s="25">
        <v>0.0</v>
      </c>
      <c r="E6517" s="27"/>
      <c r="F6517" s="25">
        <v>0.0</v>
      </c>
      <c r="G6517" s="27"/>
    </row>
    <row r="6518">
      <c r="A6518" s="21"/>
      <c r="B6518" s="21" t="s">
        <v>12638</v>
      </c>
      <c r="D6518" s="25">
        <v>0.0</v>
      </c>
      <c r="E6518" s="27"/>
      <c r="F6518" s="25">
        <v>0.0</v>
      </c>
      <c r="G6518" s="27"/>
    </row>
    <row r="6519">
      <c r="A6519" s="21"/>
      <c r="B6519" s="21" t="s">
        <v>12639</v>
      </c>
      <c r="D6519" s="25">
        <v>0.0</v>
      </c>
      <c r="E6519" s="27"/>
      <c r="F6519" s="25">
        <v>0.0</v>
      </c>
      <c r="G6519" s="27"/>
    </row>
    <row r="6520">
      <c r="A6520" s="21"/>
      <c r="B6520" s="21" t="s">
        <v>12640</v>
      </c>
      <c r="D6520" s="25">
        <v>0.0</v>
      </c>
      <c r="E6520" s="27"/>
      <c r="F6520" s="25">
        <v>0.0</v>
      </c>
      <c r="G6520" s="27"/>
    </row>
    <row r="6521">
      <c r="A6521" s="21"/>
      <c r="B6521" s="21" t="s">
        <v>12641</v>
      </c>
      <c r="D6521" s="25">
        <v>0.0</v>
      </c>
      <c r="E6521" s="27"/>
      <c r="F6521" s="25">
        <v>0.0</v>
      </c>
      <c r="G6521" s="27"/>
    </row>
    <row r="6522">
      <c r="A6522" s="21"/>
      <c r="B6522" s="21" t="s">
        <v>12642</v>
      </c>
      <c r="D6522" s="25">
        <v>0.0</v>
      </c>
      <c r="E6522" s="27"/>
      <c r="F6522" s="25">
        <v>0.0</v>
      </c>
      <c r="G6522" s="27"/>
    </row>
    <row r="6523">
      <c r="A6523" s="21"/>
      <c r="B6523" s="21" t="s">
        <v>12643</v>
      </c>
      <c r="D6523" s="25">
        <v>0.0</v>
      </c>
      <c r="E6523" s="27"/>
      <c r="F6523" s="25">
        <v>0.0</v>
      </c>
      <c r="G6523" s="27"/>
    </row>
    <row r="6524">
      <c r="A6524" s="21"/>
      <c r="B6524" s="21" t="s">
        <v>12644</v>
      </c>
      <c r="D6524" s="25">
        <v>0.0</v>
      </c>
      <c r="E6524" s="27"/>
      <c r="F6524" s="25">
        <v>0.0</v>
      </c>
      <c r="G6524" s="27"/>
    </row>
    <row r="6525">
      <c r="A6525" s="21"/>
      <c r="B6525" s="21" t="s">
        <v>12645</v>
      </c>
      <c r="D6525" s="25">
        <v>0.0</v>
      </c>
      <c r="E6525" s="27"/>
      <c r="F6525" s="25">
        <v>0.0</v>
      </c>
      <c r="G6525" s="27"/>
    </row>
    <row r="6526">
      <c r="A6526" s="21"/>
      <c r="B6526" s="21" t="s">
        <v>12646</v>
      </c>
      <c r="D6526" s="25">
        <v>0.0</v>
      </c>
      <c r="E6526" s="27"/>
      <c r="F6526" s="25">
        <v>0.0</v>
      </c>
      <c r="G6526" s="27"/>
    </row>
    <row r="6527">
      <c r="A6527" s="21"/>
      <c r="B6527" s="21" t="s">
        <v>12647</v>
      </c>
      <c r="D6527" s="25">
        <v>0.0</v>
      </c>
      <c r="E6527" s="27"/>
      <c r="F6527" s="25">
        <v>0.0</v>
      </c>
      <c r="G6527" s="27"/>
    </row>
    <row r="6528">
      <c r="A6528" s="21"/>
      <c r="B6528" s="21" t="s">
        <v>12648</v>
      </c>
      <c r="D6528" s="25">
        <v>0.0</v>
      </c>
      <c r="E6528" s="27"/>
      <c r="F6528" s="25">
        <v>0.0</v>
      </c>
      <c r="G6528" s="27"/>
    </row>
    <row r="6529">
      <c r="A6529" s="21"/>
      <c r="B6529" s="21" t="s">
        <v>12649</v>
      </c>
      <c r="D6529" s="25">
        <v>0.0</v>
      </c>
      <c r="E6529" s="27"/>
      <c r="F6529" s="25">
        <v>0.0</v>
      </c>
      <c r="G6529" s="27"/>
    </row>
    <row r="6530">
      <c r="A6530" s="21"/>
      <c r="B6530" s="21" t="s">
        <v>12650</v>
      </c>
      <c r="D6530" s="25">
        <v>0.0</v>
      </c>
      <c r="E6530" s="27"/>
      <c r="F6530" s="25">
        <v>0.0</v>
      </c>
      <c r="G6530" s="27"/>
    </row>
    <row r="6531">
      <c r="A6531" s="21"/>
      <c r="B6531" s="21" t="s">
        <v>12651</v>
      </c>
      <c r="D6531" s="25">
        <v>0.0</v>
      </c>
      <c r="E6531" s="27"/>
      <c r="F6531" s="25">
        <v>0.0</v>
      </c>
      <c r="G6531" s="27"/>
    </row>
    <row r="6532">
      <c r="A6532" s="21"/>
      <c r="B6532" s="21" t="s">
        <v>12652</v>
      </c>
      <c r="D6532" s="25">
        <v>0.0</v>
      </c>
      <c r="E6532" s="27"/>
      <c r="F6532" s="25">
        <v>0.0</v>
      </c>
      <c r="G6532" s="27"/>
    </row>
    <row r="6533">
      <c r="A6533" s="21"/>
      <c r="B6533" s="21" t="s">
        <v>12653</v>
      </c>
      <c r="D6533" s="25">
        <v>0.0</v>
      </c>
      <c r="E6533" s="27"/>
      <c r="F6533" s="25">
        <v>0.0</v>
      </c>
      <c r="G6533" s="27"/>
    </row>
    <row r="6534">
      <c r="A6534" s="21"/>
      <c r="B6534" s="21" t="s">
        <v>12654</v>
      </c>
      <c r="D6534" s="25">
        <v>0.0</v>
      </c>
      <c r="E6534" s="27"/>
      <c r="F6534" s="25">
        <v>0.0</v>
      </c>
      <c r="G6534" s="27"/>
    </row>
    <row r="6535">
      <c r="A6535" s="21"/>
      <c r="B6535" s="21" t="s">
        <v>12655</v>
      </c>
      <c r="D6535" s="25">
        <v>0.0</v>
      </c>
      <c r="E6535" s="27"/>
      <c r="F6535" s="25">
        <v>0.0</v>
      </c>
      <c r="G6535" s="27"/>
    </row>
    <row r="6536">
      <c r="A6536" s="21"/>
      <c r="B6536" s="21" t="s">
        <v>12656</v>
      </c>
      <c r="D6536" s="25">
        <v>0.0</v>
      </c>
      <c r="E6536" s="27"/>
      <c r="F6536" s="25">
        <v>0.0</v>
      </c>
      <c r="G6536" s="27"/>
    </row>
    <row r="6537">
      <c r="A6537" s="21"/>
      <c r="B6537" s="21" t="s">
        <v>12657</v>
      </c>
      <c r="D6537" s="25">
        <v>0.0</v>
      </c>
      <c r="E6537" s="27"/>
      <c r="F6537" s="25">
        <v>4.25</v>
      </c>
      <c r="G6537" s="27"/>
    </row>
    <row r="6538">
      <c r="A6538" s="21"/>
      <c r="B6538" s="21" t="s">
        <v>12658</v>
      </c>
      <c r="D6538" s="25">
        <v>0.0</v>
      </c>
      <c r="E6538" s="27"/>
      <c r="F6538" s="25">
        <v>0.0</v>
      </c>
      <c r="G6538" s="27"/>
    </row>
    <row r="6539">
      <c r="A6539" s="21"/>
      <c r="B6539" s="21" t="s">
        <v>12659</v>
      </c>
      <c r="D6539" s="25">
        <v>0.0</v>
      </c>
      <c r="E6539" s="27"/>
      <c r="F6539" s="25">
        <v>0.0</v>
      </c>
      <c r="G6539" s="27"/>
    </row>
    <row r="6540">
      <c r="A6540" s="21"/>
      <c r="B6540" s="21" t="s">
        <v>12660</v>
      </c>
      <c r="D6540" s="25">
        <v>0.0</v>
      </c>
      <c r="E6540" s="27"/>
      <c r="F6540" s="25">
        <v>0.0</v>
      </c>
      <c r="G6540" s="27"/>
    </row>
    <row r="6541">
      <c r="A6541" s="21"/>
      <c r="B6541" s="21" t="s">
        <v>12661</v>
      </c>
      <c r="D6541" s="25">
        <v>0.0</v>
      </c>
      <c r="E6541" s="27"/>
      <c r="F6541" s="25">
        <v>0.0</v>
      </c>
      <c r="G6541" s="27"/>
    </row>
    <row r="6542">
      <c r="A6542" s="21"/>
      <c r="B6542" s="21" t="s">
        <v>12662</v>
      </c>
      <c r="D6542" s="25">
        <v>0.0</v>
      </c>
      <c r="E6542" s="27"/>
      <c r="F6542" s="25">
        <v>0.0</v>
      </c>
      <c r="G6542" s="27"/>
    </row>
    <row r="6543">
      <c r="A6543" s="21"/>
      <c r="B6543" s="21" t="s">
        <v>12663</v>
      </c>
      <c r="D6543" s="25">
        <v>0.0</v>
      </c>
      <c r="E6543" s="27"/>
      <c r="F6543" s="25">
        <v>0.0</v>
      </c>
      <c r="G6543" s="27"/>
    </row>
    <row r="6544">
      <c r="A6544" s="21"/>
      <c r="B6544" s="21" t="s">
        <v>12664</v>
      </c>
      <c r="D6544" s="25">
        <v>0.0</v>
      </c>
      <c r="E6544" s="27"/>
      <c r="F6544" s="25">
        <v>0.0</v>
      </c>
      <c r="G6544" s="27"/>
    </row>
    <row r="6545">
      <c r="A6545" s="21"/>
      <c r="B6545" s="21" t="s">
        <v>12665</v>
      </c>
      <c r="D6545" s="25">
        <v>0.0</v>
      </c>
      <c r="E6545" s="27"/>
      <c r="F6545" s="25">
        <v>0.0</v>
      </c>
      <c r="G6545" s="27"/>
    </row>
    <row r="6546">
      <c r="A6546" s="21"/>
      <c r="B6546" s="21" t="s">
        <v>12666</v>
      </c>
      <c r="D6546" s="25">
        <v>0.0</v>
      </c>
      <c r="E6546" s="27"/>
      <c r="F6546" s="25">
        <v>0.0</v>
      </c>
      <c r="G6546" s="27"/>
    </row>
    <row r="6547">
      <c r="A6547" s="21"/>
      <c r="B6547" s="21" t="s">
        <v>12667</v>
      </c>
      <c r="D6547" s="25">
        <v>0.0</v>
      </c>
      <c r="E6547" s="27"/>
      <c r="F6547" s="25">
        <v>0.0</v>
      </c>
      <c r="G6547" s="27"/>
    </row>
    <row r="6548">
      <c r="A6548" s="21"/>
      <c r="B6548" s="21" t="s">
        <v>12668</v>
      </c>
      <c r="D6548" s="25">
        <v>0.0</v>
      </c>
      <c r="E6548" s="27"/>
      <c r="F6548" s="25">
        <v>0.0</v>
      </c>
      <c r="G6548" s="27"/>
    </row>
    <row r="6549">
      <c r="A6549" s="21"/>
      <c r="B6549" s="21" t="s">
        <v>12669</v>
      </c>
      <c r="D6549" s="25">
        <v>0.0</v>
      </c>
      <c r="E6549" s="27"/>
      <c r="F6549" s="25">
        <v>0.0</v>
      </c>
      <c r="G6549" s="27"/>
    </row>
    <row r="6550">
      <c r="A6550" s="21"/>
      <c r="B6550" s="21" t="s">
        <v>12670</v>
      </c>
      <c r="D6550" s="25">
        <v>0.0</v>
      </c>
      <c r="E6550" s="27"/>
      <c r="F6550" s="25">
        <v>0.0</v>
      </c>
      <c r="G6550" s="27"/>
    </row>
    <row r="6551">
      <c r="A6551" s="21"/>
      <c r="B6551" s="21" t="s">
        <v>12671</v>
      </c>
      <c r="D6551" s="25">
        <v>0.0</v>
      </c>
      <c r="E6551" s="27"/>
      <c r="F6551" s="25">
        <v>0.0</v>
      </c>
      <c r="G6551" s="27"/>
    </row>
    <row r="6552">
      <c r="A6552" s="21"/>
      <c r="B6552" s="21" t="s">
        <v>12672</v>
      </c>
      <c r="D6552" s="25">
        <v>0.0</v>
      </c>
      <c r="E6552" s="27"/>
      <c r="F6552" s="25">
        <v>0.0</v>
      </c>
      <c r="G6552" s="27"/>
    </row>
    <row r="6553">
      <c r="A6553" s="21"/>
      <c r="B6553" s="21" t="s">
        <v>12673</v>
      </c>
      <c r="D6553" s="25">
        <v>0.0</v>
      </c>
      <c r="E6553" s="27"/>
      <c r="F6553" s="25">
        <v>0.0</v>
      </c>
      <c r="G6553" s="27"/>
    </row>
    <row r="6554">
      <c r="A6554" s="21"/>
      <c r="B6554" s="21" t="s">
        <v>12674</v>
      </c>
      <c r="D6554" s="25">
        <v>0.0</v>
      </c>
      <c r="E6554" s="27"/>
      <c r="F6554" s="25">
        <v>0.0</v>
      </c>
      <c r="G6554" s="27"/>
    </row>
    <row r="6555">
      <c r="A6555" s="21"/>
      <c r="B6555" s="21" t="s">
        <v>12675</v>
      </c>
      <c r="D6555" s="25">
        <v>0.0</v>
      </c>
      <c r="E6555" s="27"/>
      <c r="F6555" s="25">
        <v>0.0</v>
      </c>
      <c r="G6555" s="27"/>
    </row>
    <row r="6556">
      <c r="A6556" s="21"/>
      <c r="B6556" s="21" t="s">
        <v>12676</v>
      </c>
      <c r="D6556" s="25">
        <v>0.0</v>
      </c>
      <c r="E6556" s="27"/>
      <c r="F6556" s="25">
        <v>0.0</v>
      </c>
      <c r="G6556" s="27"/>
    </row>
    <row r="6557">
      <c r="A6557" s="21"/>
      <c r="B6557" s="21" t="s">
        <v>12677</v>
      </c>
      <c r="D6557" s="25">
        <v>0.0</v>
      </c>
      <c r="E6557" s="27"/>
      <c r="F6557" s="25">
        <v>0.0</v>
      </c>
      <c r="G6557" s="27"/>
    </row>
    <row r="6558">
      <c r="A6558" s="21"/>
      <c r="B6558" s="21" t="s">
        <v>12678</v>
      </c>
      <c r="D6558" s="25">
        <v>0.0</v>
      </c>
      <c r="E6558" s="27"/>
      <c r="F6558" s="25">
        <v>0.0</v>
      </c>
      <c r="G6558" s="27"/>
    </row>
    <row r="6559">
      <c r="A6559" s="21"/>
      <c r="B6559" s="21" t="s">
        <v>12679</v>
      </c>
      <c r="D6559" s="25">
        <v>0.0</v>
      </c>
      <c r="E6559" s="27"/>
      <c r="F6559" s="25">
        <v>0.0</v>
      </c>
      <c r="G6559" s="27"/>
    </row>
    <row r="6560">
      <c r="A6560" s="21"/>
      <c r="B6560" s="21" t="s">
        <v>12680</v>
      </c>
      <c r="D6560" s="25">
        <v>0.0</v>
      </c>
      <c r="E6560" s="27"/>
      <c r="F6560" s="25">
        <v>0.0</v>
      </c>
      <c r="G6560" s="27"/>
    </row>
    <row r="6561">
      <c r="A6561" s="21"/>
      <c r="B6561" s="21" t="s">
        <v>12681</v>
      </c>
      <c r="D6561" s="25">
        <v>0.0</v>
      </c>
      <c r="E6561" s="27"/>
      <c r="F6561" s="25">
        <v>0.0</v>
      </c>
      <c r="G6561" s="27"/>
    </row>
    <row r="6562">
      <c r="A6562" s="21"/>
      <c r="B6562" s="21" t="s">
        <v>12682</v>
      </c>
      <c r="D6562" s="25">
        <v>0.0</v>
      </c>
      <c r="E6562" s="27"/>
      <c r="F6562" s="25">
        <v>0.0</v>
      </c>
      <c r="G6562" s="27"/>
    </row>
    <row r="6563">
      <c r="A6563" s="21"/>
      <c r="B6563" s="21" t="s">
        <v>12683</v>
      </c>
      <c r="D6563" s="25">
        <v>0.0</v>
      </c>
      <c r="E6563" s="27"/>
      <c r="F6563" s="25">
        <v>0.0</v>
      </c>
      <c r="G6563" s="27"/>
    </row>
    <row r="6564">
      <c r="A6564" s="21"/>
      <c r="B6564" s="21" t="s">
        <v>12684</v>
      </c>
      <c r="D6564" s="25">
        <v>0.0</v>
      </c>
      <c r="E6564" s="27"/>
      <c r="F6564" s="25">
        <v>0.0</v>
      </c>
      <c r="G6564" s="27"/>
    </row>
    <row r="6565">
      <c r="A6565" s="21"/>
      <c r="B6565" s="21" t="s">
        <v>12685</v>
      </c>
      <c r="D6565" s="25">
        <v>0.0</v>
      </c>
      <c r="E6565" s="27"/>
      <c r="F6565" s="25">
        <v>0.0</v>
      </c>
      <c r="G6565" s="27"/>
    </row>
    <row r="6566">
      <c r="A6566" s="21"/>
      <c r="B6566" s="21" t="s">
        <v>12686</v>
      </c>
      <c r="D6566" s="25">
        <v>0.0</v>
      </c>
      <c r="E6566" s="27"/>
      <c r="F6566" s="25">
        <v>0.0</v>
      </c>
      <c r="G6566" s="27"/>
    </row>
    <row r="6567">
      <c r="A6567" s="21"/>
      <c r="B6567" s="21" t="s">
        <v>12687</v>
      </c>
      <c r="D6567" s="25">
        <v>0.0</v>
      </c>
      <c r="E6567" s="27"/>
      <c r="F6567" s="25">
        <v>0.0</v>
      </c>
      <c r="G6567" s="27"/>
    </row>
    <row r="6568">
      <c r="A6568" s="21"/>
      <c r="B6568" s="21" t="s">
        <v>12688</v>
      </c>
      <c r="D6568" s="25">
        <v>0.0</v>
      </c>
      <c r="E6568" s="27"/>
      <c r="F6568" s="25">
        <v>0.0</v>
      </c>
      <c r="G6568" s="27"/>
    </row>
    <row r="6569">
      <c r="A6569" s="21"/>
      <c r="B6569" s="21" t="s">
        <v>12689</v>
      </c>
      <c r="D6569" s="25">
        <v>0.0</v>
      </c>
      <c r="E6569" s="27"/>
      <c r="F6569" s="25">
        <v>0.0</v>
      </c>
      <c r="G6569" s="27"/>
    </row>
    <row r="6570">
      <c r="A6570" s="21"/>
      <c r="B6570" s="21" t="s">
        <v>12690</v>
      </c>
      <c r="D6570" s="25">
        <v>0.0</v>
      </c>
      <c r="E6570" s="27"/>
      <c r="F6570" s="25">
        <v>0.0</v>
      </c>
      <c r="G6570" s="27"/>
    </row>
    <row r="6571">
      <c r="A6571" s="21"/>
      <c r="B6571" s="21" t="s">
        <v>12691</v>
      </c>
      <c r="D6571" s="25">
        <v>0.0</v>
      </c>
      <c r="E6571" s="27"/>
      <c r="F6571" s="25">
        <v>0.0</v>
      </c>
      <c r="G6571" s="27"/>
    </row>
    <row r="6572">
      <c r="A6572" s="21"/>
      <c r="B6572" s="21" t="s">
        <v>12692</v>
      </c>
      <c r="D6572" s="25">
        <v>0.0</v>
      </c>
      <c r="E6572" s="27"/>
      <c r="F6572" s="25">
        <v>0.0</v>
      </c>
      <c r="G6572" s="27"/>
    </row>
    <row r="6573">
      <c r="A6573" s="21"/>
      <c r="B6573" s="21" t="s">
        <v>12693</v>
      </c>
      <c r="D6573" s="25">
        <v>0.0</v>
      </c>
      <c r="E6573" s="27"/>
      <c r="F6573" s="25">
        <v>0.0</v>
      </c>
      <c r="G6573" s="27"/>
    </row>
    <row r="6574">
      <c r="A6574" s="21"/>
      <c r="B6574" s="21" t="s">
        <v>12694</v>
      </c>
      <c r="D6574" s="25">
        <v>0.0</v>
      </c>
      <c r="E6574" s="27"/>
      <c r="F6574" s="25">
        <v>0.0</v>
      </c>
      <c r="G6574" s="27"/>
    </row>
    <row r="6575">
      <c r="A6575" s="21"/>
      <c r="B6575" s="21" t="s">
        <v>12695</v>
      </c>
      <c r="D6575" s="25">
        <v>0.0</v>
      </c>
      <c r="E6575" s="27"/>
      <c r="F6575" s="25">
        <v>0.0</v>
      </c>
      <c r="G6575" s="27"/>
    </row>
    <row r="6576">
      <c r="A6576" s="21"/>
      <c r="B6576" s="21" t="s">
        <v>12696</v>
      </c>
      <c r="D6576" s="25">
        <v>0.0</v>
      </c>
      <c r="E6576" s="27"/>
      <c r="F6576" s="25">
        <v>0.0</v>
      </c>
      <c r="G6576" s="27"/>
    </row>
    <row r="6577">
      <c r="A6577" s="21"/>
      <c r="B6577" s="21" t="s">
        <v>12697</v>
      </c>
      <c r="D6577" s="25">
        <v>0.0</v>
      </c>
      <c r="E6577" s="27"/>
      <c r="F6577" s="25">
        <v>0.0</v>
      </c>
      <c r="G6577" s="27"/>
    </row>
    <row r="6578">
      <c r="A6578" s="21"/>
      <c r="B6578" s="21" t="s">
        <v>12698</v>
      </c>
      <c r="D6578" s="25">
        <v>0.0</v>
      </c>
      <c r="E6578" s="27"/>
      <c r="F6578" s="25">
        <v>0.0</v>
      </c>
      <c r="G6578" s="27"/>
    </row>
    <row r="6579">
      <c r="A6579" s="21"/>
      <c r="B6579" s="21" t="s">
        <v>12699</v>
      </c>
      <c r="D6579" s="25">
        <v>0.0</v>
      </c>
      <c r="E6579" s="27"/>
      <c r="F6579" s="25">
        <v>0.0</v>
      </c>
      <c r="G6579" s="27"/>
    </row>
    <row r="6580">
      <c r="A6580" s="21"/>
      <c r="B6580" s="21" t="s">
        <v>12700</v>
      </c>
      <c r="D6580" s="25">
        <v>0.0</v>
      </c>
      <c r="E6580" s="27"/>
      <c r="F6580" s="25">
        <v>0.0</v>
      </c>
      <c r="G6580" s="27"/>
    </row>
    <row r="6581">
      <c r="A6581" s="21"/>
      <c r="B6581" s="21" t="s">
        <v>12701</v>
      </c>
      <c r="D6581" s="25">
        <v>0.0</v>
      </c>
      <c r="E6581" s="27"/>
      <c r="F6581" s="25">
        <v>0.0</v>
      </c>
      <c r="G6581" s="27"/>
    </row>
    <row r="6582">
      <c r="A6582" s="21"/>
      <c r="B6582" s="21" t="s">
        <v>12702</v>
      </c>
      <c r="D6582" s="25">
        <v>0.0</v>
      </c>
      <c r="E6582" s="27"/>
      <c r="F6582" s="25">
        <v>0.0</v>
      </c>
      <c r="G6582" s="27"/>
    </row>
    <row r="6583">
      <c r="A6583" s="21"/>
      <c r="B6583" s="21" t="s">
        <v>12703</v>
      </c>
      <c r="D6583" s="25">
        <v>0.0</v>
      </c>
      <c r="E6583" s="27"/>
      <c r="F6583" s="25">
        <v>0.0</v>
      </c>
      <c r="G6583" s="27"/>
    </row>
    <row r="6584">
      <c r="A6584" s="21"/>
      <c r="B6584" s="21" t="s">
        <v>12704</v>
      </c>
      <c r="D6584" s="25">
        <v>0.0</v>
      </c>
      <c r="E6584" s="27"/>
      <c r="F6584" s="25">
        <v>0.0</v>
      </c>
      <c r="G6584" s="27"/>
    </row>
    <row r="6585">
      <c r="A6585" s="21"/>
      <c r="B6585" s="38" t="s">
        <v>12705</v>
      </c>
      <c r="C6585" s="27"/>
      <c r="D6585" s="25">
        <v>0.0</v>
      </c>
      <c r="E6585" s="27"/>
      <c r="F6585" s="25">
        <v>0.0</v>
      </c>
      <c r="G6585" s="27"/>
    </row>
    <row r="6586">
      <c r="A6586" s="21"/>
      <c r="B6586" s="21" t="s">
        <v>12706</v>
      </c>
      <c r="D6586" s="25">
        <v>0.0</v>
      </c>
      <c r="E6586" s="27"/>
      <c r="F6586" s="25">
        <v>0.0</v>
      </c>
      <c r="G6586" s="27"/>
    </row>
    <row r="6587">
      <c r="A6587" s="21"/>
      <c r="B6587" s="21" t="s">
        <v>12707</v>
      </c>
      <c r="D6587" s="25">
        <v>0.0</v>
      </c>
      <c r="E6587" s="27"/>
      <c r="F6587" s="25">
        <v>0.0</v>
      </c>
      <c r="G6587" s="27"/>
    </row>
    <row r="6588">
      <c r="A6588" s="21"/>
      <c r="B6588" s="21" t="s">
        <v>12708</v>
      </c>
      <c r="D6588" s="25">
        <v>0.0</v>
      </c>
      <c r="E6588" s="27"/>
      <c r="F6588" s="25">
        <v>0.0</v>
      </c>
      <c r="G6588" s="27"/>
    </row>
    <row r="6589">
      <c r="A6589" s="21"/>
      <c r="B6589" s="21" t="s">
        <v>12709</v>
      </c>
      <c r="D6589" s="25">
        <v>0.0</v>
      </c>
      <c r="E6589" s="27"/>
      <c r="F6589" s="25">
        <v>0.0</v>
      </c>
      <c r="G6589" s="27"/>
    </row>
    <row r="6590">
      <c r="A6590" s="21"/>
      <c r="B6590" s="21" t="s">
        <v>12710</v>
      </c>
      <c r="D6590" s="25">
        <v>0.0</v>
      </c>
      <c r="E6590" s="27"/>
      <c r="F6590" s="25">
        <v>0.0</v>
      </c>
      <c r="G6590" s="27"/>
    </row>
    <row r="6591">
      <c r="A6591" s="21"/>
      <c r="B6591" s="21" t="s">
        <v>12711</v>
      </c>
      <c r="D6591" s="25">
        <v>0.0</v>
      </c>
      <c r="E6591" s="27"/>
      <c r="F6591" s="25">
        <v>0.0</v>
      </c>
      <c r="G6591" s="27"/>
    </row>
    <row r="6592">
      <c r="A6592" s="21"/>
      <c r="B6592" s="21" t="s">
        <v>12712</v>
      </c>
      <c r="D6592" s="25">
        <v>0.0</v>
      </c>
      <c r="E6592" s="27"/>
      <c r="F6592" s="25">
        <v>0.0</v>
      </c>
      <c r="G6592" s="27"/>
    </row>
    <row r="6593">
      <c r="A6593" s="21"/>
      <c r="B6593" s="21" t="s">
        <v>12713</v>
      </c>
      <c r="D6593" s="25">
        <v>0.0</v>
      </c>
      <c r="E6593" s="27"/>
      <c r="F6593" s="25">
        <v>0.0</v>
      </c>
      <c r="G6593" s="27"/>
    </row>
    <row r="6594">
      <c r="A6594" s="21"/>
      <c r="B6594" s="21" t="s">
        <v>12714</v>
      </c>
      <c r="D6594" s="25">
        <v>0.0</v>
      </c>
      <c r="E6594" s="27"/>
      <c r="F6594" s="25">
        <v>0.0</v>
      </c>
      <c r="G6594" s="27"/>
    </row>
    <row r="6595">
      <c r="A6595" s="21"/>
      <c r="B6595" s="21" t="s">
        <v>12715</v>
      </c>
      <c r="D6595" s="25">
        <v>0.0</v>
      </c>
      <c r="E6595" s="27"/>
      <c r="F6595" s="25">
        <v>0.0</v>
      </c>
      <c r="G6595" s="27"/>
    </row>
    <row r="6596">
      <c r="A6596" s="21"/>
      <c r="B6596" s="21" t="s">
        <v>12716</v>
      </c>
      <c r="D6596" s="25">
        <v>0.0</v>
      </c>
      <c r="E6596" s="27"/>
      <c r="F6596" s="25">
        <v>0.0</v>
      </c>
      <c r="G6596" s="27"/>
    </row>
    <row r="6597">
      <c r="A6597" s="21"/>
      <c r="B6597" s="21" t="s">
        <v>12717</v>
      </c>
      <c r="D6597" s="25">
        <v>0.0</v>
      </c>
      <c r="E6597" s="27"/>
      <c r="F6597" s="25">
        <v>0.0</v>
      </c>
      <c r="G6597" s="27"/>
    </row>
    <row r="6598">
      <c r="A6598" s="21"/>
      <c r="B6598" s="21" t="s">
        <v>12718</v>
      </c>
      <c r="D6598" s="25">
        <v>0.0</v>
      </c>
      <c r="E6598" s="27"/>
      <c r="F6598" s="25">
        <v>0.0</v>
      </c>
      <c r="G6598" s="27"/>
    </row>
    <row r="6599">
      <c r="A6599" s="21"/>
      <c r="B6599" s="21" t="s">
        <v>12719</v>
      </c>
      <c r="D6599" s="25">
        <v>0.0</v>
      </c>
      <c r="E6599" s="27"/>
      <c r="F6599" s="25">
        <v>0.0</v>
      </c>
      <c r="G6599" s="27"/>
    </row>
    <row r="6600">
      <c r="A6600" s="21"/>
      <c r="B6600" s="21" t="s">
        <v>12720</v>
      </c>
      <c r="D6600" s="25">
        <v>0.0</v>
      </c>
      <c r="E6600" s="27"/>
      <c r="F6600" s="25">
        <v>0.0</v>
      </c>
      <c r="G6600" s="27"/>
    </row>
    <row r="6601">
      <c r="A6601" s="21"/>
      <c r="B6601" s="21" t="s">
        <v>12721</v>
      </c>
      <c r="D6601" s="25">
        <v>0.0</v>
      </c>
      <c r="E6601" s="27"/>
      <c r="F6601" s="25">
        <v>3.55</v>
      </c>
      <c r="G6601" s="27"/>
    </row>
    <row r="6602">
      <c r="A6602" s="21"/>
      <c r="B6602" s="21" t="s">
        <v>12722</v>
      </c>
      <c r="D6602" s="25">
        <v>0.0</v>
      </c>
      <c r="E6602" s="27"/>
      <c r="F6602" s="25">
        <v>0.0</v>
      </c>
      <c r="G6602" s="27"/>
    </row>
    <row r="6603">
      <c r="A6603" s="21"/>
      <c r="B6603" s="21" t="s">
        <v>12723</v>
      </c>
      <c r="D6603" s="25">
        <v>0.0</v>
      </c>
      <c r="E6603" s="27"/>
      <c r="F6603" s="25">
        <v>0.0</v>
      </c>
      <c r="G6603" s="27"/>
    </row>
    <row r="6604">
      <c r="A6604" s="21"/>
      <c r="B6604" s="21" t="s">
        <v>12724</v>
      </c>
      <c r="D6604" s="25">
        <v>0.0</v>
      </c>
      <c r="E6604" s="27"/>
      <c r="F6604" s="25">
        <v>0.0</v>
      </c>
      <c r="G6604" s="27"/>
    </row>
    <row r="6605">
      <c r="A6605" s="21"/>
      <c r="B6605" s="21" t="s">
        <v>12725</v>
      </c>
      <c r="D6605" s="25">
        <v>0.0</v>
      </c>
      <c r="E6605" s="27"/>
      <c r="F6605" s="25">
        <v>0.0</v>
      </c>
      <c r="G6605" s="27"/>
    </row>
    <row r="6606">
      <c r="A6606" s="21"/>
      <c r="B6606" s="21" t="s">
        <v>12726</v>
      </c>
      <c r="D6606" s="25">
        <v>0.0</v>
      </c>
      <c r="E6606" s="27"/>
      <c r="F6606" s="25">
        <v>0.0</v>
      </c>
      <c r="G6606" s="27"/>
    </row>
    <row r="6607">
      <c r="A6607" s="21"/>
      <c r="B6607" s="21" t="s">
        <v>12727</v>
      </c>
      <c r="D6607" s="25">
        <v>0.0</v>
      </c>
      <c r="E6607" s="27"/>
      <c r="F6607" s="25">
        <v>0.0</v>
      </c>
      <c r="G6607" s="27"/>
    </row>
    <row r="6608">
      <c r="A6608" s="21"/>
      <c r="B6608" s="21" t="s">
        <v>12728</v>
      </c>
      <c r="D6608" s="25">
        <v>0.0</v>
      </c>
      <c r="E6608" s="27"/>
      <c r="F6608" s="25">
        <v>0.0</v>
      </c>
      <c r="G6608" s="27"/>
    </row>
    <row r="6609">
      <c r="A6609" s="21"/>
      <c r="B6609" s="21" t="s">
        <v>12729</v>
      </c>
      <c r="D6609" s="25">
        <v>0.0</v>
      </c>
      <c r="E6609" s="27"/>
      <c r="F6609" s="25">
        <v>0.0</v>
      </c>
      <c r="G6609" s="27"/>
    </row>
    <row r="6610">
      <c r="A6610" s="21"/>
      <c r="B6610" s="21" t="s">
        <v>12730</v>
      </c>
      <c r="D6610" s="25">
        <v>0.0</v>
      </c>
      <c r="E6610" s="27"/>
      <c r="F6610" s="25">
        <v>0.0</v>
      </c>
      <c r="G6610" s="27"/>
    </row>
    <row r="6611">
      <c r="A6611" s="21"/>
      <c r="B6611" s="21" t="s">
        <v>12731</v>
      </c>
      <c r="D6611" s="25">
        <v>0.0</v>
      </c>
      <c r="E6611" s="27"/>
      <c r="F6611" s="25">
        <v>0.0</v>
      </c>
      <c r="G6611" s="27"/>
    </row>
    <row r="6612">
      <c r="A6612" s="21"/>
      <c r="B6612" s="21" t="s">
        <v>12732</v>
      </c>
      <c r="D6612" s="25">
        <v>0.0</v>
      </c>
      <c r="E6612" s="27"/>
      <c r="F6612" s="25">
        <v>0.0</v>
      </c>
      <c r="G6612" s="27"/>
    </row>
    <row r="6613">
      <c r="A6613" s="21"/>
      <c r="B6613" s="21" t="s">
        <v>12733</v>
      </c>
      <c r="D6613" s="25">
        <v>0.0</v>
      </c>
      <c r="E6613" s="27"/>
      <c r="F6613" s="25">
        <v>0.0</v>
      </c>
      <c r="G6613" s="27"/>
    </row>
    <row r="6614">
      <c r="A6614" s="21"/>
      <c r="B6614" s="21" t="s">
        <v>12734</v>
      </c>
      <c r="D6614" s="25">
        <v>0.0</v>
      </c>
      <c r="E6614" s="27"/>
      <c r="F6614" s="25">
        <v>0.0</v>
      </c>
      <c r="G6614" s="27"/>
    </row>
    <row r="6615">
      <c r="A6615" s="21"/>
      <c r="B6615" s="21" t="s">
        <v>12735</v>
      </c>
      <c r="D6615" s="25">
        <v>0.0</v>
      </c>
      <c r="E6615" s="27"/>
      <c r="F6615" s="25">
        <v>0.0</v>
      </c>
      <c r="G6615" s="27"/>
    </row>
    <row r="6616">
      <c r="A6616" s="21"/>
      <c r="B6616" s="21" t="s">
        <v>12736</v>
      </c>
      <c r="D6616" s="25">
        <v>0.0</v>
      </c>
      <c r="E6616" s="27"/>
      <c r="F6616" s="25">
        <v>0.0</v>
      </c>
      <c r="G6616" s="27"/>
    </row>
    <row r="6617">
      <c r="A6617" s="21"/>
      <c r="B6617" s="21" t="s">
        <v>12737</v>
      </c>
      <c r="D6617" s="25">
        <v>0.0</v>
      </c>
      <c r="E6617" s="27"/>
      <c r="F6617" s="25">
        <v>0.0</v>
      </c>
      <c r="G6617" s="27"/>
    </row>
    <row r="6618">
      <c r="A6618" s="21"/>
      <c r="B6618" s="21" t="s">
        <v>12738</v>
      </c>
      <c r="D6618" s="25">
        <v>0.0</v>
      </c>
      <c r="E6618" s="27"/>
      <c r="F6618" s="25">
        <v>0.0</v>
      </c>
      <c r="G6618" s="27"/>
    </row>
    <row r="6619">
      <c r="A6619" s="21"/>
      <c r="B6619" s="21" t="s">
        <v>12739</v>
      </c>
      <c r="D6619" s="25">
        <v>0.0</v>
      </c>
      <c r="E6619" s="27"/>
      <c r="F6619" s="25">
        <v>0.0</v>
      </c>
      <c r="G6619" s="27"/>
    </row>
    <row r="6620">
      <c r="A6620" s="21"/>
      <c r="B6620" s="21" t="s">
        <v>12740</v>
      </c>
      <c r="D6620" s="25">
        <v>0.0</v>
      </c>
      <c r="E6620" s="27"/>
      <c r="F6620" s="25">
        <v>0.0</v>
      </c>
      <c r="G6620" s="27"/>
    </row>
    <row r="6621">
      <c r="A6621" s="21"/>
      <c r="B6621" s="21" t="s">
        <v>12741</v>
      </c>
      <c r="D6621" s="25">
        <v>0.0</v>
      </c>
      <c r="E6621" s="27"/>
      <c r="F6621" s="25">
        <v>0.0</v>
      </c>
      <c r="G6621" s="27"/>
    </row>
    <row r="6622">
      <c r="A6622" s="21"/>
      <c r="B6622" s="21" t="s">
        <v>12742</v>
      </c>
      <c r="D6622" s="25">
        <v>0.0</v>
      </c>
      <c r="E6622" s="27"/>
      <c r="F6622" s="25">
        <v>0.0</v>
      </c>
      <c r="G6622" s="27"/>
    </row>
    <row r="6623">
      <c r="A6623" s="21"/>
      <c r="B6623" s="21" t="s">
        <v>12743</v>
      </c>
      <c r="D6623" s="25">
        <v>0.0</v>
      </c>
      <c r="E6623" s="27"/>
      <c r="F6623" s="25">
        <v>0.0</v>
      </c>
      <c r="G6623" s="27"/>
    </row>
    <row r="6624">
      <c r="A6624" s="21"/>
      <c r="B6624" s="21" t="s">
        <v>12744</v>
      </c>
      <c r="D6624" s="25">
        <v>0.0</v>
      </c>
      <c r="E6624" s="27"/>
      <c r="F6624" s="25">
        <v>0.0</v>
      </c>
      <c r="G6624" s="27"/>
    </row>
    <row r="6625">
      <c r="A6625" s="21"/>
      <c r="B6625" s="21" t="s">
        <v>12745</v>
      </c>
      <c r="D6625" s="25">
        <v>0.0</v>
      </c>
      <c r="E6625" s="27"/>
      <c r="F6625" s="25">
        <v>0.0</v>
      </c>
      <c r="G6625" s="27"/>
    </row>
    <row r="6626">
      <c r="A6626" s="21"/>
      <c r="B6626" s="21" t="s">
        <v>12746</v>
      </c>
      <c r="D6626" s="25">
        <v>0.0</v>
      </c>
      <c r="E6626" s="27"/>
      <c r="F6626" s="25">
        <v>0.0</v>
      </c>
      <c r="G6626" s="27"/>
    </row>
    <row r="6627">
      <c r="A6627" s="21"/>
      <c r="B6627" s="21" t="s">
        <v>12747</v>
      </c>
      <c r="D6627" s="25">
        <v>0.0</v>
      </c>
      <c r="E6627" s="27"/>
      <c r="F6627" s="25">
        <v>0.0</v>
      </c>
      <c r="G6627" s="27"/>
    </row>
    <row r="6628">
      <c r="A6628" s="21"/>
      <c r="B6628" s="21" t="s">
        <v>12748</v>
      </c>
      <c r="D6628" s="25">
        <v>0.0</v>
      </c>
      <c r="E6628" s="27"/>
      <c r="F6628" s="25">
        <v>0.0</v>
      </c>
      <c r="G6628" s="27"/>
    </row>
    <row r="6629">
      <c r="A6629" s="21"/>
      <c r="B6629" s="21" t="s">
        <v>12749</v>
      </c>
      <c r="D6629" s="25">
        <v>0.0</v>
      </c>
      <c r="E6629" s="27"/>
      <c r="F6629" s="25">
        <v>0.0</v>
      </c>
      <c r="G6629" s="27"/>
    </row>
    <row r="6630">
      <c r="A6630" s="21"/>
      <c r="B6630" s="21" t="s">
        <v>12750</v>
      </c>
      <c r="D6630" s="25">
        <v>0.0</v>
      </c>
      <c r="E6630" s="27"/>
      <c r="F6630" s="25">
        <v>0.0</v>
      </c>
      <c r="G6630" s="27"/>
    </row>
    <row r="6631">
      <c r="A6631" s="21"/>
      <c r="B6631" s="21" t="s">
        <v>12751</v>
      </c>
      <c r="D6631" s="25">
        <v>0.0</v>
      </c>
      <c r="E6631" s="27"/>
      <c r="F6631" s="25">
        <v>0.0</v>
      </c>
      <c r="G6631" s="27"/>
    </row>
    <row r="6632">
      <c r="A6632" s="21"/>
      <c r="B6632" s="21" t="s">
        <v>12752</v>
      </c>
      <c r="D6632" s="25">
        <v>0.0</v>
      </c>
      <c r="E6632" s="27"/>
      <c r="F6632" s="25">
        <v>0.0</v>
      </c>
      <c r="G6632" s="27"/>
    </row>
    <row r="6633">
      <c r="A6633" s="21"/>
      <c r="B6633" s="21" t="s">
        <v>12753</v>
      </c>
      <c r="D6633" s="25">
        <v>0.0</v>
      </c>
      <c r="E6633" s="27"/>
      <c r="F6633" s="25">
        <v>0.0</v>
      </c>
      <c r="G6633" s="27"/>
    </row>
    <row r="6634">
      <c r="A6634" s="21"/>
      <c r="B6634" s="21" t="s">
        <v>12754</v>
      </c>
      <c r="D6634" s="25">
        <v>0.0</v>
      </c>
      <c r="E6634" s="27"/>
      <c r="F6634" s="25">
        <v>0.0</v>
      </c>
      <c r="G6634" s="27"/>
    </row>
    <row r="6635">
      <c r="A6635" s="21"/>
      <c r="B6635" s="21" t="s">
        <v>12755</v>
      </c>
      <c r="D6635" s="25">
        <v>0.0</v>
      </c>
      <c r="E6635" s="27"/>
      <c r="F6635" s="25">
        <v>0.0</v>
      </c>
      <c r="G6635" s="27"/>
    </row>
    <row r="6636">
      <c r="A6636" s="21"/>
      <c r="B6636" s="21" t="s">
        <v>12756</v>
      </c>
      <c r="D6636" s="25">
        <v>0.0</v>
      </c>
      <c r="E6636" s="27"/>
      <c r="F6636" s="25">
        <v>0.0</v>
      </c>
      <c r="G6636" s="27"/>
    </row>
    <row r="6637">
      <c r="A6637" s="21"/>
      <c r="B6637" s="21" t="s">
        <v>12757</v>
      </c>
      <c r="D6637" s="25">
        <v>0.0</v>
      </c>
      <c r="E6637" s="27"/>
      <c r="F6637" s="25">
        <v>0.0</v>
      </c>
      <c r="G6637" s="27"/>
    </row>
    <row r="6638">
      <c r="A6638" s="21"/>
      <c r="B6638" s="21" t="s">
        <v>12758</v>
      </c>
      <c r="D6638" s="25">
        <v>0.0</v>
      </c>
      <c r="E6638" s="27"/>
      <c r="F6638" s="25">
        <v>0.0</v>
      </c>
      <c r="G6638" s="27"/>
    </row>
    <row r="6639">
      <c r="A6639" s="21"/>
      <c r="B6639" s="21" t="s">
        <v>12759</v>
      </c>
      <c r="D6639" s="25">
        <v>0.0</v>
      </c>
      <c r="E6639" s="27"/>
      <c r="F6639" s="25">
        <v>0.0</v>
      </c>
      <c r="G6639" s="27"/>
    </row>
    <row r="6640">
      <c r="A6640" s="21"/>
      <c r="B6640" s="21" t="s">
        <v>12760</v>
      </c>
      <c r="D6640" s="25">
        <v>0.0</v>
      </c>
      <c r="E6640" s="27"/>
      <c r="F6640" s="25">
        <v>0.0</v>
      </c>
      <c r="G6640" s="27"/>
    </row>
    <row r="6641">
      <c r="A6641" s="21"/>
      <c r="B6641" s="21" t="s">
        <v>12761</v>
      </c>
      <c r="D6641" s="25">
        <v>0.0</v>
      </c>
      <c r="E6641" s="27"/>
      <c r="F6641" s="25">
        <v>0.0</v>
      </c>
      <c r="G6641" s="27"/>
    </row>
    <row r="6642">
      <c r="A6642" s="21"/>
      <c r="B6642" s="21" t="s">
        <v>12762</v>
      </c>
      <c r="D6642" s="25">
        <v>0.0</v>
      </c>
      <c r="E6642" s="27"/>
      <c r="F6642" s="25">
        <v>0.0</v>
      </c>
      <c r="G6642" s="27"/>
    </row>
    <row r="6643">
      <c r="A6643" s="21"/>
      <c r="B6643" s="21" t="s">
        <v>12763</v>
      </c>
      <c r="D6643" s="25">
        <v>0.0</v>
      </c>
      <c r="E6643" s="27"/>
      <c r="F6643" s="25">
        <v>0.0</v>
      </c>
      <c r="G6643" s="27"/>
    </row>
    <row r="6644">
      <c r="A6644" s="21"/>
      <c r="B6644" s="21" t="s">
        <v>12764</v>
      </c>
      <c r="D6644" s="25">
        <v>0.0</v>
      </c>
      <c r="E6644" s="27"/>
      <c r="F6644" s="25">
        <v>0.0</v>
      </c>
      <c r="G6644" s="27"/>
    </row>
    <row r="6645">
      <c r="A6645" s="21"/>
      <c r="B6645" s="21" t="s">
        <v>12765</v>
      </c>
      <c r="D6645" s="25">
        <v>0.0</v>
      </c>
      <c r="E6645" s="27"/>
      <c r="F6645" s="25">
        <v>0.0</v>
      </c>
      <c r="G6645" s="27"/>
    </row>
    <row r="6646">
      <c r="A6646" s="21"/>
      <c r="B6646" s="21" t="s">
        <v>12766</v>
      </c>
      <c r="D6646" s="25">
        <v>0.0</v>
      </c>
      <c r="E6646" s="27"/>
      <c r="F6646" s="25">
        <v>0.0</v>
      </c>
      <c r="G6646" s="27"/>
    </row>
    <row r="6647">
      <c r="A6647" s="21"/>
      <c r="B6647" s="21" t="s">
        <v>12767</v>
      </c>
      <c r="D6647" s="25">
        <v>0.0</v>
      </c>
      <c r="E6647" s="27"/>
      <c r="F6647" s="25">
        <v>0.0</v>
      </c>
      <c r="G6647" s="27"/>
    </row>
    <row r="6648">
      <c r="A6648" s="21"/>
      <c r="B6648" s="21" t="s">
        <v>12768</v>
      </c>
      <c r="D6648" s="25">
        <v>0.0</v>
      </c>
      <c r="E6648" s="27"/>
      <c r="F6648" s="25">
        <v>0.0</v>
      </c>
      <c r="G6648" s="27"/>
    </row>
    <row r="6649">
      <c r="A6649" s="21"/>
      <c r="B6649" s="21" t="s">
        <v>12769</v>
      </c>
      <c r="D6649" s="25">
        <v>0.0</v>
      </c>
      <c r="E6649" s="27"/>
      <c r="F6649" s="25">
        <v>0.0</v>
      </c>
      <c r="G6649" s="27"/>
    </row>
    <row r="6650">
      <c r="A6650" s="21"/>
      <c r="B6650" s="21" t="s">
        <v>12770</v>
      </c>
      <c r="D6650" s="25">
        <v>0.0</v>
      </c>
      <c r="E6650" s="27"/>
      <c r="F6650" s="25">
        <v>0.0</v>
      </c>
      <c r="G6650" s="27"/>
    </row>
    <row r="6651">
      <c r="A6651" s="21"/>
      <c r="B6651" s="21" t="s">
        <v>12771</v>
      </c>
      <c r="D6651" s="25">
        <v>0.0</v>
      </c>
      <c r="E6651" s="27"/>
      <c r="F6651" s="25">
        <v>0.0</v>
      </c>
      <c r="G6651" s="27"/>
    </row>
    <row r="6652">
      <c r="A6652" s="21"/>
      <c r="B6652" s="21" t="s">
        <v>12772</v>
      </c>
      <c r="D6652" s="25">
        <v>0.0</v>
      </c>
      <c r="E6652" s="27"/>
      <c r="F6652" s="25">
        <v>0.0</v>
      </c>
      <c r="G6652" s="27"/>
    </row>
    <row r="6653">
      <c r="A6653" s="21"/>
      <c r="B6653" s="21" t="s">
        <v>12773</v>
      </c>
      <c r="D6653" s="25">
        <v>0.0</v>
      </c>
      <c r="E6653" s="27"/>
      <c r="F6653" s="25">
        <v>0.0</v>
      </c>
      <c r="G6653" s="27"/>
    </row>
    <row r="6654">
      <c r="A6654" s="21"/>
      <c r="B6654" s="21" t="s">
        <v>12774</v>
      </c>
      <c r="D6654" s="25">
        <v>0.0</v>
      </c>
      <c r="E6654" s="27"/>
      <c r="F6654" s="25">
        <v>0.0</v>
      </c>
      <c r="G6654" s="27"/>
    </row>
    <row r="6655">
      <c r="A6655" s="21"/>
      <c r="B6655" s="21" t="s">
        <v>12775</v>
      </c>
      <c r="D6655" s="25">
        <v>0.0</v>
      </c>
      <c r="E6655" s="27"/>
      <c r="F6655" s="25">
        <v>0.0</v>
      </c>
      <c r="G6655" s="27"/>
    </row>
    <row r="6656">
      <c r="A6656" s="21"/>
      <c r="B6656" s="21" t="s">
        <v>12776</v>
      </c>
      <c r="D6656" s="25">
        <v>0.0</v>
      </c>
      <c r="E6656" s="27"/>
      <c r="F6656" s="25">
        <v>0.0</v>
      </c>
      <c r="G6656" s="27"/>
    </row>
    <row r="6657">
      <c r="A6657" s="21"/>
      <c r="B6657" s="21" t="s">
        <v>12777</v>
      </c>
      <c r="D6657" s="25">
        <v>0.0</v>
      </c>
      <c r="E6657" s="27"/>
      <c r="F6657" s="25">
        <v>0.0</v>
      </c>
      <c r="G6657" s="27"/>
    </row>
    <row r="6658">
      <c r="A6658" s="21"/>
      <c r="B6658" s="21" t="s">
        <v>12778</v>
      </c>
      <c r="D6658" s="25">
        <v>0.0</v>
      </c>
      <c r="E6658" s="27"/>
      <c r="F6658" s="25">
        <v>0.0</v>
      </c>
      <c r="G6658" s="27"/>
    </row>
    <row r="6659">
      <c r="A6659" s="21"/>
      <c r="B6659" s="21" t="s">
        <v>12779</v>
      </c>
      <c r="D6659" s="25">
        <v>0.0</v>
      </c>
      <c r="E6659" s="27"/>
      <c r="F6659" s="25">
        <v>0.0</v>
      </c>
      <c r="G6659" s="27"/>
    </row>
    <row r="6660">
      <c r="A6660" s="21"/>
      <c r="B6660" s="21" t="s">
        <v>12780</v>
      </c>
      <c r="D6660" s="25">
        <v>0.0</v>
      </c>
      <c r="E6660" s="27"/>
      <c r="F6660" s="25">
        <v>0.0</v>
      </c>
      <c r="G6660" s="27"/>
    </row>
    <row r="6661">
      <c r="A6661" s="21"/>
      <c r="B6661" s="21" t="s">
        <v>12781</v>
      </c>
      <c r="D6661" s="25">
        <v>0.0</v>
      </c>
      <c r="E6661" s="27"/>
      <c r="F6661" s="25">
        <v>0.0</v>
      </c>
      <c r="G6661" s="27"/>
    </row>
    <row r="6662">
      <c r="A6662" s="21"/>
      <c r="B6662" s="21" t="s">
        <v>12782</v>
      </c>
      <c r="D6662" s="25">
        <v>0.0</v>
      </c>
      <c r="E6662" s="27"/>
      <c r="F6662" s="25">
        <v>0.0</v>
      </c>
      <c r="G6662" s="27"/>
    </row>
    <row r="6663">
      <c r="A6663" s="21"/>
      <c r="B6663" s="21" t="s">
        <v>12783</v>
      </c>
      <c r="D6663" s="25">
        <v>0.0</v>
      </c>
      <c r="E6663" s="27"/>
      <c r="F6663" s="25">
        <v>0.0</v>
      </c>
      <c r="G6663" s="27"/>
    </row>
    <row r="6664">
      <c r="A6664" s="21"/>
      <c r="B6664" s="21" t="s">
        <v>12784</v>
      </c>
      <c r="D6664" s="25">
        <v>0.0</v>
      </c>
      <c r="E6664" s="27"/>
      <c r="F6664" s="25">
        <v>0.0</v>
      </c>
      <c r="G6664" s="27"/>
    </row>
    <row r="6665">
      <c r="A6665" s="21"/>
      <c r="B6665" s="21" t="s">
        <v>12785</v>
      </c>
      <c r="D6665" s="25">
        <v>0.0</v>
      </c>
      <c r="E6665" s="27"/>
      <c r="F6665" s="25">
        <v>0.0</v>
      </c>
      <c r="G6665" s="27"/>
    </row>
    <row r="6666">
      <c r="A6666" s="21"/>
      <c r="B6666" s="21" t="s">
        <v>12786</v>
      </c>
      <c r="D6666" s="25">
        <v>0.0</v>
      </c>
      <c r="E6666" s="27"/>
      <c r="F6666" s="25">
        <v>0.0</v>
      </c>
      <c r="G6666" s="27"/>
    </row>
    <row r="6667">
      <c r="A6667" s="21"/>
      <c r="B6667" s="21" t="s">
        <v>12787</v>
      </c>
      <c r="D6667" s="25">
        <v>0.0</v>
      </c>
      <c r="E6667" s="27"/>
      <c r="F6667" s="25">
        <v>0.0</v>
      </c>
      <c r="G6667" s="27"/>
    </row>
    <row r="6668">
      <c r="A6668" s="21"/>
      <c r="B6668" s="21" t="s">
        <v>12788</v>
      </c>
      <c r="D6668" s="25">
        <v>0.0</v>
      </c>
      <c r="E6668" s="27"/>
      <c r="F6668" s="25">
        <v>0.0</v>
      </c>
      <c r="G6668" s="27"/>
    </row>
    <row r="6669">
      <c r="A6669" s="21"/>
      <c r="B6669" s="21" t="s">
        <v>6065</v>
      </c>
      <c r="D6669" s="25">
        <v>0.0</v>
      </c>
      <c r="E6669" s="27"/>
      <c r="F6669" s="25">
        <v>0.0</v>
      </c>
      <c r="G6669" s="27"/>
    </row>
    <row r="6670">
      <c r="A6670" s="21"/>
      <c r="B6670" s="21" t="s">
        <v>12789</v>
      </c>
      <c r="D6670" s="25">
        <v>0.0</v>
      </c>
      <c r="E6670" s="27"/>
      <c r="F6670" s="25">
        <v>0.0</v>
      </c>
      <c r="G6670" s="27"/>
    </row>
    <row r="6671">
      <c r="A6671" s="21"/>
      <c r="B6671" s="21" t="s">
        <v>12790</v>
      </c>
      <c r="D6671" s="25">
        <v>0.0</v>
      </c>
      <c r="E6671" s="27"/>
      <c r="F6671" s="25">
        <v>0.0</v>
      </c>
      <c r="G6671" s="27"/>
    </row>
    <row r="6672">
      <c r="A6672" s="21"/>
      <c r="B6672" s="21" t="s">
        <v>12791</v>
      </c>
      <c r="D6672" s="25">
        <v>0.0</v>
      </c>
      <c r="E6672" s="27"/>
      <c r="F6672" s="25">
        <v>0.0</v>
      </c>
      <c r="G6672" s="27"/>
    </row>
    <row r="6673">
      <c r="A6673" s="21"/>
      <c r="B6673" s="21" t="s">
        <v>12792</v>
      </c>
      <c r="D6673" s="25">
        <v>0.0</v>
      </c>
      <c r="E6673" s="27"/>
      <c r="F6673" s="25">
        <v>0.0</v>
      </c>
      <c r="G6673" s="27"/>
    </row>
    <row r="6674">
      <c r="A6674" s="21"/>
      <c r="B6674" s="21" t="s">
        <v>12793</v>
      </c>
      <c r="D6674" s="25">
        <v>0.0</v>
      </c>
      <c r="E6674" s="27"/>
      <c r="F6674" s="25">
        <v>0.0</v>
      </c>
      <c r="G6674" s="27"/>
    </row>
    <row r="6675">
      <c r="A6675" s="21"/>
      <c r="B6675" s="21" t="s">
        <v>12794</v>
      </c>
      <c r="D6675" s="25">
        <v>0.0</v>
      </c>
      <c r="E6675" s="27"/>
      <c r="F6675" s="25">
        <v>0.0</v>
      </c>
      <c r="G6675" s="27"/>
    </row>
    <row r="6676">
      <c r="A6676" s="21"/>
      <c r="B6676" s="21" t="s">
        <v>12795</v>
      </c>
      <c r="D6676" s="25">
        <v>0.0</v>
      </c>
      <c r="E6676" s="27"/>
      <c r="F6676" s="25">
        <v>0.0</v>
      </c>
      <c r="G6676" s="27"/>
    </row>
    <row r="6677">
      <c r="A6677" s="21"/>
      <c r="B6677" s="21" t="s">
        <v>12796</v>
      </c>
      <c r="D6677" s="25">
        <v>0.0</v>
      </c>
      <c r="E6677" s="27"/>
      <c r="F6677" s="25">
        <v>0.0</v>
      </c>
      <c r="G6677" s="27"/>
    </row>
    <row r="6678">
      <c r="A6678" s="21"/>
      <c r="B6678" s="21" t="s">
        <v>12797</v>
      </c>
      <c r="D6678" s="25">
        <v>0.0</v>
      </c>
      <c r="E6678" s="27"/>
      <c r="F6678" s="25">
        <v>0.0</v>
      </c>
      <c r="G6678" s="27"/>
    </row>
    <row r="6679">
      <c r="A6679" s="21"/>
      <c r="B6679" s="21" t="s">
        <v>12798</v>
      </c>
      <c r="D6679" s="25">
        <v>0.0</v>
      </c>
      <c r="E6679" s="27"/>
      <c r="F6679" s="25">
        <v>0.0</v>
      </c>
      <c r="G6679" s="27"/>
    </row>
    <row r="6680">
      <c r="A6680" s="21"/>
      <c r="B6680" s="21" t="s">
        <v>12799</v>
      </c>
      <c r="D6680" s="25">
        <v>0.0</v>
      </c>
      <c r="E6680" s="27"/>
      <c r="F6680" s="25">
        <v>0.0</v>
      </c>
      <c r="G6680" s="27"/>
    </row>
    <row r="6681">
      <c r="A6681" s="21"/>
      <c r="B6681" s="21" t="s">
        <v>12800</v>
      </c>
      <c r="D6681" s="25">
        <v>0.0</v>
      </c>
      <c r="E6681" s="27"/>
      <c r="F6681" s="25">
        <v>0.0</v>
      </c>
      <c r="G6681" s="27"/>
    </row>
    <row r="6682">
      <c r="A6682" s="21"/>
      <c r="B6682" s="21" t="s">
        <v>12801</v>
      </c>
      <c r="D6682" s="25">
        <v>0.0</v>
      </c>
      <c r="E6682" s="27"/>
      <c r="F6682" s="25">
        <v>0.0</v>
      </c>
      <c r="G6682" s="27"/>
    </row>
    <row r="6683">
      <c r="A6683" s="21"/>
      <c r="B6683" s="21" t="s">
        <v>12802</v>
      </c>
      <c r="D6683" s="25">
        <v>0.0</v>
      </c>
      <c r="E6683" s="27"/>
      <c r="F6683" s="25">
        <v>0.0</v>
      </c>
      <c r="G6683" s="27"/>
    </row>
    <row r="6684">
      <c r="A6684" s="21"/>
      <c r="B6684" s="21" t="s">
        <v>12803</v>
      </c>
      <c r="D6684" s="25">
        <v>0.0</v>
      </c>
      <c r="E6684" s="27"/>
      <c r="F6684" s="25">
        <v>0.0</v>
      </c>
      <c r="G6684" s="27"/>
    </row>
    <row r="6685">
      <c r="A6685" s="21"/>
      <c r="B6685" s="21" t="s">
        <v>12804</v>
      </c>
      <c r="D6685" s="25">
        <v>0.0</v>
      </c>
      <c r="E6685" s="27"/>
      <c r="F6685" s="25">
        <v>0.0</v>
      </c>
      <c r="G6685" s="27"/>
    </row>
    <row r="6686">
      <c r="A6686" s="21"/>
      <c r="B6686" s="21" t="s">
        <v>12805</v>
      </c>
      <c r="D6686" s="25">
        <v>0.0</v>
      </c>
      <c r="E6686" s="27"/>
      <c r="F6686" s="25">
        <v>0.0</v>
      </c>
      <c r="G6686" s="27"/>
    </row>
    <row r="6687">
      <c r="A6687" s="21"/>
      <c r="B6687" s="21" t="s">
        <v>12806</v>
      </c>
      <c r="D6687" s="25">
        <v>0.0</v>
      </c>
      <c r="E6687" s="27"/>
      <c r="F6687" s="25">
        <v>0.0</v>
      </c>
      <c r="G6687" s="27"/>
    </row>
    <row r="6688">
      <c r="A6688" s="21"/>
      <c r="B6688" s="21" t="s">
        <v>12807</v>
      </c>
      <c r="D6688" s="25">
        <v>0.0</v>
      </c>
      <c r="E6688" s="27"/>
      <c r="F6688" s="25">
        <v>0.0</v>
      </c>
      <c r="G6688" s="27"/>
    </row>
    <row r="6689">
      <c r="A6689" s="21"/>
      <c r="B6689" s="21" t="s">
        <v>12808</v>
      </c>
      <c r="D6689" s="25">
        <v>0.0</v>
      </c>
      <c r="E6689" s="27"/>
      <c r="F6689" s="25">
        <v>0.0</v>
      </c>
      <c r="G6689" s="27"/>
    </row>
    <row r="6690">
      <c r="A6690" s="21"/>
      <c r="B6690" s="21" t="s">
        <v>12809</v>
      </c>
      <c r="D6690" s="25">
        <v>0.0</v>
      </c>
      <c r="E6690" s="27"/>
      <c r="F6690" s="25">
        <v>0.0</v>
      </c>
      <c r="G6690" s="27"/>
    </row>
    <row r="6691">
      <c r="A6691" s="21"/>
      <c r="B6691" s="21" t="s">
        <v>12810</v>
      </c>
      <c r="D6691" s="25">
        <v>0.0</v>
      </c>
      <c r="E6691" s="27"/>
      <c r="F6691" s="25">
        <v>0.0</v>
      </c>
      <c r="G6691" s="27"/>
    </row>
    <row r="6692">
      <c r="A6692" s="21"/>
      <c r="B6692" s="21" t="s">
        <v>12811</v>
      </c>
      <c r="D6692" s="25">
        <v>0.0</v>
      </c>
      <c r="E6692" s="27"/>
      <c r="F6692" s="25">
        <v>0.0</v>
      </c>
      <c r="G6692" s="27"/>
    </row>
    <row r="6693">
      <c r="A6693" s="21"/>
      <c r="B6693" s="21" t="s">
        <v>12812</v>
      </c>
      <c r="D6693" s="25">
        <v>0.0</v>
      </c>
      <c r="E6693" s="27"/>
      <c r="F6693" s="25">
        <v>0.0</v>
      </c>
      <c r="G6693" s="27"/>
    </row>
    <row r="6694">
      <c r="A6694" s="21"/>
      <c r="B6694" s="21" t="s">
        <v>12813</v>
      </c>
      <c r="D6694" s="25">
        <v>0.0</v>
      </c>
      <c r="E6694" s="27"/>
      <c r="F6694" s="25">
        <v>0.0</v>
      </c>
      <c r="G6694" s="27"/>
    </row>
    <row r="6695">
      <c r="A6695" s="21"/>
      <c r="B6695" s="21" t="s">
        <v>12814</v>
      </c>
      <c r="D6695" s="25">
        <v>0.0</v>
      </c>
      <c r="E6695" s="27"/>
      <c r="F6695" s="25">
        <v>0.0</v>
      </c>
      <c r="G6695" s="27"/>
    </row>
    <row r="6696">
      <c r="A6696" s="21"/>
      <c r="B6696" s="21" t="s">
        <v>12815</v>
      </c>
      <c r="D6696" s="25">
        <v>0.0</v>
      </c>
      <c r="E6696" s="27"/>
      <c r="F6696" s="25">
        <v>0.0</v>
      </c>
      <c r="G6696" s="27"/>
    </row>
    <row r="6697">
      <c r="A6697" s="21"/>
      <c r="B6697" s="21" t="s">
        <v>12816</v>
      </c>
      <c r="D6697" s="25">
        <v>0.0</v>
      </c>
      <c r="E6697" s="27"/>
      <c r="F6697" s="25">
        <v>0.0</v>
      </c>
      <c r="G6697" s="27"/>
    </row>
    <row r="6698">
      <c r="A6698" s="21"/>
      <c r="B6698" s="21" t="s">
        <v>12817</v>
      </c>
      <c r="D6698" s="25">
        <v>0.0</v>
      </c>
      <c r="E6698" s="27"/>
      <c r="F6698" s="25">
        <v>0.0</v>
      </c>
      <c r="G6698" s="27"/>
    </row>
    <row r="6699">
      <c r="A6699" s="21"/>
      <c r="B6699" s="21" t="s">
        <v>12818</v>
      </c>
      <c r="D6699" s="25">
        <v>0.0</v>
      </c>
      <c r="E6699" s="27"/>
      <c r="F6699" s="25">
        <v>0.0</v>
      </c>
      <c r="G6699" s="27"/>
    </row>
    <row r="6700">
      <c r="A6700" s="21"/>
      <c r="B6700" s="21" t="s">
        <v>12819</v>
      </c>
      <c r="D6700" s="25">
        <v>0.0</v>
      </c>
      <c r="E6700" s="27"/>
      <c r="F6700" s="25">
        <v>0.0</v>
      </c>
      <c r="G6700" s="27"/>
    </row>
    <row r="6701">
      <c r="A6701" s="21"/>
      <c r="B6701" s="21" t="s">
        <v>12820</v>
      </c>
      <c r="D6701" s="25">
        <v>0.0</v>
      </c>
      <c r="E6701" s="27"/>
      <c r="F6701" s="25">
        <v>0.0</v>
      </c>
      <c r="G6701" s="27"/>
    </row>
    <row r="6702">
      <c r="A6702" s="21"/>
      <c r="B6702" s="21" t="s">
        <v>12821</v>
      </c>
      <c r="D6702" s="25">
        <v>0.0</v>
      </c>
      <c r="E6702" s="27"/>
      <c r="F6702" s="25">
        <v>0.0</v>
      </c>
      <c r="G6702" s="27"/>
    </row>
    <row r="6703">
      <c r="A6703" s="21"/>
      <c r="B6703" s="21" t="s">
        <v>12822</v>
      </c>
      <c r="D6703" s="25">
        <v>0.0</v>
      </c>
      <c r="E6703" s="27"/>
      <c r="F6703" s="25">
        <v>0.0</v>
      </c>
      <c r="G6703" s="27"/>
    </row>
    <row r="6704">
      <c r="A6704" s="21"/>
      <c r="B6704" s="21" t="s">
        <v>12823</v>
      </c>
      <c r="D6704" s="25">
        <v>0.0</v>
      </c>
      <c r="E6704" s="27"/>
      <c r="F6704" s="25">
        <v>0.0</v>
      </c>
      <c r="G6704" s="27"/>
    </row>
    <row r="6705">
      <c r="A6705" s="21"/>
      <c r="B6705" s="21" t="s">
        <v>12824</v>
      </c>
      <c r="D6705" s="25">
        <v>0.0</v>
      </c>
      <c r="E6705" s="27"/>
      <c r="F6705" s="25">
        <v>0.0</v>
      </c>
      <c r="G6705" s="27"/>
    </row>
    <row r="6706">
      <c r="A6706" s="21"/>
      <c r="B6706" s="21" t="s">
        <v>12825</v>
      </c>
      <c r="D6706" s="25">
        <v>0.0</v>
      </c>
      <c r="E6706" s="27"/>
      <c r="F6706" s="25">
        <v>0.0</v>
      </c>
      <c r="G6706" s="27"/>
    </row>
    <row r="6707">
      <c r="A6707" s="21"/>
      <c r="B6707" s="21" t="s">
        <v>12826</v>
      </c>
      <c r="D6707" s="25">
        <v>0.0</v>
      </c>
      <c r="E6707" s="27"/>
      <c r="F6707" s="25">
        <v>0.0</v>
      </c>
      <c r="G6707" s="27"/>
    </row>
    <row r="6708">
      <c r="A6708" s="21"/>
      <c r="B6708" s="21" t="s">
        <v>12827</v>
      </c>
      <c r="D6708" s="25">
        <v>0.0</v>
      </c>
      <c r="E6708" s="27"/>
      <c r="F6708" s="25">
        <v>0.0</v>
      </c>
      <c r="G6708" s="27"/>
    </row>
    <row r="6709">
      <c r="A6709" s="21"/>
      <c r="B6709" s="21" t="s">
        <v>12828</v>
      </c>
      <c r="D6709" s="25">
        <v>0.0</v>
      </c>
      <c r="E6709" s="27"/>
      <c r="F6709" s="25">
        <v>0.0</v>
      </c>
      <c r="G6709" s="27"/>
    </row>
    <row r="6710">
      <c r="A6710" s="21"/>
      <c r="B6710" s="21" t="s">
        <v>12829</v>
      </c>
      <c r="D6710" s="25">
        <v>0.0</v>
      </c>
      <c r="E6710" s="27"/>
      <c r="F6710" s="25">
        <v>0.0</v>
      </c>
      <c r="G6710" s="27"/>
    </row>
    <row r="6711">
      <c r="A6711" s="21"/>
      <c r="B6711" s="21" t="s">
        <v>12830</v>
      </c>
      <c r="D6711" s="25">
        <v>0.0</v>
      </c>
      <c r="E6711" s="27"/>
      <c r="F6711" s="25">
        <v>0.0</v>
      </c>
      <c r="G6711" s="27"/>
    </row>
    <row r="6712">
      <c r="A6712" s="21"/>
      <c r="B6712" s="21" t="s">
        <v>12831</v>
      </c>
      <c r="D6712" s="25">
        <v>0.0</v>
      </c>
      <c r="E6712" s="27"/>
      <c r="F6712" s="25">
        <v>0.0</v>
      </c>
      <c r="G6712" s="27"/>
    </row>
    <row r="6713">
      <c r="A6713" s="21"/>
      <c r="B6713" s="21" t="s">
        <v>12832</v>
      </c>
      <c r="D6713" s="25">
        <v>0.0</v>
      </c>
      <c r="E6713" s="27"/>
      <c r="F6713" s="25">
        <v>0.0</v>
      </c>
      <c r="G6713" s="27"/>
    </row>
    <row r="6714">
      <c r="A6714" s="21"/>
      <c r="B6714" s="21" t="s">
        <v>12833</v>
      </c>
      <c r="D6714" s="25">
        <v>0.0</v>
      </c>
      <c r="E6714" s="27"/>
      <c r="F6714" s="25">
        <v>0.0</v>
      </c>
      <c r="G6714" s="27"/>
    </row>
    <row r="6715">
      <c r="A6715" s="21"/>
      <c r="B6715" s="21" t="s">
        <v>12834</v>
      </c>
      <c r="D6715" s="25">
        <v>0.0</v>
      </c>
      <c r="E6715" s="27"/>
      <c r="F6715" s="25">
        <v>0.0</v>
      </c>
      <c r="G6715" s="27"/>
    </row>
    <row r="6716">
      <c r="A6716" s="21"/>
      <c r="B6716" s="21" t="s">
        <v>12835</v>
      </c>
      <c r="D6716" s="25">
        <v>0.0</v>
      </c>
      <c r="E6716" s="27"/>
      <c r="F6716" s="25">
        <v>0.0</v>
      </c>
      <c r="G6716" s="27"/>
    </row>
    <row r="6717">
      <c r="A6717" s="21"/>
      <c r="B6717" s="21" t="s">
        <v>12836</v>
      </c>
      <c r="D6717" s="25">
        <v>0.0</v>
      </c>
      <c r="E6717" s="27"/>
      <c r="F6717" s="25">
        <v>0.0</v>
      </c>
      <c r="G6717" s="27"/>
    </row>
    <row r="6718">
      <c r="A6718" s="21"/>
      <c r="B6718" s="21" t="s">
        <v>12837</v>
      </c>
      <c r="D6718" s="25">
        <v>0.0</v>
      </c>
      <c r="E6718" s="27"/>
      <c r="F6718" s="25">
        <v>0.0</v>
      </c>
      <c r="G6718" s="27"/>
    </row>
    <row r="6719">
      <c r="A6719" s="21"/>
      <c r="B6719" s="21" t="s">
        <v>12838</v>
      </c>
      <c r="D6719" s="25">
        <v>0.0</v>
      </c>
      <c r="E6719" s="27"/>
      <c r="F6719" s="25">
        <v>0.0</v>
      </c>
      <c r="G6719" s="27"/>
    </row>
    <row r="6720">
      <c r="A6720" s="21"/>
      <c r="B6720" s="21" t="s">
        <v>12839</v>
      </c>
      <c r="D6720" s="25">
        <v>0.0</v>
      </c>
      <c r="E6720" s="27"/>
      <c r="F6720" s="25">
        <v>0.0</v>
      </c>
      <c r="G6720" s="27"/>
    </row>
    <row r="6721">
      <c r="A6721" s="21"/>
      <c r="B6721" s="21" t="s">
        <v>12840</v>
      </c>
      <c r="D6721" s="25">
        <v>0.0</v>
      </c>
      <c r="E6721" s="27"/>
      <c r="F6721" s="25">
        <v>0.0</v>
      </c>
      <c r="G6721" s="27"/>
    </row>
    <row r="6722">
      <c r="A6722" s="21"/>
      <c r="B6722" s="21" t="s">
        <v>12841</v>
      </c>
      <c r="D6722" s="25">
        <v>0.0</v>
      </c>
      <c r="E6722" s="27"/>
      <c r="F6722" s="25">
        <v>0.0</v>
      </c>
      <c r="G6722" s="27"/>
    </row>
    <row r="6723">
      <c r="A6723" s="21"/>
      <c r="B6723" s="21" t="s">
        <v>12842</v>
      </c>
      <c r="D6723" s="25">
        <v>0.0</v>
      </c>
      <c r="E6723" s="27"/>
      <c r="F6723" s="25">
        <v>0.0</v>
      </c>
      <c r="G6723" s="27"/>
    </row>
    <row r="6724">
      <c r="A6724" s="21"/>
      <c r="B6724" s="21" t="s">
        <v>12843</v>
      </c>
      <c r="D6724" s="25">
        <v>0.0</v>
      </c>
      <c r="E6724" s="27"/>
      <c r="F6724" s="25">
        <v>0.0</v>
      </c>
      <c r="G6724" s="27"/>
    </row>
    <row r="6725">
      <c r="A6725" s="21"/>
      <c r="B6725" s="21" t="s">
        <v>12844</v>
      </c>
      <c r="D6725" s="25">
        <v>0.0</v>
      </c>
      <c r="E6725" s="27"/>
      <c r="F6725" s="25">
        <v>0.0</v>
      </c>
      <c r="G6725" s="27"/>
    </row>
    <row r="6726">
      <c r="A6726" s="21"/>
      <c r="B6726" s="21" t="s">
        <v>12845</v>
      </c>
      <c r="D6726" s="25">
        <v>0.0</v>
      </c>
      <c r="E6726" s="27"/>
      <c r="F6726" s="25">
        <v>0.0</v>
      </c>
      <c r="G6726" s="27"/>
    </row>
    <row r="6727">
      <c r="A6727" s="21"/>
      <c r="B6727" s="21" t="s">
        <v>12846</v>
      </c>
      <c r="D6727" s="25">
        <v>0.0</v>
      </c>
      <c r="E6727" s="27"/>
      <c r="F6727" s="25">
        <v>0.0</v>
      </c>
      <c r="G6727" s="27"/>
    </row>
    <row r="6728">
      <c r="A6728" s="21"/>
      <c r="B6728" s="21" t="s">
        <v>12847</v>
      </c>
      <c r="D6728" s="25">
        <v>0.0</v>
      </c>
      <c r="E6728" s="27"/>
      <c r="F6728" s="25">
        <v>0.0</v>
      </c>
      <c r="G6728" s="27"/>
    </row>
    <row r="6729">
      <c r="A6729" s="21"/>
      <c r="B6729" s="21" t="s">
        <v>12848</v>
      </c>
      <c r="D6729" s="25">
        <v>0.0</v>
      </c>
      <c r="E6729" s="27"/>
      <c r="F6729" s="25">
        <v>0.0</v>
      </c>
      <c r="G6729" s="27"/>
    </row>
    <row r="6730">
      <c r="A6730" s="21"/>
      <c r="B6730" s="21" t="s">
        <v>12849</v>
      </c>
      <c r="D6730" s="25">
        <v>0.0</v>
      </c>
      <c r="E6730" s="27"/>
      <c r="F6730" s="25">
        <v>0.0</v>
      </c>
      <c r="G6730" s="27"/>
    </row>
    <row r="6731">
      <c r="A6731" s="21"/>
      <c r="B6731" s="21" t="s">
        <v>12850</v>
      </c>
      <c r="D6731" s="25">
        <v>0.0</v>
      </c>
      <c r="E6731" s="27"/>
      <c r="F6731" s="25">
        <v>0.0</v>
      </c>
      <c r="G6731" s="27"/>
    </row>
    <row r="6732">
      <c r="A6732" s="21"/>
      <c r="B6732" s="21" t="s">
        <v>12851</v>
      </c>
      <c r="D6732" s="25">
        <v>0.0</v>
      </c>
      <c r="E6732" s="27"/>
      <c r="F6732" s="25">
        <v>0.0</v>
      </c>
      <c r="G6732" s="27"/>
    </row>
    <row r="6733">
      <c r="A6733" s="21"/>
      <c r="B6733" s="21" t="s">
        <v>12852</v>
      </c>
      <c r="D6733" s="25">
        <v>0.0</v>
      </c>
      <c r="E6733" s="27"/>
      <c r="F6733" s="25">
        <v>0.0</v>
      </c>
      <c r="G6733" s="27"/>
    </row>
    <row r="6734">
      <c r="A6734" s="21"/>
      <c r="B6734" s="21" t="s">
        <v>12853</v>
      </c>
      <c r="D6734" s="25">
        <v>0.0</v>
      </c>
      <c r="E6734" s="27"/>
      <c r="F6734" s="25">
        <v>0.0</v>
      </c>
      <c r="G6734" s="27"/>
    </row>
    <row r="6735">
      <c r="A6735" s="21"/>
      <c r="B6735" s="21" t="s">
        <v>12854</v>
      </c>
      <c r="D6735" s="25">
        <v>0.0</v>
      </c>
      <c r="E6735" s="27"/>
      <c r="F6735" s="25">
        <v>0.0</v>
      </c>
      <c r="G6735" s="27"/>
    </row>
    <row r="6736">
      <c r="A6736" s="21"/>
      <c r="B6736" s="21" t="s">
        <v>12855</v>
      </c>
      <c r="D6736" s="25">
        <v>0.0</v>
      </c>
      <c r="E6736" s="27"/>
      <c r="F6736" s="25">
        <v>0.0</v>
      </c>
      <c r="G6736" s="27"/>
    </row>
    <row r="6737">
      <c r="A6737" s="21"/>
      <c r="B6737" s="21" t="s">
        <v>12856</v>
      </c>
      <c r="D6737" s="25">
        <v>0.0</v>
      </c>
      <c r="E6737" s="27"/>
      <c r="F6737" s="25">
        <v>0.0</v>
      </c>
      <c r="G6737" s="27"/>
    </row>
    <row r="6738">
      <c r="A6738" s="21"/>
      <c r="B6738" s="21" t="s">
        <v>12857</v>
      </c>
      <c r="D6738" s="25">
        <v>0.0</v>
      </c>
      <c r="E6738" s="27"/>
      <c r="F6738" s="25">
        <v>0.0</v>
      </c>
      <c r="G6738" s="27"/>
    </row>
    <row r="6739">
      <c r="A6739" s="21"/>
      <c r="B6739" s="21" t="s">
        <v>12858</v>
      </c>
      <c r="D6739" s="25">
        <v>0.0</v>
      </c>
      <c r="E6739" s="27"/>
      <c r="F6739" s="25">
        <v>0.0</v>
      </c>
      <c r="G6739" s="27"/>
    </row>
    <row r="6740">
      <c r="A6740" s="21"/>
      <c r="B6740" s="21" t="s">
        <v>12859</v>
      </c>
      <c r="D6740" s="25">
        <v>0.0</v>
      </c>
      <c r="E6740" s="27"/>
      <c r="F6740" s="25">
        <v>0.0</v>
      </c>
      <c r="G6740" s="27"/>
    </row>
    <row r="6741">
      <c r="A6741" s="21"/>
      <c r="B6741" s="21" t="s">
        <v>12860</v>
      </c>
      <c r="D6741" s="25">
        <v>0.0</v>
      </c>
      <c r="E6741" s="27"/>
      <c r="F6741" s="25">
        <v>0.0</v>
      </c>
      <c r="G6741" s="27"/>
    </row>
    <row r="6742">
      <c r="A6742" s="21"/>
      <c r="B6742" s="21" t="s">
        <v>12861</v>
      </c>
      <c r="D6742" s="25">
        <v>0.0</v>
      </c>
      <c r="E6742" s="27"/>
      <c r="F6742" s="25">
        <v>0.0</v>
      </c>
      <c r="G6742" s="27"/>
    </row>
    <row r="6743">
      <c r="A6743" s="21"/>
      <c r="B6743" s="21" t="s">
        <v>12862</v>
      </c>
      <c r="D6743" s="25">
        <v>0.0</v>
      </c>
      <c r="E6743" s="27"/>
      <c r="F6743" s="25">
        <v>0.0</v>
      </c>
      <c r="G6743" s="27"/>
    </row>
    <row r="6744">
      <c r="A6744" s="21"/>
      <c r="B6744" s="21" t="s">
        <v>12863</v>
      </c>
      <c r="D6744" s="25">
        <v>0.0</v>
      </c>
      <c r="E6744" s="27"/>
      <c r="F6744" s="25">
        <v>0.0</v>
      </c>
      <c r="G6744" s="27"/>
    </row>
    <row r="6745">
      <c r="A6745" s="21"/>
      <c r="B6745" s="21" t="s">
        <v>12864</v>
      </c>
      <c r="D6745" s="25">
        <v>0.0</v>
      </c>
      <c r="E6745" s="27"/>
      <c r="F6745" s="25">
        <v>0.0</v>
      </c>
      <c r="G6745" s="27"/>
    </row>
    <row r="6746">
      <c r="A6746" s="21"/>
      <c r="B6746" s="21" t="s">
        <v>12865</v>
      </c>
      <c r="D6746" s="25">
        <v>0.0</v>
      </c>
      <c r="E6746" s="27"/>
      <c r="F6746" s="25">
        <v>0.0</v>
      </c>
      <c r="G6746" s="27"/>
    </row>
    <row r="6747">
      <c r="A6747" s="21"/>
      <c r="B6747" s="21" t="s">
        <v>44</v>
      </c>
      <c r="D6747" s="25">
        <v>0.0</v>
      </c>
      <c r="E6747" s="27"/>
      <c r="F6747" s="25">
        <v>0.0</v>
      </c>
      <c r="G6747" s="27"/>
    </row>
    <row r="6748">
      <c r="A6748" s="21"/>
      <c r="B6748" s="21" t="s">
        <v>12866</v>
      </c>
      <c r="D6748" s="25">
        <v>0.0</v>
      </c>
      <c r="E6748" s="27"/>
      <c r="F6748" s="25">
        <v>0.0</v>
      </c>
      <c r="G6748" s="27"/>
    </row>
    <row r="6749">
      <c r="A6749" s="21"/>
      <c r="B6749" s="21" t="s">
        <v>12867</v>
      </c>
      <c r="D6749" s="25">
        <v>0.0</v>
      </c>
      <c r="E6749" s="27"/>
      <c r="F6749" s="25">
        <v>0.0</v>
      </c>
      <c r="G6749" s="27"/>
    </row>
    <row r="6750">
      <c r="A6750" s="21"/>
      <c r="B6750" s="21" t="s">
        <v>12868</v>
      </c>
      <c r="D6750" s="25">
        <v>0.0</v>
      </c>
      <c r="E6750" s="27"/>
      <c r="F6750" s="25">
        <v>0.0</v>
      </c>
      <c r="G6750" s="27"/>
    </row>
    <row r="6751">
      <c r="A6751" s="21"/>
      <c r="B6751" s="21" t="s">
        <v>12869</v>
      </c>
      <c r="D6751" s="25">
        <v>0.0</v>
      </c>
      <c r="E6751" s="27"/>
      <c r="F6751" s="25">
        <v>0.0</v>
      </c>
      <c r="G6751" s="27"/>
    </row>
    <row r="6752">
      <c r="A6752" s="21"/>
      <c r="B6752" s="21" t="s">
        <v>12870</v>
      </c>
      <c r="D6752" s="25">
        <v>0.0</v>
      </c>
      <c r="E6752" s="27"/>
      <c r="F6752" s="25">
        <v>0.0</v>
      </c>
      <c r="G6752" s="27"/>
    </row>
    <row r="6753">
      <c r="A6753" s="21"/>
      <c r="B6753" s="21" t="s">
        <v>12871</v>
      </c>
      <c r="D6753" s="25">
        <v>0.0</v>
      </c>
      <c r="E6753" s="27"/>
      <c r="F6753" s="25">
        <v>0.0</v>
      </c>
      <c r="G6753" s="27"/>
    </row>
    <row r="6754">
      <c r="A6754" s="21"/>
      <c r="B6754" s="21" t="s">
        <v>12872</v>
      </c>
      <c r="D6754" s="25">
        <v>0.0</v>
      </c>
      <c r="E6754" s="27"/>
      <c r="F6754" s="25">
        <v>0.51</v>
      </c>
      <c r="G6754" s="27"/>
    </row>
    <row r="6755">
      <c r="A6755" s="21"/>
      <c r="B6755" s="21" t="s">
        <v>12873</v>
      </c>
      <c r="D6755" s="25">
        <v>0.0</v>
      </c>
      <c r="E6755" s="27"/>
      <c r="F6755" s="25">
        <v>0.0</v>
      </c>
      <c r="G6755" s="27"/>
    </row>
    <row r="6756">
      <c r="A6756" s="21"/>
      <c r="B6756" s="21" t="s">
        <v>12874</v>
      </c>
      <c r="D6756" s="25">
        <v>0.0</v>
      </c>
      <c r="E6756" s="27"/>
      <c r="F6756" s="25">
        <v>0.0</v>
      </c>
      <c r="G6756" s="27"/>
    </row>
    <row r="6757">
      <c r="A6757" s="21"/>
      <c r="B6757" s="21" t="s">
        <v>12875</v>
      </c>
      <c r="D6757" s="25">
        <v>0.0</v>
      </c>
      <c r="E6757" s="27"/>
      <c r="F6757" s="25">
        <v>0.0</v>
      </c>
      <c r="G6757" s="27"/>
    </row>
    <row r="6758">
      <c r="A6758" s="21"/>
      <c r="B6758" s="21" t="s">
        <v>12876</v>
      </c>
      <c r="D6758" s="25">
        <v>0.0</v>
      </c>
      <c r="E6758" s="27"/>
      <c r="F6758" s="25">
        <v>0.0</v>
      </c>
      <c r="G6758" s="27"/>
    </row>
    <row r="6759">
      <c r="A6759" s="21"/>
      <c r="B6759" s="21" t="s">
        <v>12877</v>
      </c>
      <c r="D6759" s="25">
        <v>0.0</v>
      </c>
      <c r="E6759" s="27"/>
      <c r="F6759" s="25">
        <v>0.0</v>
      </c>
      <c r="G6759" s="27"/>
    </row>
    <row r="6760">
      <c r="A6760" s="21"/>
      <c r="B6760" s="21" t="s">
        <v>12878</v>
      </c>
      <c r="D6760" s="25">
        <v>0.0</v>
      </c>
      <c r="E6760" s="27"/>
      <c r="F6760" s="25">
        <v>0.0</v>
      </c>
      <c r="G6760" s="27"/>
    </row>
    <row r="6761">
      <c r="A6761" s="21"/>
      <c r="B6761" s="21" t="s">
        <v>12879</v>
      </c>
      <c r="D6761" s="25">
        <v>0.0</v>
      </c>
      <c r="E6761" s="27"/>
      <c r="F6761" s="25">
        <v>0.0</v>
      </c>
      <c r="G6761" s="27"/>
    </row>
    <row r="6762">
      <c r="A6762" s="21"/>
      <c r="B6762" s="21" t="s">
        <v>12880</v>
      </c>
      <c r="D6762" s="25">
        <v>0.0</v>
      </c>
      <c r="E6762" s="27"/>
      <c r="F6762" s="25">
        <v>0.0</v>
      </c>
      <c r="G6762" s="27"/>
    </row>
    <row r="6763">
      <c r="A6763" s="21"/>
      <c r="B6763" s="21" t="s">
        <v>12881</v>
      </c>
      <c r="D6763" s="25">
        <v>0.0</v>
      </c>
      <c r="E6763" s="27"/>
      <c r="F6763" s="25">
        <v>0.0</v>
      </c>
      <c r="G6763" s="27"/>
    </row>
    <row r="6764">
      <c r="A6764" s="21"/>
      <c r="B6764" s="21" t="s">
        <v>12882</v>
      </c>
      <c r="D6764" s="25">
        <v>0.0</v>
      </c>
      <c r="E6764" s="27"/>
      <c r="F6764" s="25">
        <v>0.0</v>
      </c>
      <c r="G6764" s="27"/>
    </row>
    <row r="6765">
      <c r="A6765" s="21"/>
      <c r="B6765" s="21" t="s">
        <v>12883</v>
      </c>
      <c r="D6765" s="25">
        <v>0.0</v>
      </c>
      <c r="E6765" s="27"/>
      <c r="F6765" s="25">
        <v>0.0</v>
      </c>
      <c r="G6765" s="27"/>
    </row>
    <row r="6766">
      <c r="A6766" s="21"/>
      <c r="B6766" s="21" t="s">
        <v>12884</v>
      </c>
      <c r="D6766" s="25">
        <v>0.0</v>
      </c>
      <c r="E6766" s="27"/>
      <c r="F6766" s="25">
        <v>0.0</v>
      </c>
      <c r="G6766" s="27"/>
    </row>
    <row r="6767">
      <c r="A6767" s="21"/>
      <c r="B6767" s="21" t="s">
        <v>12885</v>
      </c>
      <c r="D6767" s="25">
        <v>0.0</v>
      </c>
      <c r="E6767" s="27"/>
      <c r="F6767" s="25">
        <v>0.0</v>
      </c>
      <c r="G6767" s="27"/>
    </row>
    <row r="6768">
      <c r="A6768" s="21"/>
      <c r="B6768" s="21" t="s">
        <v>12886</v>
      </c>
      <c r="D6768" s="25">
        <v>0.0</v>
      </c>
      <c r="E6768" s="27"/>
      <c r="F6768" s="25">
        <v>0.0</v>
      </c>
      <c r="G6768" s="27"/>
    </row>
    <row r="6769">
      <c r="A6769" s="21"/>
      <c r="B6769" s="21" t="s">
        <v>12887</v>
      </c>
      <c r="D6769" s="25">
        <v>0.0</v>
      </c>
      <c r="E6769" s="27"/>
      <c r="F6769" s="25">
        <v>0.0</v>
      </c>
      <c r="G6769" s="27"/>
    </row>
    <row r="6770">
      <c r="A6770" s="21"/>
      <c r="B6770" s="21" t="s">
        <v>12888</v>
      </c>
      <c r="D6770" s="25">
        <v>0.0</v>
      </c>
      <c r="E6770" s="27"/>
      <c r="F6770" s="25">
        <v>0.0</v>
      </c>
      <c r="G6770" s="27"/>
    </row>
    <row r="6771">
      <c r="A6771" s="21"/>
      <c r="B6771" s="21" t="s">
        <v>12889</v>
      </c>
      <c r="D6771" s="25">
        <v>0.0</v>
      </c>
      <c r="E6771" s="27"/>
      <c r="F6771" s="25">
        <v>0.0</v>
      </c>
      <c r="G6771" s="27"/>
    </row>
    <row r="6772">
      <c r="A6772" s="21"/>
      <c r="B6772" s="21" t="s">
        <v>12890</v>
      </c>
      <c r="D6772" s="25">
        <v>0.0</v>
      </c>
      <c r="E6772" s="27"/>
      <c r="F6772" s="25">
        <v>0.0</v>
      </c>
      <c r="G6772" s="27"/>
    </row>
    <row r="6773">
      <c r="A6773" s="21"/>
      <c r="B6773" s="21" t="s">
        <v>12891</v>
      </c>
      <c r="D6773" s="25">
        <v>0.0</v>
      </c>
      <c r="E6773" s="27"/>
      <c r="F6773" s="25">
        <v>0.0</v>
      </c>
      <c r="G6773" s="27"/>
    </row>
    <row r="6774">
      <c r="A6774" s="21"/>
      <c r="B6774" s="21" t="s">
        <v>12892</v>
      </c>
      <c r="D6774" s="25">
        <v>0.0</v>
      </c>
      <c r="E6774" s="27"/>
      <c r="F6774" s="25">
        <v>0.0</v>
      </c>
      <c r="G6774" s="27"/>
    </row>
    <row r="6775">
      <c r="A6775" s="21"/>
      <c r="B6775" s="21" t="s">
        <v>12893</v>
      </c>
      <c r="D6775" s="25">
        <v>0.0</v>
      </c>
      <c r="E6775" s="27"/>
      <c r="F6775" s="25">
        <v>0.0</v>
      </c>
      <c r="G6775" s="27"/>
    </row>
    <row r="6776">
      <c r="A6776" s="21"/>
      <c r="B6776" s="21" t="s">
        <v>12894</v>
      </c>
      <c r="D6776" s="25">
        <v>0.0</v>
      </c>
      <c r="E6776" s="27"/>
      <c r="F6776" s="25">
        <v>0.0</v>
      </c>
      <c r="G6776" s="27"/>
    </row>
    <row r="6777">
      <c r="A6777" s="21"/>
      <c r="B6777" s="21" t="s">
        <v>12895</v>
      </c>
      <c r="D6777" s="25">
        <v>0.0</v>
      </c>
      <c r="E6777" s="27"/>
      <c r="F6777" s="25">
        <v>0.0</v>
      </c>
      <c r="G6777" s="27"/>
    </row>
    <row r="6778">
      <c r="A6778" s="21"/>
      <c r="B6778" s="21" t="s">
        <v>12896</v>
      </c>
      <c r="D6778" s="25">
        <v>0.0</v>
      </c>
      <c r="E6778" s="27"/>
      <c r="F6778" s="25">
        <v>0.0</v>
      </c>
      <c r="G6778" s="27"/>
    </row>
    <row r="6779">
      <c r="A6779" s="21"/>
      <c r="B6779" s="21" t="s">
        <v>12897</v>
      </c>
      <c r="D6779" s="25">
        <v>0.0</v>
      </c>
      <c r="E6779" s="27"/>
      <c r="F6779" s="25">
        <v>0.0</v>
      </c>
      <c r="G6779" s="27"/>
    </row>
    <row r="6780">
      <c r="A6780" s="21"/>
      <c r="B6780" s="21" t="s">
        <v>12898</v>
      </c>
      <c r="D6780" s="25">
        <v>0.0</v>
      </c>
      <c r="E6780" s="27"/>
      <c r="F6780" s="25">
        <v>0.0</v>
      </c>
      <c r="G6780" s="27"/>
    </row>
    <row r="6781">
      <c r="A6781" s="21"/>
      <c r="B6781" s="21" t="s">
        <v>12899</v>
      </c>
      <c r="D6781" s="25">
        <v>0.0</v>
      </c>
      <c r="E6781" s="27"/>
      <c r="F6781" s="25">
        <v>0.0</v>
      </c>
      <c r="G6781" s="27"/>
    </row>
    <row r="6782">
      <c r="A6782" s="21"/>
      <c r="B6782" s="21" t="s">
        <v>12900</v>
      </c>
      <c r="D6782" s="25">
        <v>0.0</v>
      </c>
      <c r="E6782" s="27"/>
      <c r="F6782" s="25">
        <v>0.0</v>
      </c>
      <c r="G6782" s="27"/>
    </row>
    <row r="6783">
      <c r="A6783" s="21"/>
      <c r="B6783" s="21" t="s">
        <v>12901</v>
      </c>
      <c r="D6783" s="25">
        <v>0.0</v>
      </c>
      <c r="E6783" s="27"/>
      <c r="F6783" s="25">
        <v>0.51</v>
      </c>
      <c r="G6783" s="27"/>
    </row>
    <row r="6784">
      <c r="A6784" s="21"/>
      <c r="B6784" s="21" t="s">
        <v>12902</v>
      </c>
      <c r="D6784" s="25">
        <v>0.0</v>
      </c>
      <c r="E6784" s="27"/>
      <c r="F6784" s="25">
        <v>0.0</v>
      </c>
      <c r="G6784" s="27"/>
    </row>
    <row r="6785">
      <c r="A6785" s="21"/>
      <c r="B6785" s="21" t="s">
        <v>12903</v>
      </c>
      <c r="D6785" s="25">
        <v>0.0</v>
      </c>
      <c r="E6785" s="27"/>
      <c r="F6785" s="25">
        <v>0.0</v>
      </c>
      <c r="G6785" s="27"/>
    </row>
    <row r="6786">
      <c r="A6786" s="21"/>
      <c r="B6786" s="21" t="s">
        <v>12904</v>
      </c>
      <c r="D6786" s="25">
        <v>0.0</v>
      </c>
      <c r="E6786" s="27"/>
      <c r="F6786" s="25">
        <v>0.0</v>
      </c>
      <c r="G6786" s="27"/>
    </row>
    <row r="6787">
      <c r="A6787" s="21"/>
      <c r="B6787" s="21" t="s">
        <v>12905</v>
      </c>
      <c r="D6787" s="25">
        <v>0.0</v>
      </c>
      <c r="E6787" s="27"/>
      <c r="F6787" s="25">
        <v>0.0</v>
      </c>
      <c r="G6787" s="27"/>
    </row>
    <row r="6788">
      <c r="A6788" s="21"/>
      <c r="B6788" s="21" t="s">
        <v>12906</v>
      </c>
      <c r="D6788" s="25">
        <v>0.0</v>
      </c>
      <c r="E6788" s="27"/>
      <c r="F6788" s="25">
        <v>0.0</v>
      </c>
      <c r="G6788" s="27"/>
    </row>
    <row r="6789">
      <c r="A6789" s="21"/>
      <c r="B6789" s="21" t="s">
        <v>12907</v>
      </c>
      <c r="D6789" s="25">
        <v>0.0</v>
      </c>
      <c r="E6789" s="27"/>
      <c r="F6789" s="25">
        <v>0.0</v>
      </c>
      <c r="G6789" s="27"/>
    </row>
    <row r="6790">
      <c r="A6790" s="21"/>
      <c r="B6790" s="21" t="s">
        <v>12908</v>
      </c>
      <c r="D6790" s="25">
        <v>0.0</v>
      </c>
      <c r="E6790" s="27"/>
      <c r="F6790" s="25">
        <v>0.0</v>
      </c>
      <c r="G6790" s="27"/>
    </row>
    <row r="6791">
      <c r="A6791" s="21"/>
      <c r="B6791" s="21" t="s">
        <v>12909</v>
      </c>
      <c r="D6791" s="25">
        <v>0.0</v>
      </c>
      <c r="E6791" s="27"/>
      <c r="F6791" s="25">
        <v>0.0</v>
      </c>
      <c r="G6791" s="27"/>
    </row>
    <row r="6792">
      <c r="A6792" s="21"/>
      <c r="B6792" s="21" t="s">
        <v>12910</v>
      </c>
      <c r="D6792" s="25">
        <v>0.0</v>
      </c>
      <c r="E6792" s="27"/>
      <c r="F6792" s="25">
        <v>0.0</v>
      </c>
      <c r="G6792" s="27"/>
    </row>
    <row r="6793">
      <c r="A6793" s="21"/>
      <c r="B6793" s="21" t="s">
        <v>12911</v>
      </c>
      <c r="D6793" s="25">
        <v>0.0</v>
      </c>
      <c r="E6793" s="27"/>
      <c r="F6793" s="25">
        <v>0.0</v>
      </c>
      <c r="G6793" s="27"/>
    </row>
    <row r="6794">
      <c r="A6794" s="21"/>
      <c r="B6794" s="21" t="s">
        <v>12912</v>
      </c>
      <c r="D6794" s="25">
        <v>0.0</v>
      </c>
      <c r="E6794" s="27"/>
      <c r="F6794" s="25">
        <v>0.0</v>
      </c>
      <c r="G6794" s="27"/>
    </row>
    <row r="6795">
      <c r="A6795" s="21"/>
      <c r="B6795" s="21" t="s">
        <v>12913</v>
      </c>
      <c r="D6795" s="25">
        <v>0.0</v>
      </c>
      <c r="E6795" s="27"/>
      <c r="F6795" s="25">
        <v>0.0</v>
      </c>
      <c r="G6795" s="27"/>
    </row>
    <row r="6796">
      <c r="A6796" s="21"/>
      <c r="B6796" s="21" t="s">
        <v>12914</v>
      </c>
      <c r="D6796" s="25">
        <v>0.0</v>
      </c>
      <c r="E6796" s="27"/>
      <c r="F6796" s="25">
        <v>0.0</v>
      </c>
      <c r="G6796" s="27"/>
    </row>
    <row r="6797">
      <c r="A6797" s="21"/>
      <c r="B6797" s="21" t="s">
        <v>12915</v>
      </c>
      <c r="D6797" s="25">
        <v>0.0</v>
      </c>
      <c r="E6797" s="27"/>
      <c r="F6797" s="25">
        <v>0.0</v>
      </c>
      <c r="G6797" s="27"/>
    </row>
    <row r="6798">
      <c r="A6798" s="21"/>
      <c r="B6798" s="21" t="s">
        <v>12916</v>
      </c>
      <c r="D6798" s="25">
        <v>0.0</v>
      </c>
      <c r="E6798" s="27"/>
      <c r="F6798" s="25">
        <v>0.0</v>
      </c>
      <c r="G6798" s="27"/>
    </row>
    <row r="6799">
      <c r="A6799" s="21"/>
      <c r="B6799" s="21" t="s">
        <v>12917</v>
      </c>
      <c r="D6799" s="25">
        <v>0.0</v>
      </c>
      <c r="E6799" s="27"/>
      <c r="F6799" s="25">
        <v>0.0</v>
      </c>
      <c r="G6799" s="27"/>
    </row>
    <row r="6800">
      <c r="A6800" s="21"/>
      <c r="B6800" s="21" t="s">
        <v>12918</v>
      </c>
      <c r="D6800" s="25">
        <v>0.0</v>
      </c>
      <c r="E6800" s="27"/>
      <c r="F6800" s="25">
        <v>0.0</v>
      </c>
      <c r="G6800" s="27"/>
    </row>
    <row r="6801">
      <c r="A6801" s="21"/>
      <c r="B6801" s="21" t="s">
        <v>12919</v>
      </c>
      <c r="D6801" s="25">
        <v>0.0</v>
      </c>
      <c r="E6801" s="27"/>
      <c r="F6801" s="25">
        <v>0.0</v>
      </c>
      <c r="G6801" s="27"/>
    </row>
    <row r="6802">
      <c r="A6802" s="21"/>
      <c r="B6802" s="21" t="s">
        <v>12920</v>
      </c>
      <c r="D6802" s="25">
        <v>0.0</v>
      </c>
      <c r="E6802" s="27"/>
      <c r="F6802" s="25">
        <v>0.0</v>
      </c>
      <c r="G6802" s="27"/>
    </row>
    <row r="6803">
      <c r="A6803" s="21"/>
      <c r="B6803" s="21" t="s">
        <v>12921</v>
      </c>
      <c r="D6803" s="25">
        <v>0.0</v>
      </c>
      <c r="E6803" s="27"/>
      <c r="F6803" s="25">
        <v>0.0</v>
      </c>
      <c r="G6803" s="27"/>
    </row>
    <row r="6804">
      <c r="A6804" s="21"/>
      <c r="B6804" s="21" t="s">
        <v>12922</v>
      </c>
      <c r="D6804" s="25">
        <v>0.0</v>
      </c>
      <c r="E6804" s="27"/>
      <c r="F6804" s="25">
        <v>0.0</v>
      </c>
      <c r="G6804" s="27"/>
    </row>
    <row r="6805">
      <c r="A6805" s="21"/>
      <c r="B6805" s="21" t="s">
        <v>12923</v>
      </c>
      <c r="D6805" s="25">
        <v>0.0</v>
      </c>
      <c r="E6805" s="27"/>
      <c r="F6805" s="25">
        <v>0.0</v>
      </c>
      <c r="G6805" s="27"/>
    </row>
    <row r="6806">
      <c r="A6806" s="21"/>
      <c r="B6806" s="21" t="s">
        <v>12924</v>
      </c>
      <c r="D6806" s="25">
        <v>0.0</v>
      </c>
      <c r="E6806" s="27"/>
      <c r="F6806" s="25">
        <v>0.0</v>
      </c>
      <c r="G6806" s="27"/>
    </row>
    <row r="6807">
      <c r="A6807" s="21"/>
      <c r="B6807" s="21" t="s">
        <v>12925</v>
      </c>
      <c r="D6807" s="25">
        <v>0.0</v>
      </c>
      <c r="E6807" s="27"/>
      <c r="F6807" s="25">
        <v>0.0</v>
      </c>
      <c r="G6807" s="27"/>
    </row>
    <row r="6808">
      <c r="A6808" s="21"/>
      <c r="B6808" s="21" t="s">
        <v>12926</v>
      </c>
      <c r="D6808" s="25">
        <v>0.0</v>
      </c>
      <c r="E6808" s="27"/>
      <c r="F6808" s="25">
        <v>0.0</v>
      </c>
      <c r="G6808" s="27"/>
    </row>
    <row r="6809">
      <c r="A6809" s="21"/>
      <c r="B6809" s="21" t="s">
        <v>12927</v>
      </c>
      <c r="D6809" s="25">
        <v>0.0</v>
      </c>
      <c r="E6809" s="27"/>
      <c r="F6809" s="25">
        <v>0.0</v>
      </c>
      <c r="G6809" s="27"/>
    </row>
    <row r="6810">
      <c r="A6810" s="21"/>
      <c r="B6810" s="21" t="s">
        <v>12928</v>
      </c>
      <c r="D6810" s="25">
        <v>0.0</v>
      </c>
      <c r="E6810" s="27"/>
      <c r="F6810" s="25">
        <v>0.0</v>
      </c>
      <c r="G6810" s="27"/>
    </row>
    <row r="6811">
      <c r="A6811" s="21"/>
      <c r="B6811" s="21" t="s">
        <v>12929</v>
      </c>
      <c r="D6811" s="25">
        <v>0.0</v>
      </c>
      <c r="E6811" s="27"/>
      <c r="F6811" s="25">
        <v>0.0</v>
      </c>
      <c r="G6811" s="27"/>
    </row>
    <row r="6812">
      <c r="A6812" s="21"/>
      <c r="B6812" s="21" t="s">
        <v>12930</v>
      </c>
      <c r="D6812" s="25">
        <v>0.0</v>
      </c>
      <c r="E6812" s="27"/>
      <c r="F6812" s="25">
        <v>0.0</v>
      </c>
      <c r="G6812" s="27"/>
    </row>
    <row r="6813">
      <c r="A6813" s="21"/>
      <c r="B6813" s="21" t="s">
        <v>12931</v>
      </c>
      <c r="D6813" s="25">
        <v>0.0</v>
      </c>
      <c r="E6813" s="27"/>
      <c r="F6813" s="25">
        <v>0.0</v>
      </c>
      <c r="G6813" s="27"/>
    </row>
    <row r="6814">
      <c r="A6814" s="21"/>
      <c r="B6814" s="21" t="s">
        <v>12932</v>
      </c>
      <c r="D6814" s="25">
        <v>0.0</v>
      </c>
      <c r="E6814" s="27"/>
      <c r="F6814" s="25">
        <v>0.0</v>
      </c>
      <c r="G6814" s="27"/>
    </row>
    <row r="6815">
      <c r="A6815" s="21"/>
      <c r="B6815" s="21" t="s">
        <v>12933</v>
      </c>
      <c r="D6815" s="25">
        <v>0.0</v>
      </c>
      <c r="E6815" s="27"/>
      <c r="F6815" s="25">
        <v>0.0</v>
      </c>
      <c r="G6815" s="27"/>
    </row>
    <row r="6816">
      <c r="A6816" s="21"/>
      <c r="B6816" s="21" t="s">
        <v>12934</v>
      </c>
      <c r="D6816" s="25">
        <v>0.0</v>
      </c>
      <c r="E6816" s="27"/>
      <c r="F6816" s="25">
        <v>0.0</v>
      </c>
      <c r="G6816" s="27"/>
    </row>
    <row r="6817">
      <c r="A6817" s="21"/>
      <c r="B6817" s="21" t="s">
        <v>12935</v>
      </c>
      <c r="D6817" s="25">
        <v>0.0</v>
      </c>
      <c r="E6817" s="27"/>
      <c r="F6817" s="25">
        <v>0.0</v>
      </c>
      <c r="G6817" s="27"/>
    </row>
    <row r="6818">
      <c r="A6818" s="21"/>
      <c r="B6818" s="21" t="s">
        <v>12936</v>
      </c>
      <c r="D6818" s="25">
        <v>0.0</v>
      </c>
      <c r="E6818" s="27"/>
      <c r="F6818" s="25">
        <v>0.0</v>
      </c>
      <c r="G6818" s="27"/>
    </row>
    <row r="6819">
      <c r="A6819" s="21"/>
      <c r="B6819" s="21" t="s">
        <v>12937</v>
      </c>
      <c r="D6819" s="25">
        <v>0.0</v>
      </c>
      <c r="E6819" s="27"/>
      <c r="F6819" s="25">
        <v>0.0</v>
      </c>
      <c r="G6819" s="27"/>
    </row>
    <row r="6820">
      <c r="A6820" s="21"/>
      <c r="B6820" s="21" t="s">
        <v>12938</v>
      </c>
      <c r="D6820" s="25">
        <v>0.0</v>
      </c>
      <c r="E6820" s="27"/>
      <c r="F6820" s="25">
        <v>0.0</v>
      </c>
      <c r="G6820" s="27"/>
    </row>
    <row r="6821">
      <c r="A6821" s="21"/>
      <c r="B6821" s="21" t="s">
        <v>12939</v>
      </c>
      <c r="D6821" s="25">
        <v>0.0</v>
      </c>
      <c r="E6821" s="27"/>
      <c r="F6821" s="25">
        <v>0.0</v>
      </c>
      <c r="G6821" s="27"/>
    </row>
    <row r="6822">
      <c r="A6822" s="21"/>
      <c r="B6822" s="21" t="s">
        <v>12940</v>
      </c>
      <c r="D6822" s="25">
        <v>0.0</v>
      </c>
      <c r="E6822" s="27"/>
      <c r="F6822" s="25">
        <v>0.0</v>
      </c>
      <c r="G6822" s="27"/>
    </row>
    <row r="6823">
      <c r="A6823" s="21"/>
      <c r="B6823" s="21" t="s">
        <v>12941</v>
      </c>
      <c r="D6823" s="25">
        <v>0.0</v>
      </c>
      <c r="E6823" s="27"/>
      <c r="F6823" s="25">
        <v>0.0</v>
      </c>
      <c r="G6823" s="27"/>
    </row>
    <row r="6824">
      <c r="A6824" s="21"/>
      <c r="B6824" s="21" t="s">
        <v>12942</v>
      </c>
      <c r="D6824" s="25">
        <v>0.0</v>
      </c>
      <c r="E6824" s="27"/>
      <c r="F6824" s="25">
        <v>0.0</v>
      </c>
      <c r="G6824" s="27"/>
    </row>
    <row r="6825">
      <c r="A6825" s="21"/>
      <c r="B6825" s="21" t="s">
        <v>12943</v>
      </c>
      <c r="D6825" s="25">
        <v>0.0</v>
      </c>
      <c r="E6825" s="27"/>
      <c r="F6825" s="25">
        <v>0.0</v>
      </c>
      <c r="G6825" s="27"/>
    </row>
    <row r="6826">
      <c r="A6826" s="21"/>
      <c r="B6826" s="21" t="s">
        <v>12944</v>
      </c>
      <c r="D6826" s="25">
        <v>0.0</v>
      </c>
      <c r="E6826" s="27"/>
      <c r="F6826" s="25">
        <v>0.0</v>
      </c>
      <c r="G6826" s="27"/>
    </row>
    <row r="6827">
      <c r="A6827" s="21"/>
      <c r="B6827" s="21" t="s">
        <v>12945</v>
      </c>
      <c r="D6827" s="25">
        <v>0.0</v>
      </c>
      <c r="E6827" s="27"/>
      <c r="F6827" s="25">
        <v>0.0</v>
      </c>
      <c r="G6827" s="27"/>
    </row>
    <row r="6828">
      <c r="A6828" s="21"/>
      <c r="B6828" s="21" t="s">
        <v>12946</v>
      </c>
      <c r="D6828" s="25">
        <v>0.0</v>
      </c>
      <c r="E6828" s="27"/>
      <c r="F6828" s="25">
        <v>0.0</v>
      </c>
      <c r="G6828" s="27"/>
    </row>
    <row r="6829">
      <c r="A6829" s="21"/>
      <c r="B6829" s="21" t="s">
        <v>12947</v>
      </c>
      <c r="D6829" s="25">
        <v>0.0</v>
      </c>
      <c r="E6829" s="27"/>
      <c r="F6829" s="25">
        <v>0.0</v>
      </c>
      <c r="G6829" s="27"/>
    </row>
    <row r="6830">
      <c r="A6830" s="21"/>
      <c r="B6830" s="21" t="s">
        <v>12948</v>
      </c>
      <c r="D6830" s="25">
        <v>0.0</v>
      </c>
      <c r="E6830" s="27"/>
      <c r="F6830" s="25">
        <v>0.0</v>
      </c>
      <c r="G6830" s="27"/>
    </row>
    <row r="6831">
      <c r="A6831" s="21"/>
      <c r="B6831" s="21" t="s">
        <v>12949</v>
      </c>
      <c r="D6831" s="25">
        <v>0.0</v>
      </c>
      <c r="E6831" s="27"/>
      <c r="F6831" s="25">
        <v>0.0</v>
      </c>
      <c r="G6831" s="27"/>
    </row>
    <row r="6832">
      <c r="A6832" s="21"/>
      <c r="B6832" s="21" t="s">
        <v>12950</v>
      </c>
      <c r="D6832" s="25">
        <v>0.0</v>
      </c>
      <c r="E6832" s="27"/>
      <c r="F6832" s="25">
        <v>0.0</v>
      </c>
      <c r="G6832" s="27"/>
    </row>
    <row r="6833">
      <c r="A6833" s="21"/>
      <c r="B6833" s="21" t="s">
        <v>12951</v>
      </c>
      <c r="D6833" s="25">
        <v>0.0</v>
      </c>
      <c r="E6833" s="27"/>
      <c r="F6833" s="25">
        <v>0.0</v>
      </c>
      <c r="G6833" s="27"/>
    </row>
    <row r="6834">
      <c r="A6834" s="21"/>
      <c r="B6834" s="21" t="s">
        <v>12952</v>
      </c>
      <c r="D6834" s="25">
        <v>0.0</v>
      </c>
      <c r="E6834" s="27"/>
      <c r="F6834" s="25">
        <v>0.0</v>
      </c>
      <c r="G6834" s="27"/>
    </row>
    <row r="6835">
      <c r="A6835" s="21"/>
      <c r="B6835" s="21" t="s">
        <v>12953</v>
      </c>
      <c r="D6835" s="25">
        <v>0.0</v>
      </c>
      <c r="E6835" s="27"/>
      <c r="F6835" s="25">
        <v>0.0</v>
      </c>
      <c r="G6835" s="27"/>
    </row>
    <row r="6836">
      <c r="A6836" s="21"/>
      <c r="B6836" s="21" t="s">
        <v>12954</v>
      </c>
      <c r="D6836" s="25">
        <v>0.0</v>
      </c>
      <c r="E6836" s="27"/>
      <c r="F6836" s="25">
        <v>0.0</v>
      </c>
      <c r="G6836" s="27"/>
    </row>
    <row r="6837">
      <c r="A6837" s="21"/>
      <c r="B6837" s="21" t="s">
        <v>12955</v>
      </c>
      <c r="D6837" s="25">
        <v>0.0</v>
      </c>
      <c r="E6837" s="27"/>
      <c r="F6837" s="25">
        <v>0.0</v>
      </c>
      <c r="G6837" s="27"/>
    </row>
    <row r="6838">
      <c r="A6838" s="21"/>
      <c r="B6838" s="21" t="s">
        <v>12956</v>
      </c>
      <c r="D6838" s="25">
        <v>0.0</v>
      </c>
      <c r="E6838" s="27"/>
      <c r="F6838" s="25">
        <v>0.0</v>
      </c>
      <c r="G6838" s="27"/>
    </row>
    <row r="6839">
      <c r="A6839" s="21"/>
      <c r="B6839" s="21" t="s">
        <v>12957</v>
      </c>
      <c r="D6839" s="25">
        <v>0.0</v>
      </c>
      <c r="E6839" s="27"/>
      <c r="F6839" s="25">
        <v>0.0</v>
      </c>
      <c r="G6839" s="27"/>
    </row>
    <row r="6840">
      <c r="A6840" s="21"/>
      <c r="B6840" s="21" t="s">
        <v>12958</v>
      </c>
      <c r="D6840" s="25">
        <v>0.0</v>
      </c>
      <c r="E6840" s="27"/>
      <c r="F6840" s="25">
        <v>0.0</v>
      </c>
      <c r="G6840" s="27"/>
    </row>
    <row r="6841">
      <c r="A6841" s="21"/>
      <c r="B6841" s="21" t="s">
        <v>12959</v>
      </c>
      <c r="D6841" s="25">
        <v>0.0</v>
      </c>
      <c r="E6841" s="27"/>
      <c r="F6841" s="25">
        <v>0.0</v>
      </c>
      <c r="G6841" s="27"/>
    </row>
    <row r="6842">
      <c r="A6842" s="21"/>
      <c r="B6842" s="21" t="s">
        <v>12960</v>
      </c>
      <c r="D6842" s="25">
        <v>0.0</v>
      </c>
      <c r="E6842" s="27"/>
      <c r="F6842" s="25">
        <v>0.0</v>
      </c>
      <c r="G6842" s="27"/>
    </row>
    <row r="6843">
      <c r="A6843" s="21"/>
      <c r="B6843" s="21" t="s">
        <v>12961</v>
      </c>
      <c r="D6843" s="25">
        <v>0.0</v>
      </c>
      <c r="E6843" s="27"/>
      <c r="F6843" s="25">
        <v>0.0</v>
      </c>
      <c r="G6843" s="27"/>
    </row>
    <row r="6844">
      <c r="A6844" s="21"/>
      <c r="B6844" s="21" t="s">
        <v>12962</v>
      </c>
      <c r="D6844" s="25">
        <v>0.0</v>
      </c>
      <c r="E6844" s="27"/>
      <c r="F6844" s="25">
        <v>1.55</v>
      </c>
      <c r="G6844" s="27"/>
    </row>
    <row r="6845">
      <c r="A6845" s="21"/>
      <c r="B6845" s="21" t="s">
        <v>12963</v>
      </c>
      <c r="D6845" s="25">
        <v>0.0</v>
      </c>
      <c r="E6845" s="27"/>
      <c r="F6845" s="25">
        <v>0.0</v>
      </c>
      <c r="G6845" s="27"/>
    </row>
    <row r="6846">
      <c r="A6846" s="21"/>
      <c r="B6846" s="21" t="s">
        <v>12964</v>
      </c>
      <c r="D6846" s="25">
        <v>0.0</v>
      </c>
      <c r="E6846" s="27"/>
      <c r="F6846" s="25">
        <v>0.0</v>
      </c>
      <c r="G6846" s="27"/>
    </row>
    <row r="6847">
      <c r="A6847" s="21"/>
      <c r="B6847" s="21" t="s">
        <v>12965</v>
      </c>
      <c r="D6847" s="25">
        <v>0.0</v>
      </c>
      <c r="E6847" s="27"/>
      <c r="F6847" s="25">
        <v>1.55</v>
      </c>
      <c r="G6847" s="27"/>
    </row>
    <row r="6848">
      <c r="A6848" s="21"/>
      <c r="B6848" s="21" t="s">
        <v>12966</v>
      </c>
      <c r="D6848" s="25">
        <v>0.0</v>
      </c>
      <c r="E6848" s="27"/>
      <c r="F6848" s="25">
        <v>0.0</v>
      </c>
      <c r="G6848" s="27"/>
    </row>
    <row r="6849">
      <c r="A6849" s="21"/>
      <c r="B6849" s="21" t="s">
        <v>12967</v>
      </c>
      <c r="D6849" s="25">
        <v>0.0</v>
      </c>
      <c r="E6849" s="27"/>
      <c r="F6849" s="25">
        <v>0.0</v>
      </c>
      <c r="G6849" s="27"/>
    </row>
    <row r="6850">
      <c r="A6850" s="21"/>
      <c r="B6850" s="21" t="s">
        <v>12968</v>
      </c>
      <c r="D6850" s="25">
        <v>0.0</v>
      </c>
      <c r="E6850" s="27"/>
      <c r="F6850" s="25">
        <v>0.0</v>
      </c>
      <c r="G6850" s="27"/>
    </row>
    <row r="6851">
      <c r="A6851" s="21"/>
      <c r="B6851" s="21" t="s">
        <v>12969</v>
      </c>
      <c r="D6851" s="25">
        <v>0.0</v>
      </c>
      <c r="E6851" s="27"/>
      <c r="F6851" s="25">
        <v>0.0</v>
      </c>
      <c r="G6851" s="27"/>
    </row>
    <row r="6852">
      <c r="A6852" s="21"/>
      <c r="B6852" s="21" t="s">
        <v>12970</v>
      </c>
      <c r="D6852" s="25">
        <v>0.0</v>
      </c>
      <c r="E6852" s="27"/>
      <c r="F6852" s="25">
        <v>0.0</v>
      </c>
      <c r="G6852" s="27"/>
    </row>
    <row r="6853">
      <c r="A6853" s="21"/>
      <c r="B6853" s="21" t="s">
        <v>12971</v>
      </c>
      <c r="D6853" s="25">
        <v>0.0</v>
      </c>
      <c r="E6853" s="27"/>
      <c r="F6853" s="25">
        <v>0.0</v>
      </c>
      <c r="G6853" s="27"/>
    </row>
    <row r="6854">
      <c r="A6854" s="21"/>
      <c r="B6854" s="21" t="s">
        <v>12972</v>
      </c>
      <c r="D6854" s="25">
        <v>0.0</v>
      </c>
      <c r="E6854" s="27"/>
      <c r="F6854" s="25">
        <v>0.0</v>
      </c>
      <c r="G6854" s="27"/>
    </row>
    <row r="6855">
      <c r="A6855" s="21"/>
      <c r="B6855" s="21" t="s">
        <v>12973</v>
      </c>
      <c r="D6855" s="25">
        <v>0.0</v>
      </c>
      <c r="E6855" s="27"/>
      <c r="F6855" s="25">
        <v>0.0</v>
      </c>
      <c r="G6855" s="27"/>
    </row>
    <row r="6856">
      <c r="A6856" s="21"/>
      <c r="B6856" s="21" t="s">
        <v>12974</v>
      </c>
      <c r="D6856" s="25">
        <v>0.0</v>
      </c>
      <c r="E6856" s="27"/>
      <c r="F6856" s="25">
        <v>0.0</v>
      </c>
      <c r="G6856" s="27"/>
    </row>
    <row r="6857">
      <c r="A6857" s="21"/>
      <c r="B6857" s="21" t="s">
        <v>12975</v>
      </c>
      <c r="D6857" s="25">
        <v>0.0</v>
      </c>
      <c r="E6857" s="27"/>
      <c r="F6857" s="25">
        <v>0.0</v>
      </c>
      <c r="G6857" s="27"/>
    </row>
    <row r="6858">
      <c r="A6858" s="21"/>
      <c r="B6858" s="21" t="s">
        <v>12976</v>
      </c>
      <c r="D6858" s="25">
        <v>0.0</v>
      </c>
      <c r="E6858" s="27"/>
      <c r="F6858" s="25">
        <v>0.0</v>
      </c>
      <c r="G6858" s="27"/>
    </row>
    <row r="6859">
      <c r="A6859" s="21"/>
      <c r="B6859" s="21" t="s">
        <v>12977</v>
      </c>
      <c r="D6859" s="25">
        <v>0.0</v>
      </c>
      <c r="E6859" s="27"/>
      <c r="F6859" s="25">
        <v>0.0</v>
      </c>
      <c r="G6859" s="27"/>
    </row>
    <row r="6860">
      <c r="A6860" s="21"/>
      <c r="B6860" s="21" t="s">
        <v>12978</v>
      </c>
      <c r="D6860" s="25">
        <v>0.0</v>
      </c>
      <c r="E6860" s="27"/>
      <c r="F6860" s="25">
        <v>0.0</v>
      </c>
      <c r="G6860" s="27"/>
    </row>
    <row r="6861">
      <c r="A6861" s="21"/>
      <c r="B6861" s="21" t="s">
        <v>12979</v>
      </c>
      <c r="D6861" s="25">
        <v>0.0</v>
      </c>
      <c r="E6861" s="27"/>
      <c r="F6861" s="25">
        <v>0.0</v>
      </c>
      <c r="G6861" s="27"/>
    </row>
    <row r="6862">
      <c r="A6862" s="21"/>
      <c r="B6862" s="21" t="s">
        <v>12980</v>
      </c>
      <c r="D6862" s="25">
        <v>0.0</v>
      </c>
      <c r="E6862" s="27"/>
      <c r="F6862" s="25">
        <v>0.0</v>
      </c>
      <c r="G6862" s="27"/>
    </row>
    <row r="6863">
      <c r="A6863" s="21"/>
      <c r="B6863" s="21" t="s">
        <v>12981</v>
      </c>
      <c r="D6863" s="25">
        <v>0.0</v>
      </c>
      <c r="E6863" s="27"/>
      <c r="F6863" s="25">
        <v>0.0</v>
      </c>
      <c r="G6863" s="27"/>
    </row>
    <row r="6864">
      <c r="A6864" s="21"/>
      <c r="B6864" s="21" t="s">
        <v>12982</v>
      </c>
      <c r="D6864" s="25">
        <v>0.0</v>
      </c>
      <c r="E6864" s="27"/>
      <c r="F6864" s="25">
        <v>0.0</v>
      </c>
      <c r="G6864" s="27"/>
    </row>
    <row r="6865">
      <c r="A6865" s="21"/>
      <c r="B6865" s="21" t="s">
        <v>12983</v>
      </c>
      <c r="D6865" s="25">
        <v>0.0</v>
      </c>
      <c r="E6865" s="27"/>
      <c r="F6865" s="25">
        <v>0.0</v>
      </c>
      <c r="G6865" s="27"/>
    </row>
    <row r="6866">
      <c r="A6866" s="21"/>
      <c r="B6866" s="21" t="s">
        <v>5858</v>
      </c>
      <c r="D6866" s="25">
        <v>0.0</v>
      </c>
      <c r="E6866" s="27"/>
      <c r="F6866" s="25">
        <v>0.0</v>
      </c>
      <c r="G6866" s="27"/>
    </row>
    <row r="6867">
      <c r="A6867" s="21"/>
      <c r="B6867" s="21" t="s">
        <v>5859</v>
      </c>
      <c r="D6867" s="25">
        <v>0.0</v>
      </c>
      <c r="E6867" s="27"/>
      <c r="F6867" s="25">
        <v>0.0</v>
      </c>
      <c r="G6867" s="27"/>
    </row>
    <row r="6868">
      <c r="A6868" s="21"/>
      <c r="B6868" s="21" t="s">
        <v>12984</v>
      </c>
      <c r="D6868" s="25">
        <v>0.0</v>
      </c>
      <c r="E6868" s="27"/>
      <c r="F6868" s="25">
        <v>0.0</v>
      </c>
      <c r="G6868" s="27"/>
    </row>
    <row r="6869">
      <c r="A6869" s="21"/>
      <c r="B6869" s="21" t="s">
        <v>12985</v>
      </c>
      <c r="D6869" s="25">
        <v>0.0</v>
      </c>
      <c r="E6869" s="27"/>
      <c r="F6869" s="25">
        <v>0.0</v>
      </c>
      <c r="G6869" s="27"/>
    </row>
    <row r="6870">
      <c r="A6870" s="21"/>
      <c r="B6870" s="21" t="s">
        <v>12986</v>
      </c>
      <c r="D6870" s="25">
        <v>0.0</v>
      </c>
      <c r="E6870" s="27"/>
      <c r="F6870" s="25">
        <v>0.0</v>
      </c>
      <c r="G6870" s="27"/>
    </row>
    <row r="6871">
      <c r="A6871" s="21"/>
      <c r="B6871" s="21" t="s">
        <v>12987</v>
      </c>
      <c r="D6871" s="25">
        <v>0.0</v>
      </c>
      <c r="E6871" s="27"/>
      <c r="F6871" s="25">
        <v>0.0</v>
      </c>
      <c r="G6871" s="27"/>
    </row>
    <row r="6872">
      <c r="A6872" s="21"/>
      <c r="B6872" s="21" t="s">
        <v>12988</v>
      </c>
      <c r="D6872" s="25">
        <v>0.0</v>
      </c>
      <c r="E6872" s="27"/>
      <c r="F6872" s="25">
        <v>0.0</v>
      </c>
      <c r="G6872" s="27"/>
    </row>
    <row r="6873">
      <c r="A6873" s="21"/>
      <c r="B6873" s="21" t="s">
        <v>12989</v>
      </c>
      <c r="D6873" s="25">
        <v>0.0</v>
      </c>
      <c r="E6873" s="27"/>
      <c r="F6873" s="25">
        <v>0.0</v>
      </c>
      <c r="G6873" s="27"/>
    </row>
    <row r="6874">
      <c r="A6874" s="21"/>
      <c r="B6874" s="21" t="s">
        <v>12990</v>
      </c>
      <c r="D6874" s="25">
        <v>0.0</v>
      </c>
      <c r="E6874" s="27"/>
      <c r="F6874" s="25">
        <v>0.0</v>
      </c>
      <c r="G6874" s="27"/>
    </row>
    <row r="6875">
      <c r="A6875" s="21"/>
      <c r="B6875" s="21" t="s">
        <v>12991</v>
      </c>
      <c r="D6875" s="25">
        <v>0.0</v>
      </c>
      <c r="E6875" s="27"/>
      <c r="F6875" s="25">
        <v>0.0</v>
      </c>
      <c r="G6875" s="27"/>
    </row>
    <row r="6876">
      <c r="A6876" s="21"/>
      <c r="B6876" s="21" t="s">
        <v>12992</v>
      </c>
      <c r="D6876" s="25">
        <v>0.0</v>
      </c>
      <c r="E6876" s="27"/>
      <c r="F6876" s="25">
        <v>0.0</v>
      </c>
      <c r="G6876" s="27"/>
    </row>
    <row r="6877">
      <c r="A6877" s="21"/>
      <c r="B6877" s="21" t="s">
        <v>12993</v>
      </c>
      <c r="D6877" s="25">
        <v>0.0</v>
      </c>
      <c r="E6877" s="27"/>
      <c r="F6877" s="25">
        <v>0.0</v>
      </c>
      <c r="G6877" s="27"/>
    </row>
    <row r="6878">
      <c r="A6878" s="21"/>
      <c r="B6878" s="21" t="s">
        <v>12994</v>
      </c>
      <c r="D6878" s="25">
        <v>0.0</v>
      </c>
      <c r="E6878" s="27"/>
      <c r="F6878" s="25">
        <v>0.0</v>
      </c>
      <c r="G6878" s="27"/>
    </row>
    <row r="6879">
      <c r="A6879" s="21"/>
      <c r="B6879" s="21" t="s">
        <v>12995</v>
      </c>
      <c r="D6879" s="25">
        <v>0.0</v>
      </c>
      <c r="E6879" s="27"/>
      <c r="F6879" s="25">
        <v>0.0</v>
      </c>
      <c r="G6879" s="27"/>
    </row>
    <row r="6880">
      <c r="A6880" s="21"/>
      <c r="B6880" s="21" t="s">
        <v>12996</v>
      </c>
      <c r="D6880" s="25">
        <v>0.0</v>
      </c>
      <c r="E6880" s="27"/>
      <c r="F6880" s="25">
        <v>0.0</v>
      </c>
      <c r="G6880" s="27"/>
    </row>
    <row r="6881">
      <c r="A6881" s="21"/>
      <c r="B6881" s="21" t="s">
        <v>12997</v>
      </c>
      <c r="D6881" s="25">
        <v>0.0</v>
      </c>
      <c r="E6881" s="27"/>
      <c r="F6881" s="25">
        <v>0.75</v>
      </c>
      <c r="G6881" s="27"/>
    </row>
    <row r="6882">
      <c r="A6882" s="21"/>
      <c r="B6882" s="21" t="s">
        <v>12998</v>
      </c>
      <c r="D6882" s="25">
        <v>0.0</v>
      </c>
      <c r="E6882" s="27"/>
      <c r="F6882" s="25">
        <v>0.0</v>
      </c>
      <c r="G6882" s="27"/>
    </row>
    <row r="6883">
      <c r="A6883" s="21"/>
      <c r="B6883" s="21" t="s">
        <v>12999</v>
      </c>
      <c r="D6883" s="25">
        <v>0.0</v>
      </c>
      <c r="E6883" s="27"/>
      <c r="F6883" s="25">
        <v>0.0</v>
      </c>
      <c r="G6883" s="27"/>
    </row>
    <row r="6884">
      <c r="A6884" s="21"/>
      <c r="B6884" s="21" t="s">
        <v>13000</v>
      </c>
      <c r="D6884" s="25">
        <v>0.0</v>
      </c>
      <c r="E6884" s="27"/>
      <c r="F6884" s="25">
        <v>0.0</v>
      </c>
      <c r="G6884" s="27"/>
    </row>
    <row r="6885">
      <c r="A6885" s="21"/>
      <c r="B6885" s="21" t="s">
        <v>13001</v>
      </c>
      <c r="D6885" s="25">
        <v>0.0</v>
      </c>
      <c r="E6885" s="27"/>
      <c r="F6885" s="25">
        <v>0.0</v>
      </c>
      <c r="G6885" s="27"/>
    </row>
    <row r="6886">
      <c r="A6886" s="21"/>
      <c r="B6886" s="21" t="s">
        <v>13002</v>
      </c>
      <c r="D6886" s="25">
        <v>0.0</v>
      </c>
      <c r="E6886" s="27"/>
      <c r="F6886" s="25">
        <v>0.0</v>
      </c>
      <c r="G6886" s="27"/>
    </row>
    <row r="6887">
      <c r="A6887" s="21"/>
      <c r="B6887" s="21" t="s">
        <v>13003</v>
      </c>
      <c r="D6887" s="25">
        <v>0.0</v>
      </c>
      <c r="E6887" s="27"/>
      <c r="F6887" s="25">
        <v>0.0</v>
      </c>
      <c r="G6887" s="27"/>
    </row>
    <row r="6888">
      <c r="A6888" s="21"/>
      <c r="B6888" s="21" t="s">
        <v>13004</v>
      </c>
      <c r="D6888" s="25">
        <v>0.0</v>
      </c>
      <c r="E6888" s="27"/>
      <c r="F6888" s="25">
        <v>0.0</v>
      </c>
      <c r="G6888" s="27"/>
    </row>
    <row r="6889">
      <c r="A6889" s="21"/>
      <c r="B6889" s="21" t="s">
        <v>13005</v>
      </c>
      <c r="D6889" s="25">
        <v>0.0</v>
      </c>
      <c r="E6889" s="27"/>
      <c r="F6889" s="25">
        <v>0.0</v>
      </c>
      <c r="G6889" s="27"/>
    </row>
    <row r="6890">
      <c r="A6890" s="21"/>
      <c r="B6890" s="21" t="s">
        <v>13006</v>
      </c>
      <c r="D6890" s="25">
        <v>0.0</v>
      </c>
      <c r="E6890" s="27"/>
      <c r="F6890" s="25">
        <v>0.0</v>
      </c>
      <c r="G6890" s="27"/>
    </row>
    <row r="6891">
      <c r="A6891" s="21"/>
      <c r="B6891" s="21" t="s">
        <v>6066</v>
      </c>
      <c r="D6891" s="25">
        <v>0.0</v>
      </c>
      <c r="E6891" s="27"/>
      <c r="F6891" s="25">
        <v>0.0</v>
      </c>
      <c r="G6891" s="27"/>
    </row>
    <row r="6892">
      <c r="A6892" s="21"/>
      <c r="B6892" s="21" t="s">
        <v>13007</v>
      </c>
      <c r="D6892" s="25">
        <v>0.0</v>
      </c>
      <c r="E6892" s="27"/>
      <c r="F6892" s="25">
        <v>0.0</v>
      </c>
      <c r="G6892" s="27"/>
    </row>
    <row r="6893">
      <c r="A6893" s="21"/>
      <c r="B6893" s="21" t="s">
        <v>13008</v>
      </c>
      <c r="D6893" s="25">
        <v>0.0</v>
      </c>
      <c r="E6893" s="27"/>
      <c r="F6893" s="25">
        <v>0.0</v>
      </c>
      <c r="G6893" s="27"/>
    </row>
    <row r="6894">
      <c r="A6894" s="21"/>
      <c r="B6894" s="21" t="s">
        <v>13009</v>
      </c>
      <c r="D6894" s="25">
        <v>0.0</v>
      </c>
      <c r="E6894" s="27"/>
      <c r="F6894" s="25">
        <v>0.0</v>
      </c>
      <c r="G6894" s="27"/>
    </row>
    <row r="6895">
      <c r="A6895" s="21"/>
      <c r="B6895" s="21" t="s">
        <v>13010</v>
      </c>
      <c r="D6895" s="25">
        <v>0.0</v>
      </c>
      <c r="E6895" s="27"/>
      <c r="F6895" s="25">
        <v>0.0</v>
      </c>
      <c r="G6895" s="27"/>
    </row>
    <row r="6896">
      <c r="A6896" s="21"/>
      <c r="B6896" s="21" t="s">
        <v>13011</v>
      </c>
      <c r="D6896" s="25">
        <v>0.0</v>
      </c>
      <c r="E6896" s="27"/>
      <c r="F6896" s="25">
        <v>0.0</v>
      </c>
      <c r="G6896" s="27"/>
    </row>
    <row r="6897">
      <c r="A6897" s="21"/>
      <c r="B6897" s="21" t="s">
        <v>13012</v>
      </c>
      <c r="D6897" s="25">
        <v>0.0</v>
      </c>
      <c r="E6897" s="27"/>
      <c r="F6897" s="25">
        <v>0.0</v>
      </c>
      <c r="G6897" s="27"/>
    </row>
    <row r="6898">
      <c r="A6898" s="21"/>
      <c r="B6898" s="21" t="s">
        <v>13013</v>
      </c>
      <c r="D6898" s="25">
        <v>0.0</v>
      </c>
      <c r="E6898" s="27"/>
      <c r="F6898" s="25">
        <v>0.0</v>
      </c>
      <c r="G6898" s="27"/>
    </row>
    <row r="6899">
      <c r="A6899" s="21"/>
      <c r="B6899" s="21" t="s">
        <v>13014</v>
      </c>
      <c r="D6899" s="25">
        <v>0.0</v>
      </c>
      <c r="E6899" s="27"/>
      <c r="F6899" s="25">
        <v>0.0</v>
      </c>
      <c r="G6899" s="27"/>
    </row>
    <row r="6900">
      <c r="A6900" s="21"/>
      <c r="B6900" s="21" t="s">
        <v>13015</v>
      </c>
      <c r="D6900" s="25">
        <v>0.0</v>
      </c>
      <c r="E6900" s="27"/>
      <c r="F6900" s="25">
        <v>0.0</v>
      </c>
      <c r="G6900" s="27"/>
    </row>
    <row r="6901">
      <c r="A6901" s="21"/>
      <c r="B6901" s="21" t="s">
        <v>13016</v>
      </c>
      <c r="D6901" s="25">
        <v>0.0</v>
      </c>
      <c r="E6901" s="27"/>
      <c r="F6901" s="25">
        <v>0.0</v>
      </c>
      <c r="G6901" s="27"/>
    </row>
    <row r="6902">
      <c r="A6902" s="21"/>
      <c r="B6902" s="21" t="s">
        <v>13017</v>
      </c>
      <c r="D6902" s="25">
        <v>0.0</v>
      </c>
      <c r="E6902" s="27"/>
      <c r="F6902" s="25">
        <v>0.0</v>
      </c>
      <c r="G6902" s="27"/>
    </row>
    <row r="6903">
      <c r="A6903" s="21"/>
      <c r="B6903" s="21" t="s">
        <v>13018</v>
      </c>
      <c r="D6903" s="25">
        <v>0.0</v>
      </c>
      <c r="E6903" s="27"/>
      <c r="F6903" s="25">
        <v>0.0</v>
      </c>
      <c r="G6903" s="27"/>
    </row>
    <row r="6904">
      <c r="A6904" s="21"/>
      <c r="B6904" s="21" t="s">
        <v>13019</v>
      </c>
      <c r="D6904" s="25">
        <v>0.0</v>
      </c>
      <c r="E6904" s="27"/>
      <c r="F6904" s="25">
        <v>0.0</v>
      </c>
      <c r="G6904" s="27"/>
    </row>
    <row r="6905">
      <c r="A6905" s="21"/>
      <c r="B6905" s="21" t="s">
        <v>13020</v>
      </c>
      <c r="D6905" s="25">
        <v>0.0</v>
      </c>
      <c r="E6905" s="27"/>
      <c r="F6905" s="25">
        <v>0.0</v>
      </c>
      <c r="G6905" s="27"/>
    </row>
    <row r="6906">
      <c r="A6906" s="21"/>
      <c r="B6906" s="21" t="s">
        <v>13021</v>
      </c>
      <c r="D6906" s="25">
        <v>0.0</v>
      </c>
      <c r="E6906" s="27"/>
      <c r="F6906" s="25">
        <v>0.0</v>
      </c>
      <c r="G6906" s="27"/>
    </row>
    <row r="6907">
      <c r="A6907" s="21"/>
      <c r="B6907" s="21" t="s">
        <v>13022</v>
      </c>
      <c r="D6907" s="25">
        <v>0.0</v>
      </c>
      <c r="E6907" s="27"/>
      <c r="F6907" s="25">
        <v>0.0</v>
      </c>
      <c r="G6907" s="27"/>
    </row>
    <row r="6908">
      <c r="A6908" s="21"/>
      <c r="B6908" s="21" t="s">
        <v>13023</v>
      </c>
      <c r="D6908" s="25">
        <v>0.0</v>
      </c>
      <c r="E6908" s="27"/>
      <c r="F6908" s="25">
        <v>0.0</v>
      </c>
      <c r="G6908" s="27"/>
    </row>
    <row r="6909">
      <c r="A6909" s="21"/>
      <c r="B6909" s="21" t="s">
        <v>13024</v>
      </c>
      <c r="D6909" s="25">
        <v>0.0</v>
      </c>
      <c r="E6909" s="27"/>
      <c r="F6909" s="25">
        <v>0.0</v>
      </c>
      <c r="G6909" s="27"/>
    </row>
    <row r="6910">
      <c r="A6910" s="21"/>
      <c r="B6910" s="21" t="s">
        <v>13025</v>
      </c>
      <c r="D6910" s="25">
        <v>0.0</v>
      </c>
      <c r="E6910" s="27"/>
      <c r="F6910" s="25">
        <v>0.0</v>
      </c>
      <c r="G6910" s="27"/>
    </row>
    <row r="6911">
      <c r="A6911" s="21"/>
      <c r="B6911" s="21" t="s">
        <v>13026</v>
      </c>
      <c r="D6911" s="25">
        <v>0.0</v>
      </c>
      <c r="E6911" s="27"/>
      <c r="F6911" s="25">
        <v>0.0</v>
      </c>
      <c r="G6911" s="27"/>
    </row>
    <row r="6912">
      <c r="A6912" s="21"/>
      <c r="B6912" s="21" t="s">
        <v>13027</v>
      </c>
      <c r="D6912" s="25">
        <v>0.0</v>
      </c>
      <c r="E6912" s="27"/>
      <c r="F6912" s="25">
        <v>0.0</v>
      </c>
      <c r="G6912" s="27"/>
    </row>
    <row r="6913">
      <c r="A6913" s="21"/>
      <c r="B6913" s="21" t="s">
        <v>13028</v>
      </c>
      <c r="C6913" s="27"/>
      <c r="D6913" s="25">
        <v>0.0</v>
      </c>
      <c r="E6913" s="27"/>
      <c r="F6913" s="25">
        <v>0.0</v>
      </c>
      <c r="G6913" s="27"/>
    </row>
    <row r="6914">
      <c r="A6914" s="21"/>
      <c r="B6914" s="21" t="s">
        <v>13029</v>
      </c>
      <c r="D6914" s="25">
        <v>0.0</v>
      </c>
      <c r="E6914" s="27"/>
      <c r="F6914" s="25">
        <v>0.0</v>
      </c>
      <c r="G6914" s="27"/>
    </row>
    <row r="6915">
      <c r="A6915" s="21"/>
      <c r="B6915" s="21" t="s">
        <v>13030</v>
      </c>
      <c r="D6915" s="25">
        <v>0.0</v>
      </c>
      <c r="E6915" s="27"/>
      <c r="F6915" s="25">
        <v>0.0</v>
      </c>
      <c r="G6915" s="27"/>
    </row>
    <row r="6916">
      <c r="A6916" s="21"/>
      <c r="B6916" s="21" t="s">
        <v>13031</v>
      </c>
      <c r="D6916" s="25">
        <v>0.0</v>
      </c>
      <c r="E6916" s="27"/>
      <c r="F6916" s="25">
        <v>0.0</v>
      </c>
      <c r="G6916" s="27"/>
    </row>
    <row r="6917">
      <c r="A6917" s="21"/>
      <c r="B6917" s="21" t="s">
        <v>13032</v>
      </c>
      <c r="D6917" s="25">
        <v>0.0</v>
      </c>
      <c r="E6917" s="27"/>
      <c r="F6917" s="25">
        <v>0.0</v>
      </c>
      <c r="G6917" s="27"/>
    </row>
    <row r="6918">
      <c r="A6918" s="21"/>
      <c r="B6918" s="21" t="s">
        <v>13033</v>
      </c>
      <c r="D6918" s="25">
        <v>0.0</v>
      </c>
      <c r="E6918" s="27"/>
      <c r="F6918" s="25">
        <v>0.0</v>
      </c>
      <c r="G6918" s="27"/>
    </row>
    <row r="6919">
      <c r="A6919" s="21"/>
      <c r="B6919" s="21" t="s">
        <v>13034</v>
      </c>
      <c r="D6919" s="25">
        <v>0.0</v>
      </c>
      <c r="E6919" s="27"/>
      <c r="F6919" s="25">
        <v>0.0</v>
      </c>
      <c r="G6919" s="27"/>
    </row>
    <row r="6920">
      <c r="A6920" s="21"/>
      <c r="B6920" s="21" t="s">
        <v>13035</v>
      </c>
      <c r="D6920" s="25">
        <v>0.0</v>
      </c>
      <c r="E6920" s="27"/>
      <c r="F6920" s="25">
        <v>0.0</v>
      </c>
      <c r="G6920" s="27"/>
    </row>
    <row r="6921">
      <c r="A6921" s="21"/>
      <c r="B6921" s="21" t="s">
        <v>13036</v>
      </c>
      <c r="D6921" s="25">
        <v>0.0</v>
      </c>
      <c r="E6921" s="27"/>
      <c r="F6921" s="25">
        <v>0.0</v>
      </c>
      <c r="G6921" s="27"/>
    </row>
    <row r="6922">
      <c r="A6922" s="21"/>
      <c r="B6922" s="21" t="s">
        <v>13037</v>
      </c>
      <c r="D6922" s="25">
        <v>0.0</v>
      </c>
      <c r="E6922" s="27"/>
      <c r="F6922" s="25">
        <v>0.0</v>
      </c>
      <c r="G6922" s="27"/>
    </row>
    <row r="6923">
      <c r="A6923" s="21"/>
      <c r="B6923" s="21" t="s">
        <v>13038</v>
      </c>
      <c r="D6923" s="25">
        <v>0.0</v>
      </c>
      <c r="E6923" s="27"/>
      <c r="F6923" s="25">
        <v>0.0</v>
      </c>
      <c r="G6923" s="27"/>
    </row>
    <row r="6924">
      <c r="A6924" s="21"/>
      <c r="B6924" s="21" t="s">
        <v>13039</v>
      </c>
      <c r="D6924" s="25">
        <v>0.0</v>
      </c>
      <c r="E6924" s="27"/>
      <c r="F6924" s="25">
        <v>0.0</v>
      </c>
      <c r="G6924" s="27"/>
    </row>
    <row r="6925">
      <c r="A6925" s="21"/>
      <c r="B6925" s="21" t="s">
        <v>13040</v>
      </c>
      <c r="D6925" s="25">
        <v>0.0</v>
      </c>
      <c r="E6925" s="27"/>
      <c r="F6925" s="25">
        <v>0.0</v>
      </c>
      <c r="G6925" s="27"/>
    </row>
    <row r="6926">
      <c r="A6926" s="21"/>
      <c r="B6926" s="21" t="s">
        <v>13041</v>
      </c>
      <c r="D6926" s="25">
        <v>0.0</v>
      </c>
      <c r="E6926" s="27"/>
      <c r="F6926" s="25">
        <v>0.0</v>
      </c>
      <c r="G6926" s="27"/>
    </row>
    <row r="6927">
      <c r="A6927" s="21"/>
      <c r="B6927" s="21" t="s">
        <v>13042</v>
      </c>
      <c r="D6927" s="25">
        <v>0.0</v>
      </c>
      <c r="E6927" s="27"/>
      <c r="F6927" s="25">
        <v>0.0</v>
      </c>
      <c r="G6927" s="27"/>
    </row>
    <row r="6928">
      <c r="A6928" s="21"/>
      <c r="B6928" s="21" t="s">
        <v>13043</v>
      </c>
      <c r="D6928" s="25">
        <v>0.0</v>
      </c>
      <c r="E6928" s="27"/>
      <c r="F6928" s="25">
        <v>0.0</v>
      </c>
      <c r="G6928" s="27"/>
    </row>
    <row r="6929">
      <c r="A6929" s="21"/>
      <c r="B6929" s="21" t="s">
        <v>13044</v>
      </c>
      <c r="D6929" s="25">
        <v>0.0</v>
      </c>
      <c r="E6929" s="27"/>
      <c r="F6929" s="25">
        <v>0.0</v>
      </c>
      <c r="G6929" s="27"/>
    </row>
    <row r="6930">
      <c r="A6930" s="21"/>
      <c r="B6930" s="21" t="s">
        <v>13045</v>
      </c>
      <c r="D6930" s="25">
        <v>0.0</v>
      </c>
      <c r="E6930" s="27"/>
      <c r="F6930" s="25">
        <v>0.0</v>
      </c>
      <c r="G6930" s="27"/>
    </row>
    <row r="6931">
      <c r="A6931" s="21"/>
      <c r="B6931" s="21" t="s">
        <v>13046</v>
      </c>
      <c r="D6931" s="25">
        <v>0.0</v>
      </c>
      <c r="E6931" s="27"/>
      <c r="F6931" s="25">
        <v>0.0</v>
      </c>
      <c r="G6931" s="27"/>
    </row>
    <row r="6932">
      <c r="A6932" s="21"/>
      <c r="B6932" s="21" t="s">
        <v>13047</v>
      </c>
      <c r="D6932" s="25">
        <v>0.0</v>
      </c>
      <c r="E6932" s="27"/>
      <c r="F6932" s="25">
        <v>0.0</v>
      </c>
      <c r="G6932" s="27"/>
    </row>
    <row r="6933">
      <c r="A6933" s="21"/>
      <c r="B6933" s="21" t="s">
        <v>13048</v>
      </c>
      <c r="D6933" s="25">
        <v>0.0</v>
      </c>
      <c r="E6933" s="27"/>
      <c r="F6933" s="25">
        <v>0.0</v>
      </c>
      <c r="G6933" s="27"/>
    </row>
    <row r="6934">
      <c r="A6934" s="21"/>
      <c r="B6934" s="21" t="s">
        <v>13049</v>
      </c>
      <c r="D6934" s="25">
        <v>0.0</v>
      </c>
      <c r="E6934" s="27"/>
      <c r="F6934" s="25">
        <v>0.0</v>
      </c>
      <c r="G6934" s="27"/>
    </row>
    <row r="6935">
      <c r="A6935" s="21"/>
      <c r="B6935" s="21" t="s">
        <v>13050</v>
      </c>
      <c r="D6935" s="25">
        <v>0.0</v>
      </c>
      <c r="E6935" s="27"/>
      <c r="F6935" s="25">
        <v>0.0</v>
      </c>
      <c r="G6935" s="27"/>
    </row>
    <row r="6936">
      <c r="A6936" s="21"/>
      <c r="B6936" s="21" t="s">
        <v>13051</v>
      </c>
      <c r="D6936" s="25">
        <v>0.0</v>
      </c>
      <c r="E6936" s="27"/>
      <c r="F6936" s="25">
        <v>0.0</v>
      </c>
      <c r="G6936" s="27"/>
    </row>
    <row r="6937">
      <c r="A6937" s="21"/>
      <c r="B6937" s="21" t="s">
        <v>13052</v>
      </c>
      <c r="D6937" s="25">
        <v>0.0</v>
      </c>
      <c r="E6937" s="27"/>
      <c r="F6937" s="25">
        <v>0.0</v>
      </c>
      <c r="G6937" s="27"/>
    </row>
    <row r="6938">
      <c r="A6938" s="21"/>
      <c r="B6938" s="21" t="s">
        <v>13053</v>
      </c>
      <c r="D6938" s="25">
        <v>0.0</v>
      </c>
      <c r="E6938" s="27"/>
      <c r="F6938" s="25">
        <v>0.0</v>
      </c>
      <c r="G6938" s="27"/>
    </row>
    <row r="6939">
      <c r="A6939" s="21"/>
      <c r="B6939" s="21" t="s">
        <v>13054</v>
      </c>
      <c r="D6939" s="25">
        <v>0.0</v>
      </c>
      <c r="E6939" s="27"/>
      <c r="F6939" s="25">
        <v>0.0</v>
      </c>
      <c r="G6939" s="27"/>
    </row>
    <row r="6940">
      <c r="A6940" s="21"/>
      <c r="B6940" s="21" t="s">
        <v>13055</v>
      </c>
      <c r="D6940" s="25">
        <v>0.0</v>
      </c>
      <c r="E6940" s="27"/>
      <c r="F6940" s="25">
        <v>0.0</v>
      </c>
      <c r="G6940" s="27"/>
    </row>
    <row r="6941">
      <c r="A6941" s="21"/>
      <c r="B6941" s="21" t="s">
        <v>13056</v>
      </c>
      <c r="D6941" s="25">
        <v>0.0</v>
      </c>
      <c r="E6941" s="27"/>
      <c r="F6941" s="25">
        <v>0.0</v>
      </c>
      <c r="G6941" s="27"/>
    </row>
    <row r="6942">
      <c r="A6942" s="21"/>
      <c r="B6942" s="21" t="s">
        <v>13057</v>
      </c>
      <c r="D6942" s="25">
        <v>0.0</v>
      </c>
      <c r="E6942" s="27"/>
      <c r="F6942" s="25">
        <v>0.0</v>
      </c>
      <c r="G6942" s="27"/>
    </row>
    <row r="6943">
      <c r="A6943" s="21"/>
      <c r="B6943" s="21" t="s">
        <v>13058</v>
      </c>
      <c r="D6943" s="25">
        <v>0.0</v>
      </c>
      <c r="E6943" s="27"/>
      <c r="F6943" s="25">
        <v>0.0</v>
      </c>
      <c r="G6943" s="27"/>
    </row>
    <row r="6944">
      <c r="A6944" s="21"/>
      <c r="B6944" s="21" t="s">
        <v>13059</v>
      </c>
      <c r="D6944" s="25">
        <v>0.0</v>
      </c>
      <c r="E6944" s="27"/>
      <c r="F6944" s="25">
        <v>0.0</v>
      </c>
      <c r="G6944" s="27"/>
    </row>
    <row r="6945">
      <c r="A6945" s="21"/>
      <c r="B6945" s="21" t="s">
        <v>13060</v>
      </c>
      <c r="D6945" s="25">
        <v>0.0</v>
      </c>
      <c r="E6945" s="27"/>
      <c r="F6945" s="25">
        <v>0.0</v>
      </c>
      <c r="G6945" s="27"/>
    </row>
    <row r="6946">
      <c r="A6946" s="21"/>
      <c r="B6946" s="21" t="s">
        <v>13061</v>
      </c>
      <c r="D6946" s="25">
        <v>0.0</v>
      </c>
      <c r="E6946" s="27"/>
      <c r="F6946" s="25">
        <v>0.0</v>
      </c>
      <c r="G6946" s="27"/>
    </row>
    <row r="6947">
      <c r="A6947" s="21"/>
      <c r="B6947" s="21" t="s">
        <v>13062</v>
      </c>
      <c r="D6947" s="25">
        <v>0.0</v>
      </c>
      <c r="E6947" s="27"/>
      <c r="F6947" s="25">
        <v>0.0</v>
      </c>
      <c r="G6947" s="27"/>
    </row>
    <row r="6948">
      <c r="A6948" s="21"/>
      <c r="B6948" s="21" t="s">
        <v>13063</v>
      </c>
      <c r="D6948" s="25">
        <v>0.0</v>
      </c>
      <c r="E6948" s="27"/>
      <c r="F6948" s="25">
        <v>0.0</v>
      </c>
      <c r="G6948" s="27"/>
    </row>
    <row r="6949">
      <c r="A6949" s="21"/>
      <c r="B6949" s="21" t="s">
        <v>13064</v>
      </c>
      <c r="D6949" s="25">
        <v>0.0</v>
      </c>
      <c r="E6949" s="27"/>
      <c r="F6949" s="25">
        <v>0.0</v>
      </c>
      <c r="G6949" s="27"/>
    </row>
    <row r="6950">
      <c r="A6950" s="21"/>
      <c r="B6950" s="21" t="s">
        <v>13065</v>
      </c>
      <c r="D6950" s="25">
        <v>0.0</v>
      </c>
      <c r="E6950" s="27"/>
      <c r="F6950" s="25">
        <v>0.0</v>
      </c>
      <c r="G6950" s="27"/>
    </row>
    <row r="6951">
      <c r="A6951" s="21"/>
      <c r="B6951" s="21" t="s">
        <v>13066</v>
      </c>
      <c r="D6951" s="25">
        <v>0.0</v>
      </c>
      <c r="E6951" s="27"/>
      <c r="F6951" s="25">
        <v>0.0</v>
      </c>
      <c r="G6951" s="27"/>
    </row>
    <row r="6952">
      <c r="A6952" s="21"/>
      <c r="B6952" s="21" t="s">
        <v>13067</v>
      </c>
      <c r="D6952" s="25">
        <v>0.0</v>
      </c>
      <c r="E6952" s="27"/>
      <c r="F6952" s="25">
        <v>0.0</v>
      </c>
      <c r="G6952" s="27"/>
    </row>
    <row r="6953">
      <c r="A6953" s="21"/>
      <c r="B6953" s="21" t="s">
        <v>13068</v>
      </c>
      <c r="D6953" s="25">
        <v>0.0</v>
      </c>
      <c r="E6953" s="27"/>
      <c r="F6953" s="25">
        <v>0.0</v>
      </c>
      <c r="G6953" s="27"/>
    </row>
    <row r="6954">
      <c r="A6954" s="21"/>
      <c r="B6954" s="21" t="s">
        <v>13069</v>
      </c>
      <c r="D6954" s="25">
        <v>0.0</v>
      </c>
      <c r="E6954" s="27"/>
      <c r="F6954" s="25">
        <v>0.0</v>
      </c>
      <c r="G6954" s="27"/>
    </row>
    <row r="6955">
      <c r="A6955" s="21"/>
      <c r="B6955" s="21" t="s">
        <v>13070</v>
      </c>
      <c r="D6955" s="25">
        <v>0.0</v>
      </c>
      <c r="E6955" s="27"/>
      <c r="F6955" s="25">
        <v>0.0</v>
      </c>
      <c r="G6955" s="27"/>
    </row>
    <row r="6956">
      <c r="A6956" s="21"/>
      <c r="B6956" s="21" t="s">
        <v>13071</v>
      </c>
      <c r="D6956" s="25">
        <v>0.0</v>
      </c>
      <c r="E6956" s="27"/>
      <c r="F6956" s="25">
        <v>0.0</v>
      </c>
      <c r="G6956" s="27"/>
    </row>
    <row r="6957">
      <c r="A6957" s="21"/>
      <c r="B6957" s="21" t="s">
        <v>13072</v>
      </c>
      <c r="D6957" s="25">
        <v>0.0</v>
      </c>
      <c r="E6957" s="27"/>
      <c r="F6957" s="25">
        <v>0.0</v>
      </c>
      <c r="G6957" s="27"/>
    </row>
    <row r="6958">
      <c r="A6958" s="21"/>
      <c r="B6958" s="21" t="s">
        <v>13073</v>
      </c>
      <c r="D6958" s="25">
        <v>0.0</v>
      </c>
      <c r="E6958" s="27"/>
      <c r="F6958" s="25">
        <v>0.0</v>
      </c>
      <c r="G6958" s="27"/>
    </row>
    <row r="6959">
      <c r="A6959" s="21"/>
      <c r="B6959" s="21" t="s">
        <v>13074</v>
      </c>
      <c r="D6959" s="25">
        <v>0.0</v>
      </c>
      <c r="E6959" s="27"/>
      <c r="F6959" s="25">
        <v>0.0</v>
      </c>
      <c r="G6959" s="27"/>
    </row>
    <row r="6960">
      <c r="A6960" s="21"/>
      <c r="B6960" s="21" t="s">
        <v>13075</v>
      </c>
      <c r="D6960" s="25">
        <v>0.0</v>
      </c>
      <c r="E6960" s="27"/>
      <c r="F6960" s="25">
        <v>0.0</v>
      </c>
      <c r="G6960" s="27"/>
    </row>
    <row r="6961">
      <c r="A6961" s="21"/>
      <c r="B6961" s="21" t="s">
        <v>13076</v>
      </c>
      <c r="D6961" s="25">
        <v>0.0</v>
      </c>
      <c r="E6961" s="27"/>
      <c r="F6961" s="25">
        <v>0.0</v>
      </c>
      <c r="G6961" s="27"/>
    </row>
    <row r="6962">
      <c r="A6962" s="21"/>
      <c r="B6962" s="21" t="s">
        <v>13077</v>
      </c>
      <c r="D6962" s="25">
        <v>0.0</v>
      </c>
      <c r="E6962" s="27"/>
      <c r="F6962" s="25">
        <v>0.0</v>
      </c>
      <c r="G6962" s="27"/>
    </row>
    <row r="6963">
      <c r="A6963" s="21"/>
      <c r="B6963" s="21" t="s">
        <v>13078</v>
      </c>
      <c r="D6963" s="25">
        <v>0.0</v>
      </c>
      <c r="E6963" s="27"/>
      <c r="F6963" s="25">
        <v>0.0</v>
      </c>
      <c r="G6963" s="27"/>
    </row>
    <row r="6964">
      <c r="A6964" s="21"/>
      <c r="B6964" s="21" t="s">
        <v>13079</v>
      </c>
      <c r="D6964" s="25">
        <v>0.0</v>
      </c>
      <c r="E6964" s="27"/>
      <c r="F6964" s="25">
        <v>0.0</v>
      </c>
      <c r="G6964" s="27"/>
    </row>
    <row r="6965">
      <c r="A6965" s="21"/>
      <c r="B6965" s="21" t="s">
        <v>13080</v>
      </c>
      <c r="D6965" s="25">
        <v>0.0</v>
      </c>
      <c r="E6965" s="27"/>
      <c r="F6965" s="25">
        <v>0.0</v>
      </c>
      <c r="G6965" s="27"/>
    </row>
    <row r="6966">
      <c r="A6966" s="21"/>
      <c r="B6966" s="21" t="s">
        <v>13081</v>
      </c>
      <c r="D6966" s="25">
        <v>0.0</v>
      </c>
      <c r="E6966" s="27"/>
      <c r="F6966" s="25">
        <v>0.0</v>
      </c>
      <c r="G6966" s="27"/>
    </row>
    <row r="6967">
      <c r="A6967" s="21"/>
      <c r="B6967" s="21" t="s">
        <v>13082</v>
      </c>
      <c r="D6967" s="25">
        <v>0.0</v>
      </c>
      <c r="E6967" s="27"/>
      <c r="F6967" s="25">
        <v>0.0</v>
      </c>
      <c r="G6967" s="27"/>
    </row>
    <row r="6968">
      <c r="A6968" s="21"/>
      <c r="B6968" s="21" t="s">
        <v>13083</v>
      </c>
      <c r="D6968" s="25">
        <v>0.0</v>
      </c>
      <c r="E6968" s="27"/>
      <c r="F6968" s="25">
        <v>1.08</v>
      </c>
      <c r="G6968" s="27"/>
    </row>
    <row r="6969">
      <c r="A6969" s="21"/>
      <c r="B6969" s="21" t="s">
        <v>13084</v>
      </c>
      <c r="D6969" s="25">
        <v>0.0</v>
      </c>
      <c r="E6969" s="27"/>
      <c r="F6969" s="25">
        <v>0.0</v>
      </c>
      <c r="G6969" s="27"/>
    </row>
    <row r="6970">
      <c r="A6970" s="21"/>
      <c r="B6970" s="21" t="s">
        <v>13085</v>
      </c>
      <c r="D6970" s="25">
        <v>0.0</v>
      </c>
      <c r="E6970" s="27"/>
      <c r="F6970" s="25">
        <v>0.0</v>
      </c>
      <c r="G6970" s="27"/>
    </row>
    <row r="6971">
      <c r="A6971" s="21"/>
      <c r="B6971" s="21" t="s">
        <v>13086</v>
      </c>
      <c r="D6971" s="25">
        <v>0.0</v>
      </c>
      <c r="E6971" s="27"/>
      <c r="F6971" s="25">
        <v>0.0</v>
      </c>
      <c r="G6971" s="27"/>
    </row>
    <row r="6972">
      <c r="A6972" s="21"/>
      <c r="B6972" s="21" t="s">
        <v>13087</v>
      </c>
      <c r="D6972" s="25">
        <v>0.0</v>
      </c>
      <c r="E6972" s="27"/>
      <c r="F6972" s="25">
        <v>0.0</v>
      </c>
      <c r="G6972" s="27"/>
    </row>
    <row r="6973">
      <c r="A6973" s="21"/>
      <c r="B6973" s="21" t="s">
        <v>13088</v>
      </c>
      <c r="D6973" s="25">
        <v>0.0</v>
      </c>
      <c r="E6973" s="27"/>
      <c r="F6973" s="25">
        <v>0.0</v>
      </c>
      <c r="G6973" s="27"/>
    </row>
    <row r="6974">
      <c r="A6974" s="21"/>
      <c r="B6974" s="21" t="s">
        <v>13089</v>
      </c>
      <c r="D6974" s="25">
        <v>0.0</v>
      </c>
      <c r="E6974" s="27"/>
      <c r="F6974" s="25">
        <v>0.0</v>
      </c>
      <c r="G6974" s="27"/>
    </row>
    <row r="6975">
      <c r="A6975" s="21"/>
      <c r="B6975" s="21" t="s">
        <v>13090</v>
      </c>
      <c r="D6975" s="25">
        <v>0.0</v>
      </c>
      <c r="E6975" s="27"/>
      <c r="F6975" s="25">
        <v>0.0</v>
      </c>
      <c r="G6975" s="27"/>
    </row>
    <row r="6976">
      <c r="A6976" s="21"/>
      <c r="B6976" s="21" t="s">
        <v>13091</v>
      </c>
      <c r="D6976" s="25">
        <v>0.0</v>
      </c>
      <c r="E6976" s="27"/>
      <c r="F6976" s="25">
        <v>0.0</v>
      </c>
      <c r="G6976" s="27"/>
    </row>
    <row r="6977">
      <c r="A6977" s="21"/>
      <c r="B6977" s="21" t="s">
        <v>13092</v>
      </c>
      <c r="D6977" s="25">
        <v>0.0</v>
      </c>
      <c r="E6977" s="27"/>
      <c r="F6977" s="25">
        <v>0.0</v>
      </c>
      <c r="G6977" s="27"/>
    </row>
    <row r="6978">
      <c r="A6978" s="21"/>
      <c r="B6978" s="21" t="s">
        <v>13093</v>
      </c>
      <c r="D6978" s="25">
        <v>0.0</v>
      </c>
      <c r="E6978" s="27"/>
      <c r="F6978" s="25">
        <v>0.0</v>
      </c>
      <c r="G6978" s="27"/>
    </row>
    <row r="6979">
      <c r="A6979" s="21"/>
      <c r="B6979" s="21" t="s">
        <v>13094</v>
      </c>
      <c r="D6979" s="25">
        <v>0.0</v>
      </c>
      <c r="E6979" s="27"/>
      <c r="F6979" s="25">
        <v>0.0</v>
      </c>
      <c r="G6979" s="27"/>
    </row>
    <row r="6980">
      <c r="A6980" s="21"/>
      <c r="B6980" s="21" t="s">
        <v>13095</v>
      </c>
      <c r="D6980" s="25">
        <v>0.0</v>
      </c>
      <c r="E6980" s="27"/>
      <c r="F6980" s="25">
        <v>0.0</v>
      </c>
      <c r="G6980" s="27"/>
    </row>
    <row r="6981">
      <c r="A6981" s="21"/>
      <c r="B6981" s="21" t="s">
        <v>13096</v>
      </c>
      <c r="D6981" s="25">
        <v>0.0</v>
      </c>
      <c r="E6981" s="27"/>
      <c r="F6981" s="25">
        <v>0.0</v>
      </c>
      <c r="G6981" s="27"/>
    </row>
    <row r="6982">
      <c r="A6982" s="21"/>
      <c r="B6982" s="21" t="s">
        <v>13097</v>
      </c>
      <c r="D6982" s="25">
        <v>0.0</v>
      </c>
      <c r="E6982" s="27"/>
      <c r="F6982" s="25">
        <v>0.0</v>
      </c>
      <c r="G6982" s="27"/>
    </row>
    <row r="6983">
      <c r="A6983" s="21"/>
      <c r="B6983" s="21" t="s">
        <v>13098</v>
      </c>
      <c r="D6983" s="25">
        <v>0.0</v>
      </c>
      <c r="E6983" s="27"/>
      <c r="F6983" s="25">
        <v>0.0</v>
      </c>
      <c r="G6983" s="27"/>
    </row>
    <row r="6984">
      <c r="A6984" s="21"/>
      <c r="B6984" s="21" t="s">
        <v>13099</v>
      </c>
      <c r="D6984" s="25">
        <v>0.0</v>
      </c>
      <c r="E6984" s="27"/>
      <c r="F6984" s="25">
        <v>0.0</v>
      </c>
      <c r="G6984" s="27"/>
    </row>
    <row r="6985">
      <c r="A6985" s="21"/>
      <c r="B6985" s="21" t="s">
        <v>13100</v>
      </c>
      <c r="D6985" s="25">
        <v>0.0</v>
      </c>
      <c r="E6985" s="27"/>
      <c r="F6985" s="25">
        <v>0.0</v>
      </c>
      <c r="G6985" s="27"/>
    </row>
    <row r="6986">
      <c r="A6986" s="21"/>
      <c r="B6986" s="21" t="s">
        <v>13101</v>
      </c>
      <c r="D6986" s="25">
        <v>0.0</v>
      </c>
      <c r="E6986" s="27"/>
      <c r="F6986" s="25">
        <v>0.0</v>
      </c>
      <c r="G6986" s="27"/>
    </row>
    <row r="6987">
      <c r="A6987" s="21"/>
      <c r="B6987" s="21" t="s">
        <v>13102</v>
      </c>
      <c r="D6987" s="25">
        <v>0.0</v>
      </c>
      <c r="E6987" s="27"/>
      <c r="F6987" s="25">
        <v>0.0</v>
      </c>
      <c r="G6987" s="27"/>
    </row>
    <row r="6988">
      <c r="A6988" s="21"/>
      <c r="B6988" s="21" t="s">
        <v>13103</v>
      </c>
      <c r="D6988" s="25">
        <v>0.0</v>
      </c>
      <c r="E6988" s="27"/>
      <c r="F6988" s="25">
        <v>0.0</v>
      </c>
      <c r="G6988" s="27"/>
    </row>
    <row r="6989">
      <c r="A6989" s="21"/>
      <c r="B6989" s="21" t="s">
        <v>13104</v>
      </c>
      <c r="D6989" s="25">
        <v>0.0</v>
      </c>
      <c r="E6989" s="27"/>
      <c r="F6989" s="25">
        <v>0.0</v>
      </c>
      <c r="G6989" s="27"/>
    </row>
    <row r="6990">
      <c r="A6990" s="21"/>
      <c r="B6990" s="21" t="s">
        <v>13105</v>
      </c>
      <c r="D6990" s="25">
        <v>0.0</v>
      </c>
      <c r="E6990" s="27"/>
      <c r="F6990" s="25">
        <v>0.0</v>
      </c>
      <c r="G6990" s="27"/>
    </row>
    <row r="6991">
      <c r="A6991" s="21"/>
      <c r="B6991" s="21" t="s">
        <v>13106</v>
      </c>
      <c r="D6991" s="25">
        <v>0.0</v>
      </c>
      <c r="E6991" s="27"/>
      <c r="F6991" s="25">
        <v>0.0</v>
      </c>
      <c r="G6991" s="27"/>
    </row>
    <row r="6992">
      <c r="A6992" s="21"/>
      <c r="B6992" s="21" t="s">
        <v>13107</v>
      </c>
      <c r="D6992" s="25">
        <v>0.0</v>
      </c>
      <c r="E6992" s="27"/>
      <c r="F6992" s="25">
        <v>0.0</v>
      </c>
      <c r="G6992" s="27"/>
    </row>
    <row r="6993">
      <c r="A6993" s="21"/>
      <c r="B6993" s="21" t="s">
        <v>13108</v>
      </c>
      <c r="D6993" s="25">
        <v>0.0</v>
      </c>
      <c r="E6993" s="27"/>
      <c r="F6993" s="25">
        <v>0.0</v>
      </c>
      <c r="G6993" s="27"/>
    </row>
    <row r="6994">
      <c r="A6994" s="21"/>
      <c r="B6994" s="21" t="s">
        <v>13109</v>
      </c>
      <c r="D6994" s="25">
        <v>0.0</v>
      </c>
      <c r="E6994" s="27"/>
      <c r="F6994" s="25">
        <v>0.0</v>
      </c>
      <c r="G6994" s="27"/>
    </row>
    <row r="6995">
      <c r="A6995" s="21"/>
      <c r="B6995" s="21" t="s">
        <v>13110</v>
      </c>
      <c r="D6995" s="25">
        <v>0.0</v>
      </c>
      <c r="E6995" s="27"/>
      <c r="F6995" s="25">
        <v>0.0</v>
      </c>
      <c r="G6995" s="27"/>
    </row>
    <row r="6996">
      <c r="A6996" s="21"/>
      <c r="B6996" s="21" t="s">
        <v>13111</v>
      </c>
      <c r="D6996" s="25">
        <v>0.0</v>
      </c>
      <c r="E6996" s="27"/>
      <c r="F6996" s="25">
        <v>0.0</v>
      </c>
      <c r="G6996" s="27"/>
    </row>
    <row r="6997">
      <c r="A6997" s="21"/>
      <c r="B6997" s="21" t="s">
        <v>13112</v>
      </c>
      <c r="D6997" s="25">
        <v>0.0</v>
      </c>
      <c r="E6997" s="27"/>
      <c r="F6997" s="25">
        <v>0.0</v>
      </c>
      <c r="G6997" s="27"/>
    </row>
    <row r="6998">
      <c r="A6998" s="21"/>
      <c r="B6998" s="21" t="s">
        <v>13113</v>
      </c>
      <c r="D6998" s="25">
        <v>0.0</v>
      </c>
      <c r="E6998" s="27"/>
      <c r="F6998" s="25">
        <v>0.0</v>
      </c>
      <c r="G6998" s="27"/>
    </row>
    <row r="6999">
      <c r="A6999" s="21"/>
      <c r="B6999" s="21" t="s">
        <v>13114</v>
      </c>
      <c r="D6999" s="25">
        <v>0.0</v>
      </c>
      <c r="E6999" s="27"/>
      <c r="F6999" s="25">
        <v>0.0</v>
      </c>
      <c r="G6999" s="27"/>
    </row>
    <row r="7000">
      <c r="A7000" s="21"/>
      <c r="B7000" s="21" t="s">
        <v>13115</v>
      </c>
      <c r="D7000" s="25">
        <v>0.0</v>
      </c>
      <c r="E7000" s="27"/>
      <c r="F7000" s="25">
        <v>0.0</v>
      </c>
      <c r="G7000" s="27"/>
    </row>
    <row r="7001">
      <c r="A7001" s="21"/>
      <c r="B7001" s="21" t="s">
        <v>13116</v>
      </c>
      <c r="D7001" s="25">
        <v>0.0</v>
      </c>
      <c r="E7001" s="27"/>
      <c r="F7001" s="25">
        <v>0.0</v>
      </c>
      <c r="G7001" s="27"/>
    </row>
    <row r="7002">
      <c r="A7002" s="21"/>
      <c r="B7002" s="21" t="s">
        <v>13117</v>
      </c>
      <c r="D7002" s="25">
        <v>0.0</v>
      </c>
      <c r="E7002" s="27"/>
      <c r="F7002" s="25">
        <v>0.0</v>
      </c>
      <c r="G7002" s="27"/>
    </row>
    <row r="7003">
      <c r="A7003" s="21"/>
      <c r="B7003" s="21" t="s">
        <v>13118</v>
      </c>
      <c r="D7003" s="25">
        <v>0.0</v>
      </c>
      <c r="E7003" s="27"/>
      <c r="F7003" s="25">
        <v>0.0</v>
      </c>
      <c r="G7003" s="27"/>
    </row>
    <row r="7004">
      <c r="A7004" s="21"/>
      <c r="B7004" s="21" t="s">
        <v>13119</v>
      </c>
      <c r="D7004" s="25">
        <v>0.0</v>
      </c>
      <c r="E7004" s="27"/>
      <c r="F7004" s="25">
        <v>0.0</v>
      </c>
      <c r="G7004" s="27"/>
    </row>
    <row r="7005">
      <c r="A7005" s="21"/>
      <c r="B7005" s="21" t="s">
        <v>13120</v>
      </c>
      <c r="D7005" s="25">
        <v>0.0</v>
      </c>
      <c r="E7005" s="27"/>
      <c r="F7005" s="25">
        <v>0.0</v>
      </c>
      <c r="G7005" s="27"/>
    </row>
    <row r="7006">
      <c r="A7006" s="21"/>
      <c r="B7006" s="21" t="s">
        <v>13121</v>
      </c>
      <c r="D7006" s="25">
        <v>0.0</v>
      </c>
      <c r="E7006" s="27"/>
      <c r="F7006" s="25">
        <v>0.0</v>
      </c>
      <c r="G7006" s="27"/>
    </row>
    <row r="7007">
      <c r="A7007" s="21"/>
      <c r="B7007" s="21" t="s">
        <v>13122</v>
      </c>
      <c r="D7007" s="25">
        <v>0.0</v>
      </c>
      <c r="E7007" s="27"/>
      <c r="F7007" s="25">
        <v>0.0</v>
      </c>
      <c r="G7007" s="27"/>
    </row>
    <row r="7008">
      <c r="A7008" s="21"/>
      <c r="B7008" s="21" t="s">
        <v>13123</v>
      </c>
      <c r="D7008" s="25">
        <v>0.0</v>
      </c>
      <c r="E7008" s="27"/>
      <c r="F7008" s="25">
        <v>0.0</v>
      </c>
      <c r="G7008" s="27"/>
    </row>
    <row r="7009">
      <c r="A7009" s="21"/>
      <c r="B7009" s="21" t="s">
        <v>13124</v>
      </c>
      <c r="D7009" s="25">
        <v>0.0</v>
      </c>
      <c r="E7009" s="27"/>
      <c r="F7009" s="25">
        <v>0.0</v>
      </c>
      <c r="G7009" s="27"/>
    </row>
    <row r="7010">
      <c r="A7010" s="21"/>
      <c r="B7010" s="21" t="s">
        <v>13125</v>
      </c>
      <c r="D7010" s="25">
        <v>0.0</v>
      </c>
      <c r="E7010" s="27"/>
      <c r="F7010" s="25">
        <v>0.0</v>
      </c>
      <c r="G7010" s="27"/>
    </row>
    <row r="7011">
      <c r="A7011" s="21"/>
      <c r="B7011" s="21" t="s">
        <v>13126</v>
      </c>
      <c r="D7011" s="25">
        <v>0.0</v>
      </c>
      <c r="E7011" s="27"/>
      <c r="F7011" s="25">
        <v>0.0</v>
      </c>
      <c r="G7011" s="27"/>
    </row>
    <row r="7012">
      <c r="A7012" s="21"/>
      <c r="B7012" s="21" t="s">
        <v>13127</v>
      </c>
      <c r="D7012" s="25">
        <v>0.0</v>
      </c>
      <c r="E7012" s="27"/>
      <c r="F7012" s="25">
        <v>0.0</v>
      </c>
      <c r="G7012" s="27"/>
    </row>
    <row r="7013">
      <c r="A7013" s="21"/>
      <c r="B7013" s="21" t="s">
        <v>13128</v>
      </c>
      <c r="D7013" s="25">
        <v>0.0</v>
      </c>
      <c r="E7013" s="27"/>
      <c r="F7013" s="25">
        <v>0.0</v>
      </c>
      <c r="G7013" s="27"/>
    </row>
    <row r="7014">
      <c r="A7014" s="21"/>
      <c r="B7014" s="21" t="s">
        <v>13129</v>
      </c>
      <c r="D7014" s="25">
        <v>0.0</v>
      </c>
      <c r="E7014" s="27"/>
      <c r="F7014" s="25">
        <v>0.0</v>
      </c>
      <c r="G7014" s="27"/>
    </row>
    <row r="7015">
      <c r="A7015" s="21"/>
      <c r="B7015" s="21" t="s">
        <v>13130</v>
      </c>
      <c r="D7015" s="25">
        <v>0.0</v>
      </c>
      <c r="E7015" s="27"/>
      <c r="F7015" s="25">
        <v>0.0</v>
      </c>
      <c r="G7015" s="27"/>
    </row>
    <row r="7016">
      <c r="A7016" s="21"/>
      <c r="B7016" s="21" t="s">
        <v>13131</v>
      </c>
      <c r="D7016" s="25">
        <v>0.0</v>
      </c>
      <c r="E7016" s="27"/>
      <c r="F7016" s="25">
        <v>0.0</v>
      </c>
      <c r="G7016" s="27"/>
    </row>
    <row r="7017">
      <c r="A7017" s="21"/>
      <c r="B7017" s="21" t="s">
        <v>13132</v>
      </c>
      <c r="D7017" s="25">
        <v>0.0</v>
      </c>
      <c r="E7017" s="27"/>
      <c r="F7017" s="25">
        <v>0.0</v>
      </c>
      <c r="G7017" s="27"/>
    </row>
    <row r="7018">
      <c r="A7018" s="21"/>
      <c r="B7018" s="21" t="s">
        <v>13133</v>
      </c>
      <c r="D7018" s="25">
        <v>0.0</v>
      </c>
      <c r="E7018" s="27"/>
      <c r="F7018" s="25">
        <v>0.0</v>
      </c>
      <c r="G7018" s="27"/>
    </row>
    <row r="7019">
      <c r="A7019" s="21"/>
      <c r="B7019" s="21" t="s">
        <v>13134</v>
      </c>
      <c r="D7019" s="25">
        <v>0.0</v>
      </c>
      <c r="E7019" s="27"/>
      <c r="F7019" s="25">
        <v>0.0</v>
      </c>
      <c r="G7019" s="27"/>
    </row>
    <row r="7020">
      <c r="A7020" s="21"/>
      <c r="B7020" s="21" t="s">
        <v>13135</v>
      </c>
      <c r="D7020" s="25">
        <v>0.0</v>
      </c>
      <c r="E7020" s="27"/>
      <c r="F7020" s="25">
        <v>0.0</v>
      </c>
      <c r="G7020" s="27"/>
    </row>
    <row r="7021">
      <c r="A7021" s="21"/>
      <c r="B7021" s="21" t="s">
        <v>13136</v>
      </c>
      <c r="D7021" s="25">
        <v>0.0</v>
      </c>
      <c r="E7021" s="27"/>
      <c r="F7021" s="25">
        <v>0.0</v>
      </c>
      <c r="G7021" s="27"/>
    </row>
    <row r="7022">
      <c r="A7022" s="21"/>
      <c r="B7022" s="21" t="s">
        <v>13137</v>
      </c>
      <c r="D7022" s="25">
        <v>0.0</v>
      </c>
      <c r="E7022" s="27"/>
      <c r="F7022" s="25">
        <v>0.0</v>
      </c>
      <c r="G7022" s="27"/>
    </row>
    <row r="7023">
      <c r="A7023" s="21"/>
      <c r="B7023" s="21" t="s">
        <v>13138</v>
      </c>
      <c r="D7023" s="25">
        <v>0.0</v>
      </c>
      <c r="E7023" s="27"/>
      <c r="F7023" s="25">
        <v>0.0</v>
      </c>
      <c r="G7023" s="27"/>
    </row>
    <row r="7024">
      <c r="A7024" s="21"/>
      <c r="B7024" s="21" t="s">
        <v>13139</v>
      </c>
      <c r="D7024" s="25">
        <v>0.0</v>
      </c>
      <c r="E7024" s="27"/>
      <c r="F7024" s="25">
        <v>0.0</v>
      </c>
      <c r="G7024" s="27"/>
    </row>
    <row r="7025">
      <c r="A7025" s="21"/>
      <c r="B7025" s="21" t="s">
        <v>13140</v>
      </c>
      <c r="D7025" s="25">
        <v>0.0</v>
      </c>
      <c r="E7025" s="27"/>
      <c r="F7025" s="25">
        <v>0.0</v>
      </c>
      <c r="G7025" s="27"/>
    </row>
    <row r="7026">
      <c r="A7026" s="21"/>
      <c r="B7026" s="21" t="s">
        <v>13141</v>
      </c>
      <c r="D7026" s="25">
        <v>0.0</v>
      </c>
      <c r="E7026" s="27"/>
      <c r="F7026" s="25">
        <v>0.0</v>
      </c>
      <c r="G7026" s="27"/>
    </row>
    <row r="7027">
      <c r="A7027" s="21"/>
      <c r="B7027" s="21" t="s">
        <v>13142</v>
      </c>
      <c r="D7027" s="25">
        <v>0.0</v>
      </c>
      <c r="E7027" s="27"/>
      <c r="F7027" s="25">
        <v>0.0</v>
      </c>
      <c r="G7027" s="27"/>
    </row>
    <row r="7028">
      <c r="A7028" s="21"/>
      <c r="B7028" s="21" t="s">
        <v>13143</v>
      </c>
      <c r="D7028" s="25">
        <v>0.0</v>
      </c>
      <c r="E7028" s="27"/>
      <c r="F7028" s="25">
        <v>0.0</v>
      </c>
      <c r="G7028" s="27"/>
    </row>
    <row r="7029">
      <c r="A7029" s="21"/>
      <c r="B7029" s="21" t="s">
        <v>13144</v>
      </c>
      <c r="D7029" s="25">
        <v>0.0</v>
      </c>
      <c r="E7029" s="27"/>
      <c r="F7029" s="25">
        <v>0.0</v>
      </c>
      <c r="G7029" s="27"/>
    </row>
    <row r="7030">
      <c r="A7030" s="21"/>
      <c r="B7030" s="21" t="s">
        <v>13145</v>
      </c>
      <c r="D7030" s="25">
        <v>0.0</v>
      </c>
      <c r="E7030" s="27"/>
      <c r="F7030" s="25">
        <v>0.0</v>
      </c>
      <c r="G7030" s="27"/>
    </row>
    <row r="7031">
      <c r="A7031" s="21"/>
      <c r="B7031" s="21" t="s">
        <v>13146</v>
      </c>
      <c r="D7031" s="25">
        <v>0.0</v>
      </c>
      <c r="E7031" s="27"/>
      <c r="F7031" s="25">
        <v>0.0</v>
      </c>
      <c r="G7031" s="27"/>
    </row>
    <row r="7032">
      <c r="A7032" s="21"/>
      <c r="B7032" s="21" t="s">
        <v>13147</v>
      </c>
      <c r="D7032" s="25">
        <v>0.0</v>
      </c>
      <c r="E7032" s="27"/>
      <c r="F7032" s="25">
        <v>0.0</v>
      </c>
      <c r="G7032" s="27"/>
    </row>
    <row r="7033">
      <c r="A7033" s="21"/>
      <c r="B7033" s="21" t="s">
        <v>13148</v>
      </c>
      <c r="D7033" s="25">
        <v>0.0</v>
      </c>
      <c r="E7033" s="27"/>
      <c r="F7033" s="25">
        <v>0.0</v>
      </c>
      <c r="G7033" s="27"/>
    </row>
    <row r="7034">
      <c r="A7034" s="21"/>
      <c r="B7034" s="21" t="s">
        <v>13149</v>
      </c>
      <c r="D7034" s="25">
        <v>0.0</v>
      </c>
      <c r="E7034" s="27"/>
      <c r="F7034" s="25">
        <v>0.0</v>
      </c>
      <c r="G7034" s="27"/>
    </row>
    <row r="7035">
      <c r="A7035" s="21"/>
      <c r="B7035" s="21" t="s">
        <v>13150</v>
      </c>
      <c r="D7035" s="25">
        <v>0.0</v>
      </c>
      <c r="E7035" s="27"/>
      <c r="F7035" s="25">
        <v>0.0</v>
      </c>
      <c r="G7035" s="27"/>
    </row>
    <row r="7036">
      <c r="A7036" s="21"/>
      <c r="B7036" s="21" t="s">
        <v>13151</v>
      </c>
      <c r="D7036" s="25">
        <v>0.0</v>
      </c>
      <c r="E7036" s="27"/>
      <c r="F7036" s="25">
        <v>0.0</v>
      </c>
      <c r="G7036" s="27"/>
    </row>
    <row r="7037">
      <c r="A7037" s="21"/>
      <c r="B7037" s="21" t="s">
        <v>13152</v>
      </c>
      <c r="D7037" s="25">
        <v>0.0</v>
      </c>
      <c r="E7037" s="27"/>
      <c r="F7037" s="25">
        <v>0.0</v>
      </c>
      <c r="G7037" s="27"/>
    </row>
    <row r="7038">
      <c r="A7038" s="21"/>
      <c r="B7038" s="21" t="s">
        <v>13153</v>
      </c>
      <c r="D7038" s="25">
        <v>0.0</v>
      </c>
      <c r="E7038" s="27"/>
      <c r="F7038" s="25">
        <v>0.0</v>
      </c>
      <c r="G7038" s="27"/>
    </row>
    <row r="7039">
      <c r="A7039" s="21"/>
      <c r="B7039" s="21" t="s">
        <v>13154</v>
      </c>
      <c r="D7039" s="25">
        <v>0.0</v>
      </c>
      <c r="E7039" s="27"/>
      <c r="F7039" s="25">
        <v>0.0</v>
      </c>
      <c r="G7039" s="27"/>
    </row>
    <row r="7040">
      <c r="A7040" s="21"/>
      <c r="B7040" s="21" t="s">
        <v>13155</v>
      </c>
      <c r="D7040" s="25">
        <v>0.0</v>
      </c>
      <c r="E7040" s="27"/>
      <c r="F7040" s="25">
        <v>0.0</v>
      </c>
      <c r="G7040" s="27"/>
    </row>
    <row r="7041">
      <c r="A7041" s="21"/>
      <c r="B7041" s="21" t="s">
        <v>13156</v>
      </c>
      <c r="D7041" s="25">
        <v>0.0</v>
      </c>
      <c r="E7041" s="27"/>
      <c r="F7041" s="25">
        <v>0.0</v>
      </c>
      <c r="G7041" s="27"/>
    </row>
    <row r="7042">
      <c r="A7042" s="21"/>
      <c r="B7042" s="21" t="s">
        <v>13157</v>
      </c>
      <c r="D7042" s="25">
        <v>0.0</v>
      </c>
      <c r="E7042" s="27"/>
      <c r="F7042" s="25">
        <v>0.0</v>
      </c>
      <c r="G7042" s="27"/>
    </row>
    <row r="7043">
      <c r="A7043" s="21"/>
      <c r="B7043" s="21" t="s">
        <v>13158</v>
      </c>
      <c r="D7043" s="25">
        <v>0.0</v>
      </c>
      <c r="E7043" s="27"/>
      <c r="F7043" s="25">
        <v>0.0</v>
      </c>
      <c r="G7043" s="27"/>
    </row>
    <row r="7044">
      <c r="A7044" s="21"/>
      <c r="B7044" s="21" t="s">
        <v>13159</v>
      </c>
      <c r="D7044" s="25">
        <v>0.0</v>
      </c>
      <c r="E7044" s="27"/>
      <c r="F7044" s="25">
        <v>0.0</v>
      </c>
      <c r="G7044" s="27"/>
    </row>
    <row r="7045">
      <c r="A7045" s="21"/>
      <c r="B7045" s="21" t="s">
        <v>13160</v>
      </c>
      <c r="D7045" s="25">
        <v>0.0</v>
      </c>
      <c r="E7045" s="27"/>
      <c r="F7045" s="25">
        <v>0.0</v>
      </c>
      <c r="G7045" s="27"/>
    </row>
    <row r="7046">
      <c r="A7046" s="21"/>
      <c r="B7046" s="21" t="s">
        <v>13161</v>
      </c>
      <c r="D7046" s="25">
        <v>0.0</v>
      </c>
      <c r="E7046" s="27"/>
      <c r="F7046" s="25">
        <v>0.0</v>
      </c>
      <c r="G7046" s="27"/>
    </row>
    <row r="7047">
      <c r="A7047" s="21"/>
      <c r="B7047" s="21" t="s">
        <v>13162</v>
      </c>
      <c r="D7047" s="25">
        <v>0.0</v>
      </c>
      <c r="E7047" s="27"/>
      <c r="F7047" s="25">
        <v>0.0</v>
      </c>
      <c r="G7047" s="27"/>
    </row>
    <row r="7048">
      <c r="A7048" s="21"/>
      <c r="B7048" s="21" t="s">
        <v>13163</v>
      </c>
      <c r="D7048" s="25">
        <v>0.0</v>
      </c>
      <c r="E7048" s="27"/>
      <c r="F7048" s="25">
        <v>0.0</v>
      </c>
      <c r="G7048" s="27"/>
    </row>
    <row r="7049">
      <c r="A7049" s="21"/>
      <c r="B7049" s="21" t="s">
        <v>13164</v>
      </c>
      <c r="D7049" s="25">
        <v>0.0</v>
      </c>
      <c r="E7049" s="27"/>
      <c r="F7049" s="25">
        <v>0.0</v>
      </c>
      <c r="G7049" s="27"/>
    </row>
    <row r="7050">
      <c r="A7050" s="21"/>
      <c r="B7050" s="21" t="s">
        <v>13165</v>
      </c>
      <c r="D7050" s="25">
        <v>0.0</v>
      </c>
      <c r="E7050" s="27"/>
      <c r="F7050" s="25">
        <v>0.0</v>
      </c>
      <c r="G7050" s="27"/>
    </row>
    <row r="7051">
      <c r="A7051" s="21"/>
      <c r="B7051" s="21" t="s">
        <v>13166</v>
      </c>
      <c r="D7051" s="25">
        <v>0.0</v>
      </c>
      <c r="E7051" s="27"/>
      <c r="F7051" s="25">
        <v>0.0</v>
      </c>
      <c r="G7051" s="27"/>
    </row>
    <row r="7052">
      <c r="A7052" s="21"/>
      <c r="B7052" s="21" t="s">
        <v>13167</v>
      </c>
      <c r="D7052" s="25">
        <v>0.0</v>
      </c>
      <c r="E7052" s="27"/>
      <c r="F7052" s="25">
        <v>0.0</v>
      </c>
      <c r="G7052" s="27"/>
    </row>
    <row r="7053">
      <c r="A7053" s="21"/>
      <c r="B7053" s="21" t="s">
        <v>13168</v>
      </c>
      <c r="D7053" s="25">
        <v>0.0</v>
      </c>
      <c r="E7053" s="27"/>
      <c r="F7053" s="25">
        <v>0.0</v>
      </c>
      <c r="G7053" s="27"/>
    </row>
    <row r="7054">
      <c r="A7054" s="21"/>
      <c r="B7054" s="21" t="s">
        <v>13169</v>
      </c>
      <c r="D7054" s="25">
        <v>0.0</v>
      </c>
      <c r="E7054" s="27"/>
      <c r="F7054" s="25">
        <v>0.0</v>
      </c>
      <c r="G7054" s="27"/>
    </row>
    <row r="7055">
      <c r="A7055" s="21"/>
      <c r="B7055" s="21" t="s">
        <v>13170</v>
      </c>
      <c r="D7055" s="25">
        <v>0.0</v>
      </c>
      <c r="E7055" s="27"/>
      <c r="F7055" s="25">
        <v>0.0</v>
      </c>
      <c r="G7055" s="27"/>
    </row>
    <row r="7056">
      <c r="A7056" s="21"/>
      <c r="B7056" s="21" t="s">
        <v>13171</v>
      </c>
      <c r="D7056" s="25">
        <v>0.0</v>
      </c>
      <c r="E7056" s="27"/>
      <c r="F7056" s="25">
        <v>0.0</v>
      </c>
      <c r="G7056" s="27"/>
    </row>
    <row r="7057">
      <c r="A7057" s="21"/>
      <c r="B7057" s="21" t="s">
        <v>54</v>
      </c>
      <c r="D7057" s="25">
        <v>0.0</v>
      </c>
      <c r="E7057" s="27"/>
      <c r="F7057" s="25">
        <v>0.0</v>
      </c>
      <c r="G7057" s="27"/>
    </row>
    <row r="7058">
      <c r="A7058" s="21"/>
      <c r="B7058" s="21" t="s">
        <v>13172</v>
      </c>
      <c r="D7058" s="25">
        <v>0.0</v>
      </c>
      <c r="E7058" s="27"/>
      <c r="F7058" s="25">
        <v>0.0</v>
      </c>
      <c r="G7058" s="27"/>
    </row>
    <row r="7059">
      <c r="A7059" s="21"/>
      <c r="B7059" s="21" t="s">
        <v>13173</v>
      </c>
      <c r="D7059" s="25">
        <v>0.0</v>
      </c>
      <c r="E7059" s="27"/>
      <c r="F7059" s="25">
        <v>0.0</v>
      </c>
      <c r="G7059" s="27"/>
    </row>
    <row r="7060">
      <c r="A7060" s="21"/>
      <c r="B7060" s="21" t="s">
        <v>13174</v>
      </c>
      <c r="D7060" s="25">
        <v>0.0</v>
      </c>
      <c r="E7060" s="27"/>
      <c r="F7060" s="25">
        <v>0.0</v>
      </c>
      <c r="G7060" s="27"/>
    </row>
    <row r="7061">
      <c r="A7061" s="21"/>
      <c r="B7061" s="21" t="s">
        <v>13175</v>
      </c>
      <c r="D7061" s="25">
        <v>0.0</v>
      </c>
      <c r="E7061" s="27"/>
      <c r="F7061" s="25">
        <v>0.0</v>
      </c>
      <c r="G7061" s="27"/>
    </row>
    <row r="7062">
      <c r="A7062" s="21"/>
      <c r="B7062" s="21" t="s">
        <v>13176</v>
      </c>
      <c r="D7062" s="25">
        <v>0.0</v>
      </c>
      <c r="E7062" s="27"/>
      <c r="F7062" s="25">
        <v>0.0</v>
      </c>
      <c r="G7062" s="27"/>
    </row>
    <row r="7063">
      <c r="A7063" s="21"/>
      <c r="B7063" s="21" t="s">
        <v>13177</v>
      </c>
      <c r="D7063" s="25">
        <v>0.0</v>
      </c>
      <c r="E7063" s="27"/>
      <c r="F7063" s="25">
        <v>0.0</v>
      </c>
      <c r="G7063" s="27"/>
    </row>
    <row r="7064">
      <c r="A7064" s="21"/>
      <c r="B7064" s="21" t="s">
        <v>13178</v>
      </c>
      <c r="D7064" s="25">
        <v>0.0</v>
      </c>
      <c r="E7064" s="27"/>
      <c r="F7064" s="25">
        <v>0.0</v>
      </c>
      <c r="G7064" s="27"/>
    </row>
    <row r="7065">
      <c r="A7065" s="21"/>
      <c r="B7065" s="21" t="s">
        <v>13179</v>
      </c>
      <c r="D7065" s="25">
        <v>0.0</v>
      </c>
      <c r="E7065" s="27"/>
      <c r="F7065" s="25">
        <v>0.0</v>
      </c>
      <c r="G7065" s="27"/>
    </row>
    <row r="7066">
      <c r="A7066" s="21"/>
      <c r="B7066" s="21" t="s">
        <v>13180</v>
      </c>
      <c r="D7066" s="25">
        <v>0.0</v>
      </c>
      <c r="E7066" s="27"/>
      <c r="F7066" s="25">
        <v>0.0</v>
      </c>
      <c r="G7066" s="27"/>
    </row>
    <row r="7067">
      <c r="A7067" s="21"/>
      <c r="B7067" s="21" t="s">
        <v>13181</v>
      </c>
      <c r="D7067" s="25">
        <v>0.0</v>
      </c>
      <c r="E7067" s="27"/>
      <c r="F7067" s="25">
        <v>0.0</v>
      </c>
      <c r="G7067" s="27"/>
    </row>
    <row r="7068">
      <c r="A7068" s="21"/>
      <c r="B7068" s="21" t="s">
        <v>13182</v>
      </c>
      <c r="D7068" s="25">
        <v>0.0</v>
      </c>
      <c r="E7068" s="27"/>
      <c r="F7068" s="25">
        <v>0.0</v>
      </c>
      <c r="G7068" s="27"/>
    </row>
    <row r="7069">
      <c r="A7069" s="21"/>
      <c r="B7069" s="21" t="s">
        <v>13183</v>
      </c>
      <c r="D7069" s="25">
        <v>0.0</v>
      </c>
      <c r="E7069" s="27"/>
      <c r="F7069" s="25">
        <v>0.0</v>
      </c>
      <c r="G7069" s="27"/>
    </row>
    <row r="7070">
      <c r="A7070" s="21"/>
      <c r="B7070" s="21" t="s">
        <v>13184</v>
      </c>
      <c r="D7070" s="25">
        <v>0.0</v>
      </c>
      <c r="E7070" s="27"/>
      <c r="F7070" s="25">
        <v>0.0</v>
      </c>
      <c r="G7070" s="27"/>
    </row>
    <row r="7071">
      <c r="A7071" s="21"/>
      <c r="B7071" s="21" t="s">
        <v>13185</v>
      </c>
      <c r="D7071" s="25">
        <v>0.0</v>
      </c>
      <c r="E7071" s="27"/>
      <c r="F7071" s="25">
        <v>0.0</v>
      </c>
      <c r="G7071" s="27"/>
    </row>
    <row r="7072">
      <c r="A7072" s="21"/>
      <c r="B7072" s="21" t="s">
        <v>13186</v>
      </c>
      <c r="D7072" s="25">
        <v>0.0</v>
      </c>
      <c r="E7072" s="27"/>
      <c r="F7072" s="25">
        <v>0.0</v>
      </c>
      <c r="G7072" s="27"/>
    </row>
    <row r="7073">
      <c r="A7073" s="21"/>
      <c r="B7073" s="21" t="s">
        <v>13187</v>
      </c>
      <c r="D7073" s="25">
        <v>0.0</v>
      </c>
      <c r="E7073" s="27"/>
      <c r="F7073" s="25">
        <v>0.0</v>
      </c>
      <c r="G7073" s="27"/>
    </row>
    <row r="7074">
      <c r="A7074" s="21"/>
      <c r="B7074" s="21" t="s">
        <v>5900</v>
      </c>
      <c r="D7074" s="25">
        <v>0.0</v>
      </c>
      <c r="E7074" s="27"/>
      <c r="F7074" s="25">
        <v>0.0</v>
      </c>
      <c r="G7074" s="27"/>
    </row>
    <row r="7075">
      <c r="A7075" s="21"/>
      <c r="B7075" s="21" t="s">
        <v>5901</v>
      </c>
      <c r="D7075" s="25">
        <v>0.0</v>
      </c>
      <c r="E7075" s="27"/>
      <c r="F7075" s="25">
        <v>0.0</v>
      </c>
      <c r="G7075" s="27"/>
    </row>
    <row r="7076">
      <c r="A7076" s="21"/>
      <c r="B7076" s="21" t="s">
        <v>13188</v>
      </c>
      <c r="D7076" s="25">
        <v>0.0</v>
      </c>
      <c r="E7076" s="27"/>
      <c r="F7076" s="25">
        <v>0.0</v>
      </c>
      <c r="G7076" s="27"/>
    </row>
    <row r="7077">
      <c r="A7077" s="21"/>
      <c r="B7077" s="21" t="s">
        <v>13189</v>
      </c>
      <c r="D7077" s="25">
        <v>0.0</v>
      </c>
      <c r="E7077" s="27"/>
      <c r="F7077" s="25">
        <v>0.0</v>
      </c>
      <c r="G7077" s="27"/>
    </row>
    <row r="7078">
      <c r="A7078" s="21"/>
      <c r="B7078" s="21" t="s">
        <v>13190</v>
      </c>
      <c r="D7078" s="25">
        <v>0.0</v>
      </c>
      <c r="E7078" s="27"/>
      <c r="F7078" s="25">
        <v>0.0</v>
      </c>
      <c r="G7078" s="27"/>
    </row>
    <row r="7079">
      <c r="A7079" s="21"/>
      <c r="B7079" s="21" t="s">
        <v>13191</v>
      </c>
      <c r="D7079" s="25">
        <v>0.0</v>
      </c>
      <c r="E7079" s="27"/>
      <c r="F7079" s="25">
        <v>0.0</v>
      </c>
      <c r="G7079" s="27"/>
    </row>
    <row r="7080">
      <c r="A7080" s="21"/>
      <c r="B7080" s="21" t="s">
        <v>6067</v>
      </c>
      <c r="D7080" s="25">
        <v>0.0</v>
      </c>
      <c r="E7080" s="27"/>
      <c r="F7080" s="25">
        <v>0.0</v>
      </c>
      <c r="G7080" s="27"/>
    </row>
    <row r="7081">
      <c r="A7081" s="21"/>
      <c r="B7081" s="21" t="s">
        <v>13192</v>
      </c>
      <c r="D7081" s="25">
        <v>0.0</v>
      </c>
      <c r="E7081" s="27"/>
      <c r="F7081" s="25">
        <v>0.0</v>
      </c>
      <c r="G7081" s="27"/>
    </row>
    <row r="7082">
      <c r="A7082" s="21"/>
      <c r="B7082" s="21" t="s">
        <v>13193</v>
      </c>
      <c r="D7082" s="25">
        <v>0.0</v>
      </c>
      <c r="E7082" s="27"/>
      <c r="F7082" s="25">
        <v>0.0</v>
      </c>
      <c r="G7082" s="27"/>
    </row>
    <row r="7083">
      <c r="A7083" s="21"/>
      <c r="B7083" s="21" t="s">
        <v>13194</v>
      </c>
      <c r="D7083" s="25">
        <v>0.0</v>
      </c>
      <c r="E7083" s="27"/>
      <c r="F7083" s="25">
        <v>0.0</v>
      </c>
      <c r="G7083" s="27"/>
    </row>
    <row r="7084">
      <c r="A7084" s="21"/>
      <c r="B7084" s="21" t="s">
        <v>13195</v>
      </c>
      <c r="D7084" s="25">
        <v>0.0</v>
      </c>
      <c r="E7084" s="27"/>
      <c r="F7084" s="25">
        <v>0.0</v>
      </c>
      <c r="G7084" s="27"/>
    </row>
    <row r="7085">
      <c r="A7085" s="21"/>
      <c r="B7085" s="21" t="s">
        <v>13196</v>
      </c>
      <c r="D7085" s="25">
        <v>0.0</v>
      </c>
      <c r="E7085" s="27"/>
      <c r="F7085" s="25">
        <v>0.0</v>
      </c>
      <c r="G7085" s="27"/>
    </row>
    <row r="7086">
      <c r="A7086" s="21"/>
      <c r="B7086" s="21" t="s">
        <v>13197</v>
      </c>
      <c r="D7086" s="25">
        <v>0.0</v>
      </c>
      <c r="E7086" s="27"/>
      <c r="F7086" s="25">
        <v>0.0</v>
      </c>
      <c r="G7086" s="27"/>
    </row>
    <row r="7087">
      <c r="A7087" s="21"/>
      <c r="B7087" s="21" t="s">
        <v>13198</v>
      </c>
      <c r="D7087" s="25">
        <v>0.0</v>
      </c>
      <c r="E7087" s="27"/>
      <c r="F7087" s="25">
        <v>0.0</v>
      </c>
      <c r="G7087" s="27"/>
    </row>
    <row r="7088">
      <c r="A7088" s="21"/>
      <c r="B7088" s="21" t="s">
        <v>13199</v>
      </c>
      <c r="D7088" s="25">
        <v>0.0</v>
      </c>
      <c r="E7088" s="27"/>
      <c r="F7088" s="25">
        <v>0.0</v>
      </c>
      <c r="G7088" s="27"/>
    </row>
    <row r="7089">
      <c r="A7089" s="21"/>
      <c r="B7089" s="21" t="s">
        <v>13200</v>
      </c>
      <c r="D7089" s="25">
        <v>0.0</v>
      </c>
      <c r="E7089" s="27"/>
      <c r="F7089" s="25">
        <v>0.0</v>
      </c>
      <c r="G7089" s="27"/>
    </row>
    <row r="7090">
      <c r="A7090" s="21"/>
      <c r="B7090" s="21" t="s">
        <v>13201</v>
      </c>
      <c r="D7090" s="25">
        <v>0.0</v>
      </c>
      <c r="E7090" s="27"/>
      <c r="F7090" s="25">
        <v>0.0</v>
      </c>
      <c r="G7090" s="27"/>
    </row>
    <row r="7091">
      <c r="A7091" s="21"/>
      <c r="B7091" s="21" t="s">
        <v>13202</v>
      </c>
      <c r="D7091" s="25">
        <v>0.0</v>
      </c>
      <c r="E7091" s="27"/>
      <c r="F7091" s="25">
        <v>0.0</v>
      </c>
      <c r="G7091" s="27"/>
    </row>
    <row r="7092">
      <c r="A7092" s="21"/>
      <c r="B7092" s="21" t="s">
        <v>13203</v>
      </c>
      <c r="D7092" s="25">
        <v>0.0</v>
      </c>
      <c r="E7092" s="27"/>
      <c r="F7092" s="25">
        <v>0.0</v>
      </c>
      <c r="G7092" s="27"/>
    </row>
    <row r="7093">
      <c r="A7093" s="21"/>
      <c r="B7093" s="21" t="s">
        <v>13204</v>
      </c>
      <c r="D7093" s="25">
        <v>0.0</v>
      </c>
      <c r="E7093" s="27"/>
      <c r="F7093" s="25">
        <v>0.0</v>
      </c>
      <c r="G7093" s="27"/>
    </row>
    <row r="7094">
      <c r="A7094" s="21"/>
      <c r="B7094" s="21" t="s">
        <v>13205</v>
      </c>
      <c r="D7094" s="25">
        <v>0.0</v>
      </c>
      <c r="E7094" s="27"/>
      <c r="F7094" s="25">
        <v>0.0</v>
      </c>
      <c r="G7094" s="27"/>
    </row>
    <row r="7095">
      <c r="A7095" s="21"/>
      <c r="B7095" s="21" t="s">
        <v>13206</v>
      </c>
      <c r="D7095" s="25">
        <v>0.0</v>
      </c>
      <c r="E7095" s="27"/>
      <c r="F7095" s="25">
        <v>0.0</v>
      </c>
      <c r="G7095" s="27"/>
    </row>
    <row r="7096">
      <c r="A7096" s="21"/>
      <c r="B7096" s="21" t="s">
        <v>13207</v>
      </c>
      <c r="D7096" s="25">
        <v>0.0</v>
      </c>
      <c r="E7096" s="27"/>
      <c r="F7096" s="25">
        <v>0.0</v>
      </c>
      <c r="G7096" s="27"/>
    </row>
    <row r="7097">
      <c r="A7097" s="21"/>
      <c r="B7097" s="21" t="s">
        <v>13208</v>
      </c>
      <c r="D7097" s="25">
        <v>0.0</v>
      </c>
      <c r="E7097" s="27"/>
      <c r="F7097" s="25">
        <v>0.0</v>
      </c>
      <c r="G7097" s="27"/>
    </row>
    <row r="7098">
      <c r="A7098" s="21"/>
      <c r="B7098" s="21" t="s">
        <v>13209</v>
      </c>
      <c r="D7098" s="25">
        <v>0.0</v>
      </c>
      <c r="E7098" s="27"/>
      <c r="F7098" s="25">
        <v>0.0</v>
      </c>
      <c r="G7098" s="27"/>
    </row>
    <row r="7099">
      <c r="A7099" s="21"/>
      <c r="B7099" s="21" t="s">
        <v>13210</v>
      </c>
      <c r="D7099" s="25">
        <v>0.0</v>
      </c>
      <c r="E7099" s="27"/>
      <c r="F7099" s="25">
        <v>0.0</v>
      </c>
      <c r="G7099" s="27"/>
    </row>
    <row r="7100">
      <c r="A7100" s="21"/>
      <c r="B7100" s="21" t="s">
        <v>13211</v>
      </c>
      <c r="D7100" s="25">
        <v>0.0</v>
      </c>
      <c r="E7100" s="27"/>
      <c r="F7100" s="25">
        <v>4.51</v>
      </c>
      <c r="G7100" s="27"/>
    </row>
    <row r="7101">
      <c r="A7101" s="21"/>
      <c r="B7101" s="21" t="s">
        <v>13212</v>
      </c>
      <c r="D7101" s="25">
        <v>0.0</v>
      </c>
      <c r="E7101" s="27"/>
      <c r="F7101" s="25">
        <v>0.0</v>
      </c>
      <c r="G7101" s="27"/>
    </row>
    <row r="7102">
      <c r="A7102" s="21"/>
      <c r="B7102" s="21" t="s">
        <v>13213</v>
      </c>
      <c r="D7102" s="25">
        <v>0.0</v>
      </c>
      <c r="E7102" s="27"/>
      <c r="F7102" s="25">
        <v>0.0</v>
      </c>
      <c r="G7102" s="27"/>
    </row>
    <row r="7103">
      <c r="A7103" s="21"/>
      <c r="B7103" s="21" t="s">
        <v>13214</v>
      </c>
      <c r="D7103" s="25">
        <v>0.0</v>
      </c>
      <c r="E7103" s="27"/>
      <c r="F7103" s="25">
        <v>0.0</v>
      </c>
      <c r="G7103" s="27"/>
    </row>
    <row r="7104">
      <c r="A7104" s="21"/>
      <c r="B7104" s="21" t="s">
        <v>13215</v>
      </c>
      <c r="D7104" s="25">
        <v>0.0</v>
      </c>
      <c r="E7104" s="27"/>
      <c r="F7104" s="25">
        <v>0.0</v>
      </c>
      <c r="G7104" s="27"/>
    </row>
    <row r="7105">
      <c r="A7105" s="21"/>
      <c r="B7105" s="21" t="s">
        <v>13216</v>
      </c>
      <c r="D7105" s="25">
        <v>0.0</v>
      </c>
      <c r="E7105" s="27"/>
      <c r="F7105" s="25">
        <v>0.0</v>
      </c>
      <c r="G7105" s="27"/>
    </row>
    <row r="7106">
      <c r="A7106" s="21"/>
      <c r="B7106" s="21" t="s">
        <v>13217</v>
      </c>
      <c r="D7106" s="25">
        <v>0.0</v>
      </c>
      <c r="E7106" s="27"/>
      <c r="F7106" s="25">
        <v>0.0</v>
      </c>
      <c r="G7106" s="27"/>
    </row>
    <row r="7107">
      <c r="A7107" s="21"/>
      <c r="B7107" s="21" t="s">
        <v>13218</v>
      </c>
      <c r="D7107" s="25">
        <v>0.0</v>
      </c>
      <c r="E7107" s="27"/>
      <c r="F7107" s="25">
        <v>0.0</v>
      </c>
      <c r="G7107" s="27"/>
    </row>
    <row r="7108">
      <c r="A7108" s="21"/>
      <c r="B7108" s="21" t="s">
        <v>13219</v>
      </c>
      <c r="D7108" s="25">
        <v>0.0</v>
      </c>
      <c r="E7108" s="27"/>
      <c r="F7108" s="25">
        <v>0.0</v>
      </c>
      <c r="G7108" s="27"/>
    </row>
    <row r="7109">
      <c r="A7109" s="21"/>
      <c r="B7109" s="21" t="s">
        <v>13220</v>
      </c>
      <c r="D7109" s="25">
        <v>0.0</v>
      </c>
      <c r="E7109" s="27"/>
      <c r="F7109" s="25">
        <v>0.0</v>
      </c>
      <c r="G7109" s="27"/>
    </row>
    <row r="7110">
      <c r="A7110" s="21"/>
      <c r="B7110" s="21" t="s">
        <v>13221</v>
      </c>
      <c r="D7110" s="25">
        <v>0.0</v>
      </c>
      <c r="E7110" s="27"/>
      <c r="F7110" s="25">
        <v>0.0</v>
      </c>
      <c r="G7110" s="27"/>
    </row>
    <row r="7111">
      <c r="A7111" s="21"/>
      <c r="B7111" s="21" t="s">
        <v>13222</v>
      </c>
      <c r="D7111" s="25">
        <v>0.0</v>
      </c>
      <c r="E7111" s="27"/>
      <c r="F7111" s="25">
        <v>0.0</v>
      </c>
      <c r="G7111" s="27"/>
    </row>
    <row r="7112">
      <c r="A7112" s="21"/>
      <c r="B7112" s="21" t="s">
        <v>13223</v>
      </c>
      <c r="D7112" s="25">
        <v>0.0</v>
      </c>
      <c r="E7112" s="27"/>
      <c r="F7112" s="25">
        <v>0.0</v>
      </c>
      <c r="G7112" s="27"/>
    </row>
    <row r="7113">
      <c r="A7113" s="21"/>
      <c r="B7113" s="21" t="s">
        <v>13224</v>
      </c>
      <c r="D7113" s="25">
        <v>0.0</v>
      </c>
      <c r="E7113" s="27"/>
      <c r="F7113" s="25">
        <v>0.0</v>
      </c>
      <c r="G7113" s="27"/>
    </row>
    <row r="7114">
      <c r="A7114" s="21"/>
      <c r="B7114" s="21" t="s">
        <v>13225</v>
      </c>
      <c r="D7114" s="25">
        <v>0.0</v>
      </c>
      <c r="E7114" s="27"/>
      <c r="F7114" s="25">
        <v>0.0</v>
      </c>
      <c r="G7114" s="27"/>
    </row>
    <row r="7115">
      <c r="A7115" s="21"/>
      <c r="B7115" s="21" t="s">
        <v>13226</v>
      </c>
      <c r="D7115" s="25">
        <v>0.0</v>
      </c>
      <c r="E7115" s="27"/>
      <c r="F7115" s="25">
        <v>0.0</v>
      </c>
      <c r="G7115" s="27"/>
    </row>
    <row r="7116">
      <c r="A7116" s="21"/>
      <c r="B7116" s="21" t="s">
        <v>13227</v>
      </c>
      <c r="D7116" s="25">
        <v>0.0</v>
      </c>
      <c r="E7116" s="27"/>
      <c r="F7116" s="25">
        <v>0.0</v>
      </c>
      <c r="G7116" s="27"/>
    </row>
    <row r="7117">
      <c r="A7117" s="21"/>
      <c r="B7117" s="21" t="s">
        <v>13228</v>
      </c>
      <c r="D7117" s="25">
        <v>0.0</v>
      </c>
      <c r="E7117" s="27"/>
      <c r="F7117" s="25">
        <v>0.0</v>
      </c>
      <c r="G7117" s="27"/>
    </row>
    <row r="7118">
      <c r="A7118" s="21"/>
      <c r="B7118" s="21" t="s">
        <v>13229</v>
      </c>
      <c r="D7118" s="25">
        <v>0.0</v>
      </c>
      <c r="E7118" s="27"/>
      <c r="F7118" s="25">
        <v>0.0</v>
      </c>
      <c r="G7118" s="27"/>
    </row>
    <row r="7119">
      <c r="A7119" s="21"/>
      <c r="B7119" s="21" t="s">
        <v>13230</v>
      </c>
      <c r="D7119" s="25">
        <v>0.0</v>
      </c>
      <c r="E7119" s="27"/>
      <c r="F7119" s="25">
        <v>4.2</v>
      </c>
      <c r="G7119" s="27"/>
    </row>
    <row r="7120">
      <c r="A7120" s="21"/>
      <c r="B7120" s="21" t="s">
        <v>13231</v>
      </c>
      <c r="D7120" s="25">
        <v>0.0</v>
      </c>
      <c r="E7120" s="27"/>
      <c r="F7120" s="25">
        <v>0.0</v>
      </c>
      <c r="G7120" s="27"/>
    </row>
    <row r="7121">
      <c r="A7121" s="21"/>
      <c r="B7121" s="21" t="s">
        <v>13232</v>
      </c>
      <c r="D7121" s="25">
        <v>0.0</v>
      </c>
      <c r="E7121" s="27"/>
      <c r="F7121" s="25">
        <v>0.0</v>
      </c>
      <c r="G7121" s="27"/>
    </row>
    <row r="7122">
      <c r="A7122" s="21"/>
      <c r="B7122" s="21" t="s">
        <v>13233</v>
      </c>
      <c r="D7122" s="25">
        <v>0.0</v>
      </c>
      <c r="E7122" s="27"/>
      <c r="F7122" s="25">
        <v>0.0</v>
      </c>
      <c r="G7122" s="27"/>
    </row>
    <row r="7123">
      <c r="A7123" s="21"/>
      <c r="B7123" s="21" t="s">
        <v>13234</v>
      </c>
      <c r="D7123" s="25">
        <v>0.0</v>
      </c>
      <c r="E7123" s="27"/>
      <c r="F7123" s="25">
        <v>0.0</v>
      </c>
      <c r="G7123" s="27"/>
    </row>
    <row r="7124">
      <c r="A7124" s="21"/>
      <c r="B7124" s="21" t="s">
        <v>13235</v>
      </c>
      <c r="D7124" s="25">
        <v>0.0</v>
      </c>
      <c r="E7124" s="27"/>
      <c r="F7124" s="25">
        <v>0.0</v>
      </c>
      <c r="G7124" s="27"/>
    </row>
    <row r="7125">
      <c r="A7125" s="21"/>
      <c r="B7125" s="21" t="s">
        <v>13236</v>
      </c>
      <c r="D7125" s="25">
        <v>0.0</v>
      </c>
      <c r="E7125" s="27"/>
      <c r="F7125" s="25">
        <v>0.0</v>
      </c>
      <c r="G7125" s="27"/>
    </row>
    <row r="7126">
      <c r="A7126" s="21"/>
      <c r="B7126" s="21" t="s">
        <v>13237</v>
      </c>
      <c r="D7126" s="25">
        <v>0.0</v>
      </c>
      <c r="E7126" s="27"/>
      <c r="F7126" s="25">
        <v>0.0</v>
      </c>
      <c r="G7126" s="27"/>
    </row>
    <row r="7127">
      <c r="A7127" s="21"/>
      <c r="B7127" s="21" t="s">
        <v>13238</v>
      </c>
      <c r="D7127" s="25">
        <v>0.0</v>
      </c>
      <c r="E7127" s="27"/>
      <c r="F7127" s="25">
        <v>0.0</v>
      </c>
      <c r="G7127" s="27"/>
    </row>
    <row r="7128">
      <c r="A7128" s="21"/>
      <c r="B7128" s="21" t="s">
        <v>5914</v>
      </c>
      <c r="D7128" s="25">
        <v>0.0</v>
      </c>
      <c r="E7128" s="27"/>
      <c r="F7128" s="25">
        <v>0.0</v>
      </c>
      <c r="G7128" s="27"/>
    </row>
    <row r="7129">
      <c r="A7129" s="21"/>
      <c r="B7129" s="21" t="s">
        <v>5915</v>
      </c>
      <c r="D7129" s="25">
        <v>0.0</v>
      </c>
      <c r="E7129" s="27"/>
      <c r="F7129" s="25">
        <v>0.0</v>
      </c>
      <c r="G7129" s="27"/>
    </row>
    <row r="7130">
      <c r="A7130" s="21"/>
      <c r="B7130" s="21" t="s">
        <v>13239</v>
      </c>
      <c r="D7130" s="25">
        <v>0.0</v>
      </c>
      <c r="E7130" s="27"/>
      <c r="F7130" s="25">
        <v>0.0</v>
      </c>
      <c r="G7130" s="27"/>
    </row>
    <row r="7131">
      <c r="A7131" s="21"/>
      <c r="B7131" s="21" t="s">
        <v>13240</v>
      </c>
      <c r="C7131" s="27"/>
      <c r="D7131" s="25">
        <v>0.0</v>
      </c>
      <c r="E7131" s="27"/>
      <c r="F7131" s="25">
        <v>0.0</v>
      </c>
      <c r="G7131" s="27"/>
    </row>
    <row r="7132">
      <c r="A7132" s="21"/>
      <c r="B7132" s="21" t="s">
        <v>13241</v>
      </c>
      <c r="D7132" s="25">
        <v>0.0</v>
      </c>
      <c r="E7132" s="27"/>
      <c r="F7132" s="25">
        <v>0.0</v>
      </c>
      <c r="G7132" s="27"/>
    </row>
    <row r="7133">
      <c r="A7133" s="21"/>
      <c r="B7133" s="21" t="s">
        <v>13242</v>
      </c>
      <c r="D7133" s="25">
        <v>0.0</v>
      </c>
      <c r="E7133" s="27"/>
      <c r="F7133" s="25">
        <v>0.0</v>
      </c>
      <c r="G7133" s="27"/>
    </row>
    <row r="7134">
      <c r="A7134" s="21"/>
      <c r="B7134" s="21" t="s">
        <v>13243</v>
      </c>
      <c r="D7134" s="25">
        <v>0.0</v>
      </c>
      <c r="E7134" s="27"/>
      <c r="F7134" s="25">
        <v>0.0</v>
      </c>
      <c r="G7134" s="27"/>
    </row>
    <row r="7135">
      <c r="A7135" s="21"/>
      <c r="B7135" s="21" t="s">
        <v>13244</v>
      </c>
      <c r="D7135" s="25">
        <v>0.0</v>
      </c>
      <c r="E7135" s="27"/>
      <c r="F7135" s="25">
        <v>0.0</v>
      </c>
      <c r="G7135" s="27"/>
    </row>
    <row r="7136">
      <c r="A7136" s="21"/>
      <c r="B7136" s="21" t="s">
        <v>13245</v>
      </c>
      <c r="D7136" s="25">
        <v>0.0</v>
      </c>
      <c r="E7136" s="27"/>
      <c r="F7136" s="25">
        <v>0.0</v>
      </c>
      <c r="G7136" s="27"/>
    </row>
    <row r="7137">
      <c r="A7137" s="21"/>
      <c r="B7137" s="21" t="s">
        <v>13246</v>
      </c>
      <c r="D7137" s="25">
        <v>0.0</v>
      </c>
      <c r="E7137" s="27"/>
      <c r="F7137" s="25">
        <v>0.0</v>
      </c>
      <c r="G7137" s="27"/>
    </row>
    <row r="7138">
      <c r="A7138" s="21"/>
      <c r="B7138" s="21" t="s">
        <v>13247</v>
      </c>
      <c r="D7138" s="25">
        <v>0.0</v>
      </c>
      <c r="E7138" s="27"/>
      <c r="F7138" s="25">
        <v>0.0</v>
      </c>
      <c r="G7138" s="27"/>
    </row>
    <row r="7139">
      <c r="A7139" s="21"/>
      <c r="B7139" s="21" t="s">
        <v>13248</v>
      </c>
      <c r="D7139" s="25">
        <v>0.0</v>
      </c>
      <c r="E7139" s="27"/>
      <c r="F7139" s="25">
        <v>0.0</v>
      </c>
      <c r="G7139" s="27"/>
    </row>
    <row r="7140">
      <c r="A7140" s="21"/>
      <c r="B7140" s="21" t="s">
        <v>13249</v>
      </c>
      <c r="D7140" s="25">
        <v>0.0</v>
      </c>
      <c r="E7140" s="27"/>
      <c r="F7140" s="25">
        <v>0.0</v>
      </c>
      <c r="G7140" s="27"/>
    </row>
    <row r="7141">
      <c r="A7141" s="21"/>
      <c r="B7141" s="21" t="s">
        <v>13250</v>
      </c>
      <c r="D7141" s="25">
        <v>0.0</v>
      </c>
      <c r="E7141" s="27"/>
      <c r="F7141" s="25">
        <v>0.0</v>
      </c>
      <c r="G7141" s="27"/>
    </row>
    <row r="7142">
      <c r="A7142" s="21"/>
      <c r="B7142" s="21" t="s">
        <v>13251</v>
      </c>
      <c r="D7142" s="25">
        <v>0.0</v>
      </c>
      <c r="E7142" s="27"/>
      <c r="F7142" s="25">
        <v>0.0</v>
      </c>
      <c r="G7142" s="27"/>
    </row>
    <row r="7143">
      <c r="A7143" s="21"/>
      <c r="B7143" s="21" t="s">
        <v>13252</v>
      </c>
      <c r="D7143" s="25">
        <v>0.0</v>
      </c>
      <c r="E7143" s="27"/>
      <c r="F7143" s="25">
        <v>0.0</v>
      </c>
      <c r="G7143" s="27"/>
    </row>
    <row r="7144">
      <c r="A7144" s="21"/>
      <c r="B7144" s="21" t="s">
        <v>13253</v>
      </c>
      <c r="D7144" s="25">
        <v>0.0</v>
      </c>
      <c r="E7144" s="27"/>
      <c r="F7144" s="25">
        <v>0.0</v>
      </c>
      <c r="G7144" s="27"/>
    </row>
    <row r="7145">
      <c r="A7145" s="21"/>
      <c r="B7145" s="21" t="s">
        <v>13254</v>
      </c>
      <c r="D7145" s="25">
        <v>0.0</v>
      </c>
      <c r="E7145" s="27"/>
      <c r="F7145" s="25">
        <v>0.0</v>
      </c>
      <c r="G7145" s="27"/>
    </row>
    <row r="7146">
      <c r="A7146" s="21"/>
      <c r="B7146" s="21" t="s">
        <v>13255</v>
      </c>
      <c r="D7146" s="25">
        <v>0.0</v>
      </c>
      <c r="E7146" s="27"/>
      <c r="F7146" s="25">
        <v>3.87</v>
      </c>
      <c r="G7146" s="27"/>
    </row>
    <row r="7147">
      <c r="A7147" s="21"/>
      <c r="B7147" s="21" t="s">
        <v>13256</v>
      </c>
      <c r="D7147" s="25">
        <v>0.0</v>
      </c>
      <c r="E7147" s="27"/>
      <c r="F7147" s="25">
        <v>0.0</v>
      </c>
      <c r="G7147" s="27"/>
    </row>
    <row r="7148">
      <c r="A7148" s="21"/>
      <c r="B7148" s="21" t="s">
        <v>13257</v>
      </c>
      <c r="D7148" s="25">
        <v>0.0</v>
      </c>
      <c r="E7148" s="27"/>
      <c r="F7148" s="25">
        <v>0.0</v>
      </c>
      <c r="G7148" s="27"/>
    </row>
    <row r="7149">
      <c r="A7149" s="21"/>
      <c r="B7149" s="21" t="s">
        <v>13258</v>
      </c>
      <c r="D7149" s="25">
        <v>0.0</v>
      </c>
      <c r="E7149" s="27"/>
      <c r="F7149" s="25">
        <v>0.0</v>
      </c>
      <c r="G7149" s="27"/>
    </row>
    <row r="7150">
      <c r="A7150" s="21"/>
      <c r="B7150" s="21" t="s">
        <v>13259</v>
      </c>
      <c r="D7150" s="25">
        <v>0.0</v>
      </c>
      <c r="E7150" s="27"/>
      <c r="F7150" s="25">
        <v>0.0</v>
      </c>
      <c r="G7150" s="27"/>
    </row>
    <row r="7151">
      <c r="A7151" s="21"/>
      <c r="B7151" s="21" t="s">
        <v>13260</v>
      </c>
      <c r="D7151" s="25">
        <v>0.0</v>
      </c>
      <c r="E7151" s="27"/>
      <c r="F7151" s="25">
        <v>0.0</v>
      </c>
      <c r="G7151" s="27"/>
    </row>
    <row r="7152">
      <c r="A7152" s="21"/>
      <c r="B7152" s="21" t="s">
        <v>13261</v>
      </c>
      <c r="D7152" s="25">
        <v>0.0</v>
      </c>
      <c r="E7152" s="27"/>
      <c r="F7152" s="25">
        <v>0.0</v>
      </c>
      <c r="G7152" s="27"/>
    </row>
    <row r="7153">
      <c r="A7153" s="21"/>
      <c r="B7153" s="21" t="s">
        <v>13262</v>
      </c>
      <c r="D7153" s="25">
        <v>0.0</v>
      </c>
      <c r="E7153" s="27"/>
      <c r="F7153" s="25">
        <v>0.0</v>
      </c>
      <c r="G7153" s="27"/>
    </row>
    <row r="7154">
      <c r="A7154" s="21"/>
      <c r="B7154" s="21" t="s">
        <v>13263</v>
      </c>
      <c r="C7154" s="27"/>
      <c r="D7154" s="25">
        <v>0.0</v>
      </c>
      <c r="E7154" s="27"/>
      <c r="F7154" s="25">
        <v>4.67</v>
      </c>
      <c r="G7154" s="27"/>
    </row>
    <row r="7155">
      <c r="A7155" s="21"/>
      <c r="B7155" s="21" t="s">
        <v>13264</v>
      </c>
      <c r="D7155" s="25">
        <v>0.0</v>
      </c>
      <c r="E7155" s="27"/>
      <c r="F7155" s="25">
        <v>0.0</v>
      </c>
      <c r="G7155" s="27"/>
    </row>
    <row r="7156">
      <c r="A7156" s="21"/>
      <c r="B7156" s="21" t="s">
        <v>13265</v>
      </c>
      <c r="D7156" s="25">
        <v>0.0</v>
      </c>
      <c r="E7156" s="27"/>
      <c r="F7156" s="25">
        <v>0.0</v>
      </c>
      <c r="G7156" s="27"/>
    </row>
    <row r="7157">
      <c r="A7157" s="21"/>
      <c r="B7157" s="21" t="s">
        <v>13266</v>
      </c>
      <c r="D7157" s="25">
        <v>0.0</v>
      </c>
      <c r="E7157" s="27"/>
      <c r="F7157" s="25">
        <v>0.0</v>
      </c>
      <c r="G7157" s="27"/>
    </row>
    <row r="7158">
      <c r="A7158" s="21"/>
      <c r="B7158" s="21" t="s">
        <v>13267</v>
      </c>
      <c r="D7158" s="25">
        <v>0.0</v>
      </c>
      <c r="E7158" s="27"/>
      <c r="F7158" s="25">
        <v>0.0</v>
      </c>
      <c r="G7158" s="27"/>
    </row>
    <row r="7159">
      <c r="A7159" s="21"/>
      <c r="B7159" s="21" t="s">
        <v>13268</v>
      </c>
      <c r="D7159" s="25">
        <v>0.0</v>
      </c>
      <c r="E7159" s="27"/>
      <c r="F7159" s="25">
        <v>0.0</v>
      </c>
      <c r="G7159" s="27"/>
    </row>
    <row r="7160">
      <c r="A7160" s="21"/>
      <c r="B7160" s="21" t="s">
        <v>13269</v>
      </c>
      <c r="D7160" s="25">
        <v>0.0</v>
      </c>
      <c r="E7160" s="27"/>
      <c r="F7160" s="25">
        <v>0.0</v>
      </c>
      <c r="G7160" s="27"/>
    </row>
    <row r="7161">
      <c r="A7161" s="21"/>
      <c r="B7161" s="21" t="s">
        <v>13270</v>
      </c>
      <c r="D7161" s="25">
        <v>0.0</v>
      </c>
      <c r="E7161" s="27"/>
      <c r="F7161" s="25">
        <v>0.0</v>
      </c>
      <c r="G7161" s="27"/>
    </row>
    <row r="7162">
      <c r="A7162" s="21"/>
      <c r="B7162" s="21" t="s">
        <v>13271</v>
      </c>
      <c r="D7162" s="25">
        <v>0.0</v>
      </c>
      <c r="E7162" s="27"/>
      <c r="F7162" s="25">
        <v>0.0</v>
      </c>
      <c r="G7162" s="27"/>
    </row>
    <row r="7163">
      <c r="A7163" s="21"/>
      <c r="B7163" s="21" t="s">
        <v>13272</v>
      </c>
      <c r="D7163" s="25">
        <v>0.0</v>
      </c>
      <c r="E7163" s="27"/>
      <c r="F7163" s="25">
        <v>0.0</v>
      </c>
      <c r="G7163" s="27"/>
    </row>
    <row r="7164">
      <c r="A7164" s="21"/>
      <c r="B7164" s="21" t="s">
        <v>13273</v>
      </c>
      <c r="D7164" s="25">
        <v>0.0</v>
      </c>
      <c r="E7164" s="27"/>
      <c r="F7164" s="25">
        <v>0.0</v>
      </c>
      <c r="G7164" s="27"/>
    </row>
    <row r="7165">
      <c r="A7165" s="21"/>
      <c r="B7165" s="21" t="s">
        <v>13274</v>
      </c>
      <c r="D7165" s="25">
        <v>0.0</v>
      </c>
      <c r="E7165" s="27"/>
      <c r="F7165" s="25">
        <v>0.0</v>
      </c>
      <c r="G7165" s="27"/>
    </row>
    <row r="7166">
      <c r="A7166" s="21"/>
      <c r="B7166" s="21" t="s">
        <v>13275</v>
      </c>
      <c r="D7166" s="25">
        <v>0.0</v>
      </c>
      <c r="E7166" s="27"/>
      <c r="F7166" s="25">
        <v>0.0</v>
      </c>
      <c r="G7166" s="27"/>
    </row>
    <row r="7167">
      <c r="A7167" s="21"/>
      <c r="B7167" s="21" t="s">
        <v>13276</v>
      </c>
      <c r="D7167" s="25">
        <v>0.0</v>
      </c>
      <c r="E7167" s="27"/>
      <c r="F7167" s="25">
        <v>0.0</v>
      </c>
      <c r="G7167" s="27"/>
    </row>
    <row r="7168">
      <c r="A7168" s="21"/>
      <c r="B7168" s="21" t="s">
        <v>13277</v>
      </c>
      <c r="D7168" s="25">
        <v>0.0</v>
      </c>
      <c r="E7168" s="27"/>
      <c r="F7168" s="25">
        <v>0.0</v>
      </c>
      <c r="G7168" s="27"/>
    </row>
    <row r="7169">
      <c r="A7169" s="21"/>
      <c r="B7169" s="21" t="s">
        <v>13278</v>
      </c>
      <c r="D7169" s="25">
        <v>0.0</v>
      </c>
      <c r="E7169" s="27"/>
      <c r="F7169" s="25">
        <v>0.0</v>
      </c>
      <c r="G7169" s="27"/>
    </row>
    <row r="7170">
      <c r="A7170" s="21"/>
      <c r="B7170" s="21" t="s">
        <v>13279</v>
      </c>
      <c r="D7170" s="25">
        <v>0.0</v>
      </c>
      <c r="E7170" s="27"/>
      <c r="F7170" s="25">
        <v>0.0</v>
      </c>
      <c r="G7170" s="27"/>
    </row>
    <row r="7171">
      <c r="A7171" s="21"/>
      <c r="B7171" s="21" t="s">
        <v>13280</v>
      </c>
      <c r="D7171" s="25">
        <v>0.0</v>
      </c>
      <c r="E7171" s="27"/>
      <c r="F7171" s="25">
        <v>0.0</v>
      </c>
      <c r="G7171" s="27"/>
    </row>
    <row r="7172">
      <c r="A7172" s="21"/>
      <c r="B7172" s="21" t="s">
        <v>13281</v>
      </c>
      <c r="D7172" s="25">
        <v>0.0</v>
      </c>
      <c r="E7172" s="27"/>
      <c r="F7172" s="25">
        <v>0.0</v>
      </c>
      <c r="G7172" s="27"/>
    </row>
    <row r="7173">
      <c r="A7173" s="21"/>
      <c r="B7173" s="21" t="s">
        <v>13282</v>
      </c>
      <c r="D7173" s="25">
        <v>0.0</v>
      </c>
      <c r="E7173" s="27"/>
      <c r="F7173" s="25">
        <v>0.0</v>
      </c>
      <c r="G7173" s="27"/>
    </row>
    <row r="7174">
      <c r="A7174" s="21"/>
      <c r="B7174" s="21" t="s">
        <v>13283</v>
      </c>
      <c r="D7174" s="25">
        <v>0.0</v>
      </c>
      <c r="E7174" s="27"/>
      <c r="F7174" s="25">
        <v>0.0</v>
      </c>
      <c r="G7174" s="27"/>
    </row>
    <row r="7175">
      <c r="A7175" s="21"/>
      <c r="B7175" s="21" t="s">
        <v>13284</v>
      </c>
      <c r="D7175" s="25">
        <v>0.0</v>
      </c>
      <c r="E7175" s="27"/>
      <c r="F7175" s="25">
        <v>0.0</v>
      </c>
      <c r="G7175" s="27"/>
    </row>
    <row r="7176">
      <c r="A7176" s="21"/>
      <c r="B7176" s="21" t="s">
        <v>13285</v>
      </c>
      <c r="D7176" s="25">
        <v>0.0</v>
      </c>
      <c r="E7176" s="27"/>
      <c r="F7176" s="25">
        <v>0.0</v>
      </c>
      <c r="G7176" s="27"/>
    </row>
    <row r="7177">
      <c r="A7177" s="21"/>
      <c r="B7177" s="21" t="s">
        <v>13286</v>
      </c>
      <c r="D7177" s="25">
        <v>0.0</v>
      </c>
      <c r="E7177" s="27"/>
      <c r="F7177" s="25">
        <v>0.0</v>
      </c>
      <c r="G7177" s="27"/>
    </row>
    <row r="7178">
      <c r="A7178" s="21"/>
      <c r="B7178" s="21" t="s">
        <v>13287</v>
      </c>
      <c r="D7178" s="25">
        <v>0.0</v>
      </c>
      <c r="E7178" s="27"/>
      <c r="F7178" s="25">
        <v>0.0</v>
      </c>
      <c r="G7178" s="27"/>
    </row>
    <row r="7179">
      <c r="A7179" s="21"/>
      <c r="B7179" s="21" t="s">
        <v>13288</v>
      </c>
      <c r="D7179" s="25">
        <v>0.0</v>
      </c>
      <c r="E7179" s="27"/>
      <c r="F7179" s="25">
        <v>6.87</v>
      </c>
      <c r="G7179" s="27"/>
    </row>
    <row r="7180">
      <c r="A7180" s="21"/>
      <c r="B7180" s="21" t="s">
        <v>13289</v>
      </c>
      <c r="D7180" s="25">
        <v>0.0</v>
      </c>
      <c r="E7180" s="27"/>
      <c r="F7180" s="25">
        <v>0.0</v>
      </c>
      <c r="G7180" s="27"/>
    </row>
    <row r="7181">
      <c r="A7181" s="21"/>
      <c r="B7181" s="21" t="s">
        <v>13290</v>
      </c>
      <c r="D7181" s="25">
        <v>0.0</v>
      </c>
      <c r="E7181" s="27"/>
      <c r="F7181" s="25">
        <v>0.0</v>
      </c>
      <c r="G7181" s="27"/>
    </row>
    <row r="7182">
      <c r="A7182" s="21"/>
      <c r="B7182" s="21" t="s">
        <v>13291</v>
      </c>
      <c r="D7182" s="25">
        <v>0.0</v>
      </c>
      <c r="E7182" s="27"/>
      <c r="F7182" s="25">
        <v>0.0</v>
      </c>
      <c r="G7182" s="27"/>
    </row>
    <row r="7183">
      <c r="A7183" s="21"/>
      <c r="B7183" s="21" t="s">
        <v>13292</v>
      </c>
      <c r="D7183" s="25">
        <v>0.0</v>
      </c>
      <c r="E7183" s="27"/>
      <c r="F7183" s="25">
        <v>0.0</v>
      </c>
      <c r="G7183" s="27"/>
    </row>
    <row r="7184">
      <c r="A7184" s="21"/>
      <c r="B7184" s="21" t="s">
        <v>13293</v>
      </c>
      <c r="D7184" s="25">
        <v>0.0</v>
      </c>
      <c r="E7184" s="27"/>
      <c r="F7184" s="25">
        <v>0.0</v>
      </c>
      <c r="G7184" s="27"/>
    </row>
    <row r="7185">
      <c r="A7185" s="21"/>
      <c r="B7185" s="21" t="s">
        <v>13294</v>
      </c>
      <c r="D7185" s="25">
        <v>0.0</v>
      </c>
      <c r="E7185" s="27"/>
      <c r="F7185" s="25">
        <v>0.0</v>
      </c>
      <c r="G7185" s="27"/>
    </row>
    <row r="7186">
      <c r="A7186" s="21"/>
      <c r="B7186" s="21" t="s">
        <v>13295</v>
      </c>
      <c r="D7186" s="25">
        <v>0.0</v>
      </c>
      <c r="E7186" s="27"/>
      <c r="F7186" s="25">
        <v>0.0</v>
      </c>
      <c r="G7186" s="27"/>
    </row>
    <row r="7187">
      <c r="A7187" s="21"/>
      <c r="B7187" s="21" t="s">
        <v>13296</v>
      </c>
      <c r="D7187" s="25">
        <v>0.0</v>
      </c>
      <c r="E7187" s="27"/>
      <c r="F7187" s="25">
        <v>0.0</v>
      </c>
      <c r="G7187" s="27"/>
    </row>
    <row r="7188">
      <c r="A7188" s="21"/>
      <c r="B7188" s="21" t="s">
        <v>13297</v>
      </c>
      <c r="D7188" s="25">
        <v>0.0</v>
      </c>
      <c r="E7188" s="27"/>
      <c r="F7188" s="25">
        <v>0.0</v>
      </c>
      <c r="G7188" s="27"/>
    </row>
    <row r="7189">
      <c r="A7189" s="21"/>
      <c r="B7189" s="21" t="s">
        <v>13298</v>
      </c>
      <c r="D7189" s="25">
        <v>0.0</v>
      </c>
      <c r="E7189" s="27"/>
      <c r="F7189" s="25">
        <v>0.0</v>
      </c>
      <c r="G7189" s="27"/>
    </row>
    <row r="7190">
      <c r="A7190" s="21"/>
      <c r="B7190" s="21" t="s">
        <v>13299</v>
      </c>
      <c r="D7190" s="25">
        <v>0.0</v>
      </c>
      <c r="E7190" s="27"/>
      <c r="F7190" s="25">
        <v>0.0</v>
      </c>
      <c r="G7190" s="27"/>
    </row>
    <row r="7191">
      <c r="A7191" s="21"/>
      <c r="B7191" s="21" t="s">
        <v>13300</v>
      </c>
      <c r="D7191" s="25">
        <v>0.0</v>
      </c>
      <c r="E7191" s="27"/>
      <c r="F7191" s="25">
        <v>0.0</v>
      </c>
      <c r="G7191" s="27"/>
    </row>
    <row r="7192">
      <c r="A7192" s="21"/>
      <c r="B7192" s="21" t="s">
        <v>13301</v>
      </c>
      <c r="D7192" s="25">
        <v>0.0</v>
      </c>
      <c r="E7192" s="27"/>
      <c r="F7192" s="25">
        <v>0.0</v>
      </c>
      <c r="G7192" s="27"/>
    </row>
    <row r="7193">
      <c r="A7193" s="21"/>
      <c r="B7193" s="21" t="s">
        <v>13302</v>
      </c>
      <c r="D7193" s="25">
        <v>0.0</v>
      </c>
      <c r="E7193" s="27"/>
      <c r="F7193" s="25">
        <v>0.0</v>
      </c>
      <c r="G7193" s="27"/>
    </row>
    <row r="7194">
      <c r="A7194" s="21"/>
      <c r="B7194" s="21" t="s">
        <v>13303</v>
      </c>
      <c r="D7194" s="25">
        <v>0.0</v>
      </c>
      <c r="E7194" s="27"/>
      <c r="F7194" s="25">
        <v>0.0</v>
      </c>
      <c r="G7194" s="27"/>
    </row>
    <row r="7195">
      <c r="A7195" s="21"/>
      <c r="B7195" s="21" t="s">
        <v>13304</v>
      </c>
      <c r="D7195" s="25">
        <v>0.0</v>
      </c>
      <c r="E7195" s="27"/>
      <c r="F7195" s="25">
        <v>0.0</v>
      </c>
      <c r="G7195" s="27"/>
    </row>
    <row r="7196">
      <c r="A7196" s="21"/>
      <c r="B7196" s="21" t="s">
        <v>13305</v>
      </c>
      <c r="D7196" s="25">
        <v>0.0</v>
      </c>
      <c r="E7196" s="27"/>
      <c r="F7196" s="25">
        <v>0.0</v>
      </c>
      <c r="G7196" s="27"/>
    </row>
    <row r="7197">
      <c r="A7197" s="21"/>
      <c r="B7197" s="21" t="s">
        <v>13306</v>
      </c>
      <c r="D7197" s="25">
        <v>0.0</v>
      </c>
      <c r="E7197" s="27"/>
      <c r="F7197" s="25">
        <v>0.0</v>
      </c>
      <c r="G7197" s="27"/>
    </row>
    <row r="7198">
      <c r="A7198" s="21"/>
      <c r="B7198" s="21" t="s">
        <v>13307</v>
      </c>
      <c r="D7198" s="25">
        <v>0.0</v>
      </c>
      <c r="E7198" s="27"/>
      <c r="F7198" s="25">
        <v>0.0</v>
      </c>
      <c r="G7198" s="27"/>
    </row>
    <row r="7199">
      <c r="A7199" s="21"/>
      <c r="B7199" s="21" t="s">
        <v>13308</v>
      </c>
      <c r="D7199" s="25">
        <v>0.0</v>
      </c>
      <c r="E7199" s="27"/>
      <c r="F7199" s="25">
        <v>0.0</v>
      </c>
      <c r="G7199" s="27"/>
    </row>
    <row r="7200">
      <c r="A7200" s="21"/>
      <c r="B7200" s="21" t="s">
        <v>13309</v>
      </c>
      <c r="D7200" s="25">
        <v>0.0</v>
      </c>
      <c r="E7200" s="27"/>
      <c r="F7200" s="25">
        <v>0.0</v>
      </c>
      <c r="G7200" s="27"/>
    </row>
    <row r="7201">
      <c r="A7201" s="21"/>
      <c r="B7201" s="21" t="s">
        <v>13310</v>
      </c>
      <c r="D7201" s="25">
        <v>0.0</v>
      </c>
      <c r="E7201" s="27"/>
      <c r="F7201" s="25">
        <v>0.0</v>
      </c>
      <c r="G7201" s="27"/>
    </row>
    <row r="7202">
      <c r="A7202" s="21"/>
      <c r="B7202" s="21" t="s">
        <v>13311</v>
      </c>
      <c r="D7202" s="25">
        <v>0.0</v>
      </c>
      <c r="E7202" s="27"/>
      <c r="F7202" s="25">
        <v>0.0</v>
      </c>
      <c r="G7202" s="27"/>
    </row>
    <row r="7203">
      <c r="A7203" s="21"/>
      <c r="B7203" s="21" t="s">
        <v>13312</v>
      </c>
      <c r="D7203" s="25">
        <v>0.0</v>
      </c>
      <c r="E7203" s="27"/>
      <c r="F7203" s="25">
        <v>0.0</v>
      </c>
      <c r="G7203" s="27"/>
    </row>
    <row r="7204">
      <c r="A7204" s="21"/>
      <c r="B7204" s="21" t="s">
        <v>13313</v>
      </c>
      <c r="D7204" s="25">
        <v>0.0</v>
      </c>
      <c r="E7204" s="27"/>
      <c r="F7204" s="25">
        <v>0.0</v>
      </c>
      <c r="G7204" s="27"/>
    </row>
    <row r="7205">
      <c r="A7205" s="21"/>
      <c r="B7205" s="21" t="s">
        <v>13314</v>
      </c>
      <c r="D7205" s="25">
        <v>0.0</v>
      </c>
      <c r="E7205" s="27"/>
      <c r="F7205" s="25">
        <v>0.0</v>
      </c>
      <c r="G7205" s="27"/>
    </row>
    <row r="7206">
      <c r="A7206" s="21"/>
      <c r="B7206" s="21" t="s">
        <v>13315</v>
      </c>
      <c r="D7206" s="25">
        <v>0.0</v>
      </c>
      <c r="E7206" s="27"/>
      <c r="F7206" s="25">
        <v>0.0</v>
      </c>
      <c r="G7206" s="27"/>
    </row>
    <row r="7207">
      <c r="A7207" s="21"/>
      <c r="B7207" s="21" t="s">
        <v>13316</v>
      </c>
      <c r="D7207" s="25">
        <v>0.0</v>
      </c>
      <c r="E7207" s="27"/>
      <c r="F7207" s="25">
        <v>0.0</v>
      </c>
      <c r="G7207" s="27"/>
    </row>
    <row r="7208">
      <c r="A7208" s="21"/>
      <c r="B7208" s="21" t="s">
        <v>13317</v>
      </c>
      <c r="D7208" s="25">
        <v>0.0</v>
      </c>
      <c r="E7208" s="27"/>
      <c r="F7208" s="25">
        <v>0.0</v>
      </c>
      <c r="G7208" s="27"/>
    </row>
    <row r="7209">
      <c r="A7209" s="21"/>
      <c r="B7209" s="21" t="s">
        <v>13318</v>
      </c>
      <c r="D7209" s="25">
        <v>0.0</v>
      </c>
      <c r="E7209" s="27"/>
      <c r="F7209" s="25">
        <v>0.0</v>
      </c>
      <c r="G7209" s="27"/>
    </row>
    <row r="7210">
      <c r="A7210" s="21"/>
      <c r="B7210" s="21" t="s">
        <v>13319</v>
      </c>
      <c r="D7210" s="25">
        <v>0.0</v>
      </c>
      <c r="E7210" s="27"/>
      <c r="F7210" s="25">
        <v>0.0</v>
      </c>
      <c r="G7210" s="27"/>
    </row>
    <row r="7211">
      <c r="A7211" s="21"/>
      <c r="B7211" s="21" t="s">
        <v>13320</v>
      </c>
      <c r="D7211" s="25">
        <v>0.0</v>
      </c>
      <c r="E7211" s="27"/>
      <c r="F7211" s="25">
        <v>0.0</v>
      </c>
      <c r="G7211" s="27"/>
    </row>
    <row r="7212">
      <c r="A7212" s="21"/>
      <c r="B7212" s="21" t="s">
        <v>13321</v>
      </c>
      <c r="D7212" s="25">
        <v>0.0</v>
      </c>
      <c r="E7212" s="27"/>
      <c r="F7212" s="25">
        <v>0.0</v>
      </c>
      <c r="G7212" s="27"/>
    </row>
    <row r="7213">
      <c r="A7213" s="21"/>
      <c r="B7213" s="21" t="s">
        <v>13322</v>
      </c>
      <c r="D7213" s="25">
        <v>0.0</v>
      </c>
      <c r="E7213" s="27"/>
      <c r="F7213" s="25">
        <v>0.0</v>
      </c>
      <c r="G7213" s="27"/>
    </row>
    <row r="7214">
      <c r="A7214" s="21"/>
      <c r="B7214" s="21" t="s">
        <v>13323</v>
      </c>
      <c r="D7214" s="25">
        <v>0.0</v>
      </c>
      <c r="E7214" s="27"/>
      <c r="F7214" s="25">
        <v>0.0</v>
      </c>
      <c r="G7214" s="27"/>
    </row>
    <row r="7215">
      <c r="A7215" s="21"/>
      <c r="B7215" s="21" t="s">
        <v>13324</v>
      </c>
      <c r="D7215" s="25">
        <v>0.0</v>
      </c>
      <c r="E7215" s="27"/>
      <c r="F7215" s="25">
        <v>5.86</v>
      </c>
      <c r="G7215" s="27"/>
    </row>
    <row r="7216">
      <c r="A7216" s="21"/>
      <c r="B7216" s="21" t="s">
        <v>13325</v>
      </c>
      <c r="D7216" s="25">
        <v>0.0</v>
      </c>
      <c r="E7216" s="27"/>
      <c r="F7216" s="25">
        <v>0.0</v>
      </c>
      <c r="G7216" s="27"/>
    </row>
    <row r="7217">
      <c r="A7217" s="21"/>
      <c r="B7217" s="21" t="s">
        <v>13326</v>
      </c>
      <c r="D7217" s="25">
        <v>0.0</v>
      </c>
      <c r="E7217" s="27"/>
      <c r="F7217" s="25">
        <v>0.0</v>
      </c>
      <c r="G7217" s="27"/>
    </row>
    <row r="7218">
      <c r="A7218" s="21"/>
      <c r="B7218" s="21" t="s">
        <v>13327</v>
      </c>
      <c r="D7218" s="25">
        <v>0.0</v>
      </c>
      <c r="E7218" s="27"/>
      <c r="F7218" s="25">
        <v>0.0</v>
      </c>
      <c r="G7218" s="27"/>
    </row>
    <row r="7219">
      <c r="A7219" s="21"/>
      <c r="B7219" s="21" t="s">
        <v>13328</v>
      </c>
      <c r="D7219" s="25">
        <v>0.0</v>
      </c>
      <c r="E7219" s="27"/>
      <c r="F7219" s="25">
        <v>0.0</v>
      </c>
      <c r="G7219" s="27"/>
    </row>
    <row r="7220">
      <c r="A7220" s="21"/>
      <c r="B7220" s="21" t="s">
        <v>13329</v>
      </c>
      <c r="D7220" s="25">
        <v>0.0</v>
      </c>
      <c r="E7220" s="27"/>
      <c r="F7220" s="25">
        <v>0.0</v>
      </c>
      <c r="G7220" s="27"/>
    </row>
    <row r="7221">
      <c r="A7221" s="21"/>
      <c r="B7221" s="21" t="s">
        <v>13330</v>
      </c>
      <c r="D7221" s="25">
        <v>0.0</v>
      </c>
      <c r="E7221" s="27"/>
      <c r="F7221" s="25">
        <v>0.0</v>
      </c>
      <c r="G7221" s="27"/>
    </row>
    <row r="7222">
      <c r="A7222" s="21"/>
      <c r="B7222" s="21" t="s">
        <v>13331</v>
      </c>
      <c r="D7222" s="25">
        <v>0.0</v>
      </c>
      <c r="E7222" s="27"/>
      <c r="F7222" s="25">
        <v>4.66</v>
      </c>
      <c r="G7222" s="27"/>
    </row>
    <row r="7223">
      <c r="A7223" s="21"/>
      <c r="B7223" s="21" t="s">
        <v>13332</v>
      </c>
      <c r="D7223" s="25">
        <v>0.0</v>
      </c>
      <c r="E7223" s="27"/>
      <c r="F7223" s="25">
        <v>0.0</v>
      </c>
      <c r="G7223" s="27"/>
    </row>
    <row r="7224">
      <c r="A7224" s="21"/>
      <c r="B7224" s="21" t="s">
        <v>13333</v>
      </c>
      <c r="D7224" s="25">
        <v>0.0</v>
      </c>
      <c r="E7224" s="27"/>
      <c r="F7224" s="25">
        <v>0.0</v>
      </c>
      <c r="G7224" s="27"/>
    </row>
    <row r="7225">
      <c r="A7225" s="21"/>
      <c r="B7225" s="21" t="s">
        <v>13334</v>
      </c>
      <c r="D7225" s="25">
        <v>0.0</v>
      </c>
      <c r="E7225" s="27"/>
      <c r="F7225" s="25">
        <v>0.0</v>
      </c>
      <c r="G7225" s="27"/>
    </row>
    <row r="7226">
      <c r="A7226" s="21"/>
      <c r="B7226" s="21" t="s">
        <v>13335</v>
      </c>
      <c r="D7226" s="25">
        <v>0.0</v>
      </c>
      <c r="E7226" s="27"/>
      <c r="F7226" s="25">
        <v>0.0</v>
      </c>
      <c r="G7226" s="27"/>
    </row>
    <row r="7227">
      <c r="A7227" s="21"/>
      <c r="B7227" s="21" t="s">
        <v>13336</v>
      </c>
      <c r="D7227" s="25">
        <v>0.0</v>
      </c>
      <c r="E7227" s="27"/>
      <c r="F7227" s="25">
        <v>3.7</v>
      </c>
      <c r="G7227" s="27"/>
    </row>
    <row r="7228">
      <c r="A7228" s="21"/>
      <c r="B7228" s="21" t="s">
        <v>13337</v>
      </c>
      <c r="D7228" s="25">
        <v>0.0</v>
      </c>
      <c r="E7228" s="27"/>
      <c r="F7228" s="25">
        <v>0.0</v>
      </c>
      <c r="G7228" s="27"/>
    </row>
    <row r="7229">
      <c r="A7229" s="21"/>
      <c r="B7229" s="21" t="s">
        <v>13338</v>
      </c>
      <c r="D7229" s="25">
        <v>0.0</v>
      </c>
      <c r="E7229" s="27"/>
      <c r="F7229" s="25">
        <v>0.0</v>
      </c>
      <c r="G7229" s="27"/>
    </row>
    <row r="7230">
      <c r="A7230" s="21"/>
      <c r="B7230" s="21" t="s">
        <v>13339</v>
      </c>
      <c r="D7230" s="25">
        <v>0.0</v>
      </c>
      <c r="E7230" s="27"/>
      <c r="F7230" s="25">
        <v>0.0</v>
      </c>
      <c r="G7230" s="27"/>
    </row>
    <row r="7231">
      <c r="A7231" s="21"/>
      <c r="B7231" s="21" t="s">
        <v>13340</v>
      </c>
      <c r="D7231" s="25">
        <v>0.0</v>
      </c>
      <c r="E7231" s="27"/>
      <c r="F7231" s="25">
        <v>0.0</v>
      </c>
      <c r="G7231" s="27"/>
    </row>
    <row r="7232">
      <c r="A7232" s="21"/>
      <c r="B7232" s="21" t="s">
        <v>13341</v>
      </c>
      <c r="D7232" s="25">
        <v>0.0</v>
      </c>
      <c r="E7232" s="27"/>
      <c r="F7232" s="25">
        <v>0.0</v>
      </c>
      <c r="G7232" s="27"/>
    </row>
    <row r="7233">
      <c r="A7233" s="21"/>
      <c r="B7233" s="21" t="s">
        <v>13342</v>
      </c>
      <c r="D7233" s="25">
        <v>0.0</v>
      </c>
      <c r="E7233" s="27"/>
      <c r="F7233" s="25">
        <v>0.0</v>
      </c>
      <c r="G7233" s="27"/>
    </row>
    <row r="7234">
      <c r="A7234" s="21"/>
      <c r="B7234" s="21" t="s">
        <v>13343</v>
      </c>
      <c r="D7234" s="25">
        <v>0.0</v>
      </c>
      <c r="E7234" s="27"/>
      <c r="F7234" s="25">
        <v>0.0</v>
      </c>
      <c r="G7234" s="27"/>
    </row>
    <row r="7235">
      <c r="A7235" s="21"/>
      <c r="B7235" s="21" t="s">
        <v>13344</v>
      </c>
      <c r="D7235" s="25">
        <v>0.0</v>
      </c>
      <c r="E7235" s="27"/>
      <c r="F7235" s="25">
        <v>0.0</v>
      </c>
      <c r="G7235" s="27"/>
    </row>
    <row r="7236">
      <c r="A7236" s="21"/>
      <c r="B7236" s="21" t="s">
        <v>13345</v>
      </c>
      <c r="D7236" s="25">
        <v>0.0</v>
      </c>
      <c r="E7236" s="27"/>
      <c r="F7236" s="25">
        <v>0.0</v>
      </c>
      <c r="G7236" s="27"/>
    </row>
    <row r="7237">
      <c r="A7237" s="21"/>
      <c r="B7237" s="21" t="s">
        <v>13346</v>
      </c>
      <c r="D7237" s="25">
        <v>0.0</v>
      </c>
      <c r="E7237" s="27"/>
      <c r="F7237" s="25">
        <v>0.0</v>
      </c>
      <c r="G7237" s="27"/>
    </row>
    <row r="7238">
      <c r="A7238" s="21"/>
      <c r="B7238" s="21" t="s">
        <v>13347</v>
      </c>
      <c r="D7238" s="25">
        <v>0.0</v>
      </c>
      <c r="E7238" s="27"/>
      <c r="F7238" s="25">
        <v>0.0</v>
      </c>
      <c r="G7238" s="27"/>
    </row>
    <row r="7239">
      <c r="A7239" s="21"/>
      <c r="B7239" s="21" t="s">
        <v>13348</v>
      </c>
      <c r="D7239" s="25">
        <v>0.0</v>
      </c>
      <c r="E7239" s="27"/>
      <c r="F7239" s="25">
        <v>0.0</v>
      </c>
      <c r="G7239" s="27"/>
    </row>
    <row r="7240">
      <c r="A7240" s="21"/>
      <c r="B7240" s="21" t="s">
        <v>13349</v>
      </c>
      <c r="D7240" s="25">
        <v>0.0</v>
      </c>
      <c r="E7240" s="27"/>
      <c r="F7240" s="25">
        <v>0.0</v>
      </c>
      <c r="G7240" s="27"/>
    </row>
    <row r="7241">
      <c r="A7241" s="21"/>
      <c r="B7241" s="21" t="s">
        <v>13350</v>
      </c>
      <c r="D7241" s="25">
        <v>0.0</v>
      </c>
      <c r="E7241" s="27"/>
      <c r="F7241" s="25">
        <v>0.0</v>
      </c>
      <c r="G7241" s="27"/>
    </row>
    <row r="7242">
      <c r="A7242" s="21"/>
      <c r="B7242" s="21" t="s">
        <v>13351</v>
      </c>
      <c r="D7242" s="25">
        <v>0.0</v>
      </c>
      <c r="E7242" s="27"/>
      <c r="F7242" s="25">
        <v>0.0</v>
      </c>
      <c r="G7242" s="27"/>
    </row>
    <row r="7243">
      <c r="A7243" s="21"/>
      <c r="B7243" s="21" t="s">
        <v>13352</v>
      </c>
      <c r="D7243" s="25">
        <v>0.0</v>
      </c>
      <c r="E7243" s="27"/>
      <c r="F7243" s="25">
        <v>0.0</v>
      </c>
      <c r="G7243" s="27"/>
    </row>
    <row r="7244">
      <c r="A7244" s="21"/>
      <c r="B7244" s="21" t="s">
        <v>13353</v>
      </c>
      <c r="D7244" s="25">
        <v>0.0</v>
      </c>
      <c r="E7244" s="27"/>
      <c r="F7244" s="25">
        <v>0.0</v>
      </c>
      <c r="G7244" s="27"/>
    </row>
    <row r="7245">
      <c r="A7245" s="21"/>
      <c r="B7245" s="21" t="s">
        <v>13354</v>
      </c>
      <c r="D7245" s="25">
        <v>0.0</v>
      </c>
      <c r="E7245" s="27"/>
      <c r="F7245" s="25">
        <v>0.0</v>
      </c>
      <c r="G7245" s="27"/>
    </row>
    <row r="7246">
      <c r="A7246" s="21"/>
      <c r="B7246" s="21" t="s">
        <v>13355</v>
      </c>
      <c r="D7246" s="25">
        <v>0.0</v>
      </c>
      <c r="E7246" s="27"/>
      <c r="F7246" s="25">
        <v>0.0</v>
      </c>
      <c r="G7246" s="27"/>
    </row>
    <row r="7247">
      <c r="A7247" s="21"/>
      <c r="B7247" s="21" t="s">
        <v>13356</v>
      </c>
      <c r="D7247" s="25">
        <v>0.0</v>
      </c>
      <c r="E7247" s="27"/>
      <c r="F7247" s="25">
        <v>0.0</v>
      </c>
      <c r="G7247" s="27"/>
    </row>
    <row r="7248">
      <c r="A7248" s="21"/>
      <c r="B7248" s="21" t="s">
        <v>13357</v>
      </c>
      <c r="D7248" s="25">
        <v>0.0</v>
      </c>
      <c r="E7248" s="27"/>
      <c r="F7248" s="25">
        <v>0.0</v>
      </c>
      <c r="G7248" s="27"/>
    </row>
    <row r="7249">
      <c r="A7249" s="21"/>
      <c r="B7249" s="21" t="s">
        <v>13358</v>
      </c>
      <c r="D7249" s="25">
        <v>0.0</v>
      </c>
      <c r="E7249" s="27"/>
      <c r="F7249" s="25">
        <v>0.0</v>
      </c>
      <c r="G7249" s="27"/>
    </row>
    <row r="7250">
      <c r="A7250" s="21"/>
      <c r="B7250" s="21" t="s">
        <v>13359</v>
      </c>
      <c r="D7250" s="25">
        <v>0.0</v>
      </c>
      <c r="E7250" s="27"/>
      <c r="F7250" s="25">
        <v>0.0</v>
      </c>
      <c r="G7250" s="27"/>
    </row>
    <row r="7251">
      <c r="A7251" s="21"/>
      <c r="B7251" s="21" t="s">
        <v>13360</v>
      </c>
      <c r="D7251" s="25">
        <v>0.0</v>
      </c>
      <c r="E7251" s="27"/>
      <c r="F7251" s="25">
        <v>0.0</v>
      </c>
      <c r="G7251" s="27"/>
    </row>
    <row r="7252">
      <c r="A7252" s="21"/>
      <c r="B7252" s="21" t="s">
        <v>13361</v>
      </c>
      <c r="D7252" s="25">
        <v>0.0</v>
      </c>
      <c r="E7252" s="27"/>
      <c r="F7252" s="25">
        <v>0.0</v>
      </c>
      <c r="G7252" s="27"/>
    </row>
    <row r="7253">
      <c r="A7253" s="21"/>
      <c r="B7253" s="21" t="s">
        <v>13362</v>
      </c>
      <c r="D7253" s="25">
        <v>0.0</v>
      </c>
      <c r="E7253" s="27"/>
      <c r="F7253" s="25">
        <v>0.0</v>
      </c>
      <c r="G7253" s="27"/>
    </row>
    <row r="7254">
      <c r="A7254" s="21"/>
      <c r="B7254" s="21" t="s">
        <v>13363</v>
      </c>
      <c r="D7254" s="25">
        <v>0.0</v>
      </c>
      <c r="E7254" s="27"/>
      <c r="F7254" s="25">
        <v>0.0</v>
      </c>
      <c r="G7254" s="27"/>
    </row>
    <row r="7255">
      <c r="A7255" s="21"/>
      <c r="B7255" s="21" t="s">
        <v>13364</v>
      </c>
      <c r="D7255" s="25">
        <v>0.0</v>
      </c>
      <c r="E7255" s="27"/>
      <c r="F7255" s="25">
        <v>0.0</v>
      </c>
      <c r="G7255" s="27"/>
    </row>
    <row r="7256">
      <c r="A7256" s="21"/>
      <c r="B7256" s="21" t="s">
        <v>13365</v>
      </c>
      <c r="D7256" s="25">
        <v>0.0</v>
      </c>
      <c r="E7256" s="27"/>
      <c r="F7256" s="25">
        <v>0.0</v>
      </c>
      <c r="G7256" s="27"/>
    </row>
    <row r="7257">
      <c r="A7257" s="21"/>
      <c r="B7257" s="21" t="s">
        <v>13366</v>
      </c>
      <c r="D7257" s="25">
        <v>0.0</v>
      </c>
      <c r="E7257" s="27"/>
      <c r="F7257" s="25">
        <v>0.0</v>
      </c>
      <c r="G7257" s="27"/>
    </row>
    <row r="7258">
      <c r="A7258" s="21"/>
      <c r="B7258" s="21" t="s">
        <v>13367</v>
      </c>
      <c r="D7258" s="25">
        <v>0.0</v>
      </c>
      <c r="E7258" s="27"/>
      <c r="F7258" s="25">
        <v>0.0</v>
      </c>
      <c r="G7258" s="27"/>
    </row>
    <row r="7259">
      <c r="A7259" s="21"/>
      <c r="B7259" s="21" t="s">
        <v>13368</v>
      </c>
      <c r="D7259" s="25">
        <v>0.0</v>
      </c>
      <c r="E7259" s="27"/>
      <c r="F7259" s="25">
        <v>0.0</v>
      </c>
      <c r="G7259" s="27"/>
    </row>
    <row r="7260">
      <c r="A7260" s="21"/>
      <c r="B7260" s="21" t="s">
        <v>13369</v>
      </c>
      <c r="D7260" s="25">
        <v>0.0</v>
      </c>
      <c r="E7260" s="27"/>
      <c r="F7260" s="25">
        <v>0.0</v>
      </c>
      <c r="G7260" s="27"/>
    </row>
    <row r="7261">
      <c r="A7261" s="21"/>
      <c r="B7261" s="21" t="s">
        <v>13370</v>
      </c>
      <c r="D7261" s="25">
        <v>0.0</v>
      </c>
      <c r="E7261" s="27"/>
      <c r="F7261" s="25">
        <v>0.0</v>
      </c>
      <c r="G7261" s="27"/>
    </row>
    <row r="7262">
      <c r="A7262" s="21"/>
      <c r="B7262" s="21" t="s">
        <v>13371</v>
      </c>
      <c r="D7262" s="25">
        <v>0.0</v>
      </c>
      <c r="E7262" s="27"/>
      <c r="F7262" s="25">
        <v>0.0</v>
      </c>
      <c r="G7262" s="27"/>
    </row>
    <row r="7263">
      <c r="A7263" s="21"/>
      <c r="B7263" s="21" t="s">
        <v>13372</v>
      </c>
      <c r="D7263" s="25">
        <v>0.0</v>
      </c>
      <c r="E7263" s="27"/>
      <c r="F7263" s="25">
        <v>0.0</v>
      </c>
      <c r="G7263" s="27"/>
    </row>
    <row r="7264">
      <c r="A7264" s="21"/>
      <c r="B7264" s="21" t="s">
        <v>13373</v>
      </c>
      <c r="D7264" s="25">
        <v>0.0</v>
      </c>
      <c r="E7264" s="27"/>
      <c r="F7264" s="25">
        <v>0.0</v>
      </c>
      <c r="G7264" s="27"/>
    </row>
    <row r="7265">
      <c r="A7265" s="21"/>
      <c r="B7265" s="21" t="s">
        <v>13374</v>
      </c>
      <c r="D7265" s="25">
        <v>0.0</v>
      </c>
      <c r="E7265" s="27"/>
      <c r="F7265" s="25">
        <v>7.19</v>
      </c>
      <c r="G7265" s="27"/>
    </row>
    <row r="7266">
      <c r="A7266" s="21"/>
      <c r="B7266" s="21" t="s">
        <v>13375</v>
      </c>
      <c r="D7266" s="25">
        <v>0.0</v>
      </c>
      <c r="E7266" s="27"/>
      <c r="F7266" s="25">
        <v>0.0</v>
      </c>
      <c r="G7266" s="27"/>
    </row>
    <row r="7267">
      <c r="A7267" s="21"/>
      <c r="B7267" s="21" t="s">
        <v>13376</v>
      </c>
      <c r="D7267" s="25">
        <v>0.0</v>
      </c>
      <c r="E7267" s="27"/>
      <c r="F7267" s="25">
        <v>0.0</v>
      </c>
      <c r="G7267" s="27"/>
    </row>
    <row r="7268">
      <c r="A7268" s="21"/>
      <c r="B7268" s="21" t="s">
        <v>13377</v>
      </c>
      <c r="D7268" s="25">
        <v>0.0</v>
      </c>
      <c r="E7268" s="27"/>
      <c r="F7268" s="25">
        <v>0.0</v>
      </c>
      <c r="G7268" s="27"/>
    </row>
    <row r="7269">
      <c r="A7269" s="21"/>
      <c r="B7269" s="21" t="s">
        <v>13378</v>
      </c>
      <c r="D7269" s="25">
        <v>0.0</v>
      </c>
      <c r="E7269" s="27"/>
      <c r="F7269" s="25">
        <v>0.0</v>
      </c>
      <c r="G7269" s="27"/>
    </row>
    <row r="7270">
      <c r="A7270" s="21"/>
      <c r="B7270" s="21" t="s">
        <v>13379</v>
      </c>
      <c r="D7270" s="25">
        <v>0.0</v>
      </c>
      <c r="E7270" s="27"/>
      <c r="F7270" s="25">
        <v>0.0</v>
      </c>
      <c r="G7270" s="27"/>
    </row>
    <row r="7271">
      <c r="A7271" s="21"/>
      <c r="B7271" s="21" t="s">
        <v>13380</v>
      </c>
      <c r="D7271" s="25">
        <v>0.0</v>
      </c>
      <c r="E7271" s="27"/>
      <c r="F7271" s="25">
        <v>0.0</v>
      </c>
      <c r="G7271" s="27"/>
    </row>
    <row r="7272">
      <c r="A7272" s="21"/>
      <c r="B7272" s="21" t="s">
        <v>13381</v>
      </c>
      <c r="D7272" s="25">
        <v>0.0</v>
      </c>
      <c r="E7272" s="27"/>
      <c r="F7272" s="25">
        <v>0.0</v>
      </c>
      <c r="G7272" s="27"/>
    </row>
    <row r="7273">
      <c r="A7273" s="21"/>
      <c r="B7273" s="21" t="s">
        <v>13382</v>
      </c>
      <c r="D7273" s="25">
        <v>0.0</v>
      </c>
      <c r="E7273" s="27"/>
      <c r="F7273" s="25">
        <v>0.0</v>
      </c>
      <c r="G7273" s="27"/>
    </row>
    <row r="7274">
      <c r="A7274" s="21"/>
      <c r="B7274" s="21" t="s">
        <v>13383</v>
      </c>
      <c r="D7274" s="25">
        <v>0.0</v>
      </c>
      <c r="E7274" s="27"/>
      <c r="F7274" s="25">
        <v>0.0</v>
      </c>
      <c r="G7274" s="27"/>
    </row>
    <row r="7275">
      <c r="A7275" s="21"/>
      <c r="B7275" s="21" t="s">
        <v>13384</v>
      </c>
      <c r="D7275" s="25">
        <v>0.0</v>
      </c>
      <c r="E7275" s="27"/>
      <c r="F7275" s="25">
        <v>0.0</v>
      </c>
      <c r="G7275" s="27"/>
    </row>
    <row r="7276">
      <c r="A7276" s="21"/>
      <c r="B7276" s="21" t="s">
        <v>13385</v>
      </c>
      <c r="D7276" s="25">
        <v>0.0</v>
      </c>
      <c r="E7276" s="27"/>
      <c r="F7276" s="25">
        <v>0.0</v>
      </c>
      <c r="G7276" s="27"/>
    </row>
    <row r="7277">
      <c r="A7277" s="21"/>
      <c r="B7277" s="21" t="s">
        <v>13386</v>
      </c>
      <c r="D7277" s="25">
        <v>0.0</v>
      </c>
      <c r="E7277" s="27"/>
      <c r="F7277" s="25">
        <v>0.0</v>
      </c>
      <c r="G7277" s="27"/>
    </row>
    <row r="7278">
      <c r="A7278" s="21"/>
      <c r="B7278" s="21" t="s">
        <v>13387</v>
      </c>
      <c r="D7278" s="25">
        <v>0.0</v>
      </c>
      <c r="E7278" s="27"/>
      <c r="F7278" s="25">
        <v>0.0</v>
      </c>
      <c r="G7278" s="27"/>
    </row>
    <row r="7279">
      <c r="A7279" s="21"/>
      <c r="B7279" s="21" t="s">
        <v>13388</v>
      </c>
      <c r="D7279" s="25">
        <v>0.0</v>
      </c>
      <c r="E7279" s="27"/>
      <c r="F7279" s="25">
        <v>0.0</v>
      </c>
      <c r="G7279" s="27"/>
    </row>
    <row r="7280">
      <c r="A7280" s="21"/>
      <c r="B7280" s="21" t="s">
        <v>13389</v>
      </c>
      <c r="D7280" s="25">
        <v>0.0</v>
      </c>
      <c r="E7280" s="27"/>
      <c r="F7280" s="25">
        <v>0.0</v>
      </c>
      <c r="G7280" s="27"/>
    </row>
    <row r="7281">
      <c r="A7281" s="21"/>
      <c r="B7281" s="21" t="s">
        <v>13390</v>
      </c>
      <c r="D7281" s="25">
        <v>0.0</v>
      </c>
      <c r="E7281" s="27"/>
      <c r="F7281" s="25">
        <v>0.0</v>
      </c>
      <c r="G7281" s="27"/>
    </row>
    <row r="7282">
      <c r="A7282" s="21"/>
      <c r="B7282" s="21" t="s">
        <v>13391</v>
      </c>
      <c r="D7282" s="25">
        <v>0.0</v>
      </c>
      <c r="E7282" s="27"/>
      <c r="F7282" s="25">
        <v>0.0</v>
      </c>
      <c r="G7282" s="27"/>
    </row>
    <row r="7283">
      <c r="A7283" s="21"/>
      <c r="B7283" s="21" t="s">
        <v>13392</v>
      </c>
      <c r="D7283" s="25">
        <v>0.0</v>
      </c>
      <c r="E7283" s="27"/>
      <c r="F7283" s="25">
        <v>0.0</v>
      </c>
      <c r="G7283" s="27"/>
    </row>
    <row r="7284">
      <c r="A7284" s="21"/>
      <c r="B7284" s="21" t="s">
        <v>13393</v>
      </c>
      <c r="D7284" s="25">
        <v>0.0</v>
      </c>
      <c r="E7284" s="27"/>
      <c r="F7284" s="25">
        <v>0.0</v>
      </c>
      <c r="G7284" s="27"/>
    </row>
    <row r="7285">
      <c r="A7285" s="21"/>
      <c r="B7285" s="21" t="s">
        <v>13394</v>
      </c>
      <c r="D7285" s="25">
        <v>0.0</v>
      </c>
      <c r="E7285" s="27"/>
      <c r="F7285" s="25">
        <v>0.0</v>
      </c>
      <c r="G7285" s="27"/>
    </row>
    <row r="7286">
      <c r="A7286" s="21"/>
      <c r="B7286" s="21" t="s">
        <v>13395</v>
      </c>
      <c r="D7286" s="25">
        <v>0.0</v>
      </c>
      <c r="E7286" s="27"/>
      <c r="F7286" s="25">
        <v>0.0</v>
      </c>
      <c r="G7286" s="27"/>
    </row>
    <row r="7287">
      <c r="A7287" s="21"/>
      <c r="B7287" s="21" t="s">
        <v>13396</v>
      </c>
      <c r="D7287" s="25">
        <v>0.0</v>
      </c>
      <c r="E7287" s="27"/>
      <c r="F7287" s="25">
        <v>0.0</v>
      </c>
      <c r="G7287" s="27"/>
    </row>
    <row r="7288">
      <c r="A7288" s="21"/>
      <c r="B7288" s="21" t="s">
        <v>13397</v>
      </c>
      <c r="D7288" s="25">
        <v>0.0</v>
      </c>
      <c r="E7288" s="27"/>
      <c r="F7288" s="25">
        <v>0.0</v>
      </c>
      <c r="G7288" s="27"/>
    </row>
    <row r="7289">
      <c r="A7289" s="21"/>
      <c r="B7289" s="21" t="s">
        <v>13398</v>
      </c>
      <c r="D7289" s="25">
        <v>0.0</v>
      </c>
      <c r="E7289" s="27"/>
      <c r="F7289" s="25">
        <v>0.0</v>
      </c>
      <c r="G7289" s="27"/>
    </row>
    <row r="7290">
      <c r="A7290" s="21"/>
      <c r="B7290" s="21" t="s">
        <v>13399</v>
      </c>
      <c r="D7290" s="25">
        <v>0.0</v>
      </c>
      <c r="E7290" s="27"/>
      <c r="F7290" s="25">
        <v>0.0</v>
      </c>
      <c r="G7290" s="27"/>
    </row>
    <row r="7291">
      <c r="A7291" s="21"/>
      <c r="B7291" s="21" t="s">
        <v>13400</v>
      </c>
      <c r="D7291" s="25">
        <v>0.0</v>
      </c>
      <c r="E7291" s="27"/>
      <c r="F7291" s="25">
        <v>3.87</v>
      </c>
      <c r="G7291" s="27"/>
    </row>
    <row r="7292">
      <c r="A7292" s="21"/>
      <c r="B7292" s="21" t="s">
        <v>13401</v>
      </c>
      <c r="D7292" s="25">
        <v>0.0</v>
      </c>
      <c r="E7292" s="27"/>
      <c r="F7292" s="25">
        <v>0.0</v>
      </c>
      <c r="G7292" s="27"/>
    </row>
    <row r="7293">
      <c r="A7293" s="21"/>
      <c r="B7293" s="21" t="s">
        <v>13402</v>
      </c>
      <c r="D7293" s="25">
        <v>0.0</v>
      </c>
      <c r="E7293" s="27"/>
      <c r="F7293" s="25">
        <v>0.0</v>
      </c>
      <c r="G7293" s="27"/>
    </row>
    <row r="7294">
      <c r="A7294" s="21"/>
      <c r="B7294" s="21" t="s">
        <v>13403</v>
      </c>
      <c r="D7294" s="25">
        <v>0.0</v>
      </c>
      <c r="E7294" s="27"/>
      <c r="F7294" s="25">
        <v>0.0</v>
      </c>
      <c r="G7294" s="27"/>
    </row>
    <row r="7295">
      <c r="A7295" s="21"/>
      <c r="B7295" s="21" t="s">
        <v>13404</v>
      </c>
      <c r="D7295" s="25">
        <v>0.0</v>
      </c>
      <c r="E7295" s="27"/>
      <c r="F7295" s="25">
        <v>0.0</v>
      </c>
      <c r="G7295" s="27"/>
    </row>
    <row r="7296">
      <c r="A7296" s="21"/>
      <c r="B7296" s="21" t="s">
        <v>13405</v>
      </c>
      <c r="D7296" s="25">
        <v>0.0</v>
      </c>
      <c r="E7296" s="27"/>
      <c r="F7296" s="25">
        <v>0.0</v>
      </c>
      <c r="G7296" s="27"/>
    </row>
    <row r="7297">
      <c r="A7297" s="21"/>
      <c r="B7297" s="21" t="s">
        <v>13406</v>
      </c>
      <c r="D7297" s="25">
        <v>0.0</v>
      </c>
      <c r="E7297" s="27"/>
      <c r="F7297" s="25">
        <v>0.0</v>
      </c>
      <c r="G7297" s="27"/>
    </row>
    <row r="7298">
      <c r="A7298" s="21"/>
      <c r="B7298" s="21" t="s">
        <v>13407</v>
      </c>
      <c r="D7298" s="25">
        <v>0.0</v>
      </c>
      <c r="E7298" s="27"/>
      <c r="F7298" s="25">
        <v>0.0</v>
      </c>
      <c r="G7298" s="27"/>
    </row>
    <row r="7299">
      <c r="A7299" s="21"/>
      <c r="B7299" s="21" t="s">
        <v>13408</v>
      </c>
      <c r="D7299" s="25">
        <v>0.0</v>
      </c>
      <c r="E7299" s="27"/>
      <c r="F7299" s="25">
        <v>0.0</v>
      </c>
      <c r="G7299" s="27"/>
    </row>
    <row r="7300">
      <c r="A7300" s="21"/>
      <c r="B7300" s="21" t="s">
        <v>13409</v>
      </c>
      <c r="D7300" s="25">
        <v>0.0</v>
      </c>
      <c r="E7300" s="27"/>
      <c r="F7300" s="25">
        <v>0.0</v>
      </c>
      <c r="G7300" s="27"/>
    </row>
    <row r="7301">
      <c r="A7301" s="21"/>
      <c r="B7301" s="21" t="s">
        <v>13410</v>
      </c>
      <c r="D7301" s="25">
        <v>0.0</v>
      </c>
      <c r="E7301" s="27"/>
      <c r="F7301" s="25">
        <v>0.0</v>
      </c>
      <c r="G7301" s="27"/>
    </row>
    <row r="7302">
      <c r="A7302" s="21"/>
      <c r="B7302" s="21" t="s">
        <v>13411</v>
      </c>
      <c r="D7302" s="25">
        <v>0.0</v>
      </c>
      <c r="E7302" s="27"/>
      <c r="F7302" s="25">
        <v>0.0</v>
      </c>
      <c r="G7302" s="27"/>
    </row>
    <row r="7303">
      <c r="A7303" s="21"/>
      <c r="B7303" s="21" t="s">
        <v>13412</v>
      </c>
      <c r="D7303" s="25">
        <v>0.0</v>
      </c>
      <c r="E7303" s="27"/>
      <c r="F7303" s="25">
        <v>0.0</v>
      </c>
      <c r="G7303" s="27"/>
    </row>
    <row r="7304">
      <c r="A7304" s="21"/>
      <c r="B7304" s="21" t="s">
        <v>13413</v>
      </c>
      <c r="D7304" s="25">
        <v>0.0</v>
      </c>
      <c r="E7304" s="27"/>
      <c r="F7304" s="25">
        <v>0.0</v>
      </c>
      <c r="G7304" s="27"/>
    </row>
    <row r="7305">
      <c r="A7305" s="21"/>
      <c r="B7305" s="21" t="s">
        <v>13414</v>
      </c>
      <c r="D7305" s="25">
        <v>0.0</v>
      </c>
      <c r="E7305" s="27"/>
      <c r="F7305" s="25">
        <v>0.0</v>
      </c>
      <c r="G7305" s="27"/>
    </row>
    <row r="7306">
      <c r="A7306" s="21"/>
      <c r="B7306" s="21" t="s">
        <v>13415</v>
      </c>
      <c r="D7306" s="25">
        <v>0.0</v>
      </c>
      <c r="E7306" s="27"/>
      <c r="F7306" s="25">
        <v>0.0</v>
      </c>
      <c r="G7306" s="27"/>
    </row>
    <row r="7307">
      <c r="A7307" s="21"/>
      <c r="B7307" s="21" t="s">
        <v>13416</v>
      </c>
      <c r="D7307" s="25">
        <v>0.0</v>
      </c>
      <c r="E7307" s="27"/>
      <c r="F7307" s="25">
        <v>0.0</v>
      </c>
      <c r="G7307" s="27"/>
    </row>
    <row r="7308">
      <c r="A7308" s="21"/>
      <c r="B7308" s="21" t="s">
        <v>13417</v>
      </c>
      <c r="D7308" s="25">
        <v>0.0</v>
      </c>
      <c r="E7308" s="27"/>
      <c r="F7308" s="25">
        <v>0.0</v>
      </c>
      <c r="G7308" s="27"/>
    </row>
    <row r="7309">
      <c r="A7309" s="21"/>
      <c r="B7309" s="21" t="s">
        <v>13418</v>
      </c>
      <c r="D7309" s="25">
        <v>0.0</v>
      </c>
      <c r="E7309" s="27"/>
      <c r="F7309" s="25">
        <v>0.0</v>
      </c>
      <c r="G7309" s="27"/>
    </row>
    <row r="7310">
      <c r="A7310" s="21"/>
      <c r="B7310" s="21" t="s">
        <v>13419</v>
      </c>
      <c r="D7310" s="25">
        <v>0.0</v>
      </c>
      <c r="E7310" s="27"/>
      <c r="F7310" s="25">
        <v>0.0</v>
      </c>
      <c r="G7310" s="27"/>
    </row>
    <row r="7311">
      <c r="A7311" s="21"/>
      <c r="B7311" s="21" t="s">
        <v>13420</v>
      </c>
      <c r="D7311" s="25">
        <v>0.0</v>
      </c>
      <c r="E7311" s="27"/>
      <c r="F7311" s="25">
        <v>1.07</v>
      </c>
      <c r="G7311" s="27"/>
    </row>
    <row r="7312">
      <c r="A7312" s="21"/>
      <c r="B7312" s="21" t="s">
        <v>13421</v>
      </c>
      <c r="D7312" s="25">
        <v>0.0</v>
      </c>
      <c r="E7312" s="27"/>
      <c r="F7312" s="25">
        <v>0.0</v>
      </c>
      <c r="G7312" s="27"/>
    </row>
    <row r="7313">
      <c r="A7313" s="21"/>
      <c r="B7313" s="21" t="s">
        <v>13422</v>
      </c>
      <c r="D7313" s="25">
        <v>0.0</v>
      </c>
      <c r="E7313" s="27"/>
      <c r="F7313" s="25">
        <v>0.0</v>
      </c>
      <c r="G7313" s="27"/>
    </row>
    <row r="7314">
      <c r="A7314" s="21"/>
      <c r="B7314" s="21" t="s">
        <v>13423</v>
      </c>
      <c r="D7314" s="25">
        <v>0.0</v>
      </c>
      <c r="E7314" s="27"/>
      <c r="F7314" s="25">
        <v>0.0</v>
      </c>
      <c r="G7314" s="27"/>
    </row>
    <row r="7315">
      <c r="A7315" s="21"/>
      <c r="B7315" s="21" t="s">
        <v>13424</v>
      </c>
      <c r="D7315" s="25">
        <v>0.0</v>
      </c>
      <c r="E7315" s="27"/>
      <c r="F7315" s="25">
        <v>0.0</v>
      </c>
      <c r="G7315" s="27"/>
    </row>
    <row r="7316">
      <c r="A7316" s="21"/>
      <c r="B7316" s="21" t="s">
        <v>13425</v>
      </c>
      <c r="D7316" s="25">
        <v>0.0</v>
      </c>
      <c r="E7316" s="27"/>
      <c r="F7316" s="25">
        <v>0.0</v>
      </c>
      <c r="G7316" s="27"/>
    </row>
    <row r="7317">
      <c r="A7317" s="21"/>
      <c r="B7317" s="21" t="s">
        <v>13426</v>
      </c>
      <c r="D7317" s="25">
        <v>0.0</v>
      </c>
      <c r="E7317" s="27"/>
      <c r="F7317" s="25">
        <v>0.0</v>
      </c>
      <c r="G7317" s="27"/>
    </row>
    <row r="7318">
      <c r="A7318" s="21"/>
      <c r="B7318" s="21" t="s">
        <v>13427</v>
      </c>
      <c r="D7318" s="25">
        <v>0.0</v>
      </c>
      <c r="E7318" s="27"/>
      <c r="F7318" s="25">
        <v>0.0</v>
      </c>
      <c r="G7318" s="27"/>
    </row>
    <row r="7319">
      <c r="A7319" s="21"/>
      <c r="B7319" s="21" t="s">
        <v>13428</v>
      </c>
      <c r="D7319" s="25">
        <v>0.0</v>
      </c>
      <c r="E7319" s="27"/>
      <c r="F7319" s="25">
        <v>0.0</v>
      </c>
      <c r="G7319" s="27"/>
    </row>
    <row r="7320">
      <c r="A7320" s="21"/>
      <c r="B7320" s="21" t="s">
        <v>13429</v>
      </c>
      <c r="D7320" s="25">
        <v>0.0</v>
      </c>
      <c r="E7320" s="27"/>
      <c r="F7320" s="25">
        <v>0.0</v>
      </c>
      <c r="G7320" s="27"/>
    </row>
    <row r="7321">
      <c r="A7321" s="21"/>
      <c r="B7321" s="21" t="s">
        <v>13430</v>
      </c>
      <c r="D7321" s="25">
        <v>0.0</v>
      </c>
      <c r="E7321" s="27"/>
      <c r="F7321" s="25">
        <v>0.0</v>
      </c>
      <c r="G7321" s="27"/>
    </row>
    <row r="7322">
      <c r="A7322" s="21"/>
      <c r="B7322" s="21" t="s">
        <v>52</v>
      </c>
      <c r="D7322" s="25">
        <v>0.0</v>
      </c>
      <c r="E7322" s="27"/>
      <c r="F7322" s="25">
        <v>0.0</v>
      </c>
      <c r="G7322" s="27"/>
    </row>
    <row r="7323">
      <c r="A7323" s="21"/>
      <c r="B7323" s="21" t="s">
        <v>13431</v>
      </c>
      <c r="D7323" s="25">
        <v>0.0</v>
      </c>
      <c r="E7323" s="27"/>
      <c r="F7323" s="25">
        <v>0.0</v>
      </c>
      <c r="G7323" s="27"/>
    </row>
    <row r="7324">
      <c r="A7324" s="21"/>
      <c r="B7324" s="21" t="s">
        <v>13432</v>
      </c>
      <c r="D7324" s="25">
        <v>0.0</v>
      </c>
      <c r="E7324" s="27"/>
      <c r="F7324" s="25">
        <v>0.0</v>
      </c>
      <c r="G7324" s="27"/>
    </row>
    <row r="7325">
      <c r="A7325" s="21"/>
      <c r="B7325" s="21" t="s">
        <v>13433</v>
      </c>
      <c r="D7325" s="25">
        <v>0.0</v>
      </c>
      <c r="E7325" s="27"/>
      <c r="F7325" s="25">
        <v>0.0</v>
      </c>
      <c r="G7325" s="27"/>
    </row>
    <row r="7326">
      <c r="A7326" s="21"/>
      <c r="B7326" s="21" t="s">
        <v>13434</v>
      </c>
      <c r="D7326" s="25">
        <v>0.0</v>
      </c>
      <c r="E7326" s="27"/>
      <c r="F7326" s="25">
        <v>0.0</v>
      </c>
      <c r="G7326" s="27"/>
    </row>
    <row r="7327">
      <c r="A7327" s="21"/>
      <c r="B7327" s="21" t="s">
        <v>13435</v>
      </c>
      <c r="D7327" s="25">
        <v>0.0</v>
      </c>
      <c r="E7327" s="27"/>
      <c r="F7327" s="25">
        <v>0.0</v>
      </c>
      <c r="G7327" s="27"/>
    </row>
    <row r="7328">
      <c r="A7328" s="21"/>
      <c r="B7328" s="21" t="s">
        <v>13436</v>
      </c>
      <c r="D7328" s="25">
        <v>0.0</v>
      </c>
      <c r="E7328" s="27"/>
      <c r="F7328" s="25">
        <v>0.0</v>
      </c>
      <c r="G7328" s="27"/>
    </row>
    <row r="7329">
      <c r="A7329" s="21"/>
      <c r="B7329" s="21" t="s">
        <v>13437</v>
      </c>
      <c r="D7329" s="25">
        <v>0.0</v>
      </c>
      <c r="E7329" s="27"/>
      <c r="F7329" s="25">
        <v>0.0</v>
      </c>
      <c r="G7329" s="27"/>
    </row>
    <row r="7330">
      <c r="A7330" s="21"/>
      <c r="B7330" s="21" t="s">
        <v>13438</v>
      </c>
      <c r="D7330" s="25">
        <v>0.0</v>
      </c>
      <c r="E7330" s="27"/>
      <c r="F7330" s="25">
        <v>0.0</v>
      </c>
      <c r="G7330" s="27"/>
    </row>
    <row r="7331">
      <c r="A7331" s="21"/>
      <c r="B7331" s="21" t="s">
        <v>13439</v>
      </c>
      <c r="D7331" s="25">
        <v>0.0</v>
      </c>
      <c r="E7331" s="27"/>
      <c r="F7331" s="25">
        <v>0.0</v>
      </c>
      <c r="G7331" s="27"/>
    </row>
    <row r="7332">
      <c r="A7332" s="21"/>
      <c r="B7332" s="21" t="s">
        <v>13440</v>
      </c>
      <c r="D7332" s="25">
        <v>0.0</v>
      </c>
      <c r="E7332" s="27"/>
      <c r="F7332" s="25">
        <v>0.0</v>
      </c>
      <c r="G7332" s="27"/>
    </row>
    <row r="7333">
      <c r="A7333" s="21"/>
      <c r="B7333" s="21" t="s">
        <v>13441</v>
      </c>
      <c r="D7333" s="25">
        <v>0.0</v>
      </c>
      <c r="E7333" s="27"/>
      <c r="F7333" s="25">
        <v>0.0</v>
      </c>
      <c r="G7333" s="27"/>
    </row>
    <row r="7334">
      <c r="A7334" s="21"/>
      <c r="B7334" s="21" t="s">
        <v>13442</v>
      </c>
      <c r="D7334" s="25">
        <v>0.0</v>
      </c>
      <c r="E7334" s="27"/>
      <c r="F7334" s="25">
        <v>0.0</v>
      </c>
      <c r="G7334" s="27"/>
    </row>
    <row r="7335">
      <c r="A7335" s="21"/>
      <c r="B7335" s="21" t="s">
        <v>13443</v>
      </c>
      <c r="D7335" s="25">
        <v>0.0</v>
      </c>
      <c r="E7335" s="27"/>
      <c r="F7335" s="25">
        <v>0.0</v>
      </c>
      <c r="G7335" s="27"/>
    </row>
    <row r="7336">
      <c r="A7336" s="21"/>
      <c r="B7336" s="21" t="s">
        <v>13444</v>
      </c>
      <c r="D7336" s="25">
        <v>0.0</v>
      </c>
      <c r="E7336" s="27"/>
      <c r="F7336" s="25">
        <v>0.0</v>
      </c>
      <c r="G7336" s="27"/>
    </row>
    <row r="7337">
      <c r="A7337" s="21"/>
      <c r="B7337" s="21" t="s">
        <v>13445</v>
      </c>
      <c r="D7337" s="25">
        <v>0.0</v>
      </c>
      <c r="E7337" s="27"/>
      <c r="F7337" s="25">
        <v>0.0</v>
      </c>
      <c r="G7337" s="27"/>
    </row>
    <row r="7338">
      <c r="A7338" s="21"/>
      <c r="B7338" s="21" t="s">
        <v>13446</v>
      </c>
      <c r="D7338" s="25">
        <v>0.0</v>
      </c>
      <c r="E7338" s="27"/>
      <c r="F7338" s="25">
        <v>0.0</v>
      </c>
      <c r="G7338" s="27"/>
    </row>
    <row r="7339">
      <c r="A7339" s="21"/>
      <c r="B7339" s="21" t="s">
        <v>13447</v>
      </c>
      <c r="D7339" s="25">
        <v>0.0</v>
      </c>
      <c r="E7339" s="27"/>
      <c r="F7339" s="25">
        <v>0.0</v>
      </c>
      <c r="G7339" s="27"/>
    </row>
    <row r="7340">
      <c r="A7340" s="21"/>
      <c r="B7340" s="21" t="s">
        <v>13448</v>
      </c>
      <c r="D7340" s="25">
        <v>0.0</v>
      </c>
      <c r="E7340" s="27"/>
      <c r="F7340" s="25">
        <v>0.0</v>
      </c>
      <c r="G7340" s="27"/>
    </row>
    <row r="7341">
      <c r="A7341" s="21"/>
      <c r="B7341" s="21" t="s">
        <v>13449</v>
      </c>
      <c r="D7341" s="25">
        <v>0.0</v>
      </c>
      <c r="E7341" s="27"/>
      <c r="F7341" s="25">
        <v>0.0</v>
      </c>
      <c r="G7341" s="27"/>
    </row>
    <row r="7342">
      <c r="A7342" s="21"/>
      <c r="B7342" s="21" t="s">
        <v>13450</v>
      </c>
      <c r="D7342" s="25">
        <v>0.0</v>
      </c>
      <c r="E7342" s="27"/>
      <c r="F7342" s="25">
        <v>0.0</v>
      </c>
      <c r="G7342" s="27"/>
    </row>
    <row r="7343">
      <c r="A7343" s="21"/>
      <c r="B7343" s="21" t="s">
        <v>13451</v>
      </c>
      <c r="D7343" s="25">
        <v>0.0</v>
      </c>
      <c r="E7343" s="27"/>
      <c r="F7343" s="25">
        <v>0.0</v>
      </c>
      <c r="G7343" s="27"/>
    </row>
    <row r="7344">
      <c r="A7344" s="21"/>
      <c r="B7344" s="21" t="s">
        <v>13452</v>
      </c>
      <c r="D7344" s="25">
        <v>0.0</v>
      </c>
      <c r="E7344" s="27"/>
      <c r="F7344" s="25">
        <v>0.0</v>
      </c>
      <c r="G7344" s="27"/>
    </row>
    <row r="7345">
      <c r="A7345" s="21"/>
      <c r="B7345" s="21" t="s">
        <v>13453</v>
      </c>
      <c r="D7345" s="25">
        <v>0.0</v>
      </c>
      <c r="E7345" s="27"/>
      <c r="F7345" s="25">
        <v>0.0</v>
      </c>
      <c r="G7345" s="27"/>
    </row>
    <row r="7346">
      <c r="A7346" s="21"/>
      <c r="B7346" s="21" t="s">
        <v>13454</v>
      </c>
      <c r="D7346" s="25">
        <v>0.0</v>
      </c>
      <c r="E7346" s="27"/>
      <c r="F7346" s="25">
        <v>0.0</v>
      </c>
      <c r="G7346" s="27"/>
    </row>
    <row r="7347">
      <c r="A7347" s="21"/>
      <c r="B7347" s="21" t="s">
        <v>13455</v>
      </c>
      <c r="D7347" s="25">
        <v>0.0</v>
      </c>
      <c r="E7347" s="27"/>
      <c r="F7347" s="25">
        <v>0.0</v>
      </c>
      <c r="G7347" s="27"/>
    </row>
    <row r="7348">
      <c r="A7348" s="21"/>
      <c r="B7348" s="21" t="s">
        <v>13456</v>
      </c>
      <c r="D7348" s="25">
        <v>0.0</v>
      </c>
      <c r="E7348" s="27"/>
      <c r="F7348" s="25">
        <v>0.0</v>
      </c>
      <c r="G7348" s="27"/>
    </row>
    <row r="7349">
      <c r="A7349" s="21"/>
      <c r="B7349" s="21" t="s">
        <v>13457</v>
      </c>
      <c r="D7349" s="25">
        <v>0.0</v>
      </c>
      <c r="E7349" s="27"/>
      <c r="F7349" s="25">
        <v>0.0</v>
      </c>
      <c r="G7349" s="27"/>
    </row>
    <row r="7350">
      <c r="A7350" s="21"/>
      <c r="B7350" s="21" t="s">
        <v>13458</v>
      </c>
      <c r="D7350" s="25">
        <v>0.0</v>
      </c>
      <c r="E7350" s="27"/>
      <c r="F7350" s="25">
        <v>0.0</v>
      </c>
      <c r="G7350" s="27"/>
    </row>
    <row r="7351">
      <c r="A7351" s="21"/>
      <c r="B7351" s="21" t="s">
        <v>13459</v>
      </c>
      <c r="D7351" s="25">
        <v>0.0</v>
      </c>
      <c r="E7351" s="27"/>
      <c r="F7351" s="25">
        <v>0.0</v>
      </c>
      <c r="G7351" s="27"/>
    </row>
    <row r="7352">
      <c r="A7352" s="21"/>
      <c r="B7352" s="21" t="s">
        <v>13460</v>
      </c>
      <c r="D7352" s="25">
        <v>0.0</v>
      </c>
      <c r="E7352" s="27"/>
      <c r="F7352" s="25">
        <v>0.0</v>
      </c>
      <c r="G7352" s="27"/>
    </row>
    <row r="7353">
      <c r="A7353" s="21"/>
      <c r="B7353" s="21" t="s">
        <v>13461</v>
      </c>
      <c r="D7353" s="25">
        <v>0.0</v>
      </c>
      <c r="E7353" s="27"/>
      <c r="F7353" s="25">
        <v>0.0</v>
      </c>
      <c r="G7353" s="27"/>
    </row>
    <row r="7354">
      <c r="A7354" s="21"/>
      <c r="B7354" s="21" t="s">
        <v>13462</v>
      </c>
      <c r="D7354" s="25">
        <v>0.0</v>
      </c>
      <c r="E7354" s="27"/>
      <c r="F7354" s="25">
        <v>0.0</v>
      </c>
      <c r="G7354" s="27"/>
    </row>
    <row r="7355">
      <c r="A7355" s="21"/>
      <c r="B7355" s="21" t="s">
        <v>13463</v>
      </c>
      <c r="D7355" s="25">
        <v>0.0</v>
      </c>
      <c r="E7355" s="27"/>
      <c r="F7355" s="25">
        <v>0.0</v>
      </c>
      <c r="G7355" s="27"/>
    </row>
    <row r="7356">
      <c r="A7356" s="21"/>
      <c r="B7356" s="21" t="s">
        <v>13464</v>
      </c>
      <c r="D7356" s="25">
        <v>0.0</v>
      </c>
      <c r="E7356" s="27"/>
      <c r="F7356" s="25">
        <v>0.0</v>
      </c>
      <c r="G7356" s="27"/>
    </row>
    <row r="7357">
      <c r="A7357" s="21"/>
      <c r="B7357" s="21" t="s">
        <v>13465</v>
      </c>
      <c r="D7357" s="25">
        <v>0.0</v>
      </c>
      <c r="E7357" s="27"/>
      <c r="F7357" s="25">
        <v>0.0</v>
      </c>
      <c r="G7357" s="27"/>
    </row>
    <row r="7358">
      <c r="A7358" s="21"/>
      <c r="B7358" s="21" t="s">
        <v>13466</v>
      </c>
      <c r="D7358" s="25">
        <v>0.0</v>
      </c>
      <c r="E7358" s="27"/>
      <c r="F7358" s="25">
        <v>0.0</v>
      </c>
      <c r="G7358" s="27"/>
    </row>
    <row r="7359">
      <c r="A7359" s="21"/>
      <c r="B7359" s="21" t="s">
        <v>13467</v>
      </c>
      <c r="D7359" s="25">
        <v>0.0</v>
      </c>
      <c r="E7359" s="27"/>
      <c r="F7359" s="25">
        <v>0.0</v>
      </c>
      <c r="G7359" s="27"/>
    </row>
    <row r="7360">
      <c r="A7360" s="21"/>
      <c r="B7360" s="21" t="s">
        <v>13468</v>
      </c>
      <c r="D7360" s="25">
        <v>0.0</v>
      </c>
      <c r="E7360" s="27"/>
      <c r="F7360" s="25">
        <v>0.0</v>
      </c>
      <c r="G7360" s="27"/>
    </row>
    <row r="7361">
      <c r="A7361" s="21"/>
      <c r="B7361" s="21" t="s">
        <v>13469</v>
      </c>
      <c r="D7361" s="25">
        <v>0.0</v>
      </c>
      <c r="E7361" s="27"/>
      <c r="F7361" s="25">
        <v>0.0</v>
      </c>
      <c r="G7361" s="27"/>
    </row>
    <row r="7362">
      <c r="A7362" s="21"/>
      <c r="B7362" s="21" t="s">
        <v>13470</v>
      </c>
      <c r="D7362" s="25">
        <v>0.0</v>
      </c>
      <c r="E7362" s="27"/>
      <c r="F7362" s="25">
        <v>0.0</v>
      </c>
      <c r="G7362" s="27"/>
    </row>
    <row r="7363">
      <c r="A7363" s="21"/>
      <c r="B7363" s="21" t="s">
        <v>13471</v>
      </c>
      <c r="D7363" s="25">
        <v>0.0</v>
      </c>
      <c r="E7363" s="27"/>
      <c r="F7363" s="25">
        <v>0.0</v>
      </c>
      <c r="G7363" s="27"/>
    </row>
    <row r="7364">
      <c r="A7364" s="21"/>
      <c r="B7364" s="21" t="s">
        <v>13472</v>
      </c>
      <c r="D7364" s="25">
        <v>0.0</v>
      </c>
      <c r="E7364" s="27"/>
      <c r="F7364" s="25">
        <v>3.87</v>
      </c>
      <c r="G7364" s="27"/>
    </row>
    <row r="7365">
      <c r="A7365" s="21"/>
      <c r="B7365" s="21" t="s">
        <v>13473</v>
      </c>
      <c r="D7365" s="25">
        <v>0.0</v>
      </c>
      <c r="E7365" s="27"/>
      <c r="F7365" s="25">
        <v>0.0</v>
      </c>
      <c r="G7365" s="27"/>
    </row>
    <row r="7366">
      <c r="A7366" s="21"/>
      <c r="B7366" s="21" t="s">
        <v>13474</v>
      </c>
      <c r="D7366" s="25">
        <v>0.0</v>
      </c>
      <c r="E7366" s="27"/>
      <c r="F7366" s="25">
        <v>0.0</v>
      </c>
      <c r="G7366" s="27"/>
    </row>
    <row r="7367">
      <c r="A7367" s="21"/>
      <c r="B7367" s="21" t="s">
        <v>13475</v>
      </c>
      <c r="D7367" s="25">
        <v>0.0</v>
      </c>
      <c r="E7367" s="27"/>
      <c r="F7367" s="25">
        <v>3.32</v>
      </c>
      <c r="G7367" s="27"/>
    </row>
    <row r="7368">
      <c r="A7368" s="21"/>
      <c r="B7368" s="21" t="s">
        <v>13476</v>
      </c>
      <c r="D7368" s="25">
        <v>0.0</v>
      </c>
      <c r="E7368" s="27"/>
      <c r="F7368" s="25">
        <v>4.24</v>
      </c>
      <c r="G7368" s="27"/>
    </row>
    <row r="7369">
      <c r="A7369" s="21"/>
      <c r="B7369" s="21" t="s">
        <v>13477</v>
      </c>
      <c r="D7369" s="25">
        <v>0.0</v>
      </c>
      <c r="E7369" s="27"/>
      <c r="F7369" s="25">
        <v>0.0</v>
      </c>
      <c r="G7369" s="27"/>
    </row>
    <row r="7370">
      <c r="A7370" s="21"/>
      <c r="B7370" s="21" t="s">
        <v>13478</v>
      </c>
      <c r="D7370" s="25">
        <v>0.0</v>
      </c>
      <c r="E7370" s="27"/>
      <c r="F7370" s="25">
        <v>0.0</v>
      </c>
      <c r="G7370" s="27"/>
    </row>
    <row r="7371">
      <c r="A7371" s="21"/>
      <c r="B7371" s="21" t="s">
        <v>13479</v>
      </c>
      <c r="D7371" s="25">
        <v>0.0</v>
      </c>
      <c r="E7371" s="27"/>
      <c r="F7371" s="25">
        <v>0.0</v>
      </c>
      <c r="G7371" s="27"/>
    </row>
    <row r="7372">
      <c r="A7372" s="21"/>
      <c r="B7372" s="21" t="s">
        <v>13480</v>
      </c>
      <c r="D7372" s="25">
        <v>0.0</v>
      </c>
      <c r="E7372" s="27"/>
      <c r="F7372" s="25">
        <v>0.0</v>
      </c>
      <c r="G7372" s="27"/>
    </row>
    <row r="7373">
      <c r="A7373" s="21"/>
      <c r="B7373" s="21" t="s">
        <v>13481</v>
      </c>
      <c r="D7373" s="25">
        <v>0.0</v>
      </c>
      <c r="E7373" s="27"/>
      <c r="F7373" s="25">
        <v>0.0</v>
      </c>
      <c r="G7373" s="27"/>
    </row>
    <row r="7374">
      <c r="A7374" s="21"/>
      <c r="B7374" s="21" t="s">
        <v>13482</v>
      </c>
      <c r="D7374" s="25">
        <v>0.0</v>
      </c>
      <c r="E7374" s="27"/>
      <c r="F7374" s="25">
        <v>0.0</v>
      </c>
      <c r="G7374" s="27"/>
    </row>
    <row r="7375">
      <c r="A7375" s="21"/>
      <c r="B7375" s="21" t="s">
        <v>13483</v>
      </c>
      <c r="D7375" s="25">
        <v>0.0</v>
      </c>
      <c r="E7375" s="27"/>
      <c r="F7375" s="25">
        <v>0.0</v>
      </c>
      <c r="G7375" s="27"/>
    </row>
    <row r="7376">
      <c r="A7376" s="21"/>
      <c r="B7376" s="21" t="s">
        <v>13484</v>
      </c>
      <c r="D7376" s="25">
        <v>0.0</v>
      </c>
      <c r="E7376" s="27"/>
      <c r="F7376" s="25">
        <v>0.0</v>
      </c>
      <c r="G7376" s="27"/>
    </row>
    <row r="7377">
      <c r="A7377" s="21"/>
      <c r="B7377" s="21" t="s">
        <v>13485</v>
      </c>
      <c r="D7377" s="25">
        <v>0.0</v>
      </c>
      <c r="E7377" s="27"/>
      <c r="F7377" s="25">
        <v>0.0</v>
      </c>
      <c r="G7377" s="27"/>
    </row>
    <row r="7378">
      <c r="A7378" s="21"/>
      <c r="B7378" s="21" t="s">
        <v>13486</v>
      </c>
      <c r="D7378" s="25">
        <v>0.0</v>
      </c>
      <c r="E7378" s="27"/>
      <c r="F7378" s="25">
        <v>0.0</v>
      </c>
      <c r="G7378" s="27"/>
    </row>
    <row r="7379">
      <c r="A7379" s="21"/>
      <c r="B7379" s="21" t="s">
        <v>13487</v>
      </c>
      <c r="D7379" s="25">
        <v>0.0</v>
      </c>
      <c r="E7379" s="27"/>
      <c r="F7379" s="25">
        <v>0.0</v>
      </c>
      <c r="G7379" s="27"/>
    </row>
    <row r="7380">
      <c r="A7380" s="21"/>
      <c r="B7380" s="21" t="s">
        <v>13488</v>
      </c>
      <c r="D7380" s="25">
        <v>0.0</v>
      </c>
      <c r="E7380" s="27"/>
      <c r="F7380" s="25">
        <v>0.0</v>
      </c>
      <c r="G7380" s="27"/>
    </row>
    <row r="7381">
      <c r="A7381" s="21"/>
      <c r="B7381" s="21" t="s">
        <v>13489</v>
      </c>
      <c r="D7381" s="25">
        <v>0.0</v>
      </c>
      <c r="E7381" s="27"/>
      <c r="F7381" s="25">
        <v>0.0</v>
      </c>
      <c r="G7381" s="27"/>
    </row>
    <row r="7382">
      <c r="A7382" s="21"/>
      <c r="B7382" s="21" t="s">
        <v>13490</v>
      </c>
      <c r="D7382" s="25">
        <v>0.0</v>
      </c>
      <c r="E7382" s="27"/>
      <c r="F7382" s="25">
        <v>0.0</v>
      </c>
      <c r="G7382" s="27"/>
    </row>
    <row r="7383">
      <c r="A7383" s="21"/>
      <c r="B7383" s="21" t="s">
        <v>13491</v>
      </c>
      <c r="D7383" s="25">
        <v>0.0</v>
      </c>
      <c r="E7383" s="27"/>
      <c r="F7383" s="25">
        <v>5.48</v>
      </c>
      <c r="G7383" s="27"/>
    </row>
    <row r="7384">
      <c r="A7384" s="21"/>
      <c r="B7384" s="21" t="s">
        <v>13492</v>
      </c>
      <c r="D7384" s="25">
        <v>0.0</v>
      </c>
      <c r="E7384" s="27"/>
      <c r="F7384" s="25">
        <v>0.0</v>
      </c>
      <c r="G7384" s="27"/>
    </row>
    <row r="7385">
      <c r="A7385" s="21"/>
      <c r="B7385" s="21" t="s">
        <v>13493</v>
      </c>
      <c r="D7385" s="25">
        <v>0.0</v>
      </c>
      <c r="E7385" s="27"/>
      <c r="F7385" s="25">
        <v>0.0</v>
      </c>
      <c r="G7385" s="27"/>
    </row>
    <row r="7386">
      <c r="A7386" s="21"/>
      <c r="B7386" s="21" t="s">
        <v>13494</v>
      </c>
      <c r="D7386" s="25">
        <v>0.0</v>
      </c>
      <c r="E7386" s="27"/>
      <c r="F7386" s="25">
        <v>0.0</v>
      </c>
      <c r="G7386" s="27"/>
    </row>
    <row r="7387">
      <c r="A7387" s="21"/>
      <c r="B7387" s="21" t="s">
        <v>13495</v>
      </c>
      <c r="D7387" s="25">
        <v>0.0</v>
      </c>
      <c r="E7387" s="27"/>
      <c r="F7387" s="25">
        <v>0.0</v>
      </c>
      <c r="G7387" s="27"/>
    </row>
    <row r="7388">
      <c r="A7388" s="21"/>
      <c r="B7388" s="21" t="s">
        <v>13496</v>
      </c>
      <c r="D7388" s="25">
        <v>0.0</v>
      </c>
      <c r="E7388" s="27"/>
      <c r="F7388" s="25">
        <v>0.0</v>
      </c>
      <c r="G7388" s="27"/>
    </row>
    <row r="7389">
      <c r="A7389" s="21"/>
      <c r="B7389" s="21" t="s">
        <v>13497</v>
      </c>
      <c r="D7389" s="25">
        <v>0.0</v>
      </c>
      <c r="E7389" s="27"/>
      <c r="F7389" s="25">
        <v>0.0</v>
      </c>
      <c r="G7389" s="27"/>
    </row>
    <row r="7390">
      <c r="A7390" s="21"/>
      <c r="B7390" s="21" t="s">
        <v>13498</v>
      </c>
      <c r="D7390" s="25">
        <v>0.0</v>
      </c>
      <c r="E7390" s="27"/>
      <c r="F7390" s="25">
        <v>0.0</v>
      </c>
      <c r="G7390" s="27"/>
    </row>
    <row r="7391">
      <c r="A7391" s="21"/>
      <c r="B7391" s="21" t="s">
        <v>13499</v>
      </c>
      <c r="D7391" s="25">
        <v>0.0</v>
      </c>
      <c r="E7391" s="27"/>
      <c r="F7391" s="25">
        <v>0.0</v>
      </c>
      <c r="G7391" s="27"/>
    </row>
    <row r="7392">
      <c r="A7392" s="21"/>
      <c r="B7392" s="21" t="s">
        <v>13500</v>
      </c>
      <c r="D7392" s="25">
        <v>0.0</v>
      </c>
      <c r="E7392" s="27"/>
      <c r="F7392" s="25">
        <v>0.0</v>
      </c>
      <c r="G7392" s="27"/>
    </row>
    <row r="7393">
      <c r="A7393" s="21"/>
      <c r="B7393" s="21" t="s">
        <v>13501</v>
      </c>
      <c r="D7393" s="25">
        <v>0.0</v>
      </c>
      <c r="E7393" s="27"/>
      <c r="F7393" s="25">
        <v>0.0</v>
      </c>
      <c r="G7393" s="27"/>
    </row>
    <row r="7394">
      <c r="A7394" s="21"/>
      <c r="B7394" s="21" t="s">
        <v>13502</v>
      </c>
      <c r="D7394" s="25">
        <v>0.0</v>
      </c>
      <c r="E7394" s="27"/>
      <c r="F7394" s="25">
        <v>0.0</v>
      </c>
      <c r="G7394" s="27"/>
    </row>
    <row r="7395">
      <c r="A7395" s="21"/>
      <c r="B7395" s="21" t="s">
        <v>13503</v>
      </c>
      <c r="D7395" s="25">
        <v>0.0</v>
      </c>
      <c r="E7395" s="27"/>
      <c r="F7395" s="25">
        <v>0.0</v>
      </c>
      <c r="G7395" s="27"/>
    </row>
    <row r="7396">
      <c r="A7396" s="21"/>
      <c r="B7396" s="21" t="s">
        <v>13504</v>
      </c>
      <c r="D7396" s="25">
        <v>0.0</v>
      </c>
      <c r="E7396" s="27"/>
      <c r="F7396" s="25">
        <v>0.0</v>
      </c>
      <c r="G7396" s="27"/>
    </row>
    <row r="7397">
      <c r="A7397" s="21"/>
      <c r="B7397" s="21" t="s">
        <v>13505</v>
      </c>
      <c r="D7397" s="25">
        <v>0.0</v>
      </c>
      <c r="E7397" s="27"/>
      <c r="F7397" s="25">
        <v>0.0</v>
      </c>
      <c r="G7397" s="27"/>
    </row>
    <row r="7398">
      <c r="A7398" s="21"/>
      <c r="B7398" s="21" t="s">
        <v>13506</v>
      </c>
      <c r="D7398" s="25">
        <v>0.0</v>
      </c>
      <c r="E7398" s="27"/>
      <c r="F7398" s="25">
        <v>0.0</v>
      </c>
      <c r="G7398" s="27"/>
    </row>
    <row r="7399">
      <c r="A7399" s="21"/>
      <c r="B7399" s="21" t="s">
        <v>13507</v>
      </c>
      <c r="D7399" s="25">
        <v>0.0</v>
      </c>
      <c r="E7399" s="27"/>
      <c r="F7399" s="25">
        <v>3.7</v>
      </c>
      <c r="G7399" s="27"/>
    </row>
    <row r="7400">
      <c r="A7400" s="21"/>
      <c r="B7400" s="21" t="s">
        <v>13508</v>
      </c>
      <c r="D7400" s="25">
        <v>0.0</v>
      </c>
      <c r="E7400" s="27"/>
      <c r="F7400" s="25">
        <v>0.0</v>
      </c>
      <c r="G7400" s="27"/>
    </row>
    <row r="7401">
      <c r="A7401" s="21"/>
      <c r="B7401" s="21" t="s">
        <v>13509</v>
      </c>
      <c r="D7401" s="25">
        <v>0.0</v>
      </c>
      <c r="E7401" s="27"/>
      <c r="F7401" s="25">
        <v>0.0</v>
      </c>
      <c r="G7401" s="27"/>
    </row>
    <row r="7402">
      <c r="A7402" s="21"/>
      <c r="B7402" s="21" t="s">
        <v>13510</v>
      </c>
      <c r="D7402" s="25">
        <v>0.0</v>
      </c>
      <c r="E7402" s="27"/>
      <c r="F7402" s="25">
        <v>0.0</v>
      </c>
      <c r="G7402" s="27"/>
    </row>
    <row r="7403">
      <c r="A7403" s="21"/>
      <c r="B7403" s="21" t="s">
        <v>13511</v>
      </c>
      <c r="D7403" s="25">
        <v>0.0</v>
      </c>
      <c r="E7403" s="27"/>
      <c r="F7403" s="25">
        <v>0.0</v>
      </c>
      <c r="G7403" s="27"/>
    </row>
    <row r="7404">
      <c r="A7404" s="21"/>
      <c r="B7404" s="21" t="s">
        <v>13512</v>
      </c>
      <c r="D7404" s="25">
        <v>0.0</v>
      </c>
      <c r="E7404" s="27"/>
      <c r="F7404" s="25">
        <v>0.0</v>
      </c>
      <c r="G7404" s="27"/>
    </row>
    <row r="7405">
      <c r="A7405" s="21"/>
      <c r="B7405" s="21" t="s">
        <v>13513</v>
      </c>
      <c r="D7405" s="25">
        <v>0.0</v>
      </c>
      <c r="E7405" s="27"/>
      <c r="F7405" s="25">
        <v>0.0</v>
      </c>
      <c r="G7405" s="27"/>
    </row>
    <row r="7406">
      <c r="A7406" s="21"/>
      <c r="B7406" s="21" t="s">
        <v>13514</v>
      </c>
      <c r="D7406" s="25">
        <v>0.0</v>
      </c>
      <c r="E7406" s="27"/>
      <c r="F7406" s="25">
        <v>0.0</v>
      </c>
      <c r="G7406" s="27"/>
    </row>
    <row r="7407">
      <c r="A7407" s="21"/>
      <c r="B7407" s="21" t="s">
        <v>13515</v>
      </c>
      <c r="D7407" s="25">
        <v>0.0</v>
      </c>
      <c r="E7407" s="27"/>
      <c r="F7407" s="25">
        <v>0.0</v>
      </c>
      <c r="G7407" s="27"/>
    </row>
    <row r="7408">
      <c r="A7408" s="21"/>
      <c r="B7408" s="21" t="s">
        <v>13516</v>
      </c>
      <c r="D7408" s="25">
        <v>0.0</v>
      </c>
      <c r="E7408" s="27"/>
      <c r="F7408" s="25">
        <v>0.0</v>
      </c>
      <c r="G7408" s="27"/>
    </row>
    <row r="7409">
      <c r="A7409" s="21"/>
      <c r="B7409" s="21" t="s">
        <v>13517</v>
      </c>
      <c r="D7409" s="25">
        <v>0.0</v>
      </c>
      <c r="E7409" s="27"/>
      <c r="F7409" s="25">
        <v>4.56</v>
      </c>
      <c r="G7409" s="27"/>
    </row>
    <row r="7410">
      <c r="A7410" s="21"/>
      <c r="B7410" s="21" t="s">
        <v>13518</v>
      </c>
      <c r="D7410" s="25">
        <v>0.0</v>
      </c>
      <c r="E7410" s="27"/>
      <c r="F7410" s="25">
        <v>0.0</v>
      </c>
      <c r="G7410" s="27"/>
    </row>
    <row r="7411">
      <c r="A7411" s="21"/>
      <c r="B7411" s="21" t="s">
        <v>13519</v>
      </c>
      <c r="D7411" s="25">
        <v>0.0</v>
      </c>
      <c r="E7411" s="27"/>
      <c r="F7411" s="25">
        <v>0.0</v>
      </c>
      <c r="G7411" s="27"/>
    </row>
    <row r="7412">
      <c r="A7412" s="21"/>
      <c r="B7412" s="21" t="s">
        <v>13520</v>
      </c>
      <c r="D7412" s="25">
        <v>0.0</v>
      </c>
      <c r="E7412" s="27"/>
      <c r="F7412" s="25">
        <v>0.0</v>
      </c>
      <c r="G7412" s="27"/>
    </row>
    <row r="7413">
      <c r="A7413" s="21"/>
      <c r="B7413" s="21" t="s">
        <v>13521</v>
      </c>
      <c r="D7413" s="25">
        <v>0.0</v>
      </c>
      <c r="E7413" s="27"/>
      <c r="F7413" s="25">
        <v>0.0</v>
      </c>
      <c r="G7413" s="27"/>
    </row>
    <row r="7414">
      <c r="A7414" s="21"/>
      <c r="B7414" s="21" t="s">
        <v>13522</v>
      </c>
      <c r="D7414" s="25">
        <v>0.0</v>
      </c>
      <c r="E7414" s="27"/>
      <c r="F7414" s="25">
        <v>0.0</v>
      </c>
      <c r="G7414" s="27"/>
    </row>
    <row r="7415">
      <c r="A7415" s="21"/>
      <c r="B7415" s="21" t="s">
        <v>13523</v>
      </c>
      <c r="D7415" s="25">
        <v>0.0</v>
      </c>
      <c r="E7415" s="27"/>
      <c r="F7415" s="25">
        <v>0.0</v>
      </c>
      <c r="G7415" s="27"/>
    </row>
    <row r="7416">
      <c r="A7416" s="21"/>
      <c r="B7416" s="21" t="s">
        <v>13524</v>
      </c>
      <c r="D7416" s="25">
        <v>0.0</v>
      </c>
      <c r="E7416" s="27"/>
      <c r="F7416" s="25">
        <v>0.0</v>
      </c>
      <c r="G7416" s="27"/>
    </row>
    <row r="7417">
      <c r="A7417" s="21"/>
      <c r="B7417" s="21" t="s">
        <v>13525</v>
      </c>
      <c r="D7417" s="25">
        <v>0.0</v>
      </c>
      <c r="E7417" s="27"/>
      <c r="F7417" s="25">
        <v>0.0</v>
      </c>
      <c r="G7417" s="27"/>
    </row>
    <row r="7418">
      <c r="A7418" s="21"/>
      <c r="B7418" s="21" t="s">
        <v>13526</v>
      </c>
      <c r="D7418" s="25">
        <v>0.0</v>
      </c>
      <c r="E7418" s="27"/>
      <c r="F7418" s="25">
        <v>0.0</v>
      </c>
      <c r="G7418" s="27"/>
    </row>
    <row r="7419">
      <c r="A7419" s="21"/>
      <c r="B7419" s="21" t="s">
        <v>13527</v>
      </c>
      <c r="D7419" s="25">
        <v>0.0</v>
      </c>
      <c r="E7419" s="27"/>
      <c r="F7419" s="25">
        <v>10.31</v>
      </c>
      <c r="G7419" s="27"/>
    </row>
    <row r="7420">
      <c r="A7420" s="21"/>
      <c r="B7420" s="21" t="s">
        <v>13528</v>
      </c>
      <c r="D7420" s="25">
        <v>0.0</v>
      </c>
      <c r="E7420" s="27"/>
      <c r="F7420" s="25">
        <v>0.0</v>
      </c>
      <c r="G7420" s="27"/>
    </row>
    <row r="7421">
      <c r="A7421" s="21"/>
      <c r="B7421" s="21" t="s">
        <v>13529</v>
      </c>
      <c r="D7421" s="25">
        <v>0.0</v>
      </c>
      <c r="E7421" s="27"/>
      <c r="F7421" s="25">
        <v>0.0</v>
      </c>
      <c r="G7421" s="27"/>
    </row>
    <row r="7422">
      <c r="A7422" s="21"/>
      <c r="B7422" s="21" t="s">
        <v>13530</v>
      </c>
      <c r="D7422" s="25">
        <v>0.0</v>
      </c>
      <c r="E7422" s="27"/>
      <c r="F7422" s="25">
        <v>0.0</v>
      </c>
      <c r="G7422" s="27"/>
    </row>
    <row r="7423">
      <c r="A7423" s="21"/>
      <c r="B7423" s="21" t="s">
        <v>13531</v>
      </c>
      <c r="D7423" s="25">
        <v>0.0</v>
      </c>
      <c r="E7423" s="27"/>
      <c r="F7423" s="25">
        <v>0.0</v>
      </c>
      <c r="G7423" s="27"/>
    </row>
    <row r="7424">
      <c r="A7424" s="21"/>
      <c r="B7424" s="21" t="s">
        <v>13532</v>
      </c>
      <c r="D7424" s="25">
        <v>0.0</v>
      </c>
      <c r="E7424" s="27"/>
      <c r="F7424" s="25">
        <v>0.0</v>
      </c>
      <c r="G7424" s="27"/>
    </row>
    <row r="7425">
      <c r="A7425" s="21"/>
      <c r="B7425" s="21" t="s">
        <v>13533</v>
      </c>
      <c r="D7425" s="25">
        <v>0.0</v>
      </c>
      <c r="E7425" s="27"/>
      <c r="F7425" s="25">
        <v>0.0</v>
      </c>
      <c r="G7425" s="27"/>
    </row>
    <row r="7426">
      <c r="A7426" s="21"/>
      <c r="B7426" s="21" t="s">
        <v>13534</v>
      </c>
      <c r="D7426" s="25">
        <v>0.0</v>
      </c>
      <c r="E7426" s="27"/>
      <c r="F7426" s="25">
        <v>0.0</v>
      </c>
      <c r="G7426" s="27"/>
    </row>
    <row r="7427">
      <c r="A7427" s="21"/>
      <c r="B7427" s="21" t="s">
        <v>13535</v>
      </c>
      <c r="D7427" s="25">
        <v>0.0</v>
      </c>
      <c r="E7427" s="27"/>
      <c r="F7427" s="25">
        <v>0.0</v>
      </c>
      <c r="G7427" s="27"/>
    </row>
    <row r="7428">
      <c r="A7428" s="21"/>
      <c r="B7428" s="21" t="s">
        <v>13536</v>
      </c>
      <c r="D7428" s="25">
        <v>0.0</v>
      </c>
      <c r="E7428" s="27"/>
      <c r="F7428" s="25">
        <v>0.0</v>
      </c>
      <c r="G7428" s="27"/>
    </row>
    <row r="7429">
      <c r="A7429" s="21"/>
      <c r="B7429" s="21" t="s">
        <v>13537</v>
      </c>
      <c r="D7429" s="25">
        <v>0.0</v>
      </c>
      <c r="E7429" s="27"/>
      <c r="F7429" s="25">
        <v>0.0</v>
      </c>
      <c r="G7429" s="27"/>
    </row>
    <row r="7430">
      <c r="A7430" s="21"/>
      <c r="B7430" s="21" t="s">
        <v>13538</v>
      </c>
      <c r="D7430" s="25">
        <v>0.0</v>
      </c>
      <c r="E7430" s="27"/>
      <c r="F7430" s="25">
        <v>0.0</v>
      </c>
      <c r="G7430" s="27"/>
    </row>
    <row r="7431">
      <c r="A7431" s="21"/>
      <c r="B7431" s="21" t="s">
        <v>13539</v>
      </c>
      <c r="D7431" s="25">
        <v>0.0</v>
      </c>
      <c r="E7431" s="27"/>
      <c r="F7431" s="25">
        <v>0.0</v>
      </c>
      <c r="G7431" s="27"/>
    </row>
    <row r="7432">
      <c r="A7432" s="21"/>
      <c r="B7432" s="21" t="s">
        <v>13540</v>
      </c>
      <c r="D7432" s="25">
        <v>0.0</v>
      </c>
      <c r="E7432" s="27"/>
      <c r="F7432" s="25">
        <v>0.0</v>
      </c>
      <c r="G7432" s="27"/>
    </row>
    <row r="7433">
      <c r="A7433" s="21"/>
      <c r="B7433" s="21" t="s">
        <v>13541</v>
      </c>
      <c r="D7433" s="25">
        <v>0.0</v>
      </c>
      <c r="E7433" s="27"/>
      <c r="F7433" s="25">
        <v>0.0</v>
      </c>
      <c r="G7433" s="27"/>
    </row>
    <row r="7434">
      <c r="A7434" s="21"/>
      <c r="B7434" s="21" t="s">
        <v>13542</v>
      </c>
      <c r="D7434" s="25">
        <v>0.0</v>
      </c>
      <c r="E7434" s="27"/>
      <c r="F7434" s="25">
        <v>0.0</v>
      </c>
      <c r="G7434" s="27"/>
    </row>
    <row r="7435">
      <c r="A7435" s="21"/>
      <c r="B7435" s="21" t="s">
        <v>13543</v>
      </c>
      <c r="D7435" s="25">
        <v>0.0</v>
      </c>
      <c r="E7435" s="27"/>
      <c r="F7435" s="25">
        <v>0.0</v>
      </c>
      <c r="G7435" s="27"/>
    </row>
    <row r="7436">
      <c r="A7436" s="21"/>
      <c r="B7436" s="21" t="s">
        <v>13544</v>
      </c>
      <c r="D7436" s="25">
        <v>0.0</v>
      </c>
      <c r="E7436" s="27"/>
      <c r="F7436" s="25">
        <v>0.0</v>
      </c>
      <c r="G7436" s="27"/>
    </row>
    <row r="7437">
      <c r="A7437" s="21"/>
      <c r="B7437" s="21" t="s">
        <v>13545</v>
      </c>
      <c r="D7437" s="25">
        <v>0.0</v>
      </c>
      <c r="E7437" s="27"/>
      <c r="F7437" s="25">
        <v>0.0</v>
      </c>
      <c r="G7437" s="27"/>
    </row>
    <row r="7438">
      <c r="A7438" s="21"/>
      <c r="B7438" s="21" t="s">
        <v>13546</v>
      </c>
      <c r="D7438" s="25">
        <v>0.0</v>
      </c>
      <c r="E7438" s="27"/>
      <c r="F7438" s="25">
        <v>0.0</v>
      </c>
      <c r="G7438" s="27"/>
    </row>
    <row r="7439">
      <c r="A7439" s="21"/>
      <c r="B7439" s="21" t="s">
        <v>13547</v>
      </c>
      <c r="D7439" s="25">
        <v>0.0</v>
      </c>
      <c r="E7439" s="27"/>
      <c r="F7439" s="25">
        <v>0.0</v>
      </c>
      <c r="G7439" s="27"/>
    </row>
    <row r="7440">
      <c r="A7440" s="21"/>
      <c r="B7440" s="21" t="s">
        <v>13548</v>
      </c>
      <c r="D7440" s="25">
        <v>0.0</v>
      </c>
      <c r="E7440" s="27"/>
      <c r="F7440" s="25">
        <v>0.0</v>
      </c>
      <c r="G7440" s="27"/>
    </row>
    <row r="7441">
      <c r="A7441" s="21"/>
      <c r="B7441" s="21" t="s">
        <v>13549</v>
      </c>
      <c r="D7441" s="25">
        <v>0.0</v>
      </c>
      <c r="E7441" s="27"/>
      <c r="F7441" s="25">
        <v>0.0</v>
      </c>
      <c r="G7441" s="27"/>
    </row>
    <row r="7442">
      <c r="A7442" s="21"/>
      <c r="B7442" s="21" t="s">
        <v>13550</v>
      </c>
      <c r="D7442" s="25">
        <v>0.0</v>
      </c>
      <c r="E7442" s="27"/>
      <c r="F7442" s="25">
        <v>0.0</v>
      </c>
      <c r="G7442" s="27"/>
    </row>
    <row r="7443">
      <c r="A7443" s="21"/>
      <c r="B7443" s="21" t="s">
        <v>13551</v>
      </c>
      <c r="D7443" s="25">
        <v>0.0</v>
      </c>
      <c r="E7443" s="27"/>
      <c r="F7443" s="25">
        <v>0.0</v>
      </c>
      <c r="G7443" s="27"/>
    </row>
    <row r="7444">
      <c r="A7444" s="21"/>
      <c r="B7444" s="21" t="s">
        <v>13552</v>
      </c>
      <c r="D7444" s="25">
        <v>0.0</v>
      </c>
      <c r="E7444" s="27"/>
      <c r="F7444" s="25">
        <v>0.0</v>
      </c>
      <c r="G7444" s="27"/>
    </row>
    <row r="7445">
      <c r="A7445" s="21"/>
      <c r="B7445" s="21" t="s">
        <v>13553</v>
      </c>
      <c r="D7445" s="25">
        <v>0.0</v>
      </c>
      <c r="E7445" s="27"/>
      <c r="F7445" s="25">
        <v>0.0</v>
      </c>
      <c r="G7445" s="27"/>
    </row>
    <row r="7446">
      <c r="A7446" s="21"/>
      <c r="B7446" s="21" t="s">
        <v>13554</v>
      </c>
      <c r="D7446" s="25">
        <v>0.0</v>
      </c>
      <c r="E7446" s="27"/>
      <c r="F7446" s="25">
        <v>0.0</v>
      </c>
      <c r="G7446" s="27"/>
    </row>
    <row r="7447">
      <c r="A7447" s="21"/>
      <c r="B7447" s="21" t="s">
        <v>13555</v>
      </c>
      <c r="D7447" s="25">
        <v>0.0</v>
      </c>
      <c r="E7447" s="27"/>
      <c r="F7447" s="25">
        <v>0.0</v>
      </c>
      <c r="G7447" s="27"/>
    </row>
    <row r="7448">
      <c r="A7448" s="21"/>
      <c r="B7448" s="21" t="s">
        <v>13556</v>
      </c>
      <c r="D7448" s="25">
        <v>0.0</v>
      </c>
      <c r="E7448" s="27"/>
      <c r="F7448" s="25">
        <v>0.0</v>
      </c>
      <c r="G7448" s="27"/>
    </row>
    <row r="7449">
      <c r="A7449" s="21"/>
      <c r="B7449" s="21" t="s">
        <v>13557</v>
      </c>
      <c r="D7449" s="25">
        <v>0.0</v>
      </c>
      <c r="E7449" s="27"/>
      <c r="F7449" s="25">
        <v>0.0</v>
      </c>
      <c r="G7449" s="27"/>
    </row>
    <row r="7450">
      <c r="A7450" s="21"/>
      <c r="B7450" s="21" t="s">
        <v>13558</v>
      </c>
      <c r="D7450" s="25">
        <v>0.0</v>
      </c>
      <c r="E7450" s="27"/>
      <c r="F7450" s="25">
        <v>0.0</v>
      </c>
      <c r="G7450" s="27"/>
    </row>
    <row r="7451">
      <c r="A7451" s="21"/>
      <c r="B7451" s="21" t="s">
        <v>13559</v>
      </c>
      <c r="D7451" s="25">
        <v>0.0</v>
      </c>
      <c r="E7451" s="27"/>
      <c r="F7451" s="25">
        <v>0.0</v>
      </c>
      <c r="G7451" s="27"/>
    </row>
    <row r="7452">
      <c r="A7452" s="21"/>
      <c r="B7452" s="21" t="s">
        <v>13560</v>
      </c>
      <c r="D7452" s="25">
        <v>0.0</v>
      </c>
      <c r="E7452" s="27"/>
      <c r="F7452" s="25">
        <v>0.0</v>
      </c>
      <c r="G7452" s="27"/>
    </row>
    <row r="7453">
      <c r="A7453" s="21"/>
      <c r="B7453" s="21" t="s">
        <v>13561</v>
      </c>
      <c r="D7453" s="25">
        <v>0.0</v>
      </c>
      <c r="E7453" s="27"/>
      <c r="F7453" s="25">
        <v>0.0</v>
      </c>
      <c r="G7453" s="27"/>
    </row>
    <row r="7454">
      <c r="A7454" s="21"/>
      <c r="B7454" s="21" t="s">
        <v>13562</v>
      </c>
      <c r="D7454" s="25">
        <v>0.0</v>
      </c>
      <c r="E7454" s="27"/>
      <c r="F7454" s="25">
        <v>0.0</v>
      </c>
      <c r="G7454" s="27"/>
    </row>
    <row r="7455">
      <c r="A7455" s="21"/>
      <c r="B7455" s="21" t="s">
        <v>13563</v>
      </c>
      <c r="D7455" s="25">
        <v>0.0</v>
      </c>
      <c r="E7455" s="27"/>
      <c r="F7455" s="25">
        <v>0.0</v>
      </c>
      <c r="G7455" s="27"/>
    </row>
    <row r="7456">
      <c r="A7456" s="21"/>
      <c r="B7456" s="21" t="s">
        <v>13564</v>
      </c>
      <c r="D7456" s="25">
        <v>0.0</v>
      </c>
      <c r="E7456" s="27"/>
      <c r="F7456" s="25">
        <v>0.0</v>
      </c>
      <c r="G7456" s="27"/>
    </row>
    <row r="7457">
      <c r="A7457" s="21"/>
      <c r="B7457" s="21" t="s">
        <v>13565</v>
      </c>
      <c r="D7457" s="25">
        <v>0.0</v>
      </c>
      <c r="E7457" s="27"/>
      <c r="F7457" s="25">
        <v>0.0</v>
      </c>
      <c r="G7457" s="27"/>
    </row>
    <row r="7458">
      <c r="A7458" s="21"/>
      <c r="B7458" s="21" t="s">
        <v>13566</v>
      </c>
      <c r="D7458" s="25">
        <v>0.0</v>
      </c>
      <c r="E7458" s="27"/>
      <c r="F7458" s="25">
        <v>0.0</v>
      </c>
      <c r="G7458" s="27"/>
    </row>
    <row r="7459">
      <c r="A7459" s="21"/>
      <c r="B7459" s="21" t="s">
        <v>13567</v>
      </c>
      <c r="D7459" s="25">
        <v>0.0</v>
      </c>
      <c r="E7459" s="27"/>
      <c r="F7459" s="25">
        <v>0.0</v>
      </c>
      <c r="G7459" s="27"/>
    </row>
    <row r="7460">
      <c r="A7460" s="21"/>
      <c r="B7460" s="21" t="s">
        <v>13568</v>
      </c>
      <c r="D7460" s="25">
        <v>0.0</v>
      </c>
      <c r="E7460" s="27"/>
      <c r="F7460" s="25">
        <v>0.0</v>
      </c>
      <c r="G7460" s="27"/>
    </row>
    <row r="7461">
      <c r="A7461" s="21"/>
      <c r="B7461" s="21" t="s">
        <v>13569</v>
      </c>
      <c r="D7461" s="25">
        <v>0.0</v>
      </c>
      <c r="E7461" s="27"/>
      <c r="F7461" s="25">
        <v>0.0</v>
      </c>
      <c r="G7461" s="27"/>
    </row>
    <row r="7462">
      <c r="A7462" s="21"/>
      <c r="B7462" s="21" t="s">
        <v>13570</v>
      </c>
      <c r="D7462" s="25">
        <v>0.0</v>
      </c>
      <c r="E7462" s="27"/>
      <c r="F7462" s="25">
        <v>0.0</v>
      </c>
      <c r="G7462" s="27"/>
    </row>
    <row r="7463">
      <c r="A7463" s="21"/>
      <c r="B7463" s="21" t="s">
        <v>13571</v>
      </c>
      <c r="D7463" s="25">
        <v>0.0</v>
      </c>
      <c r="E7463" s="27"/>
      <c r="F7463" s="25">
        <v>0.0</v>
      </c>
      <c r="G7463" s="27"/>
    </row>
    <row r="7464">
      <c r="A7464" s="21"/>
      <c r="B7464" s="21" t="s">
        <v>13572</v>
      </c>
      <c r="D7464" s="25">
        <v>0.0</v>
      </c>
      <c r="E7464" s="27"/>
      <c r="F7464" s="25">
        <v>0.0</v>
      </c>
      <c r="G7464" s="27"/>
    </row>
    <row r="7465">
      <c r="A7465" s="21"/>
      <c r="B7465" s="21" t="s">
        <v>13573</v>
      </c>
      <c r="D7465" s="25">
        <v>0.0</v>
      </c>
      <c r="E7465" s="27"/>
      <c r="F7465" s="25">
        <v>4.79</v>
      </c>
      <c r="G7465" s="27"/>
    </row>
    <row r="7466">
      <c r="A7466" s="21"/>
      <c r="B7466" s="21" t="s">
        <v>13574</v>
      </c>
      <c r="D7466" s="25">
        <v>0.0</v>
      </c>
      <c r="E7466" s="27"/>
      <c r="F7466" s="25">
        <v>0.0</v>
      </c>
      <c r="G7466" s="27"/>
    </row>
    <row r="7467">
      <c r="A7467" s="21"/>
      <c r="B7467" s="21" t="s">
        <v>13575</v>
      </c>
      <c r="D7467" s="25">
        <v>0.0</v>
      </c>
      <c r="E7467" s="27"/>
      <c r="F7467" s="25">
        <v>0.0</v>
      </c>
      <c r="G7467" s="27"/>
    </row>
    <row r="7468">
      <c r="A7468" s="21"/>
      <c r="B7468" s="21" t="s">
        <v>13576</v>
      </c>
      <c r="D7468" s="25">
        <v>0.0</v>
      </c>
      <c r="E7468" s="27"/>
      <c r="F7468" s="25">
        <v>0.0</v>
      </c>
      <c r="G7468" s="27"/>
    </row>
    <row r="7469">
      <c r="A7469" s="21"/>
      <c r="B7469" s="21" t="s">
        <v>13577</v>
      </c>
      <c r="D7469" s="25">
        <v>0.0</v>
      </c>
      <c r="E7469" s="27"/>
      <c r="F7469" s="25">
        <v>0.0</v>
      </c>
      <c r="G7469" s="27"/>
    </row>
    <row r="7470">
      <c r="A7470" s="21"/>
      <c r="B7470" s="21" t="s">
        <v>13578</v>
      </c>
      <c r="D7470" s="25">
        <v>0.0</v>
      </c>
      <c r="E7470" s="27"/>
      <c r="F7470" s="25">
        <v>0.0</v>
      </c>
      <c r="G7470" s="27"/>
    </row>
    <row r="7471">
      <c r="A7471" s="21"/>
      <c r="B7471" s="21" t="s">
        <v>13579</v>
      </c>
      <c r="D7471" s="25">
        <v>0.0</v>
      </c>
      <c r="E7471" s="27"/>
      <c r="F7471" s="25">
        <v>0.0</v>
      </c>
      <c r="G7471" s="27"/>
    </row>
    <row r="7472">
      <c r="A7472" s="21"/>
      <c r="B7472" s="21" t="s">
        <v>13580</v>
      </c>
      <c r="D7472" s="25">
        <v>0.0</v>
      </c>
      <c r="E7472" s="27"/>
      <c r="F7472" s="25">
        <v>0.0</v>
      </c>
      <c r="G7472" s="27"/>
    </row>
    <row r="7473">
      <c r="A7473" s="21"/>
      <c r="B7473" s="21" t="s">
        <v>13581</v>
      </c>
      <c r="D7473" s="25">
        <v>0.0</v>
      </c>
      <c r="E7473" s="27"/>
      <c r="F7473" s="25">
        <v>0.0</v>
      </c>
      <c r="G7473" s="27"/>
    </row>
    <row r="7474">
      <c r="A7474" s="21"/>
      <c r="B7474" s="21" t="s">
        <v>13582</v>
      </c>
      <c r="D7474" s="25">
        <v>0.0</v>
      </c>
      <c r="E7474" s="27"/>
      <c r="F7474" s="25">
        <v>0.0</v>
      </c>
      <c r="G7474" s="27"/>
    </row>
    <row r="7475">
      <c r="A7475" s="21"/>
      <c r="B7475" s="21" t="s">
        <v>13583</v>
      </c>
      <c r="D7475" s="25">
        <v>0.0</v>
      </c>
      <c r="E7475" s="27"/>
      <c r="F7475" s="25">
        <v>0.0</v>
      </c>
      <c r="G7475" s="27"/>
    </row>
    <row r="7476">
      <c r="A7476" s="21"/>
      <c r="B7476" s="21" t="s">
        <v>13584</v>
      </c>
      <c r="D7476" s="25">
        <v>0.0</v>
      </c>
      <c r="E7476" s="27"/>
      <c r="F7476" s="25">
        <v>0.0</v>
      </c>
      <c r="G7476" s="27"/>
    </row>
    <row r="7477">
      <c r="A7477" s="21"/>
      <c r="B7477" s="21" t="s">
        <v>13585</v>
      </c>
      <c r="D7477" s="25">
        <v>0.0</v>
      </c>
      <c r="E7477" s="27"/>
      <c r="F7477" s="25">
        <v>0.0</v>
      </c>
      <c r="G7477" s="27"/>
    </row>
    <row r="7478">
      <c r="A7478" s="21"/>
      <c r="B7478" s="21" t="s">
        <v>13586</v>
      </c>
      <c r="D7478" s="25">
        <v>0.0</v>
      </c>
      <c r="E7478" s="27"/>
      <c r="F7478" s="25">
        <v>0.0</v>
      </c>
      <c r="G7478" s="27"/>
    </row>
    <row r="7479">
      <c r="A7479" s="21"/>
      <c r="B7479" s="21" t="s">
        <v>13587</v>
      </c>
      <c r="D7479" s="25">
        <v>0.0</v>
      </c>
      <c r="E7479" s="27"/>
      <c r="F7479" s="25">
        <v>0.0</v>
      </c>
      <c r="G7479" s="27"/>
    </row>
    <row r="7480">
      <c r="A7480" s="21"/>
      <c r="B7480" s="21" t="s">
        <v>13588</v>
      </c>
      <c r="D7480" s="25">
        <v>0.0</v>
      </c>
      <c r="E7480" s="27"/>
      <c r="F7480" s="25">
        <v>0.0</v>
      </c>
      <c r="G7480" s="27"/>
    </row>
    <row r="7481">
      <c r="A7481" s="21"/>
      <c r="B7481" s="21" t="s">
        <v>13589</v>
      </c>
      <c r="D7481" s="25">
        <v>0.0</v>
      </c>
      <c r="E7481" s="27"/>
      <c r="F7481" s="25">
        <v>0.0</v>
      </c>
      <c r="G7481" s="27"/>
    </row>
    <row r="7482">
      <c r="A7482" s="21"/>
      <c r="B7482" s="21" t="s">
        <v>13590</v>
      </c>
      <c r="D7482" s="25">
        <v>0.0</v>
      </c>
      <c r="E7482" s="27"/>
      <c r="F7482" s="25">
        <v>0.0</v>
      </c>
      <c r="G7482" s="27"/>
    </row>
    <row r="7483">
      <c r="A7483" s="21"/>
      <c r="B7483" s="21" t="s">
        <v>13591</v>
      </c>
      <c r="D7483" s="25">
        <v>0.0</v>
      </c>
      <c r="E7483" s="27"/>
      <c r="F7483" s="25">
        <v>0.0</v>
      </c>
      <c r="G7483" s="27"/>
    </row>
    <row r="7484">
      <c r="A7484" s="21"/>
      <c r="B7484" s="21" t="s">
        <v>13592</v>
      </c>
      <c r="D7484" s="25">
        <v>0.0</v>
      </c>
      <c r="E7484" s="27"/>
      <c r="F7484" s="25">
        <v>0.0</v>
      </c>
      <c r="G7484" s="27"/>
    </row>
    <row r="7485">
      <c r="A7485" s="21"/>
      <c r="B7485" s="21" t="s">
        <v>13593</v>
      </c>
      <c r="D7485" s="25">
        <v>0.0</v>
      </c>
      <c r="E7485" s="27"/>
      <c r="F7485" s="25">
        <v>0.0</v>
      </c>
      <c r="G7485" s="27"/>
    </row>
    <row r="7486">
      <c r="A7486" s="21"/>
      <c r="B7486" s="21" t="s">
        <v>13594</v>
      </c>
      <c r="D7486" s="25">
        <v>0.0</v>
      </c>
      <c r="E7486" s="27"/>
      <c r="F7486" s="25">
        <v>0.0</v>
      </c>
      <c r="G7486" s="27"/>
    </row>
    <row r="7487">
      <c r="A7487" s="21"/>
      <c r="B7487" s="21" t="s">
        <v>13595</v>
      </c>
      <c r="D7487" s="25">
        <v>0.0</v>
      </c>
      <c r="E7487" s="27"/>
      <c r="F7487" s="25">
        <v>0.0</v>
      </c>
      <c r="G7487" s="27"/>
    </row>
    <row r="7488">
      <c r="A7488" s="21"/>
      <c r="B7488" s="21" t="s">
        <v>13596</v>
      </c>
      <c r="D7488" s="25">
        <v>0.0</v>
      </c>
      <c r="E7488" s="27"/>
      <c r="F7488" s="25">
        <v>0.0</v>
      </c>
      <c r="G7488" s="27"/>
    </row>
    <row r="7489">
      <c r="A7489" s="21"/>
      <c r="B7489" s="21" t="s">
        <v>13597</v>
      </c>
      <c r="D7489" s="25">
        <v>0.0</v>
      </c>
      <c r="E7489" s="27"/>
      <c r="F7489" s="25">
        <v>0.0</v>
      </c>
      <c r="G7489" s="27"/>
    </row>
    <row r="7490">
      <c r="A7490" s="21"/>
      <c r="B7490" s="21" t="s">
        <v>13598</v>
      </c>
      <c r="D7490" s="25">
        <v>0.0</v>
      </c>
      <c r="E7490" s="27"/>
      <c r="F7490" s="25">
        <v>0.0</v>
      </c>
      <c r="G7490" s="27"/>
    </row>
    <row r="7491">
      <c r="A7491" s="21"/>
      <c r="B7491" s="21" t="s">
        <v>13599</v>
      </c>
      <c r="D7491" s="25">
        <v>0.0</v>
      </c>
      <c r="E7491" s="27"/>
      <c r="F7491" s="25">
        <v>0.0</v>
      </c>
      <c r="G7491" s="27"/>
    </row>
    <row r="7492">
      <c r="A7492" s="21"/>
      <c r="B7492" s="21" t="s">
        <v>13600</v>
      </c>
      <c r="D7492" s="25">
        <v>0.0</v>
      </c>
      <c r="E7492" s="27"/>
      <c r="F7492" s="25">
        <v>0.0</v>
      </c>
      <c r="G7492" s="27"/>
    </row>
    <row r="7493">
      <c r="A7493" s="21"/>
      <c r="B7493" s="21" t="s">
        <v>13601</v>
      </c>
      <c r="D7493" s="25">
        <v>0.0</v>
      </c>
      <c r="E7493" s="27"/>
      <c r="F7493" s="25">
        <v>0.0</v>
      </c>
      <c r="G7493" s="27"/>
    </row>
    <row r="7494">
      <c r="A7494" s="21"/>
      <c r="B7494" s="21" t="s">
        <v>13602</v>
      </c>
      <c r="D7494" s="25">
        <v>0.0</v>
      </c>
      <c r="E7494" s="27"/>
      <c r="F7494" s="25">
        <v>0.0</v>
      </c>
      <c r="G7494" s="27"/>
    </row>
    <row r="7495">
      <c r="A7495" s="21"/>
      <c r="B7495" s="21" t="s">
        <v>13603</v>
      </c>
      <c r="D7495" s="25">
        <v>0.0</v>
      </c>
      <c r="E7495" s="27"/>
      <c r="F7495" s="25">
        <v>0.0</v>
      </c>
      <c r="G7495" s="27"/>
    </row>
    <row r="7496">
      <c r="A7496" s="21"/>
      <c r="B7496" s="21" t="s">
        <v>13604</v>
      </c>
      <c r="D7496" s="25">
        <v>0.0</v>
      </c>
      <c r="E7496" s="27"/>
      <c r="F7496" s="25">
        <v>0.0</v>
      </c>
      <c r="G7496" s="27"/>
    </row>
    <row r="7497">
      <c r="A7497" s="21"/>
      <c r="B7497" s="21" t="s">
        <v>13605</v>
      </c>
      <c r="D7497" s="25">
        <v>0.0</v>
      </c>
      <c r="E7497" s="27"/>
      <c r="F7497" s="25">
        <v>0.0</v>
      </c>
      <c r="G7497" s="27"/>
    </row>
    <row r="7498">
      <c r="A7498" s="21"/>
      <c r="B7498" s="21" t="s">
        <v>13606</v>
      </c>
      <c r="D7498" s="25">
        <v>0.0</v>
      </c>
      <c r="E7498" s="27"/>
      <c r="F7498" s="25">
        <v>0.0</v>
      </c>
      <c r="G7498" s="27"/>
    </row>
    <row r="7499">
      <c r="A7499" s="21"/>
      <c r="B7499" s="21" t="s">
        <v>13607</v>
      </c>
      <c r="D7499" s="25">
        <v>0.0</v>
      </c>
      <c r="E7499" s="27"/>
      <c r="F7499" s="25">
        <v>0.0</v>
      </c>
      <c r="G7499" s="27"/>
    </row>
    <row r="7500">
      <c r="A7500" s="21"/>
      <c r="B7500" s="21" t="s">
        <v>13608</v>
      </c>
      <c r="D7500" s="25">
        <v>0.0</v>
      </c>
      <c r="E7500" s="27"/>
      <c r="F7500" s="25">
        <v>0.0</v>
      </c>
      <c r="G7500" s="27"/>
    </row>
    <row r="7501">
      <c r="A7501" s="21"/>
      <c r="B7501" s="21" t="s">
        <v>13609</v>
      </c>
      <c r="D7501" s="25">
        <v>0.0</v>
      </c>
      <c r="E7501" s="27"/>
      <c r="F7501" s="25">
        <v>0.0</v>
      </c>
      <c r="G7501" s="27"/>
    </row>
    <row r="7502">
      <c r="A7502" s="21"/>
      <c r="B7502" s="21" t="s">
        <v>13610</v>
      </c>
      <c r="D7502" s="25">
        <v>0.0</v>
      </c>
      <c r="E7502" s="27"/>
      <c r="F7502" s="25">
        <v>0.0</v>
      </c>
      <c r="G7502" s="27"/>
    </row>
    <row r="7503">
      <c r="A7503" s="21"/>
      <c r="B7503" s="21" t="s">
        <v>13611</v>
      </c>
      <c r="D7503" s="25">
        <v>0.0</v>
      </c>
      <c r="E7503" s="27"/>
      <c r="F7503" s="25">
        <v>0.0</v>
      </c>
      <c r="G7503" s="27"/>
    </row>
    <row r="7504">
      <c r="A7504" s="21"/>
      <c r="B7504" s="21" t="s">
        <v>13612</v>
      </c>
      <c r="D7504" s="25">
        <v>0.0</v>
      </c>
      <c r="E7504" s="27"/>
      <c r="F7504" s="25">
        <v>0.0</v>
      </c>
      <c r="G7504" s="27"/>
    </row>
    <row r="7505">
      <c r="A7505" s="21"/>
      <c r="B7505" s="21" t="s">
        <v>13613</v>
      </c>
      <c r="D7505" s="25">
        <v>0.0</v>
      </c>
      <c r="E7505" s="27"/>
      <c r="F7505" s="25">
        <v>0.0</v>
      </c>
      <c r="G7505" s="27"/>
    </row>
    <row r="7506">
      <c r="A7506" s="21"/>
      <c r="B7506" s="21" t="s">
        <v>13614</v>
      </c>
      <c r="D7506" s="25">
        <v>0.0</v>
      </c>
      <c r="E7506" s="27"/>
      <c r="F7506" s="25">
        <v>0.0</v>
      </c>
      <c r="G7506" s="27"/>
    </row>
    <row r="7507">
      <c r="A7507" s="21"/>
      <c r="B7507" s="38" t="s">
        <v>13615</v>
      </c>
      <c r="D7507" s="25">
        <v>0.0</v>
      </c>
      <c r="E7507" s="27"/>
      <c r="F7507" s="25">
        <v>0.0</v>
      </c>
      <c r="G7507" s="27"/>
    </row>
    <row r="7508">
      <c r="A7508" s="21"/>
      <c r="B7508" s="21" t="s">
        <v>13616</v>
      </c>
      <c r="D7508" s="25">
        <v>0.0</v>
      </c>
      <c r="E7508" s="27"/>
      <c r="F7508" s="25">
        <v>0.0</v>
      </c>
      <c r="G7508" s="27"/>
    </row>
    <row r="7509">
      <c r="A7509" s="21"/>
      <c r="B7509" s="21" t="s">
        <v>13617</v>
      </c>
      <c r="D7509" s="25">
        <v>0.0</v>
      </c>
      <c r="E7509" s="27"/>
      <c r="F7509" s="25">
        <v>0.0</v>
      </c>
      <c r="G7509" s="27"/>
    </row>
    <row r="7510">
      <c r="A7510" s="21"/>
      <c r="B7510" s="21" t="s">
        <v>13618</v>
      </c>
      <c r="D7510" s="25">
        <v>0.0</v>
      </c>
      <c r="E7510" s="27"/>
      <c r="F7510" s="25">
        <v>0.0</v>
      </c>
      <c r="G7510" s="27"/>
    </row>
    <row r="7511">
      <c r="A7511" s="21"/>
      <c r="B7511" s="21" t="s">
        <v>13619</v>
      </c>
      <c r="D7511" s="25">
        <v>0.0</v>
      </c>
      <c r="E7511" s="27"/>
      <c r="F7511" s="25">
        <v>0.0</v>
      </c>
      <c r="G7511" s="27"/>
    </row>
    <row r="7512">
      <c r="A7512" s="21"/>
      <c r="B7512" s="21" t="s">
        <v>13620</v>
      </c>
      <c r="D7512" s="25">
        <v>0.0</v>
      </c>
      <c r="E7512" s="27"/>
      <c r="F7512" s="25">
        <v>0.0</v>
      </c>
      <c r="G7512" s="27"/>
    </row>
    <row r="7513">
      <c r="A7513" s="21"/>
      <c r="B7513" s="21" t="s">
        <v>13621</v>
      </c>
      <c r="D7513" s="25">
        <v>0.0</v>
      </c>
      <c r="E7513" s="27"/>
      <c r="F7513" s="25">
        <v>0.0</v>
      </c>
      <c r="G7513" s="27"/>
    </row>
    <row r="7514">
      <c r="A7514" s="21"/>
      <c r="B7514" s="21" t="s">
        <v>13622</v>
      </c>
      <c r="D7514" s="25">
        <v>0.0</v>
      </c>
      <c r="E7514" s="27"/>
      <c r="F7514" s="25">
        <v>0.0</v>
      </c>
      <c r="G7514" s="27"/>
    </row>
    <row r="7515">
      <c r="A7515" s="21"/>
      <c r="B7515" s="21" t="s">
        <v>13623</v>
      </c>
      <c r="D7515" s="25">
        <v>0.0</v>
      </c>
      <c r="E7515" s="27"/>
      <c r="F7515" s="25">
        <v>0.0</v>
      </c>
      <c r="G7515" s="27"/>
    </row>
    <row r="7516">
      <c r="A7516" s="21"/>
      <c r="B7516" s="21" t="s">
        <v>13624</v>
      </c>
      <c r="D7516" s="25">
        <v>0.0</v>
      </c>
      <c r="E7516" s="27"/>
      <c r="F7516" s="25">
        <v>0.0</v>
      </c>
      <c r="G7516" s="27"/>
    </row>
    <row r="7517">
      <c r="A7517" s="21"/>
      <c r="B7517" s="21" t="s">
        <v>13625</v>
      </c>
      <c r="D7517" s="25">
        <v>0.0</v>
      </c>
      <c r="E7517" s="27"/>
      <c r="F7517" s="25">
        <v>0.0</v>
      </c>
      <c r="G7517" s="27"/>
    </row>
    <row r="7518">
      <c r="A7518" s="21"/>
      <c r="B7518" s="21" t="s">
        <v>13626</v>
      </c>
      <c r="D7518" s="25">
        <v>0.0</v>
      </c>
      <c r="E7518" s="27"/>
      <c r="F7518" s="25">
        <v>0.0</v>
      </c>
      <c r="G7518" s="27"/>
    </row>
    <row r="7519">
      <c r="A7519" s="21"/>
      <c r="B7519" s="21" t="s">
        <v>13627</v>
      </c>
      <c r="D7519" s="25">
        <v>0.0</v>
      </c>
      <c r="E7519" s="27"/>
      <c r="F7519" s="25">
        <v>0.0</v>
      </c>
      <c r="G7519" s="27"/>
    </row>
    <row r="7520">
      <c r="A7520" s="21"/>
      <c r="B7520" s="21" t="s">
        <v>13628</v>
      </c>
      <c r="D7520" s="25">
        <v>0.0</v>
      </c>
      <c r="E7520" s="27"/>
      <c r="F7520" s="25">
        <v>0.0</v>
      </c>
      <c r="G7520" s="27"/>
    </row>
    <row r="7521">
      <c r="A7521" s="21"/>
      <c r="B7521" s="21" t="s">
        <v>13629</v>
      </c>
      <c r="D7521" s="25">
        <v>0.0</v>
      </c>
      <c r="E7521" s="27"/>
      <c r="F7521" s="25">
        <v>0.0</v>
      </c>
      <c r="G7521" s="27"/>
    </row>
    <row r="7522">
      <c r="A7522" s="21"/>
      <c r="B7522" s="21" t="s">
        <v>13630</v>
      </c>
      <c r="D7522" s="25">
        <v>0.0</v>
      </c>
      <c r="E7522" s="27"/>
      <c r="F7522" s="25">
        <v>0.0</v>
      </c>
      <c r="G7522" s="27"/>
    </row>
    <row r="7523">
      <c r="A7523" s="21"/>
      <c r="B7523" s="21" t="s">
        <v>13631</v>
      </c>
      <c r="D7523" s="25">
        <v>0.0</v>
      </c>
      <c r="E7523" s="27"/>
      <c r="F7523" s="25">
        <v>0.0</v>
      </c>
      <c r="G7523" s="27"/>
    </row>
    <row r="7524">
      <c r="A7524" s="21"/>
      <c r="B7524" s="21" t="s">
        <v>13632</v>
      </c>
      <c r="D7524" s="25">
        <v>0.0</v>
      </c>
      <c r="E7524" s="27"/>
      <c r="F7524" s="25">
        <v>0.0</v>
      </c>
      <c r="G7524" s="27"/>
    </row>
    <row r="7525">
      <c r="A7525" s="21"/>
      <c r="B7525" s="21" t="s">
        <v>13633</v>
      </c>
      <c r="D7525" s="25">
        <v>0.0</v>
      </c>
      <c r="E7525" s="27"/>
      <c r="F7525" s="25">
        <v>0.0</v>
      </c>
      <c r="G7525" s="27"/>
    </row>
    <row r="7526">
      <c r="A7526" s="21"/>
      <c r="B7526" s="21" t="s">
        <v>13634</v>
      </c>
      <c r="D7526" s="25">
        <v>0.0</v>
      </c>
      <c r="E7526" s="27"/>
      <c r="F7526" s="25">
        <v>0.0</v>
      </c>
      <c r="G7526" s="27"/>
    </row>
    <row r="7527">
      <c r="A7527" s="21"/>
      <c r="B7527" s="21" t="s">
        <v>13635</v>
      </c>
      <c r="D7527" s="25">
        <v>0.0</v>
      </c>
      <c r="E7527" s="27"/>
      <c r="F7527" s="25">
        <v>0.0</v>
      </c>
      <c r="G7527" s="27"/>
    </row>
    <row r="7528">
      <c r="A7528" s="21"/>
      <c r="B7528" s="21" t="s">
        <v>13636</v>
      </c>
      <c r="D7528" s="25">
        <v>0.0</v>
      </c>
      <c r="E7528" s="27"/>
      <c r="F7528" s="25">
        <v>0.0</v>
      </c>
      <c r="G7528" s="27"/>
    </row>
    <row r="7529">
      <c r="A7529" s="21"/>
      <c r="B7529" s="21" t="s">
        <v>13637</v>
      </c>
      <c r="D7529" s="25">
        <v>0.0</v>
      </c>
      <c r="E7529" s="27"/>
      <c r="F7529" s="25">
        <v>0.0</v>
      </c>
      <c r="G7529" s="27"/>
    </row>
    <row r="7530">
      <c r="A7530" s="21"/>
      <c r="B7530" s="21" t="s">
        <v>6068</v>
      </c>
      <c r="D7530" s="25">
        <v>0.0</v>
      </c>
      <c r="E7530" s="27"/>
      <c r="F7530" s="25">
        <v>0.0</v>
      </c>
      <c r="G7530" s="27"/>
    </row>
    <row r="7531">
      <c r="A7531" s="21"/>
      <c r="B7531" s="21" t="s">
        <v>13638</v>
      </c>
      <c r="D7531" s="25">
        <v>0.0</v>
      </c>
      <c r="E7531" s="27"/>
      <c r="F7531" s="25">
        <v>0.0</v>
      </c>
      <c r="G7531" s="27"/>
    </row>
    <row r="7532">
      <c r="A7532" s="21"/>
      <c r="B7532" s="21" t="s">
        <v>13639</v>
      </c>
      <c r="D7532" s="25">
        <v>0.0</v>
      </c>
      <c r="E7532" s="27"/>
      <c r="F7532" s="25">
        <v>0.0</v>
      </c>
      <c r="G7532" s="27"/>
    </row>
    <row r="7533">
      <c r="A7533" s="21"/>
      <c r="B7533" s="21" t="s">
        <v>13640</v>
      </c>
      <c r="D7533" s="25">
        <v>0.0</v>
      </c>
      <c r="E7533" s="27"/>
      <c r="F7533" s="25">
        <v>0.0</v>
      </c>
      <c r="G7533" s="27"/>
    </row>
    <row r="7534">
      <c r="A7534" s="21"/>
      <c r="B7534" s="21" t="s">
        <v>13641</v>
      </c>
      <c r="D7534" s="25">
        <v>0.0</v>
      </c>
      <c r="E7534" s="27"/>
      <c r="F7534" s="25">
        <v>0.0</v>
      </c>
      <c r="G7534" s="27"/>
    </row>
    <row r="7535">
      <c r="A7535" s="21"/>
      <c r="B7535" s="21" t="s">
        <v>13642</v>
      </c>
      <c r="D7535" s="25">
        <v>0.0</v>
      </c>
      <c r="E7535" s="27"/>
      <c r="F7535" s="25">
        <v>0.0</v>
      </c>
      <c r="G7535" s="27"/>
    </row>
    <row r="7536">
      <c r="A7536" s="21"/>
      <c r="B7536" s="21" t="s">
        <v>13643</v>
      </c>
      <c r="D7536" s="25">
        <v>0.0</v>
      </c>
      <c r="E7536" s="27"/>
      <c r="F7536" s="25">
        <v>0.0</v>
      </c>
      <c r="G7536" s="27"/>
    </row>
    <row r="7537">
      <c r="A7537" s="21"/>
      <c r="B7537" s="21" t="s">
        <v>13644</v>
      </c>
      <c r="D7537" s="25">
        <v>0.0</v>
      </c>
      <c r="E7537" s="27"/>
      <c r="F7537" s="25">
        <v>0.0</v>
      </c>
      <c r="G7537" s="27"/>
    </row>
    <row r="7538">
      <c r="A7538" s="21"/>
      <c r="B7538" s="21" t="s">
        <v>13645</v>
      </c>
      <c r="D7538" s="25">
        <v>0.0</v>
      </c>
      <c r="E7538" s="27"/>
      <c r="F7538" s="25">
        <v>0.0</v>
      </c>
      <c r="G7538" s="27"/>
    </row>
    <row r="7539">
      <c r="A7539" s="21"/>
      <c r="B7539" s="21" t="s">
        <v>13646</v>
      </c>
      <c r="D7539" s="25">
        <v>0.0</v>
      </c>
      <c r="E7539" s="27"/>
      <c r="F7539" s="25">
        <v>0.0</v>
      </c>
      <c r="G7539" s="27"/>
    </row>
    <row r="7540">
      <c r="A7540" s="21"/>
      <c r="B7540" s="21" t="s">
        <v>13647</v>
      </c>
      <c r="D7540" s="25">
        <v>0.0</v>
      </c>
      <c r="E7540" s="27"/>
      <c r="F7540" s="25">
        <v>0.0</v>
      </c>
      <c r="G7540" s="27"/>
    </row>
    <row r="7541">
      <c r="A7541" s="21"/>
      <c r="B7541" s="21" t="s">
        <v>13648</v>
      </c>
      <c r="D7541" s="25">
        <v>0.0</v>
      </c>
      <c r="E7541" s="27"/>
      <c r="F7541" s="25">
        <v>0.0</v>
      </c>
      <c r="G7541" s="27"/>
    </row>
    <row r="7542">
      <c r="A7542" s="21"/>
      <c r="B7542" s="21" t="s">
        <v>13649</v>
      </c>
      <c r="D7542" s="25">
        <v>0.0</v>
      </c>
      <c r="E7542" s="27"/>
      <c r="F7542" s="25">
        <v>0.0</v>
      </c>
      <c r="G7542" s="27"/>
    </row>
    <row r="7543">
      <c r="A7543" s="21"/>
      <c r="B7543" s="21" t="s">
        <v>13650</v>
      </c>
      <c r="D7543" s="25">
        <v>0.0</v>
      </c>
      <c r="E7543" s="27"/>
      <c r="F7543" s="25">
        <v>0.0</v>
      </c>
      <c r="G7543" s="27"/>
    </row>
    <row r="7544">
      <c r="A7544" s="21"/>
      <c r="B7544" s="21" t="s">
        <v>13651</v>
      </c>
      <c r="D7544" s="25">
        <v>0.0</v>
      </c>
      <c r="E7544" s="27"/>
      <c r="F7544" s="25">
        <v>0.0</v>
      </c>
      <c r="G7544" s="27"/>
    </row>
    <row r="7545">
      <c r="A7545" s="21"/>
      <c r="B7545" s="21" t="s">
        <v>13652</v>
      </c>
      <c r="D7545" s="25">
        <v>0.0</v>
      </c>
      <c r="E7545" s="27"/>
      <c r="F7545" s="25">
        <v>0.0</v>
      </c>
      <c r="G7545" s="27"/>
    </row>
    <row r="7546">
      <c r="A7546" s="21"/>
      <c r="B7546" s="21" t="s">
        <v>13653</v>
      </c>
      <c r="D7546" s="25">
        <v>0.0</v>
      </c>
      <c r="E7546" s="27"/>
      <c r="F7546" s="25">
        <v>0.0</v>
      </c>
      <c r="G7546" s="27"/>
    </row>
    <row r="7547">
      <c r="A7547" s="21"/>
      <c r="B7547" s="21" t="s">
        <v>13654</v>
      </c>
      <c r="D7547" s="25">
        <v>0.0</v>
      </c>
      <c r="E7547" s="27"/>
      <c r="F7547" s="25">
        <v>0.0</v>
      </c>
      <c r="G7547" s="27"/>
    </row>
    <row r="7548">
      <c r="A7548" s="21"/>
      <c r="B7548" s="21" t="s">
        <v>5946</v>
      </c>
      <c r="D7548" s="25">
        <v>0.0</v>
      </c>
      <c r="E7548" s="27"/>
      <c r="F7548" s="25">
        <v>0.0</v>
      </c>
      <c r="G7548" s="27"/>
    </row>
    <row r="7549">
      <c r="A7549" s="21"/>
      <c r="B7549" s="21" t="s">
        <v>13655</v>
      </c>
      <c r="D7549" s="25">
        <v>0.0</v>
      </c>
      <c r="E7549" s="27"/>
      <c r="F7549" s="25">
        <v>0.0</v>
      </c>
      <c r="G7549" s="27"/>
    </row>
    <row r="7550">
      <c r="A7550" s="21"/>
      <c r="B7550" s="21" t="s">
        <v>13656</v>
      </c>
      <c r="D7550" s="25">
        <v>0.0</v>
      </c>
      <c r="E7550" s="27"/>
      <c r="F7550" s="25">
        <v>0.0</v>
      </c>
      <c r="G7550" s="27"/>
    </row>
    <row r="7551">
      <c r="A7551" s="21"/>
      <c r="B7551" s="21" t="s">
        <v>13657</v>
      </c>
      <c r="D7551" s="25">
        <v>0.0</v>
      </c>
      <c r="E7551" s="27"/>
      <c r="F7551" s="25">
        <v>0.0</v>
      </c>
      <c r="G7551" s="27"/>
    </row>
    <row r="7552">
      <c r="A7552" s="21"/>
      <c r="B7552" s="21" t="s">
        <v>13658</v>
      </c>
      <c r="D7552" s="25">
        <v>0.0</v>
      </c>
      <c r="E7552" s="27"/>
      <c r="F7552" s="25">
        <v>0.0</v>
      </c>
      <c r="G7552" s="27"/>
    </row>
    <row r="7553">
      <c r="A7553" s="21"/>
      <c r="B7553" s="21" t="s">
        <v>13659</v>
      </c>
      <c r="D7553" s="25">
        <v>0.0</v>
      </c>
      <c r="E7553" s="27"/>
      <c r="F7553" s="25">
        <v>0.0</v>
      </c>
      <c r="G7553" s="27"/>
    </row>
    <row r="7554">
      <c r="A7554" s="21"/>
      <c r="B7554" s="21" t="s">
        <v>13660</v>
      </c>
      <c r="D7554" s="25">
        <v>0.0</v>
      </c>
      <c r="E7554" s="27"/>
      <c r="F7554" s="25">
        <v>0.0</v>
      </c>
      <c r="G7554" s="27"/>
    </row>
    <row r="7555">
      <c r="A7555" s="21"/>
      <c r="B7555" s="21" t="s">
        <v>6069</v>
      </c>
      <c r="D7555" s="25">
        <v>0.0</v>
      </c>
      <c r="E7555" s="27"/>
      <c r="F7555" s="25">
        <v>0.0</v>
      </c>
      <c r="G7555" s="27"/>
    </row>
    <row r="7556">
      <c r="A7556" s="21"/>
      <c r="B7556" s="21" t="s">
        <v>13661</v>
      </c>
      <c r="D7556" s="25">
        <v>0.0</v>
      </c>
      <c r="E7556" s="27"/>
      <c r="F7556" s="25">
        <v>0.0</v>
      </c>
      <c r="G7556" s="27"/>
    </row>
    <row r="7557">
      <c r="A7557" s="21"/>
      <c r="B7557" s="21" t="s">
        <v>13662</v>
      </c>
      <c r="D7557" s="25">
        <v>0.0</v>
      </c>
      <c r="E7557" s="27"/>
      <c r="F7557" s="25">
        <v>0.0</v>
      </c>
      <c r="G7557" s="27"/>
    </row>
    <row r="7558">
      <c r="A7558" s="21"/>
      <c r="B7558" s="21" t="s">
        <v>13663</v>
      </c>
      <c r="D7558" s="25">
        <v>0.0</v>
      </c>
      <c r="E7558" s="27"/>
      <c r="F7558" s="25">
        <v>0.0</v>
      </c>
      <c r="G7558" s="27"/>
    </row>
    <row r="7559">
      <c r="A7559" s="21"/>
      <c r="B7559" s="21" t="s">
        <v>13664</v>
      </c>
      <c r="D7559" s="25">
        <v>0.0</v>
      </c>
      <c r="E7559" s="27"/>
      <c r="F7559" s="25">
        <v>0.0</v>
      </c>
      <c r="G7559" s="27"/>
    </row>
    <row r="7560">
      <c r="A7560" s="21"/>
      <c r="B7560" s="21" t="s">
        <v>13665</v>
      </c>
      <c r="D7560" s="25">
        <v>0.0</v>
      </c>
      <c r="E7560" s="27"/>
      <c r="F7560" s="25">
        <v>0.0</v>
      </c>
      <c r="G7560" s="27"/>
    </row>
    <row r="7561">
      <c r="A7561" s="21"/>
      <c r="B7561" s="21" t="s">
        <v>13666</v>
      </c>
      <c r="D7561" s="25">
        <v>0.0</v>
      </c>
      <c r="E7561" s="27"/>
      <c r="F7561" s="25">
        <v>0.0</v>
      </c>
      <c r="G7561" s="27"/>
    </row>
    <row r="7562">
      <c r="A7562" s="21"/>
      <c r="B7562" s="21" t="s">
        <v>13667</v>
      </c>
      <c r="D7562" s="25">
        <v>0.0</v>
      </c>
      <c r="E7562" s="27"/>
      <c r="F7562" s="25">
        <v>0.0</v>
      </c>
      <c r="G7562" s="27"/>
    </row>
    <row r="7563">
      <c r="A7563" s="21"/>
      <c r="B7563" s="21" t="s">
        <v>13668</v>
      </c>
      <c r="D7563" s="25">
        <v>0.0</v>
      </c>
      <c r="E7563" s="27"/>
      <c r="F7563" s="25">
        <v>0.0</v>
      </c>
      <c r="G7563" s="27"/>
    </row>
    <row r="7564">
      <c r="A7564" s="21"/>
      <c r="B7564" s="21" t="s">
        <v>5957</v>
      </c>
      <c r="D7564" s="25">
        <v>0.0</v>
      </c>
      <c r="E7564" s="27"/>
      <c r="F7564" s="25">
        <v>0.0</v>
      </c>
      <c r="G7564" s="27"/>
    </row>
    <row r="7565">
      <c r="A7565" s="21"/>
      <c r="B7565" s="21" t="s">
        <v>5958</v>
      </c>
      <c r="D7565" s="25">
        <v>0.0</v>
      </c>
      <c r="E7565" s="27"/>
      <c r="F7565" s="25">
        <v>0.0</v>
      </c>
      <c r="G7565" s="27"/>
    </row>
    <row r="7566">
      <c r="A7566" s="21"/>
      <c r="B7566" s="21" t="s">
        <v>13669</v>
      </c>
      <c r="D7566" s="25">
        <v>0.0</v>
      </c>
      <c r="E7566" s="27"/>
      <c r="F7566" s="25">
        <v>0.0</v>
      </c>
      <c r="G7566" s="27"/>
    </row>
    <row r="7567">
      <c r="A7567" s="21"/>
      <c r="B7567" s="21" t="s">
        <v>13670</v>
      </c>
      <c r="D7567" s="25">
        <v>0.0</v>
      </c>
      <c r="E7567" s="27"/>
      <c r="F7567" s="25">
        <v>0.0</v>
      </c>
      <c r="G7567" s="27"/>
    </row>
    <row r="7568">
      <c r="A7568" s="21"/>
      <c r="B7568" s="21" t="s">
        <v>13671</v>
      </c>
      <c r="D7568" s="25">
        <v>0.0</v>
      </c>
      <c r="E7568" s="27"/>
      <c r="F7568" s="25">
        <v>0.0</v>
      </c>
      <c r="G7568" s="27"/>
    </row>
    <row r="7569">
      <c r="A7569" s="21"/>
      <c r="B7569" s="21" t="s">
        <v>13672</v>
      </c>
      <c r="D7569" s="25">
        <v>0.0</v>
      </c>
      <c r="E7569" s="27"/>
      <c r="F7569" s="25">
        <v>0.0</v>
      </c>
      <c r="G7569" s="27"/>
    </row>
    <row r="7570">
      <c r="A7570" s="21"/>
      <c r="B7570" s="21" t="s">
        <v>13673</v>
      </c>
      <c r="D7570" s="25">
        <v>0.0</v>
      </c>
      <c r="E7570" s="27"/>
      <c r="F7570" s="25">
        <v>0.0</v>
      </c>
      <c r="G7570" s="27"/>
    </row>
    <row r="7571">
      <c r="A7571" s="21"/>
      <c r="B7571" s="21" t="s">
        <v>13674</v>
      </c>
      <c r="D7571" s="25">
        <v>0.0</v>
      </c>
      <c r="E7571" s="27"/>
      <c r="F7571" s="25">
        <v>0.0</v>
      </c>
      <c r="G7571" s="27"/>
    </row>
    <row r="7572">
      <c r="A7572" s="21"/>
      <c r="B7572" s="21" t="s">
        <v>13675</v>
      </c>
      <c r="D7572" s="25">
        <v>0.0</v>
      </c>
      <c r="E7572" s="27"/>
      <c r="F7572" s="25">
        <v>0.0</v>
      </c>
      <c r="G7572" s="27"/>
    </row>
    <row r="7573">
      <c r="A7573" s="21"/>
      <c r="B7573" s="21" t="s">
        <v>13676</v>
      </c>
      <c r="D7573" s="25">
        <v>0.0</v>
      </c>
      <c r="E7573" s="27"/>
      <c r="F7573" s="25">
        <v>0.0</v>
      </c>
      <c r="G7573" s="27"/>
    </row>
    <row r="7574">
      <c r="A7574" s="21"/>
      <c r="B7574" s="21" t="s">
        <v>13677</v>
      </c>
      <c r="D7574" s="25">
        <v>0.0</v>
      </c>
      <c r="E7574" s="27"/>
      <c r="F7574" s="25">
        <v>0.0</v>
      </c>
      <c r="G7574" s="27"/>
    </row>
    <row r="7575">
      <c r="A7575" s="21"/>
      <c r="B7575" s="21" t="s">
        <v>13678</v>
      </c>
      <c r="D7575" s="25">
        <v>0.0</v>
      </c>
      <c r="E7575" s="27"/>
      <c r="F7575" s="25">
        <v>0.0</v>
      </c>
      <c r="G7575" s="27"/>
    </row>
    <row r="7576">
      <c r="A7576" s="21"/>
      <c r="B7576" s="21" t="s">
        <v>13679</v>
      </c>
      <c r="D7576" s="25">
        <v>0.0</v>
      </c>
      <c r="E7576" s="27"/>
      <c r="F7576" s="25">
        <v>0.0</v>
      </c>
      <c r="G7576" s="27"/>
    </row>
    <row r="7577">
      <c r="A7577" s="21"/>
      <c r="B7577" s="21" t="s">
        <v>13680</v>
      </c>
      <c r="D7577" s="25">
        <v>0.0</v>
      </c>
      <c r="E7577" s="27"/>
      <c r="F7577" s="25">
        <v>0.0</v>
      </c>
      <c r="G7577" s="27"/>
    </row>
    <row r="7578">
      <c r="A7578" s="21"/>
      <c r="B7578" s="21" t="s">
        <v>13681</v>
      </c>
      <c r="D7578" s="25">
        <v>0.0</v>
      </c>
      <c r="E7578" s="27"/>
      <c r="F7578" s="25">
        <v>0.0</v>
      </c>
      <c r="G7578" s="27"/>
    </row>
    <row r="7579">
      <c r="A7579" s="21"/>
      <c r="B7579" s="21" t="s">
        <v>13682</v>
      </c>
      <c r="D7579" s="25">
        <v>0.0</v>
      </c>
      <c r="E7579" s="27"/>
      <c r="F7579" s="25">
        <v>0.0</v>
      </c>
      <c r="G7579" s="27"/>
    </row>
    <row r="7580">
      <c r="A7580" s="21"/>
      <c r="B7580" s="21" t="s">
        <v>13683</v>
      </c>
      <c r="D7580" s="25">
        <v>0.0</v>
      </c>
      <c r="E7580" s="27"/>
      <c r="F7580" s="25">
        <v>0.0</v>
      </c>
      <c r="G7580" s="27"/>
    </row>
    <row r="7581">
      <c r="A7581" s="21"/>
      <c r="B7581" s="21" t="s">
        <v>13684</v>
      </c>
      <c r="D7581" s="25">
        <v>0.0</v>
      </c>
      <c r="E7581" s="27"/>
      <c r="F7581" s="25">
        <v>0.0</v>
      </c>
      <c r="G7581" s="27"/>
    </row>
    <row r="7582">
      <c r="A7582" s="21"/>
      <c r="B7582" s="21" t="s">
        <v>13685</v>
      </c>
      <c r="D7582" s="25">
        <v>0.0</v>
      </c>
      <c r="E7582" s="27"/>
      <c r="F7582" s="25">
        <v>0.0</v>
      </c>
      <c r="G7582" s="27"/>
    </row>
    <row r="7583">
      <c r="A7583" s="21"/>
      <c r="B7583" s="21" t="s">
        <v>13686</v>
      </c>
      <c r="D7583" s="25">
        <v>0.0</v>
      </c>
      <c r="E7583" s="27"/>
      <c r="F7583" s="25">
        <v>0.0</v>
      </c>
      <c r="G7583" s="27"/>
    </row>
    <row r="7584">
      <c r="A7584" s="21"/>
      <c r="B7584" s="21" t="s">
        <v>13687</v>
      </c>
      <c r="D7584" s="25">
        <v>0.0</v>
      </c>
      <c r="E7584" s="27"/>
      <c r="F7584" s="25">
        <v>0.0</v>
      </c>
      <c r="G7584" s="27"/>
    </row>
    <row r="7585">
      <c r="A7585" s="21"/>
      <c r="B7585" s="21" t="s">
        <v>13688</v>
      </c>
      <c r="D7585" s="25">
        <v>0.0</v>
      </c>
      <c r="E7585" s="27"/>
      <c r="F7585" s="25">
        <v>0.0</v>
      </c>
      <c r="G7585" s="27"/>
    </row>
    <row r="7586">
      <c r="A7586" s="21"/>
      <c r="B7586" s="21" t="s">
        <v>13689</v>
      </c>
      <c r="D7586" s="25">
        <v>0.0</v>
      </c>
      <c r="E7586" s="27"/>
      <c r="F7586" s="25">
        <v>0.0</v>
      </c>
      <c r="G7586" s="27"/>
    </row>
    <row r="7587">
      <c r="A7587" s="21"/>
      <c r="B7587" s="21" t="s">
        <v>13690</v>
      </c>
      <c r="D7587" s="25">
        <v>0.0</v>
      </c>
      <c r="E7587" s="27"/>
      <c r="F7587" s="25">
        <v>0.0</v>
      </c>
      <c r="G7587" s="27"/>
    </row>
    <row r="7588">
      <c r="A7588" s="21"/>
      <c r="B7588" s="21" t="s">
        <v>13691</v>
      </c>
      <c r="D7588" s="25">
        <v>0.0</v>
      </c>
      <c r="E7588" s="27"/>
      <c r="F7588" s="25">
        <v>0.0</v>
      </c>
      <c r="G7588" s="27"/>
    </row>
    <row r="7589">
      <c r="A7589" s="21"/>
      <c r="B7589" s="21" t="s">
        <v>13692</v>
      </c>
      <c r="D7589" s="25">
        <v>0.0</v>
      </c>
      <c r="E7589" s="27"/>
      <c r="F7589" s="25">
        <v>0.0</v>
      </c>
      <c r="G7589" s="27"/>
    </row>
    <row r="7590">
      <c r="A7590" s="21"/>
      <c r="B7590" s="21" t="s">
        <v>13693</v>
      </c>
      <c r="D7590" s="25">
        <v>0.0</v>
      </c>
      <c r="E7590" s="27"/>
      <c r="F7590" s="25">
        <v>0.0</v>
      </c>
      <c r="G7590" s="27"/>
    </row>
    <row r="7591">
      <c r="A7591" s="21"/>
      <c r="B7591" s="21" t="s">
        <v>13694</v>
      </c>
      <c r="D7591" s="25">
        <v>0.0</v>
      </c>
      <c r="E7591" s="27"/>
      <c r="F7591" s="25">
        <v>0.0</v>
      </c>
      <c r="G7591" s="27"/>
    </row>
    <row r="7592">
      <c r="A7592" s="21"/>
      <c r="B7592" s="21" t="s">
        <v>13695</v>
      </c>
      <c r="D7592" s="25">
        <v>0.0</v>
      </c>
      <c r="E7592" s="27"/>
      <c r="F7592" s="25">
        <v>0.0</v>
      </c>
      <c r="G7592" s="27"/>
    </row>
    <row r="7593">
      <c r="A7593" s="21"/>
      <c r="B7593" s="21" t="s">
        <v>13696</v>
      </c>
      <c r="D7593" s="25">
        <v>0.0</v>
      </c>
      <c r="E7593" s="27"/>
      <c r="F7593" s="25">
        <v>1.59</v>
      </c>
      <c r="G7593" s="27"/>
    </row>
    <row r="7594">
      <c r="A7594" s="21"/>
      <c r="B7594" s="21" t="s">
        <v>13697</v>
      </c>
      <c r="D7594" s="25">
        <v>0.0</v>
      </c>
      <c r="E7594" s="27"/>
      <c r="F7594" s="25">
        <v>0.0</v>
      </c>
      <c r="G7594" s="27"/>
    </row>
    <row r="7595">
      <c r="A7595" s="21"/>
      <c r="B7595" s="21" t="s">
        <v>13698</v>
      </c>
      <c r="D7595" s="25">
        <v>0.0</v>
      </c>
      <c r="E7595" s="27"/>
      <c r="F7595" s="25">
        <v>0.0</v>
      </c>
      <c r="G7595" s="27"/>
    </row>
    <row r="7596">
      <c r="A7596" s="21"/>
      <c r="B7596" s="21" t="s">
        <v>13699</v>
      </c>
      <c r="D7596" s="25">
        <v>0.0</v>
      </c>
      <c r="E7596" s="27"/>
      <c r="F7596" s="25">
        <v>0.0</v>
      </c>
      <c r="G7596" s="27"/>
    </row>
    <row r="7597">
      <c r="A7597" s="21"/>
      <c r="B7597" s="21" t="s">
        <v>13700</v>
      </c>
      <c r="D7597" s="25">
        <v>0.0</v>
      </c>
      <c r="E7597" s="27"/>
      <c r="F7597" s="25">
        <v>0.0</v>
      </c>
      <c r="G7597" s="27"/>
    </row>
    <row r="7598">
      <c r="A7598" s="21"/>
      <c r="B7598" s="21" t="s">
        <v>13701</v>
      </c>
      <c r="D7598" s="25">
        <v>0.0</v>
      </c>
      <c r="E7598" s="27"/>
      <c r="F7598" s="25">
        <v>0.0</v>
      </c>
      <c r="G7598" s="27"/>
    </row>
    <row r="7599">
      <c r="A7599" s="21"/>
      <c r="B7599" s="21" t="s">
        <v>13702</v>
      </c>
      <c r="D7599" s="25">
        <v>0.0</v>
      </c>
      <c r="E7599" s="27"/>
      <c r="F7599" s="25">
        <v>0.0</v>
      </c>
      <c r="G7599" s="27"/>
    </row>
    <row r="7600">
      <c r="A7600" s="21"/>
      <c r="B7600" s="21" t="s">
        <v>13703</v>
      </c>
      <c r="D7600" s="25">
        <v>0.0</v>
      </c>
      <c r="E7600" s="27"/>
      <c r="F7600" s="25">
        <v>0.0</v>
      </c>
      <c r="G7600" s="27"/>
    </row>
    <row r="7601">
      <c r="A7601" s="21"/>
      <c r="B7601" s="21" t="s">
        <v>13704</v>
      </c>
      <c r="D7601" s="25">
        <v>0.0</v>
      </c>
      <c r="E7601" s="27"/>
      <c r="F7601" s="25">
        <v>0.0</v>
      </c>
      <c r="G7601" s="27"/>
    </row>
    <row r="7602">
      <c r="A7602" s="21"/>
      <c r="B7602" s="21" t="s">
        <v>13705</v>
      </c>
      <c r="D7602" s="25">
        <v>0.0</v>
      </c>
      <c r="E7602" s="27"/>
      <c r="F7602" s="25">
        <v>0.0</v>
      </c>
      <c r="G7602" s="27"/>
    </row>
    <row r="7603">
      <c r="A7603" s="21"/>
      <c r="B7603" s="21" t="s">
        <v>13706</v>
      </c>
      <c r="D7603" s="25">
        <v>0.0</v>
      </c>
      <c r="E7603" s="27"/>
      <c r="F7603" s="25">
        <v>0.0</v>
      </c>
      <c r="G7603" s="27"/>
    </row>
    <row r="7604">
      <c r="A7604" s="21"/>
      <c r="B7604" s="21" t="s">
        <v>13707</v>
      </c>
      <c r="D7604" s="25">
        <v>0.0</v>
      </c>
      <c r="E7604" s="27"/>
      <c r="F7604" s="25">
        <v>0.0</v>
      </c>
      <c r="G7604" s="27"/>
    </row>
    <row r="7605">
      <c r="A7605" s="21"/>
      <c r="B7605" s="21" t="s">
        <v>13708</v>
      </c>
      <c r="D7605" s="25">
        <v>0.0</v>
      </c>
      <c r="E7605" s="27"/>
      <c r="F7605" s="25">
        <v>0.0</v>
      </c>
      <c r="G7605" s="27"/>
    </row>
    <row r="7606">
      <c r="A7606" s="21"/>
      <c r="B7606" s="21" t="s">
        <v>13709</v>
      </c>
      <c r="D7606" s="25">
        <v>0.0</v>
      </c>
      <c r="E7606" s="27"/>
      <c r="F7606" s="25">
        <v>0.0</v>
      </c>
      <c r="G7606" s="27"/>
    </row>
    <row r="7607">
      <c r="A7607" s="21"/>
      <c r="B7607" s="21" t="s">
        <v>13710</v>
      </c>
      <c r="D7607" s="25">
        <v>0.0</v>
      </c>
      <c r="E7607" s="27"/>
      <c r="F7607" s="25">
        <v>0.0</v>
      </c>
      <c r="G7607" s="27"/>
    </row>
    <row r="7608">
      <c r="A7608" s="21"/>
      <c r="B7608" s="21" t="s">
        <v>13711</v>
      </c>
      <c r="D7608" s="25">
        <v>0.0</v>
      </c>
      <c r="E7608" s="27"/>
      <c r="F7608" s="25">
        <v>0.0</v>
      </c>
      <c r="G7608" s="27"/>
    </row>
    <row r="7609">
      <c r="A7609" s="21"/>
      <c r="B7609" s="21" t="s">
        <v>13712</v>
      </c>
      <c r="D7609" s="25">
        <v>0.0</v>
      </c>
      <c r="E7609" s="27"/>
      <c r="F7609" s="25">
        <v>0.0</v>
      </c>
      <c r="G7609" s="27"/>
    </row>
    <row r="7610">
      <c r="A7610" s="21"/>
      <c r="B7610" s="21" t="s">
        <v>13713</v>
      </c>
      <c r="D7610" s="25">
        <v>0.0</v>
      </c>
      <c r="E7610" s="27"/>
      <c r="F7610" s="25">
        <v>0.0</v>
      </c>
      <c r="G7610" s="27"/>
    </row>
    <row r="7611">
      <c r="A7611" s="21"/>
      <c r="B7611" s="21" t="s">
        <v>13714</v>
      </c>
      <c r="D7611" s="25">
        <v>0.0</v>
      </c>
      <c r="E7611" s="27"/>
      <c r="F7611" s="25">
        <v>0.0</v>
      </c>
      <c r="G7611" s="27"/>
    </row>
    <row r="7612">
      <c r="A7612" s="21"/>
      <c r="B7612" s="21" t="s">
        <v>13715</v>
      </c>
      <c r="D7612" s="25">
        <v>0.0</v>
      </c>
      <c r="E7612" s="27"/>
      <c r="F7612" s="25">
        <v>0.0</v>
      </c>
      <c r="G7612" s="27"/>
    </row>
    <row r="7613">
      <c r="A7613" s="21"/>
      <c r="B7613" s="21" t="s">
        <v>13716</v>
      </c>
      <c r="D7613" s="25">
        <v>0.0</v>
      </c>
      <c r="E7613" s="27"/>
      <c r="F7613" s="25">
        <v>0.0</v>
      </c>
      <c r="G7613" s="27"/>
    </row>
    <row r="7614">
      <c r="A7614" s="21"/>
      <c r="B7614" s="21" t="s">
        <v>13717</v>
      </c>
      <c r="D7614" s="25">
        <v>0.0</v>
      </c>
      <c r="E7614" s="27"/>
      <c r="F7614" s="25">
        <v>0.0</v>
      </c>
      <c r="G7614" s="27"/>
    </row>
    <row r="7615">
      <c r="A7615" s="21"/>
      <c r="B7615" s="21" t="s">
        <v>13718</v>
      </c>
      <c r="D7615" s="25">
        <v>0.0</v>
      </c>
      <c r="E7615" s="27"/>
      <c r="F7615" s="25">
        <v>0.0</v>
      </c>
      <c r="G7615" s="27"/>
    </row>
    <row r="7616">
      <c r="A7616" s="21"/>
      <c r="B7616" s="21" t="s">
        <v>13719</v>
      </c>
      <c r="D7616" s="25">
        <v>0.0</v>
      </c>
      <c r="E7616" s="27"/>
      <c r="F7616" s="25">
        <v>0.0</v>
      </c>
      <c r="G7616" s="27"/>
    </row>
    <row r="7617">
      <c r="A7617" s="21"/>
      <c r="B7617" s="21" t="s">
        <v>13720</v>
      </c>
      <c r="D7617" s="25">
        <v>0.0</v>
      </c>
      <c r="E7617" s="27"/>
      <c r="F7617" s="25">
        <v>0.0</v>
      </c>
      <c r="G7617" s="27"/>
    </row>
    <row r="7618">
      <c r="A7618" s="21"/>
      <c r="B7618" s="21" t="s">
        <v>13721</v>
      </c>
      <c r="D7618" s="25">
        <v>0.0</v>
      </c>
      <c r="E7618" s="27"/>
      <c r="F7618" s="25">
        <v>0.0</v>
      </c>
      <c r="G7618" s="27"/>
    </row>
    <row r="7619">
      <c r="A7619" s="21"/>
      <c r="B7619" s="21" t="s">
        <v>13722</v>
      </c>
      <c r="D7619" s="25">
        <v>0.0</v>
      </c>
      <c r="E7619" s="27"/>
      <c r="F7619" s="25">
        <v>0.0</v>
      </c>
      <c r="G7619" s="27"/>
    </row>
    <row r="7620">
      <c r="A7620" s="21"/>
      <c r="B7620" s="21" t="s">
        <v>13723</v>
      </c>
      <c r="D7620" s="25">
        <v>0.0</v>
      </c>
      <c r="E7620" s="27"/>
      <c r="F7620" s="25">
        <v>0.0</v>
      </c>
      <c r="G7620" s="27"/>
    </row>
    <row r="7621">
      <c r="A7621" s="21"/>
      <c r="B7621" s="21" t="s">
        <v>13724</v>
      </c>
      <c r="D7621" s="25">
        <v>0.0</v>
      </c>
      <c r="E7621" s="27"/>
      <c r="F7621" s="25">
        <v>0.0</v>
      </c>
      <c r="G7621" s="27"/>
    </row>
    <row r="7622">
      <c r="A7622" s="21"/>
      <c r="B7622" s="21" t="s">
        <v>13725</v>
      </c>
      <c r="D7622" s="25">
        <v>0.0</v>
      </c>
      <c r="E7622" s="27"/>
      <c r="F7622" s="25">
        <v>2.46</v>
      </c>
      <c r="G7622" s="27"/>
    </row>
    <row r="7623">
      <c r="A7623" s="21"/>
      <c r="B7623" s="21" t="s">
        <v>6070</v>
      </c>
      <c r="D7623" s="25">
        <v>0.0</v>
      </c>
      <c r="E7623" s="27"/>
      <c r="F7623" s="25">
        <v>0.0</v>
      </c>
      <c r="G7623" s="27"/>
    </row>
    <row r="7624">
      <c r="A7624" s="21"/>
      <c r="B7624" s="21" t="s">
        <v>13726</v>
      </c>
      <c r="D7624" s="25">
        <v>0.0</v>
      </c>
      <c r="E7624" s="27"/>
      <c r="F7624" s="25">
        <v>0.0</v>
      </c>
      <c r="G7624" s="27"/>
    </row>
    <row r="7625">
      <c r="A7625" s="21"/>
      <c r="B7625" s="21" t="s">
        <v>13727</v>
      </c>
      <c r="D7625" s="25">
        <v>0.0</v>
      </c>
      <c r="E7625" s="27"/>
      <c r="F7625" s="25">
        <v>0.0</v>
      </c>
      <c r="G7625" s="27"/>
    </row>
    <row r="7626">
      <c r="A7626" s="21"/>
      <c r="B7626" s="21" t="s">
        <v>13728</v>
      </c>
      <c r="D7626" s="25">
        <v>0.0</v>
      </c>
      <c r="E7626" s="27"/>
      <c r="F7626" s="25">
        <v>0.0</v>
      </c>
      <c r="G7626" s="27"/>
    </row>
    <row r="7627">
      <c r="A7627" s="21"/>
      <c r="B7627" s="21" t="s">
        <v>13729</v>
      </c>
      <c r="D7627" s="25">
        <v>0.0</v>
      </c>
      <c r="E7627" s="27"/>
      <c r="F7627" s="25">
        <v>0.0</v>
      </c>
      <c r="G7627" s="27"/>
    </row>
    <row r="7628">
      <c r="A7628" s="21"/>
      <c r="B7628" s="21" t="s">
        <v>13730</v>
      </c>
      <c r="D7628" s="25">
        <v>0.0</v>
      </c>
      <c r="E7628" s="27"/>
      <c r="F7628" s="25">
        <v>0.0</v>
      </c>
      <c r="G7628" s="27"/>
    </row>
    <row r="7629">
      <c r="A7629" s="21"/>
      <c r="B7629" s="21" t="s">
        <v>13731</v>
      </c>
      <c r="D7629" s="25">
        <v>0.0</v>
      </c>
      <c r="E7629" s="27"/>
      <c r="F7629" s="25">
        <v>0.0</v>
      </c>
      <c r="G7629" s="27"/>
    </row>
    <row r="7630">
      <c r="A7630" s="21"/>
      <c r="B7630" s="21" t="s">
        <v>13732</v>
      </c>
      <c r="D7630" s="25">
        <v>0.0</v>
      </c>
      <c r="E7630" s="27"/>
      <c r="F7630" s="25">
        <v>0.0</v>
      </c>
      <c r="G7630" s="27"/>
    </row>
    <row r="7631">
      <c r="A7631" s="21"/>
      <c r="B7631" s="21" t="s">
        <v>13733</v>
      </c>
      <c r="D7631" s="25">
        <v>0.0</v>
      </c>
      <c r="E7631" s="27"/>
      <c r="F7631" s="25">
        <v>0.0</v>
      </c>
      <c r="G7631" s="27"/>
    </row>
    <row r="7632">
      <c r="A7632" s="21"/>
      <c r="B7632" s="21" t="s">
        <v>13734</v>
      </c>
      <c r="D7632" s="25">
        <v>0.0</v>
      </c>
      <c r="E7632" s="27"/>
      <c r="F7632" s="25">
        <v>0.0</v>
      </c>
      <c r="G7632" s="27"/>
    </row>
    <row r="7633">
      <c r="A7633" s="21"/>
      <c r="B7633" s="21" t="s">
        <v>13735</v>
      </c>
      <c r="D7633" s="25">
        <v>0.0</v>
      </c>
      <c r="E7633" s="27"/>
      <c r="F7633" s="25">
        <v>0.0</v>
      </c>
      <c r="G7633" s="27"/>
    </row>
    <row r="7634">
      <c r="A7634" s="21"/>
      <c r="B7634" s="21" t="s">
        <v>13736</v>
      </c>
      <c r="D7634" s="25">
        <v>0.0</v>
      </c>
      <c r="E7634" s="27"/>
      <c r="F7634" s="25">
        <v>0.0</v>
      </c>
      <c r="G7634" s="27"/>
    </row>
    <row r="7635">
      <c r="A7635" s="21"/>
      <c r="B7635" s="21" t="s">
        <v>13737</v>
      </c>
      <c r="D7635" s="25">
        <v>0.0</v>
      </c>
      <c r="E7635" s="27"/>
      <c r="F7635" s="25">
        <v>0.0</v>
      </c>
      <c r="G7635" s="27"/>
    </row>
    <row r="7636">
      <c r="A7636" s="21"/>
      <c r="B7636" s="21" t="s">
        <v>13738</v>
      </c>
      <c r="D7636" s="25">
        <v>0.0</v>
      </c>
      <c r="E7636" s="27"/>
      <c r="F7636" s="25">
        <v>0.0</v>
      </c>
      <c r="G7636" s="27"/>
    </row>
    <row r="7637">
      <c r="A7637" s="21"/>
      <c r="B7637" s="21" t="s">
        <v>13739</v>
      </c>
      <c r="D7637" s="25">
        <v>0.0</v>
      </c>
      <c r="E7637" s="27"/>
      <c r="F7637" s="25">
        <v>0.0</v>
      </c>
      <c r="G7637" s="27"/>
    </row>
    <row r="7638">
      <c r="A7638" s="21"/>
      <c r="B7638" s="21" t="s">
        <v>13740</v>
      </c>
      <c r="D7638" s="25">
        <v>0.0</v>
      </c>
      <c r="E7638" s="27"/>
      <c r="F7638" s="25">
        <v>0.0</v>
      </c>
      <c r="G7638" s="27"/>
    </row>
    <row r="7639">
      <c r="A7639" s="21"/>
      <c r="B7639" s="21" t="s">
        <v>13741</v>
      </c>
      <c r="D7639" s="25">
        <v>0.0</v>
      </c>
      <c r="E7639" s="27"/>
      <c r="F7639" s="25">
        <v>0.0</v>
      </c>
      <c r="G7639" s="27"/>
    </row>
    <row r="7640">
      <c r="A7640" s="21"/>
      <c r="B7640" s="21" t="s">
        <v>13742</v>
      </c>
      <c r="D7640" s="25">
        <v>0.0</v>
      </c>
      <c r="E7640" s="27"/>
      <c r="F7640" s="25">
        <v>0.0</v>
      </c>
      <c r="G7640" s="27"/>
    </row>
    <row r="7641">
      <c r="A7641" s="21"/>
      <c r="B7641" s="21" t="s">
        <v>13743</v>
      </c>
      <c r="D7641" s="25">
        <v>0.0</v>
      </c>
      <c r="E7641" s="27"/>
      <c r="F7641" s="25">
        <v>0.0</v>
      </c>
      <c r="G7641" s="27"/>
    </row>
    <row r="7642">
      <c r="A7642" s="21"/>
      <c r="B7642" s="21" t="s">
        <v>13744</v>
      </c>
      <c r="D7642" s="25">
        <v>0.0</v>
      </c>
      <c r="E7642" s="27"/>
      <c r="F7642" s="25">
        <v>0.0</v>
      </c>
      <c r="G7642" s="27"/>
    </row>
    <row r="7643">
      <c r="A7643" s="21"/>
      <c r="B7643" s="21" t="s">
        <v>6071</v>
      </c>
      <c r="D7643" s="25">
        <v>0.0</v>
      </c>
      <c r="E7643" s="27"/>
      <c r="F7643" s="25">
        <v>0.0</v>
      </c>
      <c r="G7643" s="27"/>
    </row>
    <row r="7644">
      <c r="A7644" s="21"/>
      <c r="B7644" s="21" t="s">
        <v>13745</v>
      </c>
      <c r="D7644" s="25">
        <v>0.0</v>
      </c>
      <c r="E7644" s="27"/>
      <c r="F7644" s="25">
        <v>0.0</v>
      </c>
      <c r="G7644" s="27"/>
    </row>
    <row r="7645">
      <c r="A7645" s="21"/>
      <c r="B7645" s="21" t="s">
        <v>13746</v>
      </c>
      <c r="D7645" s="25">
        <v>0.0</v>
      </c>
      <c r="E7645" s="27"/>
      <c r="F7645" s="25">
        <v>0.0</v>
      </c>
      <c r="G7645" s="27"/>
    </row>
    <row r="7646">
      <c r="A7646" s="21"/>
      <c r="B7646" s="21" t="s">
        <v>13747</v>
      </c>
      <c r="D7646" s="25">
        <v>0.0</v>
      </c>
      <c r="E7646" s="27"/>
      <c r="F7646" s="25">
        <v>0.0</v>
      </c>
      <c r="G7646" s="27"/>
    </row>
    <row r="7647">
      <c r="A7647" s="21"/>
      <c r="B7647" s="21" t="s">
        <v>13748</v>
      </c>
      <c r="D7647" s="25">
        <v>0.0</v>
      </c>
      <c r="E7647" s="27"/>
      <c r="F7647" s="25">
        <v>0.0</v>
      </c>
      <c r="G7647" s="27"/>
    </row>
    <row r="7648">
      <c r="A7648" s="21"/>
      <c r="B7648" s="21" t="s">
        <v>13749</v>
      </c>
      <c r="D7648" s="25">
        <v>0.0</v>
      </c>
      <c r="E7648" s="27"/>
      <c r="F7648" s="25">
        <v>0.0</v>
      </c>
      <c r="G7648" s="27"/>
    </row>
    <row r="7649">
      <c r="A7649" s="21"/>
      <c r="B7649" s="21" t="s">
        <v>13750</v>
      </c>
      <c r="D7649" s="25">
        <v>0.0</v>
      </c>
      <c r="E7649" s="27"/>
      <c r="F7649" s="25">
        <v>0.0</v>
      </c>
      <c r="G7649" s="27"/>
    </row>
    <row r="7650">
      <c r="A7650" s="21"/>
      <c r="B7650" s="21" t="s">
        <v>13751</v>
      </c>
      <c r="D7650" s="25">
        <v>0.0</v>
      </c>
      <c r="E7650" s="27"/>
      <c r="F7650" s="25">
        <v>0.0</v>
      </c>
      <c r="G7650" s="27"/>
    </row>
    <row r="7651">
      <c r="A7651" s="21"/>
      <c r="B7651" s="21" t="s">
        <v>13752</v>
      </c>
      <c r="D7651" s="25">
        <v>0.0</v>
      </c>
      <c r="E7651" s="27"/>
      <c r="F7651" s="25">
        <v>0.0</v>
      </c>
      <c r="G7651" s="27"/>
    </row>
    <row r="7652">
      <c r="A7652" s="21"/>
      <c r="B7652" s="21" t="s">
        <v>13753</v>
      </c>
      <c r="D7652" s="25">
        <v>0.0</v>
      </c>
      <c r="E7652" s="27"/>
      <c r="F7652" s="25">
        <v>0.0</v>
      </c>
      <c r="G7652" s="27"/>
    </row>
    <row r="7653">
      <c r="A7653" s="21"/>
      <c r="B7653" s="21" t="s">
        <v>13754</v>
      </c>
      <c r="D7653" s="25">
        <v>0.0</v>
      </c>
      <c r="E7653" s="27"/>
      <c r="F7653" s="25">
        <v>0.0</v>
      </c>
      <c r="G7653" s="27"/>
    </row>
    <row r="7654">
      <c r="A7654" s="21"/>
      <c r="B7654" s="21" t="s">
        <v>13755</v>
      </c>
      <c r="D7654" s="25">
        <v>0.0</v>
      </c>
      <c r="E7654" s="27"/>
      <c r="F7654" s="25">
        <v>0.0</v>
      </c>
      <c r="G7654" s="27"/>
    </row>
    <row r="7655">
      <c r="A7655" s="21"/>
      <c r="B7655" s="21" t="s">
        <v>13756</v>
      </c>
      <c r="D7655" s="25">
        <v>0.0</v>
      </c>
      <c r="E7655" s="27"/>
      <c r="F7655" s="25">
        <v>0.0</v>
      </c>
      <c r="G7655" s="27"/>
    </row>
    <row r="7656">
      <c r="A7656" s="21"/>
      <c r="B7656" s="21" t="s">
        <v>13757</v>
      </c>
      <c r="D7656" s="25">
        <v>0.0</v>
      </c>
      <c r="E7656" s="27"/>
      <c r="F7656" s="25">
        <v>0.0</v>
      </c>
      <c r="G7656" s="27"/>
    </row>
    <row r="7657">
      <c r="A7657" s="21"/>
      <c r="B7657" s="21" t="s">
        <v>13758</v>
      </c>
      <c r="D7657" s="25">
        <v>0.0</v>
      </c>
      <c r="E7657" s="27"/>
      <c r="F7657" s="25">
        <v>0.0</v>
      </c>
      <c r="G7657" s="27"/>
    </row>
    <row r="7658">
      <c r="A7658" s="21"/>
      <c r="B7658" s="21" t="s">
        <v>13759</v>
      </c>
      <c r="D7658" s="25">
        <v>0.0</v>
      </c>
      <c r="E7658" s="27"/>
      <c r="F7658" s="25">
        <v>0.0</v>
      </c>
      <c r="G7658" s="27"/>
    </row>
    <row r="7659">
      <c r="A7659" s="21"/>
      <c r="B7659" s="21" t="s">
        <v>13760</v>
      </c>
      <c r="D7659" s="25">
        <v>0.0</v>
      </c>
      <c r="E7659" s="27"/>
      <c r="F7659" s="25">
        <v>0.0</v>
      </c>
      <c r="G7659" s="27"/>
    </row>
    <row r="7660">
      <c r="A7660" s="21"/>
      <c r="B7660" s="21" t="s">
        <v>13761</v>
      </c>
      <c r="D7660" s="25">
        <v>0.0</v>
      </c>
      <c r="E7660" s="27"/>
      <c r="F7660" s="25">
        <v>0.0</v>
      </c>
      <c r="G7660" s="27"/>
    </row>
    <row r="7661">
      <c r="A7661" s="21"/>
      <c r="B7661" s="21" t="s">
        <v>13762</v>
      </c>
      <c r="D7661" s="25">
        <v>0.0</v>
      </c>
      <c r="E7661" s="27"/>
      <c r="F7661" s="25">
        <v>0.0</v>
      </c>
      <c r="G7661" s="27"/>
    </row>
    <row r="7662">
      <c r="A7662" s="21"/>
      <c r="B7662" s="21" t="s">
        <v>13763</v>
      </c>
      <c r="D7662" s="25">
        <v>0.0</v>
      </c>
      <c r="E7662" s="27"/>
      <c r="F7662" s="25">
        <v>0.0</v>
      </c>
      <c r="G7662" s="27"/>
    </row>
    <row r="7663">
      <c r="A7663" s="21"/>
      <c r="B7663" s="21" t="s">
        <v>13764</v>
      </c>
      <c r="D7663" s="25">
        <v>0.0</v>
      </c>
      <c r="E7663" s="27"/>
      <c r="F7663" s="25">
        <v>0.0</v>
      </c>
      <c r="G7663" s="27"/>
    </row>
    <row r="7664">
      <c r="A7664" s="21"/>
      <c r="B7664" s="21" t="s">
        <v>13765</v>
      </c>
      <c r="D7664" s="25">
        <v>0.0</v>
      </c>
      <c r="E7664" s="27"/>
      <c r="F7664" s="25">
        <v>0.0</v>
      </c>
      <c r="G7664" s="27"/>
    </row>
    <row r="7665">
      <c r="A7665" s="21"/>
      <c r="B7665" s="21" t="s">
        <v>13766</v>
      </c>
      <c r="D7665" s="25">
        <v>0.0</v>
      </c>
      <c r="E7665" s="27"/>
      <c r="F7665" s="25">
        <v>0.0</v>
      </c>
      <c r="G7665" s="27"/>
    </row>
    <row r="7666">
      <c r="A7666" s="21"/>
      <c r="B7666" s="21" t="s">
        <v>13767</v>
      </c>
      <c r="D7666" s="25">
        <v>0.0</v>
      </c>
      <c r="E7666" s="27"/>
      <c r="F7666" s="25">
        <v>0.0</v>
      </c>
      <c r="G7666" s="27"/>
    </row>
    <row r="7667">
      <c r="A7667" s="21"/>
      <c r="B7667" s="21" t="s">
        <v>13768</v>
      </c>
      <c r="D7667" s="25">
        <v>0.0</v>
      </c>
      <c r="E7667" s="27"/>
      <c r="F7667" s="25">
        <v>0.0</v>
      </c>
      <c r="G7667" s="27"/>
    </row>
    <row r="7668">
      <c r="A7668" s="21"/>
      <c r="B7668" s="21" t="s">
        <v>13769</v>
      </c>
      <c r="D7668" s="25">
        <v>0.0</v>
      </c>
      <c r="E7668" s="27"/>
      <c r="F7668" s="25">
        <v>0.0</v>
      </c>
      <c r="G7668" s="27"/>
    </row>
    <row r="7669">
      <c r="A7669" s="21"/>
      <c r="B7669" s="21" t="s">
        <v>13770</v>
      </c>
      <c r="D7669" s="25">
        <v>0.0</v>
      </c>
      <c r="E7669" s="27"/>
      <c r="F7669" s="25">
        <v>0.0</v>
      </c>
      <c r="G7669" s="27"/>
    </row>
    <row r="7670">
      <c r="A7670" s="21"/>
      <c r="B7670" s="21" t="s">
        <v>13771</v>
      </c>
      <c r="D7670" s="25">
        <v>0.0</v>
      </c>
      <c r="E7670" s="27"/>
      <c r="F7670" s="25">
        <v>0.0</v>
      </c>
      <c r="G7670" s="27"/>
    </row>
    <row r="7671">
      <c r="A7671" s="21"/>
      <c r="B7671" s="21" t="s">
        <v>13772</v>
      </c>
      <c r="D7671" s="25">
        <v>0.0</v>
      </c>
      <c r="E7671" s="27"/>
      <c r="F7671" s="25">
        <v>0.0</v>
      </c>
      <c r="G7671" s="27"/>
    </row>
    <row r="7672">
      <c r="A7672" s="21"/>
      <c r="B7672" s="21" t="s">
        <v>13773</v>
      </c>
      <c r="D7672" s="25">
        <v>0.0</v>
      </c>
      <c r="E7672" s="27"/>
      <c r="F7672" s="25">
        <v>0.0</v>
      </c>
      <c r="G7672" s="27"/>
    </row>
    <row r="7673">
      <c r="A7673" s="21"/>
      <c r="B7673" s="21" t="s">
        <v>13774</v>
      </c>
      <c r="D7673" s="25">
        <v>0.0</v>
      </c>
      <c r="E7673" s="27"/>
      <c r="F7673" s="25">
        <v>0.0</v>
      </c>
      <c r="G7673" s="27"/>
    </row>
    <row r="7674">
      <c r="A7674" s="21"/>
      <c r="B7674" s="21" t="s">
        <v>13775</v>
      </c>
      <c r="D7674" s="25">
        <v>0.0</v>
      </c>
      <c r="E7674" s="27"/>
      <c r="F7674" s="25">
        <v>0.0</v>
      </c>
      <c r="G7674" s="27"/>
    </row>
    <row r="7675">
      <c r="A7675" s="21"/>
      <c r="B7675" s="21" t="s">
        <v>13776</v>
      </c>
      <c r="D7675" s="25">
        <v>0.0</v>
      </c>
      <c r="E7675" s="27"/>
      <c r="F7675" s="25">
        <v>0.0</v>
      </c>
      <c r="G7675" s="27"/>
    </row>
    <row r="7676">
      <c r="A7676" s="21"/>
      <c r="B7676" s="21" t="s">
        <v>13777</v>
      </c>
      <c r="D7676" s="25">
        <v>0.0</v>
      </c>
      <c r="E7676" s="27"/>
      <c r="F7676" s="25">
        <v>0.0</v>
      </c>
      <c r="G7676" s="27"/>
    </row>
    <row r="7677">
      <c r="A7677" s="21"/>
      <c r="B7677" s="21" t="s">
        <v>13778</v>
      </c>
      <c r="D7677" s="25">
        <v>0.0</v>
      </c>
      <c r="E7677" s="27"/>
      <c r="F7677" s="25">
        <v>0.0</v>
      </c>
      <c r="G7677" s="27"/>
    </row>
    <row r="7678">
      <c r="A7678" s="21"/>
      <c r="B7678" s="21" t="s">
        <v>13779</v>
      </c>
      <c r="D7678" s="25">
        <v>0.0</v>
      </c>
      <c r="E7678" s="27"/>
      <c r="F7678" s="25">
        <v>0.0</v>
      </c>
      <c r="G7678" s="27"/>
    </row>
    <row r="7679">
      <c r="A7679" s="21"/>
      <c r="B7679" s="21" t="s">
        <v>13780</v>
      </c>
      <c r="D7679" s="25">
        <v>0.0</v>
      </c>
      <c r="E7679" s="27"/>
      <c r="F7679" s="25">
        <v>0.0</v>
      </c>
      <c r="G7679" s="27"/>
    </row>
    <row r="7680">
      <c r="A7680" s="21"/>
      <c r="B7680" s="21" t="s">
        <v>13781</v>
      </c>
      <c r="D7680" s="25">
        <v>0.0</v>
      </c>
      <c r="E7680" s="27"/>
      <c r="F7680" s="25">
        <v>0.0</v>
      </c>
      <c r="G7680" s="27"/>
    </row>
    <row r="7681">
      <c r="A7681" s="21"/>
      <c r="B7681" s="21" t="s">
        <v>13782</v>
      </c>
      <c r="D7681" s="25">
        <v>0.0</v>
      </c>
      <c r="E7681" s="27"/>
      <c r="F7681" s="25">
        <v>0.0</v>
      </c>
      <c r="G7681" s="27"/>
    </row>
    <row r="7682">
      <c r="A7682" s="21"/>
      <c r="B7682" s="21" t="s">
        <v>13783</v>
      </c>
      <c r="D7682" s="25">
        <v>0.0</v>
      </c>
      <c r="E7682" s="27"/>
      <c r="F7682" s="25">
        <v>0.0</v>
      </c>
      <c r="G7682" s="27"/>
    </row>
    <row r="7683">
      <c r="A7683" s="21"/>
      <c r="B7683" s="21" t="s">
        <v>13784</v>
      </c>
      <c r="D7683" s="25">
        <v>0.0</v>
      </c>
      <c r="E7683" s="27"/>
      <c r="F7683" s="25">
        <v>0.0</v>
      </c>
      <c r="G7683" s="27"/>
    </row>
    <row r="7684">
      <c r="A7684" s="21"/>
      <c r="B7684" s="21" t="s">
        <v>13785</v>
      </c>
      <c r="D7684" s="25">
        <v>0.0</v>
      </c>
      <c r="E7684" s="27"/>
      <c r="F7684" s="25">
        <v>0.0</v>
      </c>
      <c r="G7684" s="27"/>
    </row>
    <row r="7685">
      <c r="A7685" s="21"/>
      <c r="B7685" s="21" t="s">
        <v>13786</v>
      </c>
      <c r="D7685" s="25">
        <v>0.0</v>
      </c>
      <c r="E7685" s="27"/>
      <c r="F7685" s="25">
        <v>0.0</v>
      </c>
      <c r="G7685" s="27"/>
    </row>
    <row r="7686">
      <c r="A7686" s="21"/>
      <c r="B7686" s="21" t="s">
        <v>13787</v>
      </c>
      <c r="D7686" s="25">
        <v>0.0</v>
      </c>
      <c r="E7686" s="27"/>
      <c r="F7686" s="25">
        <v>0.0</v>
      </c>
      <c r="G7686" s="27"/>
    </row>
    <row r="7687">
      <c r="A7687" s="21"/>
      <c r="B7687" s="21" t="s">
        <v>13788</v>
      </c>
      <c r="D7687" s="25">
        <v>0.0</v>
      </c>
      <c r="E7687" s="27"/>
      <c r="F7687" s="25">
        <v>0.0</v>
      </c>
      <c r="G7687" s="27"/>
    </row>
    <row r="7688">
      <c r="A7688" s="21"/>
      <c r="B7688" s="21" t="s">
        <v>13789</v>
      </c>
      <c r="D7688" s="25">
        <v>0.0</v>
      </c>
      <c r="E7688" s="27"/>
      <c r="F7688" s="25">
        <v>0.0</v>
      </c>
      <c r="G7688" s="27"/>
    </row>
    <row r="7689">
      <c r="A7689" s="21"/>
      <c r="B7689" s="21" t="s">
        <v>13790</v>
      </c>
      <c r="D7689" s="25">
        <v>0.0</v>
      </c>
      <c r="E7689" s="27"/>
      <c r="F7689" s="25">
        <v>0.0</v>
      </c>
      <c r="G7689" s="27"/>
    </row>
    <row r="7690">
      <c r="A7690" s="21"/>
      <c r="B7690" s="21" t="s">
        <v>13791</v>
      </c>
      <c r="D7690" s="25">
        <v>0.0</v>
      </c>
      <c r="E7690" s="27"/>
      <c r="F7690" s="25">
        <v>0.0</v>
      </c>
      <c r="G7690" s="27"/>
    </row>
    <row r="7691">
      <c r="A7691" s="21"/>
      <c r="B7691" s="21" t="s">
        <v>13792</v>
      </c>
      <c r="D7691" s="25">
        <v>0.0</v>
      </c>
      <c r="E7691" s="27"/>
      <c r="F7691" s="25">
        <v>0.0</v>
      </c>
      <c r="G7691" s="27"/>
    </row>
    <row r="7692">
      <c r="A7692" s="21"/>
      <c r="B7692" s="21" t="s">
        <v>13793</v>
      </c>
      <c r="D7692" s="25">
        <v>0.0</v>
      </c>
      <c r="E7692" s="27"/>
      <c r="F7692" s="25">
        <v>0.0</v>
      </c>
      <c r="G7692" s="27"/>
    </row>
    <row r="7693">
      <c r="A7693" s="21"/>
      <c r="B7693" s="21" t="s">
        <v>13794</v>
      </c>
      <c r="D7693" s="25">
        <v>0.0</v>
      </c>
      <c r="E7693" s="27"/>
      <c r="F7693" s="25">
        <v>0.0</v>
      </c>
      <c r="G7693" s="27"/>
    </row>
    <row r="7694">
      <c r="A7694" s="21"/>
      <c r="B7694" s="21" t="s">
        <v>13795</v>
      </c>
      <c r="D7694" s="25">
        <v>0.0</v>
      </c>
      <c r="E7694" s="27"/>
      <c r="F7694" s="25">
        <v>0.0</v>
      </c>
      <c r="G7694" s="27"/>
    </row>
    <row r="7695">
      <c r="A7695" s="21"/>
      <c r="B7695" s="21" t="s">
        <v>13796</v>
      </c>
      <c r="D7695" s="25">
        <v>0.0</v>
      </c>
      <c r="E7695" s="27"/>
      <c r="F7695" s="25">
        <v>0.0</v>
      </c>
      <c r="G7695" s="27"/>
    </row>
    <row r="7696">
      <c r="A7696" s="21"/>
      <c r="B7696" s="21" t="s">
        <v>13797</v>
      </c>
      <c r="D7696" s="25">
        <v>0.0</v>
      </c>
      <c r="E7696" s="27"/>
      <c r="F7696" s="25">
        <v>0.0</v>
      </c>
      <c r="G7696" s="27"/>
    </row>
    <row r="7697">
      <c r="A7697" s="21"/>
      <c r="B7697" s="21" t="s">
        <v>13798</v>
      </c>
      <c r="D7697" s="25">
        <v>0.0</v>
      </c>
      <c r="E7697" s="27"/>
      <c r="F7697" s="25">
        <v>0.0</v>
      </c>
      <c r="G7697" s="27"/>
    </row>
    <row r="7698">
      <c r="A7698" s="21"/>
      <c r="B7698" s="21" t="s">
        <v>13799</v>
      </c>
      <c r="D7698" s="25">
        <v>0.0</v>
      </c>
      <c r="E7698" s="27"/>
      <c r="F7698" s="25">
        <v>0.0</v>
      </c>
      <c r="G7698" s="27"/>
    </row>
    <row r="7699">
      <c r="A7699" s="21"/>
      <c r="B7699" s="21" t="s">
        <v>13800</v>
      </c>
      <c r="D7699" s="25">
        <v>0.0</v>
      </c>
      <c r="E7699" s="27"/>
      <c r="F7699" s="25">
        <v>0.0</v>
      </c>
      <c r="G7699" s="27"/>
    </row>
    <row r="7700">
      <c r="A7700" s="21"/>
      <c r="B7700" s="21" t="s">
        <v>13801</v>
      </c>
      <c r="D7700" s="25">
        <v>0.0</v>
      </c>
      <c r="E7700" s="27"/>
      <c r="F7700" s="25">
        <v>0.0</v>
      </c>
      <c r="G7700" s="27"/>
    </row>
    <row r="7701">
      <c r="A7701" s="21"/>
      <c r="B7701" s="21" t="s">
        <v>13802</v>
      </c>
      <c r="D7701" s="25">
        <v>0.0</v>
      </c>
      <c r="E7701" s="27"/>
      <c r="F7701" s="25">
        <v>0.0</v>
      </c>
      <c r="G7701" s="27"/>
    </row>
    <row r="7702">
      <c r="A7702" s="21"/>
      <c r="B7702" s="21" t="s">
        <v>13803</v>
      </c>
      <c r="D7702" s="25">
        <v>0.0</v>
      </c>
      <c r="E7702" s="27"/>
      <c r="F7702" s="25">
        <v>0.0</v>
      </c>
      <c r="G7702" s="27"/>
    </row>
    <row r="7703">
      <c r="A7703" s="21"/>
      <c r="B7703" s="21" t="s">
        <v>13804</v>
      </c>
      <c r="D7703" s="25">
        <v>0.0</v>
      </c>
      <c r="E7703" s="27"/>
      <c r="F7703" s="25">
        <v>0.0</v>
      </c>
      <c r="G7703" s="27"/>
    </row>
    <row r="7704">
      <c r="A7704" s="21"/>
      <c r="B7704" s="21" t="s">
        <v>13805</v>
      </c>
      <c r="D7704" s="25">
        <v>0.0</v>
      </c>
      <c r="E7704" s="27"/>
      <c r="F7704" s="25">
        <v>0.0</v>
      </c>
      <c r="G7704" s="27"/>
    </row>
    <row r="7705">
      <c r="A7705" s="21"/>
      <c r="B7705" s="21" t="s">
        <v>13806</v>
      </c>
      <c r="D7705" s="25">
        <v>0.0</v>
      </c>
      <c r="E7705" s="27"/>
      <c r="F7705" s="25">
        <v>3.2</v>
      </c>
      <c r="G7705" s="27"/>
    </row>
    <row r="7706">
      <c r="A7706" s="21"/>
      <c r="B7706" s="21" t="s">
        <v>13807</v>
      </c>
      <c r="D7706" s="25">
        <v>0.0</v>
      </c>
      <c r="E7706" s="27"/>
      <c r="F7706" s="25">
        <v>0.0</v>
      </c>
      <c r="G7706" s="27"/>
    </row>
    <row r="7707">
      <c r="A7707" s="21"/>
      <c r="B7707" s="21" t="s">
        <v>13808</v>
      </c>
      <c r="D7707" s="25">
        <v>0.0</v>
      </c>
      <c r="E7707" s="27"/>
      <c r="F7707" s="25">
        <v>0.0</v>
      </c>
      <c r="G7707" s="27"/>
    </row>
    <row r="7708">
      <c r="A7708" s="21"/>
      <c r="B7708" s="21" t="s">
        <v>13809</v>
      </c>
      <c r="D7708" s="25">
        <v>0.0</v>
      </c>
      <c r="E7708" s="27"/>
      <c r="F7708" s="25">
        <v>0.0</v>
      </c>
      <c r="G7708" s="27"/>
    </row>
    <row r="7709">
      <c r="A7709" s="21"/>
      <c r="B7709" s="21" t="s">
        <v>13810</v>
      </c>
      <c r="D7709" s="25">
        <v>0.0</v>
      </c>
      <c r="E7709" s="27"/>
      <c r="F7709" s="25">
        <v>0.0</v>
      </c>
      <c r="G7709" s="27"/>
    </row>
    <row r="7710">
      <c r="A7710" s="21"/>
      <c r="B7710" s="21" t="s">
        <v>13811</v>
      </c>
      <c r="D7710" s="25">
        <v>0.0</v>
      </c>
      <c r="E7710" s="27"/>
      <c r="F7710" s="25">
        <v>0.0</v>
      </c>
      <c r="G7710" s="27"/>
    </row>
    <row r="7711">
      <c r="A7711" s="21"/>
      <c r="B7711" s="21" t="s">
        <v>13812</v>
      </c>
      <c r="D7711" s="25">
        <v>0.0</v>
      </c>
      <c r="E7711" s="27"/>
      <c r="F7711" s="25">
        <v>0.0</v>
      </c>
      <c r="G7711" s="27"/>
    </row>
    <row r="7712">
      <c r="A7712" s="21"/>
      <c r="B7712" s="21" t="s">
        <v>13813</v>
      </c>
      <c r="D7712" s="25">
        <v>0.0</v>
      </c>
      <c r="E7712" s="27"/>
      <c r="F7712" s="25">
        <v>0.0</v>
      </c>
      <c r="G7712" s="27"/>
    </row>
    <row r="7713">
      <c r="A7713" s="21"/>
      <c r="B7713" s="21" t="s">
        <v>13814</v>
      </c>
      <c r="D7713" s="25">
        <v>0.0</v>
      </c>
      <c r="E7713" s="27"/>
      <c r="F7713" s="25">
        <v>0.0</v>
      </c>
      <c r="G7713" s="27"/>
    </row>
    <row r="7714">
      <c r="A7714" s="21"/>
      <c r="B7714" s="21" t="s">
        <v>13815</v>
      </c>
      <c r="D7714" s="25">
        <v>0.0</v>
      </c>
      <c r="E7714" s="27"/>
      <c r="F7714" s="25">
        <v>0.0</v>
      </c>
      <c r="G7714" s="27"/>
    </row>
    <row r="7715">
      <c r="A7715" s="21"/>
      <c r="B7715" s="21" t="s">
        <v>13816</v>
      </c>
      <c r="D7715" s="25">
        <v>0.0</v>
      </c>
      <c r="E7715" s="27"/>
      <c r="F7715" s="25">
        <v>0.0</v>
      </c>
      <c r="G7715" s="27"/>
    </row>
    <row r="7716">
      <c r="A7716" s="21"/>
      <c r="B7716" s="21" t="s">
        <v>13817</v>
      </c>
      <c r="D7716" s="25">
        <v>0.0</v>
      </c>
      <c r="E7716" s="27"/>
      <c r="F7716" s="25">
        <v>0.0</v>
      </c>
      <c r="G7716" s="27"/>
    </row>
    <row r="7717">
      <c r="A7717" s="21"/>
      <c r="B7717" s="21" t="s">
        <v>13818</v>
      </c>
      <c r="D7717" s="25">
        <v>0.0</v>
      </c>
      <c r="E7717" s="27"/>
      <c r="F7717" s="25">
        <v>0.0</v>
      </c>
      <c r="G7717" s="27"/>
    </row>
    <row r="7718">
      <c r="A7718" s="21"/>
      <c r="B7718" s="21" t="s">
        <v>13819</v>
      </c>
      <c r="D7718" s="25">
        <v>0.0</v>
      </c>
      <c r="E7718" s="27"/>
      <c r="F7718" s="25">
        <v>0.0</v>
      </c>
      <c r="G7718" s="27"/>
    </row>
    <row r="7719">
      <c r="A7719" s="21"/>
      <c r="B7719" s="21" t="s">
        <v>13820</v>
      </c>
      <c r="D7719" s="25">
        <v>0.0</v>
      </c>
      <c r="E7719" s="27"/>
      <c r="F7719" s="25">
        <v>0.0</v>
      </c>
      <c r="G7719" s="27"/>
    </row>
    <row r="7720">
      <c r="A7720" s="21"/>
      <c r="B7720" s="21" t="s">
        <v>13821</v>
      </c>
      <c r="D7720" s="25">
        <v>0.0</v>
      </c>
      <c r="E7720" s="27"/>
      <c r="F7720" s="25">
        <v>0.0</v>
      </c>
      <c r="G7720" s="27"/>
    </row>
    <row r="7721">
      <c r="A7721" s="21"/>
      <c r="B7721" s="21" t="s">
        <v>13822</v>
      </c>
      <c r="D7721" s="25">
        <v>0.0</v>
      </c>
      <c r="E7721" s="27"/>
      <c r="F7721" s="25">
        <v>0.0</v>
      </c>
      <c r="G7721" s="27"/>
    </row>
    <row r="7722">
      <c r="A7722" s="21"/>
      <c r="B7722" s="21" t="s">
        <v>13823</v>
      </c>
      <c r="D7722" s="25">
        <v>0.0</v>
      </c>
      <c r="E7722" s="27"/>
      <c r="F7722" s="25">
        <v>0.0</v>
      </c>
      <c r="G7722" s="27"/>
    </row>
    <row r="7723">
      <c r="A7723" s="21"/>
      <c r="B7723" s="21" t="s">
        <v>13824</v>
      </c>
      <c r="D7723" s="25">
        <v>0.0</v>
      </c>
      <c r="E7723" s="27"/>
      <c r="F7723" s="25">
        <v>0.0</v>
      </c>
      <c r="G7723" s="27"/>
    </row>
    <row r="7724">
      <c r="A7724" s="21"/>
      <c r="B7724" s="21" t="s">
        <v>13825</v>
      </c>
      <c r="D7724" s="25">
        <v>0.0</v>
      </c>
      <c r="E7724" s="27"/>
      <c r="F7724" s="25">
        <v>0.0</v>
      </c>
      <c r="G7724" s="27"/>
    </row>
    <row r="7725">
      <c r="A7725" s="21"/>
      <c r="B7725" s="21" t="s">
        <v>13826</v>
      </c>
      <c r="D7725" s="25">
        <v>0.0</v>
      </c>
      <c r="E7725" s="27"/>
      <c r="F7725" s="25">
        <v>0.0</v>
      </c>
      <c r="G7725" s="27"/>
    </row>
    <row r="7726">
      <c r="A7726" s="21"/>
      <c r="B7726" s="21" t="s">
        <v>13827</v>
      </c>
      <c r="D7726" s="25">
        <v>0.0</v>
      </c>
      <c r="E7726" s="27"/>
      <c r="F7726" s="25">
        <v>0.0</v>
      </c>
      <c r="G7726" s="27"/>
    </row>
    <row r="7727">
      <c r="A7727" s="21"/>
      <c r="B7727" s="21" t="s">
        <v>13828</v>
      </c>
      <c r="D7727" s="25">
        <v>0.0</v>
      </c>
      <c r="E7727" s="27"/>
      <c r="F7727" s="25">
        <v>0.0</v>
      </c>
      <c r="G7727" s="27"/>
    </row>
    <row r="7728">
      <c r="A7728" s="21"/>
      <c r="B7728" s="21" t="s">
        <v>13829</v>
      </c>
      <c r="D7728" s="25">
        <v>0.0</v>
      </c>
      <c r="E7728" s="27"/>
      <c r="F7728" s="25">
        <v>0.0</v>
      </c>
      <c r="G7728" s="27"/>
    </row>
    <row r="7729">
      <c r="A7729" s="21"/>
      <c r="B7729" s="21" t="s">
        <v>13830</v>
      </c>
      <c r="D7729" s="25">
        <v>0.0</v>
      </c>
      <c r="E7729" s="27"/>
      <c r="F7729" s="25">
        <v>0.0</v>
      </c>
      <c r="G7729" s="27"/>
    </row>
    <row r="7730">
      <c r="A7730" s="21"/>
      <c r="B7730" s="21" t="s">
        <v>13831</v>
      </c>
      <c r="D7730" s="25">
        <v>0.0</v>
      </c>
      <c r="E7730" s="27"/>
      <c r="F7730" s="25">
        <v>0.0</v>
      </c>
      <c r="G7730" s="27"/>
    </row>
    <row r="7731">
      <c r="A7731" s="21"/>
      <c r="B7731" s="21" t="s">
        <v>13832</v>
      </c>
      <c r="D7731" s="25">
        <v>0.0</v>
      </c>
      <c r="E7731" s="27"/>
      <c r="F7731" s="25">
        <v>0.0</v>
      </c>
      <c r="G7731" s="27"/>
    </row>
    <row r="7732">
      <c r="A7732" s="21"/>
      <c r="B7732" s="21" t="s">
        <v>13833</v>
      </c>
      <c r="D7732" s="25">
        <v>0.0</v>
      </c>
      <c r="E7732" s="27"/>
      <c r="F7732" s="25">
        <v>0.0</v>
      </c>
      <c r="G7732" s="27"/>
    </row>
    <row r="7733">
      <c r="A7733" s="21"/>
      <c r="B7733" s="21" t="s">
        <v>13834</v>
      </c>
      <c r="D7733" s="25">
        <v>0.0</v>
      </c>
      <c r="E7733" s="27"/>
      <c r="F7733" s="25">
        <v>0.0</v>
      </c>
      <c r="G7733" s="27"/>
    </row>
    <row r="7734">
      <c r="A7734" s="21"/>
      <c r="B7734" s="21" t="s">
        <v>13835</v>
      </c>
      <c r="D7734" s="25">
        <v>0.0</v>
      </c>
      <c r="E7734" s="27"/>
      <c r="F7734" s="25">
        <v>0.0</v>
      </c>
      <c r="G7734" s="27"/>
    </row>
    <row r="7735">
      <c r="A7735" s="21"/>
      <c r="B7735" s="21" t="s">
        <v>13836</v>
      </c>
      <c r="D7735" s="25">
        <v>0.0</v>
      </c>
      <c r="E7735" s="27"/>
      <c r="F7735" s="25">
        <v>0.0</v>
      </c>
      <c r="G7735" s="27"/>
    </row>
    <row r="7736">
      <c r="A7736" s="21"/>
      <c r="B7736" s="21" t="s">
        <v>13837</v>
      </c>
      <c r="D7736" s="25">
        <v>0.0</v>
      </c>
      <c r="E7736" s="27"/>
      <c r="F7736" s="25">
        <v>0.0</v>
      </c>
      <c r="G7736" s="27"/>
    </row>
    <row r="7737">
      <c r="A7737" s="21"/>
      <c r="B7737" s="21" t="s">
        <v>13838</v>
      </c>
      <c r="D7737" s="25">
        <v>0.0</v>
      </c>
      <c r="E7737" s="27"/>
      <c r="F7737" s="25">
        <v>0.0</v>
      </c>
      <c r="G7737" s="27"/>
    </row>
    <row r="7738">
      <c r="A7738" s="21"/>
      <c r="B7738" s="21" t="s">
        <v>13839</v>
      </c>
      <c r="D7738" s="25">
        <v>0.0</v>
      </c>
      <c r="E7738" s="27"/>
      <c r="F7738" s="25">
        <v>0.0</v>
      </c>
      <c r="G7738" s="27"/>
    </row>
    <row r="7739">
      <c r="A7739" s="21"/>
      <c r="B7739" s="21" t="s">
        <v>13840</v>
      </c>
      <c r="D7739" s="25">
        <v>0.0</v>
      </c>
      <c r="E7739" s="27"/>
      <c r="F7739" s="25">
        <v>0.0</v>
      </c>
      <c r="G7739" s="27"/>
    </row>
    <row r="7740">
      <c r="A7740" s="21"/>
      <c r="B7740" s="21" t="s">
        <v>13841</v>
      </c>
      <c r="D7740" s="25">
        <v>0.0</v>
      </c>
      <c r="E7740" s="27"/>
      <c r="F7740" s="25">
        <v>0.0</v>
      </c>
      <c r="G7740" s="27"/>
    </row>
    <row r="7741">
      <c r="A7741" s="21"/>
      <c r="B7741" s="21" t="s">
        <v>13842</v>
      </c>
      <c r="D7741" s="25">
        <v>0.0</v>
      </c>
      <c r="E7741" s="27"/>
      <c r="F7741" s="25">
        <v>0.0</v>
      </c>
      <c r="G7741" s="27"/>
    </row>
    <row r="7742">
      <c r="A7742" s="21"/>
      <c r="B7742" s="21" t="s">
        <v>13843</v>
      </c>
      <c r="D7742" s="25">
        <v>0.0</v>
      </c>
      <c r="E7742" s="27"/>
      <c r="F7742" s="25">
        <v>0.0</v>
      </c>
      <c r="G7742" s="27"/>
    </row>
    <row r="7743">
      <c r="A7743" s="21"/>
      <c r="B7743" s="21" t="s">
        <v>13844</v>
      </c>
      <c r="D7743" s="25">
        <v>0.0</v>
      </c>
      <c r="E7743" s="27"/>
      <c r="F7743" s="25">
        <v>0.0</v>
      </c>
      <c r="G7743" s="27"/>
    </row>
    <row r="7744">
      <c r="A7744" s="21"/>
      <c r="B7744" s="21" t="s">
        <v>13845</v>
      </c>
      <c r="D7744" s="25">
        <v>0.0</v>
      </c>
      <c r="E7744" s="27"/>
      <c r="F7744" s="25">
        <v>0.0</v>
      </c>
      <c r="G7744" s="27"/>
    </row>
    <row r="7745">
      <c r="A7745" s="21"/>
      <c r="B7745" s="21" t="s">
        <v>13846</v>
      </c>
      <c r="D7745" s="25">
        <v>0.0</v>
      </c>
      <c r="E7745" s="27"/>
      <c r="F7745" s="25">
        <v>0.0</v>
      </c>
      <c r="G7745" s="27"/>
    </row>
    <row r="7746">
      <c r="A7746" s="21"/>
      <c r="B7746" s="21" t="s">
        <v>13847</v>
      </c>
      <c r="D7746" s="25">
        <v>0.0</v>
      </c>
      <c r="E7746" s="27"/>
      <c r="F7746" s="25">
        <v>0.0</v>
      </c>
      <c r="G7746" s="27"/>
    </row>
    <row r="7747">
      <c r="A7747" s="21"/>
      <c r="B7747" s="21" t="s">
        <v>13848</v>
      </c>
      <c r="D7747" s="25">
        <v>0.0</v>
      </c>
      <c r="E7747" s="27"/>
      <c r="F7747" s="25">
        <v>0.0</v>
      </c>
      <c r="G7747" s="27"/>
    </row>
    <row r="7748">
      <c r="A7748" s="21"/>
      <c r="B7748" s="21" t="s">
        <v>13849</v>
      </c>
      <c r="D7748" s="25">
        <v>0.0</v>
      </c>
      <c r="E7748" s="27"/>
      <c r="F7748" s="25">
        <v>0.0</v>
      </c>
      <c r="G7748" s="27"/>
    </row>
    <row r="7749">
      <c r="A7749" s="21"/>
      <c r="B7749" s="21" t="s">
        <v>13850</v>
      </c>
      <c r="D7749" s="25">
        <v>0.0</v>
      </c>
      <c r="E7749" s="27"/>
      <c r="F7749" s="25">
        <v>0.0</v>
      </c>
      <c r="G7749" s="27"/>
    </row>
    <row r="7750">
      <c r="A7750" s="21"/>
      <c r="B7750" s="21" t="s">
        <v>13851</v>
      </c>
      <c r="D7750" s="25">
        <v>0.0</v>
      </c>
      <c r="E7750" s="27"/>
      <c r="F7750" s="25">
        <v>0.0</v>
      </c>
      <c r="G7750" s="27"/>
    </row>
    <row r="7751">
      <c r="A7751" s="21"/>
      <c r="B7751" s="21" t="s">
        <v>13852</v>
      </c>
      <c r="D7751" s="25">
        <v>0.0</v>
      </c>
      <c r="E7751" s="27"/>
      <c r="F7751" s="25">
        <v>0.0</v>
      </c>
      <c r="G7751" s="27"/>
    </row>
    <row r="7752">
      <c r="A7752" s="21"/>
      <c r="B7752" s="21" t="s">
        <v>13853</v>
      </c>
      <c r="D7752" s="25">
        <v>0.0</v>
      </c>
      <c r="E7752" s="27"/>
      <c r="F7752" s="25">
        <v>0.0</v>
      </c>
      <c r="G7752" s="27"/>
    </row>
    <row r="7753">
      <c r="A7753" s="21"/>
      <c r="B7753" s="21" t="s">
        <v>13854</v>
      </c>
      <c r="D7753" s="25">
        <v>0.0</v>
      </c>
      <c r="E7753" s="27"/>
      <c r="F7753" s="25">
        <v>0.0</v>
      </c>
      <c r="G7753" s="27"/>
    </row>
    <row r="7754">
      <c r="A7754" s="21"/>
      <c r="B7754" s="21" t="s">
        <v>13855</v>
      </c>
      <c r="D7754" s="25">
        <v>0.0</v>
      </c>
      <c r="E7754" s="27"/>
      <c r="F7754" s="25">
        <v>0.0</v>
      </c>
      <c r="G7754" s="27"/>
    </row>
    <row r="7755">
      <c r="A7755" s="21"/>
      <c r="B7755" s="21" t="s">
        <v>13856</v>
      </c>
      <c r="D7755" s="25">
        <v>0.0</v>
      </c>
      <c r="E7755" s="27"/>
      <c r="F7755" s="25">
        <v>0.0</v>
      </c>
      <c r="G7755" s="27"/>
    </row>
    <row r="7756">
      <c r="A7756" s="21"/>
      <c r="B7756" s="21" t="s">
        <v>13857</v>
      </c>
      <c r="D7756" s="25">
        <v>0.0</v>
      </c>
      <c r="E7756" s="27"/>
      <c r="F7756" s="25">
        <v>0.0</v>
      </c>
      <c r="G7756" s="27"/>
    </row>
    <row r="7757">
      <c r="A7757" s="21"/>
      <c r="B7757" s="21" t="s">
        <v>13858</v>
      </c>
      <c r="D7757" s="25">
        <v>0.0</v>
      </c>
      <c r="E7757" s="27"/>
      <c r="F7757" s="25">
        <v>0.0</v>
      </c>
      <c r="G7757" s="27"/>
    </row>
    <row r="7758">
      <c r="A7758" s="21"/>
      <c r="B7758" s="21" t="s">
        <v>13859</v>
      </c>
      <c r="D7758" s="25">
        <v>0.0</v>
      </c>
      <c r="E7758" s="27"/>
      <c r="F7758" s="25">
        <v>0.0</v>
      </c>
      <c r="G7758" s="27"/>
    </row>
    <row r="7759">
      <c r="A7759" s="21"/>
      <c r="B7759" s="21" t="s">
        <v>6072</v>
      </c>
      <c r="D7759" s="25">
        <v>0.0</v>
      </c>
      <c r="E7759" s="27"/>
      <c r="F7759" s="25">
        <v>0.0</v>
      </c>
      <c r="G7759" s="27"/>
    </row>
    <row r="7760">
      <c r="A7760" s="21"/>
      <c r="B7760" s="21" t="s">
        <v>13860</v>
      </c>
      <c r="D7760" s="25">
        <v>0.0</v>
      </c>
      <c r="E7760" s="27"/>
      <c r="F7760" s="25">
        <v>0.0</v>
      </c>
      <c r="G7760" s="27"/>
    </row>
    <row r="7761">
      <c r="A7761" s="21"/>
      <c r="B7761" s="21" t="s">
        <v>13861</v>
      </c>
      <c r="D7761" s="25">
        <v>0.0</v>
      </c>
      <c r="E7761" s="27"/>
      <c r="F7761" s="25">
        <v>0.0</v>
      </c>
      <c r="G7761" s="27"/>
    </row>
    <row r="7762">
      <c r="A7762" s="21"/>
      <c r="B7762" s="21" t="s">
        <v>13862</v>
      </c>
      <c r="D7762" s="25">
        <v>0.0</v>
      </c>
      <c r="E7762" s="27"/>
      <c r="F7762" s="25">
        <v>0.0</v>
      </c>
      <c r="G7762" s="27"/>
    </row>
    <row r="7763">
      <c r="A7763" s="21"/>
      <c r="B7763" s="21" t="s">
        <v>13863</v>
      </c>
      <c r="D7763" s="25">
        <v>0.0</v>
      </c>
      <c r="E7763" s="27"/>
      <c r="F7763" s="25">
        <v>0.0</v>
      </c>
      <c r="G7763" s="27"/>
    </row>
    <row r="7764">
      <c r="A7764" s="21"/>
      <c r="B7764" s="21" t="s">
        <v>13864</v>
      </c>
      <c r="D7764" s="25">
        <v>0.0</v>
      </c>
      <c r="E7764" s="27"/>
      <c r="F7764" s="25">
        <v>0.0</v>
      </c>
      <c r="G7764" s="27"/>
    </row>
    <row r="7765">
      <c r="A7765" s="21"/>
      <c r="B7765" s="21" t="s">
        <v>13865</v>
      </c>
      <c r="D7765" s="25">
        <v>0.0</v>
      </c>
      <c r="E7765" s="27"/>
      <c r="F7765" s="25">
        <v>0.0</v>
      </c>
      <c r="G7765" s="27"/>
    </row>
    <row r="7766">
      <c r="A7766" s="21"/>
      <c r="B7766" s="21" t="s">
        <v>13866</v>
      </c>
      <c r="D7766" s="25">
        <v>0.0</v>
      </c>
      <c r="E7766" s="27"/>
      <c r="F7766" s="25">
        <v>0.0</v>
      </c>
      <c r="G7766" s="27"/>
    </row>
    <row r="7767">
      <c r="A7767" s="21"/>
      <c r="B7767" s="21" t="s">
        <v>13867</v>
      </c>
      <c r="D7767" s="25">
        <v>0.0</v>
      </c>
      <c r="E7767" s="27"/>
      <c r="F7767" s="25">
        <v>0.0</v>
      </c>
      <c r="G7767" s="27"/>
    </row>
    <row r="7768">
      <c r="A7768" s="21"/>
      <c r="B7768" s="21" t="s">
        <v>13868</v>
      </c>
      <c r="D7768" s="25">
        <v>0.0</v>
      </c>
      <c r="E7768" s="27"/>
      <c r="F7768" s="25">
        <v>0.0</v>
      </c>
      <c r="G7768" s="27"/>
    </row>
  </sheetData>
  <autoFilter ref="$A$2:$G$7768"/>
  <mergeCells count="6934">
    <mergeCell ref="B33:C33"/>
    <mergeCell ref="B59:C59"/>
    <mergeCell ref="B102:C102"/>
    <mergeCell ref="B393:C393"/>
    <mergeCell ref="B440:C440"/>
    <mergeCell ref="B500:C500"/>
    <mergeCell ref="B502:C502"/>
    <mergeCell ref="B568:C568"/>
    <mergeCell ref="B610:C610"/>
    <mergeCell ref="B612:C612"/>
    <mergeCell ref="B624:C624"/>
    <mergeCell ref="B625:C625"/>
    <mergeCell ref="B633:C633"/>
    <mergeCell ref="B638:C638"/>
    <mergeCell ref="B639:C639"/>
    <mergeCell ref="B643:C643"/>
    <mergeCell ref="B648:C648"/>
    <mergeCell ref="B653:C653"/>
    <mergeCell ref="B656:C656"/>
    <mergeCell ref="B663:C663"/>
    <mergeCell ref="B665:C665"/>
    <mergeCell ref="B668:C668"/>
    <mergeCell ref="B686:C686"/>
    <mergeCell ref="B689:C689"/>
    <mergeCell ref="B694:C694"/>
    <mergeCell ref="B698:C698"/>
    <mergeCell ref="B700:C700"/>
    <mergeCell ref="B702:C702"/>
    <mergeCell ref="B703:C703"/>
    <mergeCell ref="B723:C723"/>
    <mergeCell ref="B726:C726"/>
    <mergeCell ref="B730:C730"/>
    <mergeCell ref="B731:C731"/>
    <mergeCell ref="B732:C732"/>
    <mergeCell ref="B733:C733"/>
    <mergeCell ref="B734:C734"/>
    <mergeCell ref="B735:C735"/>
    <mergeCell ref="B736:C736"/>
    <mergeCell ref="B737:C737"/>
    <mergeCell ref="B741:C741"/>
    <mergeCell ref="B744:C744"/>
    <mergeCell ref="B746:C746"/>
    <mergeCell ref="B747:C747"/>
    <mergeCell ref="B750:C750"/>
    <mergeCell ref="B751:C751"/>
    <mergeCell ref="B757:C757"/>
    <mergeCell ref="B765:C765"/>
    <mergeCell ref="B767:C767"/>
    <mergeCell ref="B768:C768"/>
    <mergeCell ref="B769:C769"/>
    <mergeCell ref="B772:C772"/>
    <mergeCell ref="B773:C773"/>
    <mergeCell ref="B774:C774"/>
    <mergeCell ref="B775:C775"/>
    <mergeCell ref="B776:C776"/>
    <mergeCell ref="B777:C777"/>
    <mergeCell ref="B778:C778"/>
    <mergeCell ref="B783:C783"/>
    <mergeCell ref="B785:C785"/>
    <mergeCell ref="B786:C786"/>
    <mergeCell ref="B787:C787"/>
    <mergeCell ref="B788:C788"/>
    <mergeCell ref="B789:C789"/>
    <mergeCell ref="B790:C790"/>
    <mergeCell ref="B792:C792"/>
    <mergeCell ref="B793:C793"/>
    <mergeCell ref="B794:C794"/>
    <mergeCell ref="B795:C795"/>
    <mergeCell ref="B796:C796"/>
    <mergeCell ref="B797:C797"/>
    <mergeCell ref="B803:C803"/>
    <mergeCell ref="B804:C804"/>
    <mergeCell ref="B805:C805"/>
    <mergeCell ref="B806:C806"/>
    <mergeCell ref="B807:C807"/>
    <mergeCell ref="B810:C810"/>
    <mergeCell ref="B812:C812"/>
    <mergeCell ref="B813:C813"/>
    <mergeCell ref="B818:C818"/>
    <mergeCell ref="B819:C819"/>
    <mergeCell ref="B824:C824"/>
    <mergeCell ref="B825:C825"/>
    <mergeCell ref="B826:C826"/>
    <mergeCell ref="B828:C828"/>
    <mergeCell ref="B831:C831"/>
    <mergeCell ref="B832:C832"/>
    <mergeCell ref="B833:C833"/>
    <mergeCell ref="B834:C834"/>
    <mergeCell ref="B835:C835"/>
    <mergeCell ref="B836:C836"/>
    <mergeCell ref="B837:C837"/>
    <mergeCell ref="B840:C840"/>
    <mergeCell ref="B841:C841"/>
    <mergeCell ref="B843:C843"/>
    <mergeCell ref="B844:C844"/>
    <mergeCell ref="B851:C851"/>
    <mergeCell ref="B853:C853"/>
    <mergeCell ref="B854:C854"/>
    <mergeCell ref="B861:C861"/>
    <mergeCell ref="B865:C865"/>
    <mergeCell ref="B866:C866"/>
    <mergeCell ref="B869:C869"/>
    <mergeCell ref="B870:C870"/>
    <mergeCell ref="B872:C872"/>
    <mergeCell ref="B874:C874"/>
    <mergeCell ref="B875:C875"/>
    <mergeCell ref="B876:C876"/>
    <mergeCell ref="B878:C878"/>
    <mergeCell ref="B879:C879"/>
    <mergeCell ref="B881:C881"/>
    <mergeCell ref="B883:C883"/>
    <mergeCell ref="B884:C884"/>
    <mergeCell ref="B885:C885"/>
    <mergeCell ref="B886:C886"/>
    <mergeCell ref="B887:C887"/>
    <mergeCell ref="B888:C888"/>
    <mergeCell ref="B889:C889"/>
    <mergeCell ref="B890:C890"/>
    <mergeCell ref="B891:C891"/>
    <mergeCell ref="B895:C895"/>
    <mergeCell ref="B896:C896"/>
    <mergeCell ref="B900:C900"/>
    <mergeCell ref="B903:C903"/>
    <mergeCell ref="B906:C906"/>
    <mergeCell ref="B907:C907"/>
    <mergeCell ref="B911:C911"/>
    <mergeCell ref="B912:C912"/>
    <mergeCell ref="B913:C913"/>
    <mergeCell ref="B914:C914"/>
    <mergeCell ref="B917:C917"/>
    <mergeCell ref="B918:C918"/>
    <mergeCell ref="B919:C919"/>
    <mergeCell ref="B920:C920"/>
    <mergeCell ref="B921:C921"/>
    <mergeCell ref="B922:C922"/>
    <mergeCell ref="B923:C923"/>
    <mergeCell ref="B924:C924"/>
    <mergeCell ref="B925:C925"/>
    <mergeCell ref="B926:C926"/>
    <mergeCell ref="B927:C927"/>
    <mergeCell ref="B928:C928"/>
    <mergeCell ref="B929:C929"/>
    <mergeCell ref="B930:C930"/>
    <mergeCell ref="B931:C931"/>
    <mergeCell ref="B932:C932"/>
    <mergeCell ref="B933:C933"/>
    <mergeCell ref="B934:C934"/>
    <mergeCell ref="B935:C935"/>
    <mergeCell ref="B936:C936"/>
    <mergeCell ref="B937:C937"/>
    <mergeCell ref="B938:C938"/>
    <mergeCell ref="B939:C939"/>
    <mergeCell ref="B940:C940"/>
    <mergeCell ref="B941:C941"/>
    <mergeCell ref="B942:C942"/>
    <mergeCell ref="B943:C943"/>
    <mergeCell ref="B944:C944"/>
    <mergeCell ref="B945:C945"/>
    <mergeCell ref="B946:C946"/>
    <mergeCell ref="B947:C947"/>
    <mergeCell ref="B948:C948"/>
    <mergeCell ref="B949:C949"/>
    <mergeCell ref="B951:C951"/>
    <mergeCell ref="B952:C952"/>
    <mergeCell ref="B953:C953"/>
    <mergeCell ref="B954:C954"/>
    <mergeCell ref="B955:C955"/>
    <mergeCell ref="B956:C956"/>
    <mergeCell ref="B957:C957"/>
    <mergeCell ref="B958:C958"/>
    <mergeCell ref="B959:C959"/>
    <mergeCell ref="B960:C960"/>
    <mergeCell ref="B961:C961"/>
    <mergeCell ref="B962:C962"/>
    <mergeCell ref="B963:C963"/>
    <mergeCell ref="B964:C964"/>
    <mergeCell ref="B965:C965"/>
    <mergeCell ref="B966:C966"/>
    <mergeCell ref="B967:C967"/>
    <mergeCell ref="B968:C968"/>
    <mergeCell ref="B969:C969"/>
    <mergeCell ref="B970:C970"/>
    <mergeCell ref="B971:C971"/>
    <mergeCell ref="B972:C972"/>
    <mergeCell ref="B973:C973"/>
    <mergeCell ref="B974:C974"/>
    <mergeCell ref="B975:C975"/>
    <mergeCell ref="B976:C976"/>
    <mergeCell ref="B977:C977"/>
    <mergeCell ref="B978:C978"/>
    <mergeCell ref="B979:C979"/>
    <mergeCell ref="B980:C980"/>
    <mergeCell ref="B981:C981"/>
    <mergeCell ref="B982:C982"/>
    <mergeCell ref="B983:C983"/>
    <mergeCell ref="B984:C984"/>
    <mergeCell ref="B985:C985"/>
    <mergeCell ref="B986:C986"/>
    <mergeCell ref="B987:C987"/>
    <mergeCell ref="B988:C988"/>
    <mergeCell ref="B989:C989"/>
    <mergeCell ref="B990:C990"/>
    <mergeCell ref="B991:C991"/>
    <mergeCell ref="B992:C992"/>
    <mergeCell ref="B993:C993"/>
    <mergeCell ref="B994:C994"/>
    <mergeCell ref="B995:C995"/>
    <mergeCell ref="B996:C996"/>
    <mergeCell ref="B997:C997"/>
    <mergeCell ref="B998:C998"/>
    <mergeCell ref="B999:C999"/>
    <mergeCell ref="B1000:C1000"/>
    <mergeCell ref="B1001:C1001"/>
    <mergeCell ref="B1002:C1002"/>
    <mergeCell ref="B1003:C1003"/>
    <mergeCell ref="B1004:C1004"/>
    <mergeCell ref="B1005:C1005"/>
    <mergeCell ref="B1006:C1006"/>
    <mergeCell ref="B1007:C1007"/>
    <mergeCell ref="B1008:C1008"/>
    <mergeCell ref="B1009:C1009"/>
    <mergeCell ref="B1010:C1010"/>
    <mergeCell ref="B1011:C1011"/>
    <mergeCell ref="B1012:C1012"/>
    <mergeCell ref="B1013:C1013"/>
    <mergeCell ref="B1014:C1014"/>
    <mergeCell ref="B1015:C1015"/>
    <mergeCell ref="B1016:C1016"/>
    <mergeCell ref="B1017:C1017"/>
    <mergeCell ref="B1018:C1018"/>
    <mergeCell ref="B1019:C1019"/>
    <mergeCell ref="B1020:C1020"/>
    <mergeCell ref="B1021:C1021"/>
    <mergeCell ref="B1022:C1022"/>
    <mergeCell ref="B1023:C1023"/>
    <mergeCell ref="B1024:C1024"/>
    <mergeCell ref="B1025:C1025"/>
    <mergeCell ref="B1026:C1026"/>
    <mergeCell ref="B1027:C1027"/>
    <mergeCell ref="B1028:C1028"/>
    <mergeCell ref="B1029:C1029"/>
    <mergeCell ref="B1030:C1030"/>
    <mergeCell ref="B1031:C1031"/>
    <mergeCell ref="B1032:C1032"/>
    <mergeCell ref="B1033:C1033"/>
    <mergeCell ref="B1034:C1034"/>
    <mergeCell ref="B1035:C1035"/>
    <mergeCell ref="B1036:C1036"/>
    <mergeCell ref="B1037:C1037"/>
    <mergeCell ref="B1038:C1038"/>
    <mergeCell ref="B1039:C1039"/>
    <mergeCell ref="B1040:C1040"/>
    <mergeCell ref="B1041:C1041"/>
    <mergeCell ref="B1042:C1042"/>
    <mergeCell ref="B1043:C1043"/>
    <mergeCell ref="B1044:C1044"/>
    <mergeCell ref="B1045:C1045"/>
    <mergeCell ref="B1046:C1046"/>
    <mergeCell ref="B1047:C1047"/>
    <mergeCell ref="B1048:C1048"/>
    <mergeCell ref="B1049:C1049"/>
    <mergeCell ref="B1050:C1050"/>
    <mergeCell ref="B1051:C1051"/>
    <mergeCell ref="B1052:C1052"/>
    <mergeCell ref="B1053:C1053"/>
    <mergeCell ref="B1054:C1054"/>
    <mergeCell ref="B1055:C1055"/>
    <mergeCell ref="B1056:C1056"/>
    <mergeCell ref="B1057:C1057"/>
    <mergeCell ref="B1058:C1058"/>
    <mergeCell ref="B1059:C1059"/>
    <mergeCell ref="B1060:C1060"/>
    <mergeCell ref="B1061:C1061"/>
    <mergeCell ref="B1062:C1062"/>
    <mergeCell ref="B1063:C1063"/>
    <mergeCell ref="B1064:C1064"/>
    <mergeCell ref="B1065:C1065"/>
    <mergeCell ref="B1066:C1066"/>
    <mergeCell ref="B1067:C1067"/>
    <mergeCell ref="B1068:C1068"/>
    <mergeCell ref="B1069:C1069"/>
    <mergeCell ref="B1070:C1070"/>
    <mergeCell ref="B1071:C1071"/>
    <mergeCell ref="B1072:C1072"/>
    <mergeCell ref="B1073:C1073"/>
    <mergeCell ref="B1074:C1074"/>
    <mergeCell ref="B1075:C1075"/>
    <mergeCell ref="B1076:C1076"/>
    <mergeCell ref="B1077:C1077"/>
    <mergeCell ref="B1078:C1078"/>
    <mergeCell ref="B1079:C1079"/>
    <mergeCell ref="B1080:C1080"/>
    <mergeCell ref="B1081:C1081"/>
    <mergeCell ref="B1082:C1082"/>
    <mergeCell ref="B1083:C1083"/>
    <mergeCell ref="B1084:C1084"/>
    <mergeCell ref="B1085:C1085"/>
    <mergeCell ref="B1086:C1086"/>
    <mergeCell ref="B1087:C1087"/>
    <mergeCell ref="B1088:C1088"/>
    <mergeCell ref="B1089:C1089"/>
    <mergeCell ref="B1090:C1090"/>
    <mergeCell ref="B1091:C1091"/>
    <mergeCell ref="B1092:C1092"/>
    <mergeCell ref="B1093:C1093"/>
    <mergeCell ref="B1094:C1094"/>
    <mergeCell ref="B1095:C1095"/>
    <mergeCell ref="B1096:C1096"/>
    <mergeCell ref="B1097:C1097"/>
    <mergeCell ref="B1098:C1098"/>
    <mergeCell ref="B1099:C1099"/>
    <mergeCell ref="B1100:C1100"/>
    <mergeCell ref="B1101:C1101"/>
    <mergeCell ref="B1102:C1102"/>
    <mergeCell ref="B1103:C1103"/>
    <mergeCell ref="B1104:C1104"/>
    <mergeCell ref="B1105:C1105"/>
    <mergeCell ref="B1106:C1106"/>
    <mergeCell ref="B1107:C1107"/>
    <mergeCell ref="B1108:C1108"/>
    <mergeCell ref="B1109:C1109"/>
    <mergeCell ref="B1110:C1110"/>
    <mergeCell ref="B1111:C1111"/>
    <mergeCell ref="B1112:C1112"/>
    <mergeCell ref="B1113:C1113"/>
    <mergeCell ref="B1114:C1114"/>
    <mergeCell ref="B1115:C1115"/>
    <mergeCell ref="B1116:C1116"/>
    <mergeCell ref="B1117:C1117"/>
    <mergeCell ref="B1118:C1118"/>
    <mergeCell ref="B1119:C1119"/>
    <mergeCell ref="B1120:C1120"/>
    <mergeCell ref="B1121:C1121"/>
    <mergeCell ref="B1122:C1122"/>
    <mergeCell ref="B1123:C1123"/>
    <mergeCell ref="B1124:C1124"/>
    <mergeCell ref="B1125:C1125"/>
    <mergeCell ref="B1126:C1126"/>
    <mergeCell ref="B1127:C1127"/>
    <mergeCell ref="B1128:C1128"/>
    <mergeCell ref="B1129:C1129"/>
    <mergeCell ref="B1130:C1130"/>
    <mergeCell ref="B1131:C1131"/>
    <mergeCell ref="B1132:C1132"/>
    <mergeCell ref="B1133:C1133"/>
    <mergeCell ref="B1134:C1134"/>
    <mergeCell ref="B1135:C1135"/>
    <mergeCell ref="B1136:C1136"/>
    <mergeCell ref="B1137:C1137"/>
    <mergeCell ref="B1138:C1138"/>
    <mergeCell ref="B1139:C1139"/>
    <mergeCell ref="B1140:C1140"/>
    <mergeCell ref="B1141:C1141"/>
    <mergeCell ref="B1142:C1142"/>
    <mergeCell ref="B1143:C1143"/>
    <mergeCell ref="B1144:C1144"/>
    <mergeCell ref="B1145:C1145"/>
    <mergeCell ref="B1146:C1146"/>
    <mergeCell ref="B1147:C1147"/>
    <mergeCell ref="B1148:C1148"/>
    <mergeCell ref="B1149:C1149"/>
    <mergeCell ref="B1150:C1150"/>
    <mergeCell ref="B1151:C1151"/>
    <mergeCell ref="B1152:C1152"/>
    <mergeCell ref="B1153:C1153"/>
    <mergeCell ref="B1154:C1154"/>
    <mergeCell ref="B1155:C1155"/>
    <mergeCell ref="B1156:C1156"/>
    <mergeCell ref="B1157:C1157"/>
    <mergeCell ref="B1158:C1158"/>
    <mergeCell ref="B1159:C1159"/>
    <mergeCell ref="B1160:C1160"/>
    <mergeCell ref="B1161:C1161"/>
    <mergeCell ref="B1162:C1162"/>
    <mergeCell ref="B1163:C1163"/>
    <mergeCell ref="B1164:C1164"/>
    <mergeCell ref="B1165:C1165"/>
    <mergeCell ref="B1166:C1166"/>
    <mergeCell ref="B1167:C1167"/>
    <mergeCell ref="B1168:C1168"/>
    <mergeCell ref="B1169:C1169"/>
    <mergeCell ref="B1170:C1170"/>
    <mergeCell ref="B1171:C1171"/>
    <mergeCell ref="B1172:C1172"/>
    <mergeCell ref="B1173:C1173"/>
    <mergeCell ref="B1174:C1174"/>
    <mergeCell ref="B1175:C1175"/>
    <mergeCell ref="B1176:C1176"/>
    <mergeCell ref="B1177:C1177"/>
    <mergeCell ref="B1178:C1178"/>
    <mergeCell ref="B1179:C1179"/>
    <mergeCell ref="B1180:C1180"/>
    <mergeCell ref="B1181:C1181"/>
    <mergeCell ref="B1182:C1182"/>
    <mergeCell ref="B1183:C1183"/>
    <mergeCell ref="B1184:C1184"/>
    <mergeCell ref="B1185:C1185"/>
    <mergeCell ref="B1186:C1186"/>
    <mergeCell ref="B1187:C1187"/>
    <mergeCell ref="B1188:C1188"/>
    <mergeCell ref="B1189:C1189"/>
    <mergeCell ref="B1190:C1190"/>
    <mergeCell ref="B1191:C1191"/>
    <mergeCell ref="B1192:C1192"/>
    <mergeCell ref="B1193:C1193"/>
    <mergeCell ref="B1194:C1194"/>
    <mergeCell ref="B1195:C1195"/>
    <mergeCell ref="B1196:C1196"/>
    <mergeCell ref="B1197:C1197"/>
    <mergeCell ref="B1198:C1198"/>
    <mergeCell ref="B1199:C1199"/>
    <mergeCell ref="B1200:C1200"/>
    <mergeCell ref="B1201:C1201"/>
    <mergeCell ref="B1202:C1202"/>
    <mergeCell ref="B1203:C1203"/>
    <mergeCell ref="B1204:C1204"/>
    <mergeCell ref="B1205:C1205"/>
    <mergeCell ref="B1206:C1206"/>
    <mergeCell ref="B1207:C1207"/>
    <mergeCell ref="B1208:C1208"/>
    <mergeCell ref="B1209:C1209"/>
    <mergeCell ref="B1210:C1210"/>
    <mergeCell ref="B1211:C1211"/>
    <mergeCell ref="B1212:C1212"/>
    <mergeCell ref="B1213:C1213"/>
    <mergeCell ref="B1214:C1214"/>
    <mergeCell ref="B1215:C1215"/>
    <mergeCell ref="B1216:C1216"/>
    <mergeCell ref="B1217:C1217"/>
    <mergeCell ref="B1218:C1218"/>
    <mergeCell ref="B1219:C1219"/>
    <mergeCell ref="B1220:C1220"/>
    <mergeCell ref="B1221:C1221"/>
    <mergeCell ref="B1222:C1222"/>
    <mergeCell ref="B1224:C1224"/>
    <mergeCell ref="B1225:C1225"/>
    <mergeCell ref="B1226:C1226"/>
    <mergeCell ref="B1227:C1227"/>
    <mergeCell ref="B1228:C1228"/>
    <mergeCell ref="B1229:C1229"/>
    <mergeCell ref="B1230:C1230"/>
    <mergeCell ref="B1231:C1231"/>
    <mergeCell ref="B1232:C1232"/>
    <mergeCell ref="B1233:C1233"/>
    <mergeCell ref="B1234:C1234"/>
    <mergeCell ref="B1235:C1235"/>
    <mergeCell ref="B1236:C1236"/>
    <mergeCell ref="B1237:C1237"/>
    <mergeCell ref="B1238:C1238"/>
    <mergeCell ref="B1239:C1239"/>
    <mergeCell ref="B1240:C1240"/>
    <mergeCell ref="B1241:C1241"/>
    <mergeCell ref="B1242:C1242"/>
    <mergeCell ref="B1243:C1243"/>
    <mergeCell ref="B1244:C1244"/>
    <mergeCell ref="B1245:C1245"/>
    <mergeCell ref="B1246:C1246"/>
    <mergeCell ref="B1247:C1247"/>
    <mergeCell ref="B1248:C1248"/>
    <mergeCell ref="B1249:C1249"/>
    <mergeCell ref="B1250:C1250"/>
    <mergeCell ref="B1251:C1251"/>
    <mergeCell ref="B1252:C1252"/>
    <mergeCell ref="B1253:C1253"/>
    <mergeCell ref="B1254:C1254"/>
    <mergeCell ref="B1255:C1255"/>
    <mergeCell ref="B1256:C1256"/>
    <mergeCell ref="B1257:C1257"/>
    <mergeCell ref="B1258:C1258"/>
    <mergeCell ref="B1259:C1259"/>
    <mergeCell ref="B1260:C1260"/>
    <mergeCell ref="B1261:C1261"/>
    <mergeCell ref="B1262:C1262"/>
    <mergeCell ref="B1263:C1263"/>
    <mergeCell ref="B1264:C1264"/>
    <mergeCell ref="B1265:C1265"/>
    <mergeCell ref="B1266:C1266"/>
    <mergeCell ref="B1267:C1267"/>
    <mergeCell ref="B1268:C1268"/>
    <mergeCell ref="B1269:C1269"/>
    <mergeCell ref="B1270:C1270"/>
    <mergeCell ref="B1271:C1271"/>
    <mergeCell ref="B1272:C1272"/>
    <mergeCell ref="B1273:C1273"/>
    <mergeCell ref="B1274:C1274"/>
    <mergeCell ref="B1275:C1275"/>
    <mergeCell ref="B1276:C1276"/>
    <mergeCell ref="B1277:C1277"/>
    <mergeCell ref="B1278:C1278"/>
    <mergeCell ref="B1279:C1279"/>
    <mergeCell ref="B1280:C1280"/>
    <mergeCell ref="B1281:C1281"/>
    <mergeCell ref="B1282:C1282"/>
    <mergeCell ref="B1283:C1283"/>
    <mergeCell ref="B1284:C1284"/>
    <mergeCell ref="B1285:C1285"/>
    <mergeCell ref="B1286:C1286"/>
    <mergeCell ref="B1287:C1287"/>
    <mergeCell ref="B1288:C1288"/>
    <mergeCell ref="B1289:C1289"/>
    <mergeCell ref="B1290:C1290"/>
    <mergeCell ref="B1291:C1291"/>
    <mergeCell ref="B1292:C1292"/>
    <mergeCell ref="B1293:C1293"/>
    <mergeCell ref="B1294:C1294"/>
    <mergeCell ref="B1295:C1295"/>
    <mergeCell ref="B1296:C1296"/>
    <mergeCell ref="B1297:C1297"/>
    <mergeCell ref="B1298:C1298"/>
    <mergeCell ref="B1299:C1299"/>
    <mergeCell ref="B1300:C1300"/>
    <mergeCell ref="B1301:C1301"/>
    <mergeCell ref="B1302:C1302"/>
    <mergeCell ref="B1303:C1303"/>
    <mergeCell ref="B1304:C1304"/>
    <mergeCell ref="B1305:C1305"/>
    <mergeCell ref="B1306:C1306"/>
    <mergeCell ref="B1307:C1307"/>
    <mergeCell ref="B1308:C1308"/>
    <mergeCell ref="B1309:C1309"/>
    <mergeCell ref="B1310:C1310"/>
    <mergeCell ref="B1311:C1311"/>
    <mergeCell ref="B1312:C1312"/>
    <mergeCell ref="B1313:C1313"/>
    <mergeCell ref="B1314:C1314"/>
    <mergeCell ref="B1315:C1315"/>
    <mergeCell ref="B1316:C1316"/>
    <mergeCell ref="B1317:C1317"/>
    <mergeCell ref="B1318:C1318"/>
    <mergeCell ref="B1319:C1319"/>
    <mergeCell ref="B1320:C1320"/>
    <mergeCell ref="B1321:C1321"/>
    <mergeCell ref="B1322:C1322"/>
    <mergeCell ref="B1323:C1323"/>
    <mergeCell ref="B1324:C1324"/>
    <mergeCell ref="B1325:C1325"/>
    <mergeCell ref="B1326:C1326"/>
    <mergeCell ref="B1327:C1327"/>
    <mergeCell ref="B1328:C1328"/>
    <mergeCell ref="B1329:C1329"/>
    <mergeCell ref="B1330:C1330"/>
    <mergeCell ref="B1331:C1331"/>
    <mergeCell ref="B1332:C1332"/>
    <mergeCell ref="B1333:C1333"/>
    <mergeCell ref="B1334:C1334"/>
    <mergeCell ref="B1335:C1335"/>
    <mergeCell ref="B1336:C1336"/>
    <mergeCell ref="B1337:C1337"/>
    <mergeCell ref="B1338:C1338"/>
    <mergeCell ref="B1339:C1339"/>
    <mergeCell ref="B1340:C1340"/>
    <mergeCell ref="B1341:C1341"/>
    <mergeCell ref="B1342:C1342"/>
    <mergeCell ref="B1343:C1343"/>
    <mergeCell ref="B1344:C1344"/>
    <mergeCell ref="B1345:C1345"/>
    <mergeCell ref="B1346:C1346"/>
    <mergeCell ref="B1347:C1347"/>
    <mergeCell ref="B1348:C1348"/>
    <mergeCell ref="B1349:C1349"/>
    <mergeCell ref="B1350:C1350"/>
    <mergeCell ref="B1351:C1351"/>
    <mergeCell ref="B1352:C1352"/>
    <mergeCell ref="B1353:C1353"/>
    <mergeCell ref="B1354:C1354"/>
    <mergeCell ref="B1355:C1355"/>
    <mergeCell ref="B1356:C1356"/>
    <mergeCell ref="B1357:C1357"/>
    <mergeCell ref="B1358:C1358"/>
    <mergeCell ref="B1360:C1360"/>
    <mergeCell ref="B1361:C1361"/>
    <mergeCell ref="B1362:C1362"/>
    <mergeCell ref="B1363:C1363"/>
    <mergeCell ref="B1364:C1364"/>
    <mergeCell ref="B1365:C1365"/>
    <mergeCell ref="B1366:C1366"/>
    <mergeCell ref="B1367:C1367"/>
    <mergeCell ref="B1368:C1368"/>
    <mergeCell ref="B1369:C1369"/>
    <mergeCell ref="B1371:C1371"/>
    <mergeCell ref="B1372:C1372"/>
    <mergeCell ref="B1373:C1373"/>
    <mergeCell ref="B1374:C1374"/>
    <mergeCell ref="B1375:C1375"/>
    <mergeCell ref="B1376:C1376"/>
    <mergeCell ref="B1377:C1377"/>
    <mergeCell ref="B1378:C1378"/>
    <mergeCell ref="B1379:C1379"/>
    <mergeCell ref="B1380:C1380"/>
    <mergeCell ref="B1381:C1381"/>
    <mergeCell ref="B1382:C1382"/>
    <mergeCell ref="B1383:C1383"/>
    <mergeCell ref="B1384:C1384"/>
    <mergeCell ref="B1385:C1385"/>
    <mergeCell ref="B1386:C1386"/>
    <mergeCell ref="B1387:C1387"/>
    <mergeCell ref="B1388:C1388"/>
    <mergeCell ref="B1389:C1389"/>
    <mergeCell ref="B1390:C1390"/>
    <mergeCell ref="B1391:C1391"/>
    <mergeCell ref="B1392:C1392"/>
    <mergeCell ref="B1393:C1393"/>
    <mergeCell ref="B1394:C1394"/>
    <mergeCell ref="B1395:C1395"/>
    <mergeCell ref="B1396:C1396"/>
    <mergeCell ref="B1397:C1397"/>
    <mergeCell ref="B1398:C1398"/>
    <mergeCell ref="B1399:C1399"/>
    <mergeCell ref="B1400:C1400"/>
    <mergeCell ref="B1401:C1401"/>
    <mergeCell ref="B1402:C1402"/>
    <mergeCell ref="B1403:C1403"/>
    <mergeCell ref="B1404:C1404"/>
    <mergeCell ref="B1405:C1405"/>
    <mergeCell ref="B1406:C1406"/>
    <mergeCell ref="B1407:C1407"/>
    <mergeCell ref="B1408:C1408"/>
    <mergeCell ref="B1409:C1409"/>
    <mergeCell ref="B1410:C1410"/>
    <mergeCell ref="B1411:C1411"/>
    <mergeCell ref="B1412:C1412"/>
    <mergeCell ref="B1413:C1413"/>
    <mergeCell ref="B1414:C1414"/>
    <mergeCell ref="B1415:C1415"/>
    <mergeCell ref="B1416:C1416"/>
    <mergeCell ref="B1417:C1417"/>
    <mergeCell ref="B1418:C1418"/>
    <mergeCell ref="B1419:C1419"/>
    <mergeCell ref="B1421:C1421"/>
    <mergeCell ref="B1422:C1422"/>
    <mergeCell ref="B1423:C1423"/>
    <mergeCell ref="B1424:C1424"/>
    <mergeCell ref="B1425:C1425"/>
    <mergeCell ref="B1426:C1426"/>
    <mergeCell ref="B1427:C1427"/>
    <mergeCell ref="B1428:C1428"/>
    <mergeCell ref="B1429:C1429"/>
    <mergeCell ref="B1430:C1430"/>
    <mergeCell ref="B1431:C1431"/>
    <mergeCell ref="B1432:C1432"/>
    <mergeCell ref="B1433:C1433"/>
    <mergeCell ref="B1434:C1434"/>
    <mergeCell ref="B1435:C1435"/>
    <mergeCell ref="B1436:C1436"/>
    <mergeCell ref="B1437:C1437"/>
    <mergeCell ref="B1439:C1439"/>
    <mergeCell ref="B1440:C1440"/>
    <mergeCell ref="B1441:C1441"/>
    <mergeCell ref="B1442:C1442"/>
    <mergeCell ref="B1443:C1443"/>
    <mergeCell ref="B1444:C1444"/>
    <mergeCell ref="B1445:C1445"/>
    <mergeCell ref="B1446:C1446"/>
    <mergeCell ref="B1447:C1447"/>
    <mergeCell ref="B1448:C1448"/>
    <mergeCell ref="B1449:C1449"/>
    <mergeCell ref="B1450:C1450"/>
    <mergeCell ref="B1452:C1452"/>
    <mergeCell ref="B1453:C1453"/>
    <mergeCell ref="B1454:C1454"/>
    <mergeCell ref="B1455:C1455"/>
    <mergeCell ref="B1456:C1456"/>
    <mergeCell ref="B1457:C1457"/>
    <mergeCell ref="B1458:C1458"/>
    <mergeCell ref="B1459:C1459"/>
    <mergeCell ref="B1460:C1460"/>
    <mergeCell ref="B1461:C1461"/>
    <mergeCell ref="B1462:C1462"/>
    <mergeCell ref="B1463:C1463"/>
    <mergeCell ref="B1464:C1464"/>
    <mergeCell ref="B1465:C1465"/>
    <mergeCell ref="B1466:C1466"/>
    <mergeCell ref="B1467:C1467"/>
    <mergeCell ref="B1468:C1468"/>
    <mergeCell ref="B1469:C1469"/>
    <mergeCell ref="B1470:C1470"/>
    <mergeCell ref="B1471:C1471"/>
    <mergeCell ref="B1472:C1472"/>
    <mergeCell ref="B1473:C1473"/>
    <mergeCell ref="B1474:C1474"/>
    <mergeCell ref="B1475:C1475"/>
    <mergeCell ref="B1476:C1476"/>
    <mergeCell ref="B1477:C1477"/>
    <mergeCell ref="B1478:C1478"/>
    <mergeCell ref="B1479:C1479"/>
    <mergeCell ref="B1480:C1480"/>
    <mergeCell ref="B1481:C1481"/>
    <mergeCell ref="B1482:C1482"/>
    <mergeCell ref="B1484:C1484"/>
    <mergeCell ref="B1485:C1485"/>
    <mergeCell ref="B1486:C1486"/>
    <mergeCell ref="B1487:C1487"/>
    <mergeCell ref="B1488:C1488"/>
    <mergeCell ref="B1489:C1489"/>
    <mergeCell ref="B1490:C1490"/>
    <mergeCell ref="B1491:C1491"/>
    <mergeCell ref="B1492:C1492"/>
    <mergeCell ref="B1493:C1493"/>
    <mergeCell ref="B1494:C1494"/>
    <mergeCell ref="B1495:C1495"/>
    <mergeCell ref="B1496:C1496"/>
    <mergeCell ref="B1497:C1497"/>
    <mergeCell ref="B1500:C1500"/>
    <mergeCell ref="B1501:C1501"/>
    <mergeCell ref="B1502:C1502"/>
    <mergeCell ref="B1503:C1503"/>
    <mergeCell ref="B1504:C1504"/>
    <mergeCell ref="B1505:C1505"/>
    <mergeCell ref="B1506:C1506"/>
    <mergeCell ref="B1507:C1507"/>
    <mergeCell ref="B1508:C1508"/>
    <mergeCell ref="B1509:C1509"/>
    <mergeCell ref="B1510:C1510"/>
    <mergeCell ref="B1511:C1511"/>
    <mergeCell ref="B1512:C1512"/>
    <mergeCell ref="B1513:C1513"/>
    <mergeCell ref="B1514:C1514"/>
    <mergeCell ref="B1515:C1515"/>
    <mergeCell ref="B1516:C1516"/>
    <mergeCell ref="B1517:C1517"/>
    <mergeCell ref="B1518:C1518"/>
    <mergeCell ref="B1519:C1519"/>
    <mergeCell ref="B1520:C1520"/>
    <mergeCell ref="B1521:C1521"/>
    <mergeCell ref="B1522:C1522"/>
    <mergeCell ref="B1523:C1523"/>
    <mergeCell ref="B1524:C1524"/>
    <mergeCell ref="B1525:C1525"/>
    <mergeCell ref="B1526:C1526"/>
    <mergeCell ref="B1527:C1527"/>
    <mergeCell ref="B1528:C1528"/>
    <mergeCell ref="B1529:C1529"/>
    <mergeCell ref="B1530:C1530"/>
    <mergeCell ref="B1531:C1531"/>
    <mergeCell ref="B1532:C1532"/>
    <mergeCell ref="B1533:C1533"/>
    <mergeCell ref="B1534:C1534"/>
    <mergeCell ref="B1535:C1535"/>
    <mergeCell ref="B1536:C1536"/>
    <mergeCell ref="B1537:C1537"/>
    <mergeCell ref="B1538:C1538"/>
    <mergeCell ref="B1539:C1539"/>
    <mergeCell ref="B1540:C1540"/>
    <mergeCell ref="B1541:C1541"/>
    <mergeCell ref="B1542:C1542"/>
    <mergeCell ref="B1543:C1543"/>
    <mergeCell ref="B1544:C1544"/>
    <mergeCell ref="B1545:C1545"/>
    <mergeCell ref="B1546:C1546"/>
    <mergeCell ref="B1547:C1547"/>
    <mergeCell ref="B1548:C1548"/>
    <mergeCell ref="B1549:C1549"/>
    <mergeCell ref="B1550:C1550"/>
    <mergeCell ref="B1551:C1551"/>
    <mergeCell ref="B1552:C1552"/>
    <mergeCell ref="B1553:C1553"/>
    <mergeCell ref="B1554:C1554"/>
    <mergeCell ref="B1555:C1555"/>
    <mergeCell ref="B1556:C1556"/>
    <mergeCell ref="B1557:C1557"/>
    <mergeCell ref="B1558:C1558"/>
    <mergeCell ref="B1559:C1559"/>
    <mergeCell ref="B1560:C1560"/>
    <mergeCell ref="B1561:C1561"/>
    <mergeCell ref="B1562:C1562"/>
    <mergeCell ref="B1563:C1563"/>
    <mergeCell ref="B1564:C1564"/>
    <mergeCell ref="B1565:C1565"/>
    <mergeCell ref="B1566:C1566"/>
    <mergeCell ref="B1567:C1567"/>
    <mergeCell ref="B1569:C1569"/>
    <mergeCell ref="B1570:C1570"/>
    <mergeCell ref="B1571:C1571"/>
    <mergeCell ref="B1572:C1572"/>
    <mergeCell ref="B1573:C1573"/>
    <mergeCell ref="B1574:C1574"/>
    <mergeCell ref="B1575:C1575"/>
    <mergeCell ref="B1576:C1576"/>
    <mergeCell ref="B1577:C1577"/>
    <mergeCell ref="B1578:C1578"/>
    <mergeCell ref="B1579:C1579"/>
    <mergeCell ref="B1580:C1580"/>
    <mergeCell ref="B1581:C1581"/>
    <mergeCell ref="B1582:C1582"/>
    <mergeCell ref="B1583:C1583"/>
    <mergeCell ref="B1584:C1584"/>
    <mergeCell ref="B1585:C1585"/>
    <mergeCell ref="B1586:C1586"/>
    <mergeCell ref="B1587:C1587"/>
    <mergeCell ref="B1588:C1588"/>
    <mergeCell ref="B1589:C1589"/>
    <mergeCell ref="B1590:C1590"/>
    <mergeCell ref="B1591:C1591"/>
    <mergeCell ref="B1592:C1592"/>
    <mergeCell ref="B1593:C1593"/>
    <mergeCell ref="B1594:C1594"/>
    <mergeCell ref="B1595:C1595"/>
    <mergeCell ref="B1596:C1596"/>
    <mergeCell ref="B1597:C1597"/>
    <mergeCell ref="B1598:C1598"/>
    <mergeCell ref="B1599:C1599"/>
    <mergeCell ref="B1600:C1600"/>
    <mergeCell ref="B1601:C1601"/>
    <mergeCell ref="B1602:C1602"/>
    <mergeCell ref="B1603:C1603"/>
    <mergeCell ref="B1604:C1604"/>
    <mergeCell ref="B1605:C1605"/>
    <mergeCell ref="B1606:C1606"/>
    <mergeCell ref="B1607:C1607"/>
    <mergeCell ref="B1608:C1608"/>
    <mergeCell ref="B1609:C1609"/>
    <mergeCell ref="B1610:C1610"/>
    <mergeCell ref="B1611:C1611"/>
    <mergeCell ref="B1612:C1612"/>
    <mergeCell ref="B1613:C1613"/>
    <mergeCell ref="B1614:C1614"/>
    <mergeCell ref="B1615:C1615"/>
    <mergeCell ref="B1616:C1616"/>
    <mergeCell ref="B1617:C1617"/>
    <mergeCell ref="B1618:C1618"/>
    <mergeCell ref="B1619:C1619"/>
    <mergeCell ref="B1620:C1620"/>
    <mergeCell ref="B1621:C1621"/>
    <mergeCell ref="B1622:C1622"/>
    <mergeCell ref="B1623:C1623"/>
    <mergeCell ref="B1624:C1624"/>
    <mergeCell ref="B1625:C1625"/>
    <mergeCell ref="B1626:C1626"/>
    <mergeCell ref="B1627:C1627"/>
    <mergeCell ref="B1628:C1628"/>
    <mergeCell ref="B1629:C1629"/>
    <mergeCell ref="B1630:C1630"/>
    <mergeCell ref="B1631:C1631"/>
    <mergeCell ref="B1632:C1632"/>
    <mergeCell ref="B1633:C1633"/>
    <mergeCell ref="B1634:C1634"/>
    <mergeCell ref="B1635:C1635"/>
    <mergeCell ref="B1636:C1636"/>
    <mergeCell ref="B1637:C1637"/>
    <mergeCell ref="B1638:C1638"/>
    <mergeCell ref="B1639:C1639"/>
    <mergeCell ref="B1640:C1640"/>
    <mergeCell ref="B1641:C1641"/>
    <mergeCell ref="B1642:C1642"/>
    <mergeCell ref="B1643:C1643"/>
    <mergeCell ref="B1644:C1644"/>
    <mergeCell ref="B1645:C1645"/>
    <mergeCell ref="B1646:C1646"/>
    <mergeCell ref="B1647:C1647"/>
    <mergeCell ref="B1648:C1648"/>
    <mergeCell ref="B1649:C1649"/>
    <mergeCell ref="B1650:C1650"/>
    <mergeCell ref="B1651:C1651"/>
    <mergeCell ref="B1652:C1652"/>
    <mergeCell ref="B1653:C1653"/>
    <mergeCell ref="B1654:C1654"/>
    <mergeCell ref="B1655:C1655"/>
    <mergeCell ref="B1656:C1656"/>
    <mergeCell ref="B1657:C1657"/>
    <mergeCell ref="B1658:C1658"/>
    <mergeCell ref="B1659:C1659"/>
    <mergeCell ref="B1660:C1660"/>
    <mergeCell ref="B1661:C1661"/>
    <mergeCell ref="B1662:C1662"/>
    <mergeCell ref="B1663:C1663"/>
    <mergeCell ref="B1664:C1664"/>
    <mergeCell ref="B1665:C1665"/>
    <mergeCell ref="B1666:C1666"/>
    <mergeCell ref="B1667:C1667"/>
    <mergeCell ref="B1668:C1668"/>
    <mergeCell ref="B1669:C1669"/>
    <mergeCell ref="B1670:C1670"/>
    <mergeCell ref="B1671:C1671"/>
    <mergeCell ref="B1672:C1672"/>
    <mergeCell ref="B1673:C1673"/>
    <mergeCell ref="B1674:C1674"/>
    <mergeCell ref="B1675:C1675"/>
    <mergeCell ref="B1676:C1676"/>
    <mergeCell ref="B1677:C1677"/>
    <mergeCell ref="B1678:C1678"/>
    <mergeCell ref="B1679:C1679"/>
    <mergeCell ref="B1680:C1680"/>
    <mergeCell ref="B1681:C1681"/>
    <mergeCell ref="B1682:C1682"/>
    <mergeCell ref="B1683:C1683"/>
    <mergeCell ref="B1684:C1684"/>
    <mergeCell ref="B1685:C1685"/>
    <mergeCell ref="B1686:C1686"/>
    <mergeCell ref="B1687:C1687"/>
    <mergeCell ref="B1688:C1688"/>
    <mergeCell ref="B1689:C1689"/>
    <mergeCell ref="B1690:C1690"/>
    <mergeCell ref="B1691:C1691"/>
    <mergeCell ref="B1692:C1692"/>
    <mergeCell ref="B1693:C1693"/>
    <mergeCell ref="B1694:C1694"/>
    <mergeCell ref="B1695:C1695"/>
    <mergeCell ref="B1696:C1696"/>
    <mergeCell ref="B1697:C1697"/>
    <mergeCell ref="B1698:C1698"/>
    <mergeCell ref="B1699:C1699"/>
    <mergeCell ref="B1700:C1700"/>
    <mergeCell ref="B1701:C1701"/>
    <mergeCell ref="B1702:C1702"/>
    <mergeCell ref="B1703:C1703"/>
    <mergeCell ref="B1704:C1704"/>
    <mergeCell ref="B1705:C1705"/>
    <mergeCell ref="B1706:C1706"/>
    <mergeCell ref="B1707:C1707"/>
    <mergeCell ref="B1708:C1708"/>
    <mergeCell ref="B1709:C1709"/>
    <mergeCell ref="B1710:C1710"/>
    <mergeCell ref="B1711:C1711"/>
    <mergeCell ref="B1712:C1712"/>
    <mergeCell ref="B1713:C1713"/>
    <mergeCell ref="B1714:C1714"/>
    <mergeCell ref="B1715:C1715"/>
    <mergeCell ref="B1716:C1716"/>
    <mergeCell ref="B1717:C1717"/>
    <mergeCell ref="B1718:C1718"/>
    <mergeCell ref="B1719:C1719"/>
    <mergeCell ref="B1720:C1720"/>
    <mergeCell ref="B1721:C1721"/>
    <mergeCell ref="B1722:C1722"/>
    <mergeCell ref="B1723:C1723"/>
    <mergeCell ref="B1724:C1724"/>
    <mergeCell ref="B1725:C1725"/>
    <mergeCell ref="B1726:C1726"/>
    <mergeCell ref="B1727:C1727"/>
    <mergeCell ref="B1728:C1728"/>
    <mergeCell ref="B1729:C1729"/>
    <mergeCell ref="B1730:C1730"/>
    <mergeCell ref="B1731:C1731"/>
    <mergeCell ref="B1732:C1732"/>
    <mergeCell ref="B1733:C1733"/>
    <mergeCell ref="B1734:C1734"/>
    <mergeCell ref="B1735:C1735"/>
    <mergeCell ref="B1736:C1736"/>
    <mergeCell ref="B1737:C1737"/>
    <mergeCell ref="B1740:C1740"/>
    <mergeCell ref="B1741:C1741"/>
    <mergeCell ref="B1742:C1742"/>
    <mergeCell ref="B1743:C1743"/>
    <mergeCell ref="B1744:C1744"/>
    <mergeCell ref="B1745:C1745"/>
    <mergeCell ref="B1746:C1746"/>
    <mergeCell ref="B1747:C1747"/>
    <mergeCell ref="B1748:C1748"/>
    <mergeCell ref="B1749:C1749"/>
    <mergeCell ref="B1750:C1750"/>
    <mergeCell ref="B1751:C1751"/>
    <mergeCell ref="B1752:C1752"/>
    <mergeCell ref="B1753:C1753"/>
    <mergeCell ref="B1754:C1754"/>
    <mergeCell ref="B1755:C1755"/>
    <mergeCell ref="B1756:C1756"/>
    <mergeCell ref="B1757:C1757"/>
    <mergeCell ref="B1758:C1758"/>
    <mergeCell ref="B1759:C1759"/>
    <mergeCell ref="B1760:C1760"/>
    <mergeCell ref="B1761:C1761"/>
    <mergeCell ref="B1762:C1762"/>
    <mergeCell ref="B1763:C1763"/>
    <mergeCell ref="B1764:C1764"/>
    <mergeCell ref="B1765:C1765"/>
    <mergeCell ref="B1766:C1766"/>
    <mergeCell ref="B1767:C1767"/>
    <mergeCell ref="B1768:C1768"/>
    <mergeCell ref="B1769:C1769"/>
    <mergeCell ref="B1770:C1770"/>
    <mergeCell ref="B1771:C1771"/>
    <mergeCell ref="B1772:C1772"/>
    <mergeCell ref="B1773:C1773"/>
    <mergeCell ref="B1774:C1774"/>
    <mergeCell ref="B1775:C1775"/>
    <mergeCell ref="B1776:C1776"/>
    <mergeCell ref="B1777:C1777"/>
    <mergeCell ref="B1778:C1778"/>
    <mergeCell ref="B1779:C1779"/>
    <mergeCell ref="B1780:C1780"/>
    <mergeCell ref="B1781:C1781"/>
    <mergeCell ref="B1782:C1782"/>
    <mergeCell ref="B1783:C1783"/>
    <mergeCell ref="B1784:C1784"/>
    <mergeCell ref="B1785:C1785"/>
    <mergeCell ref="B1786:C1786"/>
    <mergeCell ref="B1787:C1787"/>
    <mergeCell ref="B1788:C1788"/>
    <mergeCell ref="B1789:C1789"/>
    <mergeCell ref="B1790:C1790"/>
    <mergeCell ref="B1791:C1791"/>
    <mergeCell ref="B1792:C1792"/>
    <mergeCell ref="B1793:C1793"/>
    <mergeCell ref="B1794:C1794"/>
    <mergeCell ref="B1795:C1795"/>
    <mergeCell ref="B1796:C1796"/>
    <mergeCell ref="B1797:C1797"/>
    <mergeCell ref="B1798:C1798"/>
    <mergeCell ref="B1799:C1799"/>
    <mergeCell ref="B1800:C1800"/>
    <mergeCell ref="B1801:C1801"/>
    <mergeCell ref="B1802:C1802"/>
    <mergeCell ref="B1803:C1803"/>
    <mergeCell ref="B1804:C1804"/>
    <mergeCell ref="B1805:C1805"/>
    <mergeCell ref="B1806:C1806"/>
    <mergeCell ref="B1807:C1807"/>
    <mergeCell ref="B1808:C1808"/>
    <mergeCell ref="B1809:C1809"/>
    <mergeCell ref="B1810:C1810"/>
    <mergeCell ref="B1811:C1811"/>
    <mergeCell ref="B1812:C1812"/>
    <mergeCell ref="B1813:C1813"/>
    <mergeCell ref="B1814:C1814"/>
    <mergeCell ref="B1815:C1815"/>
    <mergeCell ref="B1816:C1816"/>
    <mergeCell ref="B1817:C1817"/>
    <mergeCell ref="B1818:C1818"/>
    <mergeCell ref="B1819:C1819"/>
    <mergeCell ref="B1820:C1820"/>
    <mergeCell ref="B1821:C1821"/>
    <mergeCell ref="B1822:C1822"/>
    <mergeCell ref="B1823:C1823"/>
    <mergeCell ref="B1824:C1824"/>
    <mergeCell ref="B1825:C1825"/>
    <mergeCell ref="B1826:C1826"/>
    <mergeCell ref="B1827:C1827"/>
    <mergeCell ref="B1828:C1828"/>
    <mergeCell ref="B1829:C1829"/>
    <mergeCell ref="B1830:C1830"/>
    <mergeCell ref="B1831:C1831"/>
    <mergeCell ref="B1832:C1832"/>
    <mergeCell ref="B1833:C1833"/>
    <mergeCell ref="B1834:C1834"/>
    <mergeCell ref="B1835:C1835"/>
    <mergeCell ref="B1836:C1836"/>
    <mergeCell ref="B1837:C1837"/>
    <mergeCell ref="B1838:C1838"/>
    <mergeCell ref="B1839:C1839"/>
    <mergeCell ref="B1840:C1840"/>
    <mergeCell ref="B1841:C1841"/>
    <mergeCell ref="B1842:C1842"/>
    <mergeCell ref="B1843:C1843"/>
    <mergeCell ref="B1844:C1844"/>
    <mergeCell ref="B1845:C1845"/>
    <mergeCell ref="B1846:C1846"/>
    <mergeCell ref="B1847:C1847"/>
    <mergeCell ref="B1848:C1848"/>
    <mergeCell ref="B1849:C1849"/>
    <mergeCell ref="B1850:C1850"/>
    <mergeCell ref="B1851:C1851"/>
    <mergeCell ref="B1852:C1852"/>
    <mergeCell ref="B1853:C1853"/>
    <mergeCell ref="B1854:C1854"/>
    <mergeCell ref="B1855:C1855"/>
    <mergeCell ref="B1856:C1856"/>
    <mergeCell ref="B1857:C1857"/>
    <mergeCell ref="B1858:C1858"/>
    <mergeCell ref="B1859:C1859"/>
    <mergeCell ref="B1860:C1860"/>
    <mergeCell ref="B1861:C1861"/>
    <mergeCell ref="B1862:C1862"/>
    <mergeCell ref="B1863:C1863"/>
    <mergeCell ref="B1864:C1864"/>
    <mergeCell ref="B1865:C1865"/>
    <mergeCell ref="B1866:C1866"/>
    <mergeCell ref="B1867:C1867"/>
    <mergeCell ref="B1868:C1868"/>
    <mergeCell ref="B1869:C1869"/>
    <mergeCell ref="B1870:C1870"/>
    <mergeCell ref="B1871:C1871"/>
    <mergeCell ref="B1872:C1872"/>
    <mergeCell ref="B1873:C1873"/>
    <mergeCell ref="B1874:C1874"/>
    <mergeCell ref="B1875:C1875"/>
    <mergeCell ref="B1876:C1876"/>
    <mergeCell ref="B1877:C1877"/>
    <mergeCell ref="B1878:C1878"/>
    <mergeCell ref="B1879:C1879"/>
    <mergeCell ref="B1880:C1880"/>
    <mergeCell ref="B1881:C1881"/>
    <mergeCell ref="B1882:C1882"/>
    <mergeCell ref="B1883:C1883"/>
    <mergeCell ref="B1884:C1884"/>
    <mergeCell ref="B1885:C1885"/>
    <mergeCell ref="B1886:C1886"/>
    <mergeCell ref="B1887:C1887"/>
    <mergeCell ref="B1888:C1888"/>
    <mergeCell ref="B1889:C1889"/>
    <mergeCell ref="B1890:C1890"/>
    <mergeCell ref="B1891:C1891"/>
    <mergeCell ref="B1892:C1892"/>
    <mergeCell ref="B1893:C1893"/>
    <mergeCell ref="B1894:C1894"/>
    <mergeCell ref="B1895:C1895"/>
    <mergeCell ref="B1896:C1896"/>
    <mergeCell ref="B1897:C1897"/>
    <mergeCell ref="B1898:C1898"/>
    <mergeCell ref="B1899:C1899"/>
    <mergeCell ref="B1900:C1900"/>
    <mergeCell ref="B1901:C1901"/>
    <mergeCell ref="B1902:C1902"/>
    <mergeCell ref="B1903:C1903"/>
    <mergeCell ref="B1904:C1904"/>
    <mergeCell ref="B1905:C1905"/>
    <mergeCell ref="B1906:C1906"/>
    <mergeCell ref="B1907:C1907"/>
    <mergeCell ref="B1908:C1908"/>
    <mergeCell ref="B1909:C1909"/>
    <mergeCell ref="B1910:C1910"/>
    <mergeCell ref="B1911:C1911"/>
    <mergeCell ref="B1912:C1912"/>
    <mergeCell ref="B1913:C1913"/>
    <mergeCell ref="B1914:C1914"/>
    <mergeCell ref="B1915:C1915"/>
    <mergeCell ref="B1916:C1916"/>
    <mergeCell ref="B1917:C1917"/>
    <mergeCell ref="B1918:C1918"/>
    <mergeCell ref="B1919:C1919"/>
    <mergeCell ref="B1920:C1920"/>
    <mergeCell ref="B1921:C1921"/>
    <mergeCell ref="B1922:C1922"/>
    <mergeCell ref="B1923:C1923"/>
    <mergeCell ref="B1924:C1924"/>
    <mergeCell ref="B1925:C1925"/>
    <mergeCell ref="B1926:C1926"/>
    <mergeCell ref="B1927:C1927"/>
    <mergeCell ref="B1928:C1928"/>
    <mergeCell ref="B1929:C1929"/>
    <mergeCell ref="B1930:C1930"/>
    <mergeCell ref="B1931:C1931"/>
    <mergeCell ref="B1932:C1932"/>
    <mergeCell ref="B1933:C1933"/>
    <mergeCell ref="B1934:C1934"/>
    <mergeCell ref="B1935:C1935"/>
    <mergeCell ref="B1936:C1936"/>
    <mergeCell ref="B1937:C1937"/>
    <mergeCell ref="B1938:C1938"/>
    <mergeCell ref="B1939:C1939"/>
    <mergeCell ref="B1940:C1940"/>
    <mergeCell ref="B1941:C1941"/>
    <mergeCell ref="B1942:C1942"/>
    <mergeCell ref="B1943:C1943"/>
    <mergeCell ref="B1944:C1944"/>
    <mergeCell ref="B1945:C1945"/>
    <mergeCell ref="B1946:C1946"/>
    <mergeCell ref="B1947:C1947"/>
    <mergeCell ref="B1948:C1948"/>
    <mergeCell ref="B1949:C1949"/>
    <mergeCell ref="B1950:C1950"/>
    <mergeCell ref="B1951:C1951"/>
    <mergeCell ref="B1952:C1952"/>
    <mergeCell ref="B1953:C1953"/>
    <mergeCell ref="B1954:C1954"/>
    <mergeCell ref="B1955:C1955"/>
    <mergeCell ref="B1956:C1956"/>
    <mergeCell ref="B1957:C1957"/>
    <mergeCell ref="B1958:C1958"/>
    <mergeCell ref="B1959:C1959"/>
    <mergeCell ref="B1960:C1960"/>
    <mergeCell ref="B1961:C1961"/>
    <mergeCell ref="B1962:C1962"/>
    <mergeCell ref="B1963:C1963"/>
    <mergeCell ref="B1964:C1964"/>
    <mergeCell ref="B1965:C1965"/>
    <mergeCell ref="B1966:C1966"/>
    <mergeCell ref="B1967:C1967"/>
    <mergeCell ref="B1968:C1968"/>
    <mergeCell ref="B1969:C1969"/>
    <mergeCell ref="B1970:C1970"/>
    <mergeCell ref="B1971:C1971"/>
    <mergeCell ref="B1972:C1972"/>
    <mergeCell ref="B1973:C1973"/>
    <mergeCell ref="B1974:C1974"/>
    <mergeCell ref="B1975:C1975"/>
    <mergeCell ref="B1976:C1976"/>
    <mergeCell ref="B1977:C1977"/>
    <mergeCell ref="B1978:C1978"/>
    <mergeCell ref="B1979:C1979"/>
    <mergeCell ref="B1980:C1980"/>
    <mergeCell ref="B1981:C1981"/>
    <mergeCell ref="B1982:C1982"/>
    <mergeCell ref="B1983:C1983"/>
    <mergeCell ref="B1984:C1984"/>
    <mergeCell ref="B1985:C1985"/>
    <mergeCell ref="B1986:C1986"/>
    <mergeCell ref="B1987:C1987"/>
    <mergeCell ref="B1988:C1988"/>
    <mergeCell ref="B1989:C1989"/>
    <mergeCell ref="B1990:C1990"/>
    <mergeCell ref="B1991:C1991"/>
    <mergeCell ref="B1992:C1992"/>
    <mergeCell ref="B1993:C1993"/>
    <mergeCell ref="B1994:C1994"/>
    <mergeCell ref="B1995:C1995"/>
    <mergeCell ref="B1996:C1996"/>
    <mergeCell ref="B1997:C1997"/>
    <mergeCell ref="B1998:C1998"/>
    <mergeCell ref="B1999:C1999"/>
    <mergeCell ref="B2000:C2000"/>
    <mergeCell ref="B2001:C2001"/>
    <mergeCell ref="B2002:C2002"/>
    <mergeCell ref="B2003:C2003"/>
    <mergeCell ref="B2004:C2004"/>
    <mergeCell ref="B2005:C2005"/>
    <mergeCell ref="B2006:C2006"/>
    <mergeCell ref="B2007:C2007"/>
    <mergeCell ref="B2008:C2008"/>
    <mergeCell ref="B2009:C2009"/>
    <mergeCell ref="B2010:C2010"/>
    <mergeCell ref="B2011:C2011"/>
    <mergeCell ref="B2012:C2012"/>
    <mergeCell ref="B2013:C2013"/>
    <mergeCell ref="B2014:C2014"/>
    <mergeCell ref="B2015:C2015"/>
    <mergeCell ref="B2016:C2016"/>
    <mergeCell ref="B2017:C2017"/>
    <mergeCell ref="B2018:C2018"/>
    <mergeCell ref="B2019:C2019"/>
    <mergeCell ref="B2020:C2020"/>
    <mergeCell ref="B2021:C2021"/>
    <mergeCell ref="B2022:C2022"/>
    <mergeCell ref="B2023:C2023"/>
    <mergeCell ref="B2024:C2024"/>
    <mergeCell ref="B2025:C2025"/>
    <mergeCell ref="B2026:C2026"/>
    <mergeCell ref="B2027:C2027"/>
    <mergeCell ref="B2028:C2028"/>
    <mergeCell ref="B2029:C2029"/>
    <mergeCell ref="B2030:C2030"/>
    <mergeCell ref="B2031:C2031"/>
    <mergeCell ref="B2032:C2032"/>
    <mergeCell ref="B2033:C2033"/>
    <mergeCell ref="B2034:C2034"/>
    <mergeCell ref="B2035:C2035"/>
    <mergeCell ref="B2036:C2036"/>
    <mergeCell ref="B2037:C2037"/>
    <mergeCell ref="B2038:C2038"/>
    <mergeCell ref="B2039:C2039"/>
    <mergeCell ref="B2040:C2040"/>
    <mergeCell ref="B2041:C2041"/>
    <mergeCell ref="B2042:C2042"/>
    <mergeCell ref="B2043:C2043"/>
    <mergeCell ref="B2044:C2044"/>
    <mergeCell ref="B2045:C2045"/>
    <mergeCell ref="B2046:C2046"/>
    <mergeCell ref="B2047:C2047"/>
    <mergeCell ref="B2048:C2048"/>
    <mergeCell ref="B2049:C2049"/>
    <mergeCell ref="B2050:C2050"/>
    <mergeCell ref="B2051:C2051"/>
    <mergeCell ref="B2052:C2052"/>
    <mergeCell ref="B2053:C2053"/>
    <mergeCell ref="B2054:C2054"/>
    <mergeCell ref="B2055:C2055"/>
    <mergeCell ref="B2056:C2056"/>
    <mergeCell ref="B2057:C2057"/>
    <mergeCell ref="B2058:C2058"/>
    <mergeCell ref="B2059:C2059"/>
    <mergeCell ref="B2060:C2060"/>
    <mergeCell ref="B2061:C2061"/>
    <mergeCell ref="B2062:C2062"/>
    <mergeCell ref="B2063:C2063"/>
    <mergeCell ref="B2064:C2064"/>
    <mergeCell ref="B2065:C2065"/>
    <mergeCell ref="B2066:C2066"/>
    <mergeCell ref="B2067:C2067"/>
    <mergeCell ref="B2068:C2068"/>
    <mergeCell ref="B2069:C2069"/>
    <mergeCell ref="B2070:C2070"/>
    <mergeCell ref="B2071:C2071"/>
    <mergeCell ref="B2072:C2072"/>
    <mergeCell ref="B2073:C2073"/>
    <mergeCell ref="B2074:C2074"/>
    <mergeCell ref="B2075:C2075"/>
    <mergeCell ref="B2076:C2076"/>
    <mergeCell ref="B2077:C2077"/>
    <mergeCell ref="B2078:C2078"/>
    <mergeCell ref="B2079:C2079"/>
    <mergeCell ref="B2080:C2080"/>
    <mergeCell ref="B2081:C2081"/>
    <mergeCell ref="B2082:C2082"/>
    <mergeCell ref="B2083:C2083"/>
    <mergeCell ref="B2084:C2084"/>
    <mergeCell ref="B2085:C2085"/>
    <mergeCell ref="B2086:C2086"/>
    <mergeCell ref="B2087:C2087"/>
    <mergeCell ref="B2088:C2088"/>
    <mergeCell ref="B2089:C2089"/>
    <mergeCell ref="B2090:C2090"/>
    <mergeCell ref="B2091:C2091"/>
    <mergeCell ref="B2092:C2092"/>
    <mergeCell ref="B2093:C2093"/>
    <mergeCell ref="B2094:C2094"/>
    <mergeCell ref="B2095:C2095"/>
    <mergeCell ref="B2096:C2096"/>
    <mergeCell ref="B2097:C2097"/>
    <mergeCell ref="B2098:C2098"/>
    <mergeCell ref="B2099:C2099"/>
    <mergeCell ref="B2100:C2100"/>
    <mergeCell ref="B2101:C2101"/>
    <mergeCell ref="B2102:C2102"/>
    <mergeCell ref="B2103:C2103"/>
    <mergeCell ref="B2104:C2104"/>
    <mergeCell ref="B2105:C2105"/>
    <mergeCell ref="B2106:C2106"/>
    <mergeCell ref="B2107:C2107"/>
    <mergeCell ref="B2108:C2108"/>
    <mergeCell ref="B2109:C2109"/>
    <mergeCell ref="B2110:C2110"/>
    <mergeCell ref="B2111:C2111"/>
    <mergeCell ref="B2112:C2112"/>
    <mergeCell ref="B2113:C2113"/>
    <mergeCell ref="B2114:C2114"/>
    <mergeCell ref="B2115:C2115"/>
    <mergeCell ref="B2116:C2116"/>
    <mergeCell ref="B2117:C2117"/>
    <mergeCell ref="B2118:C2118"/>
    <mergeCell ref="B2119:C2119"/>
    <mergeCell ref="B2120:C2120"/>
    <mergeCell ref="B2121:C2121"/>
    <mergeCell ref="B2122:C2122"/>
    <mergeCell ref="B2123:C2123"/>
    <mergeCell ref="B2124:C2124"/>
    <mergeCell ref="B2125:C2125"/>
    <mergeCell ref="B2126:C2126"/>
    <mergeCell ref="B2127:C2127"/>
    <mergeCell ref="B2128:C2128"/>
    <mergeCell ref="B2129:C2129"/>
    <mergeCell ref="B2130:C2130"/>
    <mergeCell ref="B2131:C2131"/>
    <mergeCell ref="B2132:C2132"/>
    <mergeCell ref="B2133:C2133"/>
    <mergeCell ref="B2134:C2134"/>
    <mergeCell ref="B2135:C2135"/>
    <mergeCell ref="B2136:C2136"/>
    <mergeCell ref="B2137:C2137"/>
    <mergeCell ref="B2138:C2138"/>
    <mergeCell ref="B2139:C2139"/>
    <mergeCell ref="B2140:C2140"/>
    <mergeCell ref="B2141:C2141"/>
    <mergeCell ref="B2142:C2142"/>
    <mergeCell ref="B2143:C2143"/>
    <mergeCell ref="B2145:C2145"/>
    <mergeCell ref="B2146:C2146"/>
    <mergeCell ref="B2147:C2147"/>
    <mergeCell ref="B2148:C2148"/>
    <mergeCell ref="B2149:C2149"/>
    <mergeCell ref="B2150:C2150"/>
    <mergeCell ref="B2151:C2151"/>
    <mergeCell ref="B2152:C2152"/>
    <mergeCell ref="B2153:C2153"/>
    <mergeCell ref="B2154:C2154"/>
    <mergeCell ref="B2155:C2155"/>
    <mergeCell ref="B2156:C2156"/>
    <mergeCell ref="B2157:C2157"/>
    <mergeCell ref="B2158:C2158"/>
    <mergeCell ref="B2159:C2159"/>
    <mergeCell ref="B2160:C2160"/>
    <mergeCell ref="B2161:C2161"/>
    <mergeCell ref="B2162:C2162"/>
    <mergeCell ref="B2163:C2163"/>
    <mergeCell ref="B2164:C2164"/>
    <mergeCell ref="B2165:C2165"/>
    <mergeCell ref="B2166:C2166"/>
    <mergeCell ref="B2167:C2167"/>
    <mergeCell ref="B2168:C2168"/>
    <mergeCell ref="B2169:C2169"/>
    <mergeCell ref="B2170:C2170"/>
    <mergeCell ref="B2171:C2171"/>
    <mergeCell ref="B2172:C2172"/>
    <mergeCell ref="B2173:C2173"/>
    <mergeCell ref="B2174:C2174"/>
    <mergeCell ref="B2175:C2175"/>
    <mergeCell ref="B2176:C2176"/>
    <mergeCell ref="B2177:C2177"/>
    <mergeCell ref="B2178:C2178"/>
    <mergeCell ref="B2179:C2179"/>
    <mergeCell ref="B2180:C2180"/>
    <mergeCell ref="B2181:C2181"/>
    <mergeCell ref="B2182:C2182"/>
    <mergeCell ref="B2183:C2183"/>
    <mergeCell ref="B2184:C2184"/>
    <mergeCell ref="B2185:C2185"/>
    <mergeCell ref="B2186:C2186"/>
    <mergeCell ref="B2187:C2187"/>
    <mergeCell ref="B2188:C2188"/>
    <mergeCell ref="B2189:C2189"/>
    <mergeCell ref="B2190:C2190"/>
    <mergeCell ref="B2191:C2191"/>
    <mergeCell ref="B2192:C2192"/>
    <mergeCell ref="B2193:C2193"/>
    <mergeCell ref="B2194:C2194"/>
    <mergeCell ref="B2195:C2195"/>
    <mergeCell ref="B2196:C2196"/>
    <mergeCell ref="B2197:C2197"/>
    <mergeCell ref="B2198:C2198"/>
    <mergeCell ref="B2199:C2199"/>
    <mergeCell ref="B2200:C2200"/>
    <mergeCell ref="B2201:C2201"/>
    <mergeCell ref="B2202:C2202"/>
    <mergeCell ref="B2203:C2203"/>
    <mergeCell ref="B2204:C2204"/>
    <mergeCell ref="B2205:C2205"/>
    <mergeCell ref="B2206:C2206"/>
    <mergeCell ref="B2207:C2207"/>
    <mergeCell ref="B2208:C2208"/>
    <mergeCell ref="B2209:C2209"/>
    <mergeCell ref="B2210:C2210"/>
    <mergeCell ref="B2212:C2212"/>
    <mergeCell ref="B2213:C2213"/>
    <mergeCell ref="B2214:C2214"/>
    <mergeCell ref="B2215:C2215"/>
    <mergeCell ref="B2216:C2216"/>
    <mergeCell ref="B2217:C2217"/>
    <mergeCell ref="B2218:C2218"/>
    <mergeCell ref="B2219:C2219"/>
    <mergeCell ref="B2220:C2220"/>
    <mergeCell ref="B2221:C2221"/>
    <mergeCell ref="B2222:C2222"/>
    <mergeCell ref="B2223:C2223"/>
    <mergeCell ref="B2224:C2224"/>
    <mergeCell ref="B2225:C2225"/>
    <mergeCell ref="B2226:C2226"/>
    <mergeCell ref="B2227:C2227"/>
    <mergeCell ref="B2228:C2228"/>
    <mergeCell ref="B2229:C2229"/>
    <mergeCell ref="B2230:C2230"/>
    <mergeCell ref="B2231:C2231"/>
    <mergeCell ref="B2232:C2232"/>
    <mergeCell ref="B2233:C2233"/>
    <mergeCell ref="B2234:C2234"/>
    <mergeCell ref="B2235:C2235"/>
    <mergeCell ref="B2236:C2236"/>
    <mergeCell ref="B2237:C2237"/>
    <mergeCell ref="B2238:C2238"/>
    <mergeCell ref="B2239:C2239"/>
    <mergeCell ref="B2240:C2240"/>
    <mergeCell ref="B2241:C2241"/>
    <mergeCell ref="B2242:C2242"/>
    <mergeCell ref="B2243:C2243"/>
    <mergeCell ref="B2244:C2244"/>
    <mergeCell ref="B2245:C2245"/>
    <mergeCell ref="B2246:C2246"/>
    <mergeCell ref="B2247:C2247"/>
    <mergeCell ref="B2248:C2248"/>
    <mergeCell ref="B2249:C2249"/>
    <mergeCell ref="B2250:C2250"/>
    <mergeCell ref="B2251:C2251"/>
    <mergeCell ref="B2252:C2252"/>
    <mergeCell ref="B2253:C2253"/>
    <mergeCell ref="B2254:C2254"/>
    <mergeCell ref="B2255:C2255"/>
    <mergeCell ref="B2256:C2256"/>
    <mergeCell ref="B2257:C2257"/>
    <mergeCell ref="B2258:C2258"/>
    <mergeCell ref="B2259:C2259"/>
    <mergeCell ref="B2260:C2260"/>
    <mergeCell ref="B2262:C2262"/>
    <mergeCell ref="B2263:C2263"/>
    <mergeCell ref="B2264:C2264"/>
    <mergeCell ref="B2265:C2265"/>
    <mergeCell ref="B2266:C2266"/>
    <mergeCell ref="B2267:C2267"/>
    <mergeCell ref="B2268:C2268"/>
    <mergeCell ref="B2269:C2269"/>
    <mergeCell ref="B2270:C2270"/>
    <mergeCell ref="B2271:C2271"/>
    <mergeCell ref="B2272:C2272"/>
    <mergeCell ref="B2273:C2273"/>
    <mergeCell ref="B2274:C2274"/>
    <mergeCell ref="B2275:C2275"/>
    <mergeCell ref="B2276:C2276"/>
    <mergeCell ref="B2277:C2277"/>
    <mergeCell ref="B2279:C2279"/>
    <mergeCell ref="B2280:C2280"/>
    <mergeCell ref="B2281:C2281"/>
    <mergeCell ref="B2282:C2282"/>
    <mergeCell ref="B2283:C2283"/>
    <mergeCell ref="B2284:C2284"/>
    <mergeCell ref="B2285:C2285"/>
    <mergeCell ref="B2286:C2286"/>
    <mergeCell ref="B2287:C2287"/>
    <mergeCell ref="B2288:C2288"/>
    <mergeCell ref="B2289:C2289"/>
    <mergeCell ref="B2290:C2290"/>
    <mergeCell ref="B2291:C2291"/>
    <mergeCell ref="B2292:C2292"/>
    <mergeCell ref="B2293:C2293"/>
    <mergeCell ref="B2294:C2294"/>
    <mergeCell ref="B2295:C2295"/>
    <mergeCell ref="B2296:C2296"/>
    <mergeCell ref="B2297:C2297"/>
    <mergeCell ref="B2298:C2298"/>
    <mergeCell ref="B2299:C2299"/>
    <mergeCell ref="B2300:C2300"/>
    <mergeCell ref="B2301:C2301"/>
    <mergeCell ref="B2302:C2302"/>
    <mergeCell ref="B2303:C2303"/>
    <mergeCell ref="B2304:C2304"/>
    <mergeCell ref="B2305:C2305"/>
    <mergeCell ref="B2306:C2306"/>
    <mergeCell ref="B2308:C2308"/>
    <mergeCell ref="B2309:C2309"/>
    <mergeCell ref="B2310:C2310"/>
    <mergeCell ref="B2311:C2311"/>
    <mergeCell ref="B2312:C2312"/>
    <mergeCell ref="B2313:C2313"/>
    <mergeCell ref="B2314:C2314"/>
    <mergeCell ref="B2315:C2315"/>
    <mergeCell ref="B2316:C2316"/>
    <mergeCell ref="B2317:C2317"/>
    <mergeCell ref="B2318:C2318"/>
    <mergeCell ref="B2319:C2319"/>
    <mergeCell ref="B2320:C2320"/>
    <mergeCell ref="B2321:C2321"/>
    <mergeCell ref="B2322:C2322"/>
    <mergeCell ref="B2323:C2323"/>
    <mergeCell ref="B2324:C2324"/>
    <mergeCell ref="B2367:C2367"/>
    <mergeCell ref="B2368:C2368"/>
    <mergeCell ref="B2369:C2369"/>
    <mergeCell ref="B2370:C2370"/>
    <mergeCell ref="B2371:C2371"/>
    <mergeCell ref="B2372:C2372"/>
    <mergeCell ref="B2373:C2373"/>
    <mergeCell ref="B2374:C2374"/>
    <mergeCell ref="B2375:C2375"/>
    <mergeCell ref="B2376:C2376"/>
    <mergeCell ref="B2377:C2377"/>
    <mergeCell ref="B2378:C2378"/>
    <mergeCell ref="B2379:C2379"/>
    <mergeCell ref="B2380:C2380"/>
    <mergeCell ref="B2325:C2325"/>
    <mergeCell ref="B2326:C2326"/>
    <mergeCell ref="B2327:C2327"/>
    <mergeCell ref="B2328:C2328"/>
    <mergeCell ref="B2329:C2329"/>
    <mergeCell ref="B2330:C2330"/>
    <mergeCell ref="B2331:C2331"/>
    <mergeCell ref="B2332:C2332"/>
    <mergeCell ref="B2333:C2333"/>
    <mergeCell ref="B2334:C2334"/>
    <mergeCell ref="B2335:C2335"/>
    <mergeCell ref="B2336:C2336"/>
    <mergeCell ref="B2337:C2337"/>
    <mergeCell ref="B2338:C2338"/>
    <mergeCell ref="B2339:C2339"/>
    <mergeCell ref="B2340:C2340"/>
    <mergeCell ref="B2341:C2341"/>
    <mergeCell ref="B2342:C2342"/>
    <mergeCell ref="B2343:C2343"/>
    <mergeCell ref="B2344:C2344"/>
    <mergeCell ref="B2345:C2345"/>
    <mergeCell ref="B2346:C2346"/>
    <mergeCell ref="B2347:C2347"/>
    <mergeCell ref="B2348:C2348"/>
    <mergeCell ref="B2349:C2349"/>
    <mergeCell ref="B2350:C2350"/>
    <mergeCell ref="B2351:C2351"/>
    <mergeCell ref="B2352:C2352"/>
    <mergeCell ref="B2353:C2353"/>
    <mergeCell ref="B2354:C2354"/>
    <mergeCell ref="B2355:C2355"/>
    <mergeCell ref="B2356:C2356"/>
    <mergeCell ref="B2357:C2357"/>
    <mergeCell ref="B2358:C2358"/>
    <mergeCell ref="B2359:C2359"/>
    <mergeCell ref="B2360:C2360"/>
    <mergeCell ref="B2361:C2361"/>
    <mergeCell ref="B2362:C2362"/>
    <mergeCell ref="B2363:C2363"/>
    <mergeCell ref="B2364:C2364"/>
    <mergeCell ref="B2365:C2365"/>
    <mergeCell ref="B2366:C2366"/>
    <mergeCell ref="B2382:C2382"/>
    <mergeCell ref="B2383:C2383"/>
    <mergeCell ref="B2384:C2384"/>
    <mergeCell ref="B2385:C2385"/>
    <mergeCell ref="B2386:C2386"/>
    <mergeCell ref="B2387:C2387"/>
    <mergeCell ref="B2388:C2388"/>
    <mergeCell ref="B2389:C2389"/>
    <mergeCell ref="B2390:C2390"/>
    <mergeCell ref="B2391:C2391"/>
    <mergeCell ref="B2392:C2392"/>
    <mergeCell ref="B2393:C2393"/>
    <mergeCell ref="B2394:C2394"/>
    <mergeCell ref="B2395:C2395"/>
    <mergeCell ref="B2396:C2396"/>
    <mergeCell ref="B2397:C2397"/>
    <mergeCell ref="B2398:C2398"/>
    <mergeCell ref="B2399:C2399"/>
    <mergeCell ref="B2400:C2400"/>
    <mergeCell ref="B2401:C2401"/>
    <mergeCell ref="B2402:C2402"/>
    <mergeCell ref="B2403:C2403"/>
    <mergeCell ref="B2404:C2404"/>
    <mergeCell ref="B2405:C2405"/>
    <mergeCell ref="B2406:C2406"/>
    <mergeCell ref="B2407:C2407"/>
    <mergeCell ref="B2408:C2408"/>
    <mergeCell ref="B2409:C2409"/>
    <mergeCell ref="B2410:C2410"/>
    <mergeCell ref="B2411:C2411"/>
    <mergeCell ref="B2412:C2412"/>
    <mergeCell ref="B2413:C2413"/>
    <mergeCell ref="B2414:C2414"/>
    <mergeCell ref="B2415:C2415"/>
    <mergeCell ref="B2416:C2416"/>
    <mergeCell ref="B2417:C2417"/>
    <mergeCell ref="B2418:C2418"/>
    <mergeCell ref="B2419:C2419"/>
    <mergeCell ref="B2420:C2420"/>
    <mergeCell ref="B2421:C2421"/>
    <mergeCell ref="B2422:C2422"/>
    <mergeCell ref="B2423:C2423"/>
    <mergeCell ref="B2424:C2424"/>
    <mergeCell ref="B2425:C2425"/>
    <mergeCell ref="B2426:C2426"/>
    <mergeCell ref="B2427:C2427"/>
    <mergeCell ref="B2428:C2428"/>
    <mergeCell ref="B2429:C2429"/>
    <mergeCell ref="B2430:C2430"/>
    <mergeCell ref="B2431:C2431"/>
    <mergeCell ref="B2432:C2432"/>
    <mergeCell ref="B2433:C2433"/>
    <mergeCell ref="B2434:C2434"/>
    <mergeCell ref="B2435:C2435"/>
    <mergeCell ref="B2436:C2436"/>
    <mergeCell ref="B2437:C2437"/>
    <mergeCell ref="B2438:C2438"/>
    <mergeCell ref="B2439:C2439"/>
    <mergeCell ref="B2440:C2440"/>
    <mergeCell ref="B2441:C2441"/>
    <mergeCell ref="B2442:C2442"/>
    <mergeCell ref="B2443:C2443"/>
    <mergeCell ref="B2444:C2444"/>
    <mergeCell ref="B2445:C2445"/>
    <mergeCell ref="B2446:C2446"/>
    <mergeCell ref="B2447:C2447"/>
    <mergeCell ref="B2448:C2448"/>
    <mergeCell ref="B2449:C2449"/>
    <mergeCell ref="B2450:C2450"/>
    <mergeCell ref="B2451:C2451"/>
    <mergeCell ref="B2452:C2452"/>
    <mergeCell ref="B2453:C2453"/>
    <mergeCell ref="B2454:C2454"/>
    <mergeCell ref="B2455:C2455"/>
    <mergeCell ref="B2456:C2456"/>
    <mergeCell ref="B2457:C2457"/>
    <mergeCell ref="B2458:C2458"/>
    <mergeCell ref="B2459:C2459"/>
    <mergeCell ref="B2460:C2460"/>
    <mergeCell ref="B2461:C2461"/>
    <mergeCell ref="B2462:C2462"/>
    <mergeCell ref="B2463:C2463"/>
    <mergeCell ref="B2464:C2464"/>
    <mergeCell ref="B2465:C2465"/>
    <mergeCell ref="B2466:C2466"/>
    <mergeCell ref="B2467:C2467"/>
    <mergeCell ref="B2468:C2468"/>
    <mergeCell ref="B2469:C2469"/>
    <mergeCell ref="B2470:C2470"/>
    <mergeCell ref="B2471:C2471"/>
    <mergeCell ref="B2472:C2472"/>
    <mergeCell ref="B2473:C2473"/>
    <mergeCell ref="B2474:C2474"/>
    <mergeCell ref="B2475:C2475"/>
    <mergeCell ref="B2476:C2476"/>
    <mergeCell ref="B2477:C2477"/>
    <mergeCell ref="B2478:C2478"/>
    <mergeCell ref="B2479:C2479"/>
    <mergeCell ref="B2480:C2480"/>
    <mergeCell ref="B2481:C2481"/>
    <mergeCell ref="B2482:C2482"/>
    <mergeCell ref="B2483:C2483"/>
    <mergeCell ref="B2484:C2484"/>
    <mergeCell ref="B2485:C2485"/>
    <mergeCell ref="B2486:C2486"/>
    <mergeCell ref="B2529:C2529"/>
    <mergeCell ref="B2530:C2530"/>
    <mergeCell ref="B2531:C2531"/>
    <mergeCell ref="B2532:C2532"/>
    <mergeCell ref="B2533:C2533"/>
    <mergeCell ref="B2534:C2534"/>
    <mergeCell ref="B2535:C2535"/>
    <mergeCell ref="B2536:C2536"/>
    <mergeCell ref="B2537:C2537"/>
    <mergeCell ref="B2538:C2538"/>
    <mergeCell ref="B2539:C2539"/>
    <mergeCell ref="B2540:C2540"/>
    <mergeCell ref="B2541:C2541"/>
    <mergeCell ref="B2542:C2542"/>
    <mergeCell ref="B2487:C2487"/>
    <mergeCell ref="B2488:C2488"/>
    <mergeCell ref="B2489:C2489"/>
    <mergeCell ref="B2490:C2490"/>
    <mergeCell ref="B2491:C2491"/>
    <mergeCell ref="B2492:C2492"/>
    <mergeCell ref="B2493:C2493"/>
    <mergeCell ref="B2494:C2494"/>
    <mergeCell ref="B2495:C2495"/>
    <mergeCell ref="B2496:C2496"/>
    <mergeCell ref="B2497:C2497"/>
    <mergeCell ref="B2498:C2498"/>
    <mergeCell ref="B2499:C2499"/>
    <mergeCell ref="B2500:C2500"/>
    <mergeCell ref="B2501:C2501"/>
    <mergeCell ref="B2502:C2502"/>
    <mergeCell ref="B2503:C2503"/>
    <mergeCell ref="B2504:C2504"/>
    <mergeCell ref="B2505:C2505"/>
    <mergeCell ref="B2506:C2506"/>
    <mergeCell ref="B2507:C2507"/>
    <mergeCell ref="B2508:C2508"/>
    <mergeCell ref="B2509:C2509"/>
    <mergeCell ref="B2510:C2510"/>
    <mergeCell ref="B2511:C2511"/>
    <mergeCell ref="B2512:C2512"/>
    <mergeCell ref="B2513:C2513"/>
    <mergeCell ref="B2514:C2514"/>
    <mergeCell ref="B2515:C2515"/>
    <mergeCell ref="B2516:C2516"/>
    <mergeCell ref="B2517:C2517"/>
    <mergeCell ref="B2518:C2518"/>
    <mergeCell ref="B2519:C2519"/>
    <mergeCell ref="B2520:C2520"/>
    <mergeCell ref="B2521:C2521"/>
    <mergeCell ref="B2522:C2522"/>
    <mergeCell ref="B2523:C2523"/>
    <mergeCell ref="B2524:C2524"/>
    <mergeCell ref="B2525:C2525"/>
    <mergeCell ref="B2526:C2526"/>
    <mergeCell ref="B2527:C2527"/>
    <mergeCell ref="B2528:C2528"/>
    <mergeCell ref="B2544:C2544"/>
    <mergeCell ref="B2545:C2545"/>
    <mergeCell ref="B2546:C2546"/>
    <mergeCell ref="B2547:C2547"/>
    <mergeCell ref="B2548:C2548"/>
    <mergeCell ref="B2549:C2549"/>
    <mergeCell ref="B2550:C2550"/>
    <mergeCell ref="B2551:C2551"/>
    <mergeCell ref="B2552:C2552"/>
    <mergeCell ref="B2553:C2553"/>
    <mergeCell ref="B2554:C2554"/>
    <mergeCell ref="B2555:C2555"/>
    <mergeCell ref="B2556:C2556"/>
    <mergeCell ref="B2558:C2558"/>
    <mergeCell ref="B2559:C2559"/>
    <mergeCell ref="B2560:C2560"/>
    <mergeCell ref="B2561:C2561"/>
    <mergeCell ref="B2562:C2562"/>
    <mergeCell ref="B2563:C2563"/>
    <mergeCell ref="B2564:C2564"/>
    <mergeCell ref="B2565:C2565"/>
    <mergeCell ref="B2566:C2566"/>
    <mergeCell ref="B2567:C2567"/>
    <mergeCell ref="B2568:C2568"/>
    <mergeCell ref="B2569:C2569"/>
    <mergeCell ref="B2570:C2570"/>
    <mergeCell ref="B2571:C2571"/>
    <mergeCell ref="B2572:C2572"/>
    <mergeCell ref="B2573:C2573"/>
    <mergeCell ref="B2574:C2574"/>
    <mergeCell ref="B2575:C2575"/>
    <mergeCell ref="B2576:C2576"/>
    <mergeCell ref="B2577:C2577"/>
    <mergeCell ref="B2578:C2578"/>
    <mergeCell ref="B2579:C2579"/>
    <mergeCell ref="B2580:C2580"/>
    <mergeCell ref="B2581:C2581"/>
    <mergeCell ref="B2582:C2582"/>
    <mergeCell ref="B2583:C2583"/>
    <mergeCell ref="B2584:C2584"/>
    <mergeCell ref="B2585:C2585"/>
    <mergeCell ref="B2586:C2586"/>
    <mergeCell ref="B2587:C2587"/>
    <mergeCell ref="B2588:C2588"/>
    <mergeCell ref="B2589:C2589"/>
    <mergeCell ref="B2590:C2590"/>
    <mergeCell ref="B2591:C2591"/>
    <mergeCell ref="B2592:C2592"/>
    <mergeCell ref="B2593:C2593"/>
    <mergeCell ref="B2594:C2594"/>
    <mergeCell ref="B2595:C2595"/>
    <mergeCell ref="B2596:C2596"/>
    <mergeCell ref="B2597:C2597"/>
    <mergeCell ref="B2598:C2598"/>
    <mergeCell ref="B2599:C2599"/>
    <mergeCell ref="B2600:C2600"/>
    <mergeCell ref="B2601:C2601"/>
    <mergeCell ref="B2602:C2602"/>
    <mergeCell ref="B2603:C2603"/>
    <mergeCell ref="B2604:C2604"/>
    <mergeCell ref="B2605:C2605"/>
    <mergeCell ref="B2606:C2606"/>
    <mergeCell ref="B2607:C2607"/>
    <mergeCell ref="B2608:C2608"/>
    <mergeCell ref="B2609:C2609"/>
    <mergeCell ref="B2610:C2610"/>
    <mergeCell ref="B2611:C2611"/>
    <mergeCell ref="B2612:C2612"/>
    <mergeCell ref="B2613:C2613"/>
    <mergeCell ref="B2614:C2614"/>
    <mergeCell ref="B2615:C2615"/>
    <mergeCell ref="B2616:C2616"/>
    <mergeCell ref="B2617:C2617"/>
    <mergeCell ref="B2618:C2618"/>
    <mergeCell ref="B2619:C2619"/>
    <mergeCell ref="B2620:C2620"/>
    <mergeCell ref="B2621:C2621"/>
    <mergeCell ref="B2622:C2622"/>
    <mergeCell ref="B2623:C2623"/>
    <mergeCell ref="B2624:C2624"/>
    <mergeCell ref="B2625:C2625"/>
    <mergeCell ref="B2626:C2626"/>
    <mergeCell ref="B2627:C2627"/>
    <mergeCell ref="B2628:C2628"/>
    <mergeCell ref="B2629:C2629"/>
    <mergeCell ref="B2630:C2630"/>
    <mergeCell ref="B2631:C2631"/>
    <mergeCell ref="B2632:C2632"/>
    <mergeCell ref="B2633:C2633"/>
    <mergeCell ref="B2634:C2634"/>
    <mergeCell ref="B2635:C2635"/>
    <mergeCell ref="B2636:C2636"/>
    <mergeCell ref="B2637:C2637"/>
    <mergeCell ref="B2638:C2638"/>
    <mergeCell ref="B2639:C2639"/>
    <mergeCell ref="B2640:C2640"/>
    <mergeCell ref="B2641:C2641"/>
    <mergeCell ref="B2642:C2642"/>
    <mergeCell ref="B2643:C2643"/>
    <mergeCell ref="B2644:C2644"/>
    <mergeCell ref="B2645:C2645"/>
    <mergeCell ref="B2646:C2646"/>
    <mergeCell ref="B2647:C2647"/>
    <mergeCell ref="B2648:C2648"/>
    <mergeCell ref="B2649:C2649"/>
    <mergeCell ref="B2650:C2650"/>
    <mergeCell ref="B2651:C2651"/>
    <mergeCell ref="B2652:C2652"/>
    <mergeCell ref="B2653:C2653"/>
    <mergeCell ref="B2654:C2654"/>
    <mergeCell ref="B2655:C2655"/>
    <mergeCell ref="B2656:C2656"/>
    <mergeCell ref="B2657:C2657"/>
    <mergeCell ref="B2658:C2658"/>
    <mergeCell ref="B2659:C2659"/>
    <mergeCell ref="B2660:C2660"/>
    <mergeCell ref="B2661:C2661"/>
    <mergeCell ref="B2662:C2662"/>
    <mergeCell ref="B2663:C2663"/>
    <mergeCell ref="B2664:C2664"/>
    <mergeCell ref="B2665:C2665"/>
    <mergeCell ref="B2666:C2666"/>
    <mergeCell ref="B2667:C2667"/>
    <mergeCell ref="B2668:C2668"/>
    <mergeCell ref="B2669:C2669"/>
    <mergeCell ref="B2670:C2670"/>
    <mergeCell ref="B2671:C2671"/>
    <mergeCell ref="B2672:C2672"/>
    <mergeCell ref="B2673:C2673"/>
    <mergeCell ref="B2674:C2674"/>
    <mergeCell ref="B2675:C2675"/>
    <mergeCell ref="B2676:C2676"/>
    <mergeCell ref="B2677:C2677"/>
    <mergeCell ref="B2678:C2678"/>
    <mergeCell ref="B2679:C2679"/>
    <mergeCell ref="B2680:C2680"/>
    <mergeCell ref="B2681:C2681"/>
    <mergeCell ref="B2682:C2682"/>
    <mergeCell ref="B2683:C2683"/>
    <mergeCell ref="B2684:C2684"/>
    <mergeCell ref="B2685:C2685"/>
    <mergeCell ref="B2686:C2686"/>
    <mergeCell ref="B2687:C2687"/>
    <mergeCell ref="B2688:C2688"/>
    <mergeCell ref="B2690:C2690"/>
    <mergeCell ref="B2691:C2691"/>
    <mergeCell ref="B2692:C2692"/>
    <mergeCell ref="B2693:C2693"/>
    <mergeCell ref="B2694:C2694"/>
    <mergeCell ref="B2695:C2695"/>
    <mergeCell ref="B2696:C2696"/>
    <mergeCell ref="B2697:C2697"/>
    <mergeCell ref="B2698:C2698"/>
    <mergeCell ref="B2699:C2699"/>
    <mergeCell ref="B2700:C2700"/>
    <mergeCell ref="B2701:C2701"/>
    <mergeCell ref="B2702:C2702"/>
    <mergeCell ref="B2703:C2703"/>
    <mergeCell ref="B2704:C2704"/>
    <mergeCell ref="B2705:C2705"/>
    <mergeCell ref="B2706:C2706"/>
    <mergeCell ref="B2707:C2707"/>
    <mergeCell ref="B2708:C2708"/>
    <mergeCell ref="B2709:C2709"/>
    <mergeCell ref="B2710:C2710"/>
    <mergeCell ref="B2711:C2711"/>
    <mergeCell ref="B2712:C2712"/>
    <mergeCell ref="B2713:C2713"/>
    <mergeCell ref="B2714:C2714"/>
    <mergeCell ref="B2715:C2715"/>
    <mergeCell ref="B2716:C2716"/>
    <mergeCell ref="B2717:C2717"/>
    <mergeCell ref="B2718:C2718"/>
    <mergeCell ref="B2719:C2719"/>
    <mergeCell ref="B2720:C2720"/>
    <mergeCell ref="B2721:C2721"/>
    <mergeCell ref="B2722:C2722"/>
    <mergeCell ref="B2723:C2723"/>
    <mergeCell ref="B2724:C2724"/>
    <mergeCell ref="B2725:C2725"/>
    <mergeCell ref="B2726:C2726"/>
    <mergeCell ref="B2727:C2727"/>
    <mergeCell ref="B2728:C2728"/>
    <mergeCell ref="B2729:C2729"/>
    <mergeCell ref="B2730:C2730"/>
    <mergeCell ref="B2731:C2731"/>
    <mergeCell ref="B2732:C2732"/>
    <mergeCell ref="B2733:C2733"/>
    <mergeCell ref="B2734:C2734"/>
    <mergeCell ref="B2735:C2735"/>
    <mergeCell ref="B2736:C2736"/>
    <mergeCell ref="B2737:C2737"/>
    <mergeCell ref="B2738:C2738"/>
    <mergeCell ref="B2739:C2739"/>
    <mergeCell ref="B2740:C2740"/>
    <mergeCell ref="B2741:C2741"/>
    <mergeCell ref="B2742:C2742"/>
    <mergeCell ref="B2743:C2743"/>
    <mergeCell ref="B2744:C2744"/>
    <mergeCell ref="B2745:C2745"/>
    <mergeCell ref="B2746:C2746"/>
    <mergeCell ref="B2747:C2747"/>
    <mergeCell ref="B2748:C2748"/>
    <mergeCell ref="B2749:C2749"/>
    <mergeCell ref="B2750:C2750"/>
    <mergeCell ref="B2751:C2751"/>
    <mergeCell ref="B2752:C2752"/>
    <mergeCell ref="B2753:C2753"/>
    <mergeCell ref="B2754:C2754"/>
    <mergeCell ref="B2755:C2755"/>
    <mergeCell ref="B2756:C2756"/>
    <mergeCell ref="B2757:C2757"/>
    <mergeCell ref="B2758:C2758"/>
    <mergeCell ref="B2759:C2759"/>
    <mergeCell ref="B2760:C2760"/>
    <mergeCell ref="B2761:C2761"/>
    <mergeCell ref="B2762:C2762"/>
    <mergeCell ref="B2763:C2763"/>
    <mergeCell ref="B2764:C2764"/>
    <mergeCell ref="B2765:C2765"/>
    <mergeCell ref="B2766:C2766"/>
    <mergeCell ref="B2767:C2767"/>
    <mergeCell ref="B2768:C2768"/>
    <mergeCell ref="B2769:C2769"/>
    <mergeCell ref="B2770:C2770"/>
    <mergeCell ref="B2771:C2771"/>
    <mergeCell ref="B2772:C2772"/>
    <mergeCell ref="B2773:C2773"/>
    <mergeCell ref="B2774:C2774"/>
    <mergeCell ref="B2775:C2775"/>
    <mergeCell ref="B2776:C2776"/>
    <mergeCell ref="B2777:C2777"/>
    <mergeCell ref="B2778:C2778"/>
    <mergeCell ref="B2779:C2779"/>
    <mergeCell ref="B2780:C2780"/>
    <mergeCell ref="B2781:C2781"/>
    <mergeCell ref="B2782:C2782"/>
    <mergeCell ref="B2783:C2783"/>
    <mergeCell ref="B2784:C2784"/>
    <mergeCell ref="B2785:C2785"/>
    <mergeCell ref="B2786:C2786"/>
    <mergeCell ref="B2787:C2787"/>
    <mergeCell ref="B2788:C2788"/>
    <mergeCell ref="B2789:C2789"/>
    <mergeCell ref="B2790:C2790"/>
    <mergeCell ref="B2791:C2791"/>
    <mergeCell ref="B2792:C2792"/>
    <mergeCell ref="B2793:C2793"/>
    <mergeCell ref="B2794:C2794"/>
    <mergeCell ref="B2795:C2795"/>
    <mergeCell ref="B2796:C2796"/>
    <mergeCell ref="B2797:C2797"/>
    <mergeCell ref="B2798:C2798"/>
    <mergeCell ref="B2799:C2799"/>
    <mergeCell ref="B2800:C2800"/>
    <mergeCell ref="B2801:C2801"/>
    <mergeCell ref="B2802:C2802"/>
    <mergeCell ref="B2803:C2803"/>
    <mergeCell ref="B2804:C2804"/>
    <mergeCell ref="B2805:C2805"/>
    <mergeCell ref="B2806:C2806"/>
    <mergeCell ref="B2807:C2807"/>
    <mergeCell ref="B2808:C2808"/>
    <mergeCell ref="B2809:C2809"/>
    <mergeCell ref="B2810:C2810"/>
    <mergeCell ref="B2811:C2811"/>
    <mergeCell ref="B2812:C2812"/>
    <mergeCell ref="B2813:C2813"/>
    <mergeCell ref="B2814:C2814"/>
    <mergeCell ref="B2815:C2815"/>
    <mergeCell ref="B2816:C2816"/>
    <mergeCell ref="B2817:C2817"/>
    <mergeCell ref="B2818:C2818"/>
    <mergeCell ref="B2819:C2819"/>
    <mergeCell ref="B2820:C2820"/>
    <mergeCell ref="B2821:C2821"/>
    <mergeCell ref="B2822:C2822"/>
    <mergeCell ref="B2823:C2823"/>
    <mergeCell ref="B2824:C2824"/>
    <mergeCell ref="B2825:C2825"/>
    <mergeCell ref="B2826:C2826"/>
    <mergeCell ref="B2827:C2827"/>
    <mergeCell ref="B2828:C2828"/>
    <mergeCell ref="B2829:C2829"/>
    <mergeCell ref="B2830:C2830"/>
    <mergeCell ref="B2831:C2831"/>
    <mergeCell ref="B2832:C2832"/>
    <mergeCell ref="B2833:C2833"/>
    <mergeCell ref="B2834:C2834"/>
    <mergeCell ref="B2835:C2835"/>
    <mergeCell ref="B2836:C2836"/>
    <mergeCell ref="B2837:C2837"/>
    <mergeCell ref="B2838:C2838"/>
    <mergeCell ref="B2839:C2839"/>
    <mergeCell ref="B2840:C2840"/>
    <mergeCell ref="B2841:C2841"/>
    <mergeCell ref="B2842:C2842"/>
    <mergeCell ref="B2843:C2843"/>
    <mergeCell ref="B2844:C2844"/>
    <mergeCell ref="B2845:C2845"/>
    <mergeCell ref="B2846:C2846"/>
    <mergeCell ref="B2847:C2847"/>
    <mergeCell ref="B2848:C2848"/>
    <mergeCell ref="B2849:C2849"/>
    <mergeCell ref="B2850:C2850"/>
    <mergeCell ref="B2851:C2851"/>
    <mergeCell ref="B2852:C2852"/>
    <mergeCell ref="B2853:C2853"/>
    <mergeCell ref="B2854:C2854"/>
    <mergeCell ref="B2855:C2855"/>
    <mergeCell ref="B2856:C2856"/>
    <mergeCell ref="B2857:C2857"/>
    <mergeCell ref="B2858:C2858"/>
    <mergeCell ref="B2859:C2859"/>
    <mergeCell ref="B2860:C2860"/>
    <mergeCell ref="B2861:C2861"/>
    <mergeCell ref="B2862:C2862"/>
    <mergeCell ref="B2863:C2863"/>
    <mergeCell ref="B2864:C2864"/>
    <mergeCell ref="B2865:C2865"/>
    <mergeCell ref="B2866:C2866"/>
    <mergeCell ref="B2867:C2867"/>
    <mergeCell ref="B2868:C2868"/>
    <mergeCell ref="B2869:C2869"/>
    <mergeCell ref="B2870:C2870"/>
    <mergeCell ref="B2871:C2871"/>
    <mergeCell ref="B2872:C2872"/>
    <mergeCell ref="B2873:C2873"/>
    <mergeCell ref="B2874:C2874"/>
    <mergeCell ref="B2875:C2875"/>
    <mergeCell ref="B2876:C2876"/>
    <mergeCell ref="B2877:C2877"/>
    <mergeCell ref="B2878:C2878"/>
    <mergeCell ref="B2879:C2879"/>
    <mergeCell ref="B2880:C2880"/>
    <mergeCell ref="B2881:C2881"/>
    <mergeCell ref="B2882:C2882"/>
    <mergeCell ref="B2883:C2883"/>
    <mergeCell ref="B2884:C2884"/>
    <mergeCell ref="B2885:C2885"/>
    <mergeCell ref="B2886:C2886"/>
    <mergeCell ref="B2887:C2887"/>
    <mergeCell ref="B2888:C2888"/>
    <mergeCell ref="B2889:C2889"/>
    <mergeCell ref="B2890:C2890"/>
    <mergeCell ref="B2891:C2891"/>
    <mergeCell ref="B2892:C2892"/>
    <mergeCell ref="B2893:C2893"/>
    <mergeCell ref="B2894:C2894"/>
    <mergeCell ref="B2895:C2895"/>
    <mergeCell ref="B2896:C2896"/>
    <mergeCell ref="B2897:C2897"/>
    <mergeCell ref="B2898:C2898"/>
    <mergeCell ref="B2899:C2899"/>
    <mergeCell ref="B2900:C2900"/>
    <mergeCell ref="B2901:C2901"/>
    <mergeCell ref="B2902:C2902"/>
    <mergeCell ref="B2903:C2903"/>
    <mergeCell ref="B2904:C2904"/>
    <mergeCell ref="B2905:C2905"/>
    <mergeCell ref="B2906:C2906"/>
    <mergeCell ref="B2907:C2907"/>
    <mergeCell ref="B2908:C2908"/>
    <mergeCell ref="B2909:C2909"/>
    <mergeCell ref="B2910:C2910"/>
    <mergeCell ref="B2911:C2911"/>
    <mergeCell ref="B2912:C2912"/>
    <mergeCell ref="B2913:C2913"/>
    <mergeCell ref="B2914:C2914"/>
    <mergeCell ref="B2915:C2915"/>
    <mergeCell ref="B2916:C2916"/>
    <mergeCell ref="B2917:C2917"/>
    <mergeCell ref="B2918:C2918"/>
    <mergeCell ref="B2919:C2919"/>
    <mergeCell ref="B2920:C2920"/>
    <mergeCell ref="B2921:C2921"/>
    <mergeCell ref="B2922:C2922"/>
    <mergeCell ref="B2923:C2923"/>
    <mergeCell ref="B2924:C2924"/>
    <mergeCell ref="B2925:C2925"/>
    <mergeCell ref="B2926:C2926"/>
    <mergeCell ref="B2927:C2927"/>
    <mergeCell ref="B2928:C2928"/>
    <mergeCell ref="B2929:C2929"/>
    <mergeCell ref="B2930:C2930"/>
    <mergeCell ref="B2931:C2931"/>
    <mergeCell ref="B2932:C2932"/>
    <mergeCell ref="B2933:C2933"/>
    <mergeCell ref="B2934:C2934"/>
    <mergeCell ref="B2935:C2935"/>
    <mergeCell ref="B2936:C2936"/>
    <mergeCell ref="B2937:C2937"/>
    <mergeCell ref="B2938:C2938"/>
    <mergeCell ref="B2939:C2939"/>
    <mergeCell ref="B2940:C2940"/>
    <mergeCell ref="B2941:C2941"/>
    <mergeCell ref="B2942:C2942"/>
    <mergeCell ref="B2943:C2943"/>
    <mergeCell ref="B2944:C2944"/>
    <mergeCell ref="B2945:C2945"/>
    <mergeCell ref="B2946:C2946"/>
    <mergeCell ref="B2947:C2947"/>
    <mergeCell ref="B2948:C2948"/>
    <mergeCell ref="B2949:C2949"/>
    <mergeCell ref="B2950:C2950"/>
    <mergeCell ref="B2951:C2951"/>
    <mergeCell ref="B2952:C2952"/>
    <mergeCell ref="B2953:C2953"/>
    <mergeCell ref="B2954:C2954"/>
    <mergeCell ref="B2955:C2955"/>
    <mergeCell ref="B2956:C2956"/>
    <mergeCell ref="B2957:C2957"/>
    <mergeCell ref="B2958:C2958"/>
    <mergeCell ref="B2959:C2959"/>
    <mergeCell ref="B2960:C2960"/>
    <mergeCell ref="B2961:C2961"/>
    <mergeCell ref="B2962:C2962"/>
    <mergeCell ref="B2963:C2963"/>
    <mergeCell ref="B2964:C2964"/>
    <mergeCell ref="B2965:C2965"/>
    <mergeCell ref="B2966:C2966"/>
    <mergeCell ref="B2967:C2967"/>
    <mergeCell ref="B2968:C2968"/>
    <mergeCell ref="B2969:C2969"/>
    <mergeCell ref="B2970:C2970"/>
    <mergeCell ref="B2971:C2971"/>
    <mergeCell ref="B2972:C2972"/>
    <mergeCell ref="B2973:C2973"/>
    <mergeCell ref="B2974:C2974"/>
    <mergeCell ref="B2975:C2975"/>
    <mergeCell ref="B2976:C2976"/>
    <mergeCell ref="B2977:C2977"/>
    <mergeCell ref="B2978:C2978"/>
    <mergeCell ref="B2979:C2979"/>
    <mergeCell ref="B2980:C2980"/>
    <mergeCell ref="B2981:C2981"/>
    <mergeCell ref="B2982:C2982"/>
    <mergeCell ref="B2983:C2983"/>
    <mergeCell ref="B2984:C2984"/>
    <mergeCell ref="B2985:C2985"/>
    <mergeCell ref="B2986:C2986"/>
    <mergeCell ref="B2987:C2987"/>
    <mergeCell ref="B2988:C2988"/>
    <mergeCell ref="B2989:C2989"/>
    <mergeCell ref="B2990:C2990"/>
    <mergeCell ref="B2991:C2991"/>
    <mergeCell ref="B2992:C2992"/>
    <mergeCell ref="B2993:C2993"/>
    <mergeCell ref="B2994:C2994"/>
    <mergeCell ref="B2995:C2995"/>
    <mergeCell ref="B2996:C2996"/>
    <mergeCell ref="B2997:C2997"/>
    <mergeCell ref="B2998:C2998"/>
    <mergeCell ref="B2999:C2999"/>
    <mergeCell ref="B3000:C3000"/>
    <mergeCell ref="B3001:C3001"/>
    <mergeCell ref="B3002:C3002"/>
    <mergeCell ref="B3003:C3003"/>
    <mergeCell ref="B3004:C3004"/>
    <mergeCell ref="B3005:C3005"/>
    <mergeCell ref="B3006:C3006"/>
    <mergeCell ref="B3007:C3007"/>
    <mergeCell ref="B3008:C3008"/>
    <mergeCell ref="B3009:C3009"/>
    <mergeCell ref="B3010:C3010"/>
    <mergeCell ref="B3011:C3011"/>
    <mergeCell ref="B3012:C3012"/>
    <mergeCell ref="B3013:C3013"/>
    <mergeCell ref="B3014:C3014"/>
    <mergeCell ref="B3015:C3015"/>
    <mergeCell ref="B3016:C3016"/>
    <mergeCell ref="B3017:C3017"/>
    <mergeCell ref="B3018:C3018"/>
    <mergeCell ref="B3019:C3019"/>
    <mergeCell ref="B3020:C3020"/>
    <mergeCell ref="B3021:C3021"/>
    <mergeCell ref="B3022:C3022"/>
    <mergeCell ref="B3023:C3023"/>
    <mergeCell ref="B3024:C3024"/>
    <mergeCell ref="B3025:C3025"/>
    <mergeCell ref="B3026:C3026"/>
    <mergeCell ref="B3027:C3027"/>
    <mergeCell ref="B3028:C3028"/>
    <mergeCell ref="B3029:C3029"/>
    <mergeCell ref="B3030:C3030"/>
    <mergeCell ref="B3031:C3031"/>
    <mergeCell ref="B3032:C3032"/>
    <mergeCell ref="B3033:C3033"/>
    <mergeCell ref="B3034:C3034"/>
    <mergeCell ref="B3035:C3035"/>
    <mergeCell ref="B3036:C3036"/>
    <mergeCell ref="B3037:C3037"/>
    <mergeCell ref="B3038:C3038"/>
    <mergeCell ref="B3039:C3039"/>
    <mergeCell ref="B3040:C3040"/>
    <mergeCell ref="B3041:C3041"/>
    <mergeCell ref="B3042:C3042"/>
    <mergeCell ref="B3043:C3043"/>
    <mergeCell ref="B3044:C3044"/>
    <mergeCell ref="B3045:C3045"/>
    <mergeCell ref="B3046:C3046"/>
    <mergeCell ref="B3047:C3047"/>
    <mergeCell ref="B3048:C3048"/>
    <mergeCell ref="B3049:C3049"/>
    <mergeCell ref="B3050:C3050"/>
    <mergeCell ref="B3051:C3051"/>
    <mergeCell ref="B3052:C3052"/>
    <mergeCell ref="B3053:C3053"/>
    <mergeCell ref="B3054:C3054"/>
    <mergeCell ref="B3055:C3055"/>
    <mergeCell ref="B3056:C3056"/>
    <mergeCell ref="B3057:C3057"/>
    <mergeCell ref="B3058:C3058"/>
    <mergeCell ref="B3059:C3059"/>
    <mergeCell ref="B3060:C3060"/>
    <mergeCell ref="B3061:C3061"/>
    <mergeCell ref="B3062:C3062"/>
    <mergeCell ref="B3063:C3063"/>
    <mergeCell ref="B3064:C3064"/>
    <mergeCell ref="B3065:C3065"/>
    <mergeCell ref="B3066:C3066"/>
    <mergeCell ref="B3067:C3067"/>
    <mergeCell ref="B3068:C3068"/>
    <mergeCell ref="B3069:C3069"/>
    <mergeCell ref="B3070:C3070"/>
    <mergeCell ref="B3071:C3071"/>
    <mergeCell ref="B3072:C3072"/>
    <mergeCell ref="B3073:C3073"/>
    <mergeCell ref="B3074:C3074"/>
    <mergeCell ref="B3075:C3075"/>
    <mergeCell ref="B3076:C3076"/>
    <mergeCell ref="B3077:C3077"/>
    <mergeCell ref="B3078:C3078"/>
    <mergeCell ref="B3079:C3079"/>
    <mergeCell ref="B3080:C3080"/>
    <mergeCell ref="B3081:C3081"/>
    <mergeCell ref="B3082:C3082"/>
    <mergeCell ref="B3083:C3083"/>
    <mergeCell ref="B3084:C3084"/>
    <mergeCell ref="B3085:C3085"/>
    <mergeCell ref="B3086:C3086"/>
    <mergeCell ref="B3087:C3087"/>
    <mergeCell ref="B3088:C3088"/>
    <mergeCell ref="B3089:C3089"/>
    <mergeCell ref="B3090:C3090"/>
    <mergeCell ref="B3091:C3091"/>
    <mergeCell ref="B3092:C3092"/>
    <mergeCell ref="B3093:C3093"/>
    <mergeCell ref="B3094:C3094"/>
    <mergeCell ref="B3095:C3095"/>
    <mergeCell ref="B3096:C3096"/>
    <mergeCell ref="B3097:C3097"/>
    <mergeCell ref="B3098:C3098"/>
    <mergeCell ref="B3099:C3099"/>
    <mergeCell ref="B3100:C3100"/>
    <mergeCell ref="B3101:C3101"/>
    <mergeCell ref="B3102:C3102"/>
    <mergeCell ref="B3103:C3103"/>
    <mergeCell ref="B3104:C3104"/>
    <mergeCell ref="B3105:C3105"/>
    <mergeCell ref="B3106:C3106"/>
    <mergeCell ref="B3107:C3107"/>
    <mergeCell ref="B3108:C3108"/>
    <mergeCell ref="B3109:C3109"/>
    <mergeCell ref="B3110:C3110"/>
    <mergeCell ref="B3111:C3111"/>
    <mergeCell ref="B3112:C3112"/>
    <mergeCell ref="B3113:C3113"/>
    <mergeCell ref="B3114:C3114"/>
    <mergeCell ref="B3115:C3115"/>
    <mergeCell ref="B3116:C3116"/>
    <mergeCell ref="B3117:C3117"/>
    <mergeCell ref="B3118:C3118"/>
    <mergeCell ref="B3119:C3119"/>
    <mergeCell ref="B3120:C3120"/>
    <mergeCell ref="B3121:C3121"/>
    <mergeCell ref="B3122:C3122"/>
    <mergeCell ref="B3123:C3123"/>
    <mergeCell ref="B3124:C3124"/>
    <mergeCell ref="B3125:C3125"/>
    <mergeCell ref="B3126:C3126"/>
    <mergeCell ref="B3127:C3127"/>
    <mergeCell ref="B3128:C3128"/>
    <mergeCell ref="B3129:C3129"/>
    <mergeCell ref="B3130:C3130"/>
    <mergeCell ref="B3131:C3131"/>
    <mergeCell ref="B3132:C3132"/>
    <mergeCell ref="B3133:C3133"/>
    <mergeCell ref="B3134:C3134"/>
    <mergeCell ref="B3135:C3135"/>
    <mergeCell ref="B3136:C3136"/>
    <mergeCell ref="B3137:C3137"/>
    <mergeCell ref="B3138:C3138"/>
    <mergeCell ref="B3139:C3139"/>
    <mergeCell ref="B3140:C3140"/>
    <mergeCell ref="B5552:C5552"/>
    <mergeCell ref="B5553:C5553"/>
    <mergeCell ref="B5554:C5554"/>
    <mergeCell ref="B5555:C5555"/>
    <mergeCell ref="B5556:C5556"/>
    <mergeCell ref="B5557:C5557"/>
    <mergeCell ref="B5558:C5558"/>
    <mergeCell ref="B5559:C5559"/>
    <mergeCell ref="B5560:C5560"/>
    <mergeCell ref="B5561:C5561"/>
    <mergeCell ref="B5562:C5562"/>
    <mergeCell ref="B5563:C5563"/>
    <mergeCell ref="B5564:C5564"/>
    <mergeCell ref="B5565:C5565"/>
    <mergeCell ref="B5566:C5566"/>
    <mergeCell ref="B5567:C5567"/>
    <mergeCell ref="B5568:C5568"/>
    <mergeCell ref="B5569:C5569"/>
    <mergeCell ref="B5570:C5570"/>
    <mergeCell ref="B5571:C5571"/>
    <mergeCell ref="B5572:C5572"/>
    <mergeCell ref="B5573:C5573"/>
    <mergeCell ref="B5574:C5574"/>
    <mergeCell ref="B5575:C5575"/>
    <mergeCell ref="B5576:C5576"/>
    <mergeCell ref="B5577:C5577"/>
    <mergeCell ref="B5578:C5578"/>
    <mergeCell ref="B5579:C5579"/>
    <mergeCell ref="B5580:C5580"/>
    <mergeCell ref="B5581:C5581"/>
    <mergeCell ref="B5582:C5582"/>
    <mergeCell ref="B5583:C5583"/>
    <mergeCell ref="B5584:C5584"/>
    <mergeCell ref="B5585:C5585"/>
    <mergeCell ref="B5586:C5586"/>
    <mergeCell ref="B5587:C5587"/>
    <mergeCell ref="B5588:C5588"/>
    <mergeCell ref="B5589:C5589"/>
    <mergeCell ref="B5590:C5590"/>
    <mergeCell ref="B5591:C5591"/>
    <mergeCell ref="B5592:C5592"/>
    <mergeCell ref="B5593:C5593"/>
    <mergeCell ref="B5594:C5594"/>
    <mergeCell ref="B5595:C5595"/>
    <mergeCell ref="B5596:C5596"/>
    <mergeCell ref="B5597:C5597"/>
    <mergeCell ref="B5598:C5598"/>
    <mergeCell ref="B5599:C5599"/>
    <mergeCell ref="B5600:C5600"/>
    <mergeCell ref="B5601:C5601"/>
    <mergeCell ref="B5602:C5602"/>
    <mergeCell ref="B5603:C5603"/>
    <mergeCell ref="B5604:C5604"/>
    <mergeCell ref="B5605:C5605"/>
    <mergeCell ref="B5606:C5606"/>
    <mergeCell ref="B5607:C5607"/>
    <mergeCell ref="B5608:C5608"/>
    <mergeCell ref="B5610:C5610"/>
    <mergeCell ref="B5611:C5611"/>
    <mergeCell ref="B5612:C5612"/>
    <mergeCell ref="B5613:C5613"/>
    <mergeCell ref="B5614:C5614"/>
    <mergeCell ref="B5615:C5615"/>
    <mergeCell ref="B5616:C5616"/>
    <mergeCell ref="B5618:C5618"/>
    <mergeCell ref="B5619:C5619"/>
    <mergeCell ref="B5620:C5620"/>
    <mergeCell ref="B5621:C5621"/>
    <mergeCell ref="B5622:C5622"/>
    <mergeCell ref="B5623:C5623"/>
    <mergeCell ref="B5624:C5624"/>
    <mergeCell ref="B5625:C5625"/>
    <mergeCell ref="B5626:C5626"/>
    <mergeCell ref="B5627:C5627"/>
    <mergeCell ref="B5628:C5628"/>
    <mergeCell ref="B5629:C5629"/>
    <mergeCell ref="B5630:C5630"/>
    <mergeCell ref="B5631:C5631"/>
    <mergeCell ref="B5632:C5632"/>
    <mergeCell ref="B5633:C5633"/>
    <mergeCell ref="B5634:C5634"/>
    <mergeCell ref="B5635:C5635"/>
    <mergeCell ref="B5636:C5636"/>
    <mergeCell ref="B5637:C5637"/>
    <mergeCell ref="B5638:C5638"/>
    <mergeCell ref="B5639:C5639"/>
    <mergeCell ref="B5640:C5640"/>
    <mergeCell ref="B5641:C5641"/>
    <mergeCell ref="B5642:C5642"/>
    <mergeCell ref="B5643:C5643"/>
    <mergeCell ref="B5644:C5644"/>
    <mergeCell ref="B5645:C5645"/>
    <mergeCell ref="B5646:C5646"/>
    <mergeCell ref="B5647:C5647"/>
    <mergeCell ref="B5648:C5648"/>
    <mergeCell ref="B5649:C5649"/>
    <mergeCell ref="B5650:C5650"/>
    <mergeCell ref="B5651:C5651"/>
    <mergeCell ref="B5652:C5652"/>
    <mergeCell ref="B5653:C5653"/>
    <mergeCell ref="B5654:C5654"/>
    <mergeCell ref="B5655:C5655"/>
    <mergeCell ref="B5656:C5656"/>
    <mergeCell ref="B5657:C5657"/>
    <mergeCell ref="B5658:C5658"/>
    <mergeCell ref="B5659:C5659"/>
    <mergeCell ref="B5660:C5660"/>
    <mergeCell ref="B5661:C5661"/>
    <mergeCell ref="B5662:C5662"/>
    <mergeCell ref="B5663:C5663"/>
    <mergeCell ref="B5664:C5664"/>
    <mergeCell ref="B5665:C5665"/>
    <mergeCell ref="B5666:C5666"/>
    <mergeCell ref="B5667:C5667"/>
    <mergeCell ref="B5668:C5668"/>
    <mergeCell ref="B5669:C5669"/>
    <mergeCell ref="B5670:C5670"/>
    <mergeCell ref="B5671:C5671"/>
    <mergeCell ref="B5672:C5672"/>
    <mergeCell ref="B5673:C5673"/>
    <mergeCell ref="B5674:C5674"/>
    <mergeCell ref="B5675:C5675"/>
    <mergeCell ref="B5676:C5676"/>
    <mergeCell ref="B5677:C5677"/>
    <mergeCell ref="B5678:C5678"/>
    <mergeCell ref="B5679:C5679"/>
    <mergeCell ref="B5680:C5680"/>
    <mergeCell ref="B5681:C5681"/>
    <mergeCell ref="B5682:C5682"/>
    <mergeCell ref="B5683:C5683"/>
    <mergeCell ref="B5684:C5684"/>
    <mergeCell ref="B5685:C5685"/>
    <mergeCell ref="B5686:C5686"/>
    <mergeCell ref="B5687:C5687"/>
    <mergeCell ref="B5688:C5688"/>
    <mergeCell ref="B5689:C5689"/>
    <mergeCell ref="B5690:C5690"/>
    <mergeCell ref="B5691:C5691"/>
    <mergeCell ref="B5692:C5692"/>
    <mergeCell ref="B5693:C5693"/>
    <mergeCell ref="B5694:C5694"/>
    <mergeCell ref="B5695:C5695"/>
    <mergeCell ref="B5696:C5696"/>
    <mergeCell ref="B5697:C5697"/>
    <mergeCell ref="B5698:C5698"/>
    <mergeCell ref="B5699:C5699"/>
    <mergeCell ref="B5700:C5700"/>
    <mergeCell ref="B5702:C5702"/>
    <mergeCell ref="B5703:C5703"/>
    <mergeCell ref="B5704:C5704"/>
    <mergeCell ref="B5705:C5705"/>
    <mergeCell ref="B5706:C5706"/>
    <mergeCell ref="B5707:C5707"/>
    <mergeCell ref="B5708:C5708"/>
    <mergeCell ref="B5709:C5709"/>
    <mergeCell ref="B5710:C5710"/>
    <mergeCell ref="B5711:C5711"/>
    <mergeCell ref="B5712:C5712"/>
    <mergeCell ref="B5713:C5713"/>
    <mergeCell ref="B5714:C5714"/>
    <mergeCell ref="B5715:C5715"/>
    <mergeCell ref="B5716:C5716"/>
    <mergeCell ref="B5717:C5717"/>
    <mergeCell ref="B5718:C5718"/>
    <mergeCell ref="B5719:C5719"/>
    <mergeCell ref="B5720:C5720"/>
    <mergeCell ref="B5721:C5721"/>
    <mergeCell ref="B5722:C5722"/>
    <mergeCell ref="B5723:C5723"/>
    <mergeCell ref="B5724:C5724"/>
    <mergeCell ref="B5725:C5725"/>
    <mergeCell ref="B5726:C5726"/>
    <mergeCell ref="B5727:C5727"/>
    <mergeCell ref="B5728:C5728"/>
    <mergeCell ref="B5729:C5729"/>
    <mergeCell ref="B5730:C5730"/>
    <mergeCell ref="B5731:C5731"/>
    <mergeCell ref="B5732:C5732"/>
    <mergeCell ref="B5733:C5733"/>
    <mergeCell ref="B5734:C5734"/>
    <mergeCell ref="B5735:C5735"/>
    <mergeCell ref="B5736:C5736"/>
    <mergeCell ref="B5737:C5737"/>
    <mergeCell ref="B5738:C5738"/>
    <mergeCell ref="B5739:C5739"/>
    <mergeCell ref="B5741:C5741"/>
    <mergeCell ref="B5742:C5742"/>
    <mergeCell ref="B5743:C5743"/>
    <mergeCell ref="B5744:C5744"/>
    <mergeCell ref="B5745:C5745"/>
    <mergeCell ref="B5747:C5747"/>
    <mergeCell ref="B5748:C5748"/>
    <mergeCell ref="B5749:C5749"/>
    <mergeCell ref="B5750:C5750"/>
    <mergeCell ref="B5751:C5751"/>
    <mergeCell ref="B5752:C5752"/>
    <mergeCell ref="B5753:C5753"/>
    <mergeCell ref="B5754:C5754"/>
    <mergeCell ref="B5755:C5755"/>
    <mergeCell ref="B5756:C5756"/>
    <mergeCell ref="B5757:C5757"/>
    <mergeCell ref="B5758:C5758"/>
    <mergeCell ref="B5759:C5759"/>
    <mergeCell ref="B5760:C5760"/>
    <mergeCell ref="B5761:C5761"/>
    <mergeCell ref="B5762:C5762"/>
    <mergeCell ref="B5763:C5763"/>
    <mergeCell ref="B5764:C5764"/>
    <mergeCell ref="B5765:C5765"/>
    <mergeCell ref="B5766:C5766"/>
    <mergeCell ref="B5767:C5767"/>
    <mergeCell ref="B5768:C5768"/>
    <mergeCell ref="B5769:C5769"/>
    <mergeCell ref="B5770:C5770"/>
    <mergeCell ref="B5771:C5771"/>
    <mergeCell ref="B5772:C5772"/>
    <mergeCell ref="B5773:C5773"/>
    <mergeCell ref="B5774:C5774"/>
    <mergeCell ref="B5775:C5775"/>
    <mergeCell ref="B5776:C5776"/>
    <mergeCell ref="B5777:C5777"/>
    <mergeCell ref="B5778:C5778"/>
    <mergeCell ref="B5779:C5779"/>
    <mergeCell ref="B5780:C5780"/>
    <mergeCell ref="B5781:C5781"/>
    <mergeCell ref="B5782:C5782"/>
    <mergeCell ref="B5783:C5783"/>
    <mergeCell ref="B5784:C5784"/>
    <mergeCell ref="B5785:C5785"/>
    <mergeCell ref="B5786:C5786"/>
    <mergeCell ref="B5787:C5787"/>
    <mergeCell ref="B5788:C5788"/>
    <mergeCell ref="B5789:C5789"/>
    <mergeCell ref="B5790:C5790"/>
    <mergeCell ref="B5791:C5791"/>
    <mergeCell ref="B5792:C5792"/>
    <mergeCell ref="B5793:C5793"/>
    <mergeCell ref="B5794:C5794"/>
    <mergeCell ref="B5795:C5795"/>
    <mergeCell ref="B5796:C5796"/>
    <mergeCell ref="B5797:C5797"/>
    <mergeCell ref="B5799:C5799"/>
    <mergeCell ref="B5800:C5800"/>
    <mergeCell ref="B5801:C5801"/>
    <mergeCell ref="B5802:C5802"/>
    <mergeCell ref="B5803:C5803"/>
    <mergeCell ref="B5804:C5804"/>
    <mergeCell ref="B5805:C5805"/>
    <mergeCell ref="B5806:C5806"/>
    <mergeCell ref="B5807:C5807"/>
    <mergeCell ref="B5808:C5808"/>
    <mergeCell ref="B5809:C5809"/>
    <mergeCell ref="B5810:C5810"/>
    <mergeCell ref="B5811:C5811"/>
    <mergeCell ref="B5812:C5812"/>
    <mergeCell ref="B5813:C5813"/>
    <mergeCell ref="B5814:C5814"/>
    <mergeCell ref="B5815:C5815"/>
    <mergeCell ref="B5816:C5816"/>
    <mergeCell ref="B5817:C5817"/>
    <mergeCell ref="B5818:C5818"/>
    <mergeCell ref="B5819:C5819"/>
    <mergeCell ref="B5820:C5820"/>
    <mergeCell ref="B5821:C5821"/>
    <mergeCell ref="B5822:C5822"/>
    <mergeCell ref="B5823:C5823"/>
    <mergeCell ref="B5824:C5824"/>
    <mergeCell ref="B5825:C5825"/>
    <mergeCell ref="B5826:C5826"/>
    <mergeCell ref="B5827:C5827"/>
    <mergeCell ref="B5828:C5828"/>
    <mergeCell ref="B5829:C5829"/>
    <mergeCell ref="B5830:C5830"/>
    <mergeCell ref="B5831:C5831"/>
    <mergeCell ref="B5832:C5832"/>
    <mergeCell ref="B5833:C5833"/>
    <mergeCell ref="B5834:C5834"/>
    <mergeCell ref="B5835:C5835"/>
    <mergeCell ref="B5836:C5836"/>
    <mergeCell ref="B5837:C5837"/>
    <mergeCell ref="B5838:C5838"/>
    <mergeCell ref="B5839:C5839"/>
    <mergeCell ref="B5840:C5840"/>
    <mergeCell ref="B5841:C5841"/>
    <mergeCell ref="B5842:C5842"/>
    <mergeCell ref="B5843:C5843"/>
    <mergeCell ref="B5844:C5844"/>
    <mergeCell ref="B5845:C5845"/>
    <mergeCell ref="B5846:C5846"/>
    <mergeCell ref="B5847:C5847"/>
    <mergeCell ref="B5848:C5848"/>
    <mergeCell ref="B5849:C5849"/>
    <mergeCell ref="B5850:C5850"/>
    <mergeCell ref="B5851:C5851"/>
    <mergeCell ref="B5852:C5852"/>
    <mergeCell ref="B5853:C5853"/>
    <mergeCell ref="B5854:C5854"/>
    <mergeCell ref="B5855:C5855"/>
    <mergeCell ref="B5856:C5856"/>
    <mergeCell ref="B5857:C5857"/>
    <mergeCell ref="B5858:C5858"/>
    <mergeCell ref="B5859:C5859"/>
    <mergeCell ref="B5860:C5860"/>
    <mergeCell ref="B5861:C5861"/>
    <mergeCell ref="B5862:C5862"/>
    <mergeCell ref="B5863:C5863"/>
    <mergeCell ref="B5864:C5864"/>
    <mergeCell ref="B5865:C5865"/>
    <mergeCell ref="B5866:C5866"/>
    <mergeCell ref="B5867:C5867"/>
    <mergeCell ref="B5868:C5868"/>
    <mergeCell ref="B5869:C5869"/>
    <mergeCell ref="B5870:C5870"/>
    <mergeCell ref="B5871:C5871"/>
    <mergeCell ref="B5872:C5872"/>
    <mergeCell ref="B5873:C5873"/>
    <mergeCell ref="B5874:C5874"/>
    <mergeCell ref="B5875:C5875"/>
    <mergeCell ref="B5876:C5876"/>
    <mergeCell ref="B5877:C5877"/>
    <mergeCell ref="B5878:C5878"/>
    <mergeCell ref="B5879:C5879"/>
    <mergeCell ref="B5880:C5880"/>
    <mergeCell ref="B5881:C5881"/>
    <mergeCell ref="B5882:C5882"/>
    <mergeCell ref="B5883:C5883"/>
    <mergeCell ref="B5885:C5885"/>
    <mergeCell ref="B5886:C5886"/>
    <mergeCell ref="B5887:C5887"/>
    <mergeCell ref="B5888:C5888"/>
    <mergeCell ref="B5889:C5889"/>
    <mergeCell ref="B5890:C5890"/>
    <mergeCell ref="B5891:C5891"/>
    <mergeCell ref="B5892:C5892"/>
    <mergeCell ref="B5893:C5893"/>
    <mergeCell ref="B5894:C5894"/>
    <mergeCell ref="B5895:C5895"/>
    <mergeCell ref="B5896:C5896"/>
    <mergeCell ref="B5897:C5897"/>
    <mergeCell ref="B5898:C5898"/>
    <mergeCell ref="B5899:C5899"/>
    <mergeCell ref="B5900:C5900"/>
    <mergeCell ref="B5901:C5901"/>
    <mergeCell ref="B5902:C5902"/>
    <mergeCell ref="B5903:C5903"/>
    <mergeCell ref="B5904:C5904"/>
    <mergeCell ref="B5905:C5905"/>
    <mergeCell ref="B5906:C5906"/>
    <mergeCell ref="B5907:C5907"/>
    <mergeCell ref="B5908:C5908"/>
    <mergeCell ref="B5909:C5909"/>
    <mergeCell ref="B5910:C5910"/>
    <mergeCell ref="B5911:C5911"/>
    <mergeCell ref="B5912:C5912"/>
    <mergeCell ref="B5913:C5913"/>
    <mergeCell ref="B5914:C5914"/>
    <mergeCell ref="B5915:C5915"/>
    <mergeCell ref="B5916:C5916"/>
    <mergeCell ref="B5917:C5917"/>
    <mergeCell ref="B5918:C5918"/>
    <mergeCell ref="B5919:C5919"/>
    <mergeCell ref="B5920:C5920"/>
    <mergeCell ref="B5921:C5921"/>
    <mergeCell ref="B5922:C5922"/>
    <mergeCell ref="B5923:C5923"/>
    <mergeCell ref="B5924:C5924"/>
    <mergeCell ref="B5925:C5925"/>
    <mergeCell ref="B5926:C5926"/>
    <mergeCell ref="B5927:C5927"/>
    <mergeCell ref="B5928:C5928"/>
    <mergeCell ref="B5929:C5929"/>
    <mergeCell ref="B5930:C5930"/>
    <mergeCell ref="B5931:C5931"/>
    <mergeCell ref="B5932:C5932"/>
    <mergeCell ref="B5933:C5933"/>
    <mergeCell ref="B5934:C5934"/>
    <mergeCell ref="B5935:C5935"/>
    <mergeCell ref="B5936:C5936"/>
    <mergeCell ref="B5937:C5937"/>
    <mergeCell ref="B5938:C5938"/>
    <mergeCell ref="B5939:C5939"/>
    <mergeCell ref="B5940:C5940"/>
    <mergeCell ref="B5941:C5941"/>
    <mergeCell ref="B5942:C5942"/>
    <mergeCell ref="B5943:C5943"/>
    <mergeCell ref="B5944:C5944"/>
    <mergeCell ref="B5945:C5945"/>
    <mergeCell ref="B5946:C5946"/>
    <mergeCell ref="B5947:C5947"/>
    <mergeCell ref="B5948:C5948"/>
    <mergeCell ref="B5949:C5949"/>
    <mergeCell ref="B5950:C5950"/>
    <mergeCell ref="B5951:C5951"/>
    <mergeCell ref="B5952:C5952"/>
    <mergeCell ref="B5953:C5953"/>
    <mergeCell ref="B5954:C5954"/>
    <mergeCell ref="B5955:C5955"/>
    <mergeCell ref="B5956:C5956"/>
    <mergeCell ref="B5957:C5957"/>
    <mergeCell ref="B5958:C5958"/>
    <mergeCell ref="B5959:C5959"/>
    <mergeCell ref="B5960:C5960"/>
    <mergeCell ref="B5961:C5961"/>
    <mergeCell ref="B5962:C5962"/>
    <mergeCell ref="B5963:C5963"/>
    <mergeCell ref="B5964:C5964"/>
    <mergeCell ref="B5965:C5965"/>
    <mergeCell ref="B5966:C5966"/>
    <mergeCell ref="B5967:C5967"/>
    <mergeCell ref="B5968:C5968"/>
    <mergeCell ref="B5969:C5969"/>
    <mergeCell ref="B5970:C5970"/>
    <mergeCell ref="B5971:C5971"/>
    <mergeCell ref="B5972:C5972"/>
    <mergeCell ref="B5973:C5973"/>
    <mergeCell ref="B5974:C5974"/>
    <mergeCell ref="B5975:C5975"/>
    <mergeCell ref="B5976:C5976"/>
    <mergeCell ref="B5977:C5977"/>
    <mergeCell ref="B5978:C5978"/>
    <mergeCell ref="B5979:C5979"/>
    <mergeCell ref="B5980:C5980"/>
    <mergeCell ref="B5981:C5981"/>
    <mergeCell ref="B5982:C5982"/>
    <mergeCell ref="B5983:C5983"/>
    <mergeCell ref="B5984:C5984"/>
    <mergeCell ref="B5985:C5985"/>
    <mergeCell ref="B5986:C5986"/>
    <mergeCell ref="B5987:C5987"/>
    <mergeCell ref="B5988:C5988"/>
    <mergeCell ref="B5989:C5989"/>
    <mergeCell ref="B5990:C5990"/>
    <mergeCell ref="B5991:C5991"/>
    <mergeCell ref="B5992:C5992"/>
    <mergeCell ref="B5993:C5993"/>
    <mergeCell ref="B5994:C5994"/>
    <mergeCell ref="B5996:C5996"/>
    <mergeCell ref="B5997:C5997"/>
    <mergeCell ref="B5998:C5998"/>
    <mergeCell ref="B5999:C5999"/>
    <mergeCell ref="B6000:C6000"/>
    <mergeCell ref="B6001:C6001"/>
    <mergeCell ref="B6003:C6003"/>
    <mergeCell ref="B6004:C6004"/>
    <mergeCell ref="B6005:C6005"/>
    <mergeCell ref="B6006:C6006"/>
    <mergeCell ref="B6007:C6007"/>
    <mergeCell ref="B6008:C6008"/>
    <mergeCell ref="B6009:C6009"/>
    <mergeCell ref="B6010:C6010"/>
    <mergeCell ref="B6011:C6011"/>
    <mergeCell ref="B6012:C6012"/>
    <mergeCell ref="B6013:C6013"/>
    <mergeCell ref="B6014:C6014"/>
    <mergeCell ref="B6015:C6015"/>
    <mergeCell ref="B6016:C6016"/>
    <mergeCell ref="B6017:C6017"/>
    <mergeCell ref="B6018:C6018"/>
    <mergeCell ref="B6019:C6019"/>
    <mergeCell ref="B6020:C6020"/>
    <mergeCell ref="B6021:C6021"/>
    <mergeCell ref="B6022:C6022"/>
    <mergeCell ref="B6023:C6023"/>
    <mergeCell ref="B6024:C6024"/>
    <mergeCell ref="B6025:C6025"/>
    <mergeCell ref="B6026:C6026"/>
    <mergeCell ref="B6027:C6027"/>
    <mergeCell ref="B6028:C6028"/>
    <mergeCell ref="B6029:C6029"/>
    <mergeCell ref="B6030:C6030"/>
    <mergeCell ref="B6031:C6031"/>
    <mergeCell ref="B6032:C6032"/>
    <mergeCell ref="B6033:C6033"/>
    <mergeCell ref="B6034:C6034"/>
    <mergeCell ref="B6035:C6035"/>
    <mergeCell ref="B6036:C6036"/>
    <mergeCell ref="B6037:C6037"/>
    <mergeCell ref="B6038:C6038"/>
    <mergeCell ref="B6039:C6039"/>
    <mergeCell ref="B6040:C6040"/>
    <mergeCell ref="B6041:C6041"/>
    <mergeCell ref="B6042:C6042"/>
    <mergeCell ref="B6043:C6043"/>
    <mergeCell ref="B6044:C6044"/>
    <mergeCell ref="B6045:C6045"/>
    <mergeCell ref="B6046:C6046"/>
    <mergeCell ref="B6047:C6047"/>
    <mergeCell ref="B6048:C6048"/>
    <mergeCell ref="B6049:C6049"/>
    <mergeCell ref="B6050:C6050"/>
    <mergeCell ref="B6051:C6051"/>
    <mergeCell ref="B6052:C6052"/>
    <mergeCell ref="B6053:C6053"/>
    <mergeCell ref="B6054:C6054"/>
    <mergeCell ref="B6055:C6055"/>
    <mergeCell ref="B6056:C6056"/>
    <mergeCell ref="B6057:C6057"/>
    <mergeCell ref="B6058:C6058"/>
    <mergeCell ref="B6059:C6059"/>
    <mergeCell ref="B6060:C6060"/>
    <mergeCell ref="B6061:C6061"/>
    <mergeCell ref="B6062:C6062"/>
    <mergeCell ref="B6063:C6063"/>
    <mergeCell ref="B6064:C6064"/>
    <mergeCell ref="B6065:C6065"/>
    <mergeCell ref="B6066:C6066"/>
    <mergeCell ref="B6067:C6067"/>
    <mergeCell ref="B6068:C6068"/>
    <mergeCell ref="B6069:C6069"/>
    <mergeCell ref="B6070:C6070"/>
    <mergeCell ref="B6071:C6071"/>
    <mergeCell ref="B6072:C6072"/>
    <mergeCell ref="B6073:C6073"/>
    <mergeCell ref="B6074:C6074"/>
    <mergeCell ref="B6075:C6075"/>
    <mergeCell ref="B6076:C6076"/>
    <mergeCell ref="B6077:C6077"/>
    <mergeCell ref="B6078:C6078"/>
    <mergeCell ref="B6079:C6079"/>
    <mergeCell ref="B6080:C6080"/>
    <mergeCell ref="B6081:C6081"/>
    <mergeCell ref="B6082:C6082"/>
    <mergeCell ref="B6083:C6083"/>
    <mergeCell ref="B6084:C6084"/>
    <mergeCell ref="B6085:C6085"/>
    <mergeCell ref="B6086:C6086"/>
    <mergeCell ref="B6087:C6087"/>
    <mergeCell ref="B6088:C6088"/>
    <mergeCell ref="B6089:C6089"/>
    <mergeCell ref="B6090:C6090"/>
    <mergeCell ref="B6091:C6091"/>
    <mergeCell ref="B6092:C6092"/>
    <mergeCell ref="B6093:C6093"/>
    <mergeCell ref="B6094:C6094"/>
    <mergeCell ref="B6095:C6095"/>
    <mergeCell ref="B6096:C6096"/>
    <mergeCell ref="B6097:C6097"/>
    <mergeCell ref="B6098:C6098"/>
    <mergeCell ref="B6099:C6099"/>
    <mergeCell ref="B6100:C6100"/>
    <mergeCell ref="B6101:C6101"/>
    <mergeCell ref="B6102:C6102"/>
    <mergeCell ref="B6103:C6103"/>
    <mergeCell ref="B6104:C6104"/>
    <mergeCell ref="B6105:C6105"/>
    <mergeCell ref="B6106:C6106"/>
    <mergeCell ref="B6107:C6107"/>
    <mergeCell ref="B6108:C6108"/>
    <mergeCell ref="B6109:C6109"/>
    <mergeCell ref="B6110:C6110"/>
    <mergeCell ref="B6111:C6111"/>
    <mergeCell ref="B6112:C6112"/>
    <mergeCell ref="B6113:C6113"/>
    <mergeCell ref="B6114:C6114"/>
    <mergeCell ref="B6115:C6115"/>
    <mergeCell ref="B6116:C6116"/>
    <mergeCell ref="B6117:C6117"/>
    <mergeCell ref="B6118:C6118"/>
    <mergeCell ref="B6119:C6119"/>
    <mergeCell ref="B6120:C6120"/>
    <mergeCell ref="B6121:C6121"/>
    <mergeCell ref="B6122:C6122"/>
    <mergeCell ref="B6123:C6123"/>
    <mergeCell ref="B6124:C6124"/>
    <mergeCell ref="B6125:C6125"/>
    <mergeCell ref="B6126:C6126"/>
    <mergeCell ref="B6127:C6127"/>
    <mergeCell ref="B6128:C6128"/>
    <mergeCell ref="B6129:C6129"/>
    <mergeCell ref="B6130:C6130"/>
    <mergeCell ref="B6131:C6131"/>
    <mergeCell ref="B6132:C6132"/>
    <mergeCell ref="B6133:C6133"/>
    <mergeCell ref="B6134:C6134"/>
    <mergeCell ref="B6135:C6135"/>
    <mergeCell ref="B6136:C6136"/>
    <mergeCell ref="B6137:C6137"/>
    <mergeCell ref="B6138:C6138"/>
    <mergeCell ref="B6139:C6139"/>
    <mergeCell ref="B6140:C6140"/>
    <mergeCell ref="B6141:C6141"/>
    <mergeCell ref="B6142:C6142"/>
    <mergeCell ref="B6143:C6143"/>
    <mergeCell ref="B6144:C6144"/>
    <mergeCell ref="B6145:C6145"/>
    <mergeCell ref="B6146:C6146"/>
    <mergeCell ref="B6147:C6147"/>
    <mergeCell ref="B6148:C6148"/>
    <mergeCell ref="B6149:C6149"/>
    <mergeCell ref="B6150:C6150"/>
    <mergeCell ref="B6151:C6151"/>
    <mergeCell ref="B6152:C6152"/>
    <mergeCell ref="B6153:C6153"/>
    <mergeCell ref="B6154:C6154"/>
    <mergeCell ref="B6155:C6155"/>
    <mergeCell ref="B6156:C6156"/>
    <mergeCell ref="B6157:C6157"/>
    <mergeCell ref="B6158:C6158"/>
    <mergeCell ref="B6159:C6159"/>
    <mergeCell ref="B6160:C6160"/>
    <mergeCell ref="B6161:C6161"/>
    <mergeCell ref="B6162:C6162"/>
    <mergeCell ref="B6163:C6163"/>
    <mergeCell ref="B6164:C6164"/>
    <mergeCell ref="B6165:C6165"/>
    <mergeCell ref="B6166:C6166"/>
    <mergeCell ref="B6167:C6167"/>
    <mergeCell ref="B6168:C6168"/>
    <mergeCell ref="B6169:C6169"/>
    <mergeCell ref="B6170:C6170"/>
    <mergeCell ref="B6171:C6171"/>
    <mergeCell ref="B6172:C6172"/>
    <mergeCell ref="B6173:C6173"/>
    <mergeCell ref="B6174:C6174"/>
    <mergeCell ref="B6175:C6175"/>
    <mergeCell ref="B6176:C6176"/>
    <mergeCell ref="B6177:C6177"/>
    <mergeCell ref="B6178:C6178"/>
    <mergeCell ref="B6179:C6179"/>
    <mergeCell ref="B6180:C6180"/>
    <mergeCell ref="B6181:C6181"/>
    <mergeCell ref="B6182:C6182"/>
    <mergeCell ref="B6183:C6183"/>
    <mergeCell ref="B6184:C6184"/>
    <mergeCell ref="B6185:C6185"/>
    <mergeCell ref="B6186:C6186"/>
    <mergeCell ref="B6187:C6187"/>
    <mergeCell ref="B6188:C6188"/>
    <mergeCell ref="B6189:C6189"/>
    <mergeCell ref="B6190:C6190"/>
    <mergeCell ref="B6191:C6191"/>
    <mergeCell ref="B6192:C6192"/>
    <mergeCell ref="B6193:C6193"/>
    <mergeCell ref="B6194:C6194"/>
    <mergeCell ref="B6195:C6195"/>
    <mergeCell ref="B6196:C6196"/>
    <mergeCell ref="B6197:C6197"/>
    <mergeCell ref="B6198:C6198"/>
    <mergeCell ref="B6199:C6199"/>
    <mergeCell ref="B6200:C6200"/>
    <mergeCell ref="B6201:C6201"/>
    <mergeCell ref="B6202:C6202"/>
    <mergeCell ref="B6203:C6203"/>
    <mergeCell ref="B6204:C6204"/>
    <mergeCell ref="B6205:C6205"/>
    <mergeCell ref="B6206:C6206"/>
    <mergeCell ref="B6207:C6207"/>
    <mergeCell ref="B6208:C6208"/>
    <mergeCell ref="B6209:C6209"/>
    <mergeCell ref="B6210:C6210"/>
    <mergeCell ref="B6211:C6211"/>
    <mergeCell ref="B6212:C6212"/>
    <mergeCell ref="B6213:C6213"/>
    <mergeCell ref="B6214:C6214"/>
    <mergeCell ref="B6215:C6215"/>
    <mergeCell ref="B6216:C6216"/>
    <mergeCell ref="B6217:C6217"/>
    <mergeCell ref="B6218:C6218"/>
    <mergeCell ref="B6219:C6219"/>
    <mergeCell ref="B6220:C6220"/>
    <mergeCell ref="B6221:C6221"/>
    <mergeCell ref="B6222:C6222"/>
    <mergeCell ref="B6223:C6223"/>
    <mergeCell ref="B6225:C6225"/>
    <mergeCell ref="B6226:C6226"/>
    <mergeCell ref="B6227:C6227"/>
    <mergeCell ref="B6228:C6228"/>
    <mergeCell ref="B6229:C6229"/>
    <mergeCell ref="B6230:C6230"/>
    <mergeCell ref="B6231:C6231"/>
    <mergeCell ref="B6232:C6232"/>
    <mergeCell ref="B6233:C6233"/>
    <mergeCell ref="B6234:C6234"/>
    <mergeCell ref="B6235:C6235"/>
    <mergeCell ref="B6236:C6236"/>
    <mergeCell ref="B6237:C6237"/>
    <mergeCell ref="B6238:C6238"/>
    <mergeCell ref="B6239:C6239"/>
    <mergeCell ref="B6240:C6240"/>
    <mergeCell ref="B6241:C6241"/>
    <mergeCell ref="B6242:C6242"/>
    <mergeCell ref="B6243:C6243"/>
    <mergeCell ref="B6244:C6244"/>
    <mergeCell ref="B6245:C6245"/>
    <mergeCell ref="B6246:C6246"/>
    <mergeCell ref="B6247:C6247"/>
    <mergeCell ref="B6248:C6248"/>
    <mergeCell ref="B6249:C6249"/>
    <mergeCell ref="B6250:C6250"/>
    <mergeCell ref="B6251:C6251"/>
    <mergeCell ref="B6252:C6252"/>
    <mergeCell ref="B6253:C6253"/>
    <mergeCell ref="B6254:C6254"/>
    <mergeCell ref="B6255:C6255"/>
    <mergeCell ref="B6256:C6256"/>
    <mergeCell ref="B6257:C6257"/>
    <mergeCell ref="B6258:C6258"/>
    <mergeCell ref="B6259:C6259"/>
    <mergeCell ref="B6260:C6260"/>
    <mergeCell ref="B6261:C6261"/>
    <mergeCell ref="B6262:C6262"/>
    <mergeCell ref="B6263:C6263"/>
    <mergeCell ref="B6264:C6264"/>
    <mergeCell ref="B6265:C6265"/>
    <mergeCell ref="B6266:C6266"/>
    <mergeCell ref="B6267:C6267"/>
    <mergeCell ref="B6268:C6268"/>
    <mergeCell ref="B6269:C6269"/>
    <mergeCell ref="B6270:C6270"/>
    <mergeCell ref="B6271:C6271"/>
    <mergeCell ref="B6272:C6272"/>
    <mergeCell ref="B6273:C6273"/>
    <mergeCell ref="B6274:C6274"/>
    <mergeCell ref="B6275:C6275"/>
    <mergeCell ref="B6276:C6276"/>
    <mergeCell ref="B6277:C6277"/>
    <mergeCell ref="B6278:C6278"/>
    <mergeCell ref="B6279:C6279"/>
    <mergeCell ref="B6280:C6280"/>
    <mergeCell ref="B6281:C6281"/>
    <mergeCell ref="B6282:C6282"/>
    <mergeCell ref="B6283:C6283"/>
    <mergeCell ref="B6284:C6284"/>
    <mergeCell ref="B6285:C6285"/>
    <mergeCell ref="B6286:C6286"/>
    <mergeCell ref="B6287:C6287"/>
    <mergeCell ref="B6288:C6288"/>
    <mergeCell ref="B6289:C6289"/>
    <mergeCell ref="B6290:C6290"/>
    <mergeCell ref="B6291:C6291"/>
    <mergeCell ref="B6292:C6292"/>
    <mergeCell ref="B6293:C6293"/>
    <mergeCell ref="B6294:C6294"/>
    <mergeCell ref="B6295:C6295"/>
    <mergeCell ref="B6296:C6296"/>
    <mergeCell ref="B6297:C6297"/>
    <mergeCell ref="B6298:C6298"/>
    <mergeCell ref="B6299:C6299"/>
    <mergeCell ref="B6300:C6300"/>
    <mergeCell ref="B6301:C6301"/>
    <mergeCell ref="B6302:C6302"/>
    <mergeCell ref="B6303:C6303"/>
    <mergeCell ref="B6304:C6304"/>
    <mergeCell ref="B6305:C6305"/>
    <mergeCell ref="B6306:C6306"/>
    <mergeCell ref="B6307:C6307"/>
    <mergeCell ref="B6308:C6308"/>
    <mergeCell ref="B6309:C6309"/>
    <mergeCell ref="B6310:C6310"/>
    <mergeCell ref="B6311:C6311"/>
    <mergeCell ref="B6312:C6312"/>
    <mergeCell ref="B6313:C6313"/>
    <mergeCell ref="B6314:C6314"/>
    <mergeCell ref="B6315:C6315"/>
    <mergeCell ref="B6316:C6316"/>
    <mergeCell ref="B6317:C6317"/>
    <mergeCell ref="B6318:C6318"/>
    <mergeCell ref="B6319:C6319"/>
    <mergeCell ref="B6320:C6320"/>
    <mergeCell ref="B6321:C6321"/>
    <mergeCell ref="B6322:C6322"/>
    <mergeCell ref="B6323:C6323"/>
    <mergeCell ref="B6324:C6324"/>
    <mergeCell ref="B6325:C6325"/>
    <mergeCell ref="B6326:C6326"/>
    <mergeCell ref="B6327:C6327"/>
    <mergeCell ref="B6328:C6328"/>
    <mergeCell ref="B6329:C6329"/>
    <mergeCell ref="B6330:C6330"/>
    <mergeCell ref="B6331:C6331"/>
    <mergeCell ref="B6332:C6332"/>
    <mergeCell ref="B6333:C6333"/>
    <mergeCell ref="B6334:C6334"/>
    <mergeCell ref="B6335:C6335"/>
    <mergeCell ref="B6336:C6336"/>
    <mergeCell ref="B6337:C6337"/>
    <mergeCell ref="B6338:C6338"/>
    <mergeCell ref="B6339:C6339"/>
    <mergeCell ref="B6340:C6340"/>
    <mergeCell ref="B6341:C6341"/>
    <mergeCell ref="B6342:C6342"/>
    <mergeCell ref="B6343:C6343"/>
    <mergeCell ref="B6344:C6344"/>
    <mergeCell ref="B6345:C6345"/>
    <mergeCell ref="B6346:C6346"/>
    <mergeCell ref="B6347:C6347"/>
    <mergeCell ref="B6348:C6348"/>
    <mergeCell ref="B6349:C6349"/>
    <mergeCell ref="B6350:C6350"/>
    <mergeCell ref="B6351:C6351"/>
    <mergeCell ref="B6352:C6352"/>
    <mergeCell ref="B6353:C6353"/>
    <mergeCell ref="B6354:C6354"/>
    <mergeCell ref="B6355:C6355"/>
    <mergeCell ref="B6356:C6356"/>
    <mergeCell ref="B6357:C6357"/>
    <mergeCell ref="B6358:C6358"/>
    <mergeCell ref="B6359:C6359"/>
    <mergeCell ref="B6360:C6360"/>
    <mergeCell ref="B6361:C6361"/>
    <mergeCell ref="B6362:C6362"/>
    <mergeCell ref="B6363:C6363"/>
    <mergeCell ref="B6364:C6364"/>
    <mergeCell ref="B6365:C6365"/>
    <mergeCell ref="B6366:C6366"/>
    <mergeCell ref="B6367:C6367"/>
    <mergeCell ref="B6368:C6368"/>
    <mergeCell ref="B6369:C6369"/>
    <mergeCell ref="B6370:C6370"/>
    <mergeCell ref="B6371:C6371"/>
    <mergeCell ref="B6372:C6372"/>
    <mergeCell ref="B6373:C6373"/>
    <mergeCell ref="B6374:C6374"/>
    <mergeCell ref="B6375:C6375"/>
    <mergeCell ref="B6376:C6376"/>
    <mergeCell ref="B6377:C6377"/>
    <mergeCell ref="B6378:C6378"/>
    <mergeCell ref="B6379:C6379"/>
    <mergeCell ref="B6380:C6380"/>
    <mergeCell ref="B6381:C6381"/>
    <mergeCell ref="B6382:C6382"/>
    <mergeCell ref="B6383:C6383"/>
    <mergeCell ref="B6384:C6384"/>
    <mergeCell ref="B6385:C6385"/>
    <mergeCell ref="B6386:C6386"/>
    <mergeCell ref="B6387:C6387"/>
    <mergeCell ref="B6388:C6388"/>
    <mergeCell ref="B6389:C6389"/>
    <mergeCell ref="B6390:C6390"/>
    <mergeCell ref="B6391:C6391"/>
    <mergeCell ref="B6392:C6392"/>
    <mergeCell ref="B6393:C6393"/>
    <mergeCell ref="B6394:C6394"/>
    <mergeCell ref="B6395:C6395"/>
    <mergeCell ref="B6396:C6396"/>
    <mergeCell ref="B6397:C6397"/>
    <mergeCell ref="B6398:C6398"/>
    <mergeCell ref="B6400:C6400"/>
    <mergeCell ref="B6401:C6401"/>
    <mergeCell ref="B6402:C6402"/>
    <mergeCell ref="B6403:C6403"/>
    <mergeCell ref="B6404:C6404"/>
    <mergeCell ref="B6405:C6405"/>
    <mergeCell ref="B6406:C6406"/>
    <mergeCell ref="B6407:C6407"/>
    <mergeCell ref="B6408:C6408"/>
    <mergeCell ref="B6409:C6409"/>
    <mergeCell ref="B6410:C6410"/>
    <mergeCell ref="B6411:C6411"/>
    <mergeCell ref="B6412:C6412"/>
    <mergeCell ref="B6413:C6413"/>
    <mergeCell ref="B6414:C6414"/>
    <mergeCell ref="B6415:C6415"/>
    <mergeCell ref="B6416:C6416"/>
    <mergeCell ref="B6417:C6417"/>
    <mergeCell ref="B6418:C6418"/>
    <mergeCell ref="B6419:C6419"/>
    <mergeCell ref="B6420:C6420"/>
    <mergeCell ref="B6421:C6421"/>
    <mergeCell ref="B6422:C6422"/>
    <mergeCell ref="B6423:C6423"/>
    <mergeCell ref="B6424:C6424"/>
    <mergeCell ref="B6425:C6425"/>
    <mergeCell ref="B6426:C6426"/>
    <mergeCell ref="B6427:C6427"/>
    <mergeCell ref="B6428:C6428"/>
    <mergeCell ref="B6429:C6429"/>
    <mergeCell ref="B6430:C6430"/>
    <mergeCell ref="B6431:C6431"/>
    <mergeCell ref="B6432:C6432"/>
    <mergeCell ref="B6433:C6433"/>
    <mergeCell ref="B6434:C6434"/>
    <mergeCell ref="B6435:C6435"/>
    <mergeCell ref="B6436:C6436"/>
    <mergeCell ref="B6437:C6437"/>
    <mergeCell ref="B6438:C6438"/>
    <mergeCell ref="B6439:C6439"/>
    <mergeCell ref="B6440:C6440"/>
    <mergeCell ref="B6441:C6441"/>
    <mergeCell ref="B6442:C6442"/>
    <mergeCell ref="B6443:C6443"/>
    <mergeCell ref="B6444:C6444"/>
    <mergeCell ref="B6445:C6445"/>
    <mergeCell ref="B6446:C6446"/>
    <mergeCell ref="B6447:C6447"/>
    <mergeCell ref="B6448:C6448"/>
    <mergeCell ref="B6449:C6449"/>
    <mergeCell ref="B6450:C6450"/>
    <mergeCell ref="B6451:C6451"/>
    <mergeCell ref="B6452:C6452"/>
    <mergeCell ref="B6453:C6453"/>
    <mergeCell ref="B6454:C6454"/>
    <mergeCell ref="B6455:C6455"/>
    <mergeCell ref="B6456:C6456"/>
    <mergeCell ref="B6457:C6457"/>
    <mergeCell ref="B6458:C6458"/>
    <mergeCell ref="B6459:C6459"/>
    <mergeCell ref="B6460:C6460"/>
    <mergeCell ref="B6461:C6461"/>
    <mergeCell ref="B6462:C6462"/>
    <mergeCell ref="B6463:C6463"/>
    <mergeCell ref="B6464:C6464"/>
    <mergeCell ref="B6465:C6465"/>
    <mergeCell ref="B6466:C6466"/>
    <mergeCell ref="B6467:C6467"/>
    <mergeCell ref="B6468:C6468"/>
    <mergeCell ref="B6469:C6469"/>
    <mergeCell ref="B6470:C6470"/>
    <mergeCell ref="B6471:C6471"/>
    <mergeCell ref="B6472:C6472"/>
    <mergeCell ref="B6473:C6473"/>
    <mergeCell ref="B6474:C6474"/>
    <mergeCell ref="B6475:C6475"/>
    <mergeCell ref="B6476:C6476"/>
    <mergeCell ref="B6477:C6477"/>
    <mergeCell ref="B6478:C6478"/>
    <mergeCell ref="B6479:C6479"/>
    <mergeCell ref="B6480:C6480"/>
    <mergeCell ref="B6481:C6481"/>
    <mergeCell ref="B6482:C6482"/>
    <mergeCell ref="B6483:C6483"/>
    <mergeCell ref="B6484:C6484"/>
    <mergeCell ref="B6485:C6485"/>
    <mergeCell ref="B6486:C6486"/>
    <mergeCell ref="B6487:C6487"/>
    <mergeCell ref="B6488:C6488"/>
    <mergeCell ref="B6489:C6489"/>
    <mergeCell ref="B6490:C6490"/>
    <mergeCell ref="B6491:C6491"/>
    <mergeCell ref="B6492:C6492"/>
    <mergeCell ref="B6493:C6493"/>
    <mergeCell ref="B6494:C6494"/>
    <mergeCell ref="B6495:C6495"/>
    <mergeCell ref="B6496:C6496"/>
    <mergeCell ref="B6497:C6497"/>
    <mergeCell ref="B6498:C6498"/>
    <mergeCell ref="B6499:C6499"/>
    <mergeCell ref="B6500:C6500"/>
    <mergeCell ref="B6501:C6501"/>
    <mergeCell ref="B6502:C6502"/>
    <mergeCell ref="B6503:C6503"/>
    <mergeCell ref="B6504:C6504"/>
    <mergeCell ref="B6505:C6505"/>
    <mergeCell ref="B6506:C6506"/>
    <mergeCell ref="B6507:C6507"/>
    <mergeCell ref="B6508:C6508"/>
    <mergeCell ref="B6509:C6509"/>
    <mergeCell ref="B6510:C6510"/>
    <mergeCell ref="B6511:C6511"/>
    <mergeCell ref="B6512:C6512"/>
    <mergeCell ref="B6513:C6513"/>
    <mergeCell ref="B6514:C6514"/>
    <mergeCell ref="B6515:C6515"/>
    <mergeCell ref="B6516:C6516"/>
    <mergeCell ref="B6517:C6517"/>
    <mergeCell ref="B6518:C6518"/>
    <mergeCell ref="B6519:C6519"/>
    <mergeCell ref="B6520:C6520"/>
    <mergeCell ref="B6521:C6521"/>
    <mergeCell ref="B6522:C6522"/>
    <mergeCell ref="B6523:C6523"/>
    <mergeCell ref="B6524:C6524"/>
    <mergeCell ref="B6525:C6525"/>
    <mergeCell ref="B6526:C6526"/>
    <mergeCell ref="B6527:C6527"/>
    <mergeCell ref="B6528:C6528"/>
    <mergeCell ref="B6529:C6529"/>
    <mergeCell ref="B6530:C6530"/>
    <mergeCell ref="B6531:C6531"/>
    <mergeCell ref="B6532:C6532"/>
    <mergeCell ref="B6533:C6533"/>
    <mergeCell ref="B6534:C6534"/>
    <mergeCell ref="B6535:C6535"/>
    <mergeCell ref="B6536:C6536"/>
    <mergeCell ref="B6537:C6537"/>
    <mergeCell ref="B6538:C6538"/>
    <mergeCell ref="B6539:C6539"/>
    <mergeCell ref="B6540:C6540"/>
    <mergeCell ref="B6541:C6541"/>
    <mergeCell ref="B6542:C6542"/>
    <mergeCell ref="B6543:C6543"/>
    <mergeCell ref="B6544:C6544"/>
    <mergeCell ref="B6545:C6545"/>
    <mergeCell ref="B6546:C6546"/>
    <mergeCell ref="B6547:C6547"/>
    <mergeCell ref="B6548:C6548"/>
    <mergeCell ref="B6549:C6549"/>
    <mergeCell ref="B6550:C6550"/>
    <mergeCell ref="B6551:C6551"/>
    <mergeCell ref="B6552:C6552"/>
    <mergeCell ref="B6553:C6553"/>
    <mergeCell ref="B6554:C6554"/>
    <mergeCell ref="B6555:C6555"/>
    <mergeCell ref="B6556:C6556"/>
    <mergeCell ref="B6557:C6557"/>
    <mergeCell ref="B6558:C6558"/>
    <mergeCell ref="B6559:C6559"/>
    <mergeCell ref="B6560:C6560"/>
    <mergeCell ref="B6561:C6561"/>
    <mergeCell ref="B6562:C6562"/>
    <mergeCell ref="B6563:C6563"/>
    <mergeCell ref="B6564:C6564"/>
    <mergeCell ref="B6565:C6565"/>
    <mergeCell ref="B6566:C6566"/>
    <mergeCell ref="B6567:C6567"/>
    <mergeCell ref="B6568:C6568"/>
    <mergeCell ref="B6569:C6569"/>
    <mergeCell ref="B6570:C6570"/>
    <mergeCell ref="B6571:C6571"/>
    <mergeCell ref="B6572:C6572"/>
    <mergeCell ref="B6573:C6573"/>
    <mergeCell ref="B6574:C6574"/>
    <mergeCell ref="B6575:C6575"/>
    <mergeCell ref="B6576:C6576"/>
    <mergeCell ref="B6577:C6577"/>
    <mergeCell ref="B6578:C6578"/>
    <mergeCell ref="B6579:C6579"/>
    <mergeCell ref="B6580:C6580"/>
    <mergeCell ref="B6581:C6581"/>
    <mergeCell ref="B6582:C6582"/>
    <mergeCell ref="B6583:C6583"/>
    <mergeCell ref="B6584:C6584"/>
    <mergeCell ref="B6586:C6586"/>
    <mergeCell ref="B6587:C6587"/>
    <mergeCell ref="B6588:C6588"/>
    <mergeCell ref="B6589:C6589"/>
    <mergeCell ref="B6590:C6590"/>
    <mergeCell ref="B6591:C6591"/>
    <mergeCell ref="B6592:C6592"/>
    <mergeCell ref="B6593:C6593"/>
    <mergeCell ref="B6594:C6594"/>
    <mergeCell ref="B6595:C6595"/>
    <mergeCell ref="B6596:C6596"/>
    <mergeCell ref="B6597:C6597"/>
    <mergeCell ref="B6598:C6598"/>
    <mergeCell ref="B6599:C6599"/>
    <mergeCell ref="B6600:C6600"/>
    <mergeCell ref="B6601:C6601"/>
    <mergeCell ref="B6602:C6602"/>
    <mergeCell ref="B6603:C6603"/>
    <mergeCell ref="B6604:C6604"/>
    <mergeCell ref="B6605:C6605"/>
    <mergeCell ref="B6606:C6606"/>
    <mergeCell ref="B6607:C6607"/>
    <mergeCell ref="B6608:C6608"/>
    <mergeCell ref="B6609:C6609"/>
    <mergeCell ref="B6610:C6610"/>
    <mergeCell ref="B6611:C6611"/>
    <mergeCell ref="B6612:C6612"/>
    <mergeCell ref="B6613:C6613"/>
    <mergeCell ref="B6614:C6614"/>
    <mergeCell ref="B6615:C6615"/>
    <mergeCell ref="B6616:C6616"/>
    <mergeCell ref="B6617:C6617"/>
    <mergeCell ref="B6618:C6618"/>
    <mergeCell ref="B6619:C6619"/>
    <mergeCell ref="B6620:C6620"/>
    <mergeCell ref="B6621:C6621"/>
    <mergeCell ref="B6622:C6622"/>
    <mergeCell ref="B6623:C6623"/>
    <mergeCell ref="B6624:C6624"/>
    <mergeCell ref="B6625:C6625"/>
    <mergeCell ref="B6626:C6626"/>
    <mergeCell ref="B6627:C6627"/>
    <mergeCell ref="B6628:C6628"/>
    <mergeCell ref="B6629:C6629"/>
    <mergeCell ref="B6630:C6630"/>
    <mergeCell ref="B6631:C6631"/>
    <mergeCell ref="B6632:C6632"/>
    <mergeCell ref="B6633:C6633"/>
    <mergeCell ref="B6634:C6634"/>
    <mergeCell ref="B6635:C6635"/>
    <mergeCell ref="B6636:C6636"/>
    <mergeCell ref="B6637:C6637"/>
    <mergeCell ref="B6638:C6638"/>
    <mergeCell ref="B6639:C6639"/>
    <mergeCell ref="B6640:C6640"/>
    <mergeCell ref="B6641:C6641"/>
    <mergeCell ref="B6642:C6642"/>
    <mergeCell ref="B6643:C6643"/>
    <mergeCell ref="B6644:C6644"/>
    <mergeCell ref="B6645:C6645"/>
    <mergeCell ref="B6646:C6646"/>
    <mergeCell ref="B6647:C6647"/>
    <mergeCell ref="B6648:C6648"/>
    <mergeCell ref="B6649:C6649"/>
    <mergeCell ref="B6650:C6650"/>
    <mergeCell ref="B6651:C6651"/>
    <mergeCell ref="B6652:C6652"/>
    <mergeCell ref="B6653:C6653"/>
    <mergeCell ref="B6654:C6654"/>
    <mergeCell ref="B6655:C6655"/>
    <mergeCell ref="B6656:C6656"/>
    <mergeCell ref="B6657:C6657"/>
    <mergeCell ref="B6658:C6658"/>
    <mergeCell ref="B6659:C6659"/>
    <mergeCell ref="B6660:C6660"/>
    <mergeCell ref="B6661:C6661"/>
    <mergeCell ref="B6662:C6662"/>
    <mergeCell ref="B6663:C6663"/>
    <mergeCell ref="B6664:C6664"/>
    <mergeCell ref="B6665:C6665"/>
    <mergeCell ref="B6666:C6666"/>
    <mergeCell ref="B6667:C6667"/>
    <mergeCell ref="B6668:C6668"/>
    <mergeCell ref="B6669:C6669"/>
    <mergeCell ref="B6670:C6670"/>
    <mergeCell ref="B6671:C6671"/>
    <mergeCell ref="B6672:C6672"/>
    <mergeCell ref="B6673:C6673"/>
    <mergeCell ref="B6674:C6674"/>
    <mergeCell ref="B6675:C6675"/>
    <mergeCell ref="B6676:C6676"/>
    <mergeCell ref="B6677:C6677"/>
    <mergeCell ref="B6678:C6678"/>
    <mergeCell ref="B6679:C6679"/>
    <mergeCell ref="B6680:C6680"/>
    <mergeCell ref="B6681:C6681"/>
    <mergeCell ref="B6682:C6682"/>
    <mergeCell ref="B6683:C6683"/>
    <mergeCell ref="B6684:C6684"/>
    <mergeCell ref="B6685:C6685"/>
    <mergeCell ref="B6686:C6686"/>
    <mergeCell ref="B6687:C6687"/>
    <mergeCell ref="B6688:C6688"/>
    <mergeCell ref="B6689:C6689"/>
    <mergeCell ref="B6690:C6690"/>
    <mergeCell ref="B6691:C6691"/>
    <mergeCell ref="B6692:C6692"/>
    <mergeCell ref="B6693:C6693"/>
    <mergeCell ref="B6694:C6694"/>
    <mergeCell ref="B6695:C6695"/>
    <mergeCell ref="B6696:C6696"/>
    <mergeCell ref="B6697:C6697"/>
    <mergeCell ref="B6698:C6698"/>
    <mergeCell ref="B6699:C6699"/>
    <mergeCell ref="B6700:C6700"/>
    <mergeCell ref="B6701:C6701"/>
    <mergeCell ref="B6702:C6702"/>
    <mergeCell ref="B6703:C6703"/>
    <mergeCell ref="B6704:C6704"/>
    <mergeCell ref="B6705:C6705"/>
    <mergeCell ref="B6706:C6706"/>
    <mergeCell ref="B6707:C6707"/>
    <mergeCell ref="B6708:C6708"/>
    <mergeCell ref="B6709:C6709"/>
    <mergeCell ref="B6710:C6710"/>
    <mergeCell ref="B6711:C6711"/>
    <mergeCell ref="B6712:C6712"/>
    <mergeCell ref="B6713:C6713"/>
    <mergeCell ref="B6714:C6714"/>
    <mergeCell ref="B6715:C6715"/>
    <mergeCell ref="B6716:C6716"/>
    <mergeCell ref="B6717:C6717"/>
    <mergeCell ref="B6718:C6718"/>
    <mergeCell ref="B6719:C6719"/>
    <mergeCell ref="B6720:C6720"/>
    <mergeCell ref="B6721:C6721"/>
    <mergeCell ref="B6722:C6722"/>
    <mergeCell ref="B6723:C6723"/>
    <mergeCell ref="B6724:C6724"/>
    <mergeCell ref="B6725:C6725"/>
    <mergeCell ref="B6726:C6726"/>
    <mergeCell ref="B6727:C6727"/>
    <mergeCell ref="B6728:C6728"/>
    <mergeCell ref="B6729:C6729"/>
    <mergeCell ref="B6730:C6730"/>
    <mergeCell ref="B6731:C6731"/>
    <mergeCell ref="B6732:C6732"/>
    <mergeCell ref="B6733:C6733"/>
    <mergeCell ref="B6734:C6734"/>
    <mergeCell ref="B6735:C6735"/>
    <mergeCell ref="B6736:C6736"/>
    <mergeCell ref="B6737:C6737"/>
    <mergeCell ref="B6738:C6738"/>
    <mergeCell ref="B6739:C6739"/>
    <mergeCell ref="B6740:C6740"/>
    <mergeCell ref="B6741:C6741"/>
    <mergeCell ref="B6742:C6742"/>
    <mergeCell ref="B6743:C6743"/>
    <mergeCell ref="B6744:C6744"/>
    <mergeCell ref="B6745:C6745"/>
    <mergeCell ref="B6746:C6746"/>
    <mergeCell ref="B6747:C6747"/>
    <mergeCell ref="B6748:C6748"/>
    <mergeCell ref="B6749:C6749"/>
    <mergeCell ref="B6750:C6750"/>
    <mergeCell ref="B6751:C6751"/>
    <mergeCell ref="B6752:C6752"/>
    <mergeCell ref="B6753:C6753"/>
    <mergeCell ref="B6754:C6754"/>
    <mergeCell ref="B6755:C6755"/>
    <mergeCell ref="B6756:C6756"/>
    <mergeCell ref="B6757:C6757"/>
    <mergeCell ref="B6758:C6758"/>
    <mergeCell ref="B6759:C6759"/>
    <mergeCell ref="B6760:C6760"/>
    <mergeCell ref="B6761:C6761"/>
    <mergeCell ref="B6762:C6762"/>
    <mergeCell ref="B6763:C6763"/>
    <mergeCell ref="B6764:C6764"/>
    <mergeCell ref="B6765:C6765"/>
    <mergeCell ref="B6766:C6766"/>
    <mergeCell ref="B6767:C6767"/>
    <mergeCell ref="B6768:C6768"/>
    <mergeCell ref="B6769:C6769"/>
    <mergeCell ref="B6770:C6770"/>
    <mergeCell ref="B6771:C6771"/>
    <mergeCell ref="B6772:C6772"/>
    <mergeCell ref="B6773:C6773"/>
    <mergeCell ref="B6774:C6774"/>
    <mergeCell ref="B6775:C6775"/>
    <mergeCell ref="B6776:C6776"/>
    <mergeCell ref="B6777:C6777"/>
    <mergeCell ref="B6778:C6778"/>
    <mergeCell ref="B6779:C6779"/>
    <mergeCell ref="B6780:C6780"/>
    <mergeCell ref="B6781:C6781"/>
    <mergeCell ref="B6782:C6782"/>
    <mergeCell ref="B6783:C6783"/>
    <mergeCell ref="B6784:C6784"/>
    <mergeCell ref="B6785:C6785"/>
    <mergeCell ref="B6786:C6786"/>
    <mergeCell ref="B6787:C6787"/>
    <mergeCell ref="B6788:C6788"/>
    <mergeCell ref="B6789:C6789"/>
    <mergeCell ref="B6790:C6790"/>
    <mergeCell ref="B6791:C6791"/>
    <mergeCell ref="B6792:C6792"/>
    <mergeCell ref="B6793:C6793"/>
    <mergeCell ref="B6794:C6794"/>
    <mergeCell ref="B6795:C6795"/>
    <mergeCell ref="B6796:C6796"/>
    <mergeCell ref="B6797:C6797"/>
    <mergeCell ref="B6798:C6798"/>
    <mergeCell ref="B6799:C6799"/>
    <mergeCell ref="B6800:C6800"/>
    <mergeCell ref="B6801:C6801"/>
    <mergeCell ref="B6802:C6802"/>
    <mergeCell ref="B6803:C6803"/>
    <mergeCell ref="B6804:C6804"/>
    <mergeCell ref="B6805:C6805"/>
    <mergeCell ref="B6806:C6806"/>
    <mergeCell ref="B6807:C6807"/>
    <mergeCell ref="B6808:C6808"/>
    <mergeCell ref="B6809:C6809"/>
    <mergeCell ref="B6810:C6810"/>
    <mergeCell ref="B6811:C6811"/>
    <mergeCell ref="B6812:C6812"/>
    <mergeCell ref="B6813:C6813"/>
    <mergeCell ref="B6814:C6814"/>
    <mergeCell ref="B6815:C6815"/>
    <mergeCell ref="B6816:C6816"/>
    <mergeCell ref="B6817:C6817"/>
    <mergeCell ref="B6818:C6818"/>
    <mergeCell ref="B6819:C6819"/>
    <mergeCell ref="B6820:C6820"/>
    <mergeCell ref="B6821:C6821"/>
    <mergeCell ref="B6822:C6822"/>
    <mergeCell ref="B6823:C6823"/>
    <mergeCell ref="B6824:C6824"/>
    <mergeCell ref="B6825:C6825"/>
    <mergeCell ref="B6826:C6826"/>
    <mergeCell ref="B6827:C6827"/>
    <mergeCell ref="B6828:C6828"/>
    <mergeCell ref="B6829:C6829"/>
    <mergeCell ref="B6830:C6830"/>
    <mergeCell ref="B6831:C6831"/>
    <mergeCell ref="B6832:C6832"/>
    <mergeCell ref="B6833:C6833"/>
    <mergeCell ref="B6834:C6834"/>
    <mergeCell ref="B6835:C6835"/>
    <mergeCell ref="B6836:C6836"/>
    <mergeCell ref="B6837:C6837"/>
    <mergeCell ref="B6838:C6838"/>
    <mergeCell ref="B6839:C6839"/>
    <mergeCell ref="B6840:C6840"/>
    <mergeCell ref="B6841:C6841"/>
    <mergeCell ref="B6842:C6842"/>
    <mergeCell ref="B6843:C6843"/>
    <mergeCell ref="B6844:C6844"/>
    <mergeCell ref="B6845:C6845"/>
    <mergeCell ref="B6846:C6846"/>
    <mergeCell ref="B6847:C6847"/>
    <mergeCell ref="B6848:C6848"/>
    <mergeCell ref="B6849:C6849"/>
    <mergeCell ref="B6850:C6850"/>
    <mergeCell ref="B6851:C6851"/>
    <mergeCell ref="B6852:C6852"/>
    <mergeCell ref="B6853:C6853"/>
    <mergeCell ref="B6854:C6854"/>
    <mergeCell ref="B6855:C6855"/>
    <mergeCell ref="B6856:C6856"/>
    <mergeCell ref="B6857:C6857"/>
    <mergeCell ref="B6858:C6858"/>
    <mergeCell ref="B6859:C6859"/>
    <mergeCell ref="B6860:C6860"/>
    <mergeCell ref="B6861:C6861"/>
    <mergeCell ref="B6862:C6862"/>
    <mergeCell ref="B6863:C6863"/>
    <mergeCell ref="B6864:C6864"/>
    <mergeCell ref="B6865:C6865"/>
    <mergeCell ref="B6866:C6866"/>
    <mergeCell ref="B6867:C6867"/>
    <mergeCell ref="B6868:C6868"/>
    <mergeCell ref="B6869:C6869"/>
    <mergeCell ref="B6870:C6870"/>
    <mergeCell ref="B6871:C6871"/>
    <mergeCell ref="B6872:C6872"/>
    <mergeCell ref="B6873:C6873"/>
    <mergeCell ref="B6874:C6874"/>
    <mergeCell ref="B6875:C6875"/>
    <mergeCell ref="B6876:C6876"/>
    <mergeCell ref="B6877:C6877"/>
    <mergeCell ref="B6878:C6878"/>
    <mergeCell ref="B6879:C6879"/>
    <mergeCell ref="B6880:C6880"/>
    <mergeCell ref="B6881:C6881"/>
    <mergeCell ref="B6882:C6882"/>
    <mergeCell ref="B6883:C6883"/>
    <mergeCell ref="B6884:C6884"/>
    <mergeCell ref="B6885:C6885"/>
    <mergeCell ref="B6886:C6886"/>
    <mergeCell ref="B6887:C6887"/>
    <mergeCell ref="B6888:C6888"/>
    <mergeCell ref="B6889:C6889"/>
    <mergeCell ref="B6890:C6890"/>
    <mergeCell ref="B6891:C6891"/>
    <mergeCell ref="B6892:C6892"/>
    <mergeCell ref="B6893:C6893"/>
    <mergeCell ref="B6894:C6894"/>
    <mergeCell ref="B6895:C6895"/>
    <mergeCell ref="B6896:C6896"/>
    <mergeCell ref="B6897:C6897"/>
    <mergeCell ref="B6898:C6898"/>
    <mergeCell ref="B6899:C6899"/>
    <mergeCell ref="B6900:C6900"/>
    <mergeCell ref="B6901:C6901"/>
    <mergeCell ref="B6902:C6902"/>
    <mergeCell ref="B6903:C6903"/>
    <mergeCell ref="B6904:C6904"/>
    <mergeCell ref="B6905:C6905"/>
    <mergeCell ref="B6906:C6906"/>
    <mergeCell ref="B6907:C6907"/>
    <mergeCell ref="B6908:C6908"/>
    <mergeCell ref="B6909:C6909"/>
    <mergeCell ref="B6910:C6910"/>
    <mergeCell ref="B6911:C6911"/>
    <mergeCell ref="B6912:C6912"/>
    <mergeCell ref="B6914:C6914"/>
    <mergeCell ref="B6915:C6915"/>
    <mergeCell ref="B6916:C6916"/>
    <mergeCell ref="B6917:C6917"/>
    <mergeCell ref="B6918:C6918"/>
    <mergeCell ref="B6919:C6919"/>
    <mergeCell ref="B6920:C6920"/>
    <mergeCell ref="B6921:C6921"/>
    <mergeCell ref="B6922:C6922"/>
    <mergeCell ref="B6923:C6923"/>
    <mergeCell ref="B6924:C6924"/>
    <mergeCell ref="B6925:C6925"/>
    <mergeCell ref="B6926:C6926"/>
    <mergeCell ref="B6927:C6927"/>
    <mergeCell ref="B6928:C6928"/>
    <mergeCell ref="B6929:C6929"/>
    <mergeCell ref="B6930:C6930"/>
    <mergeCell ref="B6931:C6931"/>
    <mergeCell ref="B6932:C6932"/>
    <mergeCell ref="B6933:C6933"/>
    <mergeCell ref="B6934:C6934"/>
    <mergeCell ref="B6935:C6935"/>
    <mergeCell ref="B6936:C6936"/>
    <mergeCell ref="B6937:C6937"/>
    <mergeCell ref="B6938:C6938"/>
    <mergeCell ref="B6939:C6939"/>
    <mergeCell ref="B6940:C6940"/>
    <mergeCell ref="B6941:C6941"/>
    <mergeCell ref="B6942:C6942"/>
    <mergeCell ref="B6943:C6943"/>
    <mergeCell ref="B6944:C6944"/>
    <mergeCell ref="B6945:C6945"/>
    <mergeCell ref="B6946:C6946"/>
    <mergeCell ref="B6947:C6947"/>
    <mergeCell ref="B6948:C6948"/>
    <mergeCell ref="B6949:C6949"/>
    <mergeCell ref="B6950:C6950"/>
    <mergeCell ref="B6951:C6951"/>
    <mergeCell ref="B6952:C6952"/>
    <mergeCell ref="B6953:C6953"/>
    <mergeCell ref="B6954:C6954"/>
    <mergeCell ref="B6955:C6955"/>
    <mergeCell ref="B6956:C6956"/>
    <mergeCell ref="B6957:C6957"/>
    <mergeCell ref="B6958:C6958"/>
    <mergeCell ref="B6959:C6959"/>
    <mergeCell ref="B6960:C6960"/>
    <mergeCell ref="B6961:C6961"/>
    <mergeCell ref="B6962:C6962"/>
    <mergeCell ref="B6963:C6963"/>
    <mergeCell ref="B6964:C6964"/>
    <mergeCell ref="B6965:C6965"/>
    <mergeCell ref="B6966:C6966"/>
    <mergeCell ref="B6967:C6967"/>
    <mergeCell ref="B6968:C6968"/>
    <mergeCell ref="B6969:C6969"/>
    <mergeCell ref="B6970:C6970"/>
    <mergeCell ref="B6971:C6971"/>
    <mergeCell ref="B6972:C6972"/>
    <mergeCell ref="B6973:C6973"/>
    <mergeCell ref="B6974:C6974"/>
    <mergeCell ref="B6975:C6975"/>
    <mergeCell ref="B6976:C6976"/>
    <mergeCell ref="B6977:C6977"/>
    <mergeCell ref="B6978:C6978"/>
    <mergeCell ref="B6979:C6979"/>
    <mergeCell ref="B6980:C6980"/>
    <mergeCell ref="B6981:C6981"/>
    <mergeCell ref="B6982:C6982"/>
    <mergeCell ref="B6983:C6983"/>
    <mergeCell ref="B6984:C6984"/>
    <mergeCell ref="B6985:C6985"/>
    <mergeCell ref="B6986:C6986"/>
    <mergeCell ref="B6987:C6987"/>
    <mergeCell ref="B6988:C6988"/>
    <mergeCell ref="B6989:C6989"/>
    <mergeCell ref="B6990:C6990"/>
    <mergeCell ref="B6991:C6991"/>
    <mergeCell ref="B6992:C6992"/>
    <mergeCell ref="B6993:C6993"/>
    <mergeCell ref="B6994:C6994"/>
    <mergeCell ref="B6995:C6995"/>
    <mergeCell ref="B6996:C6996"/>
    <mergeCell ref="B6997:C6997"/>
    <mergeCell ref="B6998:C6998"/>
    <mergeCell ref="B6999:C6999"/>
    <mergeCell ref="B7000:C7000"/>
    <mergeCell ref="B7001:C7001"/>
    <mergeCell ref="B7002:C7002"/>
    <mergeCell ref="B7003:C7003"/>
    <mergeCell ref="B7004:C7004"/>
    <mergeCell ref="B7005:C7005"/>
    <mergeCell ref="B7006:C7006"/>
    <mergeCell ref="B7007:C7007"/>
    <mergeCell ref="B7008:C7008"/>
    <mergeCell ref="B7009:C7009"/>
    <mergeCell ref="B7010:C7010"/>
    <mergeCell ref="B7011:C7011"/>
    <mergeCell ref="B7012:C7012"/>
    <mergeCell ref="B7013:C7013"/>
    <mergeCell ref="B7014:C7014"/>
    <mergeCell ref="B7015:C7015"/>
    <mergeCell ref="B7016:C7016"/>
    <mergeCell ref="B7017:C7017"/>
    <mergeCell ref="B7018:C7018"/>
    <mergeCell ref="B7019:C7019"/>
    <mergeCell ref="B7020:C7020"/>
    <mergeCell ref="B7021:C7021"/>
    <mergeCell ref="B7022:C7022"/>
    <mergeCell ref="B7023:C7023"/>
    <mergeCell ref="B7024:C7024"/>
    <mergeCell ref="B7025:C7025"/>
    <mergeCell ref="B7026:C7026"/>
    <mergeCell ref="B7027:C7027"/>
    <mergeCell ref="B7028:C7028"/>
    <mergeCell ref="B7029:C7029"/>
    <mergeCell ref="B7030:C7030"/>
    <mergeCell ref="B7031:C7031"/>
    <mergeCell ref="B7032:C7032"/>
    <mergeCell ref="B7033:C7033"/>
    <mergeCell ref="B7034:C7034"/>
    <mergeCell ref="B7035:C7035"/>
    <mergeCell ref="B7036:C7036"/>
    <mergeCell ref="B7037:C7037"/>
    <mergeCell ref="B7038:C7038"/>
    <mergeCell ref="B7039:C7039"/>
    <mergeCell ref="B7040:C7040"/>
    <mergeCell ref="B7041:C7041"/>
    <mergeCell ref="B7042:C7042"/>
    <mergeCell ref="B7043:C7043"/>
    <mergeCell ref="B7044:C7044"/>
    <mergeCell ref="B7045:C7045"/>
    <mergeCell ref="B7046:C7046"/>
    <mergeCell ref="B7047:C7047"/>
    <mergeCell ref="B7048:C7048"/>
    <mergeCell ref="B7049:C7049"/>
    <mergeCell ref="B7050:C7050"/>
    <mergeCell ref="B7051:C7051"/>
    <mergeCell ref="B7052:C7052"/>
    <mergeCell ref="B7053:C7053"/>
    <mergeCell ref="B7054:C7054"/>
    <mergeCell ref="B7055:C7055"/>
    <mergeCell ref="B7056:C7056"/>
    <mergeCell ref="B7057:C7057"/>
    <mergeCell ref="B7058:C7058"/>
    <mergeCell ref="B7059:C7059"/>
    <mergeCell ref="B7060:C7060"/>
    <mergeCell ref="B7061:C7061"/>
    <mergeCell ref="B7062:C7062"/>
    <mergeCell ref="B7063:C7063"/>
    <mergeCell ref="B7064:C7064"/>
    <mergeCell ref="B7065:C7065"/>
    <mergeCell ref="B7066:C7066"/>
    <mergeCell ref="B7067:C7067"/>
    <mergeCell ref="B7068:C7068"/>
    <mergeCell ref="B7069:C7069"/>
    <mergeCell ref="B7070:C7070"/>
    <mergeCell ref="B7071:C7071"/>
    <mergeCell ref="B7072:C7072"/>
    <mergeCell ref="B7073:C7073"/>
    <mergeCell ref="B7074:C7074"/>
    <mergeCell ref="B7075:C7075"/>
    <mergeCell ref="B7076:C7076"/>
    <mergeCell ref="B7077:C7077"/>
    <mergeCell ref="B7078:C7078"/>
    <mergeCell ref="B7079:C7079"/>
    <mergeCell ref="B7080:C7080"/>
    <mergeCell ref="B7081:C7081"/>
    <mergeCell ref="B7082:C7082"/>
    <mergeCell ref="B7083:C7083"/>
    <mergeCell ref="B7084:C7084"/>
    <mergeCell ref="B7085:C7085"/>
    <mergeCell ref="B7086:C7086"/>
    <mergeCell ref="B7087:C7087"/>
    <mergeCell ref="B7088:C7088"/>
    <mergeCell ref="B7089:C7089"/>
    <mergeCell ref="B7090:C7090"/>
    <mergeCell ref="B7091:C7091"/>
    <mergeCell ref="B7092:C7092"/>
    <mergeCell ref="B7093:C7093"/>
    <mergeCell ref="B7094:C7094"/>
    <mergeCell ref="B7095:C7095"/>
    <mergeCell ref="B7096:C7096"/>
    <mergeCell ref="B7097:C7097"/>
    <mergeCell ref="B7098:C7098"/>
    <mergeCell ref="B7099:C7099"/>
    <mergeCell ref="B7100:C7100"/>
    <mergeCell ref="B7101:C7101"/>
    <mergeCell ref="B7102:C7102"/>
    <mergeCell ref="B7103:C7103"/>
    <mergeCell ref="B7104:C7104"/>
    <mergeCell ref="B7105:C7105"/>
    <mergeCell ref="B7106:C7106"/>
    <mergeCell ref="B7107:C7107"/>
    <mergeCell ref="B7108:C7108"/>
    <mergeCell ref="B7109:C7109"/>
    <mergeCell ref="B7110:C7110"/>
    <mergeCell ref="B7111:C7111"/>
    <mergeCell ref="B7112:C7112"/>
    <mergeCell ref="B7113:C7113"/>
    <mergeCell ref="B7114:C7114"/>
    <mergeCell ref="B7115:C7115"/>
    <mergeCell ref="B7116:C7116"/>
    <mergeCell ref="B7117:C7117"/>
    <mergeCell ref="B7118:C7118"/>
    <mergeCell ref="B7119:C7119"/>
    <mergeCell ref="B7120:C7120"/>
    <mergeCell ref="B7121:C7121"/>
    <mergeCell ref="B7122:C7122"/>
    <mergeCell ref="B7123:C7123"/>
    <mergeCell ref="B7124:C7124"/>
    <mergeCell ref="B7125:C7125"/>
    <mergeCell ref="B7126:C7126"/>
    <mergeCell ref="B7127:C7127"/>
    <mergeCell ref="B7128:C7128"/>
    <mergeCell ref="B7129:C7129"/>
    <mergeCell ref="B7130:C7130"/>
    <mergeCell ref="B7132:C7132"/>
    <mergeCell ref="B7133:C7133"/>
    <mergeCell ref="B7134:C7134"/>
    <mergeCell ref="B7135:C7135"/>
    <mergeCell ref="B7136:C7136"/>
    <mergeCell ref="B7137:C7137"/>
    <mergeCell ref="B7138:C7138"/>
    <mergeCell ref="B7139:C7139"/>
    <mergeCell ref="B7140:C7140"/>
    <mergeCell ref="B7141:C7141"/>
    <mergeCell ref="B7142:C7142"/>
    <mergeCell ref="B7143:C7143"/>
    <mergeCell ref="B7144:C7144"/>
    <mergeCell ref="B7145:C7145"/>
    <mergeCell ref="B7146:C7146"/>
    <mergeCell ref="B7147:C7147"/>
    <mergeCell ref="B7148:C7148"/>
    <mergeCell ref="B7149:C7149"/>
    <mergeCell ref="B7150:C7150"/>
    <mergeCell ref="B7151:C7151"/>
    <mergeCell ref="B7152:C7152"/>
    <mergeCell ref="B7153:C7153"/>
    <mergeCell ref="B7155:C7155"/>
    <mergeCell ref="B7156:C7156"/>
    <mergeCell ref="B7157:C7157"/>
    <mergeCell ref="B7158:C7158"/>
    <mergeCell ref="B7159:C7159"/>
    <mergeCell ref="B7160:C7160"/>
    <mergeCell ref="B7161:C7161"/>
    <mergeCell ref="B7162:C7162"/>
    <mergeCell ref="B7163:C7163"/>
    <mergeCell ref="B7164:C7164"/>
    <mergeCell ref="B7165:C7165"/>
    <mergeCell ref="B7166:C7166"/>
    <mergeCell ref="B7167:C7167"/>
    <mergeCell ref="B7168:C7168"/>
    <mergeCell ref="B7169:C7169"/>
    <mergeCell ref="B7170:C7170"/>
    <mergeCell ref="B7171:C7171"/>
    <mergeCell ref="B7172:C7172"/>
    <mergeCell ref="B7173:C7173"/>
    <mergeCell ref="B7174:C7174"/>
    <mergeCell ref="B7175:C7175"/>
    <mergeCell ref="B7176:C7176"/>
    <mergeCell ref="B7177:C7177"/>
    <mergeCell ref="B7178:C7178"/>
    <mergeCell ref="B7179:C7179"/>
    <mergeCell ref="B7180:C7180"/>
    <mergeCell ref="B7181:C7181"/>
    <mergeCell ref="B7182:C7182"/>
    <mergeCell ref="B7183:C7183"/>
    <mergeCell ref="B7184:C7184"/>
    <mergeCell ref="B7185:C7185"/>
    <mergeCell ref="B7186:C7186"/>
    <mergeCell ref="B7187:C7187"/>
    <mergeCell ref="B7188:C7188"/>
    <mergeCell ref="B7189:C7189"/>
    <mergeCell ref="B7190:C7190"/>
    <mergeCell ref="B7191:C7191"/>
    <mergeCell ref="B7192:C7192"/>
    <mergeCell ref="B7193:C7193"/>
    <mergeCell ref="B7194:C7194"/>
    <mergeCell ref="B7195:C7195"/>
    <mergeCell ref="B7196:C7196"/>
    <mergeCell ref="B7197:C7197"/>
    <mergeCell ref="B7198:C7198"/>
    <mergeCell ref="B7199:C7199"/>
    <mergeCell ref="B7200:C7200"/>
    <mergeCell ref="B7201:C7201"/>
    <mergeCell ref="B7202:C7202"/>
    <mergeCell ref="B7203:C7203"/>
    <mergeCell ref="B7204:C7204"/>
    <mergeCell ref="B7205:C7205"/>
    <mergeCell ref="B7206:C7206"/>
    <mergeCell ref="B7207:C7207"/>
    <mergeCell ref="B7208:C7208"/>
    <mergeCell ref="B7209:C7209"/>
    <mergeCell ref="B7210:C7210"/>
    <mergeCell ref="B7211:C7211"/>
    <mergeCell ref="B7212:C7212"/>
    <mergeCell ref="B7213:C7213"/>
    <mergeCell ref="B7214:C7214"/>
    <mergeCell ref="B7215:C7215"/>
    <mergeCell ref="B7216:C7216"/>
    <mergeCell ref="B7217:C7217"/>
    <mergeCell ref="B7218:C7218"/>
    <mergeCell ref="B7219:C7219"/>
    <mergeCell ref="B7220:C7220"/>
    <mergeCell ref="B7221:C7221"/>
    <mergeCell ref="B7222:C7222"/>
    <mergeCell ref="B7223:C7223"/>
    <mergeCell ref="B7224:C7224"/>
    <mergeCell ref="B7225:C7225"/>
    <mergeCell ref="B7226:C7226"/>
    <mergeCell ref="B7227:C7227"/>
    <mergeCell ref="B7228:C7228"/>
    <mergeCell ref="B7229:C7229"/>
    <mergeCell ref="B7230:C7230"/>
    <mergeCell ref="B7231:C7231"/>
    <mergeCell ref="B7232:C7232"/>
    <mergeCell ref="B7233:C7233"/>
    <mergeCell ref="B7234:C7234"/>
    <mergeCell ref="B7235:C7235"/>
    <mergeCell ref="B7236:C7236"/>
    <mergeCell ref="B7237:C7237"/>
    <mergeCell ref="B7238:C7238"/>
    <mergeCell ref="B7239:C7239"/>
    <mergeCell ref="B7240:C7240"/>
    <mergeCell ref="B7241:C7241"/>
    <mergeCell ref="B7242:C7242"/>
    <mergeCell ref="B7243:C7243"/>
    <mergeCell ref="B7244:C7244"/>
    <mergeCell ref="B7245:C7245"/>
    <mergeCell ref="B7246:C7246"/>
    <mergeCell ref="B7247:C7247"/>
    <mergeCell ref="B7248:C7248"/>
    <mergeCell ref="B7249:C7249"/>
    <mergeCell ref="B7250:C7250"/>
    <mergeCell ref="B7251:C7251"/>
    <mergeCell ref="B7252:C7252"/>
    <mergeCell ref="B7253:C7253"/>
    <mergeCell ref="B7254:C7254"/>
    <mergeCell ref="B7255:C7255"/>
    <mergeCell ref="B7256:C7256"/>
    <mergeCell ref="B7257:C7257"/>
    <mergeCell ref="B7258:C7258"/>
    <mergeCell ref="B7259:C7259"/>
    <mergeCell ref="B7260:C7260"/>
    <mergeCell ref="B7261:C7261"/>
    <mergeCell ref="B7262:C7262"/>
    <mergeCell ref="B7263:C7263"/>
    <mergeCell ref="B7264:C7264"/>
    <mergeCell ref="B7265:C7265"/>
    <mergeCell ref="B7266:C7266"/>
    <mergeCell ref="B7267:C7267"/>
    <mergeCell ref="B7268:C7268"/>
    <mergeCell ref="B7269:C7269"/>
    <mergeCell ref="B7270:C7270"/>
    <mergeCell ref="B7271:C7271"/>
    <mergeCell ref="B7272:C7272"/>
    <mergeCell ref="B7273:C7273"/>
    <mergeCell ref="B7274:C7274"/>
    <mergeCell ref="B7275:C7275"/>
    <mergeCell ref="B7276:C7276"/>
    <mergeCell ref="B7277:C7277"/>
    <mergeCell ref="B7278:C7278"/>
    <mergeCell ref="B7279:C7279"/>
    <mergeCell ref="B7280:C7280"/>
    <mergeCell ref="B7281:C7281"/>
    <mergeCell ref="B7625:C7625"/>
    <mergeCell ref="B7626:C7626"/>
    <mergeCell ref="B7627:C7627"/>
    <mergeCell ref="B7628:C7628"/>
    <mergeCell ref="B7629:C7629"/>
    <mergeCell ref="B7630:C7630"/>
    <mergeCell ref="B7631:C7631"/>
    <mergeCell ref="B7632:C7632"/>
    <mergeCell ref="B7633:C7633"/>
    <mergeCell ref="B7634:C7634"/>
    <mergeCell ref="B7635:C7635"/>
    <mergeCell ref="B7636:C7636"/>
    <mergeCell ref="B7637:C7637"/>
    <mergeCell ref="B7638:C7638"/>
    <mergeCell ref="B7639:C7639"/>
    <mergeCell ref="B7640:C7640"/>
    <mergeCell ref="B7641:C7641"/>
    <mergeCell ref="B7642:C7642"/>
    <mergeCell ref="B7643:C7643"/>
    <mergeCell ref="B7644:C7644"/>
    <mergeCell ref="B7645:C7645"/>
    <mergeCell ref="B7646:C7646"/>
    <mergeCell ref="B7647:C7647"/>
    <mergeCell ref="B7648:C7648"/>
    <mergeCell ref="B7649:C7649"/>
    <mergeCell ref="B7650:C7650"/>
    <mergeCell ref="B7651:C7651"/>
    <mergeCell ref="B7652:C7652"/>
    <mergeCell ref="B7653:C7653"/>
    <mergeCell ref="B7654:C7654"/>
    <mergeCell ref="B7655:C7655"/>
    <mergeCell ref="B7656:C7656"/>
    <mergeCell ref="B7657:C7657"/>
    <mergeCell ref="B7658:C7658"/>
    <mergeCell ref="B7659:C7659"/>
    <mergeCell ref="B7660:C7660"/>
    <mergeCell ref="B7661:C7661"/>
    <mergeCell ref="B7662:C7662"/>
    <mergeCell ref="B7663:C7663"/>
    <mergeCell ref="B7664:C7664"/>
    <mergeCell ref="B7665:C7665"/>
    <mergeCell ref="B7666:C7666"/>
    <mergeCell ref="B7667:C7667"/>
    <mergeCell ref="B7668:C7668"/>
    <mergeCell ref="B7669:C7669"/>
    <mergeCell ref="B7670:C7670"/>
    <mergeCell ref="B7671:C7671"/>
    <mergeCell ref="B7672:C7672"/>
    <mergeCell ref="B7673:C7673"/>
    <mergeCell ref="B7723:C7723"/>
    <mergeCell ref="B7724:C7724"/>
    <mergeCell ref="B7725:C7725"/>
    <mergeCell ref="B7726:C7726"/>
    <mergeCell ref="B7727:C7727"/>
    <mergeCell ref="B7728:C7728"/>
    <mergeCell ref="B7729:C7729"/>
    <mergeCell ref="B7730:C7730"/>
    <mergeCell ref="B7731:C7731"/>
    <mergeCell ref="B7732:C7732"/>
    <mergeCell ref="B7733:C7733"/>
    <mergeCell ref="B7734:C7734"/>
    <mergeCell ref="B7735:C7735"/>
    <mergeCell ref="B7736:C7736"/>
    <mergeCell ref="B7737:C7737"/>
    <mergeCell ref="B7738:C7738"/>
    <mergeCell ref="B7739:C7739"/>
    <mergeCell ref="B7740:C7740"/>
    <mergeCell ref="B7741:C7741"/>
    <mergeCell ref="B7742:C7742"/>
    <mergeCell ref="B7743:C7743"/>
    <mergeCell ref="B7744:C7744"/>
    <mergeCell ref="B7745:C7745"/>
    <mergeCell ref="B7746:C7746"/>
    <mergeCell ref="B7747:C7747"/>
    <mergeCell ref="B7748:C7748"/>
    <mergeCell ref="B7749:C7749"/>
    <mergeCell ref="B7750:C7750"/>
    <mergeCell ref="B7751:C7751"/>
    <mergeCell ref="B7752:C7752"/>
    <mergeCell ref="B7753:C7753"/>
    <mergeCell ref="B7754:C7754"/>
    <mergeCell ref="B7755:C7755"/>
    <mergeCell ref="B7756:C7756"/>
    <mergeCell ref="B7757:C7757"/>
    <mergeCell ref="B7765:C7765"/>
    <mergeCell ref="B7766:C7766"/>
    <mergeCell ref="B7767:C7767"/>
    <mergeCell ref="B7768:C7768"/>
    <mergeCell ref="B7758:C7758"/>
    <mergeCell ref="B7759:C7759"/>
    <mergeCell ref="B7760:C7760"/>
    <mergeCell ref="B7761:C7761"/>
    <mergeCell ref="B7762:C7762"/>
    <mergeCell ref="B7763:C7763"/>
    <mergeCell ref="B7764:C7764"/>
    <mergeCell ref="B7674:C7674"/>
    <mergeCell ref="B7675:C7675"/>
    <mergeCell ref="B7676:C7676"/>
    <mergeCell ref="B7677:C7677"/>
    <mergeCell ref="B7678:C7678"/>
    <mergeCell ref="B7679:C7679"/>
    <mergeCell ref="B7680:C7680"/>
    <mergeCell ref="B7681:C7681"/>
    <mergeCell ref="B7682:C7682"/>
    <mergeCell ref="B7683:C7683"/>
    <mergeCell ref="B7684:C7684"/>
    <mergeCell ref="B7685:C7685"/>
    <mergeCell ref="B7686:C7686"/>
    <mergeCell ref="B7687:C7687"/>
    <mergeCell ref="B7688:C7688"/>
    <mergeCell ref="B7689:C7689"/>
    <mergeCell ref="B7690:C7690"/>
    <mergeCell ref="B7691:C7691"/>
    <mergeCell ref="B7692:C7692"/>
    <mergeCell ref="B7693:C7693"/>
    <mergeCell ref="B7694:C7694"/>
    <mergeCell ref="B7695:C7695"/>
    <mergeCell ref="B7696:C7696"/>
    <mergeCell ref="B7697:C7697"/>
    <mergeCell ref="B7698:C7698"/>
    <mergeCell ref="B7699:C7699"/>
    <mergeCell ref="B7700:C7700"/>
    <mergeCell ref="B7701:C7701"/>
    <mergeCell ref="B7702:C7702"/>
    <mergeCell ref="B7703:C7703"/>
    <mergeCell ref="B7704:C7704"/>
    <mergeCell ref="B7705:C7705"/>
    <mergeCell ref="B7706:C7706"/>
    <mergeCell ref="B7707:C7707"/>
    <mergeCell ref="B7708:C7708"/>
    <mergeCell ref="B7709:C7709"/>
    <mergeCell ref="B7710:C7710"/>
    <mergeCell ref="B7711:C7711"/>
    <mergeCell ref="B7712:C7712"/>
    <mergeCell ref="B7713:C7713"/>
    <mergeCell ref="B7714:C7714"/>
    <mergeCell ref="B7715:C7715"/>
    <mergeCell ref="B7716:C7716"/>
    <mergeCell ref="B7717:C7717"/>
    <mergeCell ref="B7718:C7718"/>
    <mergeCell ref="B7719:C7719"/>
    <mergeCell ref="B7720:C7720"/>
    <mergeCell ref="B7721:C7721"/>
    <mergeCell ref="B7722:C7722"/>
    <mergeCell ref="B7282:C7282"/>
    <mergeCell ref="B7283:C7283"/>
    <mergeCell ref="B7284:C7284"/>
    <mergeCell ref="B7285:C7285"/>
    <mergeCell ref="B7286:C7286"/>
    <mergeCell ref="B7287:C7287"/>
    <mergeCell ref="B7288:C7288"/>
    <mergeCell ref="B7289:C7289"/>
    <mergeCell ref="B7290:C7290"/>
    <mergeCell ref="B7291:C7291"/>
    <mergeCell ref="B7292:C7292"/>
    <mergeCell ref="B7293:C7293"/>
    <mergeCell ref="B7294:C7294"/>
    <mergeCell ref="B7295:C7295"/>
    <mergeCell ref="B7296:C7296"/>
    <mergeCell ref="B7297:C7297"/>
    <mergeCell ref="B7298:C7298"/>
    <mergeCell ref="B7299:C7299"/>
    <mergeCell ref="B7300:C7300"/>
    <mergeCell ref="B7301:C7301"/>
    <mergeCell ref="B7302:C7302"/>
    <mergeCell ref="B7303:C7303"/>
    <mergeCell ref="B7304:C7304"/>
    <mergeCell ref="B7305:C7305"/>
    <mergeCell ref="B7306:C7306"/>
    <mergeCell ref="B7307:C7307"/>
    <mergeCell ref="B7308:C7308"/>
    <mergeCell ref="B7309:C7309"/>
    <mergeCell ref="B7310:C7310"/>
    <mergeCell ref="B7311:C7311"/>
    <mergeCell ref="B7312:C7312"/>
    <mergeCell ref="B7313:C7313"/>
    <mergeCell ref="B7314:C7314"/>
    <mergeCell ref="B7315:C7315"/>
    <mergeCell ref="B7316:C7316"/>
    <mergeCell ref="B7317:C7317"/>
    <mergeCell ref="B7318:C7318"/>
    <mergeCell ref="B7319:C7319"/>
    <mergeCell ref="B7320:C7320"/>
    <mergeCell ref="B7321:C7321"/>
    <mergeCell ref="B7322:C7322"/>
    <mergeCell ref="B7323:C7323"/>
    <mergeCell ref="B7324:C7324"/>
    <mergeCell ref="B7325:C7325"/>
    <mergeCell ref="B7326:C7326"/>
    <mergeCell ref="B7327:C7327"/>
    <mergeCell ref="B7328:C7328"/>
    <mergeCell ref="B7329:C7329"/>
    <mergeCell ref="B7330:C7330"/>
    <mergeCell ref="B7331:C7331"/>
    <mergeCell ref="B7332:C7332"/>
    <mergeCell ref="B7333:C7333"/>
    <mergeCell ref="B7334:C7334"/>
    <mergeCell ref="B7335:C7335"/>
    <mergeCell ref="B7336:C7336"/>
    <mergeCell ref="B7337:C7337"/>
    <mergeCell ref="B7338:C7338"/>
    <mergeCell ref="B7339:C7339"/>
    <mergeCell ref="B7340:C7340"/>
    <mergeCell ref="B7341:C7341"/>
    <mergeCell ref="B7342:C7342"/>
    <mergeCell ref="B7343:C7343"/>
    <mergeCell ref="B7344:C7344"/>
    <mergeCell ref="B7345:C7345"/>
    <mergeCell ref="B7346:C7346"/>
    <mergeCell ref="B7347:C7347"/>
    <mergeCell ref="B7348:C7348"/>
    <mergeCell ref="B7349:C7349"/>
    <mergeCell ref="B7350:C7350"/>
    <mergeCell ref="B7351:C7351"/>
    <mergeCell ref="B7352:C7352"/>
    <mergeCell ref="B7353:C7353"/>
    <mergeCell ref="B7354:C7354"/>
    <mergeCell ref="B7355:C7355"/>
    <mergeCell ref="B7356:C7356"/>
    <mergeCell ref="B7357:C7357"/>
    <mergeCell ref="B7358:C7358"/>
    <mergeCell ref="B7359:C7359"/>
    <mergeCell ref="B7360:C7360"/>
    <mergeCell ref="B7361:C7361"/>
    <mergeCell ref="B7362:C7362"/>
    <mergeCell ref="B7363:C7363"/>
    <mergeCell ref="B7364:C7364"/>
    <mergeCell ref="B7365:C7365"/>
    <mergeCell ref="B7366:C7366"/>
    <mergeCell ref="B7367:C7367"/>
    <mergeCell ref="B7368:C7368"/>
    <mergeCell ref="B7369:C7369"/>
    <mergeCell ref="B7370:C7370"/>
    <mergeCell ref="B7371:C7371"/>
    <mergeCell ref="B7372:C7372"/>
    <mergeCell ref="B7373:C7373"/>
    <mergeCell ref="B7374:C7374"/>
    <mergeCell ref="B7375:C7375"/>
    <mergeCell ref="B7376:C7376"/>
    <mergeCell ref="B7377:C7377"/>
    <mergeCell ref="B7378:C7378"/>
    <mergeCell ref="B7379:C7379"/>
    <mergeCell ref="B7380:C7380"/>
    <mergeCell ref="B7381:C7381"/>
    <mergeCell ref="B7382:C7382"/>
    <mergeCell ref="B7383:C7383"/>
    <mergeCell ref="B7384:C7384"/>
    <mergeCell ref="B7385:C7385"/>
    <mergeCell ref="B7386:C7386"/>
    <mergeCell ref="B7387:C7387"/>
    <mergeCell ref="B7388:C7388"/>
    <mergeCell ref="B7389:C7389"/>
    <mergeCell ref="B7390:C7390"/>
    <mergeCell ref="B7391:C7391"/>
    <mergeCell ref="B7392:C7392"/>
    <mergeCell ref="B7393:C7393"/>
    <mergeCell ref="B7394:C7394"/>
    <mergeCell ref="B7395:C7395"/>
    <mergeCell ref="B7396:C7396"/>
    <mergeCell ref="B7397:C7397"/>
    <mergeCell ref="B7398:C7398"/>
    <mergeCell ref="B7399:C7399"/>
    <mergeCell ref="B7400:C7400"/>
    <mergeCell ref="B7401:C7401"/>
    <mergeCell ref="B7402:C7402"/>
    <mergeCell ref="B7403:C7403"/>
    <mergeCell ref="B7404:C7404"/>
    <mergeCell ref="B7405:C7405"/>
    <mergeCell ref="B7406:C7406"/>
    <mergeCell ref="B7407:C7407"/>
    <mergeCell ref="B7408:C7408"/>
    <mergeCell ref="B7409:C7409"/>
    <mergeCell ref="B7410:C7410"/>
    <mergeCell ref="B7411:C7411"/>
    <mergeCell ref="B7412:C7412"/>
    <mergeCell ref="B7413:C7413"/>
    <mergeCell ref="B7414:C7414"/>
    <mergeCell ref="B7415:C7415"/>
    <mergeCell ref="B7416:C7416"/>
    <mergeCell ref="B7417:C7417"/>
    <mergeCell ref="B7418:C7418"/>
    <mergeCell ref="B7419:C7419"/>
    <mergeCell ref="B7420:C7420"/>
    <mergeCell ref="B7421:C7421"/>
    <mergeCell ref="B7422:C7422"/>
    <mergeCell ref="B7423:C7423"/>
    <mergeCell ref="B7424:C7424"/>
    <mergeCell ref="B7425:C7425"/>
    <mergeCell ref="B7426:C7426"/>
    <mergeCell ref="B7427:C7427"/>
    <mergeCell ref="B7428:C7428"/>
    <mergeCell ref="B7429:C7429"/>
    <mergeCell ref="B7430:C7430"/>
    <mergeCell ref="B7431:C7431"/>
    <mergeCell ref="B7432:C7432"/>
    <mergeCell ref="B7433:C7433"/>
    <mergeCell ref="B7434:C7434"/>
    <mergeCell ref="B7435:C7435"/>
    <mergeCell ref="B7436:C7436"/>
    <mergeCell ref="B7437:C7437"/>
    <mergeCell ref="B7438:C7438"/>
    <mergeCell ref="B7439:C7439"/>
    <mergeCell ref="B7440:C7440"/>
    <mergeCell ref="B7441:C7441"/>
    <mergeCell ref="B7442:C7442"/>
    <mergeCell ref="B7443:C7443"/>
    <mergeCell ref="B7444:C7444"/>
    <mergeCell ref="B7445:C7445"/>
    <mergeCell ref="B7446:C7446"/>
    <mergeCell ref="B7447:C7447"/>
    <mergeCell ref="B7448:C7448"/>
    <mergeCell ref="B7449:C7449"/>
    <mergeCell ref="B7450:C7450"/>
    <mergeCell ref="B7451:C7451"/>
    <mergeCell ref="B7452:C7452"/>
    <mergeCell ref="B7453:C7453"/>
    <mergeCell ref="B7454:C7454"/>
    <mergeCell ref="B7455:C7455"/>
    <mergeCell ref="B7456:C7456"/>
    <mergeCell ref="B7457:C7457"/>
    <mergeCell ref="B7458:C7458"/>
    <mergeCell ref="B7459:C7459"/>
    <mergeCell ref="B7460:C7460"/>
    <mergeCell ref="B7461:C7461"/>
    <mergeCell ref="B7462:C7462"/>
    <mergeCell ref="B7463:C7463"/>
    <mergeCell ref="B7464:C7464"/>
    <mergeCell ref="B7465:C7465"/>
    <mergeCell ref="B7466:C7466"/>
    <mergeCell ref="B7467:C7467"/>
    <mergeCell ref="B7468:C7468"/>
    <mergeCell ref="B7469:C7469"/>
    <mergeCell ref="B7470:C7470"/>
    <mergeCell ref="B7471:C7471"/>
    <mergeCell ref="B7472:C7472"/>
    <mergeCell ref="B7473:C7473"/>
    <mergeCell ref="B7474:C7474"/>
    <mergeCell ref="B7475:C7475"/>
    <mergeCell ref="B7476:C7476"/>
    <mergeCell ref="B7477:C7477"/>
    <mergeCell ref="B7478:C7478"/>
    <mergeCell ref="B7479:C7479"/>
    <mergeCell ref="B7480:C7480"/>
    <mergeCell ref="B7481:C7481"/>
    <mergeCell ref="B7482:C7482"/>
    <mergeCell ref="B7483:C7483"/>
    <mergeCell ref="B7484:C7484"/>
    <mergeCell ref="B7485:C7485"/>
    <mergeCell ref="B7486:C7486"/>
    <mergeCell ref="B7487:C7487"/>
    <mergeCell ref="B7488:C7488"/>
    <mergeCell ref="B7489:C7489"/>
    <mergeCell ref="B7490:C7490"/>
    <mergeCell ref="B7491:C7491"/>
    <mergeCell ref="B7492:C7492"/>
    <mergeCell ref="B7493:C7493"/>
    <mergeCell ref="B7494:C7494"/>
    <mergeCell ref="B7495:C7495"/>
    <mergeCell ref="B7496:C7496"/>
    <mergeCell ref="B7497:C7497"/>
    <mergeCell ref="B7498:C7498"/>
    <mergeCell ref="B7499:C7499"/>
    <mergeCell ref="B7500:C7500"/>
    <mergeCell ref="B7501:C7501"/>
    <mergeCell ref="B7502:C7502"/>
    <mergeCell ref="B7503:C7503"/>
    <mergeCell ref="B7504:C7504"/>
    <mergeCell ref="B7505:C7505"/>
    <mergeCell ref="B7506:C7506"/>
    <mergeCell ref="B7507:C7507"/>
    <mergeCell ref="B7508:C7508"/>
    <mergeCell ref="B7509:C7509"/>
    <mergeCell ref="B7510:C7510"/>
    <mergeCell ref="B7511:C7511"/>
    <mergeCell ref="B7512:C7512"/>
    <mergeCell ref="B7513:C7513"/>
    <mergeCell ref="B7514:C7514"/>
    <mergeCell ref="B7515:C7515"/>
    <mergeCell ref="B7516:C7516"/>
    <mergeCell ref="B7517:C7517"/>
    <mergeCell ref="B7518:C7518"/>
    <mergeCell ref="B7519:C7519"/>
    <mergeCell ref="B7520:C7520"/>
    <mergeCell ref="B7521:C7521"/>
    <mergeCell ref="B7522:C7522"/>
    <mergeCell ref="B7523:C7523"/>
    <mergeCell ref="B7524:C7524"/>
    <mergeCell ref="B7525:C7525"/>
    <mergeCell ref="B7526:C7526"/>
    <mergeCell ref="B7527:C7527"/>
    <mergeCell ref="B7528:C7528"/>
    <mergeCell ref="B7529:C7529"/>
    <mergeCell ref="B7530:C7530"/>
    <mergeCell ref="B7531:C7531"/>
    <mergeCell ref="B7532:C7532"/>
    <mergeCell ref="B7533:C7533"/>
    <mergeCell ref="B7534:C7534"/>
    <mergeCell ref="B7535:C7535"/>
    <mergeCell ref="B7536:C7536"/>
    <mergeCell ref="B7537:C7537"/>
    <mergeCell ref="B7538:C7538"/>
    <mergeCell ref="B7539:C7539"/>
    <mergeCell ref="B7540:C7540"/>
    <mergeCell ref="B7541:C7541"/>
    <mergeCell ref="B7542:C7542"/>
    <mergeCell ref="B7543:C7543"/>
    <mergeCell ref="B7544:C7544"/>
    <mergeCell ref="B7545:C7545"/>
    <mergeCell ref="B7546:C7546"/>
    <mergeCell ref="B7547:C7547"/>
    <mergeCell ref="B7548:C7548"/>
    <mergeCell ref="B7549:C7549"/>
    <mergeCell ref="B7550:C7550"/>
    <mergeCell ref="B7551:C7551"/>
    <mergeCell ref="B7552:C7552"/>
    <mergeCell ref="B7553:C7553"/>
    <mergeCell ref="B7554:C7554"/>
    <mergeCell ref="B7555:C7555"/>
    <mergeCell ref="B7556:C7556"/>
    <mergeCell ref="B7557:C7557"/>
    <mergeCell ref="B7558:C7558"/>
    <mergeCell ref="B7559:C7559"/>
    <mergeCell ref="B7560:C7560"/>
    <mergeCell ref="B7561:C7561"/>
    <mergeCell ref="B7562:C7562"/>
    <mergeCell ref="B7563:C7563"/>
    <mergeCell ref="B7564:C7564"/>
    <mergeCell ref="B7565:C7565"/>
    <mergeCell ref="B7566:C7566"/>
    <mergeCell ref="B7567:C7567"/>
    <mergeCell ref="B7568:C7568"/>
    <mergeCell ref="B7569:C7569"/>
    <mergeCell ref="B7570:C7570"/>
    <mergeCell ref="B7571:C7571"/>
    <mergeCell ref="B7572:C7572"/>
    <mergeCell ref="B7573:C7573"/>
    <mergeCell ref="B7574:C7574"/>
    <mergeCell ref="B7575:C7575"/>
    <mergeCell ref="B7576:C7576"/>
    <mergeCell ref="B7577:C7577"/>
    <mergeCell ref="B7578:C7578"/>
    <mergeCell ref="B7579:C7579"/>
    <mergeCell ref="B7580:C7580"/>
    <mergeCell ref="B7581:C7581"/>
    <mergeCell ref="B7582:C7582"/>
    <mergeCell ref="B7583:C7583"/>
    <mergeCell ref="B7584:C7584"/>
    <mergeCell ref="B7585:C7585"/>
    <mergeCell ref="B7586:C7586"/>
    <mergeCell ref="B7587:C7587"/>
    <mergeCell ref="B7588:C7588"/>
    <mergeCell ref="B7589:C7589"/>
    <mergeCell ref="B7590:C7590"/>
    <mergeCell ref="B7591:C7591"/>
    <mergeCell ref="B7592:C7592"/>
    <mergeCell ref="B7593:C7593"/>
    <mergeCell ref="B7594:C7594"/>
    <mergeCell ref="B7595:C7595"/>
    <mergeCell ref="B7596:C7596"/>
    <mergeCell ref="B7597:C7597"/>
    <mergeCell ref="B7598:C7598"/>
    <mergeCell ref="B7599:C7599"/>
    <mergeCell ref="B7600:C7600"/>
    <mergeCell ref="B7601:C7601"/>
    <mergeCell ref="B7602:C7602"/>
    <mergeCell ref="B7603:C7603"/>
    <mergeCell ref="B7604:C7604"/>
    <mergeCell ref="B7605:C7605"/>
    <mergeCell ref="B7606:C7606"/>
    <mergeCell ref="B7607:C7607"/>
    <mergeCell ref="B7608:C7608"/>
    <mergeCell ref="B7609:C7609"/>
    <mergeCell ref="B7610:C7610"/>
    <mergeCell ref="B7611:C7611"/>
    <mergeCell ref="B7612:C7612"/>
    <mergeCell ref="B7613:C7613"/>
    <mergeCell ref="B7614:C7614"/>
    <mergeCell ref="B7615:C7615"/>
    <mergeCell ref="B7616:C7616"/>
    <mergeCell ref="B7617:C7617"/>
    <mergeCell ref="B7618:C7618"/>
    <mergeCell ref="B7619:C7619"/>
    <mergeCell ref="B7620:C7620"/>
    <mergeCell ref="B7621:C7621"/>
    <mergeCell ref="B7622:C7622"/>
    <mergeCell ref="B7623:C7623"/>
    <mergeCell ref="B7624:C7624"/>
    <mergeCell ref="B3141:C3141"/>
    <mergeCell ref="B3142:C3142"/>
    <mergeCell ref="B3143:C3143"/>
    <mergeCell ref="B3144:C3144"/>
    <mergeCell ref="B3145:C3145"/>
    <mergeCell ref="B3146:C3146"/>
    <mergeCell ref="B3147:C3147"/>
    <mergeCell ref="B3148:C3148"/>
    <mergeCell ref="B3149:C3149"/>
    <mergeCell ref="B3150:C3150"/>
    <mergeCell ref="B3151:C3151"/>
    <mergeCell ref="B3152:C3152"/>
    <mergeCell ref="B3153:C3153"/>
    <mergeCell ref="B3154:C3154"/>
    <mergeCell ref="B3155:C3155"/>
    <mergeCell ref="B3156:C3156"/>
    <mergeCell ref="B3157:C3157"/>
    <mergeCell ref="B3158:C3158"/>
    <mergeCell ref="B3159:C3159"/>
    <mergeCell ref="B3160:C3160"/>
    <mergeCell ref="B3161:C3161"/>
    <mergeCell ref="B3162:C3162"/>
    <mergeCell ref="B3163:C3163"/>
    <mergeCell ref="B3164:C3164"/>
    <mergeCell ref="B3165:C3165"/>
    <mergeCell ref="B3166:C3166"/>
    <mergeCell ref="B3167:C3167"/>
    <mergeCell ref="B3168:C3168"/>
    <mergeCell ref="B3169:C3169"/>
    <mergeCell ref="B3170:C3170"/>
    <mergeCell ref="B3171:C3171"/>
    <mergeCell ref="B3172:C3172"/>
    <mergeCell ref="B3173:C3173"/>
    <mergeCell ref="B3174:C3174"/>
    <mergeCell ref="B3175:C3175"/>
    <mergeCell ref="B3176:C3176"/>
    <mergeCell ref="B3177:C3177"/>
    <mergeCell ref="B3178:C3178"/>
    <mergeCell ref="B3179:C3179"/>
    <mergeCell ref="B3180:C3180"/>
    <mergeCell ref="B3181:C3181"/>
    <mergeCell ref="B3182:C3182"/>
    <mergeCell ref="B3183:C3183"/>
    <mergeCell ref="B3184:C3184"/>
    <mergeCell ref="B3185:C3185"/>
    <mergeCell ref="B3186:C3186"/>
    <mergeCell ref="B3187:C3187"/>
    <mergeCell ref="B3188:C3188"/>
    <mergeCell ref="B3189:C3189"/>
    <mergeCell ref="B3190:C3190"/>
    <mergeCell ref="B3191:C3191"/>
    <mergeCell ref="B3192:C3192"/>
    <mergeCell ref="B3193:C3193"/>
    <mergeCell ref="B3194:C3194"/>
    <mergeCell ref="B3195:C3195"/>
    <mergeCell ref="B3196:C3196"/>
    <mergeCell ref="B3197:C3197"/>
    <mergeCell ref="B3198:C3198"/>
    <mergeCell ref="B3199:C3199"/>
    <mergeCell ref="B3200:C3200"/>
    <mergeCell ref="B3201:C3201"/>
    <mergeCell ref="B3202:C3202"/>
    <mergeCell ref="B3203:C3203"/>
    <mergeCell ref="B3204:C3204"/>
    <mergeCell ref="B3205:C3205"/>
    <mergeCell ref="B3206:C3206"/>
    <mergeCell ref="B3207:C3207"/>
    <mergeCell ref="B3208:C3208"/>
    <mergeCell ref="B3209:C3209"/>
    <mergeCell ref="B3210:C3210"/>
    <mergeCell ref="B3211:C3211"/>
    <mergeCell ref="B3212:C3212"/>
    <mergeCell ref="B3213:C3213"/>
    <mergeCell ref="B3214:C3214"/>
    <mergeCell ref="B3215:C3215"/>
    <mergeCell ref="B3216:C3216"/>
    <mergeCell ref="B3217:C3217"/>
    <mergeCell ref="B3218:C3218"/>
    <mergeCell ref="B3219:C3219"/>
    <mergeCell ref="B3220:C3220"/>
    <mergeCell ref="B3221:C3221"/>
    <mergeCell ref="B3222:C3222"/>
    <mergeCell ref="B3223:C3223"/>
    <mergeCell ref="B3224:C3224"/>
    <mergeCell ref="B3225:C3225"/>
    <mergeCell ref="B3226:C3226"/>
    <mergeCell ref="B3227:C3227"/>
    <mergeCell ref="B3228:C3228"/>
    <mergeCell ref="B3229:C3229"/>
    <mergeCell ref="B3230:C3230"/>
    <mergeCell ref="B3231:C3231"/>
    <mergeCell ref="B3232:C3232"/>
    <mergeCell ref="B3233:C3233"/>
    <mergeCell ref="B3234:C3234"/>
    <mergeCell ref="B3235:C3235"/>
    <mergeCell ref="B3236:C3236"/>
    <mergeCell ref="B3237:C3237"/>
    <mergeCell ref="B3238:C3238"/>
    <mergeCell ref="B3239:C3239"/>
    <mergeCell ref="B3240:C3240"/>
    <mergeCell ref="B3241:C3241"/>
    <mergeCell ref="B3242:C3242"/>
    <mergeCell ref="B3243:C3243"/>
    <mergeCell ref="B3244:C3244"/>
    <mergeCell ref="B3245:C3245"/>
    <mergeCell ref="B3246:C3246"/>
    <mergeCell ref="B3247:C3247"/>
    <mergeCell ref="B3248:C3248"/>
    <mergeCell ref="B3249:C3249"/>
    <mergeCell ref="B3250:C3250"/>
    <mergeCell ref="B3251:C3251"/>
    <mergeCell ref="B3252:C3252"/>
    <mergeCell ref="B3253:C3253"/>
    <mergeCell ref="B3254:C3254"/>
    <mergeCell ref="B3255:C3255"/>
    <mergeCell ref="B3256:C3256"/>
    <mergeCell ref="B3257:C3257"/>
    <mergeCell ref="B3258:C3258"/>
    <mergeCell ref="B3259:C3259"/>
    <mergeCell ref="B3260:C3260"/>
    <mergeCell ref="B3261:C3261"/>
    <mergeCell ref="B3262:C3262"/>
    <mergeCell ref="B3263:C3263"/>
    <mergeCell ref="B3264:C3264"/>
    <mergeCell ref="B3265:C3265"/>
    <mergeCell ref="B3266:C3266"/>
    <mergeCell ref="B3267:C3267"/>
    <mergeCell ref="B3268:C3268"/>
    <mergeCell ref="B3269:C3269"/>
    <mergeCell ref="B3270:C3270"/>
    <mergeCell ref="B3271:C3271"/>
    <mergeCell ref="B3272:C3272"/>
    <mergeCell ref="B3273:C3273"/>
    <mergeCell ref="B3274:C3274"/>
    <mergeCell ref="B3275:C3275"/>
    <mergeCell ref="B3276:C3276"/>
    <mergeCell ref="B3277:C3277"/>
    <mergeCell ref="B3278:C3278"/>
    <mergeCell ref="B3279:C3279"/>
    <mergeCell ref="B3280:C3280"/>
    <mergeCell ref="B3281:C3281"/>
    <mergeCell ref="B3282:C3282"/>
    <mergeCell ref="B3283:C3283"/>
    <mergeCell ref="B3284:C3284"/>
    <mergeCell ref="B3285:C3285"/>
    <mergeCell ref="B3286:C3286"/>
    <mergeCell ref="B3287:C3287"/>
    <mergeCell ref="B3288:C3288"/>
    <mergeCell ref="B3289:C3289"/>
    <mergeCell ref="B3290:C3290"/>
    <mergeCell ref="B3291:C3291"/>
    <mergeCell ref="B3292:C3292"/>
    <mergeCell ref="B3293:C3293"/>
    <mergeCell ref="B3294:C3294"/>
    <mergeCell ref="B3295:C3295"/>
    <mergeCell ref="B3296:C3296"/>
    <mergeCell ref="B3297:C3297"/>
    <mergeCell ref="B3298:C3298"/>
    <mergeCell ref="B3299:C3299"/>
    <mergeCell ref="B3300:C3300"/>
    <mergeCell ref="B3301:C3301"/>
    <mergeCell ref="B3302:C3302"/>
    <mergeCell ref="B3303:C3303"/>
    <mergeCell ref="B3304:C3304"/>
    <mergeCell ref="B3305:C3305"/>
    <mergeCell ref="B3306:C3306"/>
    <mergeCell ref="B3307:C3307"/>
    <mergeCell ref="B3308:C3308"/>
    <mergeCell ref="B3309:C3309"/>
    <mergeCell ref="B3310:C3310"/>
    <mergeCell ref="B3311:C3311"/>
    <mergeCell ref="B3312:C3312"/>
    <mergeCell ref="B3313:C3313"/>
    <mergeCell ref="B3314:C3314"/>
    <mergeCell ref="B3315:C3315"/>
    <mergeCell ref="B3316:C3316"/>
    <mergeCell ref="B3317:C3317"/>
    <mergeCell ref="B3318:C3318"/>
    <mergeCell ref="B3319:C3319"/>
    <mergeCell ref="B3320:C3320"/>
    <mergeCell ref="B3321:C3321"/>
    <mergeCell ref="B3322:C3322"/>
    <mergeCell ref="B3323:C3323"/>
    <mergeCell ref="B3324:C3324"/>
    <mergeCell ref="B3325:C3325"/>
    <mergeCell ref="B3326:C3326"/>
    <mergeCell ref="B3327:C3327"/>
    <mergeCell ref="B3328:C3328"/>
    <mergeCell ref="B3329:C3329"/>
    <mergeCell ref="B3330:C3330"/>
    <mergeCell ref="B3331:C3331"/>
    <mergeCell ref="B3332:C3332"/>
    <mergeCell ref="B3333:C3333"/>
    <mergeCell ref="B3334:C3334"/>
    <mergeCell ref="B3335:C3335"/>
    <mergeCell ref="B3336:C3336"/>
    <mergeCell ref="B3337:C3337"/>
    <mergeCell ref="B3338:C3338"/>
    <mergeCell ref="B3339:C3339"/>
    <mergeCell ref="B3340:C3340"/>
    <mergeCell ref="B3341:C3341"/>
    <mergeCell ref="B3342:C3342"/>
    <mergeCell ref="B3343:C3343"/>
    <mergeCell ref="B3344:C3344"/>
    <mergeCell ref="B3345:C3345"/>
    <mergeCell ref="B3346:C3346"/>
    <mergeCell ref="B3347:C3347"/>
    <mergeCell ref="B3348:C3348"/>
    <mergeCell ref="B3349:C3349"/>
    <mergeCell ref="B3350:C3350"/>
    <mergeCell ref="B3351:C3351"/>
    <mergeCell ref="B3352:C3352"/>
    <mergeCell ref="B3353:C3353"/>
    <mergeCell ref="B3354:C3354"/>
    <mergeCell ref="B3355:C3355"/>
    <mergeCell ref="B3356:C3356"/>
    <mergeCell ref="B3357:C3357"/>
    <mergeCell ref="B3358:C3358"/>
    <mergeCell ref="B3359:C3359"/>
    <mergeCell ref="B3360:C3360"/>
    <mergeCell ref="B3361:C3361"/>
    <mergeCell ref="B3362:C3362"/>
    <mergeCell ref="B3363:C3363"/>
    <mergeCell ref="B3364:C3364"/>
    <mergeCell ref="B3365:C3365"/>
    <mergeCell ref="B3366:C3366"/>
    <mergeCell ref="B3367:C3367"/>
    <mergeCell ref="B3368:C3368"/>
    <mergeCell ref="B3369:C3369"/>
    <mergeCell ref="B3370:C3370"/>
    <mergeCell ref="B3371:C3371"/>
    <mergeCell ref="B3372:C3372"/>
    <mergeCell ref="B3373:C3373"/>
    <mergeCell ref="B3374:C3374"/>
    <mergeCell ref="B3375:C3375"/>
    <mergeCell ref="B3376:C3376"/>
    <mergeCell ref="B3377:C3377"/>
    <mergeCell ref="B3378:C3378"/>
    <mergeCell ref="B3379:C3379"/>
    <mergeCell ref="B3380:C3380"/>
    <mergeCell ref="B3381:C3381"/>
    <mergeCell ref="B3382:C3382"/>
    <mergeCell ref="B3383:C3383"/>
    <mergeCell ref="B3384:C3384"/>
    <mergeCell ref="B3385:C3385"/>
    <mergeCell ref="B3386:C3386"/>
    <mergeCell ref="B3387:C3387"/>
    <mergeCell ref="B3388:C3388"/>
    <mergeCell ref="B3389:C3389"/>
    <mergeCell ref="B3390:C3390"/>
    <mergeCell ref="B3391:C3391"/>
    <mergeCell ref="B3392:C3392"/>
    <mergeCell ref="B3393:C3393"/>
    <mergeCell ref="B3394:C3394"/>
    <mergeCell ref="B3395:C3395"/>
    <mergeCell ref="B3396:C3396"/>
    <mergeCell ref="B3397:C3397"/>
    <mergeCell ref="B3398:C3398"/>
    <mergeCell ref="B3399:C3399"/>
    <mergeCell ref="B3400:C3400"/>
    <mergeCell ref="B3401:C3401"/>
    <mergeCell ref="B3402:C3402"/>
    <mergeCell ref="B3403:C3403"/>
    <mergeCell ref="B3404:C3404"/>
    <mergeCell ref="B3405:C3405"/>
    <mergeCell ref="B3406:C3406"/>
    <mergeCell ref="B3407:C3407"/>
    <mergeCell ref="B3408:C3408"/>
    <mergeCell ref="B3409:C3409"/>
    <mergeCell ref="B3410:C3410"/>
    <mergeCell ref="B3411:C3411"/>
    <mergeCell ref="B3412:C3412"/>
    <mergeCell ref="B3413:C3413"/>
    <mergeCell ref="B3414:C3414"/>
    <mergeCell ref="B3415:C3415"/>
    <mergeCell ref="B3416:C3416"/>
    <mergeCell ref="B3417:C3417"/>
    <mergeCell ref="B3418:C3418"/>
    <mergeCell ref="B3419:C3419"/>
    <mergeCell ref="B3420:C3420"/>
    <mergeCell ref="B3421:C3421"/>
    <mergeCell ref="B3422:C3422"/>
    <mergeCell ref="B3423:C3423"/>
    <mergeCell ref="B3424:C3424"/>
    <mergeCell ref="B3425:C3425"/>
    <mergeCell ref="B3426:C3426"/>
    <mergeCell ref="B3427:C3427"/>
    <mergeCell ref="B3428:C3428"/>
    <mergeCell ref="B3429:C3429"/>
    <mergeCell ref="B3430:C3430"/>
    <mergeCell ref="B3431:C3431"/>
    <mergeCell ref="B3432:C3432"/>
    <mergeCell ref="B3433:C3433"/>
    <mergeCell ref="B3434:C3434"/>
    <mergeCell ref="B3435:C3435"/>
    <mergeCell ref="B3436:C3436"/>
    <mergeCell ref="B3437:C3437"/>
    <mergeCell ref="B3438:C3438"/>
    <mergeCell ref="B3439:C3439"/>
    <mergeCell ref="B3440:C3440"/>
    <mergeCell ref="B3441:C3441"/>
    <mergeCell ref="B3442:C3442"/>
    <mergeCell ref="B3443:C3443"/>
    <mergeCell ref="B3444:C3444"/>
    <mergeCell ref="B3445:C3445"/>
    <mergeCell ref="B3446:C3446"/>
    <mergeCell ref="B3447:C3447"/>
    <mergeCell ref="B3448:C3448"/>
    <mergeCell ref="B3449:C3449"/>
    <mergeCell ref="B3450:C3450"/>
    <mergeCell ref="B3451:C3451"/>
    <mergeCell ref="B3452:C3452"/>
    <mergeCell ref="B3453:C3453"/>
    <mergeCell ref="B3454:C3454"/>
    <mergeCell ref="B3455:C3455"/>
    <mergeCell ref="B3456:C3456"/>
    <mergeCell ref="B3457:C3457"/>
    <mergeCell ref="B3458:C3458"/>
    <mergeCell ref="B3459:C3459"/>
    <mergeCell ref="B3460:C3460"/>
    <mergeCell ref="B3461:C3461"/>
    <mergeCell ref="B3462:C3462"/>
    <mergeCell ref="B3463:C3463"/>
    <mergeCell ref="B3464:C3464"/>
    <mergeCell ref="B3465:C3465"/>
    <mergeCell ref="B3466:C3466"/>
    <mergeCell ref="B3467:C3467"/>
    <mergeCell ref="B3468:C3468"/>
    <mergeCell ref="B3469:C3469"/>
    <mergeCell ref="B3470:C3470"/>
    <mergeCell ref="B3471:C3471"/>
    <mergeCell ref="B3472:C3472"/>
    <mergeCell ref="B3473:C3473"/>
    <mergeCell ref="B3474:C3474"/>
    <mergeCell ref="B3475:C3475"/>
    <mergeCell ref="B3476:C3476"/>
    <mergeCell ref="B3477:C3477"/>
    <mergeCell ref="B3478:C3478"/>
    <mergeCell ref="B3479:C3479"/>
    <mergeCell ref="B3480:C3480"/>
    <mergeCell ref="B3481:C3481"/>
    <mergeCell ref="B3482:C3482"/>
    <mergeCell ref="B3483:C3483"/>
    <mergeCell ref="B3484:C3484"/>
    <mergeCell ref="B3485:C3485"/>
    <mergeCell ref="B3486:C3486"/>
    <mergeCell ref="B3487:C3487"/>
    <mergeCell ref="B3488:C3488"/>
    <mergeCell ref="B3489:C3489"/>
    <mergeCell ref="B3490:C3490"/>
    <mergeCell ref="B3491:C3491"/>
    <mergeCell ref="B3492:C3492"/>
    <mergeCell ref="B3493:C3493"/>
    <mergeCell ref="B3494:C3494"/>
    <mergeCell ref="B3495:C3495"/>
    <mergeCell ref="B3496:C3496"/>
    <mergeCell ref="B3497:C3497"/>
    <mergeCell ref="B3498:C3498"/>
    <mergeCell ref="B3499:C3499"/>
    <mergeCell ref="B3500:C3500"/>
    <mergeCell ref="B3501:C3501"/>
    <mergeCell ref="B3502:C3502"/>
    <mergeCell ref="B3503:C3503"/>
    <mergeCell ref="B3504:C3504"/>
    <mergeCell ref="B3505:C3505"/>
    <mergeCell ref="B3506:C3506"/>
    <mergeCell ref="B3507:C3507"/>
    <mergeCell ref="B3508:C3508"/>
    <mergeCell ref="B3509:C3509"/>
    <mergeCell ref="B3510:C3510"/>
    <mergeCell ref="B3511:C3511"/>
    <mergeCell ref="B3512:C3512"/>
    <mergeCell ref="B3513:C3513"/>
    <mergeCell ref="B3514:C3514"/>
    <mergeCell ref="B3515:C3515"/>
    <mergeCell ref="B3516:C3516"/>
    <mergeCell ref="B3517:C3517"/>
    <mergeCell ref="B3518:C3518"/>
    <mergeCell ref="B3519:C3519"/>
    <mergeCell ref="B3520:C3520"/>
    <mergeCell ref="B3521:C3521"/>
    <mergeCell ref="B3522:C3522"/>
    <mergeCell ref="B3523:C3523"/>
    <mergeCell ref="B3524:C3524"/>
    <mergeCell ref="B3525:C3525"/>
    <mergeCell ref="B3526:C3526"/>
    <mergeCell ref="B3527:C3527"/>
    <mergeCell ref="B3528:C3528"/>
    <mergeCell ref="B3529:C3529"/>
    <mergeCell ref="B3530:C3530"/>
    <mergeCell ref="B3531:C3531"/>
    <mergeCell ref="B3532:C3532"/>
    <mergeCell ref="B3533:C3533"/>
    <mergeCell ref="B3534:C3534"/>
    <mergeCell ref="B3535:C3535"/>
    <mergeCell ref="B3536:C3536"/>
    <mergeCell ref="B3537:C3537"/>
    <mergeCell ref="B3538:C3538"/>
    <mergeCell ref="B3539:C3539"/>
    <mergeCell ref="B3540:C3540"/>
    <mergeCell ref="B3541:C3541"/>
    <mergeCell ref="B3542:C3542"/>
    <mergeCell ref="B3543:C3543"/>
    <mergeCell ref="B3544:C3544"/>
    <mergeCell ref="B3545:C3545"/>
    <mergeCell ref="B3546:C3546"/>
    <mergeCell ref="B3547:C3547"/>
    <mergeCell ref="B3548:C3548"/>
    <mergeCell ref="B3549:C3549"/>
    <mergeCell ref="B3550:C3550"/>
    <mergeCell ref="B3551:C3551"/>
    <mergeCell ref="B3552:C3552"/>
    <mergeCell ref="B3553:C3553"/>
    <mergeCell ref="B3554:C3554"/>
    <mergeCell ref="B3555:C3555"/>
    <mergeCell ref="B3556:C3556"/>
    <mergeCell ref="B3557:C3557"/>
    <mergeCell ref="B3558:C3558"/>
    <mergeCell ref="B3559:C3559"/>
    <mergeCell ref="B3560:C3560"/>
    <mergeCell ref="B3561:C3561"/>
    <mergeCell ref="B3562:C3562"/>
    <mergeCell ref="B3563:C3563"/>
    <mergeCell ref="B3564:C3564"/>
    <mergeCell ref="B3565:C3565"/>
    <mergeCell ref="B3566:C3566"/>
    <mergeCell ref="B3567:C3567"/>
    <mergeCell ref="B3568:C3568"/>
    <mergeCell ref="B3569:C3569"/>
    <mergeCell ref="B3570:C3570"/>
    <mergeCell ref="B3571:C3571"/>
    <mergeCell ref="B3572:C3572"/>
    <mergeCell ref="B3573:C3573"/>
    <mergeCell ref="B3574:C3574"/>
    <mergeCell ref="B3575:C3575"/>
    <mergeCell ref="B3576:C3576"/>
    <mergeCell ref="B3577:C3577"/>
    <mergeCell ref="B3578:C3578"/>
    <mergeCell ref="B3579:C3579"/>
    <mergeCell ref="B3580:C3580"/>
    <mergeCell ref="B3581:C3581"/>
    <mergeCell ref="B3582:C3582"/>
    <mergeCell ref="B3583:C3583"/>
    <mergeCell ref="B3584:C3584"/>
    <mergeCell ref="B3585:C3585"/>
    <mergeCell ref="B3586:C3586"/>
    <mergeCell ref="B3587:C3587"/>
    <mergeCell ref="B3588:C3588"/>
    <mergeCell ref="B3589:C3589"/>
    <mergeCell ref="B3590:C3590"/>
    <mergeCell ref="B3591:C3591"/>
    <mergeCell ref="B3592:C3592"/>
    <mergeCell ref="B3593:C3593"/>
    <mergeCell ref="B3594:C3594"/>
    <mergeCell ref="B3595:C3595"/>
    <mergeCell ref="B3596:C3596"/>
    <mergeCell ref="B3597:C3597"/>
    <mergeCell ref="B3598:C3598"/>
    <mergeCell ref="B3599:C3599"/>
    <mergeCell ref="B3600:C3600"/>
    <mergeCell ref="B3601:C3601"/>
    <mergeCell ref="B3602:C3602"/>
    <mergeCell ref="B3603:C3603"/>
    <mergeCell ref="B3604:C3604"/>
    <mergeCell ref="B3605:C3605"/>
    <mergeCell ref="B3606:C3606"/>
    <mergeCell ref="B3607:C3607"/>
    <mergeCell ref="B3608:C3608"/>
    <mergeCell ref="B3609:C3609"/>
    <mergeCell ref="B3610:C3610"/>
    <mergeCell ref="B3611:C3611"/>
    <mergeCell ref="B3612:C3612"/>
    <mergeCell ref="B3613:C3613"/>
    <mergeCell ref="B3614:C3614"/>
    <mergeCell ref="B3615:C3615"/>
    <mergeCell ref="B3616:C3616"/>
    <mergeCell ref="B3617:C3617"/>
    <mergeCell ref="B3618:C3618"/>
    <mergeCell ref="B3619:C3619"/>
    <mergeCell ref="B3620:C3620"/>
    <mergeCell ref="B3621:C3621"/>
    <mergeCell ref="B3622:C3622"/>
    <mergeCell ref="B3623:C3623"/>
    <mergeCell ref="B3624:C3624"/>
    <mergeCell ref="B3625:C3625"/>
    <mergeCell ref="B3626:C3626"/>
    <mergeCell ref="B3627:C3627"/>
    <mergeCell ref="B3628:C3628"/>
    <mergeCell ref="B3629:C3629"/>
    <mergeCell ref="B3630:C3630"/>
    <mergeCell ref="B3631:C3631"/>
    <mergeCell ref="B3632:C3632"/>
    <mergeCell ref="B3633:C3633"/>
    <mergeCell ref="B3634:C3634"/>
    <mergeCell ref="B3635:C3635"/>
    <mergeCell ref="B3636:C3636"/>
    <mergeCell ref="B3637:C3637"/>
    <mergeCell ref="B3638:C3638"/>
    <mergeCell ref="B3639:C3639"/>
    <mergeCell ref="B3640:C3640"/>
    <mergeCell ref="B3641:C3641"/>
    <mergeCell ref="B3642:C3642"/>
    <mergeCell ref="B3643:C3643"/>
    <mergeCell ref="B3644:C3644"/>
    <mergeCell ref="B3645:C3645"/>
    <mergeCell ref="B3646:C3646"/>
    <mergeCell ref="B3647:C3647"/>
    <mergeCell ref="B3648:C3648"/>
    <mergeCell ref="B3649:C3649"/>
    <mergeCell ref="B3650:C3650"/>
    <mergeCell ref="B3651:C3651"/>
    <mergeCell ref="B3652:C3652"/>
    <mergeCell ref="B3653:C3653"/>
    <mergeCell ref="B3654:C3654"/>
    <mergeCell ref="B3655:C3655"/>
    <mergeCell ref="B3656:C3656"/>
    <mergeCell ref="B3657:C3657"/>
    <mergeCell ref="B3658:C3658"/>
    <mergeCell ref="B3659:C3659"/>
    <mergeCell ref="B3660:C3660"/>
    <mergeCell ref="B3661:C3661"/>
    <mergeCell ref="B3662:C3662"/>
    <mergeCell ref="B3663:C3663"/>
    <mergeCell ref="B3664:C3664"/>
    <mergeCell ref="B3665:C3665"/>
    <mergeCell ref="B3666:C3666"/>
    <mergeCell ref="B3667:C3667"/>
    <mergeCell ref="B3668:C3668"/>
    <mergeCell ref="B3669:C3669"/>
    <mergeCell ref="B3670:C3670"/>
    <mergeCell ref="B3671:C3671"/>
    <mergeCell ref="B3672:C3672"/>
    <mergeCell ref="B3673:C3673"/>
    <mergeCell ref="B3674:C3674"/>
    <mergeCell ref="B3675:C3675"/>
    <mergeCell ref="B3676:C3676"/>
    <mergeCell ref="B3677:C3677"/>
    <mergeCell ref="B3678:C3678"/>
    <mergeCell ref="B3679:C3679"/>
    <mergeCell ref="B3680:C3680"/>
    <mergeCell ref="B3681:C3681"/>
    <mergeCell ref="B3682:C3682"/>
    <mergeCell ref="B3683:C3683"/>
    <mergeCell ref="B3684:C3684"/>
    <mergeCell ref="B3685:C3685"/>
    <mergeCell ref="B3686:C3686"/>
    <mergeCell ref="B3687:C3687"/>
    <mergeCell ref="B3688:C3688"/>
    <mergeCell ref="B3689:C3689"/>
    <mergeCell ref="B3690:C3690"/>
    <mergeCell ref="B3691:C3691"/>
    <mergeCell ref="B3692:C3692"/>
    <mergeCell ref="B3693:C3693"/>
    <mergeCell ref="B3694:C3694"/>
    <mergeCell ref="B3695:C3695"/>
    <mergeCell ref="B3696:C3696"/>
    <mergeCell ref="B3697:C3697"/>
    <mergeCell ref="B3698:C3698"/>
    <mergeCell ref="B3699:C3699"/>
    <mergeCell ref="B3700:C3700"/>
    <mergeCell ref="B3701:C3701"/>
    <mergeCell ref="B3702:C3702"/>
    <mergeCell ref="B3703:C3703"/>
    <mergeCell ref="B3704:C3704"/>
    <mergeCell ref="B3705:C3705"/>
    <mergeCell ref="B3706:C3706"/>
    <mergeCell ref="B3707:C3707"/>
    <mergeCell ref="B3708:C3708"/>
    <mergeCell ref="B3709:C3709"/>
    <mergeCell ref="B3710:C3710"/>
    <mergeCell ref="B3711:C3711"/>
    <mergeCell ref="B3712:C3712"/>
    <mergeCell ref="B3713:C3713"/>
    <mergeCell ref="B3714:C3714"/>
    <mergeCell ref="B3715:C3715"/>
    <mergeCell ref="B3716:C3716"/>
    <mergeCell ref="B3717:C3717"/>
    <mergeCell ref="B3718:C3718"/>
    <mergeCell ref="B3719:C3719"/>
    <mergeCell ref="B3720:C3720"/>
    <mergeCell ref="B3721:C3721"/>
    <mergeCell ref="B3722:C3722"/>
    <mergeCell ref="B3723:C3723"/>
    <mergeCell ref="B3724:C3724"/>
    <mergeCell ref="B3725:C3725"/>
    <mergeCell ref="B3726:C3726"/>
    <mergeCell ref="B3727:C3727"/>
    <mergeCell ref="B3728:C3728"/>
    <mergeCell ref="B3729:C3729"/>
    <mergeCell ref="B3730:C3730"/>
    <mergeCell ref="B3731:C3731"/>
    <mergeCell ref="B3732:C3732"/>
    <mergeCell ref="B3733:C3733"/>
    <mergeCell ref="B3734:C3734"/>
    <mergeCell ref="B3735:C3735"/>
    <mergeCell ref="B3736:C3736"/>
    <mergeCell ref="B3737:C3737"/>
    <mergeCell ref="B3738:C3738"/>
    <mergeCell ref="B3739:C3739"/>
    <mergeCell ref="B3740:C3740"/>
    <mergeCell ref="B3741:C3741"/>
    <mergeCell ref="B3742:C3742"/>
    <mergeCell ref="B3743:C3743"/>
    <mergeCell ref="B3744:C3744"/>
    <mergeCell ref="B3745:C3745"/>
    <mergeCell ref="B3746:C3746"/>
    <mergeCell ref="B3747:C3747"/>
    <mergeCell ref="B3748:C3748"/>
    <mergeCell ref="B3749:C3749"/>
    <mergeCell ref="B3750:C3750"/>
    <mergeCell ref="B3751:C3751"/>
    <mergeCell ref="B3752:C3752"/>
    <mergeCell ref="B3753:C3753"/>
    <mergeCell ref="B3754:C3754"/>
    <mergeCell ref="B3755:C3755"/>
    <mergeCell ref="B3756:C3756"/>
    <mergeCell ref="B3757:C3757"/>
    <mergeCell ref="B3758:C3758"/>
    <mergeCell ref="B3759:C3759"/>
    <mergeCell ref="B3760:C3760"/>
    <mergeCell ref="B3761:C3761"/>
    <mergeCell ref="B3762:C3762"/>
    <mergeCell ref="B3763:C3763"/>
    <mergeCell ref="B3764:C3764"/>
    <mergeCell ref="B3765:C3765"/>
    <mergeCell ref="B3766:C3766"/>
    <mergeCell ref="B3767:C3767"/>
    <mergeCell ref="B3768:C3768"/>
    <mergeCell ref="B3769:C3769"/>
    <mergeCell ref="B3770:C3770"/>
    <mergeCell ref="B3771:C3771"/>
    <mergeCell ref="B3772:C3772"/>
    <mergeCell ref="B3773:C3773"/>
    <mergeCell ref="B3774:C3774"/>
    <mergeCell ref="B3775:C3775"/>
    <mergeCell ref="B3776:C3776"/>
    <mergeCell ref="B3777:C3777"/>
    <mergeCell ref="B3778:C3778"/>
    <mergeCell ref="B3779:C3779"/>
    <mergeCell ref="B3780:C3780"/>
    <mergeCell ref="B3781:C3781"/>
    <mergeCell ref="B3782:C3782"/>
    <mergeCell ref="B3783:C3783"/>
    <mergeCell ref="B3784:C3784"/>
    <mergeCell ref="B3785:C3785"/>
    <mergeCell ref="B3786:C3786"/>
    <mergeCell ref="B3787:C3787"/>
    <mergeCell ref="B3788:C3788"/>
    <mergeCell ref="B3789:C3789"/>
    <mergeCell ref="B3790:C3790"/>
    <mergeCell ref="B3791:C3791"/>
    <mergeCell ref="B3792:C3792"/>
    <mergeCell ref="B3793:C3793"/>
    <mergeCell ref="B3794:C3794"/>
    <mergeCell ref="B3795:C3795"/>
    <mergeCell ref="B3796:C3796"/>
    <mergeCell ref="B3797:C3797"/>
    <mergeCell ref="B3798:C3798"/>
    <mergeCell ref="B3799:C3799"/>
    <mergeCell ref="B3800:C3800"/>
    <mergeCell ref="B3801:C3801"/>
    <mergeCell ref="B3802:C3802"/>
    <mergeCell ref="B3803:C3803"/>
    <mergeCell ref="B3804:C3804"/>
    <mergeCell ref="B3805:C3805"/>
    <mergeCell ref="B3806:C3806"/>
    <mergeCell ref="B3807:C3807"/>
    <mergeCell ref="B3808:C3808"/>
    <mergeCell ref="B3809:C3809"/>
    <mergeCell ref="B3810:C3810"/>
    <mergeCell ref="B3811:C3811"/>
    <mergeCell ref="B3812:C3812"/>
    <mergeCell ref="B3813:C3813"/>
    <mergeCell ref="B3814:C3814"/>
    <mergeCell ref="B3815:C3815"/>
    <mergeCell ref="B3816:C3816"/>
    <mergeCell ref="B3817:C3817"/>
    <mergeCell ref="B3818:C3818"/>
    <mergeCell ref="B3819:C3819"/>
    <mergeCell ref="B3820:C3820"/>
    <mergeCell ref="B3821:C3821"/>
    <mergeCell ref="B3822:C3822"/>
    <mergeCell ref="B3823:C3823"/>
    <mergeCell ref="B3824:C3824"/>
    <mergeCell ref="B3825:C3825"/>
    <mergeCell ref="B3826:C3826"/>
    <mergeCell ref="B3827:C3827"/>
    <mergeCell ref="B3828:C3828"/>
    <mergeCell ref="B3829:C3829"/>
    <mergeCell ref="B3830:C3830"/>
    <mergeCell ref="B3831:C3831"/>
    <mergeCell ref="B3832:C3832"/>
    <mergeCell ref="B3833:C3833"/>
    <mergeCell ref="B3834:C3834"/>
    <mergeCell ref="B3835:C3835"/>
    <mergeCell ref="B3836:C3836"/>
    <mergeCell ref="B3837:C3837"/>
    <mergeCell ref="B3838:C3838"/>
    <mergeCell ref="B3839:C3839"/>
    <mergeCell ref="B3840:C3840"/>
    <mergeCell ref="B3841:C3841"/>
    <mergeCell ref="B3842:C3842"/>
    <mergeCell ref="B3843:C3843"/>
    <mergeCell ref="B3844:C3844"/>
    <mergeCell ref="B3845:C3845"/>
    <mergeCell ref="B3846:C3846"/>
    <mergeCell ref="B3847:C3847"/>
    <mergeCell ref="B3848:C3848"/>
    <mergeCell ref="B3849:C3849"/>
    <mergeCell ref="B3850:C3850"/>
    <mergeCell ref="B3851:C3851"/>
    <mergeCell ref="B3852:C3852"/>
    <mergeCell ref="B3853:C3853"/>
    <mergeCell ref="B3854:C3854"/>
    <mergeCell ref="B3855:C3855"/>
    <mergeCell ref="B3856:C3856"/>
    <mergeCell ref="B3857:C3857"/>
    <mergeCell ref="B3858:C3858"/>
    <mergeCell ref="B3859:C3859"/>
    <mergeCell ref="B3860:C3860"/>
    <mergeCell ref="B3861:C3861"/>
    <mergeCell ref="B3862:C3862"/>
    <mergeCell ref="B3863:C3863"/>
    <mergeCell ref="B3864:C3864"/>
    <mergeCell ref="B3865:C3865"/>
    <mergeCell ref="B3866:C3866"/>
    <mergeCell ref="B3867:C3867"/>
    <mergeCell ref="B3868:C3868"/>
    <mergeCell ref="B3869:C3869"/>
    <mergeCell ref="B3870:C3870"/>
    <mergeCell ref="B3871:C3871"/>
    <mergeCell ref="B3872:C3872"/>
    <mergeCell ref="B3873:C3873"/>
    <mergeCell ref="B3874:C3874"/>
    <mergeCell ref="B3875:C3875"/>
    <mergeCell ref="B3876:C3876"/>
    <mergeCell ref="B3877:C3877"/>
    <mergeCell ref="B3878:C3878"/>
    <mergeCell ref="B3879:C3879"/>
    <mergeCell ref="B3880:C3880"/>
    <mergeCell ref="B3881:C3881"/>
    <mergeCell ref="B3882:C3882"/>
    <mergeCell ref="B3883:C3883"/>
    <mergeCell ref="B3884:C3884"/>
    <mergeCell ref="B3885:C3885"/>
    <mergeCell ref="B3886:C3886"/>
    <mergeCell ref="B3887:C3887"/>
    <mergeCell ref="B3888:C3888"/>
    <mergeCell ref="B3889:C3889"/>
    <mergeCell ref="B3890:C3890"/>
    <mergeCell ref="B3891:C3891"/>
    <mergeCell ref="B3892:C3892"/>
    <mergeCell ref="B3893:C3893"/>
    <mergeCell ref="B3894:C3894"/>
    <mergeCell ref="B3895:C3895"/>
    <mergeCell ref="B3896:C3896"/>
    <mergeCell ref="B3897:C3897"/>
    <mergeCell ref="B3898:C3898"/>
    <mergeCell ref="B3899:C3899"/>
    <mergeCell ref="B3900:C3900"/>
    <mergeCell ref="B3901:C3901"/>
    <mergeCell ref="B3902:C3902"/>
    <mergeCell ref="B3903:C3903"/>
    <mergeCell ref="B3904:C3904"/>
    <mergeCell ref="B3905:C3905"/>
    <mergeCell ref="B3906:C3906"/>
    <mergeCell ref="B3907:C3907"/>
    <mergeCell ref="B3908:C3908"/>
    <mergeCell ref="B3909:C3909"/>
    <mergeCell ref="B3910:C3910"/>
    <mergeCell ref="B3911:C3911"/>
    <mergeCell ref="B3912:C3912"/>
    <mergeCell ref="B3913:C3913"/>
    <mergeCell ref="B3914:C3914"/>
    <mergeCell ref="B3915:C3915"/>
    <mergeCell ref="B3916:C3916"/>
    <mergeCell ref="B3917:C3917"/>
    <mergeCell ref="B3918:C3918"/>
    <mergeCell ref="B3919:C3919"/>
    <mergeCell ref="B3920:C3920"/>
    <mergeCell ref="B3921:C3921"/>
    <mergeCell ref="B3922:C3922"/>
    <mergeCell ref="B3923:C3923"/>
    <mergeCell ref="B3924:C3924"/>
    <mergeCell ref="B3925:C3925"/>
    <mergeCell ref="B3926:C3926"/>
    <mergeCell ref="B3927:C3927"/>
    <mergeCell ref="B3928:C3928"/>
    <mergeCell ref="B3929:C3929"/>
    <mergeCell ref="B3930:C3930"/>
    <mergeCell ref="B3931:C3931"/>
    <mergeCell ref="B3932:C3932"/>
    <mergeCell ref="B3933:C3933"/>
    <mergeCell ref="B3934:C3934"/>
    <mergeCell ref="B3935:C3935"/>
    <mergeCell ref="B3936:C3936"/>
    <mergeCell ref="B3937:C3937"/>
    <mergeCell ref="B3938:C3938"/>
    <mergeCell ref="B3939:C3939"/>
    <mergeCell ref="B3940:C3940"/>
    <mergeCell ref="B3941:C3941"/>
    <mergeCell ref="B3942:C3942"/>
    <mergeCell ref="B3943:C3943"/>
    <mergeCell ref="B3944:C3944"/>
    <mergeCell ref="B3945:C3945"/>
    <mergeCell ref="B3946:C3946"/>
    <mergeCell ref="B3947:C3947"/>
    <mergeCell ref="B3948:C3948"/>
    <mergeCell ref="B3949:C3949"/>
    <mergeCell ref="B3950:C3950"/>
    <mergeCell ref="B3951:C3951"/>
    <mergeCell ref="B3952:C3952"/>
    <mergeCell ref="B3953:C3953"/>
    <mergeCell ref="B3954:C3954"/>
    <mergeCell ref="B3955:C3955"/>
    <mergeCell ref="B3956:C3956"/>
    <mergeCell ref="B3957:C3957"/>
    <mergeCell ref="B3958:C3958"/>
    <mergeCell ref="B3959:C3959"/>
    <mergeCell ref="B3960:C3960"/>
    <mergeCell ref="B3961:C3961"/>
    <mergeCell ref="B3962:C3962"/>
    <mergeCell ref="B3963:C3963"/>
    <mergeCell ref="B3964:C3964"/>
    <mergeCell ref="B3965:C3965"/>
    <mergeCell ref="B3966:C3966"/>
    <mergeCell ref="B3967:C3967"/>
    <mergeCell ref="B3968:C3968"/>
    <mergeCell ref="B3969:C3969"/>
    <mergeCell ref="B3970:C3970"/>
    <mergeCell ref="B3971:C3971"/>
    <mergeCell ref="B3972:C3972"/>
    <mergeCell ref="B3973:C3973"/>
    <mergeCell ref="B3974:C3974"/>
    <mergeCell ref="B3975:C3975"/>
    <mergeCell ref="B3976:C3976"/>
    <mergeCell ref="B3977:C3977"/>
    <mergeCell ref="B3978:C3978"/>
    <mergeCell ref="B3979:C3979"/>
    <mergeCell ref="B3980:C3980"/>
    <mergeCell ref="B3981:C3981"/>
    <mergeCell ref="B3982:C3982"/>
    <mergeCell ref="B3983:C3983"/>
    <mergeCell ref="B3984:C3984"/>
    <mergeCell ref="B3985:C3985"/>
    <mergeCell ref="B3986:C3986"/>
    <mergeCell ref="B3987:C3987"/>
    <mergeCell ref="B3988:C3988"/>
    <mergeCell ref="B3989:C3989"/>
    <mergeCell ref="B3990:C3990"/>
    <mergeCell ref="B3991:C3991"/>
    <mergeCell ref="B3992:C3992"/>
    <mergeCell ref="B3993:C3993"/>
    <mergeCell ref="B3994:C3994"/>
    <mergeCell ref="B3995:C3995"/>
    <mergeCell ref="B3996:C3996"/>
    <mergeCell ref="B3997:C3997"/>
    <mergeCell ref="B3998:C3998"/>
    <mergeCell ref="B3999:C3999"/>
    <mergeCell ref="B4000:C4000"/>
    <mergeCell ref="B4001:C4001"/>
    <mergeCell ref="B4002:C4002"/>
    <mergeCell ref="B4003:C4003"/>
    <mergeCell ref="B4004:C4004"/>
    <mergeCell ref="B4005:C4005"/>
    <mergeCell ref="B4006:C4006"/>
    <mergeCell ref="B4007:C4007"/>
    <mergeCell ref="B4008:C4008"/>
    <mergeCell ref="B4009:C4009"/>
    <mergeCell ref="B4010:C4010"/>
    <mergeCell ref="B4011:C4011"/>
    <mergeCell ref="B4012:C4012"/>
    <mergeCell ref="B4013:C4013"/>
    <mergeCell ref="B4014:C4014"/>
    <mergeCell ref="B4015:C4015"/>
    <mergeCell ref="B4016:C4016"/>
    <mergeCell ref="B4017:C4017"/>
    <mergeCell ref="B4018:C4018"/>
    <mergeCell ref="B4019:C4019"/>
    <mergeCell ref="B4020:C4020"/>
    <mergeCell ref="B4021:C4021"/>
    <mergeCell ref="B4022:C4022"/>
    <mergeCell ref="B4023:C4023"/>
    <mergeCell ref="B4024:C4024"/>
    <mergeCell ref="B4025:C4025"/>
    <mergeCell ref="B4026:C4026"/>
    <mergeCell ref="B4027:C4027"/>
    <mergeCell ref="B4028:C4028"/>
    <mergeCell ref="B4029:C4029"/>
    <mergeCell ref="B4030:C4030"/>
    <mergeCell ref="B4031:C4031"/>
    <mergeCell ref="B4032:C4032"/>
    <mergeCell ref="B4033:C4033"/>
    <mergeCell ref="B4034:C4034"/>
    <mergeCell ref="B4035:C4035"/>
    <mergeCell ref="B4036:C4036"/>
    <mergeCell ref="B4037:C4037"/>
    <mergeCell ref="B4038:C4038"/>
    <mergeCell ref="B4039:C4039"/>
    <mergeCell ref="B4040:C4040"/>
    <mergeCell ref="B4041:C4041"/>
    <mergeCell ref="B4042:C4042"/>
    <mergeCell ref="B4043:C4043"/>
    <mergeCell ref="B4044:C4044"/>
    <mergeCell ref="B4045:C4045"/>
    <mergeCell ref="B4046:C4046"/>
    <mergeCell ref="B4047:C4047"/>
    <mergeCell ref="B4048:C4048"/>
    <mergeCell ref="B4049:C4049"/>
    <mergeCell ref="B4050:C4050"/>
    <mergeCell ref="B4051:C4051"/>
    <mergeCell ref="B4052:C4052"/>
    <mergeCell ref="B4053:C4053"/>
    <mergeCell ref="B4054:C4054"/>
    <mergeCell ref="B4055:C4055"/>
    <mergeCell ref="B4056:C4056"/>
    <mergeCell ref="B4057:C4057"/>
    <mergeCell ref="B4058:C4058"/>
    <mergeCell ref="B4059:C4059"/>
    <mergeCell ref="B4060:C4060"/>
    <mergeCell ref="B4061:C4061"/>
    <mergeCell ref="B4062:C4062"/>
    <mergeCell ref="B4063:C4063"/>
    <mergeCell ref="B4064:C4064"/>
    <mergeCell ref="B4065:C4065"/>
    <mergeCell ref="B4066:C4066"/>
    <mergeCell ref="B4067:C4067"/>
    <mergeCell ref="B4068:C4068"/>
    <mergeCell ref="B4069:C4069"/>
    <mergeCell ref="B4070:C4070"/>
    <mergeCell ref="B4071:C4071"/>
    <mergeCell ref="B4072:C4072"/>
    <mergeCell ref="B4073:C4073"/>
    <mergeCell ref="B4074:C4074"/>
    <mergeCell ref="B4075:C4075"/>
    <mergeCell ref="B4076:C4076"/>
    <mergeCell ref="B4077:C4077"/>
    <mergeCell ref="B4078:C4078"/>
    <mergeCell ref="B4079:C4079"/>
    <mergeCell ref="B4080:C4080"/>
    <mergeCell ref="B4081:C4081"/>
    <mergeCell ref="B4082:C4082"/>
    <mergeCell ref="B4083:C4083"/>
    <mergeCell ref="B4084:C4084"/>
    <mergeCell ref="B4085:C4085"/>
    <mergeCell ref="B4086:C4086"/>
    <mergeCell ref="B4087:C4087"/>
    <mergeCell ref="B4088:C4088"/>
    <mergeCell ref="B4089:C4089"/>
    <mergeCell ref="B4090:C4090"/>
    <mergeCell ref="B4091:C4091"/>
    <mergeCell ref="B4092:C4092"/>
    <mergeCell ref="B4093:C4093"/>
    <mergeCell ref="B4094:C4094"/>
    <mergeCell ref="B4095:C4095"/>
    <mergeCell ref="B4096:C4096"/>
    <mergeCell ref="B4097:C4097"/>
    <mergeCell ref="B4098:C4098"/>
    <mergeCell ref="B4099:C4099"/>
    <mergeCell ref="B4100:C4100"/>
    <mergeCell ref="B4101:C4101"/>
    <mergeCell ref="B4102:C4102"/>
    <mergeCell ref="B4103:C4103"/>
    <mergeCell ref="B4104:C4104"/>
    <mergeCell ref="B4105:C4105"/>
    <mergeCell ref="B4106:C4106"/>
    <mergeCell ref="B4107:C4107"/>
    <mergeCell ref="B4108:C4108"/>
    <mergeCell ref="B4109:C4109"/>
    <mergeCell ref="B4110:C4110"/>
    <mergeCell ref="B4111:C4111"/>
    <mergeCell ref="B4112:C4112"/>
    <mergeCell ref="B4113:C4113"/>
    <mergeCell ref="B4114:C4114"/>
    <mergeCell ref="B4115:C4115"/>
    <mergeCell ref="B4116:C4116"/>
    <mergeCell ref="B4117:C4117"/>
    <mergeCell ref="B4118:C4118"/>
    <mergeCell ref="B4119:C4119"/>
    <mergeCell ref="B4120:C4120"/>
    <mergeCell ref="B4121:C4121"/>
    <mergeCell ref="B4122:C4122"/>
    <mergeCell ref="B4123:C4123"/>
    <mergeCell ref="B4124:C4124"/>
    <mergeCell ref="B4125:C4125"/>
    <mergeCell ref="B4126:C4126"/>
    <mergeCell ref="B4127:C4127"/>
    <mergeCell ref="B4128:C4128"/>
    <mergeCell ref="B4129:C4129"/>
    <mergeCell ref="B4130:C4130"/>
    <mergeCell ref="B4131:C4131"/>
    <mergeCell ref="B4132:C4132"/>
    <mergeCell ref="B4133:C4133"/>
    <mergeCell ref="B4134:C4134"/>
    <mergeCell ref="B4135:C4135"/>
    <mergeCell ref="B4136:C4136"/>
    <mergeCell ref="B4137:C4137"/>
    <mergeCell ref="B4138:C4138"/>
    <mergeCell ref="B4139:C4139"/>
    <mergeCell ref="B4140:C4140"/>
    <mergeCell ref="B4141:C4141"/>
    <mergeCell ref="B4142:C4142"/>
    <mergeCell ref="B4143:C4143"/>
    <mergeCell ref="B4144:C4144"/>
    <mergeCell ref="B4145:C4145"/>
    <mergeCell ref="B4146:C4146"/>
    <mergeCell ref="B4147:C4147"/>
    <mergeCell ref="B4148:C4148"/>
    <mergeCell ref="B4149:C4149"/>
    <mergeCell ref="B4150:C4150"/>
    <mergeCell ref="B4151:C4151"/>
    <mergeCell ref="B4152:C4152"/>
    <mergeCell ref="B4153:C4153"/>
    <mergeCell ref="B4154:C4154"/>
    <mergeCell ref="B4155:C4155"/>
    <mergeCell ref="B4156:C4156"/>
    <mergeCell ref="B4157:C4157"/>
    <mergeCell ref="B4158:C4158"/>
    <mergeCell ref="B4159:C4159"/>
    <mergeCell ref="B4160:C4160"/>
    <mergeCell ref="B4161:C4161"/>
    <mergeCell ref="B4162:C4162"/>
    <mergeCell ref="B4163:C4163"/>
    <mergeCell ref="B4164:C4164"/>
    <mergeCell ref="B4165:C4165"/>
    <mergeCell ref="B4166:C4166"/>
    <mergeCell ref="B4167:C4167"/>
    <mergeCell ref="B4168:C4168"/>
    <mergeCell ref="B4169:C4169"/>
    <mergeCell ref="B4170:C4170"/>
    <mergeCell ref="B4171:C4171"/>
    <mergeCell ref="B4172:C4172"/>
    <mergeCell ref="B4173:C4173"/>
    <mergeCell ref="B4174:C4174"/>
    <mergeCell ref="B4175:C4175"/>
    <mergeCell ref="B4176:C4176"/>
    <mergeCell ref="B4177:C4177"/>
    <mergeCell ref="B4178:C4178"/>
    <mergeCell ref="B4179:C4179"/>
    <mergeCell ref="B4180:C4180"/>
    <mergeCell ref="B4181:C4181"/>
    <mergeCell ref="B4182:C4182"/>
    <mergeCell ref="B4183:C4183"/>
    <mergeCell ref="B4184:C4184"/>
    <mergeCell ref="B4185:C4185"/>
    <mergeCell ref="B4186:C4186"/>
    <mergeCell ref="B4187:C4187"/>
    <mergeCell ref="B4188:C4188"/>
    <mergeCell ref="B4189:C4189"/>
    <mergeCell ref="B4190:C4190"/>
    <mergeCell ref="B4191:C4191"/>
    <mergeCell ref="B4192:C4192"/>
    <mergeCell ref="B4193:C4193"/>
    <mergeCell ref="B4194:C4194"/>
    <mergeCell ref="B4195:C4195"/>
    <mergeCell ref="B4196:C4196"/>
    <mergeCell ref="B4197:C4197"/>
    <mergeCell ref="B4198:C4198"/>
    <mergeCell ref="B4199:C4199"/>
    <mergeCell ref="B4200:C4200"/>
    <mergeCell ref="B4201:C4201"/>
    <mergeCell ref="B4202:C4202"/>
    <mergeCell ref="B4203:C4203"/>
    <mergeCell ref="B4204:C4204"/>
    <mergeCell ref="B4205:C4205"/>
    <mergeCell ref="B4206:C4206"/>
    <mergeCell ref="B4207:C4207"/>
    <mergeCell ref="B4208:C4208"/>
    <mergeCell ref="B4209:C4209"/>
    <mergeCell ref="B4210:C4210"/>
    <mergeCell ref="B4211:C4211"/>
    <mergeCell ref="B4212:C4212"/>
    <mergeCell ref="B4213:C4213"/>
    <mergeCell ref="B4214:C4214"/>
    <mergeCell ref="B4215:C4215"/>
    <mergeCell ref="B4216:C4216"/>
    <mergeCell ref="B4217:C4217"/>
    <mergeCell ref="B4218:C4218"/>
    <mergeCell ref="B4219:C4219"/>
    <mergeCell ref="B4220:C4220"/>
    <mergeCell ref="B4221:C4221"/>
    <mergeCell ref="B4222:C4222"/>
    <mergeCell ref="B4223:C4223"/>
    <mergeCell ref="B4224:C4224"/>
    <mergeCell ref="B4225:C4225"/>
    <mergeCell ref="B4226:C4226"/>
    <mergeCell ref="B4227:C4227"/>
    <mergeCell ref="B4228:C4228"/>
    <mergeCell ref="B4229:C4229"/>
    <mergeCell ref="B4230:C4230"/>
    <mergeCell ref="B4231:C4231"/>
    <mergeCell ref="B4232:C4232"/>
    <mergeCell ref="B4233:C4233"/>
    <mergeCell ref="B4234:C4234"/>
    <mergeCell ref="B4235:C4235"/>
    <mergeCell ref="B4236:C4236"/>
    <mergeCell ref="B4237:C4237"/>
    <mergeCell ref="B4238:C4238"/>
    <mergeCell ref="B4239:C4239"/>
    <mergeCell ref="B4240:C4240"/>
    <mergeCell ref="B4241:C4241"/>
    <mergeCell ref="B4242:C4242"/>
    <mergeCell ref="B4243:C4243"/>
    <mergeCell ref="B4244:C4244"/>
    <mergeCell ref="B4245:C4245"/>
    <mergeCell ref="B4246:C4246"/>
    <mergeCell ref="B4247:C4247"/>
    <mergeCell ref="B4248:C4248"/>
    <mergeCell ref="B4249:C4249"/>
    <mergeCell ref="B4250:C4250"/>
    <mergeCell ref="B4252:C4252"/>
    <mergeCell ref="B4253:C4253"/>
    <mergeCell ref="B4254:C4254"/>
    <mergeCell ref="B4255:C4255"/>
    <mergeCell ref="B4256:C4256"/>
    <mergeCell ref="B4257:C4257"/>
    <mergeCell ref="B4258:C4258"/>
    <mergeCell ref="B4259:C4259"/>
    <mergeCell ref="B4260:C4260"/>
    <mergeCell ref="B4261:C4261"/>
    <mergeCell ref="B4262:C4262"/>
    <mergeCell ref="B4263:C4263"/>
    <mergeCell ref="B4264:C4264"/>
    <mergeCell ref="B4265:C4265"/>
    <mergeCell ref="B4266:C4266"/>
    <mergeCell ref="B4267:C4267"/>
    <mergeCell ref="B4268:C4268"/>
    <mergeCell ref="B4269:C4269"/>
    <mergeCell ref="B4270:C4270"/>
    <mergeCell ref="B4271:C4271"/>
    <mergeCell ref="B4272:C4272"/>
    <mergeCell ref="B4273:C4273"/>
    <mergeCell ref="B4274:C4274"/>
    <mergeCell ref="B4275:C4275"/>
    <mergeCell ref="B4276:C4276"/>
    <mergeCell ref="B4277:C4277"/>
    <mergeCell ref="B4278:C4278"/>
    <mergeCell ref="B4279:C4279"/>
    <mergeCell ref="B4280:C4280"/>
    <mergeCell ref="B4281:C4281"/>
    <mergeCell ref="B4282:C4282"/>
    <mergeCell ref="B4283:C4283"/>
    <mergeCell ref="B4284:C4284"/>
    <mergeCell ref="B4285:C4285"/>
    <mergeCell ref="B4286:C4286"/>
    <mergeCell ref="B4287:C4287"/>
    <mergeCell ref="B4289:C4289"/>
    <mergeCell ref="B4290:C4290"/>
    <mergeCell ref="B4291:C4291"/>
    <mergeCell ref="B4292:C4292"/>
    <mergeCell ref="B4293:C4293"/>
    <mergeCell ref="B4294:C4294"/>
    <mergeCell ref="B4295:C4295"/>
    <mergeCell ref="B4296:C4296"/>
    <mergeCell ref="B4297:C4297"/>
    <mergeCell ref="B4298:C4298"/>
    <mergeCell ref="B4299:C4299"/>
    <mergeCell ref="B4300:C4300"/>
    <mergeCell ref="B4301:C4301"/>
    <mergeCell ref="B4302:C4302"/>
    <mergeCell ref="B4303:C4303"/>
    <mergeCell ref="B4304:C4304"/>
    <mergeCell ref="B4305:C4305"/>
    <mergeCell ref="B4306:C4306"/>
    <mergeCell ref="B4307:C4307"/>
    <mergeCell ref="B4308:C4308"/>
    <mergeCell ref="B4309:C4309"/>
    <mergeCell ref="B4310:C4310"/>
    <mergeCell ref="B4311:C4311"/>
    <mergeCell ref="B4312:C4312"/>
    <mergeCell ref="B4313:C4313"/>
    <mergeCell ref="B4314:C4314"/>
    <mergeCell ref="B4315:C4315"/>
    <mergeCell ref="B4316:C4316"/>
    <mergeCell ref="B4317:C4317"/>
    <mergeCell ref="B4318:C4318"/>
    <mergeCell ref="B4319:C4319"/>
    <mergeCell ref="B4320:C4320"/>
    <mergeCell ref="B4321:C4321"/>
    <mergeCell ref="B4322:C4322"/>
    <mergeCell ref="B4323:C4323"/>
    <mergeCell ref="B4324:C4324"/>
    <mergeCell ref="B4325:C4325"/>
    <mergeCell ref="B4326:C4326"/>
    <mergeCell ref="B4327:C4327"/>
    <mergeCell ref="B4328:C4328"/>
    <mergeCell ref="B4329:C4329"/>
    <mergeCell ref="B4330:C4330"/>
    <mergeCell ref="B4331:C4331"/>
    <mergeCell ref="B4332:C4332"/>
    <mergeCell ref="B4333:C4333"/>
    <mergeCell ref="B4334:C4334"/>
    <mergeCell ref="B4335:C4335"/>
    <mergeCell ref="B4336:C4336"/>
    <mergeCell ref="B4337:C4337"/>
    <mergeCell ref="B4338:C4338"/>
    <mergeCell ref="B4339:C4339"/>
    <mergeCell ref="B4340:C4340"/>
    <mergeCell ref="B4341:C4341"/>
    <mergeCell ref="B4342:C4342"/>
    <mergeCell ref="B4343:C4343"/>
    <mergeCell ref="B4344:C4344"/>
    <mergeCell ref="B4345:C4345"/>
    <mergeCell ref="B4346:C4346"/>
    <mergeCell ref="B4347:C4347"/>
    <mergeCell ref="B4348:C4348"/>
    <mergeCell ref="B4349:C4349"/>
    <mergeCell ref="B4350:C4350"/>
    <mergeCell ref="B4351:C4351"/>
    <mergeCell ref="B4352:C4352"/>
    <mergeCell ref="B4353:C4353"/>
    <mergeCell ref="B4354:C4354"/>
    <mergeCell ref="B4355:C4355"/>
    <mergeCell ref="B4356:C4356"/>
    <mergeCell ref="B4357:C4357"/>
    <mergeCell ref="B4358:C4358"/>
    <mergeCell ref="B4359:C4359"/>
    <mergeCell ref="B4360:C4360"/>
    <mergeCell ref="B4361:C4361"/>
    <mergeCell ref="B4362:C4362"/>
    <mergeCell ref="B4363:C4363"/>
    <mergeCell ref="B4364:C4364"/>
    <mergeCell ref="B4365:C4365"/>
    <mergeCell ref="B4366:C4366"/>
    <mergeCell ref="B4367:C4367"/>
    <mergeCell ref="B4368:C4368"/>
    <mergeCell ref="B4369:C4369"/>
    <mergeCell ref="B4370:C4370"/>
    <mergeCell ref="B4371:C4371"/>
    <mergeCell ref="B4372:C4372"/>
    <mergeCell ref="B4373:C4373"/>
    <mergeCell ref="B4374:C4374"/>
    <mergeCell ref="B4375:C4375"/>
    <mergeCell ref="B4376:C4376"/>
    <mergeCell ref="B4377:C4377"/>
    <mergeCell ref="B4378:C4378"/>
    <mergeCell ref="B4379:C4379"/>
    <mergeCell ref="B4380:C4380"/>
    <mergeCell ref="B4381:C4381"/>
    <mergeCell ref="B4382:C4382"/>
    <mergeCell ref="B4383:C4383"/>
    <mergeCell ref="B4384:C4384"/>
    <mergeCell ref="B4385:C4385"/>
    <mergeCell ref="B4386:C4386"/>
    <mergeCell ref="B4387:C4387"/>
    <mergeCell ref="B4388:C4388"/>
    <mergeCell ref="B4389:C4389"/>
    <mergeCell ref="B4390:C4390"/>
    <mergeCell ref="B4391:C4391"/>
    <mergeCell ref="B4392:C4392"/>
    <mergeCell ref="B4393:C4393"/>
    <mergeCell ref="B4394:C4394"/>
    <mergeCell ref="B4395:C4395"/>
    <mergeCell ref="B4396:C4396"/>
    <mergeCell ref="B4397:C4397"/>
    <mergeCell ref="B4398:C4398"/>
    <mergeCell ref="B4399:C4399"/>
    <mergeCell ref="B4400:C4400"/>
    <mergeCell ref="B4401:C4401"/>
    <mergeCell ref="B4402:C4402"/>
    <mergeCell ref="B4403:C4403"/>
    <mergeCell ref="B4404:C4404"/>
    <mergeCell ref="B4405:C4405"/>
    <mergeCell ref="B4406:C4406"/>
    <mergeCell ref="B4407:C4407"/>
    <mergeCell ref="B4408:C4408"/>
    <mergeCell ref="B4409:C4409"/>
    <mergeCell ref="B4410:C4410"/>
    <mergeCell ref="B4411:C4411"/>
    <mergeCell ref="B4412:C4412"/>
    <mergeCell ref="B4413:C4413"/>
    <mergeCell ref="B4414:C4414"/>
    <mergeCell ref="B4415:C4415"/>
    <mergeCell ref="B4416:C4416"/>
    <mergeCell ref="B4417:C4417"/>
    <mergeCell ref="B4418:C4418"/>
    <mergeCell ref="B4419:C4419"/>
    <mergeCell ref="B4420:C4420"/>
    <mergeCell ref="B4421:C4421"/>
    <mergeCell ref="B4422:C4422"/>
    <mergeCell ref="B4423:C4423"/>
    <mergeCell ref="B4424:C4424"/>
    <mergeCell ref="B4425:C4425"/>
    <mergeCell ref="B4426:C4426"/>
    <mergeCell ref="B4427:C4427"/>
    <mergeCell ref="B4428:C4428"/>
    <mergeCell ref="B4429:C4429"/>
    <mergeCell ref="B4430:C4430"/>
    <mergeCell ref="B4431:C4431"/>
    <mergeCell ref="B4432:C4432"/>
    <mergeCell ref="B4433:C4433"/>
    <mergeCell ref="B4434:C4434"/>
    <mergeCell ref="B4435:C4435"/>
    <mergeCell ref="B4436:C4436"/>
    <mergeCell ref="B4437:C4437"/>
    <mergeCell ref="B4438:C4438"/>
    <mergeCell ref="B4439:C4439"/>
    <mergeCell ref="B4440:C4440"/>
    <mergeCell ref="B4441:C4441"/>
    <mergeCell ref="B4442:C4442"/>
    <mergeCell ref="B4443:C4443"/>
    <mergeCell ref="B4444:C4444"/>
    <mergeCell ref="B4445:C4445"/>
    <mergeCell ref="B4446:C4446"/>
    <mergeCell ref="B4447:C4447"/>
    <mergeCell ref="B4448:C4448"/>
    <mergeCell ref="B4449:C4449"/>
    <mergeCell ref="B4450:C4450"/>
    <mergeCell ref="B4451:C4451"/>
    <mergeCell ref="B4452:C4452"/>
    <mergeCell ref="B4453:C4453"/>
    <mergeCell ref="B4454:C4454"/>
    <mergeCell ref="B4455:C4455"/>
    <mergeCell ref="B4456:C4456"/>
    <mergeCell ref="B4457:C4457"/>
    <mergeCell ref="B4458:C4458"/>
    <mergeCell ref="B4459:C4459"/>
    <mergeCell ref="B4460:C4460"/>
    <mergeCell ref="B4461:C4461"/>
    <mergeCell ref="B4462:C4462"/>
    <mergeCell ref="B4463:C4463"/>
    <mergeCell ref="B4464:C4464"/>
    <mergeCell ref="B4465:C4465"/>
    <mergeCell ref="B4466:C4466"/>
    <mergeCell ref="B4467:C4467"/>
    <mergeCell ref="B4468:C4468"/>
    <mergeCell ref="B4469:C4469"/>
    <mergeCell ref="B4470:C4470"/>
    <mergeCell ref="B4471:C4471"/>
    <mergeCell ref="B4472:C4472"/>
    <mergeCell ref="B4473:C4473"/>
    <mergeCell ref="B4474:C4474"/>
    <mergeCell ref="B4475:C4475"/>
    <mergeCell ref="B4476:C4476"/>
    <mergeCell ref="B4477:C4477"/>
    <mergeCell ref="B4478:C4478"/>
    <mergeCell ref="B4479:C4479"/>
    <mergeCell ref="B4480:C4480"/>
    <mergeCell ref="B4481:C4481"/>
    <mergeCell ref="B4482:C4482"/>
    <mergeCell ref="B4483:C4483"/>
    <mergeCell ref="B4484:C4484"/>
    <mergeCell ref="B4485:C4485"/>
    <mergeCell ref="B4486:C4486"/>
    <mergeCell ref="B4487:C4487"/>
    <mergeCell ref="B4488:C4488"/>
    <mergeCell ref="B4489:C4489"/>
    <mergeCell ref="B4490:C4490"/>
    <mergeCell ref="B4491:C4491"/>
    <mergeCell ref="B4492:C4492"/>
    <mergeCell ref="B4493:C4493"/>
    <mergeCell ref="B4494:C4494"/>
    <mergeCell ref="B4495:C4495"/>
    <mergeCell ref="B4496:C4496"/>
    <mergeCell ref="B4497:C4497"/>
    <mergeCell ref="B4498:C4498"/>
    <mergeCell ref="B4499:C4499"/>
    <mergeCell ref="B4500:C4500"/>
    <mergeCell ref="B4501:C4501"/>
    <mergeCell ref="B4502:C4502"/>
    <mergeCell ref="B4503:C4503"/>
    <mergeCell ref="B4504:C4504"/>
    <mergeCell ref="B4505:C4505"/>
    <mergeCell ref="B4506:C4506"/>
    <mergeCell ref="B4507:C4507"/>
    <mergeCell ref="B4508:C4508"/>
    <mergeCell ref="B4509:C4509"/>
    <mergeCell ref="B4510:C4510"/>
    <mergeCell ref="B4511:C4511"/>
    <mergeCell ref="B4512:C4512"/>
    <mergeCell ref="B4513:C4513"/>
    <mergeCell ref="B4514:C4514"/>
    <mergeCell ref="B4515:C4515"/>
    <mergeCell ref="B4516:C4516"/>
    <mergeCell ref="B4517:C4517"/>
    <mergeCell ref="B4518:C4518"/>
    <mergeCell ref="B4519:C4519"/>
    <mergeCell ref="B4520:C4520"/>
    <mergeCell ref="B4521:C4521"/>
    <mergeCell ref="B4522:C4522"/>
    <mergeCell ref="B4523:C4523"/>
    <mergeCell ref="B4524:C4524"/>
    <mergeCell ref="B4525:C4525"/>
    <mergeCell ref="B4526:C4526"/>
    <mergeCell ref="B4527:C4527"/>
    <mergeCell ref="B4528:C4528"/>
    <mergeCell ref="B4529:C4529"/>
    <mergeCell ref="B4530:C4530"/>
    <mergeCell ref="B4531:C4531"/>
    <mergeCell ref="B4532:C4532"/>
    <mergeCell ref="B4533:C4533"/>
    <mergeCell ref="B4534:C4534"/>
    <mergeCell ref="B4535:C4535"/>
    <mergeCell ref="B4536:C4536"/>
    <mergeCell ref="B4537:C4537"/>
    <mergeCell ref="B4538:C4538"/>
    <mergeCell ref="B4539:C4539"/>
    <mergeCell ref="B4540:C4540"/>
    <mergeCell ref="B4541:C4541"/>
    <mergeCell ref="B4542:C4542"/>
    <mergeCell ref="B4543:C4543"/>
    <mergeCell ref="B4544:C4544"/>
    <mergeCell ref="B4545:C4545"/>
    <mergeCell ref="B4546:C4546"/>
    <mergeCell ref="B4547:C4547"/>
    <mergeCell ref="B4548:C4548"/>
    <mergeCell ref="B4549:C4549"/>
    <mergeCell ref="B4550:C4550"/>
    <mergeCell ref="B4551:C4551"/>
    <mergeCell ref="B4552:C4552"/>
    <mergeCell ref="B4553:C4553"/>
    <mergeCell ref="B4554:C4554"/>
    <mergeCell ref="B4555:C4555"/>
    <mergeCell ref="B4556:C4556"/>
    <mergeCell ref="B4557:C4557"/>
    <mergeCell ref="B4558:C4558"/>
    <mergeCell ref="B4559:C4559"/>
    <mergeCell ref="B4560:C4560"/>
    <mergeCell ref="B4561:C4561"/>
    <mergeCell ref="B4562:C4562"/>
    <mergeCell ref="B4563:C4563"/>
    <mergeCell ref="B4564:C4564"/>
    <mergeCell ref="B4565:C4565"/>
    <mergeCell ref="B4566:C4566"/>
    <mergeCell ref="B4567:C4567"/>
    <mergeCell ref="B4568:C4568"/>
    <mergeCell ref="B4569:C4569"/>
    <mergeCell ref="B4570:C4570"/>
    <mergeCell ref="B4571:C4571"/>
    <mergeCell ref="B4572:C4572"/>
    <mergeCell ref="B4573:C4573"/>
    <mergeCell ref="B4574:C4574"/>
    <mergeCell ref="B4575:C4575"/>
    <mergeCell ref="B4576:C4576"/>
    <mergeCell ref="B4577:C4577"/>
    <mergeCell ref="B4578:C4578"/>
    <mergeCell ref="B4579:C4579"/>
    <mergeCell ref="B4580:C4580"/>
    <mergeCell ref="B4581:C4581"/>
    <mergeCell ref="B4582:C4582"/>
    <mergeCell ref="B4583:C4583"/>
    <mergeCell ref="B4584:C4584"/>
    <mergeCell ref="B4585:C4585"/>
    <mergeCell ref="B4586:C4586"/>
    <mergeCell ref="B4587:C4587"/>
    <mergeCell ref="B4588:C4588"/>
    <mergeCell ref="B4589:C4589"/>
    <mergeCell ref="B4590:C4590"/>
    <mergeCell ref="B4591:C4591"/>
    <mergeCell ref="B4592:C4592"/>
    <mergeCell ref="B4593:C4593"/>
    <mergeCell ref="B4594:C4594"/>
    <mergeCell ref="B4595:C4595"/>
    <mergeCell ref="B4596:C4596"/>
    <mergeCell ref="B4597:C4597"/>
    <mergeCell ref="B4598:C4598"/>
    <mergeCell ref="B4599:C4599"/>
    <mergeCell ref="B4600:C4600"/>
    <mergeCell ref="B4601:C4601"/>
    <mergeCell ref="B4602:C4602"/>
    <mergeCell ref="B4603:C4603"/>
    <mergeCell ref="B4604:C4604"/>
    <mergeCell ref="B4605:C4605"/>
    <mergeCell ref="B4606:C4606"/>
    <mergeCell ref="B4607:C4607"/>
    <mergeCell ref="B4608:C4608"/>
    <mergeCell ref="B4609:C4609"/>
    <mergeCell ref="B4610:C4610"/>
    <mergeCell ref="B4611:C4611"/>
    <mergeCell ref="B4612:C4612"/>
    <mergeCell ref="B4613:C4613"/>
    <mergeCell ref="B4614:C4614"/>
    <mergeCell ref="B4615:C4615"/>
    <mergeCell ref="B4616:C4616"/>
    <mergeCell ref="B4617:C4617"/>
    <mergeCell ref="B4618:C4618"/>
    <mergeCell ref="B4619:C4619"/>
    <mergeCell ref="B4620:C4620"/>
    <mergeCell ref="B4621:C4621"/>
    <mergeCell ref="B4622:C4622"/>
    <mergeCell ref="B4623:C4623"/>
    <mergeCell ref="B4624:C4624"/>
    <mergeCell ref="B4625:C4625"/>
    <mergeCell ref="B4626:C4626"/>
    <mergeCell ref="B4627:C4627"/>
    <mergeCell ref="B4628:C4628"/>
    <mergeCell ref="B4629:C4629"/>
    <mergeCell ref="B4630:C4630"/>
    <mergeCell ref="B4631:C4631"/>
    <mergeCell ref="B4632:C4632"/>
    <mergeCell ref="B4633:C4633"/>
    <mergeCell ref="B4634:C4634"/>
    <mergeCell ref="B4635:C4635"/>
    <mergeCell ref="B4636:C4636"/>
    <mergeCell ref="B4637:C4637"/>
    <mergeCell ref="B4638:C4638"/>
    <mergeCell ref="B4639:C4639"/>
    <mergeCell ref="B4640:C4640"/>
    <mergeCell ref="B4641:C4641"/>
    <mergeCell ref="B4642:C4642"/>
    <mergeCell ref="B4643:C4643"/>
    <mergeCell ref="B4644:C4644"/>
    <mergeCell ref="B4645:C4645"/>
    <mergeCell ref="B4646:C4646"/>
    <mergeCell ref="B4647:C4647"/>
    <mergeCell ref="B4648:C4648"/>
    <mergeCell ref="B4649:C4649"/>
    <mergeCell ref="B4650:C4650"/>
    <mergeCell ref="B4651:C4651"/>
    <mergeCell ref="B4652:C4652"/>
    <mergeCell ref="B4653:C4653"/>
    <mergeCell ref="B4654:C4654"/>
    <mergeCell ref="B4655:C4655"/>
    <mergeCell ref="B4656:C4656"/>
    <mergeCell ref="B4657:C4657"/>
    <mergeCell ref="B4658:C4658"/>
    <mergeCell ref="B4659:C4659"/>
    <mergeCell ref="B4660:C4660"/>
    <mergeCell ref="B4661:C4661"/>
    <mergeCell ref="B4662:C4662"/>
    <mergeCell ref="B4663:C4663"/>
    <mergeCell ref="B4664:C4664"/>
    <mergeCell ref="B4665:C4665"/>
    <mergeCell ref="B4666:C4666"/>
    <mergeCell ref="B4667:C4667"/>
    <mergeCell ref="B4668:C4668"/>
    <mergeCell ref="B4669:C4669"/>
    <mergeCell ref="B4670:C4670"/>
    <mergeCell ref="B4671:C4671"/>
    <mergeCell ref="B4672:C4672"/>
    <mergeCell ref="B4673:C4673"/>
    <mergeCell ref="B4674:C4674"/>
    <mergeCell ref="B4675:C4675"/>
    <mergeCell ref="B4676:C4676"/>
    <mergeCell ref="B4677:C4677"/>
    <mergeCell ref="B4678:C4678"/>
    <mergeCell ref="B4679:C4679"/>
    <mergeCell ref="B4680:C4680"/>
    <mergeCell ref="B4681:C4681"/>
    <mergeCell ref="B4682:C4682"/>
    <mergeCell ref="B4683:C4683"/>
    <mergeCell ref="B4684:C4684"/>
    <mergeCell ref="B4685:C4685"/>
    <mergeCell ref="B4686:C4686"/>
    <mergeCell ref="B4687:C4687"/>
    <mergeCell ref="B4688:C4688"/>
    <mergeCell ref="B4689:C4689"/>
    <mergeCell ref="B4690:C4690"/>
    <mergeCell ref="B4691:C4691"/>
    <mergeCell ref="B4692:C4692"/>
    <mergeCell ref="B4693:C4693"/>
    <mergeCell ref="B4694:C4694"/>
    <mergeCell ref="B4695:C4695"/>
    <mergeCell ref="B4696:C4696"/>
    <mergeCell ref="B4697:C4697"/>
    <mergeCell ref="B4698:C4698"/>
    <mergeCell ref="B4699:C4699"/>
    <mergeCell ref="B4700:C4700"/>
    <mergeCell ref="B4701:C4701"/>
    <mergeCell ref="B4702:C4702"/>
    <mergeCell ref="B4703:C4703"/>
    <mergeCell ref="B4704:C4704"/>
    <mergeCell ref="B4705:C4705"/>
    <mergeCell ref="B4706:C4706"/>
    <mergeCell ref="B4707:C4707"/>
    <mergeCell ref="B4708:C4708"/>
    <mergeCell ref="B4709:C4709"/>
    <mergeCell ref="B4710:C4710"/>
    <mergeCell ref="B4711:C4711"/>
    <mergeCell ref="B4712:C4712"/>
    <mergeCell ref="B4713:C4713"/>
    <mergeCell ref="B4714:C4714"/>
    <mergeCell ref="B4715:C4715"/>
    <mergeCell ref="B4716:C4716"/>
    <mergeCell ref="B4717:C4717"/>
    <mergeCell ref="B4718:C4718"/>
    <mergeCell ref="B4719:C4719"/>
    <mergeCell ref="B4720:C4720"/>
    <mergeCell ref="B4721:C4721"/>
    <mergeCell ref="B4722:C4722"/>
    <mergeCell ref="B4723:C4723"/>
    <mergeCell ref="B4724:C4724"/>
    <mergeCell ref="B4725:C4725"/>
    <mergeCell ref="B4726:C4726"/>
    <mergeCell ref="B4727:C4727"/>
    <mergeCell ref="B4728:C4728"/>
    <mergeCell ref="B4729:C4729"/>
    <mergeCell ref="B4730:C4730"/>
    <mergeCell ref="B4731:C4731"/>
    <mergeCell ref="B4732:C4732"/>
    <mergeCell ref="B4733:C4733"/>
    <mergeCell ref="B4734:C4734"/>
    <mergeCell ref="B4735:C4735"/>
    <mergeCell ref="B4736:C4736"/>
    <mergeCell ref="B4737:C4737"/>
    <mergeCell ref="B4738:C4738"/>
    <mergeCell ref="B4739:C4739"/>
    <mergeCell ref="B4740:C4740"/>
    <mergeCell ref="B4741:C4741"/>
    <mergeCell ref="B4742:C4742"/>
    <mergeCell ref="B4743:C4743"/>
    <mergeCell ref="B4744:C4744"/>
    <mergeCell ref="B4745:C4745"/>
    <mergeCell ref="B4746:C4746"/>
    <mergeCell ref="B4747:C4747"/>
    <mergeCell ref="B4748:C4748"/>
    <mergeCell ref="B4749:C4749"/>
    <mergeCell ref="B4750:C4750"/>
    <mergeCell ref="B4751:C4751"/>
    <mergeCell ref="B4752:C4752"/>
    <mergeCell ref="B4753:C4753"/>
    <mergeCell ref="B4754:C4754"/>
    <mergeCell ref="B4755:C4755"/>
    <mergeCell ref="B4756:C4756"/>
    <mergeCell ref="B4757:C4757"/>
    <mergeCell ref="B4758:C4758"/>
    <mergeCell ref="B4759:C4759"/>
    <mergeCell ref="B4760:C4760"/>
    <mergeCell ref="B4761:C4761"/>
    <mergeCell ref="B4762:C4762"/>
    <mergeCell ref="B4763:C4763"/>
    <mergeCell ref="B4764:C4764"/>
    <mergeCell ref="B4765:C4765"/>
    <mergeCell ref="B4766:C4766"/>
    <mergeCell ref="B4767:C4767"/>
    <mergeCell ref="B4768:C4768"/>
    <mergeCell ref="B4769:C4769"/>
    <mergeCell ref="B4770:C4770"/>
    <mergeCell ref="B4771:C4771"/>
    <mergeCell ref="B4772:C4772"/>
    <mergeCell ref="B4773:C4773"/>
    <mergeCell ref="B4774:C4774"/>
    <mergeCell ref="B4775:C4775"/>
    <mergeCell ref="B4776:C4776"/>
    <mergeCell ref="B4777:C4777"/>
    <mergeCell ref="B4778:C4778"/>
    <mergeCell ref="B4779:C4779"/>
    <mergeCell ref="B4780:C4780"/>
    <mergeCell ref="B4781:C4781"/>
    <mergeCell ref="B4782:C4782"/>
    <mergeCell ref="B4783:C4783"/>
    <mergeCell ref="B4784:C4784"/>
    <mergeCell ref="B4785:C4785"/>
    <mergeCell ref="B4786:C4786"/>
    <mergeCell ref="B4787:C4787"/>
    <mergeCell ref="B4788:C4788"/>
    <mergeCell ref="B4789:C4789"/>
    <mergeCell ref="B4790:C4790"/>
    <mergeCell ref="B4791:C4791"/>
    <mergeCell ref="B4792:C4792"/>
    <mergeCell ref="B4793:C4793"/>
    <mergeCell ref="B4794:C4794"/>
    <mergeCell ref="B4795:C4795"/>
    <mergeCell ref="B4796:C4796"/>
    <mergeCell ref="B4797:C4797"/>
    <mergeCell ref="B4798:C4798"/>
    <mergeCell ref="B4799:C4799"/>
    <mergeCell ref="B4800:C4800"/>
    <mergeCell ref="B4801:C4801"/>
    <mergeCell ref="B4802:C4802"/>
    <mergeCell ref="B4803:C4803"/>
    <mergeCell ref="B4804:C4804"/>
    <mergeCell ref="B4805:C4805"/>
    <mergeCell ref="B4806:C4806"/>
    <mergeCell ref="B4807:C4807"/>
    <mergeCell ref="B4809:C4809"/>
    <mergeCell ref="B4810:C4810"/>
    <mergeCell ref="B4811:C4811"/>
    <mergeCell ref="B4812:C4812"/>
    <mergeCell ref="B4813:C4813"/>
    <mergeCell ref="B4814:C4814"/>
    <mergeCell ref="B4815:C4815"/>
    <mergeCell ref="B4816:C4816"/>
    <mergeCell ref="B4817:C4817"/>
    <mergeCell ref="B4818:C4818"/>
    <mergeCell ref="B4819:C4819"/>
    <mergeCell ref="B4820:C4820"/>
    <mergeCell ref="B4821:C4821"/>
    <mergeCell ref="B4822:C4822"/>
    <mergeCell ref="B4823:C4823"/>
    <mergeCell ref="B4824:C4824"/>
    <mergeCell ref="B4825:C4825"/>
    <mergeCell ref="B4826:C4826"/>
    <mergeCell ref="B4827:C4827"/>
    <mergeCell ref="B4828:C4828"/>
    <mergeCell ref="B4829:C4829"/>
    <mergeCell ref="B4830:C4830"/>
    <mergeCell ref="B4831:C4831"/>
    <mergeCell ref="B4832:C4832"/>
    <mergeCell ref="B4833:C4833"/>
    <mergeCell ref="B4834:C4834"/>
    <mergeCell ref="B4835:C4835"/>
    <mergeCell ref="B4836:C4836"/>
    <mergeCell ref="B4837:C4837"/>
    <mergeCell ref="B4838:C4838"/>
    <mergeCell ref="B4839:C4839"/>
    <mergeCell ref="B4840:C4840"/>
    <mergeCell ref="B4841:C4841"/>
    <mergeCell ref="B4842:C4842"/>
    <mergeCell ref="B4843:C4843"/>
    <mergeCell ref="B4844:C4844"/>
    <mergeCell ref="B4845:C4845"/>
    <mergeCell ref="B4846:C4846"/>
    <mergeCell ref="B4847:C4847"/>
    <mergeCell ref="B4848:C4848"/>
    <mergeCell ref="B4849:C4849"/>
    <mergeCell ref="B4850:C4850"/>
    <mergeCell ref="B4851:C4851"/>
    <mergeCell ref="B4852:C4852"/>
    <mergeCell ref="B4853:C4853"/>
    <mergeCell ref="B4854:C4854"/>
    <mergeCell ref="B4855:C4855"/>
    <mergeCell ref="B4856:C4856"/>
    <mergeCell ref="B4857:C4857"/>
    <mergeCell ref="B4858:C4858"/>
    <mergeCell ref="B4859:C4859"/>
    <mergeCell ref="B4860:C4860"/>
    <mergeCell ref="B4861:C4861"/>
    <mergeCell ref="B4862:C4862"/>
    <mergeCell ref="B4863:C4863"/>
    <mergeCell ref="B4864:C4864"/>
    <mergeCell ref="B4865:C4865"/>
    <mergeCell ref="B4866:C4866"/>
    <mergeCell ref="B4867:C4867"/>
    <mergeCell ref="B4868:C4868"/>
    <mergeCell ref="B4869:C4869"/>
    <mergeCell ref="B4870:C4870"/>
    <mergeCell ref="B4871:C4871"/>
    <mergeCell ref="B4872:C4872"/>
    <mergeCell ref="B4874:C4874"/>
    <mergeCell ref="B4875:C4875"/>
    <mergeCell ref="B4876:C4876"/>
    <mergeCell ref="B4877:C4877"/>
    <mergeCell ref="B4878:C4878"/>
    <mergeCell ref="B4879:C4879"/>
    <mergeCell ref="B4880:C4880"/>
    <mergeCell ref="B4881:C4881"/>
    <mergeCell ref="B4882:C4882"/>
    <mergeCell ref="B4883:C4883"/>
    <mergeCell ref="B4884:C4884"/>
    <mergeCell ref="B4885:C4885"/>
    <mergeCell ref="B4886:C4886"/>
    <mergeCell ref="B4887:C4887"/>
    <mergeCell ref="B4888:C4888"/>
    <mergeCell ref="B4889:C4889"/>
    <mergeCell ref="B4890:C4890"/>
    <mergeCell ref="B4891:C4891"/>
    <mergeCell ref="B4892:C4892"/>
    <mergeCell ref="B4893:C4893"/>
    <mergeCell ref="B4894:C4894"/>
    <mergeCell ref="B4895:C4895"/>
    <mergeCell ref="B4896:C4896"/>
    <mergeCell ref="B4897:C4897"/>
    <mergeCell ref="B4898:C4898"/>
    <mergeCell ref="B4899:C4899"/>
    <mergeCell ref="B4900:C4900"/>
    <mergeCell ref="B4901:C4901"/>
    <mergeCell ref="B4902:C4902"/>
    <mergeCell ref="B4903:C4903"/>
    <mergeCell ref="B4904:C4904"/>
    <mergeCell ref="B4905:C4905"/>
    <mergeCell ref="B4906:C4906"/>
    <mergeCell ref="B4907:C4907"/>
    <mergeCell ref="B4908:C4908"/>
    <mergeCell ref="B4909:C4909"/>
    <mergeCell ref="B4910:C4910"/>
    <mergeCell ref="B4911:C4911"/>
    <mergeCell ref="B4912:C4912"/>
    <mergeCell ref="B4913:C4913"/>
    <mergeCell ref="B4914:C4914"/>
    <mergeCell ref="B4915:C4915"/>
    <mergeCell ref="B4916:C4916"/>
    <mergeCell ref="B4917:C4917"/>
    <mergeCell ref="B4918:C4918"/>
    <mergeCell ref="B4919:C4919"/>
    <mergeCell ref="B4920:C4920"/>
    <mergeCell ref="B4921:C4921"/>
    <mergeCell ref="B4922:C4922"/>
    <mergeCell ref="B4923:C4923"/>
    <mergeCell ref="B4924:C4924"/>
    <mergeCell ref="B4925:C4925"/>
    <mergeCell ref="B4926:C4926"/>
    <mergeCell ref="B4927:C4927"/>
    <mergeCell ref="B4928:C4928"/>
    <mergeCell ref="B4929:C4929"/>
    <mergeCell ref="B4930:C4930"/>
    <mergeCell ref="B4931:C4931"/>
    <mergeCell ref="B4932:C4932"/>
    <mergeCell ref="B4933:C4933"/>
    <mergeCell ref="B4934:C4934"/>
    <mergeCell ref="B4935:C4935"/>
    <mergeCell ref="B4936:C4936"/>
    <mergeCell ref="B4937:C4937"/>
    <mergeCell ref="B4938:C4938"/>
    <mergeCell ref="B4939:C4939"/>
    <mergeCell ref="B4940:C4940"/>
    <mergeCell ref="B4941:C4941"/>
    <mergeCell ref="B4942:C4942"/>
    <mergeCell ref="B4943:C4943"/>
    <mergeCell ref="B4944:C4944"/>
    <mergeCell ref="B4945:C4945"/>
    <mergeCell ref="B4946:C4946"/>
    <mergeCell ref="B4947:C4947"/>
    <mergeCell ref="B4948:C4948"/>
    <mergeCell ref="B4949:C4949"/>
    <mergeCell ref="B4950:C4950"/>
    <mergeCell ref="B4951:C4951"/>
    <mergeCell ref="B4952:C4952"/>
    <mergeCell ref="B4953:C4953"/>
    <mergeCell ref="B4954:C4954"/>
    <mergeCell ref="B4955:C4955"/>
    <mergeCell ref="B4956:C4956"/>
    <mergeCell ref="B4957:C4957"/>
    <mergeCell ref="B4958:C4958"/>
    <mergeCell ref="B4959:C4959"/>
    <mergeCell ref="B4960:C4960"/>
    <mergeCell ref="B4961:C4961"/>
    <mergeCell ref="B4962:C4962"/>
    <mergeCell ref="B4963:C4963"/>
    <mergeCell ref="B4964:C4964"/>
    <mergeCell ref="B4965:C4965"/>
    <mergeCell ref="B4966:C4966"/>
    <mergeCell ref="B4967:C4967"/>
    <mergeCell ref="B4968:C4968"/>
    <mergeCell ref="B4969:C4969"/>
    <mergeCell ref="B4970:C4970"/>
    <mergeCell ref="B4971:C4971"/>
    <mergeCell ref="B4972:C4972"/>
    <mergeCell ref="B4973:C4973"/>
    <mergeCell ref="B4974:C4974"/>
    <mergeCell ref="B4975:C4975"/>
    <mergeCell ref="B4976:C4976"/>
    <mergeCell ref="B4977:C4977"/>
    <mergeCell ref="B4978:C4978"/>
    <mergeCell ref="B4979:C4979"/>
    <mergeCell ref="B4980:C4980"/>
    <mergeCell ref="B4981:C4981"/>
    <mergeCell ref="B4982:C4982"/>
    <mergeCell ref="B4983:C4983"/>
    <mergeCell ref="B4985:C4985"/>
    <mergeCell ref="B4986:C4986"/>
    <mergeCell ref="B4987:C4987"/>
    <mergeCell ref="B4988:C4988"/>
    <mergeCell ref="B4989:C4989"/>
    <mergeCell ref="B4990:C4990"/>
    <mergeCell ref="B4991:C4991"/>
    <mergeCell ref="B4992:C4992"/>
    <mergeCell ref="B4993:C4993"/>
    <mergeCell ref="B4994:C4994"/>
    <mergeCell ref="B4995:C4995"/>
    <mergeCell ref="B4996:C4996"/>
    <mergeCell ref="B4997:C4997"/>
    <mergeCell ref="B4998:C4998"/>
    <mergeCell ref="B4999:C4999"/>
    <mergeCell ref="B5000:C5000"/>
    <mergeCell ref="B5001:C5001"/>
    <mergeCell ref="B5002:C5002"/>
    <mergeCell ref="B5003:C5003"/>
    <mergeCell ref="B5004:C5004"/>
    <mergeCell ref="B5005:C5005"/>
    <mergeCell ref="B5006:C5006"/>
    <mergeCell ref="B5007:C5007"/>
    <mergeCell ref="B5008:C5008"/>
    <mergeCell ref="B5009:C5009"/>
    <mergeCell ref="B5010:C5010"/>
    <mergeCell ref="B5011:C5011"/>
    <mergeCell ref="B5012:C5012"/>
    <mergeCell ref="B5013:C5013"/>
    <mergeCell ref="B5014:C5014"/>
    <mergeCell ref="B5015:C5015"/>
    <mergeCell ref="B5016:C5016"/>
    <mergeCell ref="B5017:C5017"/>
    <mergeCell ref="B5018:C5018"/>
    <mergeCell ref="B5019:C5019"/>
    <mergeCell ref="B5020:C5020"/>
    <mergeCell ref="B5021:C5021"/>
    <mergeCell ref="B5022:C5022"/>
    <mergeCell ref="B5023:C5023"/>
    <mergeCell ref="B5024:C5024"/>
    <mergeCell ref="B5025:C5025"/>
    <mergeCell ref="B5026:C5026"/>
    <mergeCell ref="B5027:C5027"/>
    <mergeCell ref="B5028:C5028"/>
    <mergeCell ref="B5029:C5029"/>
    <mergeCell ref="B5030:C5030"/>
    <mergeCell ref="B5031:C5031"/>
    <mergeCell ref="B5032:C5032"/>
    <mergeCell ref="B5033:C5033"/>
    <mergeCell ref="B5034:C5034"/>
    <mergeCell ref="B5035:C5035"/>
    <mergeCell ref="B5036:C5036"/>
    <mergeCell ref="B5037:C5037"/>
    <mergeCell ref="B5038:C5038"/>
    <mergeCell ref="B5039:C5039"/>
    <mergeCell ref="B5040:C5040"/>
    <mergeCell ref="B5041:C5041"/>
    <mergeCell ref="B5042:C5042"/>
    <mergeCell ref="B5043:C5043"/>
    <mergeCell ref="B5044:C5044"/>
    <mergeCell ref="B5045:C5045"/>
    <mergeCell ref="B5046:C5046"/>
    <mergeCell ref="B5047:C5047"/>
    <mergeCell ref="B5048:C5048"/>
    <mergeCell ref="B5049:C5049"/>
    <mergeCell ref="B5050:C5050"/>
    <mergeCell ref="B5051:C5051"/>
    <mergeCell ref="B5052:C5052"/>
    <mergeCell ref="B5053:C5053"/>
    <mergeCell ref="B5054:C5054"/>
    <mergeCell ref="B5055:C5055"/>
    <mergeCell ref="B5056:C5056"/>
    <mergeCell ref="B5057:C5057"/>
    <mergeCell ref="B5058:C5058"/>
    <mergeCell ref="B5059:C5059"/>
    <mergeCell ref="B5060:C5060"/>
    <mergeCell ref="B5061:C5061"/>
    <mergeCell ref="B5062:C5062"/>
    <mergeCell ref="B5063:C5063"/>
    <mergeCell ref="B5064:C5064"/>
    <mergeCell ref="B5065:C5065"/>
    <mergeCell ref="B5066:C5066"/>
    <mergeCell ref="B5067:C5067"/>
    <mergeCell ref="B5068:C5068"/>
    <mergeCell ref="B5069:C5069"/>
    <mergeCell ref="B5070:C5070"/>
    <mergeCell ref="B5071:C5071"/>
    <mergeCell ref="B5072:C5072"/>
    <mergeCell ref="B5073:C5073"/>
    <mergeCell ref="B5074:C5074"/>
    <mergeCell ref="B5075:C5075"/>
    <mergeCell ref="B5076:C5076"/>
    <mergeCell ref="B5077:C5077"/>
    <mergeCell ref="B5078:C5078"/>
    <mergeCell ref="B5079:C5079"/>
    <mergeCell ref="B5080:C5080"/>
    <mergeCell ref="B5081:C5081"/>
    <mergeCell ref="B5082:C5082"/>
    <mergeCell ref="B5083:C5083"/>
    <mergeCell ref="B5084:C5084"/>
    <mergeCell ref="B5085:C5085"/>
    <mergeCell ref="B5086:C5086"/>
    <mergeCell ref="B5087:C5087"/>
    <mergeCell ref="B5088:C5088"/>
    <mergeCell ref="B5089:C5089"/>
    <mergeCell ref="B5090:C5090"/>
    <mergeCell ref="B5091:C5091"/>
    <mergeCell ref="B5092:C5092"/>
    <mergeCell ref="B5093:C5093"/>
    <mergeCell ref="B5094:C5094"/>
    <mergeCell ref="B5095:C5095"/>
    <mergeCell ref="B5096:C5096"/>
    <mergeCell ref="B5097:C5097"/>
    <mergeCell ref="B5098:C5098"/>
    <mergeCell ref="B5099:C5099"/>
    <mergeCell ref="B5100:C5100"/>
    <mergeCell ref="B5101:C5101"/>
    <mergeCell ref="B5102:C5102"/>
    <mergeCell ref="B5103:C5103"/>
    <mergeCell ref="B5104:C5104"/>
    <mergeCell ref="B5105:C5105"/>
    <mergeCell ref="B5106:C5106"/>
    <mergeCell ref="B5107:C5107"/>
    <mergeCell ref="B5108:C5108"/>
    <mergeCell ref="B5109:C5109"/>
    <mergeCell ref="B5110:C5110"/>
    <mergeCell ref="B5111:C5111"/>
    <mergeCell ref="B5112:C5112"/>
    <mergeCell ref="B5113:C5113"/>
    <mergeCell ref="B5114:C5114"/>
    <mergeCell ref="B5115:C5115"/>
    <mergeCell ref="B5116:C5116"/>
    <mergeCell ref="B5117:C5117"/>
    <mergeCell ref="B5118:C5118"/>
    <mergeCell ref="B5119:C5119"/>
    <mergeCell ref="B5120:C5120"/>
    <mergeCell ref="B5121:C5121"/>
    <mergeCell ref="B5122:C5122"/>
    <mergeCell ref="B5123:C5123"/>
    <mergeCell ref="B5124:C5124"/>
    <mergeCell ref="B5125:C5125"/>
    <mergeCell ref="B5126:C5126"/>
    <mergeCell ref="B5127:C5127"/>
    <mergeCell ref="B5128:C5128"/>
    <mergeCell ref="B5129:C5129"/>
    <mergeCell ref="B5130:C5130"/>
    <mergeCell ref="B5131:C5131"/>
    <mergeCell ref="B5132:C5132"/>
    <mergeCell ref="B5133:C5133"/>
    <mergeCell ref="B5134:C5134"/>
    <mergeCell ref="B5135:C5135"/>
    <mergeCell ref="B5136:C5136"/>
    <mergeCell ref="B5137:C5137"/>
    <mergeCell ref="B5138:C5138"/>
    <mergeCell ref="B5139:C5139"/>
    <mergeCell ref="B5140:C5140"/>
    <mergeCell ref="B5141:C5141"/>
    <mergeCell ref="B5142:C5142"/>
    <mergeCell ref="B5143:C5143"/>
    <mergeCell ref="B5144:C5144"/>
    <mergeCell ref="B5145:C5145"/>
    <mergeCell ref="B5146:C5146"/>
    <mergeCell ref="B5147:C5147"/>
    <mergeCell ref="B5148:C5148"/>
    <mergeCell ref="B5149:C5149"/>
    <mergeCell ref="B5150:C5150"/>
    <mergeCell ref="B5151:C5151"/>
    <mergeCell ref="B5152:C5152"/>
    <mergeCell ref="B5153:C5153"/>
    <mergeCell ref="B5154:C5154"/>
    <mergeCell ref="B5155:C5155"/>
    <mergeCell ref="B5156:C5156"/>
    <mergeCell ref="B5157:C5157"/>
    <mergeCell ref="B5158:C5158"/>
    <mergeCell ref="B5159:C5159"/>
    <mergeCell ref="B5160:C5160"/>
    <mergeCell ref="B5161:C5161"/>
    <mergeCell ref="B5162:C5162"/>
    <mergeCell ref="B5163:C5163"/>
    <mergeCell ref="B5164:C5164"/>
    <mergeCell ref="B5165:C5165"/>
    <mergeCell ref="B5166:C5166"/>
    <mergeCell ref="B5167:C5167"/>
    <mergeCell ref="B5168:C5168"/>
    <mergeCell ref="B5169:C5169"/>
    <mergeCell ref="B5170:C5170"/>
    <mergeCell ref="B5171:C5171"/>
    <mergeCell ref="B5172:C5172"/>
    <mergeCell ref="B5173:C5173"/>
    <mergeCell ref="B5174:C5174"/>
    <mergeCell ref="B5175:C5175"/>
    <mergeCell ref="B5176:C5176"/>
    <mergeCell ref="B5177:C5177"/>
    <mergeCell ref="B5178:C5178"/>
    <mergeCell ref="B5179:C5179"/>
    <mergeCell ref="B5180:C5180"/>
    <mergeCell ref="B5181:C5181"/>
    <mergeCell ref="B5182:C5182"/>
    <mergeCell ref="B5183:C5183"/>
    <mergeCell ref="B5184:C5184"/>
    <mergeCell ref="B5185:C5185"/>
    <mergeCell ref="B5186:C5186"/>
    <mergeCell ref="B5187:C5187"/>
    <mergeCell ref="B5188:C5188"/>
    <mergeCell ref="B5189:C5189"/>
    <mergeCell ref="B5190:C5190"/>
    <mergeCell ref="B5191:C5191"/>
    <mergeCell ref="B5192:C5192"/>
    <mergeCell ref="B5193:C5193"/>
    <mergeCell ref="B5194:C5194"/>
    <mergeCell ref="B5195:C5195"/>
    <mergeCell ref="B5196:C5196"/>
    <mergeCell ref="B5197:C5197"/>
    <mergeCell ref="B5198:C5198"/>
    <mergeCell ref="B5199:C5199"/>
    <mergeCell ref="B5200:C5200"/>
    <mergeCell ref="B5201:C5201"/>
    <mergeCell ref="B5202:C5202"/>
    <mergeCell ref="B5203:C5203"/>
    <mergeCell ref="B5204:C5204"/>
    <mergeCell ref="B5205:C5205"/>
    <mergeCell ref="B5206:C5206"/>
    <mergeCell ref="B5207:C5207"/>
    <mergeCell ref="B5208:C5208"/>
    <mergeCell ref="B5209:C5209"/>
    <mergeCell ref="B5210:C5210"/>
    <mergeCell ref="B5211:C5211"/>
    <mergeCell ref="B5212:C5212"/>
    <mergeCell ref="B5213:C5213"/>
    <mergeCell ref="B5214:C5214"/>
    <mergeCell ref="B5215:C5215"/>
    <mergeCell ref="B5216:C5216"/>
    <mergeCell ref="B5217:C5217"/>
    <mergeCell ref="B5218:C5218"/>
    <mergeCell ref="B5219:C5219"/>
    <mergeCell ref="B5220:C5220"/>
    <mergeCell ref="B5221:C5221"/>
    <mergeCell ref="B5222:C5222"/>
    <mergeCell ref="B5223:C5223"/>
    <mergeCell ref="B5224:C5224"/>
    <mergeCell ref="B5225:C5225"/>
    <mergeCell ref="B5226:C5226"/>
    <mergeCell ref="B5227:C5227"/>
    <mergeCell ref="B5228:C5228"/>
    <mergeCell ref="B5229:C5229"/>
    <mergeCell ref="B5230:C5230"/>
    <mergeCell ref="B5231:C5231"/>
    <mergeCell ref="B5232:C5232"/>
    <mergeCell ref="B5233:C5233"/>
    <mergeCell ref="B5234:C5234"/>
    <mergeCell ref="B5235:C5235"/>
    <mergeCell ref="B5236:C5236"/>
    <mergeCell ref="B5237:C5237"/>
    <mergeCell ref="B5238:C5238"/>
    <mergeCell ref="B5239:C5239"/>
    <mergeCell ref="B5240:C5240"/>
    <mergeCell ref="B5241:C5241"/>
    <mergeCell ref="B5242:C5242"/>
    <mergeCell ref="B5243:C5243"/>
    <mergeCell ref="B5244:C5244"/>
    <mergeCell ref="B5245:C5245"/>
    <mergeCell ref="B5246:C5246"/>
    <mergeCell ref="B5247:C5247"/>
    <mergeCell ref="B5248:C5248"/>
    <mergeCell ref="B5249:C5249"/>
    <mergeCell ref="B5250:C5250"/>
    <mergeCell ref="B5251:C5251"/>
    <mergeCell ref="B5252:C5252"/>
    <mergeCell ref="B5253:C5253"/>
    <mergeCell ref="B5254:C5254"/>
    <mergeCell ref="B5255:C5255"/>
    <mergeCell ref="B5256:C5256"/>
    <mergeCell ref="B5257:C5257"/>
    <mergeCell ref="B5258:C5258"/>
    <mergeCell ref="B5259:C5259"/>
    <mergeCell ref="B5260:C5260"/>
    <mergeCell ref="B5261:C5261"/>
    <mergeCell ref="B5262:C5262"/>
    <mergeCell ref="B5263:C5263"/>
    <mergeCell ref="B5264:C5264"/>
    <mergeCell ref="B5265:C5265"/>
    <mergeCell ref="B5266:C5266"/>
    <mergeCell ref="B5267:C5267"/>
    <mergeCell ref="B5268:C5268"/>
    <mergeCell ref="B5269:C5269"/>
    <mergeCell ref="B5270:C5270"/>
    <mergeCell ref="B5271:C5271"/>
    <mergeCell ref="B5272:C5272"/>
    <mergeCell ref="B5273:C5273"/>
    <mergeCell ref="B5274:C5274"/>
    <mergeCell ref="B5275:C5275"/>
    <mergeCell ref="B5277:C5277"/>
    <mergeCell ref="B5278:C5278"/>
    <mergeCell ref="B5279:C5279"/>
    <mergeCell ref="B5280:C5280"/>
    <mergeCell ref="B5281:C5281"/>
    <mergeCell ref="B5282:C5282"/>
    <mergeCell ref="B5283:C5283"/>
    <mergeCell ref="B5284:C5284"/>
    <mergeCell ref="B5285:C5285"/>
    <mergeCell ref="B5286:C5286"/>
    <mergeCell ref="B5287:C5287"/>
    <mergeCell ref="B5288:C5288"/>
    <mergeCell ref="B5289:C5289"/>
    <mergeCell ref="B5290:C5290"/>
    <mergeCell ref="B5291:C5291"/>
    <mergeCell ref="B5292:C5292"/>
    <mergeCell ref="B5293:C5293"/>
    <mergeCell ref="B5294:C5294"/>
    <mergeCell ref="B5295:C5295"/>
    <mergeCell ref="B5296:C5296"/>
    <mergeCell ref="B5297:C5297"/>
    <mergeCell ref="B5298:C5298"/>
    <mergeCell ref="B5299:C5299"/>
    <mergeCell ref="B5300:C5300"/>
    <mergeCell ref="B5301:C5301"/>
    <mergeCell ref="B5302:C5302"/>
    <mergeCell ref="B5303:C5303"/>
    <mergeCell ref="B5304:C5304"/>
    <mergeCell ref="B5305:C5305"/>
    <mergeCell ref="B5306:C5306"/>
    <mergeCell ref="B5307:C5307"/>
    <mergeCell ref="B5309:C5309"/>
    <mergeCell ref="B5310:C5310"/>
    <mergeCell ref="B5311:C5311"/>
    <mergeCell ref="B5312:C5312"/>
    <mergeCell ref="B5313:C5313"/>
    <mergeCell ref="B5314:C5314"/>
    <mergeCell ref="B5316:C5316"/>
    <mergeCell ref="B5317:C5317"/>
    <mergeCell ref="B5319:C5319"/>
    <mergeCell ref="B5320:C5320"/>
    <mergeCell ref="B5321:C5321"/>
    <mergeCell ref="B5322:C5322"/>
    <mergeCell ref="B5323:C5323"/>
    <mergeCell ref="B5324:C5324"/>
    <mergeCell ref="B5325:C5325"/>
    <mergeCell ref="B5326:C5326"/>
    <mergeCell ref="B5327:C5327"/>
    <mergeCell ref="B5328:C5328"/>
    <mergeCell ref="B5329:C5329"/>
    <mergeCell ref="B5330:C5330"/>
    <mergeCell ref="B5331:C5331"/>
    <mergeCell ref="B5332:C5332"/>
    <mergeCell ref="B5333:C5333"/>
    <mergeCell ref="B5334:C5334"/>
    <mergeCell ref="B5335:C5335"/>
    <mergeCell ref="B5336:C5336"/>
    <mergeCell ref="B5337:C5337"/>
    <mergeCell ref="B5338:C5338"/>
    <mergeCell ref="B5339:C5339"/>
    <mergeCell ref="B5340:C5340"/>
    <mergeCell ref="B5341:C5341"/>
    <mergeCell ref="B5342:C5342"/>
    <mergeCell ref="B5343:C5343"/>
    <mergeCell ref="B5344:C5344"/>
    <mergeCell ref="B5345:C5345"/>
    <mergeCell ref="B5346:C5346"/>
    <mergeCell ref="B5347:C5347"/>
    <mergeCell ref="B5348:C5348"/>
    <mergeCell ref="B5349:C5349"/>
    <mergeCell ref="B5350:C5350"/>
    <mergeCell ref="B5351:C5351"/>
    <mergeCell ref="B5352:C5352"/>
    <mergeCell ref="B5353:C5353"/>
    <mergeCell ref="B5354:C5354"/>
    <mergeCell ref="B5355:C5355"/>
    <mergeCell ref="B5356:C5356"/>
    <mergeCell ref="B5357:C5357"/>
    <mergeCell ref="B5358:C5358"/>
    <mergeCell ref="B5359:C5359"/>
    <mergeCell ref="B5360:C5360"/>
    <mergeCell ref="B5361:C5361"/>
    <mergeCell ref="B5362:C5362"/>
    <mergeCell ref="B5364:C5364"/>
    <mergeCell ref="B5365:C5365"/>
    <mergeCell ref="B5366:C5366"/>
    <mergeCell ref="B5367:C5367"/>
    <mergeCell ref="B5368:C5368"/>
    <mergeCell ref="B5369:C5369"/>
    <mergeCell ref="B5370:C5370"/>
    <mergeCell ref="B5371:C5371"/>
    <mergeCell ref="B5372:C5372"/>
    <mergeCell ref="B5373:C5373"/>
    <mergeCell ref="B5374:C5374"/>
    <mergeCell ref="B5375:C5375"/>
    <mergeCell ref="B5376:C5376"/>
    <mergeCell ref="B5377:C5377"/>
    <mergeCell ref="B5378:C5378"/>
    <mergeCell ref="B5379:C5379"/>
    <mergeCell ref="B5380:C5380"/>
    <mergeCell ref="B5381:C5381"/>
    <mergeCell ref="B5382:C5382"/>
    <mergeCell ref="B5383:C5383"/>
    <mergeCell ref="B5384:C5384"/>
    <mergeCell ref="B5385:C5385"/>
    <mergeCell ref="B5386:C5386"/>
    <mergeCell ref="B5387:C5387"/>
    <mergeCell ref="B5388:C5388"/>
    <mergeCell ref="B5389:C5389"/>
    <mergeCell ref="B5390:C5390"/>
    <mergeCell ref="B5391:C5391"/>
    <mergeCell ref="B5392:C5392"/>
    <mergeCell ref="B5393:C5393"/>
    <mergeCell ref="B5394:C5394"/>
    <mergeCell ref="B5395:C5395"/>
    <mergeCell ref="B5396:C5396"/>
    <mergeCell ref="B5397:C5397"/>
    <mergeCell ref="B5398:C5398"/>
    <mergeCell ref="B5399:C5399"/>
    <mergeCell ref="B5400:C5400"/>
    <mergeCell ref="B5401:C5401"/>
    <mergeCell ref="B5402:C5402"/>
    <mergeCell ref="B5403:C5403"/>
    <mergeCell ref="B5404:C5404"/>
    <mergeCell ref="B5405:C5405"/>
    <mergeCell ref="B5406:C5406"/>
    <mergeCell ref="B5407:C5407"/>
    <mergeCell ref="B5408:C5408"/>
    <mergeCell ref="B5409:C5409"/>
    <mergeCell ref="B5410:C5410"/>
    <mergeCell ref="B5411:C5411"/>
    <mergeCell ref="B5412:C5412"/>
    <mergeCell ref="B5413:C5413"/>
    <mergeCell ref="B5414:C5414"/>
    <mergeCell ref="B5415:C5415"/>
    <mergeCell ref="B5416:C5416"/>
    <mergeCell ref="B5417:C5417"/>
    <mergeCell ref="B5418:C5418"/>
    <mergeCell ref="B5419:C5419"/>
    <mergeCell ref="B5420:C5420"/>
    <mergeCell ref="B5421:C5421"/>
    <mergeCell ref="B5422:C5422"/>
    <mergeCell ref="B5423:C5423"/>
    <mergeCell ref="B5424:C5424"/>
    <mergeCell ref="B5425:C5425"/>
    <mergeCell ref="B5426:C5426"/>
    <mergeCell ref="B5427:C5427"/>
    <mergeCell ref="B5428:C5428"/>
    <mergeCell ref="B5429:C5429"/>
    <mergeCell ref="B5430:C5430"/>
    <mergeCell ref="B5431:C5431"/>
    <mergeCell ref="B5432:C5432"/>
    <mergeCell ref="B5433:C5433"/>
    <mergeCell ref="B5434:C5434"/>
    <mergeCell ref="B5435:C5435"/>
    <mergeCell ref="B5436:C5436"/>
    <mergeCell ref="B5437:C5437"/>
    <mergeCell ref="B5438:C5438"/>
    <mergeCell ref="B5439:C5439"/>
    <mergeCell ref="B5440:C5440"/>
    <mergeCell ref="B5441:C5441"/>
    <mergeCell ref="B5442:C5442"/>
    <mergeCell ref="B5443:C5443"/>
    <mergeCell ref="B5444:C5444"/>
    <mergeCell ref="B5445:C5445"/>
    <mergeCell ref="B5446:C5446"/>
    <mergeCell ref="B5447:C5447"/>
    <mergeCell ref="B5448:C5448"/>
    <mergeCell ref="B5449:C5449"/>
    <mergeCell ref="B5450:C5450"/>
    <mergeCell ref="B5451:C5451"/>
    <mergeCell ref="B5452:C5452"/>
    <mergeCell ref="B5453:C5453"/>
    <mergeCell ref="B5454:C5454"/>
    <mergeCell ref="B5455:C5455"/>
    <mergeCell ref="B5456:C5456"/>
    <mergeCell ref="B5457:C5457"/>
    <mergeCell ref="B5458:C5458"/>
    <mergeCell ref="B5459:C5459"/>
    <mergeCell ref="B5460:C5460"/>
    <mergeCell ref="B5461:C5461"/>
    <mergeCell ref="B5462:C5462"/>
    <mergeCell ref="B5463:C5463"/>
    <mergeCell ref="B5464:C5464"/>
    <mergeCell ref="B5465:C5465"/>
    <mergeCell ref="B5466:C5466"/>
    <mergeCell ref="B5467:C5467"/>
    <mergeCell ref="B5468:C5468"/>
    <mergeCell ref="B5469:C5469"/>
    <mergeCell ref="B5470:C5470"/>
    <mergeCell ref="B5471:C5471"/>
    <mergeCell ref="B5472:C5472"/>
    <mergeCell ref="B5473:C5473"/>
    <mergeCell ref="B5474:C5474"/>
    <mergeCell ref="B5475:C5475"/>
    <mergeCell ref="B5476:C5476"/>
    <mergeCell ref="B5477:C5477"/>
    <mergeCell ref="B5478:C5478"/>
    <mergeCell ref="B5479:C5479"/>
    <mergeCell ref="B5480:C5480"/>
    <mergeCell ref="B5481:C5481"/>
    <mergeCell ref="B5482:C5482"/>
    <mergeCell ref="B5483:C5483"/>
    <mergeCell ref="B5484:C5484"/>
    <mergeCell ref="B5485:C5485"/>
    <mergeCell ref="B5486:C5486"/>
    <mergeCell ref="B5487:C5487"/>
    <mergeCell ref="B5488:C5488"/>
    <mergeCell ref="B5489:C5489"/>
    <mergeCell ref="B5490:C5490"/>
    <mergeCell ref="B5491:C5491"/>
    <mergeCell ref="B5492:C5492"/>
    <mergeCell ref="B5493:C5493"/>
    <mergeCell ref="B5494:C5494"/>
    <mergeCell ref="B5495:C5495"/>
    <mergeCell ref="B5496:C5496"/>
    <mergeCell ref="B5497:C5497"/>
    <mergeCell ref="B5498:C5498"/>
    <mergeCell ref="B5499:C5499"/>
    <mergeCell ref="B5500:C5500"/>
    <mergeCell ref="B5501:C5501"/>
    <mergeCell ref="B5502:C5502"/>
    <mergeCell ref="B5503:C5503"/>
    <mergeCell ref="B5504:C5504"/>
    <mergeCell ref="B5505:C5505"/>
    <mergeCell ref="B5506:C5506"/>
    <mergeCell ref="B5507:C5507"/>
    <mergeCell ref="B5508:C5508"/>
    <mergeCell ref="B5509:C5509"/>
    <mergeCell ref="B5510:C5510"/>
    <mergeCell ref="B5511:C5511"/>
    <mergeCell ref="B5512:C5512"/>
    <mergeCell ref="B5513:C5513"/>
    <mergeCell ref="B5514:C5514"/>
    <mergeCell ref="B5515:C5515"/>
    <mergeCell ref="B5516:C5516"/>
    <mergeCell ref="B5517:C5517"/>
    <mergeCell ref="B5518:C5518"/>
    <mergeCell ref="B5519:C5519"/>
    <mergeCell ref="B5520:C5520"/>
    <mergeCell ref="B5521:C5521"/>
    <mergeCell ref="B5522:C5522"/>
    <mergeCell ref="B5523:C5523"/>
    <mergeCell ref="B5524:C5524"/>
    <mergeCell ref="B5525:C5525"/>
    <mergeCell ref="B5526:C5526"/>
    <mergeCell ref="B5527:C5527"/>
    <mergeCell ref="B5528:C5528"/>
    <mergeCell ref="B5529:C5529"/>
    <mergeCell ref="B5530:C5530"/>
    <mergeCell ref="B5531:C5531"/>
    <mergeCell ref="B5532:C5532"/>
    <mergeCell ref="B5533:C5533"/>
    <mergeCell ref="B5534:C5534"/>
    <mergeCell ref="B5535:C5535"/>
    <mergeCell ref="B5536:C5536"/>
    <mergeCell ref="B5537:C5537"/>
    <mergeCell ref="B5538:C5538"/>
    <mergeCell ref="B5539:C5539"/>
    <mergeCell ref="B5540:C5540"/>
    <mergeCell ref="B5541:C5541"/>
    <mergeCell ref="B5542:C5542"/>
    <mergeCell ref="B5543:C5543"/>
    <mergeCell ref="B5544:C5544"/>
    <mergeCell ref="B5545:C5545"/>
    <mergeCell ref="B5546:C5546"/>
    <mergeCell ref="B5547:C5547"/>
    <mergeCell ref="B5548:C5548"/>
    <mergeCell ref="B5549:C5549"/>
    <mergeCell ref="B5550:C5550"/>
    <mergeCell ref="B5551:C5551"/>
  </mergeCells>
  <hyperlinks>
    <hyperlink r:id="rId1" ref="B4810"/>
    <hyperlink r:id="rId2" ref="B5937"/>
    <hyperlink r:id="rId3" ref="B5941"/>
    <hyperlink r:id="rId4" ref="B6585"/>
    <hyperlink r:id="rId5" ref="B7507"/>
  </hyperlinks>
  <drawing r:id="rId6"/>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91.63"/>
    <col customWidth="1" min="4" max="4" width="17.5"/>
    <col customWidth="1" min="5" max="5" width="15.5"/>
    <col customWidth="1" min="6" max="6" width="14.63"/>
    <col customWidth="1" min="7" max="7" width="11.88"/>
    <col customWidth="1" min="8" max="8" width="10.75"/>
    <col customWidth="1" min="9" max="9" width="15.25"/>
    <col customWidth="1" min="10" max="10" width="118.25"/>
  </cols>
  <sheetData>
    <row r="1">
      <c r="C1" s="1" t="s">
        <v>13869</v>
      </c>
      <c r="G1" s="39"/>
    </row>
    <row r="2">
      <c r="B2" s="20" t="s">
        <v>13870</v>
      </c>
      <c r="G2" s="39"/>
    </row>
    <row r="3">
      <c r="B3" s="40" t="s">
        <v>13871</v>
      </c>
      <c r="C3" s="1" t="s">
        <v>13872</v>
      </c>
      <c r="G3" s="39"/>
    </row>
    <row r="4">
      <c r="B4" s="1" t="s">
        <v>13873</v>
      </c>
      <c r="C4" s="40" t="s">
        <v>13874</v>
      </c>
      <c r="G4" s="39"/>
    </row>
    <row r="5">
      <c r="G5" s="39"/>
    </row>
    <row r="6">
      <c r="C6" s="1" t="s">
        <v>13875</v>
      </c>
      <c r="D6" s="1" t="s">
        <v>13876</v>
      </c>
      <c r="E6" s="1" t="s">
        <v>13877</v>
      </c>
      <c r="F6" s="1" t="s">
        <v>13878</v>
      </c>
      <c r="G6" s="41" t="s">
        <v>13879</v>
      </c>
      <c r="H6" s="1" t="s">
        <v>13880</v>
      </c>
      <c r="I6" s="1" t="s">
        <v>13881</v>
      </c>
      <c r="J6" s="1" t="s">
        <v>13882</v>
      </c>
      <c r="K6" s="1" t="s">
        <v>13883</v>
      </c>
    </row>
    <row r="7" hidden="1"/>
    <row r="8" hidden="1"/>
    <row r="9" hidden="1"/>
    <row r="10" hidden="1"/>
    <row r="11" hidden="1"/>
    <row r="12" hidden="1"/>
    <row r="13" hidden="1"/>
    <row r="14" hidden="1"/>
    <row r="15" hidden="1"/>
    <row r="16" hidden="1"/>
    <row r="17" hidden="1"/>
    <row r="18" hidden="1"/>
    <row r="19" hidden="1"/>
    <row r="20" hidden="1"/>
    <row r="21" hidden="1"/>
    <row r="22" hidden="1"/>
    <row r="23" hidden="1"/>
    <row r="24" hidden="1"/>
    <row r="25" hidden="1"/>
    <row r="26" hidden="1"/>
    <row r="27" hidden="1"/>
    <row r="28" hidden="1"/>
    <row r="29" hidden="1"/>
    <row r="30" hidden="1"/>
    <row r="31" hidden="1"/>
    <row r="32" hidden="1"/>
    <row r="33" hidden="1"/>
    <row r="34" hidden="1"/>
    <row r="35" hidden="1"/>
    <row r="36" hidden="1"/>
    <row r="37" hidden="1"/>
    <row r="38" hidden="1"/>
    <row r="39" hidden="1"/>
    <row r="40" hidden="1"/>
    <row r="41" hidden="1"/>
    <row r="42" hidden="1"/>
    <row r="43" hidden="1"/>
    <row r="44" hidden="1"/>
    <row r="45" hidden="1"/>
    <row r="46" hidden="1"/>
    <row r="47" hidden="1"/>
    <row r="48" hidden="1"/>
    <row r="49" hidden="1"/>
    <row r="50" hidden="1"/>
    <row r="51" hidden="1"/>
    <row r="52" hidden="1"/>
    <row r="53" ht="12.75" customHeight="1">
      <c r="C53" s="42" t="s">
        <v>13884</v>
      </c>
      <c r="D53" s="43">
        <v>0.2</v>
      </c>
      <c r="E53" s="43">
        <v>17.0</v>
      </c>
      <c r="F53" s="43">
        <v>678.0</v>
      </c>
      <c r="G53" s="44">
        <v>1284.0</v>
      </c>
      <c r="H53" s="43">
        <v>5400.0</v>
      </c>
      <c r="I53" s="43">
        <v>0.0</v>
      </c>
      <c r="J53" s="17" t="str">
        <f>IFERROR(__xludf.DUMMYFUNCTION("(GEMINI(""go into the website and search for about us or contact page and pull in the City and State that this website or company is based from"", C53:C447))"),"Los Angeles, CA")</f>
        <v>Los Angeles, CA</v>
      </c>
      <c r="K53" s="1" t="s">
        <v>13885</v>
      </c>
    </row>
    <row r="54" ht="12.75" hidden="1" customHeight="1"/>
    <row r="55" ht="12.75" hidden="1" customHeight="1"/>
    <row r="56" ht="12.75" hidden="1" customHeight="1"/>
    <row r="57" ht="12.75" hidden="1" customHeight="1"/>
    <row r="58" ht="12.75" hidden="1" customHeight="1"/>
    <row r="59" ht="12.75" hidden="1" customHeight="1"/>
    <row r="60" ht="12.75" hidden="1" customHeight="1"/>
    <row r="61" ht="12.75" hidden="1" customHeight="1"/>
    <row r="62" ht="12.75" hidden="1" customHeight="1"/>
    <row r="63" ht="12.75" hidden="1" customHeight="1"/>
    <row r="64" ht="12.75" hidden="1" customHeight="1"/>
    <row r="65" ht="12.75" hidden="1" customHeight="1"/>
    <row r="66" ht="12.75" hidden="1" customHeight="1"/>
    <row r="67" ht="12.75" hidden="1" customHeight="1"/>
    <row r="68" ht="12.75" customHeight="1">
      <c r="C68" s="40" t="s">
        <v>13886</v>
      </c>
      <c r="D68" s="1">
        <v>0.08</v>
      </c>
      <c r="E68" s="1">
        <v>8.0</v>
      </c>
      <c r="F68" s="1">
        <v>610.0</v>
      </c>
      <c r="G68" s="41">
        <v>415.0</v>
      </c>
      <c r="H68" s="1">
        <v>2178.0</v>
      </c>
      <c r="I68" s="1">
        <v>0.0</v>
      </c>
      <c r="J68" s="17" t="str">
        <f>IFERROR(__xludf.DUMMYFUNCTION("(GEMINI(""go into the website and search for about us or contact page and pull in the City and State that this website or company is based from"", C68:C462))"),"jpglazing.com: Boston, Massachusetts
paylessbathmakeover.com: Glendale, CA
toprefinishing.com: Los Angeles
megareglazing.com: Los Angeles, CA
protubrefinishing.com: Norwalk, CA")</f>
        <v>jpglazing.com: Boston, Massachusetts
paylessbathmakeover.com: Glendale, CA
toprefinishing.com: Los Angeles
megareglazing.com: Los Angeles, CA
protubrefinishing.com: Norwalk, CA</v>
      </c>
      <c r="K68" s="1" t="s">
        <v>13885</v>
      </c>
      <c r="L68" s="17" t="s">
        <v>13887</v>
      </c>
    </row>
    <row r="69" ht="12.75" hidden="1" customHeight="1"/>
    <row r="70" ht="12.75" hidden="1" customHeight="1"/>
    <row r="71" ht="12.75" hidden="1" customHeight="1"/>
    <row r="72" ht="12.75" hidden="1" customHeight="1"/>
    <row r="73" ht="12.75" hidden="1" customHeight="1"/>
    <row r="74" ht="12.75" hidden="1" customHeight="1"/>
    <row r="75" ht="12.75" hidden="1" customHeight="1"/>
    <row r="76" ht="12.75" hidden="1" customHeight="1"/>
    <row r="77" ht="12.75" hidden="1" customHeight="1"/>
    <row r="78" ht="12.75" hidden="1" customHeight="1"/>
    <row r="79" ht="12.75" hidden="1" customHeight="1"/>
    <row r="80" ht="12.75" hidden="1" customHeight="1"/>
    <row r="81" ht="12.75" hidden="1" customHeight="1"/>
    <row r="82" ht="12.75" hidden="1" customHeight="1"/>
    <row r="83" ht="12.75" hidden="1" customHeight="1"/>
    <row r="84" ht="12.75" hidden="1" customHeight="1"/>
    <row r="85" ht="12.75" hidden="1" customHeight="1"/>
    <row r="86" ht="12.75" hidden="1" customHeight="1"/>
    <row r="87" ht="12.75" hidden="1" customHeight="1"/>
    <row r="88" ht="12.75" hidden="1" customHeight="1"/>
    <row r="89" ht="12.75" hidden="1" customHeight="1"/>
    <row r="90" ht="12.75" hidden="1" customHeight="1"/>
    <row r="91" ht="12.75" hidden="1" customHeight="1"/>
    <row r="92" ht="12.75" hidden="1" customHeight="1"/>
    <row r="93" ht="12.75" customHeight="1">
      <c r="C93" s="40" t="s">
        <v>13888</v>
      </c>
      <c r="D93" s="1">
        <v>0.07</v>
      </c>
      <c r="E93" s="1">
        <v>10.0</v>
      </c>
      <c r="F93" s="1">
        <v>1426.0</v>
      </c>
      <c r="G93" s="41">
        <v>316.0</v>
      </c>
      <c r="H93" s="1">
        <v>2389.0</v>
      </c>
      <c r="I93" s="1">
        <v>0.0</v>
      </c>
      <c r="J93" s="17" t="str">
        <f>IFERROR(__xludf.DUMMYFUNCTION("(GEMINI(""go into the website and search for about us or contact page and pull in the City and State that this website or company is based from"", C93:C487))"),"Los Angeles, CA")</f>
        <v>Los Angeles, CA</v>
      </c>
      <c r="K93" s="1" t="s">
        <v>13885</v>
      </c>
    </row>
    <row r="94" ht="12.75" hidden="1" customHeight="1"/>
    <row r="95" ht="12.75" hidden="1" customHeight="1"/>
    <row r="96" ht="12.75" hidden="1" customHeight="1"/>
    <row r="97" ht="12.75" hidden="1" customHeight="1"/>
    <row r="98" ht="12.75" hidden="1" customHeight="1"/>
    <row r="99" ht="12.75" hidden="1" customHeight="1"/>
    <row r="100" ht="12.75" hidden="1" customHeight="1"/>
    <row r="101" ht="12.75" hidden="1" customHeight="1"/>
    <row r="102" ht="12.75" hidden="1" customHeight="1"/>
    <row r="103" ht="12.75" hidden="1" customHeight="1"/>
    <row r="104" ht="12.75" hidden="1" customHeight="1"/>
    <row r="105" ht="12.75" hidden="1" customHeight="1"/>
    <row r="106" ht="12.75" hidden="1" customHeight="1"/>
    <row r="107" ht="12.75" hidden="1" customHeight="1"/>
    <row r="108" ht="12.75" hidden="1" customHeight="1"/>
    <row r="109" ht="12.75" hidden="1" customHeight="1"/>
    <row r="110" ht="12.75" hidden="1" customHeight="1"/>
    <row r="111" ht="12.75" hidden="1" customHeight="1"/>
    <row r="112" ht="12.75" hidden="1" customHeight="1"/>
    <row r="113" ht="12.75" hidden="1" customHeight="1"/>
    <row r="114" ht="12.75" hidden="1" customHeight="1"/>
    <row r="115" ht="12.75" hidden="1" customHeight="1"/>
    <row r="116" ht="12.75" hidden="1" customHeight="1"/>
    <row r="117" ht="12.75" hidden="1" customHeight="1"/>
    <row r="118" ht="12.75" hidden="1" customHeight="1"/>
    <row r="119" ht="12.75" hidden="1" customHeight="1"/>
    <row r="120" ht="12.75" hidden="1" customHeight="1"/>
    <row r="121" ht="12.75" customHeight="1">
      <c r="C121" s="40" t="s">
        <v>13889</v>
      </c>
      <c r="D121" s="1">
        <v>0.08</v>
      </c>
      <c r="E121" s="1">
        <v>19.0</v>
      </c>
      <c r="F121" s="1">
        <v>724.0</v>
      </c>
      <c r="G121" s="41">
        <v>283.0</v>
      </c>
      <c r="H121" s="1">
        <v>692.0</v>
      </c>
      <c r="I121" s="1">
        <v>0.0</v>
      </c>
      <c r="J121" s="17" t="str">
        <f>IFERROR(__xludf.DUMMYFUNCTION("(GEMINI(""go into the website and search for about us or contact page and pull in the City and State that this website or company is based from"", C121:C515))"),"Los Angeles, CA")</f>
        <v>Los Angeles, CA</v>
      </c>
      <c r="K121" s="1" t="s">
        <v>13885</v>
      </c>
    </row>
    <row r="122" ht="12.75" customHeight="1">
      <c r="C122" s="40" t="s">
        <v>13890</v>
      </c>
      <c r="D122" s="1">
        <v>0.23</v>
      </c>
      <c r="E122" s="1">
        <v>8.0</v>
      </c>
      <c r="F122" s="1">
        <v>32.0</v>
      </c>
      <c r="G122" s="41">
        <v>133.0</v>
      </c>
      <c r="H122" s="1">
        <v>257.0</v>
      </c>
      <c r="I122" s="1">
        <v>0.0</v>
      </c>
      <c r="J122" s="17" t="str">
        <f>IFERROR(__xludf.DUMMYFUNCTION("(GEMINI(""go into the website and search for about us or contact page and pull in the City and State that this website or company is based from"", C122:C516))"),"Los Angeles, CA")</f>
        <v>Los Angeles, CA</v>
      </c>
      <c r="K122" s="1" t="s">
        <v>13885</v>
      </c>
    </row>
    <row r="123" ht="12.75" hidden="1" customHeight="1"/>
    <row r="124" ht="12.75" hidden="1" customHeight="1"/>
    <row r="125" ht="12.75" customHeight="1">
      <c r="C125" s="40" t="s">
        <v>13891</v>
      </c>
      <c r="D125" s="1">
        <v>0.13</v>
      </c>
      <c r="E125" s="1">
        <v>10.0</v>
      </c>
      <c r="F125" s="1">
        <v>249.0</v>
      </c>
      <c r="G125" s="41">
        <v>111.0</v>
      </c>
      <c r="H125" s="1">
        <v>568.0</v>
      </c>
      <c r="I125" s="1">
        <v>0.0</v>
      </c>
      <c r="J125" s="17" t="str">
        <f>IFERROR(__xludf.DUMMYFUNCTION("(GEMINI(""go into the website and search for about us or contact page and pull in the City and State that this website or company is based from"", C125:C519))"),"protubrefinishing.com: Cerritos, CA
pacificreglazing.com: Burbank, CA
latubs.com: Information not available
tubboys.com: Los Angeles, CA
a-1reglazing-inc.com: Los Angeles, CA
bryansreglazing.com: Information not available
reglazingstudio.com: Information "&amp;"not available
fivestarreglazing.com: Information not available
reglazinglosangeles.net: Information not available
newshinebathtubrefinishing.com: Information not available
refinishingprimebath.com: Information not available
sustainablereglazing.com: Infor"&amp;"mation not available
reglazingnyc.com: Information not available
wilmingtontubreglazing.com: Information not available
bathtubrefinishers.com: Information not available
freshtubrefinishing.com: Information not available
thermo-glaze.com.au: Information no"&amp;"t available
yoursisterspotshop.com: Information not available
nufinishpro.com: Information not available
bathtubrefinishingfl.com: Information not available
everglazecoatings.com: Information not available
uniquereglaze.com: Information not available
blac"&amp;"kstonetubrefinishers.ca: Information not available
simprobda.com: Information not available
uglytub.com: Information not available
prontorefinishing.com: Information not available
jemcoreglazers.com: Information not available
amazingreglazingri.com: Infor"&amp;"mation not available
shinytubreglazing.com: Information not available
simplyreglaze.com: Information not available
diamondreglazing.com: Information not available
tubcoaters.com: Information not available
allnewtub.com: Information not available
anthonysr"&amp;"eglazing.com: Information not available
chicagotubandtile.com: Information not available
excellencereglazing.com: Information not available
surfacerenew.net: Information not available
stlreglazing.com: Information not available
americantubreglazing.com: I"&amp;"nformation not available
resurfacelouisville.com: Information not available
amazingtileandtubreglazing.com: Information not available
rubadubtubreglazing.com: Information not available
kcreglazing.com: Information not available
torresconstructionpainting."&amp;"com: Information not available
topreglazing.com: Information not available
standardbathtubreglazing.com: Information not available
topkote.com: Information not available
specializedrefinishing.com: Information not available
jetsglazing.com: Information no"&amp;"t available
thesurfacedoctors.com: Information not available
refinishing-pros.com: Information not available
tubfusion.com: Information not available
bathtubdenver.net: Information not available
bathrefinishingsolutions.com: Information not available
bays"&amp;"taterefinishing.com: Information not available
bathtubresurfacingsite.com: Information not available
supremebathrefinishing.com: Information not available
rapidrefinishingco.com: Information not available
njbathtubrefinishers.com: Information not availabl"&amp;"e
refinishedbathsolutions.com: Information not available
bathinnovations.com: Information not available
hightechreglazing.com: Information not available
wvhbathtub.com: Information not available
smartfloorsusa.com: Information not available
splashreglazin"&amp;"g.com: Information not available
durafinish.net: Information not available
camposbathtub.com: Information not available
servicedoctor.net: Information not available
permaglazetx.com: Information not available
adamovreglazing.com: Information not available"&amp;"
myrefreshrefinishing.com: Information not available
suncoasttubandtilerefinishing.com: Information not available
europeanreglazing.com: Information not available
amazingrefinishing.com: Information not available
anthonysreglazingfl.com: Information not a"&amp;"vailable
tufftubrefinishing.com: Information not available
ogdenbathtubrefinishing.com: Information not available
chipstubandtilerefinish.com: Information not available
austintubsurgeon.com: Information not available
bathtubrefinishinglondon.com: Informat"&amp;"ion not available
finishpro360.com: Information not available
absolutetub.com: Information not available
alltubsky.com: Information not available
jannetintl.com: Information not available
keybathroomtilerestoration.com: Information not available
bathtub-m"&amp;"aster.com: Information not available
tubbydiy.com: Information not available
gandhresurfacing.com: Information not available
bathtubrefinishingca.com: Information not available
bathtubrefinishingtampa.net: Information not available
bathtubrefinishingdalla"&amp;"s.com: Information not available
brooksbrothershandyman.com: Information not available
bathremodelingraleighnc.com: Information not available
napcoltd.com: Information not available
affordabletubrefinishingtx.com: Information not available
topnotchhardwoo"&amp;"dfloors.com: Information not available
boiserefinishing.com: Information not available
permacerambathroom.com: Information not available
longislandtubrefinishing.com: Information not available
floridarefinishing.com: Information not available
scvfloorsmit"&amp;"h.com: Information not available
combath.com: Information not available
marylandtubntile.com: Information not available
dallastubpros.com: Information not available
coloradotubrepair.com: Information not available
renov8co.com: Information not available
t"&amp;"ubguyrefinishing.com: Information not available
dallasbathtubrefinishing.com: Information not available
yournewtubs.com: Information not available
welspunflooring.com: Information not available
whiteglovereglazing.com: Information not available
uniquerefi"&amp;"nishers.com: Information not available
reglazepros.com: Information not available
universaltile.net: Information not available
unitedtradelinks.com.au: Information not available
bathroomsurfacesolutions.com: Information not available
tampatubandtilerefini"&amp;"shing.com: Information not available
paramount-reglaze.com: Information not available
masterteckrepair.com: Information not available
thetubpros.com: Information not available
repelecarpet.com: Information not available
ceconcreteri.com: Information not a"&amp;"vailable
sharprefinishing.com: Information not available
nu-tub.net: Information not available
idealrefinishing.com: Information not available
sirgroutboston.com: Information not available
bathtubreglazinginc.com: Information not available
connecticutregl"&amp;"azing.com: Information not available
alisfinishingtouch.com: Information not available
bathtubmagic.ca: Information not available
sauguscontractor.com: Information not available
nuglaze.net: Information not available
armortechresurfacing.com: Information "&amp;"not available
idealresurfacing.com: Information not available
prestigerefinishers.com: Information not available
drresurface.com: Information not available
reglazeitnow.com: Information not available
amazingrefinishingfl.com: Information not available
cov"&amp;"ebath.com: Information not available
lakewood-tub-reglazing.com: Information not available
newsuperiortub.com: Information not available
menjivars-painting.com: Information not available
allprorefinishing.com: Information not available
tubreglazers.com: I"&amp;"nformation not available
reglazingwow.ca: Information not available
greaterdfwrefinishers.com: Information not available
spaceandhabit.com: Information not available
bathroomprosnj.com: Information not available
surfacespecialists.com: Information not ava"&amp;"ilable
surfacespecialistsofdenver.com: Information not available
mastercraftusa.com: Information not available
dalydigs.com: Information not available
originalstyle.com: Information not available
nytubs.com: Information not available
freshlookrefinishing."&amp;"com: Information not available
dwilpainting.com: Information not available
toddsbathtubs.com: Information not available
thebestrefinishing.com: Information not available
bathtubmadenew.com: Information not available
armoglazeservice.com: Information not a"&amp;"vailable
tub-guy.com: Information not available
ucoatit.com: Information not available
tubzz.com: Information not available
thetubguys.net: Information not available
carillonrugs.com: Information not available
thetubguys757.com: Information not available
"&amp;"igloosurfaces.com: Information not available
resurfacingsolutions.net: Information not available
thebathtubdoctor.com: Information not available
24hourbath.com: Information not available
bathtubandtilerestoration.com: Information not available
tilerestora"&amp;"tion.com: Information not available
klasskote.com: Information not available
empresafloors.com: Information not available
bathrefinishingresource.com: Information not available
powerpaintingplus.com: Information not available
usacountertopsmass.com: Infor"&amp;"mation not available
decorative-coating.com: Information not available
aaatubntile.com: Information not available
abathreglazing.com: Information not available
aandjresurfacing.com: Information not available
bathtubrefinishingco.net: Information not avail"&amp;"able
probathtubrefinishing.com: Information not available
renewitrefinishing.com: Information not available
reglazingsolutions.com: Information not available
nycreglazing.com: Information not available
reglazingco.com: Information not available
bathtubreg"&amp;"lazinglb.com: Information not available
bathtubrestorations.com: Information not available
amazingreglazingg.com: Information not available
eleganttubtilerefinishing.com: Information not available
whitetubs.com: Information not available
azulejossola.co.u"&amp;"k: Information not available
armorkote.net: Information not available
brooklyntubrefinishing.com: Information not available
patty.plus: Information not available
renewyourtub.com: Information not available
jrcoatingtechnologies.com: Information not availa"&amp;"ble
baufix-online.com: Information not available
wrenthambathrooms.com: Information not available
kelloggsporcelain.com: Information not available
hudsontubs.com: Information not available
newarktubreglazing.com: Information not available
keystoneresurfac"&amp;"ing.com: Information not available
sacramentobathtubrefinishing.org: Information not available
allin1coatings.com: Information not available
fantasticresurfacing.com.au: Information not available
wrenthambathtubs.com: Information not available
tiptopresto"&amp;"rations.com: Information not available
advancedreglazing.com: Information not available
ohiotubpros.com: Information not available
frankensteinrefinishing.com: Information not available
paintedotter.com: Information not available
enduringsurface.com: Info"&amp;"rmation not available
proreglaze.com: Information not available
anamazingreglazingq.com: Information not available
pmcabathrooms.com: Information not available
familyhandyman.com: Information not available
vintagetub.com: Information not available
blockre"&amp;"novation.com: Information not available
daichcoatings.com: Information not available
ibathtub.com: Information not available
thegroutmedic.com: Information not available
greatbuildz.com: Information not available
paintritepros.com: Information not availab"&amp;"le
gettilesonline.com.au: Information not available
all.biz: Information not available
streamlinebath.com: Information not available
setileconnection.com: Information not available
surfaceexperts.com: Information not available
tandlinternational.com: Info"&amp;"rmation not available
surface-renew.com: Information not available
correctcaulking.com.au: Information not available
nationalplastics.co.uk: Information not available
stonerestorationworks.com: Information not available
simplepracticalbeautiful.com: Infor"&amp;"mation not available
peachpainting.com: Information not available
bath-works.net: Information not available
acamporainteriors.com: Information not available
roperrhodes.co.uk: Information not available
jeweledinteriors.com: Information not available
hambl"&amp;"etonhandyman.com: Information not available
seiffertlumber.com: Information not available
getagrip.com: Information not available
trustedpros.ca: Information not available
aosom.ca: Information not available
georgebathroom.com: Information not available
t"&amp;"hebesttileinstallation.com: Information not available
ctasc.com: Information not available
drench.co.uk: Information not available
bngremodel.com: Information not available
jandjconstruction.com: Information not available
homeimprovementskansascity.com: I"&amp;"nformation not available
panelcompany.co.uk: Information not available
smartcret.com: Information not available
semcofl.com: Information not available
serviceteam.co.uk: Information not available
theinteriorsaddict.com: Information not available
carpetout"&amp;"lets.net: Information not available
columbusbathdesign.com: Information not available
monarchpainting.com.au: Information not available
bathprofessional.com: Information not available
rihi.com: Information not available
lavishceramics.com: Information not"&amp;" available
bathtubrefinishingstore.com: Information not available
[suspicious link removed]: Information not available
n2n.la: Information not available
rivercityboston.com: Information not available
arlandriafloors.com: Information not available
seattleb"&amp;"athtubguy.com: Information not available
lifespanhi.com: Information not available
homelivinghandbook.com: Information not available
foxvalleybathtubrefinishing.com: Information not available
porcelainsuperstore.co.uk: Information not available
tileoutlet"&amp;".net: Information not available
ultrabathroom.com: Information not available
superiorbathtubrefinishing.com: Information not available
bathtubguys.com: Information not available
renukrete.com: Information not available
paintpositive.com: Information not a"&amp;"vailable
premierrefinishing.net: Information not available
dsapone.com: Information not available
tiledoctor.biz: Information not available
bathroomwerx.com.au: Information not available
californiatilerestoration.com: Information not available
seamlessove"&amp;"rlays.com: Information not available
foremansnags.com: Information not available
somathomeremodeling.com: Information not available
southingtonpainting.com: Information not available
accurateplumbingtx.com: Information not available
bathrenovationhq.com: "&amp;"Information not available
gouldpaintingwny.com: Information not available
cincottitile.com: Information not available
ftworthrefinishing.com: Information not available
mrresurface.com: Information not available
stone3.com.au: Information not available
bat"&amp;"htubrefinishingtulsa.com: Information not available
classicallyjill.com: Information not available
borobathrooms.co.uk: Information not available
a1reglaze.com: Information not available
re-surfacepro.com: Information not available
bathroomremodeleriepa.c"&amp;"om: Information not available
capsulegallery.com: Information not available
tubnshower.com: Information not available
mayfairbuildinggroup.com.au: Information not available
thebathtubguy.com: Information not available
capitalbathrooms.com.au: Information "&amp;"not available
amazingtubsreglaze.com: Information not available
losangelesbathtubreglazing.webflow.io: Information not available
dallastubrefinishing.com: Information not available
floridatubreglazing.com: Information not available
alfredosrefinish.com: I"&amp;"nformation not available
johnsonflooringtn.com: Information not available
winchestertileservice.com: Information not available
rksbathtubandtilerestorations.com: Information not available
strivetilereglazing.com: Information not available
reglazinglosange"&amp;"les0.yolasite.com: Information not available
aaarefinishing.com: Information not available")</f>
        <v>protubrefinishing.com: Cerritos, CA
pacificreglazing.com: Burbank, CA
latubs.com: Information not available
tubboys.com: Los Angeles, CA
a-1reglazing-inc.com: Los Angeles, CA
bryansreglazing.com: Information not available
reglazingstudio.com: Information not available
fivestarreglazing.com: Information not available
reglazinglosangeles.net: Information not available
newshinebathtubrefinishing.com: Information not available
refinishingprimebath.com: Information not available
sustainablereglazing.com: Information not available
reglazingnyc.com: Information not available
wilmingtontubreglazing.com: Information not available
bathtubrefinishers.com: Information not available
freshtubrefinishing.com: Information not available
thermo-glaze.com.au: Information not available
yoursisterspotshop.com: Information not available
nufinishpro.com: Information not available
bathtubrefinishingfl.com: Information not available
everglazecoatings.com: Information not available
uniquereglaze.com: Information not available
blackstonetubrefinishers.ca: Information not available
simprobda.com: Information not available
uglytub.com: Information not available
prontorefinishing.com: Information not available
jemcoreglazers.com: Information not available
amazingreglazingri.com: Information not available
shinytubreglazing.com: Information not available
simplyreglaze.com: Information not available
diamondreglazing.com: Information not available
tubcoaters.com: Information not available
allnewtub.com: Information not available
anthonysreglazing.com: Information not available
chicagotubandtile.com: Information not available
excellencereglazing.com: Information not available
surfacerenew.net: Information not available
stlreglazing.com: Information not available
americantubreglazing.com: Information not available
resurfacelouisville.com: Information not available
amazingtileandtubreglazing.com: Information not available
rubadubtubreglazing.com: Information not available
kcreglazing.com: Information not available
torresconstructionpainting.com: Information not available
topreglazing.com: Information not available
standardbathtubreglazing.com: Information not available
topkote.com: Information not available
specializedrefinishing.com: Information not available
jetsglazing.com: Information not available
thesurfacedoctors.com: Information not available
refinishing-pros.com: Information not available
tubfusion.com: Information not available
bathtubdenver.net: Information not available
bathrefinishingsolutions.com: Information not available
baystaterefinishing.com: Information not available
bathtubresurfacingsite.com: Information not available
supremebathrefinishing.com: Information not available
rapidrefinishingco.com: Information not available
njbathtubrefinishers.com: Information not available
refinishedbathsolutions.com: Information not available
bathinnovations.com: Information not available
hightechreglazing.com: Information not available
wvhbathtub.com: Information not available
smartfloorsusa.com: Information not available
splashreglazing.com: Information not available
durafinish.net: Information not available
camposbathtub.com: Information not available
servicedoctor.net: Information not available
permaglazetx.com: Information not available
adamovreglazing.com: Information not available
myrefreshrefinishing.com: Information not available
suncoasttubandtilerefinishing.com: Information not available
europeanreglazing.com: Information not available
amazingrefinishing.com: Information not available
anthonysreglazingfl.com: Information not available
tufftubrefinishing.com: Information not available
ogdenbathtubrefinishing.com: Information not available
chipstubandtilerefinish.com: Information not available
austintubsurgeon.com: Information not available
bathtubrefinishinglondon.com: Information not available
finishpro360.com: Information not available
absolutetub.com: Information not available
alltubsky.com: Information not available
jannetintl.com: Information not available
keybathroomtilerestoration.com: Information not available
bathtub-master.com: Information not available
tubbydiy.com: Information not available
gandhresurfacing.com: Information not available
bathtubrefinishingca.com: Information not available
bathtubrefinishingtampa.net: Information not available
bathtubrefinishingdallas.com: Information not available
brooksbrothershandyman.com: Information not available
bathremodelingraleighnc.com: Information not available
napcoltd.com: Information not available
affordabletubrefinishingtx.com: Information not available
topnotchhardwoodfloors.com: Information not available
boiserefinishing.com: Information not available
permacerambathroom.com: Information not available
longislandtubrefinishing.com: Information not available
floridarefinishing.com: Information not available
scvfloorsmith.com: Information not available
combath.com: Information not available
marylandtubntile.com: Information not available
dallastubpros.com: Information not available
coloradotubrepair.com: Information not available
renov8co.com: Information not available
tubguyrefinishing.com: Information not available
dallasbathtubrefinishing.com: Information not available
yournewtubs.com: Information not available
welspunflooring.com: Information not available
whiteglovereglazing.com: Information not available
uniquerefinishers.com: Information not available
reglazepros.com: Information not available
universaltile.net: Information not available
unitedtradelinks.com.au: Information not available
bathroomsurfacesolutions.com: Information not available
tampatubandtilerefinishing.com: Information not available
paramount-reglaze.com: Information not available
masterteckrepair.com: Information not available
thetubpros.com: Information not available
repelecarpet.com: Information not available
ceconcreteri.com: Information not available
sharprefinishing.com: Information not available
nu-tub.net: Information not available
idealrefinishing.com: Information not available
sirgroutboston.com: Information not available
bathtubreglazinginc.com: Information not available
connecticutreglazing.com: Information not available
alisfinishingtouch.com: Information not available
bathtubmagic.ca: Information not available
sauguscontractor.com: Information not available
nuglaze.net: Information not available
armortechresurfacing.com: Information not available
idealresurfacing.com: Information not available
prestigerefinishers.com: Information not available
drresurface.com: Information not available
reglazeitnow.com: Information not available
amazingrefinishingfl.com: Information not available
covebath.com: Information not available
lakewood-tub-reglazing.com: Information not available
newsuperiortub.com: Information not available
menjivars-painting.com: Information not available
allprorefinishing.com: Information not available
tubreglazers.com: Information not available
reglazingwow.ca: Information not available
greaterdfwrefinishers.com: Information not available
spaceandhabit.com: Information not available
bathroomprosnj.com: Information not available
surfacespecialists.com: Information not available
surfacespecialistsofdenver.com: Information not available
mastercraftusa.com: Information not available
dalydigs.com: Information not available
originalstyle.com: Information not available
nytubs.com: Information not available
freshlookrefinishing.com: Information not available
dwilpainting.com: Information not available
toddsbathtubs.com: Information not available
thebestrefinishing.com: Information not available
bathtubmadenew.com: Information not available
armoglazeservice.com: Information not available
tub-guy.com: Information not available
ucoatit.com: Information not available
tubzz.com: Information not available
thetubguys.net: Information not available
carillonrugs.com: Information not available
thetubguys757.com: Information not available
igloosurfaces.com: Information not available
resurfacingsolutions.net: Information not available
thebathtubdoctor.com: Information not available
24hourbath.com: Information not available
bathtubandtilerestoration.com: Information not available
tilerestoration.com: Information not available
klasskote.com: Information not available
empresafloors.com: Information not available
bathrefinishingresource.com: Information not available
powerpaintingplus.com: Information not available
usacountertopsmass.com: Information not available
decorative-coating.com: Information not available
aaatubntile.com: Information not available
abathreglazing.com: Information not available
aandjresurfacing.com: Information not available
bathtubrefinishingco.net: Information not available
probathtubrefinishing.com: Information not available
renewitrefinishing.com: Information not available
reglazingsolutions.com: Information not available
nycreglazing.com: Information not available
reglazingco.com: Information not available
bathtubreglazinglb.com: Information not available
bathtubrestorations.com: Information not available
amazingreglazingg.com: Information not available
eleganttubtilerefinishing.com: Information not available
whitetubs.com: Information not available
azulejossola.co.uk: Information not available
armorkote.net: Information not available
brooklyntubrefinishing.com: Information not available
patty.plus: Information not available
renewyourtub.com: Information not available
jrcoatingtechnologies.com: Information not available
baufix-online.com: Information not available
wrenthambathrooms.com: Information not available
kelloggsporcelain.com: Information not available
hudsontubs.com: Information not available
newarktubreglazing.com: Information not available
keystoneresurfacing.com: Information not available
sacramentobathtubrefinishing.org: Information not available
allin1coatings.com: Information not available
fantasticresurfacing.com.au: Information not available
wrenthambathtubs.com: Information not available
tiptoprestorations.com: Information not available
advancedreglazing.com: Information not available
ohiotubpros.com: Information not available
frankensteinrefinishing.com: Information not available
paintedotter.com: Information not available
enduringsurface.com: Information not available
proreglaze.com: Information not available
anamazingreglazingq.com: Information not available
pmcabathrooms.com: Information not available
familyhandyman.com: Information not available
vintagetub.com: Information not available
blockrenovation.com: Information not available
daichcoatings.com: Information not available
ibathtub.com: Information not available
thegroutmedic.com: Information not available
greatbuildz.com: Information not available
paintritepros.com: Information not available
gettilesonline.com.au: Information not available
all.biz: Information not available
streamlinebath.com: Information not available
setileconnection.com: Information not available
surfaceexperts.com: Information not available
tandlinternational.com: Information not available
surface-renew.com: Information not available
correctcaulking.com.au: Information not available
nationalplastics.co.uk: Information not available
stonerestorationworks.com: Information not available
simplepracticalbeautiful.com: Information not available
peachpainting.com: Information not available
bath-works.net: Information not available
acamporainteriors.com: Information not available
roperrhodes.co.uk: Information not available
jeweledinteriors.com: Information not available
hambletonhandyman.com: Information not available
seiffertlumber.com: Information not available
getagrip.com: Information not available
trustedpros.ca: Information not available
aosom.ca: Information not available
georgebathroom.com: Information not available
thebesttileinstallation.com: Information not available
ctasc.com: Information not available
drench.co.uk: Information not available
bngremodel.com: Information not available
jandjconstruction.com: Information not available
homeimprovementskansascity.com: Information not available
panelcompany.co.uk: Information not available
smartcret.com: Information not available
semcofl.com: Information not available
serviceteam.co.uk: Information not available
theinteriorsaddict.com: Information not available
carpetoutlets.net: Information not available
columbusbathdesign.com: Information not available
monarchpainting.com.au: Information not available
bathprofessional.com: Information not available
rihi.com: Information not available
lavishceramics.com: Information not available
bathtubrefinishingstore.com: Information not available
[suspicious link removed]: Information not available
n2n.la: Information not available
rivercityboston.com: Information not available
arlandriafloors.com: Information not available
seattlebathtubguy.com: Information not available
lifespanhi.com: Information not available
homelivinghandbook.com: Information not available
foxvalleybathtubrefinishing.com: Information not available
porcelainsuperstore.co.uk: Information not available
tileoutlet.net: Information not available
ultrabathroom.com: Information not available
superiorbathtubrefinishing.com: Information not available
bathtubguys.com: Information not available
renukrete.com: Information not available
paintpositive.com: Information not available
premierrefinishing.net: Information not available
dsapone.com: Information not available
tiledoctor.biz: Information not available
bathroomwerx.com.au: Information not available
californiatilerestoration.com: Information not available
seamlessoverlays.com: Information not available
foremansnags.com: Information not available
somathomeremodeling.com: Information not available
southingtonpainting.com: Information not available
accurateplumbingtx.com: Information not available
bathrenovationhq.com: Information not available
gouldpaintingwny.com: Information not available
cincottitile.com: Information not available
ftworthrefinishing.com: Information not available
mrresurface.com: Information not available
stone3.com.au: Information not available
bathtubrefinishingtulsa.com: Information not available
classicallyjill.com: Information not available
borobathrooms.co.uk: Information not available
a1reglaze.com: Information not available
re-surfacepro.com: Information not available
bathroomremodeleriepa.com: Information not available
capsulegallery.com: Information not available
tubnshower.com: Information not available
mayfairbuildinggroup.com.au: Information not available
thebathtubguy.com: Information not available
capitalbathrooms.com.au: Information not available
amazingtubsreglaze.com: Information not available
losangelesbathtubreglazing.webflow.io: Information not available
dallastubrefinishing.com: Information not available
floridatubreglazing.com: Information not available
alfredosrefinish.com: Information not available
johnsonflooringtn.com: Information not available
winchestertileservice.com: Information not available
rksbathtubandtilerestorations.com: Information not available
strivetilereglazing.com: Information not available
reglazinglosangeles0.yolasite.com: Information not available
aaarefinishing.com: Information not available</v>
      </c>
      <c r="K125" s="1" t="s">
        <v>13885</v>
      </c>
    </row>
    <row r="126" ht="12.75" hidden="1" customHeight="1"/>
    <row r="127" ht="12.75" hidden="1" customHeight="1"/>
    <row r="128" ht="12.75" hidden="1" customHeight="1"/>
    <row r="129" ht="12.75" hidden="1" customHeight="1">
      <c r="C129" s="40" t="s">
        <v>13892</v>
      </c>
      <c r="D129" s="1">
        <v>0.24</v>
      </c>
      <c r="E129" s="1">
        <v>9.0</v>
      </c>
      <c r="F129" s="1">
        <v>85.0</v>
      </c>
      <c r="G129" s="41">
        <v>76.0</v>
      </c>
      <c r="H129" s="1">
        <v>211.0</v>
      </c>
      <c r="I129" s="1">
        <v>0.0</v>
      </c>
      <c r="J129" s="17" t="str">
        <f>IFERROR(__xludf.DUMMYFUNCTION("(GEMINI(""go into the website and search for about us or contact page and pull in the City and State that this website or company is based from"", C129:C523))"),"I am unable to visit external websites or navigate web pages to find that information.")</f>
        <v>I am unable to visit external websites or navigate web pages to find that information.</v>
      </c>
    </row>
    <row r="130" ht="12.75" hidden="1" customHeight="1"/>
    <row r="131" ht="12.75" customHeight="1">
      <c r="C131" s="40" t="s">
        <v>13893</v>
      </c>
      <c r="D131" s="1">
        <v>0.33</v>
      </c>
      <c r="E131" s="1">
        <v>12.0</v>
      </c>
      <c r="F131" s="1">
        <v>398.0</v>
      </c>
      <c r="G131" s="41">
        <v>91.0</v>
      </c>
      <c r="H131" s="1">
        <v>315.0</v>
      </c>
      <c r="I131" s="1">
        <v>0.0</v>
      </c>
      <c r="J131" s="17" t="str">
        <f>IFERROR(__xludf.DUMMYFUNCTION("(GEMINI(""go into the website and search for about us or contact page and pull in the City and State that this website or company is based from"", C131:C525))"),"| latubs.com | Hollywood, FL |
| tubboys.com | Springfield and St. Louis, MO |
| a-1reglazing-inc.com | Los Angeles, CA |
| bryansreglazing.com | Los Angeles, CA |
| reglazingstudio.com | Van Nuys, CA and Los Angeles, CA |")</f>
        <v>| latubs.com | Hollywood, FL |
| tubboys.com | Springfield and St. Louis, MO |
| a-1reglazing-inc.com | Los Angeles, CA |
| bryansreglazing.com | Los Angeles, CA |
| reglazingstudio.com | Van Nuys, CA and Los Angeles, CA |</v>
      </c>
      <c r="K131" s="1" t="s">
        <v>13885</v>
      </c>
    </row>
    <row r="132" ht="12.75" customHeight="1">
      <c r="C132" s="40" t="s">
        <v>13894</v>
      </c>
      <c r="D132" s="1">
        <v>0.31</v>
      </c>
      <c r="E132" s="1">
        <v>14.0</v>
      </c>
      <c r="F132" s="1">
        <v>72.0</v>
      </c>
      <c r="G132" s="41">
        <v>80.0</v>
      </c>
      <c r="H132" s="1">
        <v>195.0</v>
      </c>
      <c r="I132" s="1">
        <v>0.0</v>
      </c>
      <c r="J132" s="17" t="str">
        <f>IFERROR(__xludf.DUMMYFUNCTION("(GEMINI(""go into the website and search for about us or contact page and pull in the City and State that this website or company is based from"", C132:C526))"),"Los Angeles, CA")</f>
        <v>Los Angeles, CA</v>
      </c>
      <c r="K132" s="1" t="s">
        <v>13885</v>
      </c>
    </row>
    <row r="133" ht="12.75" hidden="1" customHeight="1"/>
    <row r="134" ht="12.75" customHeight="1">
      <c r="C134" s="40" t="s">
        <v>13895</v>
      </c>
      <c r="D134" s="1">
        <v>0.09</v>
      </c>
      <c r="E134" s="1">
        <v>3.0</v>
      </c>
      <c r="F134" s="1">
        <v>74.0</v>
      </c>
      <c r="G134" s="41">
        <v>66.0</v>
      </c>
      <c r="H134" s="1">
        <v>239.0</v>
      </c>
      <c r="I134" s="1">
        <v>0.0</v>
      </c>
      <c r="J134" s="17" t="str">
        <f>IFERROR(__xludf.DUMMYFUNCTION("(GEMINI(""go into the website and search for about us or contact page and pull in the City and State that this website or company is based from"", C134:C528))"),"Los Angeles, CA")</f>
        <v>Los Angeles, CA</v>
      </c>
      <c r="K134" s="1" t="s">
        <v>13885</v>
      </c>
    </row>
    <row r="135" ht="12.75" customHeight="1">
      <c r="C135" s="40" t="s">
        <v>13896</v>
      </c>
      <c r="D135" s="1">
        <v>0.4</v>
      </c>
      <c r="E135" s="1">
        <v>16.0</v>
      </c>
      <c r="F135" s="1">
        <v>91.0</v>
      </c>
      <c r="G135" s="41">
        <v>51.0</v>
      </c>
      <c r="H135" s="1">
        <v>113.0</v>
      </c>
      <c r="I135" s="1">
        <v>0.0</v>
      </c>
      <c r="J135" s="17" t="str">
        <f>IFERROR(__xludf.DUMMYFUNCTION("(GEMINI(""go into the website and search for about us or contact page and pull in the City and State that this website or company is based from"", C135:C529))"),"Los Angeles, California")</f>
        <v>Los Angeles, California</v>
      </c>
      <c r="K135" s="1" t="s">
        <v>13885</v>
      </c>
    </row>
    <row r="136" ht="12.75" customHeight="1">
      <c r="C136" s="40" t="s">
        <v>13897</v>
      </c>
      <c r="D136" s="1">
        <v>0.38</v>
      </c>
      <c r="E136" s="1">
        <v>13.0</v>
      </c>
      <c r="F136" s="1">
        <v>227.0</v>
      </c>
      <c r="G136" s="41">
        <v>22.0</v>
      </c>
      <c r="H136" s="1">
        <v>89.0</v>
      </c>
      <c r="I136" s="1">
        <v>0.0</v>
      </c>
      <c r="J136" s="17" t="str">
        <f>IFERROR(__xludf.DUMMYFUNCTION("(GEMINI(""go into the website and search for about us or contact page and pull in the City and State that this website or company is based from"", C136:C530))"),"I am unable to browse websites or extract specific information from web pages. I can only use the information provided in the table and search results.")</f>
        <v>I am unable to browse websites or extract specific information from web pages. I can only use the information provided in the table and search results.</v>
      </c>
      <c r="K136" s="1" t="s">
        <v>13885</v>
      </c>
    </row>
    <row r="137" ht="12.75" customHeight="1">
      <c r="C137" s="40" t="s">
        <v>13898</v>
      </c>
      <c r="D137" s="1">
        <v>0.31</v>
      </c>
      <c r="E137" s="1">
        <v>11.0</v>
      </c>
      <c r="F137" s="1">
        <v>96.0</v>
      </c>
      <c r="G137" s="41">
        <v>19.0</v>
      </c>
      <c r="H137" s="1">
        <v>68.0</v>
      </c>
      <c r="I137" s="1">
        <v>0.0</v>
      </c>
      <c r="J137" s="17" t="str">
        <f>IFERROR(__xludf.DUMMYFUNCTION("(GEMINI(""go into the website and search for about us or contact page and pull in the City and State that this website or company is based from"", C137:C531))"),"Los Angeles county, CA")</f>
        <v>Los Angeles county, CA</v>
      </c>
      <c r="K137" s="1" t="s">
        <v>13885</v>
      </c>
    </row>
    <row r="138" ht="12.75" customHeight="1">
      <c r="C138" s="42" t="s">
        <v>13899</v>
      </c>
      <c r="D138" s="43">
        <v>0.27</v>
      </c>
      <c r="E138" s="43">
        <v>11.0</v>
      </c>
      <c r="F138" s="43">
        <v>158.0</v>
      </c>
      <c r="G138" s="44">
        <v>6.0</v>
      </c>
      <c r="H138" s="43">
        <v>10.0</v>
      </c>
      <c r="I138" s="43">
        <v>0.0</v>
      </c>
      <c r="J138" s="17" t="str">
        <f>IFERROR(__xludf.DUMMYFUNCTION("(GEMINI(""go into the website and search for about us or contact page and pull in the City and State that this website or company is based from"", C138:C532))"),"Brooklyn, NY")</f>
        <v>Brooklyn, NY</v>
      </c>
      <c r="K138" s="1" t="s">
        <v>13900</v>
      </c>
    </row>
    <row r="139" ht="12.75" hidden="1" customHeight="1">
      <c r="C139" s="40" t="s">
        <v>13901</v>
      </c>
      <c r="D139" s="1">
        <v>0.11</v>
      </c>
      <c r="E139" s="1">
        <v>13.0</v>
      </c>
      <c r="F139" s="1">
        <v>601.0</v>
      </c>
      <c r="G139" s="41">
        <v>69.0</v>
      </c>
      <c r="H139" s="1">
        <v>106.0</v>
      </c>
      <c r="I139" s="1">
        <v>0.0</v>
      </c>
      <c r="J139" s="17" t="str">
        <f>IFERROR(__xludf.DUMMYFUNCTION("(GEMINI(""go into the website and search for about us or contact page and pull in the City and State that this website or company is based from"", C139:C533))"),"I am unable to visit external websites or perform searches within them to find the company's location.")</f>
        <v>I am unable to visit external websites or perform searches within them to find the company's location.</v>
      </c>
    </row>
    <row r="140" ht="12.75" hidden="1" customHeight="1">
      <c r="C140" s="42" t="s">
        <v>13902</v>
      </c>
      <c r="D140" s="43">
        <v>0.1</v>
      </c>
      <c r="E140" s="43">
        <v>10.0</v>
      </c>
      <c r="F140" s="43">
        <v>268.0</v>
      </c>
      <c r="G140" s="44">
        <v>2940.0</v>
      </c>
      <c r="H140" s="43">
        <v>13997.0</v>
      </c>
      <c r="I140" s="43">
        <v>0.0</v>
      </c>
      <c r="J140" s="17" t="str">
        <f>IFERROR(__xludf.DUMMYFUNCTION("(GEMINI(""go into the website and search for about us or contact page and pull in the City and State that this website or company is based from"", C140:C534))"),"NYC and NJ Areas")</f>
        <v>NYC and NJ Areas</v>
      </c>
    </row>
    <row r="141" ht="12.75" hidden="1" customHeight="1">
      <c r="C141" s="40" t="s">
        <v>13903</v>
      </c>
      <c r="D141" s="1">
        <v>0.1</v>
      </c>
      <c r="E141" s="1">
        <v>13.0</v>
      </c>
      <c r="F141" s="1">
        <v>666.0</v>
      </c>
      <c r="G141" s="41">
        <v>361.0</v>
      </c>
      <c r="H141" s="1">
        <v>2738.0</v>
      </c>
      <c r="I141" s="1">
        <v>0.0</v>
      </c>
      <c r="J141" s="17" t="str">
        <f>IFERROR(__xludf.DUMMYFUNCTION("(GEMINI(""go into the website and search for about us or contact page and pull in the City and State that this website or company is based from"", C141:C535))"),"Raleigh, NC")</f>
        <v>Raleigh, NC</v>
      </c>
    </row>
    <row r="142" ht="12.75" hidden="1" customHeight="1">
      <c r="C142" s="40" t="s">
        <v>13904</v>
      </c>
      <c r="D142" s="1">
        <v>0.1</v>
      </c>
      <c r="E142" s="1">
        <v>13.0</v>
      </c>
      <c r="F142" s="1">
        <v>986.0</v>
      </c>
      <c r="G142" s="41">
        <v>174.0</v>
      </c>
      <c r="H142" s="1">
        <v>595.0</v>
      </c>
      <c r="I142" s="1">
        <v>0.0</v>
      </c>
      <c r="J142" s="17" t="str">
        <f>IFERROR(__xludf.DUMMYFUNCTION("(GEMINI(""go into the website and search for about us or contact page and pull in the City and State that this website or company is based from"", C142:C536))"),"Brooklyn, NY")</f>
        <v>Brooklyn, NY</v>
      </c>
    </row>
    <row r="143" ht="12.75" hidden="1" customHeight="1">
      <c r="C143" s="40" t="s">
        <v>13905</v>
      </c>
      <c r="D143" s="1">
        <v>0.1</v>
      </c>
      <c r="E143" s="1">
        <v>11.0</v>
      </c>
      <c r="F143" s="1">
        <v>656.0</v>
      </c>
      <c r="G143" s="41">
        <v>137.0</v>
      </c>
      <c r="H143" s="1">
        <v>512.0</v>
      </c>
      <c r="I143" s="1">
        <v>0.0</v>
      </c>
      <c r="J143" s="17" t="str">
        <f>IFERROR(__xludf.DUMMYFUNCTION("(GEMINI(""go into the website and search for about us or contact page and pull in the City and State that this website or company is based from"", C143:C537))"),"Wilmington, Delaware")</f>
        <v>Wilmington, Delaware</v>
      </c>
    </row>
    <row r="144" ht="12.75" hidden="1" customHeight="1">
      <c r="C144" s="40" t="s">
        <v>13906</v>
      </c>
      <c r="D144" s="1">
        <v>0.1</v>
      </c>
      <c r="E144" s="1">
        <v>10.0</v>
      </c>
      <c r="F144" s="1">
        <v>927.0</v>
      </c>
      <c r="G144" s="41">
        <v>44.0</v>
      </c>
      <c r="H144" s="1">
        <v>133.0</v>
      </c>
      <c r="I144" s="1">
        <v>0.0</v>
      </c>
      <c r="J144" s="17" t="str">
        <f>IFERROR(__xludf.DUMMYFUNCTION("(GEMINI(""go into the website and search for about us or contact page and pull in the City and State that this website or company is based from"", C144:C538))"),"Something went wrong. Try again.")</f>
        <v>Something went wrong. Try again.</v>
      </c>
    </row>
    <row r="145" ht="12.75" customHeight="1">
      <c r="C145" s="40" t="s">
        <v>13907</v>
      </c>
      <c r="D145" s="1">
        <v>0.17</v>
      </c>
      <c r="E145" s="1">
        <v>7.0</v>
      </c>
      <c r="F145" s="1">
        <v>113.0</v>
      </c>
      <c r="G145" s="41">
        <v>5.0</v>
      </c>
      <c r="H145" s="1">
        <v>24.0</v>
      </c>
      <c r="I145" s="1">
        <v>0.0</v>
      </c>
      <c r="J145" s="17" t="str">
        <f>IFERROR(__xludf.DUMMYFUNCTION("(GEMINI(""go into the website and search for about us or contact page and pull in the City and State that this website or company is based from"", C145:C539))"),"Van Nuys, CA")</f>
        <v>Van Nuys, CA</v>
      </c>
      <c r="K145" s="1" t="s">
        <v>13885</v>
      </c>
    </row>
    <row r="146" ht="12.75" customHeight="1">
      <c r="C146" s="40" t="s">
        <v>13908</v>
      </c>
      <c r="D146" s="1">
        <v>0.09</v>
      </c>
      <c r="E146" s="1">
        <v>3.0</v>
      </c>
      <c r="F146" s="1">
        <v>64.0</v>
      </c>
      <c r="G146" s="41">
        <v>5.0</v>
      </c>
      <c r="H146" s="1">
        <v>11.0</v>
      </c>
      <c r="I146" s="1">
        <v>0.0</v>
      </c>
      <c r="J146" s="17" t="str">
        <f>IFERROR(__xludf.DUMMYFUNCTION("(GEMINI(""go into the website and search for about us or contact page and pull in the City and State that this website or company is based from"", C146:C540))"),"Collingwood, VIC (Victoria)")</f>
        <v>Collingwood, VIC (Victoria)</v>
      </c>
      <c r="K146" s="1" t="s">
        <v>13885</v>
      </c>
    </row>
    <row r="147" ht="12.75" hidden="1" customHeight="1">
      <c r="C147" s="40" t="s">
        <v>13909</v>
      </c>
      <c r="D147" s="1">
        <v>0.09</v>
      </c>
      <c r="E147" s="1">
        <v>3.0</v>
      </c>
      <c r="F147" s="1">
        <v>44.0</v>
      </c>
      <c r="G147" s="41">
        <v>2.0</v>
      </c>
      <c r="H147" s="1">
        <v>0.0</v>
      </c>
      <c r="I147" s="1">
        <v>0.0</v>
      </c>
      <c r="J147" s="17" t="str">
        <f>IFERROR(__xludf.DUMMYFUNCTION("(GEMINI(""go into the website and search for about us or contact page and pull in the City and State that this website or company is based from"", C147:C541))"),"I am unable to find the City and State for ""yoursisterspotshop.com"". Please provide the website content if you have it available.")</f>
        <v>I am unable to find the City and State for "yoursisterspotshop.com". Please provide the website content if you have it available.</v>
      </c>
    </row>
    <row r="148" ht="12.75" hidden="1" customHeight="1">
      <c r="C148" s="42" t="s">
        <v>13910</v>
      </c>
      <c r="D148" s="43">
        <v>0.08</v>
      </c>
      <c r="E148" s="43">
        <v>25.0</v>
      </c>
      <c r="F148" s="43">
        <v>2428.0</v>
      </c>
      <c r="G148" s="44">
        <v>5629.0</v>
      </c>
      <c r="H148" s="43">
        <v>29122.0</v>
      </c>
      <c r="I148" s="43">
        <v>0.0</v>
      </c>
      <c r="J148" s="17" t="str">
        <f>IFERROR(__xludf.DUMMYFUNCTION("(GEMINI(""go into the website and search for about us or contact page and pull in the City and State that this website or company is based from"", C148:C542))"),"The company NuFinishPro (nufinishpro.com) has several locations, including San Diego, CA and Boston, MA.")</f>
        <v>The company NuFinishPro (nufinishpro.com) has several locations, including San Diego, CA and Boston, MA.</v>
      </c>
    </row>
    <row r="149" ht="12.75" hidden="1" customHeight="1">
      <c r="C149" s="42" t="s">
        <v>13911</v>
      </c>
      <c r="D149" s="43">
        <v>0.08</v>
      </c>
      <c r="E149" s="43">
        <v>4.0</v>
      </c>
      <c r="F149" s="43">
        <v>225.0</v>
      </c>
      <c r="G149" s="44">
        <v>2082.0</v>
      </c>
      <c r="H149" s="43">
        <v>11267.0</v>
      </c>
      <c r="I149" s="43">
        <v>0.0</v>
      </c>
      <c r="J149" s="17" t="str">
        <f>IFERROR(__xludf.DUMMYFUNCTION("(GEMINI(""go into the website and search for about us or contact page and pull in the City and State that this website or company is based from"", C149:C543))"),"I am not able to browse websites or follow external links to find company contact information. I can only use the information provided in the table and the general Google Search results.")</f>
        <v>I am not able to browse websites or follow external links to find company contact information. I can only use the information provided in the table and the general Google Search results.</v>
      </c>
    </row>
    <row r="150" ht="12.75" hidden="1" customHeight="1">
      <c r="A150" s="45"/>
      <c r="B150" s="45"/>
      <c r="C150" s="42" t="s">
        <v>13912</v>
      </c>
      <c r="D150" s="43">
        <v>0.08</v>
      </c>
      <c r="E150" s="43">
        <v>14.0</v>
      </c>
      <c r="F150" s="43">
        <v>1161.0</v>
      </c>
      <c r="G150" s="44">
        <v>1135.0</v>
      </c>
      <c r="H150" s="43">
        <v>7020.0</v>
      </c>
      <c r="I150" s="43">
        <v>0.0</v>
      </c>
      <c r="J150" s="17" t="str">
        <f>IFERROR(__xludf.DUMMYFUNCTION("(GEMINI(""go into the website and search for about us or contact page and pull in the City and State that this website or company is based from"", C150:C544))"),"Philadelphia, PA")</f>
        <v>Philadelphia, PA</v>
      </c>
    </row>
    <row r="151" ht="12.75" customHeight="1">
      <c r="C151" s="40" t="s">
        <v>13913</v>
      </c>
      <c r="D151" s="1">
        <v>0.23</v>
      </c>
      <c r="E151" s="1">
        <v>8.0</v>
      </c>
      <c r="F151" s="1">
        <v>33.0</v>
      </c>
      <c r="G151" s="41">
        <v>1.0</v>
      </c>
      <c r="H151" s="1">
        <v>2.0</v>
      </c>
      <c r="I151" s="1">
        <v>0.0</v>
      </c>
      <c r="J151" s="17" t="str">
        <f>IFERROR(__xludf.DUMMYFUNCTION("(GEMINI(""go into the website and search for about us or contact page and pull in the City and State that this website or company is based from"", C151:C545))"),"uniquereglaze.com: Los Angeles, CA
blackstonetubrefinishers.ca: Unavailable (The domain is Canadian, but the exact city/province is not in the search results.)
simprobda.com: Bermuda
uglytub.com: Chicago, IL
prontorefinishing.com: Anaheim, CA, and other l"&amp;"ocations (Beverly Hills, CA; Manhattan Beach, CA, etc.)
jemcoreglazers.com: Unavailable
amazingreglazingri.com: Unavailable
shinytubreglazing.com: Unavailable
simplyreglaze.com: Unavailable
diamondreglazing.com: Unavailable
tubcoaters.com: Unavailable
all"&amp;"newtub.com: Unavailable
anthonysreglazing.com: Unavailable
chicagotubandtile.com: Unavailable
excellencereglazing.com: Unavailable
surfacerenew.net: Unavailable
stlreglazing.com: Unavailable
americantubreglazing.com: Unavailable
resurfacelouisville.com: U"&amp;"navailable
amazingtileandtubreglazing.com: Unavailable
rubadubtubreglazing.com: Unavailable
kcreglazing.com: Unavailable
torresconstructionpainting.com: Unavailable
topreglazing.com: Unavailable
standardbathtubreglazing.com: Unavailable
topkote.com: Unava"&amp;"ilable
specializedrefinishing.com: Unavailable
jetsglazing.com: Unavailable
thesurfacedoctors.com: Unavailable
refinishing-pros.com: Unavailable
tubfusion.com: Unavailable
bathtubdenver.net: Unavailable
bathrefinishingsolutions.com: Unavailable
baystatere"&amp;"finishing.com: Unavailable
bathtubresurfacingsite.com: Unavailable
supremebathrefinishing.com: Unavailable
rapidrefinishingco.com: Unavailable
njbathtubrefinishers.com: Unavailable
refinishedbathsolutions.com: Unavailable
bathinnovations.com: Unavailable
"&amp;"hightechreglazing.com: Unavailable
wvhbathtub.com: Unavailable
smartfloorsusa.com: Unavailable
splashreglazing.com: Unavailable
durafinish.net: Unavailable
camposbathtub.com: Unavailable
servicedoctor.net: Unavailable
permaglazetx.com: Unavailable
adamovr"&amp;"eglazing.com: Unavailable
myrefreshrefinishing.com: Unavailable
suncoasttubandtilerefinishing.com: Unavailable
europeanreglazing.com: Unavailable
amazingrefinishing.com: Unavailable
anthonysreglazingfl.com: Unavailable
tufftubrefinishing.com: Unavailable
"&amp;"ogdenbathtubrefinishing.com: Unavailable
chipstubandtilerefinish.com: Unavailable
austintubsurgeon.com: Unavailable
bathtubrefinishinglondon.com: Unavailable
finishpro360.com: Unavailable
absolutetub.com: Unavailable
alltubsky.com: Unavailable
jannetintl."&amp;"com: Unavailable
keybathroomtilerestoration.com: Unavailable
bathtub-master.com: Unavailable
tubbydiy.com: Unavailable
gandhresurfacing.com: Unavailable
bathtubrefinishingca.com: Unavailable
bathtubrefinishingtampa.net: Unavailable
bathtubrefinishingdalla"&amp;"s.com: Unavailable
brooksbrothershandyman.com: Unavailable
bathremodelingraleighnc.com: Unavailable
napcoltd.com: Unavailable
affordabletubrefinishingtx.com: Unavailable
topnotchhardwoodfloors.com: Unavailable
boiserefinishing.com: Unavailable
permaceramb"&amp;"athroom.com: Unavailable
longislandtubrefinishing.com: Unavailable
floridarefinishing.com: Unavailable
scvfloorsmith.com: Unavailable
combath.com: Unavailable
marylandtubntile.com: Unavailable
dallastubpros.com: Unavailable
coloradotubrepair.com: Unavaila"&amp;"ble
renov8co.com: Unavailable
tubguyrefinishing.com: Unavailable
dallasbathtubrefinishing.com: Unavailable
yournewtubs.com: Unavailable
welspunflooring.com: Unavailable
whiteglovereglazing.com: Unavailable
uniquerefinishers.com: Unavailable
reglazepros.co"&amp;"m: Unavailable
universaltile.net: Unavailable
unitedtradelinks.com.au: Unavailable
bathroomsurfacesolutions.com: Unavailable
tampatubandtilerefinishing.com: Unavailable
paramount-reglaze.com: Unavailable
masterteckrepair.com: Unavailable
thetubpros.com: U"&amp;"navailable
repelecarpet.com: Unavailable
ceconcreteri.com: Unavailable
sharprefinishing.com: Unavailable
nu-tub.net: Unavailable
idealrefinishing.com: Unavailable
sirgroutboston.com: Unavailable
bathtubreglazinginc.com: Unavailable
connecticutreglazing.co"&amp;"m: Unavailable
alisfinishingtouch.com: Unavailable
bathtubmagic.ca: Unavailable
sauguscontractor.com: Unavailable
nuglaze.net: Unavailable
armortechresurfacing.com: Unavailable
idealresurfacing.com: Unavailable
prestigerefinishers.com: Unavailable
drresur"&amp;"face.com: Unavailable
reglazeitnow.com: Unavailable
amazingrefinishingfl.com: Unavailable
covebath.com: Unavailable
lakewood-tub-reglazing.com: Unavailable
newsuperiortub.com: Unavailable
menjivars-painting.com: Unavailable
allprorefinishing.com: Unavaila"&amp;"ble
tubreglazers.com: Unavailable
reglazingwow.ca: Unavailable
greaterdfwrefinishers.com: Unavailable
spaceandhabit.com: Unavailable
bathroomprosnj.com: Unavailable
surfacespecialists.com: Unavailable
surfacespecialistsofdenver.com: Unavailable
mastercraf"&amp;"tusa.com: Unavailable
dalydigs.com: Unavailable
originalstyle.com: Unavailable
nytubs.com: Unavailable
freshlookrefinishing.com: Unavailable
dwilpainting.com: Unavailable
toddsbathtubs.com: Unavailable
thebestrefinishing.com: Unavailable
bathtubmadenew.co"&amp;"m: Unavailable
armoglazeservice.com: Unavailable
tub-guy.com: Unavailable
ucoatit.com: Unavailable
tubzz.com: Unavailable
thetubguys.net: Unavailable
carillonrugs.com: Unavailable
thetubguys757.com: Unavailable
igloosurfaces.com: Unavailable
resurfacingso"&amp;"lutions.net: Unavailable
thebathtubdoctor.com: Unavailable
24hourbath.com: Unavailable
bathtubandtilerestoration.com: Unavailable
tilerestoration.com: Unavailable
klasskote.com: Unavailable
empresafloors.com: Unavailable
bathrefinishingresource.com: Unava"&amp;"ilable
powerpaintingplus.com: Unavailable
usacountertopsmass.com: Unavailable
decorative-coating.com: Unavailable
aaatubntile.com: Unavailable
abathreglazing.com: Unavailable
aandjresurfacing.com: Unavailable
bathtubrefinishingco.net: Unavailable
probatht"&amp;"ubrefinishing.com: Unavailable
renewitrefinishing.com: Unavailable
reglazingsolutions.com: Unavailable
nycreglazing.com: Unavailable
reglazingco.com: Unavailable
bathtubreglazinglb.com: Unavailable
bathtubrestorations.com: Unavailable
amazingreglazingg.co"&amp;"m: Unavailable
eleganttubtilerefinishing.com: Unavailable
whitetubs.com: Unavailable
azulejossola.co.uk: Unavailable
armorkote.net: Unavailable
brooklyntubrefinishing.com: Unavailable
patty.plus: Unavailable
renewyourtub.com: Unavailable
jrcoatingtechnolo"&amp;"gies.com: Unavailable
baufix-online.com: Unavailable
wrenthambathrooms.com: Unavailable
kelloggsporcelain.com: Unavailable
hudsontubs.com: Unavailable
newarktubreglazing.com: Unavailable
keystoneresurfacing.com: Unavailable
sacramentobathtubrefinishing.or"&amp;"g: Unavailable
allin1coatings.com: Unavailable
fantasticresurfacing.com.au: Unavailable
wrenthambathtubs.com: Unavailable
tiptoprestorations.com: Unavailable
advancedreglazing.com: Unavailable
ohiotubpros.com: Unavailable
frankensteinrefinishing.com: Unav"&amp;"ailable
paintedotter.com: Unavailable
enduringsurface.com: Unavailable
proreglaze.com: Unavailable
anamazingreglazingq.com: Unavailable
pmcabathrooms.com: Unavailable
familyhandyman.com: Unavailable
vintagetub.com: Unavailable
blockrenovation.com: Unavail"&amp;"able
daichcoatings.com: Unavailable
ibathtub.com: Unavailable
thegroutmedic.com: Unavailable
greatbuildz.com: Unavailable
paintritepros.com: Unavailable
gettilesonline.com.au: Unavailable
all.biz: Unavailable
streamlinebath.com: Unavailable
setileconnecti"&amp;"on.com: Unavailable
surfaceexperts.com: Unavailable
tandlinternational.com: Unavailable
surface-renew.com: Unavailable
correctcaulking.com.au: Unavailable
nationalplastics.co.uk: Unavailable
stonerestorationworks.com: Unavailable
simplepracticalbeautiful."&amp;"com: Unavailable
peachpainting.com: Unavailable
bath-works.net: Unavailable
acamporainteriors.com: Unavailable
roperrhodes.co.uk: Unavailable
jeweledinteriors.com: Unavailable
hambletonhandyman.com: Unavailable
seiffertlumber.com: Unavailable
getagrip.com"&amp;": Unavailable
trustedpros.ca: Unavailable
aosom.ca: Unavailable
georgebathroom.com: Unavailable
thebesttileinstallation.com: Unavailable
ctasc.com: Unavailable
drench.co.uk: Unavailable
bngremodel.com: Unavailable
jandjconstruction.com: Unavailable
homeim"&amp;"provementskansascity.com: Unavailable
panelcompany.co.uk: Unavailable
smartcret.com: Unavailable
semcofl.com: Unavailable
serviceteam.co.uk: Unavailable
theinteriorsaddict.com: Unavailable
carpetoutlets.net: Unavailable
columbusbathdesign.com: Unavailable"&amp;"
monarchpainting.com.au: Unavailable
bathprofessional.com: Unavailable
rihi.com: Unavailable
lavishceramics.com: Unavailable
bathtubrefinishingstore.com: Unavailable
\[suspicious link removed\]: Unavailable
n2n.la: Unavailable
rivercityboston.com: Unavail"&amp;"able
arlandriafloors.com: Unavailable
seattlebathtubguy.com: Unavailable
lifespanhi.com: Unavailable
homelivinghandbook.com: Unavailable
foxvalleybathtubrefinishing.com: Unavailable
porcelainsuperstore.co.uk: Unavailable
tileoutlet.net: Unavailable
ultrab"&amp;"athroom.com: Unavailable
superiorbathtubrefinishing.com: Unavailable
bathtubguys.com: Unavailable
renukrete.com: Unavailable
paintpositive.com: Unavailable
premierrefinishing.net: Unavailable
dsapone.com: Unavailable
tiledoctor.biz: Unavailable
bathroomwe"&amp;"rx.com.au: Unavailable
californiatilerestoration.com: Unavailable
seamlessoverlays.com: Unavailable
foremansnags.com: Unavailable
somathomeremodeling.com: Unavailable
southingtonpainting.com: Unavailable
accurateplumbingtx.com: Unavailable
bathrenovationh"&amp;"q.com: Unavailable
gouldpaintingwny.com: Unavailable
cincottitile.com: Unavailable
ftworthrefinishing.com: Unavailable
mrresurface.com: Unavailable
stone3.com.au: Unavailable
bathtubrefinishingtulsa.com: Unavailable
classicallyjill.com: Unavailable
boroba"&amp;"throoms.co.uk: Unavailable
a1reglaze.com: Unavailable
re-surfacepro.com: Unavailable
bathroomremodeleriepa.com: Unavailable
capsulegallery.com: Unavailable
tubnshower.com: Unavailable
mayfairbuildinggroup.com.au: Unavailable
thebathtubguy.com: Unavailable"&amp;"
capitalbathrooms.com.au: Unavailable
amazingtubsreglaze.com: Unavailable
losangelesbathtubreglazing.webflow.io: Unavailable
dallastubrefinishing.com: Unavailable
floridatubreglazing.com: Unavailable
alfredosrefinish.com: Unavailable
johnsonflooringtn.com"&amp;": Unavailable
winchestertileservice.com: Unavailable
rksbathtubandtilerestorations.com: Unavailable
strivetilereglazing.com: Unavailable
reglazinglosangeles0.yolasite.com: Unavailable
aaarefinishing.com: Unavailable
: Unavailable
: Unavailable
: Unavailab"&amp;"le
: Unavailable
: Unavailable
: Unavailable
: Unavailable
: Unavailable
: Unavailable
: Unavailable
: Unavailable
: Unavailable
: Unavailable
: Unavailable
: Unavailable
: Unavailable
: Unavailable
: Unavailable
: Unavailable
: Unavailable
: Unavailable
"&amp;": Unavailable
: Unavailable
: Unavailable
: Unavailable
: Unavailable
: Unavailable
: Unavailable
: Unavailable
: Unavailable
: Unavailable
: Unavailable
: Unavailable
: Unavailable
: Unavailable
: Unavailable
: Unavailable
: Unavailable
: Unavailable
: U"&amp;"navailable
: Unavailable
: Unavailable
: Unavailable
: Unavailable
: Unavailable
: Unavailable
: Unavailable
: Unavailable
: Unavailable
: Unavailable
: Unavailable
: Unavailable
: Unavailable
: Unavailable
: Unavailable
: Unavailable
: Unavailable
: Unav"&amp;"ailable
: Unavailable
: Unavailable
: Unavailable
: Unavailable
: Unavailable
: Unavailable
: Unavailable
: Unavailable
: Unavailable
: Unavailable
: Unavailable
: Unavailable
: Unavailable
: Unavailable
: Unavailable
: Unavailable
: Unavailable
: Unavail"&amp;"able
: Unavailable
: Unavailable
: Unavailable
: Unavailable
: Unavailable
: Unavailable
: Unavailable
: Unavailable
: Unavailable
: Unavailable
: Unavailable
: Unavailable
: Unavailable
: Unavailable
: Unavailable
: Unavailable
: Unavailable
: Unavailabl"&amp;"e
: Unavailable
: Unavailable
: Unavailable
: Unavailable
: Unavailable
: Unavailable
: Unavailable
: Unavailable
: Unavailable
: Unavailable
: Unavailable
: Unavailable
: Unavailable
: Unavailable
: Unavailable
: Unavailable
: Unavailable
: Unavailable
:"&amp;" Unavailable
: Unavailable
: Unavailable
: Unavailable
: Unavailable
: Unavailable
: Unavailable
: Unavailable
: Unavailable
: Unavailable
: Unavailable
: Unavailable
: Unavailable
: Unavailable
: Unavailable
: Unavailable
: Unavailable
: Unavailable
: Un"&amp;"available
: Unavailable
: Unavailable
: Unavailable
: Unavailable
: Unavailable
: Unavailable
: Unavailable
: Unavailable
: Unavailable
: Unavailable
: Unavailable
: Unavailable
: Unavailable
: Unavailable
: Unavailable
: Unavailable
: Unavailable
: Unava"&amp;"ilable
: Unavailable
: Unavailable
: Unavailable
: Unavailable
: Unavailable
: Unavailable
: Unavailable
: Unavailable
: Unavailable
: Unavailable
: Unavailable
: Unavailable
: Unavailable
: Unavailable
: Unavailable
: Unavailable
: Unavailable
: Unavaila"&amp;"ble
: Unavailable
: Unavailable
: Unavailable
: Unavailable
: Unavailable
: Unavailable
: Unavailable
: Unavailable
: Unavailable
: Unavailable
: Unavailable
: Unavailable
: Unavailable
: Unavailable
: Unavailable
: Unavailable
: Unavailable
: Unavailable"&amp;"
: Unavailable
: Unavailable
: Unavailable
: Unavailable
: Unavailable
: Unavailable
: Unavailable
: Unavailable
: Unavailable
: Unavailable
: Unavailable
: Unavailable
: Unavailable
: Unavailable
: Unavailable
: Unavailable
: Unavailable
: Unavailable
: "&amp;"Unavailable
: Unavailable
: Unavailable
: Unavailable
: Unavailable
: Unavailable
: Unavailable
: Unavailable
: Unavailable
: Unavailable
: Unavailable
: Unavailable
: Unavailable
: Unavailable
: Unavailable
: Unavailable
: Unavailable
: Unavailable
: Una"&amp;"vailable
: Unavailable
: Unavailable
: Unavailable
: Unavailable
: Unavailable
: Unavailable
: Unavailable
: Unavailable
: Unavailable
: Unavailable
: Unavailable
: Unavailable
: Unavailable
: Unavailable
: Unavailable
: Unavailable
: Unavailable
: Unavai"&amp;"lable
: Unavailable
: Unavailable
: Unavailable
: Unavailable
: Unavailable
: Unavailable
: Unavailable
: Unavailable
: Unavailable
: Unavailable
: Unavailable
: Unavailable
: Unavailable
: Unavailable
: Unavailable
: Unavailable
: Unavailable
: Unavailab"&amp;"le
: Unavailable
: Unavailable
: Unavailable
: Unavailable
: Unavailable
: Unavailable
: Unavailable
: Unavailable
: Unavailable
: Unavailable
: Unavailable
: Unavailable
: Unavailable
: Unavailable
: Unavailable
: Unavailable
: Unavailable
: Unavailable
"&amp;": Unavailable
: Unavailable
: Unavailable
: Unavailable
: Unavailable
: Unavailable
: Unavailable
: Unavailable
: Unavailable
: Unavailable
: Unavailable
: Unavailable
: Unavailable
: Unavailable
: Unavailable
: Unavailable
: Unavailable
: Unavailable
: U"&amp;"navailable
: Unavailable
: Unavailable
: Unavailable
: Unavailable
: Unavailable
: Unavailable
: Unavailable
: Unavailable
: Unavailable
: Unavailable
: Unavailable
: Unavailable
: Unavailable
: Unavailable
: Unavailable
: Unavailable
: Unavailable
: Unav"&amp;"ailable
: Unavailable
: Unavailable
: Unavailable
: Unavailable
: Unavailable
: Unavailable
: Unavailable
: Unavailable
: Unavailable
: Unavailable
: Unavailable
: Unavailable
: Unavailable
: Unavailable
: Unavailable
: Unavailable
: Unavailable
: Unavail"&amp;"able
: Unavailable
: Unavailable
: Unavailable
: Unavailable
: Unavailable
: Unavailable
: Unavailable
: Unavailable
: Unavailable
: Unavailable
: Unavailable
: Unavailable
: Unavailable
: Unavailable
: Unavailable
: Unavailable
: Unavailable
: Unavailabl"&amp;"e
: Unavailable
: Unavailable
: Unavailable
: Unavailable
: Unavailable
: Unavailable
: Unavailable
: Unavailable
: Unavailable
: Unavailable
: Unavailable
: Unavailable
: Unavailable
: Unavailable
: Unavailable
: Unavailable
: Unavailable
: Unavailable
:"&amp;" Unavailable
: Unavailable
: Unavailable
: Unavailable
: Unavailable
: Unavailable
: Unavailable
: Unavailable
: Unavailable
: Unavailable
: Unavailable
: Unavailable
: Unavailable
: Unavailable
: Unavailable
: Unavailable
: Unavailable
: Unavailable
: Un"&amp;"available
: Unavailable
: Unavailable
: Unavailable
: Unavailable
: Unavailable
: Unavailable
: Unavailable
: Unavailable
: Unavailable
: Unavailable
: Unavailable
: Unavailable
: Unavailable
: Unavailable
: Unavailable
: Unavailable
: Unavailable
: Unava"&amp;"ilable
: Unavailable
: Unavailable
: Unavailable
: Unavailable
: Unavailable
: Unavailable
: Unavailable
: Unavailable
: Unavailable
: Unavailable
: Unavailable
: Unavailable
: Unavailable
: Unavailable
: Unavailable
: Unavailable
: Unavailable
: Unavaila"&amp;"ble
: Unavailable
: Unavailable
: Unavailable
: Unavailable
: Unavailable
: Unavailable
: Unavailable
: Unavailable
: Unavailable
: Unavailable
: Unavailable
: Unavailable
: Unavailable
: Unavailable
: Unavailable
: Unavailable
: Unavailable
: Unavailable"&amp;"
: Unavailable
: Unavailable
: Unavailable
: Unavailable
: Unavailable
: Unavailable
: Unavailable
: Unavailable
: Unavailable
: Unavailable
: Unavailable
: Unavailable
: Unavailable
: Unavailable
: Unavailable
: Unavailable
: Unavailable
: Unavailable
: "&amp;"Unavailable
: Unavailable
: Unavailable
: Unavailable
: Unavailable
: Unavailable
: Unavailable
: Unavailable
: Unavailable
: Unavailable
: Unavailable
: Unavailable
: Unavailable
: Unavailable
: Unavailable
: Unavailable
: Unavailable
: Unavailable
: Una"&amp;"vailable
: Unavailable
: Unavailable
: Unavailable
: Unavailable
: Unavailable
: Unavailable
: Unavailable
: Unavailable
: Unavailable
: Unavailable
: Unavailable
: Unavailable
: Unavailable
: Unavailable
: Unavailable
: Unavailable
: Unavailable
: Unavai"&amp;"lable
: Unavailable
: Unavailable
: Unavailable
: Unavailable
: Unavailable
: Unavailable
: Unavailable
: Unavailable
: Unavailable
: Unavailable
: Unavailable
: Unavailable
: Unavailable
: Unavailable
: Unavailable
: Unavailable
: Unavailable
: Unavailab"&amp;"le
: Unavailable
: Unavailable
: Unavailable
: Unavailable
: Unavailable
: Unavailable
: Unavailable
: Unavailable
: Unavailable
: Unavailable
: Unavailable
: Unavailable
: Unavailable
: Unavailable
: Unavailable
: Unavailable
: Unavailable
: Unavailable
"&amp;": Unavailable
: Unavailable
: Unavailable
: Unavailable
: Unavailable
: Unavailable
: Unavailable
: Unavailable
: Unavailable
: Unavailable
: Unavailable
: Unavailable
: Unavailable
: Unavailable
: Unavailable
: Unavailable
: Unavailable
: Unavailable
: U"&amp;"navailable
: Unavailable
: Unavailable
: Unavailable
: Unavailable
: Unavailable
: Unavailable
: Unavailable
: Unavailable
: Unavailable
: Unavailable
: Unavailable
: Unavailable
: Unavailable
: Unavailable
: Unavailable
: Unavailable
: Unavailable
: Unav"&amp;"ailable
: Unavailable
: Unavailable
: Unavailable
: Unavailable
: Unavailable
: Unavailable
: Unavailable
: Unavailable
: Unavailable
: Unavailable
: Unavailable
: Unavailable
: Unavailable
: Unavailable
: Unavailable
: Unavailable
: Unavailable
: Unavail"&amp;"able
: Unavailable
: Unavailable
: Unavailable
: Unavailable
: Unavailable
: Unavailable
: Unavailable
: Unavailable
: Unavailable
: Unavailable
: Unavailable
: Unavailable
: Unavailable
: Unavailable
: Unavailable
: Unavailable
: Unavailable
: Unavailabl"&amp;"e
: Unavailable
: Unavailable
: Unavailable
: Unavailable
: Unavailable
: Unavailable
: Unavailable
: Unavailable
: Unavailable
: Unavailable
: Unavailable
: Unavailable
: Unavailable
: Unavailable
: Unavailable
: Unavailable
: Unavailable
: Unavailable
:"&amp;" Unavailable
: Unavailable
: Unavailable
: Unavailable
: Unavailable
: Unavailable
: Unavailable
: Unavailable
: Unavailable
: Unavailable
: Unavailable
: Unavailable
: Unavailable
: Unavailable
: Unavailable
: Unavailable
: Unavailable
: Unavailable
: Un"&amp;"available
: Unavailable
: Unavailable
: Unavailable
: Unavailable
: Unavailable
: Unavailable
: Unavailable
: Unavailable
: Unavailable
: Unavailable
: Unavailable
: Unavailable
: Unavailable
: Unavailable
: Unavailable
: Unavailable
: Unavailable
: Unava"&amp;"ilable
: Unavailable
: Unavailable
: Unavailable
: Unavailable
: Unavailable
: Unavailable
: Unavailable
: Unavailable
: Unavailable
: Unavailable
: Unavailable
: Unavailable
: Unavailable
: Unavailable
: Unavailable
: Unavailable
: Unavailable
: Unavaila"&amp;"ble
: Unavailable
: Unavailable
: Unavailable
: Unavailable
: Unavailable
: Unavailable
: Unavailable
: Unavailable
: Unavailable
: Unavailable
: Unavailable
: Unavailable
: Unavailable
: Unavailable
: Unavailable
: Unavailable
: Unavailable
: Unavailable"&amp;"
: Unavailable
: Unavailable
: Unavailable
: Unavailable
: Unavailable
: Unavailable
: Unavailable
: Unavailable
: Unavailable
: Unavailable
: Unavailable
: Unavailable
: Unavailable
: Unavailable
: Unavailable
: Unavailable
: Unavailable
: Unavailable
: "&amp;"Unavailable
: Unavailable
: Unavailable
: Unavailable
: Unavailable
: Unavailable
: Unavailable
: Unavailable
: Unavailable
: Unavailable
: Unavailable
: Unavailable
: Unavailable
: Unavailable
: Unavailable
: Unavailable
: Unavailable
: Unavailable
: Una"&amp;"vailable
: Unavailable
: Unavailable
: Unavailable
: Unavailable
: Unavailable
: Unavailable
: Unavailable
: Unavailable
: Unavailable
: Unavailable
: Unavailable
: Unavailable
: Unavailable
: Unavailable
: Unavailable
: Unavailable
: Unavailable
: Unavai"&amp;"lable
: Unavailable
: Unavailable
: Unavailable
: Unavailable
: Unavailable
: Unavailable
: Unavailable
: Unavailable
: Unavailable
: Unavailable
: Unavailable
: Unavailable
: Unavailable
: Unavailable
: Unavailable
: Unavailable
: Unavailable
: Unavailab"&amp;"le
: Unavailable
: Unavailable
: Unavailable
: Unavailable
: Unavailable
: Unavailable
: Unavailable
: Unavailable
: Unavailable
: Unavailable
: Unavailable
: Unavailable
: Unavailable
: Unavailable
: Unavailable
: Unavailable
: Unavailable
: Unavailable
"&amp;": Unavailable
: Unavailable
: Unavailable
: Unavailable
: Unavailable
: Unavailable
: Unavailable
: Unavailable
: Unavailable
: Unavailable
: Unavailable
: Unavailable
: Unavailable
: Unavailable
: Unavailable
: Unavailable
: Unavailable
: Unavailable
: U"&amp;"navailable
: Unavailable
: Unavailable
: Unavailable
: Unavailable
: Unavailable
: Unavailable
: Unavailable
: Unavailable
: Unavailable
: Unavailable
: Unavailable
: Unavailable
: Unavailable
: Unavailable
: Unavailable
: Unavailable
: Unavailable
: Unav"&amp;"ailable
: Unavailable
: Unavailable
: Unavailable
: Unavailable
: Unavailable
: Unavailable
: Unavailable
: Unavailable
: Unavailable
: Unavailable
: Unavailable
: Unavailable
: Unavailable
: Unavailable
: Unavailable
: Unavailable
: Unavailable
: Unavail"&amp;"able
: Unavailable
: Unavailable
: Unavailable
: Unavailable
: Unavailable
: Unavailable
: Unavailable
: Unavailable
: Unavailable
: Unavailable
: Unavailable
: Unavailable
: Unavailable
: Unavailable
: Unavailable
: Unavailable
: Unavailable
: Unavailabl"&amp;"e
: Unavailable
: Unavailable
: Unavailable
: Unavailable
: Unavailable
: Unavailable
: Unavailable
: Unavailable
: Unavailable
: Unavailable
: Unavailable
: Unavailable
: Unavailable
: Unavailable
: Unavailable
: Unavailable
: Unavailable
: Unavailable
:"&amp;" Unavailable
: Unavailable
: Unavailable
: Unavailable
: Unavailable
: Unavailable
: Unavailable
: Unavailable
: Unavailable
: Unavailable
: Unavailable
: Unavailable
: Unavailable
: Unavailable
: Unavailable
: Unavailable
: Unavailable
: Unavailable
: Un"&amp;"available
: Unavailable
: Unavailable
: Unavailable
: Unavailable
: Unavailable
: Unavailable
: Unavailable
: Unavailable
: Unavailable
: Unavailable
: Unavailable
: Unavailable
: Unavailable
: Unavailable
: Unavailable
: Unavailable
: Unavailable
: Unava"&amp;"ilable
: Unavailable
: Unavailable
: Unavailable
: Unavailable
: Unavailable
: Unavailable
: Unavailable
: Unavailable
: Unavailable
: Unavailable
: Unavailable
: Unavailable
: Unavailable
: Unavailable
: Unavailable
: Unavailable
: Unavailable
: Unavaila"&amp;"ble
: Unavailable
: Unavailable
: Unavailable
: Unavailable
: Unavailable
: Unavailable
: Unavailable
: Unavailable
: Unavailable
: Unavailable
: Unavailable
: Unavailable
: Unavailable
: Unavailable
: Unavailable
: Unavailable
: Unavailable
: Unavailable"&amp;"
: Unavailable
: Unavailable
: Unavailable
: Unavailable
: Unavailable
: Unavailable
: Unavailable
: Unavailable
: Unavailable
: Unavailable
: Unavailable
: Unavailable
: Unavailable
: Unavailable
: Unavailable
: Unavailable
: Unavailable
: Unavailable
: "&amp;"Unavailable
: Unavailable
: Unavailable
: Unavailable
: Unavailable
: Unavailable
: Unavailable
: Unavailable
: Unavailable
: Unavailable
: Unavailable
: Unavailable
: Unavailable
: Unavailable
: Unavailable
: Unavailable
: Unavailable
: Unavailable
: Una"&amp;"vailable
: Unavailable
: Unavailable
: Unavailable
: Unavailable
: Unavailable
: Unavailable
: Unavailable
: Unavailable
: Unavailable
: Unavailable
: Unavailable
: Unavailable
: Unavailable
: Unavailable
: Unavailable
: Unavailable
: Unavailable
: Unavai"&amp;"lable
: Unavailable
: Unavailable
: Unavailable
: Unavailable
: Unavailable
: Unavailable
: Unavailable
: Unavailable
: Unavailable
: Unavailable
: Unavailable
: Unavailable
: Unavailable
: Unavailable
: Unavailable
: Unavailable
: Unavailable
: Unavailab"&amp;"le
: Unavailable
: Unavailable
: Unavailable
: Unavailable
: Unavailable
: Unavailable
: Unavailable
: Unavailable
: Unavailable
: Unavailable
: Unavailable
: Unavailable
: Unavailable
: Unavailable
: Unavailable
: Unavailable
: Unavailable
: Unavailable
"&amp;": Unavailable
: Unavailable
: Unavailable
: Unavailable
: Unavailable
: Unavailable
: Unavailable
: Unavailable
: Unavailable
: Unavailable
: Unavailable
: Unavailable
: Unavailable
: Unavailable
: Unavailable
: Unavailable
: Unavailable
: Unavailable
: U"&amp;"navailable
: Unavailable
: Unavailable
: Unavailable
: Unavailable
: Unavailable
: Unavailable
: Unavailable
: Unavailable
: Unavailable
: Unavailable
: Unavailable
: Unavailable
: Unavailable
: Unavailable
: Unavailable
: Unavailable
: Unavailable
: Unav"&amp;"ailable
: Unavailable
: Unavailable
: Unavailable
: Unavailable
: Unavailable
: Unavailable
: Unavailable
: Unavailable
: Unavailable
: Unavailable
: Unavailable
: Unavailable
: Unavailable
: Unavailable
: Unavailable
: Unavailable
: Unavailable
: Unavail"&amp;"able
: Unavailable
: Unavailable
: Unavailable
: Unavailable
: Unavailable
: Unavailable
: Unavailable
: Unavailable
: Unavailable
: Unavailable
: Unavailable
: Unavailable
: Unavailable
: Unavailable
: Unavailable
: Unavailable
: Unavailable
: Unavailabl"&amp;"e
: Unavailable
: Unavailable
: Unavailable
: Unavailable
: Unavailable
: Unavailable
: Unavailable
: Unavailable
: Unavailable
: Unavailable
: Unavailable
: Unavailable
: Unavailable
: Unavailable
: Unavailable
: Unavailable
: Unavailable
: Unavailable
:"&amp;" Unavailable
: Unavailable
: Unavailable
: Unavailable
: Unavailable
: Unavailable
: Unavailable
: Unavailable
: Unavailable
: Unavailable
: Unavailable
: Unavailable
: Unavailable
: Unavailable
: Unavailable
: Unavailable
: Unavailable
: Unavailable
: Un"&amp;"available
: Unavailable
: Unavailable
: Unavailable
: Unavailable
: Unavailable
: Unavailable
: Unavailable
: Unavailable
: Unavailable
: Unavailable
: Unavailable
: Unavailable
: Unavailable
: Unavailable
: Unavailable
: Unavailable
: Unavailable
: Unava"&amp;"ilable
: Unavailable
: Unavailable
: Unavailable
: Unavailable
: Unavailable
: Unavailable
: Unavailable
: Unavailable
: Unavailable
: Unavailable
: Unavailable
: Unavailable
: Unavailable
: Unavailable
: Unavailable
: Unavailable
: Unavailable
: Unavaila"&amp;"ble
: Unavailable
: Unavailable
: Unavailable
: Unavailable
: Unavailable
: Unavailable
: Unavailable
: Unavailable
: Unavailable
: Unavailable
: Unavailable
: Unavailable
: Unavailable
: Unavailable
: Unavailable
: Unavailable
: Unavailable
: Unavailable"&amp;"
: Unavailable
: Unavailable
: Unavailable
: Unavailable
: Unavailable
: Unavailable
: Unavailable
: Unavailable
: Unavailable
: Unavailable
: Unavailable
: Unavailable
: Unavailable
: Unavailable
: Unavailable
: Unavailable
: Unavailable
: Unavailable
: "&amp;"Unavailable
: Unavailable
: Unavailable
: Unavailable
: Unavailable
: Unavailable
: Unavailable
: Unavailable
: Unavailable
: Unavailable
: Unavailable
: Unavailable
: Unavailable
: Unavailable
: Unavailable
: Unavailable
: Unavailable
: Unavailable
: Una"&amp;"vailable
: Unavailable
: Unavailable
: Unavailable
: Unavailable
: Unavailable
: Unavailable
: Unavailable
: Unavailable
: Unavailable
: Unavailable
: Unavailable
: Unavailable
: Unavailable
: Unavailable
: Unavailable
: Unavailable
: Unavailable
: Unavai"&amp;"lable
: Unavailable
: Unavailable
: Unavailable
: Unavailable
: Unavailable
: Unavailable
: Unavailable
: Unavailable
: Unavailable
: Unavailable
: Unavailable
: Unavailable
: Unavailable
: Unavailable
: Unavailable
: Unavailable
: Unavailable
: Unavailab"&amp;"le
: Unavailable
: Unavailable
: Unavailable
: Unavailable
: Unavailable
: Unavailable
: Unavailable
: Unavailable
: Unavailable
: Unavailable
: Unavailable
: Unavailable
: Unavailable
: Unavailable
: Unavailable
: Unavailable
: Unavailable
: Unavailable
"&amp;": Unavailable
: Unavailable
: Unavailable
: Unavailable
: Unavailable
: Unavailable
: Unavailable
: Unavailable
: Unavailable
: Unavailable
: Unavailable
: Unavailable
: Unavailable
: Unavailable
: Unavailable
: Unavailable
: Unavailable
: Unavailable
: U"&amp;"navailable
: Unavailable
: Unavailable
: Unavailable
: Unavailable
: Unavailable
: Unavailable
: Unavailable
: Unavailable
: Unavailable
: Unavailable
: Unavailable
: Unavailable
: Unavailable
: Unavailable
: Unavailable
: Unavailable
: Unavailable
: Unav"&amp;"ailable
: Unavailable
: Unavailable
: Unavailable
: Unavailable
: Unavailable
: Unavailable
: Unavailable
: Unavailable
: Unavailable
: Unavailable
: Unavailable
: Unavailable
: Unavailable
: Unavailable
: Unavailable
: Unavailable
: Unavailable
: Unavail"&amp;"able
: Unavailable
: Unavailable
: Unavailable
: Unavailable
: Unavailable
: Unavailable
: Unavailable
: Unavailable
: Unavailable
: Unavailable
: Unavailable
: Unavailable
: Unavailable
: Unavailable
: Unavailable
: Unavailable
: Unavailable
: Unavailabl"&amp;"e
: Unavailable
: Unavailable
: Unavailable
: Unavailable
: Unavailable
: Unavailable
: Unavailable
: Unavailable
: Unavailable
: Unavailable
: Unavailable
: Unavailable
: Unavailable
: Unavailable
: Unavailable
: Unavailable
: Unavailable
: Unavailable
:"&amp;" Unavailable
: Unavailable
: Unavailable
: Unavailable
: Unavailable
: Unavailable
: Unavailable
: Unavailable
: Unavailable
: Unavailable
: Unavailable
: Unavailable
: Unavailable
: Unavailable
: Unavailable
: Unavailable
: Unavailable
: Unavailable
: Un"&amp;"available
: Unavailable
: Unavailable
: Unavailable
: Unavailable
: Unavailable
: Unavailable
: Unavailable
: Unavailable
: Unavailable
: Unavailable
: Unavailable
: Unavailable
: Unavailable
: Unavailable
: Unavailable
: Unavailable
: Unavailable
: Unava"&amp;"ilable
: Unavailable
: Unavailable
: Unavailable
: Unavailable
: Unavailable
: Unavailable
: Unavailable
: Unavailable
: Unavailable
: Unavailable
: Unavailable
: Unavailable
: Unavailable
: Unavailable
: Unavailable
: Unavailable
: Unavailable
: Unavaila"&amp;"ble
: Unavailable
: Unavailable
: Unavailable
: Unavailable
: Unavailable
: Unavailable
: Unavailable
: Unavailable
: Unavailable
: Unavailable
: Unavailable
: Unavailable
: Unavailable
: Unavailable
: Unavailable
: Unavailable
: Unavailable
: Unavailable"&amp;"
: Unavailable
: Unavailable
: Unavailable
: Unavailable
: Unavailable
: Unavailable
: Unavailable
: Unavailable
: Unavailable
: Unavailable
: Unavailable
: Unavailable
: Unavailable
: Unavailable
: Unavailable
: Unavailable
: Unavailable
: Unavailable
: "&amp;"Unavailable
: Unavailable
: Unavailable
: Unavailable
: Unavailable
: Unavailable
: Unavailable
: Unavailable
: Unavailable
: Unavailable
: Unavailable
: Unavailable
: Unavailable
: Unavailable
: Unavailable
: Unavailable
: Unavailable
: Unavailable
: Una"&amp;"vailable
: Unavailable
: Unavailable
: Unavailable
: Unavailable
: Unavailable
: Unavailable
: Unavailable
: Unavailable
: Unavailable
: Unavailable
: Unavailable
: Unavailable
: Unavailable
: Unavailable
: Unavailable
: Unavailable
: Unavailable
: Unavai"&amp;"lable
: Unavailable
: Unavailable
: Unavailable
: Unavailable
: Unavailable
: Unavailable
: Unavailable
: Unavailable
: Unavailable
: Unavailable
: Unavailable
: Unavailable
: Unavailable
: Unavailable
: Unavailable
: Unavailable
: Unavailable
: Unavailab"&amp;"le
: Unavailable
: Unavailable
: Unavailable
: Unavailable
: Unavailable
: Unavailable
: Unavailable
: Unavailable
: Unavailable
: Unavailable
: Unavailable
: Unavailable
: Unavailable
: Unavailable
: Unavailable
: Unavailable
: Unavailable
: Unavailable
"&amp;": Unavailable
: Unavailable
: Unavailable
: Unavailable
: Unavailable
: Unavailable
: Unavailable
: Unavailable
: Unavailable
: Unavailable
: Unavailable
: Unavailable
: Unavailable
: Unavailable
: Unavailable
: Unavailable
: Unavailable
: Unavailable
: U"&amp;"navailable
: Unavailable
: Unavailable
: Unavailable
: Unavailable
: Unavailable
: Unavailable
: Unavailable
: Unavailable
: Unavailable
: Unavailable
: Unavailable
: Unavailable
: Unavailable
: Unavailable
: Unavailable
: Unavailable
: Unavailable
: Unav"&amp;"ailable
: Unavailable
: Unavailable
: Unavailable
: Unavailable
: Unavailable
: Unavailable
: Unavailable
: Unavailable
: Unavailable
: Unavailable
: Unavailable
: Unavailable
: Unavailable
: Unavailable
: Unavailable
: Unavailable
: Unavailable
: Unavail"&amp;"able
: Unavailable
: Unavailable
: Unavailable
: Unavailable
: Unavailable
: Unavailable
: Unavailable
: Unavailable
: Unavailable
: Unavailable
: Unavailable
: Unavailable
: Unavailable
: Unavailable
: Unavailable
: Unavailable
: Unavailable
: Unavailabl"&amp;"e
: Unavailable
: Unavailable
: Unavailable
: Unavailable
: Unavailable
: Unavailable
: Unavailable
: Unavailable
: Unavailable
: Unavailable
: Unavailable
: Unavailable
: Unavailable
: Unavailable
: Unavailable
: Unavailable
: Unavailable
: Unavailable
:"&amp;" Unavailable
: Unavailable
: Unavailable
: Unavailable
: Unavailable
: Unavailable
: Unavailable
: Unavailable
: Unavailable
: Unavailable
: Unavailable
: Unavailable
: Unavailable
: Unavailable
: Unavailable
: Unavailable
: Unavailable
: Unavailable
: Un"&amp;"available
: Unavailable
: Unavailable
: Unavailable
: Unavailable
: Unavailable
: Unavailable
: Unavailable
: Unavailable
: Unavailable
: Unavailable
: Unavailable
: Unavailable
: Unavailable
: Unavailable
: Unavailable
: Unavailable
: Unavailable
: Unava"&amp;"ilable
: Unavailable
: Unavailable
: Unavailable
: Unavailable
: Unavailable
: Unavailable
: Unavailable
: Unavailable
: Unavailable
: Unavailable
: Unavailable
: Unavailable
: Unavailable
: Unavailable
: Unavailable
: Unavailable
: Unavailable
: Unavaila"&amp;"ble
: Unavailable
: Unavailable
: Unavailable
: Unavailable
: Unavailable
: Unavailable
: Unavailable
: Unavailable
: Unavailable
: Unavailable
: Unavailable
: Unavailable
: Unavailable
: Unavailable
: Unavailable
: Unavailable
: Unavailable
: Unavailable"&amp;"
: Unavailable
: Unavailable
: Unavailable
: Unavailable
: Unavailable
: Unavailable
: Unavailable
: Unavailable
: Unavailable
: Unavailable
: Unavailable
: Unavailable
: Unavailable
: Unavailable
: Unavailable
: Unavailable
: Unavailable
: Unavailable
: "&amp;"Unavailable
: Unavailable
: Unavailable
: Unavailable
: Unavailable
: Unavailable
: Unavailable
: Unavailable
: Unavailable
: Unavailable
: Unavailable
: Unavailable
: Unavailable
: Unavailable
: Unavailable
: Unavailable
: Unavailable
: Unavailable
: Una"&amp;"vailable
: Unavailable
: Unavailable
: Unavailable
: Unavailable
: Unavailable
: Unavailable
: Unavailable
: Unavailable
: Unavailable
: Unavailable
: Unavailable
: Unavailable
: Unavailable
: Unavailable
: Unavailable
: Unavailable
: Unavailable
: Unavai"&amp;"lable
: Unavailable
: Unavailable
: Unavailable
: Unavailable
: Unavailable
: Unavailable
: Unavailable
: Unavailable
: Unavailable
: Unavailable
: Unavailable
: Unavailable
: Unavailable
: Unavailable
: Unavailable
: Unavailable
: Unavailable
: Unavailab"&amp;"le
: Unavailable
: Unavailable
: Unavailable
: Unavailable
: Unavailable
: Unavailable
: Unavailable
: Unavailable
: Unavailable
: Unavailable
: Unavailable
: Unavailable
: Unavailable
: Unavailable
: Unavailable
: Unavailable
: Unavailable
: Unavailable
"&amp;": Unavailable
: Unavailable
: Unavailable
: Unavailable
: Unavailable
: Unavailable
: Unavailable
: Unavailable
: Unavailable
: Unavailable
: Unavailable
: Unavailable
: Unavailable
: Unavailable
: Unavailable
: Unavailable
: Unavailable
: Unavailable
: U"&amp;"navailable
: Unavailable
: Unavailable
: Unavailable
: Unavailable
: Unavailable
: Unavailable
: Unavailable
: Unavailable
: Unavailable
: Unavailable
: Unavailable
: Unavailable
: Unavailable
: Unavailable
: Unavailable
: Unavailable
: Unavailable
: Unav"&amp;"ailable
: Unavailable
: Unavailable
: Unavailable
: Unavailable
: Unavailable
: Unavailable
: Unavailable
: Unavailable
: Unavailable
: Unavailable
: Unavailable
: Unavailable
: Unavailable
: Unavailable
: Unavailable
: Unavailable
: Unavailable
: Unavail"&amp;"able
: Unavailable
: Unavailable
: Unavailable
: Unavailable
: Unavailable
: Unavailable
: Unavailable
: Unavailable
: Unavailable
: Unavailable
: Unavailable
: Unavailable
: Unavailable
: Unavailable
: Unavailable
: Unavailable
: Unavailable
: Unavailabl"&amp;"e
: Unavailable
: Unavailable
: Unavailable
: Unavailable
: Unavailable
: Unavailable
: Unavailable
: Unavailable
: Unavailable
: Unavailable
: Unavailable
: Unavailable
: Unavailable
: Unavailable
: Unavailable
: Unavailable
: Unavailable
: Unavailable
:"&amp;" Unavailable
: Unavailable
: Unavailable
: Unavailable
: Unavailable
: Unavailable
: Unavailable
: Unavailable
: Unavailable
: Unavailable
: Unavailable
: Unavailable
: Unavailable
: Unavailable
: Unavailable
: Unavailable
: Unavailable
: Unavailable
: Un"&amp;"available
: Unavailable
: Unavailable
: Unavailable
: Unavailable
: Unavailable
: Unavailable
: Unavailable
: Unavailable
: Unavailable
: Unavailable
: Unavailable
: Unavailable
: Unavailable
: Unavailable
: Unavailable
: Unavailable
: Unavailable
: Unava"&amp;"ilable
: Unavailable
: Unavailable
: Unavailable
: Unavailable
: Unavailable
: Unavailable
: Unavailable
: Unavailable
: Unavailable
: Unavailable
: Unavailable
: Unavailable
: Unavailable
: Unavailable
: Unavailable
: Unavailable
: Unavailable
: Unavaila"&amp;"ble
: Unavailable
: Unavailable
: Unavailable
: Unavailable
: Unavailable
: Unavailable
: Unavailable
: Unavailable
: Unavailable
: Unavailable
: Unavailable
: Unavailable
: Unavailable
: Unavailable
: Unavailable
: Unavailable
: Unavailable
: Unavailable"&amp;"
: Unavailable
: Unavailable
: Unavailable
: Unavailable
: Unavailable
: Unavailable
: Unavailable
: Unavailable
: Unavailable
: Unavailable
: Unavailable
: Unavailable
: Unavailable
: Unavailable
: Unavailable
: Unavailable
: Unavailable
: Unavailable
: "&amp;"Unavailable
: Unavailable
: Unavailable
: Unavailable
: Unavailable
: Unavailable
: Unavailable
: Unavailable
: Unavailable
: Unavailable
: Unavailable
: Unavailable
: Unavailable
: Unavailable
: Unavailable
: Unavailable
: Unavailable
: Unavailable
: Una"&amp;"vailable
: Unavailable
: Unavailable
: Unavailable
: Unavailable
: Unavailable
: Unavailable
: Unavailable
: Unavailable
: Unavailable
: Unavailable
: Unavailable
: Unavailable
: Unavailable
: Unavailable
: Unavailable
: Unavailable
: Unavailable
: Unavai"&amp;"lable
: Unavailable
: Unavailable
: Unavailable
: Unavailable
: Unavailable
: Unavailable
: Unavailable
: Unavailable
: Unavailable
: Unavailable
: Unavailable
: Unavailable
: Unavailable
: Unavailable
: Unavailable
: Unavailable
: Unavailable
: Unavailab"&amp;"le
: Unavailable
: Unavailable
: Unavailable
: Unavailable
: Unavailable
: Unavailable
: Unavailable
: Unavailable
: Unavailable
: Unavailable
: Unavailable
: Unavailable
: Unavailable
: Unavailable
: Unavailable
: Unavailable
: Unavailable
: Unavailable
"&amp;": Unavailable
: Unavailable
: Unavailable
: Unavailable
: Unavailable
: Unavailable
: Unavailable
: Unavailable
: Unavailable
: Unavailable
: Unavailable
: Unavailable
: Unavailable
: Unavailable
: Unavailable
: Unavailable
: Unavailable
: Unavailable
: U"&amp;"navailable
: Unavailable
: Unavailable
: Unavailable
: Unavailable
: Unavailable
: Unavailable
: Unavailable
: Unavailable
: Unavailable
: Unavailable
: Unavailable
: Unavailable
: Unavailable
: Unavailable
: Unavailable
: Unavailable
: Unavailable
: Unav"&amp;"ailable
: Unavailable
: Unavailable
: Unavailable
: Unavailable
: Unavailable
: Unavailable
: Unavailable
: Unavailable
: Unavailable
: Unavailable
: Unavailable
: Unavailable
: Unavailable
: Unavailable
: Unavailable
: Unavailable
: Unavailable
: Unavail"&amp;"able
: Unavailable
: Unavailable
: Unavailable
: Unavailable
: Unavailable
: Unavailable
: Unavailable
: Unavailable
: Unavailable
: Unavailable
: Unavailable
: Unavailable
: Unavailable
: Unavailable
: Unavailable
: Unavailable
: Unavailable
: Unavailabl"&amp;"e
: Unavailable
: Unavailable
: Unavailable
: Unavailable
: Unavailable
: Unavailable
: Unavailable
: Unavailable
: Unavailable
: Unavailable
: Unavailable
: Unavailable
: Unavailable
: Unavailable
: Unavailable
: Unavailable
: Unavailable
: Unavailable
:"&amp;" Unavailable
: Unavailable
: Unavailable
: Unavailable
: Unavailable
:
I can only provide the City and State for the companies where that information was explicitly available in the search results snippets. For the others, the information is unavailable i"&amp;"n the provided context.
uniquereglaze.com: Los Angeles, CA
blackstonetubrefinishers.ca: Unavailable
simprobda.com: Bermuda
uglytub.com: Chicago, IL
prontorefinishing.com: Anaheim, CA
jemcoreglazers.com: Unavailable
amazingreglazingri.com: Unavailable
shi"&amp;"nytubreglazing.com: Unavailable
simplyreglaze.com: Unavailable
diamondreglazing.com: Unavailable
tubcoaters.com: Unavailable
allnewtub.com: Unavailable
anthonysreglazing.com: Unavailable
chicagotubandtile.com: Unavailable
excellencereglazing.com: Unavaila"&amp;"ble
surfacerenew.net: Unavailable
stlreglazing.com: Unavailable
americantubreglazing.com: Unavailable
resurfacelouisville.com: Unavailable
amazingtileandtubreglazing.com: Unavailable
rubadubtubreglazing.com: Unavailable
kcreglazing.com: Unavailable
torres"&amp;"constructionpainting.com: Unavailable
topreglazing.com: Unavailable
standardbathtubreglazing.com: Unavailable
topkote.com: Unavailable
specializedrefinishing.com: Unavailable
jetsglazing.com: Unavailable
thesurfacedoctors.com: Unavailable
refinishing-pros"&amp;".com: Unavailable
tubfusion.com: Unavailable
bathtubdenver.net: Unavailable
bathrefinishingsolutions.com: Unavailable
baystaterefinishing.com: Unavailable
bathtubresurfacingsite.com: Unavailable
supremebathrefinishing.com: Unavailable
rapidrefinishingco.c"&amp;"om: Unavailable
njbathtubrefinishers.com: Unavailable
refinishedbathsolutions.com: Unavailable
bathinnovations.com: Unavailable
hightechreglazing.com: Unavailable
wvhbathtub.com: Unavailable
smartfloorsusa.com: Unavailable
splashreglazing.com: Unavailable"&amp;"
durafinish.net: Unavailable
camposbathtub.com: Unavailable
servicedoctor.net: Unavailable
permaglazetx.com: Unavailable
adamovreglazing.com: Unavailable
myrefreshrefinishing.com: Unavailable
suncoasttubandtilerefinishing.com: Unavailable
europeanreglazin"&amp;"g.com: Unavailable
amazingrefinishing.com: Unavailable
anthonysreglazingfl.com: Unavailable
tufftubrefinishing.com: Unavailable
ogdenbathtubrefinishing.com: Unavailable
chipstubandtilerefinish.com: Unavailable
austintubsurgeon.com: Unavailable
bathtubrefi"&amp;"nishinglondon.com: Unavailable
finishpro360.com: Unavailable
absolutetub.com: Unavailable
alltubsky.com: Unavailable
jannetintl.com: Unavailable
keybathroomtilerestoration.com: Unavailable
bathtub-master.com: Unavailable
tubbydiy.com: Unavailable
gandhres"&amp;"urfacing.com: Unavailable
bathtubrefinishingca.com: Unavailable
bathtubrefinishingtampa.net: Unavailable
bathtubrefinishingdallas.com: Unavailable
brooksbrothershandyman.com: Unavailable
bathremodelingraleighnc.com: Unavailable
napcoltd.com: Unavailable
a"&amp;"ffordabletubrefinishingtx.com: Unavailable
topnotchhardwoodfloors.com: Unavailable
boiserefinishing.com: Unavailable
permacerambathroom.com: Unavailable
longislandtubrefinishing.com: Unavailable
floridarefinishing.com: Unavailable
scvfloorsmith.com: Unava"&amp;"ilable
combath.com: Unavailable
marylandtubntile.com: Unavailable
dallastubpros.com: Unavailable
coloradotubrepair.com: Unavailable
renov8co.m: Unavailable
tubguyrefinishing.com: Unavailable
dallasbathtubrefinishing.com: Unavailable
yournewtubs.com: Unava"&amp;"ilable
welspunflooring.com: Unavailable
whiteglovereglazing.com: Unavailable
uniquerefinishers.com: Unavailable
reglazepros.com: Unavailable
universaltile.net: Unavailable
unitedtradelinks.com.au: Unavailable
bathroomsurfacesolutions.com: Unavailable
tamp"&amp;"atubandtilerefinishing.com: Unavailable
paramount-reglaze.com: Unavailable
masterteckrepair.com: Unavailable
thetubpros.com: Unavailable
repelecarpet.com: Unavailable
ceconcreteri.com: Unavailable
sharprefinishing.com: Unavailable
nu-tub.net: Unavailable
"&amp;"idealrefinishing.com: Unavailable
sirgroutboston.com: Unavailable
bathtubreglazinginc.com: Unavailable
connecticutreglazing.com: Unavailable
alisfinishingtouch.com: Unavailable
bathtubmagic.ca: Unavailable
sauguscontractor.com: Unavailable
nuglaze.net: Un"&amp;"available
armortechresurfacing.com: Unavailable
idealresurfacing.com: Unavailable
prestigerefinishers.com: Unavailable
drresurface.com: Unavailable
reglazeitnow.com: Unavailable
amazingrefinishingfl.com: Unavailable
covebath.com: Unavailable
lakewood-tub-"&amp;"reglazing.com: Unavailable
newsuperiortub.com: Unavailable
menjivars-painting.com: Unavailable
allprorefinishing.com: Unavailable
tubreglazers.com: Unavailable
reglazingwow.ca: Unavailable
greaterdfwrefinishers.com: Unavailable
spaceandhabit.com: Unavaila"&amp;"ble
bathroomprosnj.com: Unavailable
surfacespecialists.com: Unavailable
surfacespecialistsofdenver.com: Unavailable
mastercraftusa.com: Unavailable
dalydigs.com: Unavailable
originalstyle.com: Unavailable
nytubs.com: Unavailable
freshlookrefinishing.com: "&amp;"Unavailable
dwilpainting.com: Unavailable
toddsbathtubs.com: Unavailable
thebestrefinishing.com: Unavailable
bathtubmadenew.com: Unavailable
armoglazeservice.com: Unavailable
tub-guy.com: Unavailable
ucoatit.com: Unavailable
tubzz.com: Unavailable
thetubg"&amp;"uys.net: Unavailable
carillonrugs.com: Unavailable
thetubguys757.com: Unavailable
igloosurfaces.com: Unavailable
resurfacingsolutions.net: Unavailable
thebathtubdoctor.com: Unavailable
24hourbath.com: Unavailable
bathtubandtilerestoration.com: Unavailable"&amp;"
tilerestoration.com: Unavailable
klasskote.com: Unavailable
empresafloors.com: Unavailable
bathrefinishingresource.com: Unavailable
powerpaintingplus.com: Unavailable
usacountertopsmass.com: Unavailable
decorative-coating.com: Unavailable
aaatubntile.com"&amp;": Unavailable
abathreglazing.com: Unavailable
aandjresurfacing.com: Unavailable
bathtubrefinishingco.net: Unavailable
probathtubrefinishing.com: Unavailable
renewitrefinishing.com: Unavailable
reglazingsolutions.com: Unavailable
nycreglazing.com: Unavaila"&amp;"ble
reglazingco.com: Unavailable
bathtubreglazinglb.com: Unavailable
bathtubrestorations.com: Unavailable
amazingreglazingg.com: Unavailable
eleganttubtilerefinishing.com: Unavailable
whitetubs.com: Unavailable
azulejossola.co.uk: Unavailable
armorkote.ne"&amp;"t: Unavailable
brooklyntubrefinishing.com: Unavailable
patty.plus: Unavailable
renewyourtub.com: Unavailable
jrcoatingtechnologies.com: Unavailable
baufix-online.com: Unavailable
wrenthambathrooms.com: Unavailable
kelloggsporcelain.com: Unavailable
hudson"&amp;"tubs.com: Unavailable
newarktubreglazing.com: Unavailable
keystoneresurfacing.com: Unavailable
sacramentobathtubrefinishing.org: Unavailable
allin1coatings.com: Unavailable
fantasticresurfacing.com.au: Unavailable
wrenthambathtubs.com: Unavailable
tiptopr"&amp;"estorations.com: Unavailable
advancedreglazing.com: Unavailable
ohiotubpros.com: Unavailable
frankensteinrefinishing.com: Unavailable
paintedotter.com: Unavailable
enduringsurface.com: Unavailable
proreglaze.com: Unavailable
anamazingreglazingq.com: Unava"&amp;"ilable
pmcabathrooms.com: Unavailable
familyhandyman.com: Unavailable
vintagetub.com: Unavailable
blockrenovation.com: Unavailable
daichcoatings.com: Unavailable
ibathtub.com: Unavailable
thegroutmedic.com: Unavailable
greatbuildz.com: Unavailable
paintri"&amp;"tepros.com: Unavailable
gettilesonline.com.au: Unavailable
all.biz: Unavailable
streamlinebath.com: Unavailable
setileconnection.com: Unavailable
surfaceexperts.com: Unavailable
tandlinternational.com: Unavailable
surface-renew.com: Unavailable
correctcau"&amp;"lking.com.au: Unavailable
nationalplastics.co.uk: Unavailable
stonerestorationworks.com: Unavailable
simplepracticalbeautiful.com: Unavailable
peachpainting.com: Unavailable
bath-works.net: Unavailable
acamporainteriors.com: Unavailable
roperrhodes.co.uk:"&amp;" Unavailable
jeweledinteriors.com: Unavailable
hambletonhandyman.com: Unavailable
seiffertlumber.com: Unavailable
getagrip.com: Unavailable
trustedpros.ca: Unavailable
aosom.ca: Unavailable
georgebathroom.com: Unavailable
thebesttileinstallation.com: Unav"&amp;"ailable
ctasc.com: Unavailable
drench.co.uk: Unavailable
bngremodel.com: Unavailable
jandjconstruction.com: Unavailable
homeimprovementskansascity.com: Unavailable
panelcompany.co.uk: Unavailable
smartcret.com: Unavailable
semcofl.com: Unavailable
service"&amp;"team.co.uk: Unavailable
theinteriorsaddict.com: Unavailable
carpetoutlets.net: Unavailable
columbusbathdesign.com: Unavailable
monarchpainting.com.au: Unavailable
bathprofessional.com: Unavailable
rihi.com: Unavailable
lavishceramics.com: Unavailable
bath"&amp;"tubrefinishingstore.com: Unavailable
\[suspicious link removed\]: Unavailable
n2n.la: Unavailable
rivercityboston.com: Unavailable
arlandriafloors.com: Unavailable
seattlebathtubguy.com: Unavailable
lifespanhi.com: Unavailable
homelivinghandbook.com: Unav"&amp;"ailable
foxvalleybathtubrefinishing.com: Unavailable
porcelainsuperstore.co.uk: Unavailable
tileoutlet.net: Unavailable
ultrabathroom.com: Unavailable
superiorbathtubrefinishing.com: Unavailable
bathtubguys.com: Unavailable
renukrete.com: Unavailable
pain"&amp;"tpositive.com: Unavailable
premierrefinishing.net: Unavailable
dsapone.com: Unavailable
tiledoctor.biz: Unavailable
bathroomwerx.com.au: Unavailable
californiatilerestoration.com: Unavailable
seamlessoverlays.com: Unavailable
foremansnags.com: Unavailable"&amp;"
somathomeremodeling.com: Unavailable
southingtonpainting.com: Unavailable
accurateplumbingtx.com: Unavailable
bathrenovationhq.com: Unavailable
gouldpaintingwny.com: Unavailable
cincottitile.com: Unavailable
ftworthrefinishing.com: Unavailable
mrresurfac"&amp;"e.com: Unavailable
stone3.com.au: Unavailable
bathtubrefinishingtulsa.com: Unavailable
classicallyjill.com: Unavailable
borobathrooms.co.uk: Unavailable
a1reglaze.com: Unavailable
re-surfacepro.com: Unavailable
bathroomremodeleriepa.com: Unavailable
capsu"&amp;"legallery.com: Unavailable
tubnshower.com: Unavailable
mayfairbuildinggroup.com.au: Unavailable
thebathtubguy.com: Unavailable
capitalbathrooms.com.au: Unavailable
amazingtubsreglaze.com: Unavailable
losangelesbathtubreglazing.webflow.io: Unavailable
dall"&amp;"astubrefinishing.com: Unavailable
floridatubreglazing.com: Unavailable
alfredosrefinish.com: Unavailable
johnsonflooringtn.com: Unavailable
winchestertileservice.com: Unavailable
rksbathtubandtilerestorations.com: Unavailable
strivetilereglazing.com: Unav"&amp;"ailable
reglazinglosangeles0.yolasite.com: Unavailable
aaarefinishing.com: Unavailable")</f>
        <v>uniquereglaze.com: Los Angeles, CA
blackstonetubrefinishers.ca: Unavailable (The domain is Canadian, but the exact city/province is not in the search results.)
simprobda.com: Bermuda
uglytub.com: Chicago, IL
prontorefinishing.com: Anaheim, CA, and other locations (Beverly Hills, CA; Manhattan Beach, CA, etc.)
jemcoreglazers.com: Unavailable
amazingreglazingri.com: Unavailable
shinytubreglazing.com: Unavailable
simplyreglaze.com: Unavailable
diamondreglazing.com: Unavailable
tubcoaters.com: Unavailable
allnewtub.com: Unavailable
anthonysreglazing.com: Unavailable
chicagotubandtile.com: Unavailable
excellencereglazing.com: Unavailable
surfacerenew.net: Unavailable
stlreglazing.com: Unavailable
americantubreglazing.com: Unavailable
resurfacelouisville.com: Unavailable
amazingtileandtubreglazing.com: Unavailable
rubadubtubreglazing.com: Unavailable
kcreglazing.com: Unavailable
torresconstructionpainting.com: Unavailable
topreglazing.com: Unavailable
standardbathtubreglazing.com: Unavailable
topkote.com: Unavailable
specializedrefinishing.com: Unavailable
jetsglazing.com: Unavailable
thesurfacedoctors.com: Unavailable
refinishing-pros.com: Unavailable
tubfusion.com: Unavailable
bathtubdenver.net: Unavailable
bathrefinishingsolutions.com: Unavailable
baystaterefinishing.com: Unavailable
bathtubresurfacingsite.com: Unavailable
supremebathrefinishing.com: Unavailable
rapidrefinishingco.com: Unavailable
njbathtubrefinishers.com: Unavailable
refinishedbathsolutions.com: Unavailable
bathinnovations.com: Unavailable
hightechreglazing.com: Unavailable
wvhbathtub.com: Unavailable
smartfloorsusa.com: Unavailable
splashreglazing.com: Unavailable
durafinish.net: Unavailable
camposbathtub.com: Unavailable
servicedoctor.net: Unavailable
permaglazetx.com: Unavailable
adamovreglazing.com: Unavailable
myrefreshrefinishing.com: Unavailable
suncoasttubandtilerefinishing.com: Unavailable
europeanreglazing.com: Unavailable
amazingrefinishing.com: Unavailable
anthonysreglazingfl.com: Unavailable
tufftubrefinishing.com: Unavailable
ogdenbathtubrefinishing.com: Unavailable
chipstubandtilerefinish.com: Unavailable
austintubsurgeon.com: Unavailable
bathtubrefinishinglondon.com: Unavailable
finishpro360.com: Unavailable
absolutetub.com: Unavailable
alltubsky.com: Unavailable
jannetintl.com: Unavailable
keybathroomtilerestoration.com: Unavailable
bathtub-master.com: Unavailable
tubbydiy.com: Unavailable
gandhresurfacing.com: Unavailable
bathtubrefinishingca.com: Unavailable
bathtubrefinishingtampa.net: Unavailable
bathtubrefinishingdallas.com: Unavailable
brooksbrothershandyman.com: Unavailable
bathremodelingraleighnc.com: Unavailable
napcoltd.com: Unavailable
affordabletubrefinishingtx.com: Unavailable
topnotchhardwoodfloors.com: Unavailable
boiserefinishing.com: Unavailable
permacerambathroom.com: Unavailable
longislandtubrefinishing.com: Unavailable
floridarefinishing.com: Unavailable
scvfloorsmith.com: Unavailable
combath.com: Unavailable
marylandtubntile.com: Unavailable
dallastubpros.com: Unavailable
coloradotubrepair.com: Unavailable
renov8co.com: Unavailable
tubguyrefinishing.com: Unavailable
dallasbathtubrefinishing.com: Unavailable
yournewtubs.com: Unavailable
welspunflooring.com: Unavailable
whiteglovereglazing.com: Unavailable
uniquerefinishers.com: Unavailable
reglazepros.com: Unavailable
universaltile.net: Unavailable
unitedtradelinks.com.au: Unavailable
bathroomsurfacesolutions.com: Unavailable
tampatubandtilerefinishing.com: Unavailable
paramount-reglaze.com: Unavailable
masterteckrepair.com: Unavailable
thetubpros.com: Unavailable
repelecarpet.com: Unavailable
ceconcreteri.com: Unavailable
sharprefinishing.com: Unavailable
nu-tub.net: Unavailable
idealrefinishing.com: Unavailable
sirgroutboston.com: Unavailable
bathtubreglazinginc.com: Unavailable
connecticutreglazing.com: Unavailable
alisfinishingtouch.com: Unavailable
bathtubmagic.ca: Unavailable
sauguscontractor.com: Unavailable
nuglaze.net: Unavailable
armortechresurfacing.com: Unavailable
idealresurfacing.com: Unavailable
prestigerefinishers.com: Unavailable
drresurface.com: Unavailable
reglazeitnow.com: Unavailable
amazingrefinishingfl.com: Unavailable
covebath.com: Unavailable
lakewood-tub-reglazing.com: Unavailable
newsuperiortub.com: Unavailable
menjivars-painting.com: Unavailable
allprorefinishing.com: Unavailable
tubreglazers.com: Unavailable
reglazingwow.ca: Unavailable
greaterdfwrefinishers.com: Unavailable
spaceandhabit.com: Unavailable
bathroomprosnj.com: Unavailable
surfacespecialists.com: Unavailable
surfacespecialistsofdenver.com: Unavailable
mastercraftusa.com: Unavailable
dalydigs.com: Unavailable
originalstyle.com: Unavailable
nytubs.com: Unavailable
freshlookrefinishing.com: Unavailable
dwilpainting.com: Unavailable
toddsbathtubs.com: Unavailable
thebestrefinishing.com: Unavailable
bathtubmadenew.com: Unavailable
armoglazeservice.com: Unavailable
tub-guy.com: Unavailable
ucoatit.com: Unavailable
tubzz.com: Unavailable
thetubguys.net: Unavailable
carillonrugs.com: Unavailable
thetubguys757.com: Unavailable
igloosurfaces.com: Unavailable
resurfacingsolutions.net: Unavailable
thebathtubdoctor.com: Unavailable
24hourbath.com: Unavailable
bathtubandtilerestoration.com: Unavailable
tilerestoration.com: Unavailable
klasskote.com: Unavailable
empresafloors.com: Unavailable
bathrefinishingresource.com: Unavailable
powerpaintingplus.com: Unavailable
usacountertopsmass.com: Unavailable
decorative-coating.com: Unavailable
aaatubntile.com: Unavailable
abathreglazing.com: Unavailable
aandjresurfacing.com: Unavailable
bathtubrefinishingco.net: Unavailable
probathtubrefinishing.com: Unavailable
renewitrefinishing.com: Unavailable
reglazingsolutions.com: Unavailable
nycreglazing.com: Unavailable
reglazingco.com: Unavailable
bathtubreglazinglb.com: Unavailable
bathtubrestorations.com: Unavailable
amazingreglazingg.com: Unavailable
eleganttubtilerefinishing.com: Unavailable
whitetubs.com: Unavailable
azulejossola.co.uk: Unavailable
armorkote.net: Unavailable
brooklyntubrefinishing.com: Unavailable
patty.plus: Unavailable
renewyourtub.com: Unavailable
jrcoatingtechnologies.com: Unavailable
baufix-online.com: Unavailable
wrenthambathrooms.com: Unavailable
kelloggsporcelain.com: Unavailable
hudsontubs.com: Unavailable
newarktubreglazing.com: Unavailable
keystoneresurfacing.com: Unavailable
sacramentobathtubrefinishing.org: Unavailable
allin1coatings.com: Unavailable
fantasticresurfacing.com.au: Unavailable
wrenthambathtubs.com: Unavailable
tiptoprestorations.com: Unavailable
advancedreglazing.com: Unavailable
ohiotubpros.com: Unavailable
frankensteinrefinishing.com: Unavailable
paintedotter.com: Unavailable
enduringsurface.com: Unavailable
proreglaze.com: Unavailable
anamazingreglazingq.com: Unavailable
pmcabathrooms.com: Unavailable
familyhandyman.com: Unavailable
vintagetub.com: Unavailable
blockrenovation.com: Unavailable
daichcoatings.com: Unavailable
ibathtub.com: Unavailable
thegroutmedic.com: Unavailable
greatbuildz.com: Unavailable
paintritepros.com: Unavailable
gettilesonline.com.au: Unavailable
all.biz: Unavailable
streamlinebath.com: Unavailable
setileconnection.com: Unavailable
surfaceexperts.com: Unavailable
tandlinternational.com: Unavailable
surface-renew.com: Unavailable
correctcaulking.com.au: Unavailable
nationalplastics.co.uk: Unavailable
stonerestorationworks.com: Unavailable
simplepracticalbeautiful.com: Unavailable
peachpainting.com: Unavailable
bath-works.net: Unavailable
acamporainteriors.com: Unavailable
roperrhodes.co.uk: Unavailable
jeweledinteriors.com: Unavailable
hambletonhandyman.com: Unavailable
seiffertlumber.com: Unavailable
getagrip.com: Unavailable
trustedpros.ca: Unavailable
aosom.ca: Unavailable
georgebathroom.com: Unavailable
thebesttileinstallation.com: Unavailable
ctasc.com: Unavailable
drench.co.uk: Unavailable
bngremodel.com: Unavailable
jandjconstruction.com: Unavailable
homeimprovementskansascity.com: Unavailable
panelcompany.co.uk: Unavailable
smartcret.com: Unavailable
semcofl.com: Unavailable
serviceteam.co.uk: Unavailable
theinteriorsaddict.com: Unavailable
carpetoutlets.net: Unavailable
columbusbathdesign.com: Unavailable
monarchpainting.com.au: Unavailable
bathprofessional.com: Unavailable
rihi.com: Unavailable
lavishceramics.com: Unavailable
bathtubrefinishingstore.com: Unavailable
\[suspicious link removed\]: Unavailable
n2n.la: Unavailable
rivercityboston.com: Unavailable
arlandriafloors.com: Unavailable
seattlebathtubguy.com: Unavailable
lifespanhi.com: Unavailable
homelivinghandbook.com: Unavailable
foxvalleybathtubrefinishing.com: Unavailable
porcelainsuperstore.co.uk: Unavailable
tileoutlet.net: Unavailable
ultrabathroom.com: Unavailable
superiorbathtubrefinishing.com: Unavailable
bathtubguys.com: Unavailable
renukrete.com: Unavailable
paintpositive.com: Unavailable
premierrefinishing.net: Unavailable
dsapone.com: Unavailable
tiledoctor.biz: Unavailable
bathroomwerx.com.au: Unavailable
californiatilerestoration.com: Unavailable
seamlessoverlays.com: Unavailable
foremansnags.com: Unavailable
somathomeremodeling.com: Unavailable
southingtonpainting.com: Unavailable
accurateplumbingtx.com: Unavailable
bathrenovationhq.com: Unavailable
gouldpaintingwny.com: Unavailable
cincottitile.com: Unavailable
ftworthrefinishing.com: Unavailable
mrresurface.com: Unavailable
stone3.com.au: Unavailable
bathtubrefinishingtulsa.com: Unavailable
classicallyjill.com: Unavailable
borobathrooms.co.uk: Unavailable
a1reglaze.com: Unavailable
re-surfacepro.com: Unavailable
bathroomremodeleriepa.com: Unavailable
capsulegallery.com: Unavailable
tubnshower.com: Unavailable
mayfairbuildinggroup.com.au: Unavailable
thebathtubguy.com: Unavailable
capitalbathrooms.com.au: Unavailable
amazingtubsreglaze.com: Unavailable
losangelesbathtubreglazing.webflow.io: Unavailable
dallastubrefinishing.com: Unavailable
floridatubreglazing.com: Unavailable
alfredosrefinish.com: Unavailable
johnsonflooringtn.com: Unavailable
winchestertileservice.com: Unavailable
rksbathtubandtilerestorations.com: Unavailable
strivetilereglazing.com: Unavailable
reglazinglosangeles0.yolasite.com: Unavailable
aaarefinishing.com: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Unavailable
:
I can only provide the City and State for the companies where that information was explicitly available in the search results snippets. For the others, the information is unavailable in the provided context.
uniquereglaze.com: Los Angeles, CA
blackstonetubrefinishers.ca: Unavailable
simprobda.com: Bermuda
uglytub.com: Chicago, IL
prontorefinishing.com: Anaheim, CA
jemcoreglazers.com: Unavailable
amazingreglazingri.com: Unavailable
shinytubreglazing.com: Unavailable
simplyreglaze.com: Unavailable
diamondreglazing.com: Unavailable
tubcoaters.com: Unavailable
allnewtub.com: Unavailable
anthonysreglazing.com: Unavailable
chicagotubandtile.com: Unavailable
excellencereglazing.com: Unavailable
surfacerenew.net: Unavailable
stlreglazing.com: Unavailable
americantubreglazing.com: Unavailable
resurfacelouisville.com: Unavailable
amazingtileandtubreglazing.com: Unavailable
rubadubtubreglazing.com: Unavailable
kcreglazing.com: Unavailable
torresconstructionpainting.com: Unavailable
topreglazing.com: Unavailable
standardbathtubreglazing.com: Unavailable
topkote.com: Unavailable
specializedrefinishing.com: Unavailable
jetsglazing.com: Unavailable
thesurfacedoctors.com: Unavailable
refinishing-pros.com: Unavailable
tubfusion.com: Unavailable
bathtubdenver.net: Unavailable
bathrefinishingsolutions.com: Unavailable
baystaterefinishing.com: Unavailable
bathtubresurfacingsite.com: Unavailable
supremebathrefinishing.com: Unavailable
rapidrefinishingco.com: Unavailable
njbathtubrefinishers.com: Unavailable
refinishedbathsolutions.com: Unavailable
bathinnovations.com: Unavailable
hightechreglazing.com: Unavailable
wvhbathtub.com: Unavailable
smartfloorsusa.com: Unavailable
splashreglazing.com: Unavailable
durafinish.net: Unavailable
camposbathtub.com: Unavailable
servicedoctor.net: Unavailable
permaglazetx.com: Unavailable
adamovreglazing.com: Unavailable
myrefreshrefinishing.com: Unavailable
suncoasttubandtilerefinishing.com: Unavailable
europeanreglazing.com: Unavailable
amazingrefinishing.com: Unavailable
anthonysreglazingfl.com: Unavailable
tufftubrefinishing.com: Unavailable
ogdenbathtubrefinishing.com: Unavailable
chipstubandtilerefinish.com: Unavailable
austintubsurgeon.com: Unavailable
bathtubrefinishinglondon.com: Unavailable
finishpro360.com: Unavailable
absolutetub.com: Unavailable
alltubsky.com: Unavailable
jannetintl.com: Unavailable
keybathroomtilerestoration.com: Unavailable
bathtub-master.com: Unavailable
tubbydiy.com: Unavailable
gandhresurfacing.com: Unavailable
bathtubrefinishingca.com: Unavailable
bathtubrefinishingtampa.net: Unavailable
bathtubrefinishingdallas.com: Unavailable
brooksbrothershandyman.com: Unavailable
bathremodelingraleighnc.com: Unavailable
napcoltd.com: Unavailable
affordabletubrefinishingtx.com: Unavailable
topnotchhardwoodfloors.com: Unavailable
boiserefinishing.com: Unavailable
permacerambathroom.com: Unavailable
longislandtubrefinishing.com: Unavailable
floridarefinishing.com: Unavailable
scvfloorsmith.com: Unavailable
combath.com: Unavailable
marylandtubntile.com: Unavailable
dallastubpros.com: Unavailable
coloradotubrepair.com: Unavailable
renov8co.m: Unavailable
tubguyrefinishing.com: Unavailable
dallasbathtubrefinishing.com: Unavailable
yournewtubs.com: Unavailable
welspunflooring.com: Unavailable
whiteglovereglazing.com: Unavailable
uniquerefinishers.com: Unavailable
reglazepros.com: Unavailable
universaltile.net: Unavailable
unitedtradelinks.com.au: Unavailable
bathroomsurfacesolutions.com: Unavailable
tampatubandtilerefinishing.com: Unavailable
paramount-reglaze.com: Unavailable
masterteckrepair.com: Unavailable
thetubpros.com: Unavailable
repelecarpet.com: Unavailable
ceconcreteri.com: Unavailable
sharprefinishing.com: Unavailable
nu-tub.net: Unavailable
idealrefinishing.com: Unavailable
sirgroutboston.com: Unavailable
bathtubreglazinginc.com: Unavailable
connecticutreglazing.com: Unavailable
alisfinishingtouch.com: Unavailable
bathtubmagic.ca: Unavailable
sauguscontractor.com: Unavailable
nuglaze.net: Unavailable
armortechresurfacing.com: Unavailable
idealresurfacing.com: Unavailable
prestigerefinishers.com: Unavailable
drresurface.com: Unavailable
reglazeitnow.com: Unavailable
amazingrefinishingfl.com: Unavailable
covebath.com: Unavailable
lakewood-tub-reglazing.com: Unavailable
newsuperiortub.com: Unavailable
menjivars-painting.com: Unavailable
allprorefinishing.com: Unavailable
tubreglazers.com: Unavailable
reglazingwow.ca: Unavailable
greaterdfwrefinishers.com: Unavailable
spaceandhabit.com: Unavailable
bathroomprosnj.com: Unavailable
surfacespecialists.com: Unavailable
surfacespecialistsofdenver.com: Unavailable
mastercraftusa.com: Unavailable
dalydigs.com: Unavailable
originalstyle.com: Unavailable
nytubs.com: Unavailable
freshlookrefinishing.com: Unavailable
dwilpainting.com: Unavailable
toddsbathtubs.com: Unavailable
thebestrefinishing.com: Unavailable
bathtubmadenew.com: Unavailable
armoglazeservice.com: Unavailable
tub-guy.com: Unavailable
ucoatit.com: Unavailable
tubzz.com: Unavailable
thetubguys.net: Unavailable
carillonrugs.com: Unavailable
thetubguys757.com: Unavailable
igloosurfaces.com: Unavailable
resurfacingsolutions.net: Unavailable
thebathtubdoctor.com: Unavailable
24hourbath.com: Unavailable
bathtubandtilerestoration.com: Unavailable
tilerestoration.com: Unavailable
klasskote.com: Unavailable
empresafloors.com: Unavailable
bathrefinishingresource.com: Unavailable
powerpaintingplus.com: Unavailable
usacountertopsmass.com: Unavailable
decorative-coating.com: Unavailable
aaatubntile.com: Unavailable
abathreglazing.com: Unavailable
aandjresurfacing.com: Unavailable
bathtubrefinishingco.net: Unavailable
probathtubrefinishing.com: Unavailable
renewitrefinishing.com: Unavailable
reglazingsolutions.com: Unavailable
nycreglazing.com: Unavailable
reglazingco.com: Unavailable
bathtubreglazinglb.com: Unavailable
bathtubrestorations.com: Unavailable
amazingreglazingg.com: Unavailable
eleganttubtilerefinishing.com: Unavailable
whitetubs.com: Unavailable
azulejossola.co.uk: Unavailable
armorkote.net: Unavailable
brooklyntubrefinishing.com: Unavailable
patty.plus: Unavailable
renewyourtub.com: Unavailable
jrcoatingtechnologies.com: Unavailable
baufix-online.com: Unavailable
wrenthambathrooms.com: Unavailable
kelloggsporcelain.com: Unavailable
hudsontubs.com: Unavailable
newarktubreglazing.com: Unavailable
keystoneresurfacing.com: Unavailable
sacramentobathtubrefinishing.org: Unavailable
allin1coatings.com: Unavailable
fantasticresurfacing.com.au: Unavailable
wrenthambathtubs.com: Unavailable
tiptoprestorations.com: Unavailable
advancedreglazing.com: Unavailable
ohiotubpros.com: Unavailable
frankensteinrefinishing.com: Unavailable
paintedotter.com: Unavailable
enduringsurface.com: Unavailable
proreglaze.com: Unavailable
anamazingreglazingq.com: Unavailable
pmcabathrooms.com: Unavailable
familyhandyman.com: Unavailable
vintagetub.com: Unavailable
blockrenovation.com: Unavailable
daichcoatings.com: Unavailable
ibathtub.com: Unavailable
thegroutmedic.com: Unavailable
greatbuildz.com: Unavailable
paintritepros.com: Unavailable
gettilesonline.com.au: Unavailable
all.biz: Unavailable
streamlinebath.com: Unavailable
setileconnection.com: Unavailable
surfaceexperts.com: Unavailable
tandlinternational.com: Unavailable
surface-renew.com: Unavailable
correctcaulking.com.au: Unavailable
nationalplastics.co.uk: Unavailable
stonerestorationworks.com: Unavailable
simplepracticalbeautiful.com: Unavailable
peachpainting.com: Unavailable
bath-works.net: Unavailable
acamporainteriors.com: Unavailable
roperrhodes.co.uk: Unavailable
jeweledinteriors.com: Unavailable
hambletonhandyman.com: Unavailable
seiffertlumber.com: Unavailable
getagrip.com: Unavailable
trustedpros.ca: Unavailable
aosom.ca: Unavailable
georgebathroom.com: Unavailable
thebesttileinstallation.com: Unavailable
ctasc.com: Unavailable
drench.co.uk: Unavailable
bngremodel.com: Unavailable
jandjconstruction.com: Unavailable
homeimprovementskansascity.com: Unavailable
panelcompany.co.uk: Unavailable
smartcret.com: Unavailable
semcofl.com: Unavailable
serviceteam.co.uk: Unavailable
theinteriorsaddict.com: Unavailable
carpetoutlets.net: Unavailable
columbusbathdesign.com: Unavailable
monarchpainting.com.au: Unavailable
bathprofessional.com: Unavailable
rihi.com: Unavailable
lavishceramics.com: Unavailable
bathtubrefinishingstore.com: Unavailable
\[suspicious link removed\]: Unavailable
n2n.la: Unavailable
rivercityboston.com: Unavailable
arlandriafloors.com: Unavailable
seattlebathtubguy.com: Unavailable
lifespanhi.com: Unavailable
homelivinghandbook.com: Unavailable
foxvalleybathtubrefinishing.com: Unavailable
porcelainsuperstore.co.uk: Unavailable
tileoutlet.net: Unavailable
ultrabathroom.com: Unavailable
superiorbathtubrefinishing.com: Unavailable
bathtubguys.com: Unavailable
renukrete.com: Unavailable
paintpositive.com: Unavailable
premierrefinishing.net: Unavailable
dsapone.com: Unavailable
tiledoctor.biz: Unavailable
bathroomwerx.com.au: Unavailable
californiatilerestoration.com: Unavailable
seamlessoverlays.com: Unavailable
foremansnags.com: Unavailable
somathomeremodeling.com: Unavailable
southingtonpainting.com: Unavailable
accurateplumbingtx.com: Unavailable
bathrenovationhq.com: Unavailable
gouldpaintingwny.com: Unavailable
cincottitile.com: Unavailable
ftworthrefinishing.com: Unavailable
mrresurface.com: Unavailable
stone3.com.au: Unavailable
bathtubrefinishingtulsa.com: Unavailable
classicallyjill.com: Unavailable
borobathrooms.co.uk: Unavailable
a1reglaze.com: Unavailable
re-surfacepro.com: Unavailable
bathroomremodeleriepa.com: Unavailable
capsulegallery.com: Unavailable
tubnshower.com: Unavailable
mayfairbuildinggroup.com.au: Unavailable
thebathtubguy.com: Unavailable
capitalbathrooms.com.au: Unavailable
amazingtubsreglaze.com: Unavailable
losangelesbathtubreglazing.webflow.io: Unavailable
dallastubrefinishing.com: Unavailable
floridatubreglazing.com: Unavailable
alfredosrefinish.com: Unavailable
johnsonflooringtn.com: Unavailable
winchestertileservice.com: Unavailable
rksbathtubandtilerestorations.com: Unavailable
strivetilereglazing.com: Unavailable
reglazinglosangeles0.yolasite.com: Unavailable
aaarefinishing.com: Unavailable</v>
      </c>
      <c r="K151" s="1" t="s">
        <v>13885</v>
      </c>
    </row>
    <row r="152" ht="12.75" customHeight="1">
      <c r="C152" s="40" t="s">
        <v>13914</v>
      </c>
      <c r="D152" s="1">
        <v>0.15</v>
      </c>
      <c r="E152" s="1">
        <v>7.0</v>
      </c>
      <c r="F152" s="1">
        <v>89.0</v>
      </c>
      <c r="G152" s="41">
        <v>1.0</v>
      </c>
      <c r="H152" s="1">
        <v>0.0</v>
      </c>
      <c r="I152" s="1">
        <v>0.0</v>
      </c>
      <c r="J152" s="17" t="str">
        <f>IFERROR(__xludf.DUMMYFUNCTION("(GEMINI(""go into the website and search for about us or contact page and pull in the City and State that this website or company is based from"", C152:C546))"),"* simprobda.com: Bermuda,
  * uglytub.com: Chicago, IL
  * prontorefinishing.com: Anaheim, CA; Belmont Shores, CA; Beverly Hills, CA; Brentwood, CA; Buena Park, CA; Carson, CA; Cerritos, CA; Culver City, CA; Manhattan Beach, CA
  * jemcoreglazers.com: Fai"&amp;"rfield, NJ; Toms River, NJ; Trenton, NJ; Hamilton, NJ")</f>
        <v>* simprobda.com: Bermuda,
  * uglytub.com: Chicago, IL
  * prontorefinishing.com: Anaheim, CA; Belmont Shores, CA; Beverly Hills, CA; Brentwood, CA; Buena Park, CA; Carson, CA; Cerritos, CA; Culver City, CA; Manhattan Beach, CA
  * jemcoreglazers.com: Fairfield, NJ; Toms River, NJ; Trenton, NJ; Hamilton, NJ</v>
      </c>
      <c r="K152" s="1" t="s">
        <v>13885</v>
      </c>
    </row>
    <row r="153" ht="12.75" customHeight="1">
      <c r="C153" s="40" t="s">
        <v>13915</v>
      </c>
      <c r="D153" s="1">
        <v>0.14</v>
      </c>
      <c r="E153" s="1">
        <v>6.0</v>
      </c>
      <c r="F153" s="1">
        <v>51.0</v>
      </c>
      <c r="G153" s="41">
        <v>1.0</v>
      </c>
      <c r="H153" s="1">
        <v>3.0</v>
      </c>
      <c r="I153" s="1">
        <v>0.0</v>
      </c>
      <c r="J153" s="17" t="str">
        <f>IFERROR(__xludf.DUMMYFUNCTION("(GEMINI(""go into the website and search for about us or contact page and pull in the City and State that this website or company is based from"", C153:C547))"),"Please specify which website address you would like me to search.")</f>
        <v>Please specify which website address you would like me to search.</v>
      </c>
      <c r="K153" s="1" t="s">
        <v>13885</v>
      </c>
    </row>
    <row r="154" ht="12.75" hidden="1" customHeight="1">
      <c r="C154" s="40" t="s">
        <v>13916</v>
      </c>
      <c r="D154" s="1">
        <v>0.07</v>
      </c>
      <c r="E154" s="1">
        <v>21.0</v>
      </c>
      <c r="F154" s="1">
        <v>2206.0</v>
      </c>
      <c r="G154" s="41">
        <v>501.0</v>
      </c>
      <c r="H154" s="1">
        <v>2194.0</v>
      </c>
      <c r="I154" s="1">
        <v>4.0</v>
      </c>
      <c r="J154" s="17" t="str">
        <f>IFERROR(__xludf.DUMMYFUNCTION("(GEMINI(""go into the website and search for about us or contact page and pull in the City and State that this website or company is based from"", C154:C548))"),"Chicago, IL")</f>
        <v>Chicago, IL</v>
      </c>
    </row>
    <row r="155" ht="12.75" customHeight="1">
      <c r="C155" s="40" t="s">
        <v>13917</v>
      </c>
      <c r="D155" s="1">
        <v>0.08</v>
      </c>
      <c r="E155" s="1">
        <v>3.0</v>
      </c>
      <c r="F155" s="1">
        <v>88.0</v>
      </c>
      <c r="G155" s="41">
        <v>1.0</v>
      </c>
      <c r="H155" s="1">
        <v>0.0</v>
      </c>
      <c r="I155" s="1">
        <v>0.0</v>
      </c>
      <c r="J155" s="17" t="str">
        <f>IFERROR(__xludf.DUMMYFUNCTION("(GEMINI(""go into the website and search for about us or contact page and pull in the City and State that this website or company is based from"", C155:C549))"),"New York, New York")</f>
        <v>New York, New York</v>
      </c>
      <c r="K155" s="1" t="s">
        <v>13885</v>
      </c>
    </row>
    <row r="156" ht="12.75" hidden="1" customHeight="1">
      <c r="C156" s="40" t="s">
        <v>13918</v>
      </c>
      <c r="D156" s="1">
        <v>0.07</v>
      </c>
      <c r="E156" s="1">
        <v>12.0</v>
      </c>
      <c r="F156" s="1">
        <v>853.0</v>
      </c>
      <c r="G156" s="41">
        <v>178.0</v>
      </c>
      <c r="H156" s="1">
        <v>877.0</v>
      </c>
      <c r="I156" s="1">
        <v>0.0</v>
      </c>
      <c r="J156" s="17" t="str">
        <f>IFERROR(__xludf.DUMMYFUNCTION("(GEMINI(""go into the website and search for about us or contact page and pull in the City and State that this website or company is based from"", C156:C550))"),"| NO\_HEADER                            | City                                                                                                                                                | State      |
| :-----------------------------------: | :-------"&amp;"------------------------------------------------------------------------------------------------------------------------------------------: | :--------: |
| jemcoreglazers.com                    | Fairfield, Toms River                                     "&amp;"                                                                                          | NJ         |
| amazingreglazingri.com                | Coventry                                                                                                    "&amp;"                                        | RI         |
| shinytubreglazing.com                 | New York City (also serving Brooklyn, Long Island, Queens, Bronx, Westchester County, Connecticut, Dutchess County, Putnam County, Rockland County) | NY, RI, "&amp;"CT |
| simplyreglaze.com                     | Burbank, Anaheim, Camarillo, San Diego                                                                                                              | CA         |
| diamondreglazing.com                  | Que"&amp;"ens, Brooklyn, Bronx, NYC                                                                                                                        | NY         |
| tubcoaters.com                        |                                                      "&amp;"                                                                                               |            |
| allnewtub.com                         |                                                                                                        "&amp;"                                             |            |
| anthonysreglazing.com                 |                                                                                                                                                     |    "&amp;"        |
| chicagotubandtile.com                 |                                                                                                                                                     |            |
| excellencereglazing.com               "&amp;"|                                                                                                                                                     |            |
| surfacerenew.net                      |                                                 "&amp;"                                                                                                    |            |
| stlreglazing.com                      |                                                                                                   "&amp;"                                                  |            |
| americantubreglazing.com              |                                                                                                                                                     "&amp;"|            |
| resurfacelouisville.com               |                                                                                                                                                     |            |
| amazingtileandtubreglazing.com   "&amp;"     |                                                                                                                                                     |            |
| rubadubtubreglazing.com               |                                            "&amp;"                                                                                                         |            |
| kcreglazing.com                       |                                                                                              "&amp;"                                                       |            |
| torresconstructionpainting.com        |                                                                                                                                                "&amp;"     |            |
| topreglazing.com                      |                                                                                                                                                     |            |
| standardbathtubreglazing.com"&amp;"          |                                                                                                                                                     |            |
| topkote.com                           |                                       "&amp;"                                                                                                              |            |
| specializedrefinishing.com            |                                                                                         "&amp;"                                                            |            |
| jetsglazing.com                       |                                                                                                                                           "&amp;"          |            |
| thesurfacedoctors.com                 |                                                                                                                                                     |            |
| refinishing-pros.com   "&amp;"               |                                                                                                                                                     |            |
| tubfusion.com                         |                                  "&amp;"                                                                                                                   |            |
| bathtubdenver.net                     |                                                                                    "&amp;"                                                                 |            |
| bathrefinishingsolutions.com          |                                                                                                                                      "&amp;"               |            |
| baystaterefinishing.com               |                                                                                                                                                     |            |
| bathtubresurfacing"&amp;"site.com            |                                                                                                                                                     |            |
| supremebathrefinishing.com            |                             "&amp;"                                                                                                                        |            |
| rapidrefinishingco.com                |                                                                               "&amp;"                                                                      |            |
| njbathtubrefinishers.com              |                                                                                                                                 "&amp;"                    |            |
| refinishedbathsolutions.com           |                                                                                                                                                     |            |
| bathinnovatio"&amp;"ns.com                   |                                                                                                                                                     |            |
| hightechreglazing.com                 |                        "&amp;"                                                                                                                             |            |
| wvhbathtub.com                        |                                                                          "&amp;"                                                                           |            |
| smartfloorsusa.com                    |                                                                                                                            "&amp;"                         |            |
| splashreglazing.com                   |                                                                                                                                                     |            |
| durafini"&amp;"sh.net                        |                                                                                                                                                     |            |
| camposbathtub.com                     |                   "&amp;"                                                                                                                                  |            |
| servicedoctor.net                     |                                                                     "&amp;"                                                                                |            |
| permaglazetx.com                      |                                                                                                                       "&amp;"                              |            |
| adamovreglazing.com                   |                                                                                                                                                     |            |
| myr"&amp;"efreshrefinishing.com              |                                                                                                                                                     |            |
| suncoasttubandtilerefinishing.com     |              "&amp;"                                                                                                                                       |            |
| europeanreglazing.com                 |                                                                "&amp;"                                                                                     |            |
| amazingrefinishing.com                |                                                                                                                  "&amp;"                                   |            |
| anthonysreglazingfl.com               |                                                                                                                                                     |            |
"&amp;"| tufftubrefinishing.com                |                                                                                                                                                     |            |
| ogdenbathtubrefinishing.com           |         "&amp;"                                                                                                                                            |            |
| chipstubandtilerefinish.com           |                                                           "&amp;"                                                                                          |            |
| austintubsurgeon.com                  |                                                                                                             "&amp;"                                        |            |
| bathtubrefinishinglondon.com          |                                                                                                                                                     |         "&amp;"   |
| finishpro360.com                      |                                                                                                                                                     |            |
| absolutetub.com                       |    "&amp;"                                                                                                                                                 |            |
| alltubsky.com                         |                                                      "&amp;"                                                                                               |            |
| jannetintl.com                        |                                                                                                        "&amp;"                                             |            |
| keybathroomtilerestoration.com        |                                                                                                                                                     |    "&amp;"        |
| bathtub-master.com                    |                                                                                                                                                     |            |
| tubbydiy.com                          "&amp;"|                                                                                                                                                     |            |
| gandhresurfacing.com                  |                                                 "&amp;"                                                                                                    |            |
| bathtubrefinishingca.com              |                                                                                                   "&amp;"                                                  |            |
| bathtubrefinishingtampa.net           |                                                                                                                                                     "&amp;"|            |
| bathtubrefinishingdallas.com          |                                                                                                                                                     |            |
| brooksbrothershandyman.com       "&amp;"     |                                                                                                                                                     |            |
| bathremodelingraleighnc.com           |                                            "&amp;"                                                                                                         |            |
| napcoltd.com                          |                                                                                              "&amp;"                                                       |            |
| affordabletubrefinishingtx.com        |                                                                                                                                                "&amp;"     |            |
| topnotchhardwoodfloors.com            |                                                                                                                                                     |            |
| boiserefinishing.com        "&amp;"          |                                                                                                                                                     |            |
| permacerambathroom.com                |                                       "&amp;"                                                                                                              |            |
| longislandtubrefinishing.com          |                                                                                         "&amp;"                                                            |            |
| floridarefinishing.com                |                                                                                                                                           "&amp;"          |            |
| scvfloorsmith.com                     |                                                                                                                                                     |            |
| combath.com            "&amp;"               |                                                                                                                                                     |            |
| marylandtubntile.com                  |                                  "&amp;"                                                                                                                   |            |
| dallastubpros.com                     |                                                                                    "&amp;"                                                                 |            |
| coloradotubrepair.com                 |                                                                                                                                      "&amp;"               |            |
| renov8co.com                          |                                                                                                                                                     |            |
| tubguyrefinishing."&amp;"com                 |                                                                                                                                                     |            |
| dallasbathtubrefinishing.com          |                             "&amp;"                                                                                                                        |            |
| yournewtubs.com                       |                                                                               "&amp;"                                                                      |            |
| welspunflooring.com                   |                                                                                                                                 "&amp;"                    |            |
| whiteglovereglazing.com               |                                                                                                                                                     |            |
| uniquerefinis"&amp;"hers.com                 |                                                                                                                                                     |            |
| reglazepros.com                       |                        "&amp;"                                                                                                                             |            |
| universaltile.net                     |                                                                          "&amp;"                                                                           |            |
| unitedtradelinks.com.au               |                                                                                                                            "&amp;"                         |            |
| bathroomsurfacesolutions.com          |                                                                                                                                                     |            |
| tampatub"&amp;"andtilerefinishing.com        |                                                                                                                                                     |            |
| paramount-reglaze.com                 |                   "&amp;"                                                                                                                                  |            |
| masterteckrepair.com                  |                                                                     "&amp;"                                                                                |            |
| thetubpros.com                        |                                                                                                                       "&amp;"                              |            |
| repelecarpet.com                      |                                                                                                                                                     |            |
| cec"&amp;"oncreteri.com                      |                                                                                                                                                     |            |
| sharprefinishing.com                  |              "&amp;"                                                                                                                                       |            |
| nu-tub.net                            |                                                                "&amp;"                                                                                     |            |
| idealrefinishing.com                  |                                                                                                                  "&amp;"                                   |            |
| sirgroutboston.com                    |                                                                                                                                                     |            |
"&amp;"| bathtubreglazinginc.com               |                                                                                                                                                     |            |
| connecticutreglazing.com              |         "&amp;"                                                                                                                                            |            |
| alisfinishingtouch.com                |                                                           "&amp;"                                                                                          |            |
| bathtubmagic.ca                       |                                                                                                             "&amp;"                                        |            |
| sauguscontractor.com                  |                                                                                                                                                     |         "&amp;"   |
| nuglaze.net                           |                                                                                                                                                     |            |
| armortechresurfacing.com              |    "&amp;"                                                                                                                                                 |            |
| idealresurfacing.com                  |                                                      "&amp;"                                                                                               |            |
| prestigerefinishers.com               |                                                                                                        "&amp;"                                             |            |
| drresurface.com                       |                                                                                                                                                     |    "&amp;"        |
| reglazeitnow.com                      |                                                                                                                                                     |            |
| amazingrefinishingfl.com              "&amp;"|                                                                                                                                                     |            |
| covebath.com                          |                                                 "&amp;"                                                                                                    |            |
| lakewood-tub-reglazing.com            |                                                                                                   "&amp;"                                                  |            |
| newsuperiortub.com                    |                                                                                                                                                     "&amp;"|            |
| menjivars-painting.com                |                                                                                                                                                     |            |
| allprorefinishing.com            "&amp;"     |                                                                                                                                                     |            |
| tubreglazers.com                      |                                            "&amp;"                                                                                                         |            |
| reglazingwow.ca                       |                                                                                              "&amp;"                                                       |            |
| greaterdfwrefinishers.com             |                                                                                                                                                "&amp;"     |            |
| spaceandhabit.com                     |                                                                                                                                                     |            |
| bathroomprosnj.com          "&amp;"          |                                                                                                                                                     |            |
| surfacespecialists.com                |                                       "&amp;"                                                                                                              |            |
| surfacespecialistsofdenver.com        |                                                                                         "&amp;"                                                            |            |
| mastercraftusa.com                    |                                                                                                                                           "&amp;"          |            |
| dalydigs.com                          |                                                                                                                                                     |            |
| originalstyle.com      "&amp;"               |                                                                                                                                                     |            |
| nytubs.com                            |                                  "&amp;"                                                                                                                   |            |
| freshlookrefinishing.com              |                                                                                    "&amp;"                                                                 |            |
| dwilpainting.com                      |                                                                                                                                      "&amp;"               |            |
| toddsbathtubs.com                     |                                                                                                                                                     |            |
| thebestrefinishing"&amp;".com                |                                                                                                                                                     |            |
| bathtubmadenew.com                    |                             "&amp;"                                                                                                                        |            |
| armoglazeservice.com                  |                                                                               "&amp;"                                                                      |            |
| tub-guy.com                           |                                                                                                                                 "&amp;"                    |            |
| ucoatit.com                           |                                                                                                                                                     |            |
| tubzz.com    "&amp;"                         |                                                                                                                                                     |            |
| thetubguys.net                        |                        "&amp;"                                                                                                                             |            |
| carillonrugs.com                      |                                                                          "&amp;"                                                                           |            |
| thetubguys757.com                     |                                                                                                                            "&amp;"                         |            |
| igloosurfaces.com                     |                                                                                                                                                     |            |
| resurfac"&amp;"ingsolutions.net              |                                                                                                                                                     |            |
| thebathtubdoctor.com                  |                   "&amp;"                                                                                                                                  |            |
| 24hourbath.com                        |                                                                     "&amp;"                                                                                |            |
| bathtubandtilerestoration.com         |                                                                                                                       "&amp;"                              |            |
| tilerestoration.com                   |                                                                                                                                                     |            |
| kla"&amp;"sskote.com                         |                                                                                                                                                     |            |
| empresafloors.com                     |              "&amp;"                                                                                                                                       |            |
| bathrefinishingresource.com           |                                                                "&amp;"                                                                                     |            |
| powerpaintingplus.com                 |                                                                                                                  "&amp;"                                   |            |
| usacountertopsmass.com                |                                                                                                                                                     |            |
"&amp;"| decorative-coating.com                |                                                                                                                                                     |            |
| aaatubntile.com                       |         "&amp;"                                                                                                                                            |            |
| abathreglazing.com                    |                                                           "&amp;"                                                                                          |            |
| aandjresurfacing.com                  |                                                                                                             "&amp;"                                        |            |
| bathtubrefinishingco.net              |                                                                                                                                                     |         "&amp;"   |
| probathtubrefinishing.com             |                                                                                                                                                     |            |
| renewitrefinishing.com                |    "&amp;"                                                                                                                                                 |            |
| reglazingsolutions.com                |                                                      "&amp;"                                                                                               |            |
| nycreglazing.com                      |                                                                                                        "&amp;"                                             |            |
| reglazingco.com                       |                                                                                                                                                     |    "&amp;"        |
| bathtubreglazinglb.com                |                                                                                                                                                     |            |
| bathtubrestorations.com               "&amp;"|                                                                                                                                                     |            |
| amazingreglazingg.com                 |                                                 "&amp;"                                                                                                    |            |
| eleganttubtilerefinishing.com         |                                                                                                   "&amp;"                                                  |            |
| whitetubs.com                         |                                                                                                                                                     "&amp;"|            |
| azulejossola.co.uk                    |                                                                                                                                                     |            |
| armorkote.net                    "&amp;"     |                                                                                                                                                     |            |
| brooklyntubrefinishing.com            |                                            "&amp;"                                                                                                         |            |
| patty.plus                            |                                                                                              "&amp;"                                                       |            |
| renewyourtub.com                      |                                                                                                                                                "&amp;"     |            |
| jrcoatingtechnologies.com             |                                                                                                                                                     |            |
| baufix-online.com           "&amp;"          |                                                                                                                                                     |            |
| wrenthambathrooms.com                 |                                       "&amp;"                                                                                                              |            |
| kelloggsporcelain.com                 |                                                                                         "&amp;"                                                            |            |
| hudsontubs.com                        |                                                                                                                                           "&amp;"          |            |
| newarktubreglazing.com                |                                                                                                                                                     |            |
| keystoneresurfacing.com"&amp;"               |                                                                                                                                                     |            |
| sacramentobathtubrefinishing.org      |                                  "&amp;"                                                                                                                   |            |
| allin1coatings.com                    |                                                                                    "&amp;"                                                                 |            |
| fantasticresurfacing.com.au           |                                                                                                                                      "&amp;"               |            |
| wrenthambathtubs.com                  |                                                                                                                                                     |            |
| tiptoprestorations"&amp;".com                |                                                                                                                                                     |            |
| advancedreglazing.com                 |                             "&amp;"                                                                                                                        |            |
| ohiotubpros.com                       |                                                                               "&amp;"                                                                      |            |
| frankensteinrefinishing.com           |                                                                                                                                 "&amp;"                    |            |
| paintedotter.com                      |                                                                                                                                                     |            |
| enduringsurfa"&amp;"ce.com                   |                                                                                                                                                     |            |
| proreglaze.com                        |                        "&amp;"                                                                                                                             |            |
| anamazingreglazingq.com               |                                                                          "&amp;"                                                                           |            |
| pmcabathrooms.com                     |                                                                                                                            "&amp;"                         |            |
| familyhandyman.com                    |                                                                                                                                                     |            |
| vintaget"&amp;"ub.com                        |                                                                                                                                                     |            |
| blockrenovation.com                   |                   "&amp;"                                                                                                                                  |            |
| daichcoatings.com                     |                                                                     "&amp;"                                                                                |            |
| ibathtub.com                          |                                                                                                                       "&amp;"                              |            |
| thegroutmedic.com                     |                                                                                                                                                     |            |
| gre"&amp;"atbuildz.com                       |                                                                                                                                                     |            |
| paintritepros.com                     |              "&amp;"                                                                                                                                       |            |
| gettilesonline.com.au                 |                                                                "&amp;"                                                                                     |            |
| all.biz                               |                                                                                                                  "&amp;"                                   |            |
| streamlinebath.com                    |                                                                                                                                                     |            |
"&amp;"| setileconnection.com                  |                                                                                                                                                     |            |
| surfaceexperts.com                    |         "&amp;"                                                                                                                                            |            |
| tandlinternational.com                |                                                           "&amp;"                                                                                          |            |
| surface-renew.com                     |                                                                                                             "&amp;"                                        |            |
| correctcaulking.com.au                |                                                                                                                                                     |         "&amp;"   |
| nationalplastics.co.uk                |                                                                                                                                                     |            |
| stonerestorationworks.com             |    "&amp;"                                                                                                                                                 |            |
| simplepracticalbeautiful.com          |                                                      "&amp;"                                                                                               |            |
| peachpainting.com                     |                                                                                                        "&amp;"                                             |            |
| bath-works.net                        |                                                                                                                                                     |    "&amp;"        |
| acamporainteriors.com                 |                                                                                                                                                     |            |
| roperrhodes.co.uk                     "&amp;"|                                                                                                                                                     |            |
| jeweledinteriors.com                  |                                                 "&amp;"                                                                                                    |            |
| hambletonhandyman.com                 |                                                                                                   "&amp;"                                                  |            |
| seiffertlumber.com                    |                                                                                                                                                     "&amp;"|            |
| getagrip.com                          |                                                                                                                                                     |            |
| trustedpros.ca                   "&amp;"     |                                                                                                                                                     |            |
| aosom.ca                              |                                            "&amp;"                                                                                                         |            |
| georgebathroom.com                    |                                                                                              "&amp;"                                                       |            |
| thebesttileinstallation.com           |                                                                                                                                                "&amp;"     |            |
| ctasc.com                             |                                                                                                                                                     |            |
| drench.co.uk                "&amp;"          |                                                                                                                                                     |            |
| bngremodel.com                        |                                       "&amp;"                                                                                                              |            |
| jandjconstruction.com                 |                                                                                         "&amp;"                                                            |            |
| homeimprovementskansascity.com        |                                                                                                                                           "&amp;"          |            |
| panelcompany.co.uk                    |                                                                                                                                                     |            |
| smartcret.com          "&amp;"               |                                                                                                                                                     |            |
| semcofl.com                           |                                  "&amp;"                                                                                                                   |            |
| serviceteam.co.uk                     |                                                                                    "&amp;"                                                                 |            |
| theinteriorsaddict.com                |                                                                                                                                      "&amp;"               |            |
| carpetoutlets.net                     |                                                                                                                                                     |            |
| columbusbathdesign"&amp;".com                |                                                                                                                                                     |            |
| monarchpainting.com.au                |                             "&amp;"                                                                                                                        |            |
| bathprofessional.com                  |                                                                               "&amp;"                                                                      |            |
| rihi.com                              |                                                                                                                                 "&amp;"                    |            |
| lavishceramics.com                    |                                                                                                                                                     |            |
| bathtubrefini"&amp;"shingstore.com           |                                                                                                                                                     |            |
| \[suspicious link removed\]           |                        "&amp;"                                                                                                                             |            |
| n2n.la                                |                                                                          "&amp;"                                                                           |            |
| rivercityboston.com                   |                                                                                                                            "&amp;"                         |            |
| arlandriafloors.com                   |                                                                                                                                                     |            |
| seattleb"&amp;"athtubguy.com                 |                                                                                                                                                     |            |
| lifespanhi.com                        |                   "&amp;"                                                                                                                                  |            |
| homelivinghandbook.com                |                                                                     "&amp;"                                                                                |            |
| foxvalleybathtubrefinishing.com       |                                                                                                                       "&amp;"                              |            |
| porcelainsuperstore.co.uk             |                                                                                                                                                     |            |
| til"&amp;"eoutlet.net                        |                                                                                                                                                     |            |
| ultrabathroom.com                     |              "&amp;"                                                                                                                                       |            |
| superiorbathtubrefinishing.com        |                                                                "&amp;"                                                                                     |            |
| bathtubguys.com                       |                                                                                                                  "&amp;"                                   |            |
| renukrete.com                         |                                                                                                                                                     |            |
"&amp;"| paintpositive.com                     |                                                                                                                                                     |            |
| premierrefinishing.net                |         "&amp;"                                                                                                                                            |            |
| dsapone.com                           |                                                           "&amp;"                                                                                          |            |
| tiledoctor.biz                        |                                                                                                             "&amp;"                                        |            |
| bathroomwerx.com.au                   |                                                                                                                                                     |         "&amp;"   |
| californiatilerestoration.com         |                                                                                                                                                     |            |
| seamlessoverlays.com                  |    "&amp;"                                                                                                                                                 |            |
| foremansnags.com                      |                                                      "&amp;"                                                                                               |            |
| somathomeremodeling.com               |                                                                                                        "&amp;"                                             |            |
| southingtonpainting.com               |                                                                                                                                                     |    "&amp;"        |
| accurateplumbingtx.com                |                                                                                                                                                     |            |
| bathrenovationhq.com                  "&amp;"|                                                                                                                                                     |            |
| gouldpaintingwny.com                  |                                                 "&amp;"                                                                                                    |            |
| cincottitile.com                      |                                                                                                   "&amp;"                                                  |            |
| ftworthrefinishing.com                |                                                                                                                                                     "&amp;"|            |
| mrresurface.com                       |                                                                                                                                                     |            |
| stone3.com.au                    "&amp;"     |                                                                                                                                                     |            |
| bathtubrefinishingtulsa.com           |                                            "&amp;"                                                                                                         |            |
| classicallyjill.com                   |                                                                                              "&amp;"                                                       |            |
| borobathrooms.co.uk                   |                                                                                                                                                "&amp;"     |            |
| a1reglaze.com                         |                                                                                                                                                     |            |
| re-surfacepro.com           "&amp;"          |                                                                                                                                                     |            |
| bathroomremodeleriepa.com             |                                       "&amp;"                                                                                                              |            |
| capsulegallery.com                    |                                                                                         "&amp;"                                                            |            |
| tubnshower.com                        |                                                                                                                                           "&amp;"          |            |
| mayfairbuildinggroup.com.au           |                                                                                                                                                     |            |
| thebathtubguy.com      "&amp;"               |                                                                                                                                                     |            |
| capitalbathrooms.com.au               |                                  "&amp;"                                                                                                                   |            |
| amazingtubsreglaze.com                |                                                                                    "&amp;"                                                                 |            |
| losangelesbathtubreglazing.webflow.io |                                                                                                                                      "&amp;"               |            |
| dallastubrefinishing.com              |                                                                                                                                                     |            |
| floridatubreglazin"&amp;"g.com               |                                                                                                                                                     |            |
| alfredosrefinish.com                  |                             "&amp;"                                                                                                                        |            |
| johnsonflooringtn.com                 |                                                                               "&amp;"                                                                      |            |
| winchestertileservice.com             |                                                                                                                                 "&amp;"                    |            |
| rksbathtubandtilerestorations.com     |                                                                                                                                                     |            |
| strivetilereg"&amp;"lazing.com               |                                                                                                                                                     |            |
| reglazinglosangeles0.yolasite.com     |                        "&amp;"                                                                                                                             |            |
| aaarefinishing.com                    |                                                                          "&amp;"                                                                           |            |
|                                       |                                                                                                                            "&amp;"                         |            |
|                                       |                                                                                                                                                     |            |
|         "&amp;"                              |                                                                                                                                                     |            |
|                                       |                   "&amp;"                                                                                                                                  |            |
|                                       |                                                                     "&amp;"                                                                                |            |
|                                       |                                                                                                                       "&amp;"                              |            |
|                                       |                                                                                                                                                     |            |
|    "&amp;"                                   |                                                                                                                                                     |            |
|                                       |              "&amp;"                                                                                                                                       |            |
|                                       |                                                                "&amp;"                                                                                     |            |
|                                       |                                                                                                                  "&amp;"                                   |            |
|                                       |                                                                                                                                                     |            |
"&amp;"|                                       |                                                                                                                                                     |            |
|                                       |         "&amp;"                                                                                                                                            |            |
|                                       |                                                           "&amp;"                                                                                          |            |
|                                       |                                                                                                             "&amp;"                                        |            |
|                                       |                                                                                                                                                     |         "&amp;"   |
|                                       |                                                                                                                                                     |            |
|                                       |    "&amp;"                                                                                                                                                 |            |
|                                       |                                                      "&amp;"                                                                                               |            |
|                                       |                                                                                                        "&amp;"                                             |            |
|                                       |                                                                                                                                                     |    "&amp;"        |
|                                       |                                                                                                                                                     |            |
|                                       "&amp;"|                                                                                                                                                     |            |
|                                       |                                                 "&amp;"                                                                                                    |            |
|                                       |                                                                                                   "&amp;"                                                  |            |
|                                       |                                                                                                                                                     "&amp;"|            |
|                                       |                                                                                                                                                     |            |
|                                  "&amp;"     |                                                                                                                                                     |            |
|                                       |                                            "&amp;"                                                                                                         |            |
|                                       |                                                                                              "&amp;"                                                       |            |
|                                       |                                                                                                                                                "&amp;"     |            |
|                                       |                                                                                                                                                     |            |
|                             "&amp;"          |                                                                                                                                                     |            |
|                                       |                                       "&amp;"                                                                                                              |            |
|                                       |                                                                                         "&amp;"                                                            |            |
|                                       |                                                                                                                                           "&amp;"          |            |
|                                       |                                                                                                                                                     |            |
|                        "&amp;"               |                                                                                                                                                     |            |
|                                       |                                  "&amp;"                                                                                                                   |            |
|                                       |                                                                                    "&amp;"                                                                 |            |
|                                       |                                                                                                                                      "&amp;"               |            |
|                                       |                                                                                                                                                     |            |
|                   "&amp;"                    |                                                                                                                                                     |            |
|                                       |                             "&amp;"                                                                                                                        |            |
|                                       |                                                                               "&amp;"                                                                      |            |
|                                       |                                                                                                                                 "&amp;"                    |            |
|                                       |                                                                                                                                                     |            |
|              "&amp;"                         |                                                                                                                                                     |            |
|                                       |                        "&amp;"                                                                                                                             |            |
|                                       |                                                                          "&amp;"                                                                           |            |
|                                       |                                                                                                                            "&amp;"                         |            |
|                                       |                                                                                                                                                     |            |
|         "&amp;"                              |                                                                                                                                                     |            |
|                                       |                   "&amp;"                                                                                                                                  |            |
|                                       |                                                                     "&amp;"                                                                                |            |
|                                       |                                                                                                                       "&amp;"                              |            |
|                                       |                                                                                                                                                     |            |
|    "&amp;"                                   |                                                                                                                                                     |            |
|                                       |              "&amp;"                                                                                                                                       |            |
|                                       |                                                                "&amp;"                                                                                     |            |
|                                       |                                                                                                                  "&amp;"                                   |            |
|                                       |                                                                                                                                                     |            |
"&amp;"|                                       |                                                                                                                                                     |            |
|                                       |         "&amp;"                                                                                                                                            |            |
|                                       |                                                           "&amp;"                                                                                          |            |
|                                       |                                                                                                             "&amp;"                                        |            |
|                                       |                                                                                                                                                     |         "&amp;"   |
|                                       |                                                                                                                                                     |            |
|                                       |    "&amp;"                                                                                                                                                 |            |
|                                       |                                                      "&amp;"                                                                                               |            |
|                                       |                                                                                                        "&amp;"                                             |            |
|                                       |                                                                                                                                                     |    "&amp;"        |
|                                       |                                                                                                                                                     |            |
|                                       "&amp;"|                                                                                                                                                     |            |
|                                       |                                                 "&amp;"                                                                                                    |            |
|                                       |                                                                                                   "&amp;"                                                  |            |
|                                       |                                                                                                                                                     "&amp;"|            |
|                                       |                                                                                                                                                     |            |
|                                  "&amp;"     |                                                                                                                                                     |            |
|                                       |                                            "&amp;"                                                                                                         |            |
|                                       |                                                                                              "&amp;"                                                       |            |
|                                       |                                                                                                                                                "&amp;"     |            |
|                                       |                                                                                                                                                     |            |
|                             "&amp;"          |                                                                                                                                                     |            |
|                                       |                                       "&amp;"                                                                                                              |            |
|                                       |                                                                                         "&amp;"                                                            |            |
|                                       |                                                                                                                                           "&amp;"          |            |
|                                       |                                                                                                                                                     |            |
|                        "&amp;"               |                                                                                                                                                     |            |
|                                       |                                  "&amp;"                                                                                                                   |            |
|                                       |                                                                                    "&amp;"                                                                 |            |
|                                       |                                                                                                                                      "&amp;"               |            |
|                                       |                                                                                                                                                     |            |
|                   "&amp;"                    |                                                                                                                                                     |            |
|                                       |                             "&amp;"                                                                                                                        |            |
|                                       |                                                                               "&amp;"                                                                      |            |
|                                       |                                                                                                                                 "&amp;"                    |            |
|                                       |                                                                                                                                                     |            |
|              "&amp;"                         |                                                                                                                                                     |            |
|                                       |                        "&amp;"                                                                                                                             |            |
|                                       |                                                                          "&amp;"                                                                           |            |
|                                       |                                                                                                                            "&amp;"                         |            |
|                                       |                                                                                                                                                     |            |")</f>
        <v>| NO\_HEADER                            | City                                                                                                                                                | State      |
| :-----------------------------------: | :-------------------------------------------------------------------------------------------------------------------------------------------------: | :--------: |
| jemcoreglazers.com                    | Fairfield, Toms River                                                                                                                               | NJ         |
| amazingreglazingri.com                | Coventry                                                                                                                                            | RI         |
| shinytubreglazing.com                 | New York City (also serving Brooklyn, Long Island, Queens, Bronx, Westchester County, Connecticut, Dutchess County, Putnam County, Rockland County) | NY, RI, CT |
| simplyreglaze.com                     | Burbank, Anaheim, Camarillo, San Diego                                                                                                              | CA         |
| diamondreglazing.com                  | Queens, Brooklyn, Bronx, NYC                                                                                                                        | NY         |
| tubcoaters.com                        |                                                                                                                                                     |            |
| allnewtub.com                         |                                                                                                                                                     |            |
| anthonysreglazing.com                 |                                                                                                                                                     |            |
| chicagotubandtile.com                 |                                                                                                                                                     |            |
| excellencereglazing.com               |                                                                                                                                                     |            |
| surfacerenew.net                      |                                                                                                                                                     |            |
| stlreglazing.com                      |                                                                                                                                                     |            |
| americantubreglazing.com              |                                                                                                                                                     |            |
| resurfacelouisville.com               |                                                                                                                                                     |            |
| amazingtileandtubreglazing.com        |                                                                                                                                                     |            |
| rubadubtubreglazing.com               |                                                                                                                                                     |            |
| kcreglazing.com                       |                                                                                                                                                     |            |
| torresconstructionpainting.com        |                                                                                                                                                     |            |
| topreglazing.com                      |                                                                                                                                                     |            |
| standardbathtubreglazing.com          |                                                                                                                                                     |            |
| topkote.com                           |                                                                                                                                                     |            |
| specializedrefinishing.com            |                                                                                                                                                     |            |
| jetsglazing.com                       |                                                                                                                                                     |            |
| thesurfacedoctors.com                 |                                                                                                                                                     |            |
| refinishing-pros.com                  |                                                                                                                                                     |            |
| tubfusion.com                         |                                                                                                                                                     |            |
| bathtubdenver.net                     |                                                                                                                                                     |            |
| bathrefinishingsolutions.com          |                                                                                                                                                     |            |
| baystaterefinishing.com               |                                                                                                                                                     |            |
| bathtubresurfacingsite.com            |                                                                                                                                                     |            |
| supremebathrefinishing.com            |                                                                                                                                                     |            |
| rapidrefinishingco.com                |                                                                                                                                                     |            |
| njbathtubrefinishers.com              |                                                                                                                                                     |            |
| refinishedbathsolutions.com           |                                                                                                                                                     |            |
| bathinnovations.com                   |                                                                                                                                                     |            |
| hightechreglazing.com                 |                                                                                                                                                     |            |
| wvhbathtub.com                        |                                                                                                                                                     |            |
| smartfloorsusa.com                    |                                                                                                                                                     |            |
| splashreglazing.com                   |                                                                                                                                                     |            |
| durafinish.net                        |                                                                                                                                                     |            |
| camposbathtub.com                     |                                                                                                                                                     |            |
| servicedoctor.net                     |                                                                                                                                                     |            |
| permaglazetx.com                      |                                                                                                                                                     |            |
| adamovreglazing.com                   |                                                                                                                                                     |            |
| myrefreshrefinishing.com              |                                                                                                                                                     |            |
| suncoasttubandtilerefinishing.com     |                                                                                                                                                     |            |
| europeanreglazing.com                 |                                                                                                                                                     |            |
| amazingrefinishing.com                |                                                                                                                                                     |            |
| anthonysreglazingfl.com               |                                                                                                                                                     |            |
| tufftubrefinishing.com                |                                                                                                                                                     |            |
| ogdenbathtubrefinishing.com           |                                                                                                                                                     |            |
| chipstubandtilerefinish.com           |                                                                                                                                                     |            |
| austintubsurgeon.com                  |                                                                                                                                                     |            |
| bathtubrefinishinglondon.com          |                                                                                                                                                     |            |
| finishpro360.com                      |                                                                                                                                                     |            |
| absolutetub.com                       |                                                                                                                                                     |            |
| alltubsky.com                         |                                                                                                                                                     |            |
| jannetintl.com                        |                                                                                                                                                     |            |
| keybathroomtilerestoration.com        |                                                                                                                                                     |            |
| bathtub-master.com                    |                                                                                                                                                     |            |
| tubbydiy.com                          |                                                                                                                                                     |            |
| gandhresurfacing.com                  |                                                                                                                                                     |            |
| bathtubrefinishingca.com              |                                                                                                                                                     |            |
| bathtubrefinishingtampa.net           |                                                                                                                                                     |            |
| bathtubrefinishingdallas.com          |                                                                                                                                                     |            |
| brooksbrothershandyman.com            |                                                                                                                                                     |            |
| bathremodelingraleighnc.com           |                                                                                                                                                     |            |
| napcoltd.com                          |                                                                                                                                                     |            |
| affordabletubrefinishingtx.com        |                                                                                                                                                     |            |
| topnotchhardwoodfloors.com            |                                                                                                                                                     |            |
| boiserefinishing.com                  |                                                                                                                                                     |            |
| permacerambathroom.com                |                                                                                                                                                     |            |
| longislandtubrefinishing.com          |                                                                                                                                                     |            |
| floridarefinishing.com                |                                                                                                                                                     |            |
| scvfloorsmith.com                     |                                                                                                                                                     |            |
| combath.com                           |                                                                                                                                                     |            |
| marylandtubntile.com                  |                                                                                                                                                     |            |
| dallastubpros.com                     |                                                                                                                                                     |            |
| coloradotubrepair.com                 |                                                                                                                                                     |            |
| renov8co.com                          |                                                                                                                                                     |            |
| tubguyrefinishing.com                 |                                                                                                                                                     |            |
| dallasbathtubrefinishing.com          |                                                                                                                                                     |            |
| yournewtubs.com                       |                                                                                                                                                     |            |
| welspunflooring.com                   |                                                                                                                                                     |            |
| whiteglovereglazing.com               |                                                                                                                                                     |            |
| uniquerefinishers.com                 |                                                                                                                                                     |            |
| reglazepros.com                       |                                                                                                                                                     |            |
| universaltile.net                     |                                                                                                                                                     |            |
| unitedtradelinks.com.au               |                                                                                                                                                     |            |
| bathroomsurfacesolutions.com          |                                                                                                                                                     |            |
| tampatubandtilerefinishing.com        |                                                                                                                                                     |            |
| paramount-reglaze.com                 |                                                                                                                                                     |            |
| masterteckrepair.com                  |                                                                                                                                                     |            |
| thetubpros.com                        |                                                                                                                                                     |            |
| repelecarpet.com                      |                                                                                                                                                     |            |
| ceconcreteri.com                      |                                                                                                                                                     |            |
| sharprefinishing.com                  |                                                                                                                                                     |            |
| nu-tub.net                            |                                                                                                                                                     |            |
| idealrefinishing.com                  |                                                                                                                                                     |            |
| sirgroutboston.com                    |                                                                                                                                                     |            |
| bathtubreglazinginc.com               |                                                                                                                                                     |            |
| connecticutreglazing.com              |                                                                                                                                                     |            |
| alisfinishingtouch.com                |                                                                                                                                                     |            |
| bathtubmagic.ca                       |                                                                                                                                                     |            |
| sauguscontractor.com                  |                                                                                                                                                     |            |
| nuglaze.net                           |                                                                                                                                                     |            |
| armortechresurfacing.com              |                                                                                                                                                     |            |
| idealresurfacing.com                  |                                                                                                                                                     |            |
| prestigerefinishers.com               |                                                                                                                                                     |            |
| drresurface.com                       |                                                                                                                                                     |            |
| reglazeitnow.com                      |                                                                                                                                                     |            |
| amazingrefinishingfl.com              |                                                                                                                                                     |            |
| covebath.com                          |                                                                                                                                                     |            |
| lakewood-tub-reglazing.com            |                                                                                                                                                     |            |
| newsuperiortub.com                    |                                                                                                                                                     |            |
| menjivars-painting.com                |                                                                                                                                                     |            |
| allprorefinishing.com                 |                                                                                                                                                     |            |
| tubreglazers.com                      |                                                                                                                                                     |            |
| reglazingwow.ca                       |                                                                                                                                                     |            |
| greaterdfwrefinishers.com             |                                                                                                                                                     |            |
| spaceandhabit.com                     |                                                                                                                                                     |            |
| bathroomprosnj.com                    |                                                                                                                                                     |            |
| surfacespecialists.com                |                                                                                                                                                     |            |
| surfacespecialistsofdenver.com        |                                                                                                                                                     |            |
| mastercraftusa.com                    |                                                                                                                                                     |            |
| dalydigs.com                          |                                                                                                                                                     |            |
| originalstyle.com                     |                                                                                                                                                     |            |
| nytubs.com                            |                                                                                                                                                     |            |
| freshlookrefinishing.com              |                                                                                                                                                     |            |
| dwilpainting.com                      |                                                                                                                                                     |            |
| toddsbathtubs.com                     |                                                                                                                                                     |            |
| thebestrefinishing.com                |                                                                                                                                                     |            |
| bathtubmadenew.com                    |                                                                                                                                                     |            |
| armoglazeservice.com                  |                                                                                                                                                     |            |
| tub-guy.com                           |                                                                                                                                                     |            |
| ucoatit.com                           |                                                                                                                                                     |            |
| tubzz.com                             |                                                                                                                                                     |            |
| thetubguys.net                        |                                                                                                                                                     |            |
| carillonrugs.com                      |                                                                                                                                                     |            |
| thetubguys757.com                     |                                                                                                                                                     |            |
| igloosurfaces.com                     |                                                                                                                                                     |            |
| resurfacingsolutions.net              |                                                                                                                                                     |            |
| thebathtubdoctor.com                  |                                                                                                                                                     |            |
| 24hourbath.com                        |                                                                                                                                                     |            |
| bathtubandtilerestoration.com         |                                                                                                                                                     |            |
| tilerestoration.com                   |                                                                                                                                                     |            |
| klasskote.com                         |                                                                                                                                                     |            |
| empresafloors.com                     |                                                                                                                                                     |            |
| bathrefinishingresource.com           |                                                                                                                                                     |            |
| powerpaintingplus.com                 |                                                                                                                                                     |            |
| usacountertopsmass.com                |                                                                                                                                                     |            |
| decorative-coating.com                |                                                                                                                                                     |            |
| aaatubntile.com                       |                                                                                                                                                     |            |
| abathreglazing.com                    |                                                                                                                                                     |            |
| aandjresurfacing.com                  |                                                                                                                                                     |            |
| bathtubrefinishingco.net              |                                                                                                                                                     |            |
| probathtubrefinishing.com             |                                                                                                                                                     |            |
| renewitrefinishing.com                |                                                                                                                                                     |            |
| reglazingsolutions.com                |                                                                                                                                                     |            |
| nycreglazing.com                      |                                                                                                                                                     |            |
| reglazingco.com                       |                                                                                                                                                     |            |
| bathtubreglazinglb.com                |                                                                                                                                                     |            |
| bathtubrestorations.com               |                                                                                                                                                     |            |
| amazingreglazingg.com                 |                                                                                                                                                     |            |
| eleganttubtilerefinishing.com         |                                                                                                                                                     |            |
| whitetubs.com                         |                                                                                                                                                     |            |
| azulejossola.co.uk                    |                                                                                                                                                     |            |
| armorkote.net                         |                                                                                                                                                     |            |
| brooklyntubrefinishing.com            |                                                                                                                                                     |            |
| patty.plus                            |                                                                                                                                                     |            |
| renewyourtub.com                      |                                                                                                                                                     |            |
| jrcoatingtechnologies.com             |                                                                                                                                                     |            |
| baufix-online.com                     |                                                                                                                                                     |            |
| wrenthambathrooms.com                 |                                                                                                                                                     |            |
| kelloggsporcelain.com                 |                                                                                                                                                     |            |
| hudsontubs.com                        |                                                                                                                                                     |            |
| newarktubreglazing.com                |                                                                                                                                                     |            |
| keystoneresurfacing.com               |                                                                                                                                                     |            |
| sacramentobathtubrefinishing.org      |                                                                                                                                                     |            |
| allin1coatings.com                    |                                                                                                                                                     |            |
| fantasticresurfacing.com.au           |                                                                                                                                                     |            |
| wrenthambathtubs.com                  |                                                                                                                                                     |            |
| tiptoprestorations.com                |                                                                                                                                                     |            |
| advancedreglazing.com                 |                                                                                                                                                     |            |
| ohiotubpros.com                       |                                                                                                                                                     |            |
| frankensteinrefinishing.com           |                                                                                                                                                     |            |
| paintedotter.com                      |                                                                                                                                                     |            |
| enduringsurface.com                   |                                                                                                                                                     |            |
| proreglaze.com                        |                                                                                                                                                     |            |
| anamazingreglazingq.com               |                                                                                                                                                     |            |
| pmcabathrooms.com                     |                                                                                                                                                     |            |
| familyhandyman.com                    |                                                                                                                                                     |            |
| vintagetub.com                        |                                                                                                                                                     |            |
| blockrenovation.com                   |                                                                                                                                                     |            |
| daichcoatings.com                     |                                                                                                                                                     |            |
| ibathtub.com                          |                                                                                                                                                     |            |
| thegroutmedic.com                     |                                                                                                                                                     |            |
| greatbuildz.com                       |                                                                                                                                                     |            |
| paintritepros.com                     |                                                                                                                                                     |            |
| gettilesonline.com.au                 |                                                                                                                                                     |            |
| all.biz                               |                                                                                                                                                     |            |
| streamlinebath.com                    |                                                                                                                                                     |            |
| setileconnection.com                  |                                                                                                                                                     |            |
| surfaceexperts.com                    |                                                                                                                                                     |            |
| tandlinternational.com                |                                                                                                                                                     |            |
| surface-renew.com                     |                                                                                                                                                     |            |
| correctcaulking.com.au                |                                                                                                                                                     |            |
| nationalplastics.co.uk                |                                                                                                                                                     |            |
| stonerestorationworks.com             |                                                                                                                                                     |            |
| simplepracticalbeautiful.com          |                                                                                                                                                     |            |
| peachpainting.com                     |                                                                                                                                                     |            |
| bath-works.net                        |                                                                                                                                                     |            |
| acamporainteriors.com                 |                                                                                                                                                     |            |
| roperrhodes.co.uk                     |                                                                                                                                                     |            |
| jeweledinteriors.com                  |                                                                                                                                                     |            |
| hambletonhandyman.com                 |                                                                                                                                                     |            |
| seiffertlumber.com                    |                                                                                                                                                     |            |
| getagrip.com                          |                                                                                                                                                     |            |
| trustedpros.ca                        |                                                                                                                                                     |            |
| aosom.ca                              |                                                                                                                                                     |            |
| georgebathroom.com                    |                                                                                                                                                     |            |
| thebesttileinstallation.com           |                                                                                                                                                     |            |
| ctasc.com                             |                                                                                                                                                     |            |
| drench.co.uk                          |                                                                                                                                                     |            |
| bngremodel.com                        |                                                                                                                                                     |            |
| jandjconstruction.com                 |                                                                                                                                                     |            |
| homeimprovementskansascity.com        |                                                                                                                                                     |            |
| panelcompany.co.uk                    |                                                                                                                                                     |            |
| smartcret.com                         |                                                                                                                                                     |            |
| semcofl.com                           |                                                                                                                                                     |            |
| serviceteam.co.uk                     |                                                                                                                                                     |            |
| theinteriorsaddict.com                |                                                                                                                                                     |            |
| carpetoutlets.net                     |                                                                                                                                                     |            |
| columbusbathdesign.com                |                                                                                                                                                     |            |
| monarchpainting.com.au                |                                                                                                                                                     |            |
| bathprofessional.com                  |                                                                                                                                                     |            |
| rihi.com                              |                                                                                                                                                     |            |
| lavishceramics.com                    |                                                                                                                                                     |            |
| bathtubrefinishingstore.com           |                                                                                                                                                     |            |
| \[suspicious link removed\]           |                                                                                                                                                     |            |
| n2n.la                                |                                                                                                                                                     |            |
| rivercityboston.com                   |                                                                                                                                                     |            |
| arlandriafloors.com                   |                                                                                                                                                     |            |
| seattlebathtubguy.com                 |                                                                                                                                                     |            |
| lifespanhi.com                        |                                                                                                                                                     |            |
| homelivinghandbook.com                |                                                                                                                                                     |            |
| foxvalleybathtubrefinishing.com       |                                                                                                                                                     |            |
| porcelainsuperstore.co.uk             |                                                                                                                                                     |            |
| tileoutlet.net                        |                                                                                                                                                     |            |
| ultrabathroom.com                     |                                                                                                                                                     |            |
| superiorbathtubrefinishing.com        |                                                                                                                                                     |            |
| bathtubguys.com                       |                                                                                                                                                     |            |
| renukrete.com                         |                                                                                                                                                     |            |
| paintpositive.com                     |                                                                                                                                                     |            |
| premierrefinishing.net                |                                                                                                                                                     |            |
| dsapone.com                           |                                                                                                                                                     |            |
| tiledoctor.biz                        |                                                                                                                                                     |            |
| bathroomwerx.com.au                   |                                                                                                                                                     |            |
| californiatilerestoration.com         |                                                                                                                                                     |            |
| seamlessoverlays.com                  |                                                                                                                                                     |            |
| foremansnags.com                      |                                                                                                                                                     |            |
| somathomeremodeling.com               |                                                                                                                                                     |            |
| southingtonpainting.com               |                                                                                                                                                     |            |
| accurateplumbingtx.com                |                                                                                                                                                     |            |
| bathrenovationhq.com                  |                                                                                                                                                     |            |
| gouldpaintingwny.com                  |                                                                                                                                                     |            |
| cincottitile.com                      |                                                                                                                                                     |            |
| ftworthrefinishing.com                |                                                                                                                                                     |            |
| mrresurface.com                       |                                                                                                                                                     |            |
| stone3.com.au                         |                                                                                                                                                     |            |
| bathtubrefinishingtulsa.com           |                                                                                                                                                     |            |
| classicallyjill.com                   |                                                                                                                                                     |            |
| borobathrooms.co.uk                   |                                                                                                                                                     |            |
| a1reglaze.com                         |                                                                                                                                                     |            |
| re-surfacepro.com                     |                                                                                                                                                     |            |
| bathroomremodeleriepa.com             |                                                                                                                                                     |            |
| capsulegallery.com                    |                                                                                                                                                     |            |
| tubnshower.com                        |                                                                                                                                                     |            |
| mayfairbuildinggroup.com.au           |                                                                                                                                                     |            |
| thebathtubguy.com                     |                                                                                                                                                     |            |
| capitalbathrooms.com.au               |                                                                                                                                                     |            |
| amazingtubsreglaze.com                |                                                                                                                                                     |            |
| losangelesbathtubreglazing.webflow.io |                                                                                                                                                     |            |
| dallastubrefinishing.com              |                                                                                                                                                     |            |
| floridatubreglazing.com               |                                                                                                                                                     |            |
| alfredosrefinish.com                  |                                                                                                                                                     |            |
| johnsonflooringtn.com                 |                                                                                                                                                     |            |
| winchestertileservice.com             |                                                                                                                                                     |            |
| rksbathtubandtilerestorations.com     |                                                                                                                                                     |            |
| strivetilereglazing.com               |                                                                                                                                                     |            |
| reglazinglosangeles0.yolasite.com     |                                                                                                                                                     |            |
| aaarefinishing.com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v>
      </c>
    </row>
    <row r="157" ht="12.75" hidden="1" customHeight="1">
      <c r="C157" s="40" t="s">
        <v>13919</v>
      </c>
      <c r="D157" s="1">
        <v>0.07</v>
      </c>
      <c r="E157" s="1">
        <v>6.0</v>
      </c>
      <c r="F157" s="1">
        <v>272.0</v>
      </c>
      <c r="G157" s="41">
        <v>109.0</v>
      </c>
      <c r="H157" s="1">
        <v>406.0</v>
      </c>
      <c r="I157" s="1">
        <v>0.0</v>
      </c>
      <c r="J157" s="17" t="str">
        <f>IFERROR(__xludf.DUMMYFUNCTION("(GEMINI(""go into the website and search for about us or contact page and pull in the City and State that this website or company is based from"", C157:C551))"),"Coventry, RI")</f>
        <v>Coventry, RI</v>
      </c>
    </row>
    <row r="158" ht="12.75" hidden="1" customHeight="1">
      <c r="C158" s="40" t="s">
        <v>13920</v>
      </c>
      <c r="D158" s="1">
        <v>0.07</v>
      </c>
      <c r="E158" s="1">
        <v>15.0</v>
      </c>
      <c r="F158" s="1">
        <v>1280.0</v>
      </c>
      <c r="G158" s="41">
        <v>106.0</v>
      </c>
      <c r="H158" s="1">
        <v>449.0</v>
      </c>
      <c r="I158" s="1">
        <v>0.0</v>
      </c>
      <c r="J158" s="17" t="str">
        <f>IFERROR(__xludf.DUMMYFUNCTION("(GEMINI(""go into the website and search for about us or contact page and pull in the City and State that this website or company is based from"", C158:C552))"),"NYC")</f>
        <v>NYC</v>
      </c>
    </row>
    <row r="159" ht="12.75" hidden="1" customHeight="1">
      <c r="C159" s="40" t="s">
        <v>13921</v>
      </c>
      <c r="D159" s="1">
        <v>0.07</v>
      </c>
      <c r="E159" s="1">
        <v>6.0</v>
      </c>
      <c r="F159" s="1">
        <v>290.0</v>
      </c>
      <c r="G159" s="41">
        <v>64.0</v>
      </c>
      <c r="H159" s="1">
        <v>230.0</v>
      </c>
      <c r="I159" s="1">
        <v>0.0</v>
      </c>
      <c r="J159" s="17" t="str">
        <f>IFERROR(__xludf.DUMMYFUNCTION("(GEMINI(""go into the website and search for about us or contact page and pull in the City and State that this website or company is based from"", C159:C553))"),"Burbank, CA; Anaheim, CA; Camarillo, CA; San Diego, CA; Valencia, CA; Pasadena, CA; Orange, CA")</f>
        <v>Burbank, CA; Anaheim, CA; Camarillo, CA; San Diego, CA; Valencia, CA; Pasadena, CA; Orange, CA</v>
      </c>
    </row>
    <row r="160" ht="12.75" hidden="1" customHeight="1">
      <c r="C160" s="40" t="s">
        <v>13922</v>
      </c>
      <c r="D160" s="1">
        <v>0.07</v>
      </c>
      <c r="E160" s="1">
        <v>5.0</v>
      </c>
      <c r="F160" s="1">
        <v>72.0</v>
      </c>
      <c r="G160" s="41">
        <v>24.0</v>
      </c>
      <c r="H160" s="1">
        <v>128.0</v>
      </c>
      <c r="I160" s="1">
        <v>0.0</v>
      </c>
      <c r="J160" s="17" t="str">
        <f>IFERROR(__xludf.DUMMYFUNCTION("(GEMINI(""go into the website and search for about us or contact page and pull in the City and State that this website or company is based from"", C160:C554))"),"Queens, Brooklyn, Bronx, NYC (for diamondreglazing.com); Rockville, MD, Bethesda, MD, Carrol County, MD, Cecil County, MD, Howard County, MD, Prince George's County, MD, Baltimore County, MD, Anne Arundel County, MD (for tubcoaters.com); Toms River, NJ, R"&amp;"ed Bank, NJ, Shrewsbury, NJ, Long Branch, NJ, Barnegat Township, NJ, and the entire state of NJ (for allnewtub.com); NY (for anthonysreglazing.com); Clearwater, St. Petersburg &amp; Tampa, Florida (for anthonysreglazingfl.com)")</f>
        <v>Queens, Brooklyn, Bronx, NYC (for diamondreglazing.com); Rockville, MD, Bethesda, MD, Carrol County, MD, Cecil County, MD, Howard County, MD, Prince George's County, MD, Baltimore County, MD, Anne Arundel County, MD (for tubcoaters.com); Toms River, NJ, Red Bank, NJ, Shrewsbury, NJ, Long Branch, NJ, Barnegat Township, NJ, and the entire state of NJ (for allnewtub.com); NY (for anthonysreglazing.com); Clearwater, St. Petersburg &amp; Tampa, Florida (for anthonysreglazingfl.com)</v>
      </c>
    </row>
    <row r="161" ht="12.75" hidden="1" customHeight="1">
      <c r="C161" s="42" t="s">
        <v>13923</v>
      </c>
      <c r="D161" s="43">
        <v>0.06</v>
      </c>
      <c r="E161" s="43">
        <v>14.0</v>
      </c>
      <c r="F161" s="43">
        <v>1274.0</v>
      </c>
      <c r="G161" s="44">
        <v>1399.0</v>
      </c>
      <c r="H161" s="43">
        <v>7272.0</v>
      </c>
      <c r="I161" s="43">
        <v>245.0</v>
      </c>
      <c r="J161" s="17" t="str">
        <f>IFERROR(__xludf.DUMMYFUNCTION("(GEMINI(""go into the website and search for about us or contact page and pull in the City and State that this website or company is based from"", C161:C555))"),"Baltimore, MD")</f>
        <v>Baltimore, MD</v>
      </c>
    </row>
    <row r="162" ht="12.75" hidden="1" customHeight="1">
      <c r="C162" s="40" t="s">
        <v>13924</v>
      </c>
      <c r="D162" s="1">
        <v>0.06</v>
      </c>
      <c r="E162" s="1">
        <v>8.0</v>
      </c>
      <c r="F162" s="1">
        <v>397.0</v>
      </c>
      <c r="G162" s="41">
        <v>261.0</v>
      </c>
      <c r="H162" s="1">
        <v>1028.0</v>
      </c>
      <c r="I162" s="1">
        <v>0.0</v>
      </c>
      <c r="J162" s="17" t="str">
        <f>IFERROR(__xludf.DUMMYFUNCTION("(GEMINI(""go into the website and search for about us or contact page and pull in the City and State that this website or company is based from"", C162:C556))"),"I am not able to browse websites to find contact information. Please specify a single domain and provide the contact information directly if you would like me to extract the city and state.")</f>
        <v>I am not able to browse websites to find contact information. Please specify a single domain and provide the contact information directly if you would like me to extract the city and state.</v>
      </c>
    </row>
    <row r="163" ht="12.75" hidden="1" customHeight="1">
      <c r="C163" s="40" t="s">
        <v>13925</v>
      </c>
      <c r="D163" s="1">
        <v>0.06</v>
      </c>
      <c r="E163" s="1">
        <v>9.0</v>
      </c>
      <c r="F163" s="1">
        <v>871.0</v>
      </c>
      <c r="G163" s="41">
        <v>177.0</v>
      </c>
      <c r="H163" s="1">
        <v>890.0</v>
      </c>
      <c r="I163" s="1">
        <v>1.0</v>
      </c>
      <c r="J163" s="17" t="str">
        <f>IFERROR(__xludf.DUMMYFUNCTION("(GEMINI(""go into the website and search for about us or contact page and pull in the City and State that this website or company is based from"", C163:C557))"),"New York, NY")</f>
        <v>New York, NY</v>
      </c>
    </row>
    <row r="164" ht="12.75" hidden="1" customHeight="1">
      <c r="C164" s="40" t="s">
        <v>13926</v>
      </c>
      <c r="D164" s="1">
        <v>0.06</v>
      </c>
      <c r="E164" s="1">
        <v>6.0</v>
      </c>
      <c r="F164" s="1">
        <v>423.0</v>
      </c>
      <c r="G164" s="41">
        <v>165.0</v>
      </c>
      <c r="H164" s="1">
        <v>779.0</v>
      </c>
      <c r="I164" s="1">
        <v>0.0</v>
      </c>
      <c r="J164" s="17" t="str">
        <f>IFERROR(__xludf.DUMMYFUNCTION("(GEMINI(""go into the website and search for about us or contact page and pull in the City and State that this website or company is based from"", C164:C558))"),"Pittsburgh, PA")</f>
        <v>Pittsburgh, PA</v>
      </c>
    </row>
    <row r="165" ht="12.75" hidden="1" customHeight="1">
      <c r="C165" s="40" t="s">
        <v>13927</v>
      </c>
      <c r="D165" s="1">
        <v>0.06</v>
      </c>
      <c r="E165" s="1">
        <v>5.0</v>
      </c>
      <c r="F165" s="1">
        <v>153.0</v>
      </c>
      <c r="G165" s="41">
        <v>11.0</v>
      </c>
      <c r="H165" s="1">
        <v>24.0</v>
      </c>
      <c r="I165" s="1">
        <v>1.0</v>
      </c>
      <c r="J165" s="17" t="str">
        <f>IFERROR(__xludf.DUMMYFUNCTION("(GEMINI(""go into the website and search for about us or contact page and pull in the City and State that this website or company is based from"", C165:C559))"),"Corona, CA")</f>
        <v>Corona, CA</v>
      </c>
    </row>
    <row r="166" ht="12.75" hidden="1" customHeight="1">
      <c r="C166" s="42" t="s">
        <v>13928</v>
      </c>
      <c r="D166" s="43">
        <v>0.05</v>
      </c>
      <c r="E166" s="43">
        <v>17.0</v>
      </c>
      <c r="F166" s="43">
        <v>1773.0</v>
      </c>
      <c r="G166" s="44">
        <v>3708.0</v>
      </c>
      <c r="H166" s="43">
        <v>21507.0</v>
      </c>
      <c r="I166" s="43">
        <v>0.0</v>
      </c>
      <c r="J166" s="17" t="str">
        <f>IFERROR(__xludf.DUMMYFUNCTION("(GEMINI(""go into the website and search for about us or contact page and pull in the City and State that this website or company is based from"", C166:C560))"),"Minneapolis, MN")</f>
        <v>Minneapolis, MN</v>
      </c>
    </row>
    <row r="167" ht="12.75" hidden="1" customHeight="1">
      <c r="C167" s="40" t="s">
        <v>13929</v>
      </c>
      <c r="D167" s="1">
        <v>0.05</v>
      </c>
      <c r="E167" s="1">
        <v>6.0</v>
      </c>
      <c r="F167" s="1">
        <v>302.0</v>
      </c>
      <c r="G167" s="41">
        <v>820.0</v>
      </c>
      <c r="H167" s="1">
        <v>4284.0</v>
      </c>
      <c r="I167" s="1">
        <v>4.0</v>
      </c>
      <c r="J167" s="17" t="str">
        <f>IFERROR(__xludf.DUMMYFUNCTION("(GEMINI(""go into the website and search for about us or contact page and pull in the City and State that this website or company is based from"", C167:C561))"),"St. Louis, MO")</f>
        <v>St. Louis, MO</v>
      </c>
    </row>
    <row r="168" ht="12.75" hidden="1" customHeight="1">
      <c r="C168" s="40" t="s">
        <v>13930</v>
      </c>
      <c r="D168" s="1">
        <v>0.05</v>
      </c>
      <c r="E168" s="1">
        <v>6.0</v>
      </c>
      <c r="F168" s="1">
        <v>365.0</v>
      </c>
      <c r="G168" s="41">
        <v>182.0</v>
      </c>
      <c r="H168" s="1">
        <v>968.0</v>
      </c>
      <c r="I168" s="1">
        <v>0.0</v>
      </c>
      <c r="J168" s="17" t="str">
        <f>IFERROR(__xludf.DUMMYFUNCTION("(GEMINI(""go into the website and search for about us or contact page and pull in the City and State that this website or company is based from"", C168:C562))"),"resurfacelouisville.com: Kentucky
amazingtileandtubreglazing.com: Plainville, CT
rubadubtubreglazing.com: Baltimore, Maryland
kcreglazing.com: Kansas City metro area (MO &amp; KS)")</f>
        <v>resurfacelouisville.com: Kentucky
amazingtileandtubreglazing.com: Plainville, CT
rubadubtubreglazing.com: Baltimore, Maryland
kcreglazing.com: Kansas City metro area (MO &amp; KS)</v>
      </c>
    </row>
    <row r="169" ht="12.75" hidden="1" customHeight="1">
      <c r="C169" s="40" t="s">
        <v>13931</v>
      </c>
      <c r="D169" s="1">
        <v>0.05</v>
      </c>
      <c r="E169" s="1">
        <v>6.0</v>
      </c>
      <c r="F169" s="1">
        <v>1067.0</v>
      </c>
      <c r="G169" s="41">
        <v>146.0</v>
      </c>
      <c r="H169" s="1">
        <v>669.0</v>
      </c>
      <c r="I169" s="1">
        <v>0.0</v>
      </c>
      <c r="J169" s="17" t="str">
        <f>IFERROR(__xludf.DUMMYFUNCTION("(GEMINI(""go into the website and search for about us or contact page and pull in the City and State that this website or company is based from"", C169:C563))"),"Louisville, Kentucky")</f>
        <v>Louisville, Kentucky</v>
      </c>
    </row>
    <row r="170" ht="12.75" hidden="1" customHeight="1">
      <c r="C170" s="40" t="s">
        <v>13932</v>
      </c>
      <c r="D170" s="1">
        <v>0.05</v>
      </c>
      <c r="E170" s="1">
        <v>5.0</v>
      </c>
      <c r="F170" s="1">
        <v>234.0</v>
      </c>
      <c r="G170" s="41">
        <v>43.0</v>
      </c>
      <c r="H170" s="1">
        <v>187.0</v>
      </c>
      <c r="I170" s="1">
        <v>0.0</v>
      </c>
      <c r="J170" s="17" t="str">
        <f>IFERROR(__xludf.DUMMYFUNCTION("(GEMINI(""go into the website and search for about us or contact page and pull in the City and State that this website or company is based from"", C170:C564))"),"Please specify which website from the list you would like me to search for the city and state.")</f>
        <v>Please specify which website from the list you would like me to search for the city and state.</v>
      </c>
    </row>
    <row r="171" ht="12.75" hidden="1" customHeight="1">
      <c r="C171" s="40" t="s">
        <v>13933</v>
      </c>
      <c r="D171" s="1">
        <v>0.05</v>
      </c>
      <c r="E171" s="1">
        <v>3.0</v>
      </c>
      <c r="F171" s="1">
        <v>378.0</v>
      </c>
      <c r="G171" s="41">
        <v>42.0</v>
      </c>
      <c r="H171" s="1">
        <v>161.0</v>
      </c>
      <c r="I171" s="1">
        <v>0.0</v>
      </c>
      <c r="J171" s="17" t="str">
        <f>IFERROR(__xludf.DUMMYFUNCTION("(GEMINI(""go into the website and search for about us or contact page and pull in the City and State that this website or company is based from"", C171:C565))"),"Something went wrong. Try again.")</f>
        <v>Something went wrong. Try again.</v>
      </c>
    </row>
    <row r="172" ht="12.75" hidden="1" customHeight="1">
      <c r="C172" s="40" t="s">
        <v>13934</v>
      </c>
      <c r="D172" s="1">
        <v>0.05</v>
      </c>
      <c r="E172" s="1">
        <v>4.0</v>
      </c>
      <c r="F172" s="1">
        <v>102.0</v>
      </c>
      <c r="G172" s="41">
        <v>21.0</v>
      </c>
      <c r="H172" s="1">
        <v>126.0</v>
      </c>
      <c r="I172" s="1">
        <v>1.0</v>
      </c>
      <c r="J172" s="17" t="str">
        <f>IFERROR(__xludf.DUMMYFUNCTION("(GEMINI(""go into the website and search for about us or contact page and pull in the City and State that this website or company is based from"", C172:C566))"),"Kansas City, MO")</f>
        <v>Kansas City, MO</v>
      </c>
    </row>
    <row r="173" ht="12.75" hidden="1" customHeight="1">
      <c r="C173" s="40" t="s">
        <v>13935</v>
      </c>
      <c r="D173" s="1">
        <v>0.05</v>
      </c>
      <c r="E173" s="1">
        <v>2.0</v>
      </c>
      <c r="F173" s="1">
        <v>82.0</v>
      </c>
      <c r="G173" s="41">
        <v>5.0</v>
      </c>
      <c r="H173" s="1">
        <v>0.0</v>
      </c>
      <c r="I173" s="1">
        <v>0.0</v>
      </c>
      <c r="J173" s="17" t="str">
        <f>IFERROR(__xludf.DUMMYFUNCTION("(GEMINI(""go into the website and search for about us or contact page and pull in the City and State that this website or company is based from"", C173:C567))"),"torresconstructionpainting.com: Ashland, Massachusetts
topreglazing.com: Northern Virginia, Maryland &amp; DC (VA, MD, DC)
topkote.com: Sumter, SC
specializedrefinishing.com: Charlotte, Greensboro, Raleigh, North Carolina")</f>
        <v>torresconstructionpainting.com: Ashland, Massachusetts
topreglazing.com: Northern Virginia, Maryland &amp; DC (VA, MD, DC)
topkote.com: Sumter, SC
specializedrefinishing.com: Charlotte, Greensboro, Raleigh, North Carolina</v>
      </c>
    </row>
    <row r="174" ht="12.75" hidden="1" customHeight="1">
      <c r="C174" s="40" t="s">
        <v>13936</v>
      </c>
      <c r="D174" s="1">
        <v>0.05</v>
      </c>
      <c r="E174" s="1">
        <v>4.0</v>
      </c>
      <c r="F174" s="1">
        <v>106.0</v>
      </c>
      <c r="G174" s="41">
        <v>2.0</v>
      </c>
      <c r="H174" s="1">
        <v>12.0</v>
      </c>
      <c r="I174" s="1">
        <v>0.0</v>
      </c>
      <c r="J174" s="17" t="str">
        <f>IFERROR(__xludf.DUMMYFUNCTION("(GEMINI(""go into the website and search for about us or contact page and pull in the City and State that this website or company is based from"", C174:C568))"),"Top Reglazing: Northern Virginia, Maryland &amp; DC
Topkote Products: Sumter, SC
Specialized Refinishing Co.: Charlotte, Greensboro, Raleigh, NC
Jet's Amazing Glazing: Wisconsin, Wyoming (States listed in form for zip code)")</f>
        <v>Top Reglazing: Northern Virginia, Maryland &amp; DC
Topkote Products: Sumter, SC
Specialized Refinishing Co.: Charlotte, Greensboro, Raleigh, NC
Jet's Amazing Glazing: Wisconsin, Wyoming (States listed in form for zip code)</v>
      </c>
    </row>
    <row r="175" ht="12.75" hidden="1" customHeight="1">
      <c r="C175" s="40" t="s">
        <v>13937</v>
      </c>
      <c r="D175" s="1">
        <v>0.05</v>
      </c>
      <c r="E175" s="1">
        <v>1.0</v>
      </c>
      <c r="F175" s="1">
        <v>25.0</v>
      </c>
      <c r="G175" s="41">
        <v>0.0</v>
      </c>
      <c r="H175" s="1">
        <v>0.0</v>
      </c>
      <c r="I175" s="1">
        <v>0.0</v>
      </c>
      <c r="J175" s="17" t="str">
        <f>IFERROR(__xludf.DUMMYFUNCTION("(GEMINI(""go into the website and search for about us or contact page and pull in the City and State that this website or company is based from"", C175:C569))"),"Sumter, SC")</f>
        <v>Sumter, SC</v>
      </c>
    </row>
    <row r="176" ht="12.75" hidden="1" customHeight="1">
      <c r="C176" s="42" t="s">
        <v>13938</v>
      </c>
      <c r="D176" s="43">
        <v>0.04</v>
      </c>
      <c r="E176" s="43">
        <v>20.0</v>
      </c>
      <c r="F176" s="43">
        <v>3286.0</v>
      </c>
      <c r="G176" s="44">
        <v>1988.0</v>
      </c>
      <c r="H176" s="43">
        <v>6036.0</v>
      </c>
      <c r="I176" s="43">
        <v>0.0</v>
      </c>
      <c r="J176" s="17" t="str">
        <f>IFERROR(__xludf.DUMMYFUNCTION("(GEMINI(""go into the website and search for about us or contact page and pull in the City and State that this website or company is based from"", C176:C570))"),"Sumter, SC")</f>
        <v>Sumter, SC</v>
      </c>
    </row>
    <row r="177" ht="12.75" hidden="1" customHeight="1">
      <c r="C177" s="40" t="s">
        <v>13939</v>
      </c>
      <c r="D177" s="1">
        <v>0.04</v>
      </c>
      <c r="E177" s="1">
        <v>20.0</v>
      </c>
      <c r="F177" s="1">
        <v>4419.0</v>
      </c>
      <c r="G177" s="41">
        <v>1870.0</v>
      </c>
      <c r="H177" s="1">
        <v>7601.0</v>
      </c>
      <c r="I177" s="1">
        <v>0.0</v>
      </c>
      <c r="J177" s="17" t="str">
        <f>IFERROR(__xludf.DUMMYFUNCTION("(GEMINI(""go into the website and search for about us or contact page and pull in the City and State that this website or company is based from"", C177:C571))"),"Raleigh, NC")</f>
        <v>Raleigh, NC</v>
      </c>
    </row>
    <row r="178" ht="12.75" hidden="1" customHeight="1">
      <c r="C178" s="40" t="s">
        <v>13940</v>
      </c>
      <c r="D178" s="1">
        <v>0.04</v>
      </c>
      <c r="E178" s="1">
        <v>7.0</v>
      </c>
      <c r="F178" s="1">
        <v>744.0</v>
      </c>
      <c r="G178" s="41">
        <v>444.0</v>
      </c>
      <c r="H178" s="1">
        <v>657.0</v>
      </c>
      <c r="I178" s="1">
        <v>0.0</v>
      </c>
      <c r="J178" s="17" t="str">
        <f>IFERROR(__xludf.DUMMYFUNCTION("(GEMINI(""go into the website and search for about us or contact page and pull in the City and State that this website or company is based from"", C178:C572))"),"I am not able to browse websites or scrape information like addresses from specific pages. I can only use the data provided in the table and my general knowledge.")</f>
        <v>I am not able to browse websites or scrape information like addresses from specific pages. I can only use the data provided in the table and my general knowledge.</v>
      </c>
    </row>
    <row r="179" ht="12.75" hidden="1" customHeight="1">
      <c r="C179" s="40" t="s">
        <v>13941</v>
      </c>
      <c r="D179" s="1">
        <v>0.04</v>
      </c>
      <c r="E179" s="1">
        <v>13.0</v>
      </c>
      <c r="F179" s="1">
        <v>1293.0</v>
      </c>
      <c r="G179" s="41">
        <v>341.0</v>
      </c>
      <c r="H179" s="1">
        <v>1088.0</v>
      </c>
      <c r="I179" s="1">
        <v>2.0</v>
      </c>
      <c r="J179" s="17" t="str">
        <f>IFERROR(__xludf.DUMMYFUNCTION("(GEMINI(""go into the website and search for about us or contact page and pull in the City and State that this website or company is based from"", C179:C573))"),"Thesurfacedoctors.com: Chicago, IL
Refinishing-pros.com: Raleigh, NC
Tubfusion.com: Prior Lake, MN
Bathrefinishingsolutions.com: Cincinnati, OH")</f>
        <v>Thesurfacedoctors.com: Chicago, IL
Refinishing-pros.com: Raleigh, NC
Tubfusion.com: Prior Lake, MN
Bathrefinishingsolutions.com: Cincinnati, OH</v>
      </c>
    </row>
    <row r="180" ht="12.75" hidden="1" customHeight="1">
      <c r="C180" s="40" t="s">
        <v>13942</v>
      </c>
      <c r="D180" s="1">
        <v>0.04</v>
      </c>
      <c r="E180" s="1">
        <v>5.0</v>
      </c>
      <c r="F180" s="1">
        <v>771.0</v>
      </c>
      <c r="G180" s="41">
        <v>173.0</v>
      </c>
      <c r="H180" s="1">
        <v>502.0</v>
      </c>
      <c r="I180" s="1">
        <v>0.0</v>
      </c>
      <c r="J180" s="17" t="str">
        <f>IFERROR(__xludf.DUMMYFUNCTION("(GEMINI(""go into the website and search for about us or contact page and pull in the City and State that this website or company is based from"", C180:C574))"),"Raleigh, North Carolina
Prior Lake, Minnesota
I am unable to find the location for bathtubdenver.net.
Cincinnati, Ohio
Boston, Massachusetts")</f>
        <v>Raleigh, North Carolina
Prior Lake, Minnesota
I am unable to find the location for bathtubdenver.net.
Cincinnati, Ohio
Boston, Massachusetts</v>
      </c>
    </row>
    <row r="181" ht="12.75" hidden="1" customHeight="1">
      <c r="C181" s="40" t="s">
        <v>13943</v>
      </c>
      <c r="D181" s="1">
        <v>0.04</v>
      </c>
      <c r="E181" s="1">
        <v>2.0</v>
      </c>
      <c r="F181" s="1">
        <v>174.0</v>
      </c>
      <c r="G181" s="41">
        <v>18.0</v>
      </c>
      <c r="H181" s="1">
        <v>141.0</v>
      </c>
      <c r="I181" s="1">
        <v>0.0</v>
      </c>
      <c r="J181" s="17" t="str">
        <f>IFERROR(__xludf.DUMMYFUNCTION("(GEMINI(""go into the website and search for about us or contact page and pull in the City and State that this website or company is based from"", C181:C575))"),"Please specify which website from the table you would like the City and State for.")</f>
        <v>Please specify which website from the table you would like the City and State for.</v>
      </c>
    </row>
    <row r="182" ht="12.75" hidden="1" customHeight="1">
      <c r="C182" s="40" t="s">
        <v>13944</v>
      </c>
      <c r="D182" s="1">
        <v>0.03</v>
      </c>
      <c r="E182" s="1">
        <v>4.0</v>
      </c>
      <c r="F182" s="1">
        <v>539.0</v>
      </c>
      <c r="G182" s="41">
        <v>3993.0</v>
      </c>
      <c r="H182" s="1">
        <v>24944.0</v>
      </c>
      <c r="I182" s="1">
        <v>0.0</v>
      </c>
      <c r="J182" s="17" t="str">
        <f>IFERROR(__xludf.DUMMYFUNCTION("(GEMINI(""go into the website and search for about us or contact page and pull in the City and State that this website or company is based from"", C182:C576))"),"I am unable to visit external websites to search for company information like City and State.")</f>
        <v>I am unable to visit external websites to search for company information like City and State.</v>
      </c>
    </row>
    <row r="183" ht="12.75" hidden="1" customHeight="1">
      <c r="C183" s="40" t="s">
        <v>13945</v>
      </c>
      <c r="D183" s="1">
        <v>0.03</v>
      </c>
      <c r="E183" s="1">
        <v>12.0</v>
      </c>
      <c r="F183" s="1">
        <v>1277.0</v>
      </c>
      <c r="G183" s="41">
        <v>2333.0</v>
      </c>
      <c r="H183" s="1">
        <v>11420.0</v>
      </c>
      <c r="I183" s="1">
        <v>2.0</v>
      </c>
      <c r="J183" s="17" t="str">
        <f>IFERROR(__xludf.DUMMYFUNCTION("(GEMINI(""go into the website and search for about us or contact page and pull in the City and State that this website or company is based from"", C183:C577))"),"I am unable to visit external websites to search for contact information or location details. I can only use the information provided in the context or my general knowledge.")</f>
        <v>I am unable to visit external websites to search for contact information or location details. I can only use the information provided in the context or my general knowledge.</v>
      </c>
    </row>
    <row r="184" ht="12.75" hidden="1" customHeight="1">
      <c r="C184" s="40" t="s">
        <v>13946</v>
      </c>
      <c r="D184" s="1">
        <v>0.03</v>
      </c>
      <c r="E184" s="1">
        <v>13.0</v>
      </c>
      <c r="F184" s="1">
        <v>3276.0</v>
      </c>
      <c r="G184" s="41">
        <v>2033.0</v>
      </c>
      <c r="H184" s="1">
        <v>7923.0</v>
      </c>
      <c r="I184" s="1">
        <v>0.0</v>
      </c>
      <c r="J184" s="17" t="str">
        <f>IFERROR(__xludf.DUMMYFUNCTION("(GEMINI(""go into the website and search for about us or contact page and pull in the City and State that this website or company is based from"", C184:C578))"),"Boston, MA")</f>
        <v>Boston, MA</v>
      </c>
    </row>
    <row r="185" ht="12.75" hidden="1" customHeight="1">
      <c r="C185" s="40" t="s">
        <v>13947</v>
      </c>
      <c r="D185" s="1">
        <v>0.03</v>
      </c>
      <c r="E185" s="1">
        <v>3.0</v>
      </c>
      <c r="F185" s="1">
        <v>338.0</v>
      </c>
      <c r="G185" s="41">
        <v>718.0</v>
      </c>
      <c r="H185" s="1">
        <v>4184.0</v>
      </c>
      <c r="I185" s="1">
        <v>0.0</v>
      </c>
      <c r="J185" s="17" t="str">
        <f>IFERROR(__xludf.DUMMYFUNCTION("(GEMINI(""go into the website and search for about us or contact page and pull in the City and State that this website or company is based from"", C185:C579))"),"Livonia, MI")</f>
        <v>Livonia, MI</v>
      </c>
    </row>
    <row r="186" ht="12.75" hidden="1" customHeight="1">
      <c r="C186" s="40" t="s">
        <v>13948</v>
      </c>
      <c r="D186" s="1">
        <v>0.03</v>
      </c>
      <c r="E186" s="1">
        <v>3.0</v>
      </c>
      <c r="F186" s="1">
        <v>529.0</v>
      </c>
      <c r="G186" s="41">
        <v>673.0</v>
      </c>
      <c r="H186" s="1">
        <v>1998.0</v>
      </c>
      <c r="I186" s="1">
        <v>0.0</v>
      </c>
      <c r="J186" s="17" t="str">
        <f>IFERROR(__xludf.DUMMYFUNCTION("(GEMINI(""go into the website and search for about us or contact page and pull in the City and State that this website or company is based from"", C186:C580))"),"New York City, New Jersey and Connecticut areas")</f>
        <v>New York City, New Jersey and Connecticut areas</v>
      </c>
    </row>
    <row r="187" ht="12.75" hidden="1" customHeight="1">
      <c r="C187" s="40" t="s">
        <v>13949</v>
      </c>
      <c r="D187" s="1">
        <v>0.03</v>
      </c>
      <c r="E187" s="1">
        <v>6.0</v>
      </c>
      <c r="F187" s="1">
        <v>932.0</v>
      </c>
      <c r="G187" s="41">
        <v>642.0</v>
      </c>
      <c r="H187" s="1">
        <v>1754.0</v>
      </c>
      <c r="I187" s="1">
        <v>0.0</v>
      </c>
      <c r="J187" s="17" t="str">
        <f>IFERROR(__xludf.DUMMYFUNCTION("(GEMINI(""go into the website and search for about us or contact page and pull in the City and State that this website or company is based from"", C187:C581))"),"I cannot visit a website or perform searches on specific pages like ""About Us"" or ""Contact."" Please specify the website from the list for which you would like the City and State, and I will attempt to find the information using my available resources.")</f>
        <v>I cannot visit a website or perform searches on specific pages like "About Us" or "Contact." Please specify the website from the list for which you would like the City and State, and I will attempt to find the information using my available resources.</v>
      </c>
    </row>
    <row r="188" ht="12.75" hidden="1" customHeight="1">
      <c r="C188" s="40" t="s">
        <v>13950</v>
      </c>
      <c r="D188" s="1">
        <v>0.03</v>
      </c>
      <c r="E188" s="1">
        <v>11.0</v>
      </c>
      <c r="F188" s="1">
        <v>1865.0</v>
      </c>
      <c r="G188" s="41">
        <v>613.0</v>
      </c>
      <c r="H188" s="1">
        <v>1712.0</v>
      </c>
      <c r="I188" s="1">
        <v>0.0</v>
      </c>
      <c r="J188" s="17" t="str">
        <f>IFERROR(__xludf.DUMMYFUNCTION("(GEMINI(""go into the website and search for about us or contact page and pull in the City and State that this website or company is based from"", C188:C582))"),"Union, New Jersey")</f>
        <v>Union, New Jersey</v>
      </c>
    </row>
    <row r="189" ht="12.75" hidden="1" customHeight="1">
      <c r="C189" s="40" t="s">
        <v>13951</v>
      </c>
      <c r="D189" s="1">
        <v>0.03</v>
      </c>
      <c r="E189" s="1">
        <v>5.0</v>
      </c>
      <c r="F189" s="1">
        <v>1059.0</v>
      </c>
      <c r="G189" s="41">
        <v>569.0</v>
      </c>
      <c r="H189" s="1">
        <v>1126.0</v>
      </c>
      <c r="I189" s="1">
        <v>5.0</v>
      </c>
      <c r="J189" s="17" t="str">
        <f>IFERROR(__xludf.DUMMYFUNCTION("(GEMINI(""go into the website and search for about us or contact page and pull in the City and State that this website or company is based from"", C189:C583))"),"Nashua, NH")</f>
        <v>Nashua, NH</v>
      </c>
    </row>
    <row r="190" ht="12.75" hidden="1" customHeight="1">
      <c r="C190" s="40" t="s">
        <v>13952</v>
      </c>
      <c r="D190" s="1">
        <v>0.03</v>
      </c>
      <c r="E190" s="1">
        <v>2.0</v>
      </c>
      <c r="F190" s="1">
        <v>467.0</v>
      </c>
      <c r="G190" s="41">
        <v>402.0</v>
      </c>
      <c r="H190" s="1">
        <v>1647.0</v>
      </c>
      <c r="I190" s="1">
        <v>0.0</v>
      </c>
      <c r="J190" s="17" t="str">
        <f>IFERROR(__xludf.DUMMYFUNCTION("(GEMINI(""go into the website and search for about us or contact page and pull in the City and State that this website or company is based from"", C190:C584))"),"Montgomery, AL")</f>
        <v>Montgomery, AL</v>
      </c>
    </row>
    <row r="191" ht="12.75" hidden="1" customHeight="1">
      <c r="C191" s="40" t="s">
        <v>13953</v>
      </c>
      <c r="D191" s="1">
        <v>0.03</v>
      </c>
      <c r="E191" s="1">
        <v>8.0</v>
      </c>
      <c r="F191" s="1">
        <v>679.0</v>
      </c>
      <c r="G191" s="41">
        <v>351.0</v>
      </c>
      <c r="H191" s="1">
        <v>1329.0</v>
      </c>
      <c r="I191" s="1">
        <v>0.0</v>
      </c>
      <c r="J191" s="17" t="str">
        <f>IFERROR(__xludf.DUMMYFUNCTION("(GEMINI(""go into the website and search for about us or contact page and pull in the City and State that this website or company is based from"", C191:C585))"),"RI, MA &amp; CT")</f>
        <v>RI, MA &amp; CT</v>
      </c>
    </row>
    <row r="192" ht="12.75" hidden="1" customHeight="1">
      <c r="C192" s="40" t="s">
        <v>13954</v>
      </c>
      <c r="D192" s="1">
        <v>0.03</v>
      </c>
      <c r="E192" s="1">
        <v>2.0</v>
      </c>
      <c r="F192" s="1">
        <v>433.0</v>
      </c>
      <c r="G192" s="41">
        <v>310.0</v>
      </c>
      <c r="H192" s="1">
        <v>1768.0</v>
      </c>
      <c r="I192" s="1">
        <v>0.0</v>
      </c>
      <c r="J192" s="17" t="str">
        <f>IFERROR(__xludf.DUMMYFUNCTION("(GEMINI(""go into the website and search for about us or contact page and pull in the City and State that this website or company is based from"", C192:C586))"),"Sacramento, CA")</f>
        <v>Sacramento, CA</v>
      </c>
    </row>
    <row r="193" ht="12.75" hidden="1" customHeight="1">
      <c r="C193" s="40" t="s">
        <v>13955</v>
      </c>
      <c r="D193" s="1">
        <v>0.03</v>
      </c>
      <c r="E193" s="1">
        <v>5.0</v>
      </c>
      <c r="F193" s="1">
        <v>1128.0</v>
      </c>
      <c r="G193" s="41">
        <v>304.0</v>
      </c>
      <c r="H193" s="1">
        <v>318.0</v>
      </c>
      <c r="I193" s="1">
        <v>0.0</v>
      </c>
      <c r="J193" s="17" t="str">
        <f>IFERROR(__xludf.DUMMYFUNCTION("(GEMINI(""go into the website and search for about us or contact page and pull in the City and State that this website or company is based from"", C193:C587))"),"I am unable to browse websites or search within specific web pages to extract location details.")</f>
        <v>I am unable to browse websites or search within specific web pages to extract location details.</v>
      </c>
    </row>
    <row r="194" ht="12.75" hidden="1" customHeight="1">
      <c r="C194" s="40" t="s">
        <v>13956</v>
      </c>
      <c r="D194" s="1">
        <v>0.03</v>
      </c>
      <c r="E194" s="1">
        <v>2.0</v>
      </c>
      <c r="F194" s="1">
        <v>368.0</v>
      </c>
      <c r="G194" s="41">
        <v>241.0</v>
      </c>
      <c r="H194" s="1">
        <v>131.0</v>
      </c>
      <c r="I194" s="1">
        <v>0.0</v>
      </c>
      <c r="J194" s="17" t="str">
        <f>IFERROR(__xludf.DUMMYFUNCTION("(GEMINI(""go into the website and search for about us or contact page and pull in the City and State that this website or company is based from"", C194:C588))"),"I am unable to browse external websites or extract specific contact information like city and state from the provided URLs.")</f>
        <v>I am unable to browse external websites or extract specific contact information like city and state from the provided URLs.</v>
      </c>
    </row>
    <row r="195" ht="12.75" hidden="1" customHeight="1">
      <c r="C195" s="40" t="s">
        <v>13957</v>
      </c>
      <c r="D195" s="1">
        <v>0.03</v>
      </c>
      <c r="E195" s="1">
        <v>6.0</v>
      </c>
      <c r="F195" s="1">
        <v>757.0</v>
      </c>
      <c r="G195" s="41">
        <v>230.0</v>
      </c>
      <c r="H195" s="1">
        <v>1097.0</v>
      </c>
      <c r="I195" s="1">
        <v>0.0</v>
      </c>
      <c r="J195" s="17" t="str">
        <f>IFERROR(__xludf.DUMMYFUNCTION("(GEMINI(""go into the website and search for about us or contact page and pull in the City and State that this website or company is based from"", C195:C589))"),"Grandville, MI")</f>
        <v>Grandville, MI</v>
      </c>
    </row>
    <row r="196" ht="12.75" hidden="1" customHeight="1">
      <c r="C196" s="40" t="s">
        <v>13958</v>
      </c>
      <c r="D196" s="1">
        <v>0.03</v>
      </c>
      <c r="E196" s="1">
        <v>3.0</v>
      </c>
      <c r="F196" s="1">
        <v>262.0</v>
      </c>
      <c r="G196" s="41">
        <v>196.0</v>
      </c>
      <c r="H196" s="1">
        <v>1153.0</v>
      </c>
      <c r="I196" s="1">
        <v>0.0</v>
      </c>
      <c r="J196" s="17" t="str">
        <f>IFERROR(__xludf.DUMMYFUNCTION("(GEMINI(""go into the website and search for about us or contact page and pull in the City and State that this website or company is based from"", C196:C590))"),"Service Doctor: Merrillville, IN
Perma-Glaze of Texas: Dallas/Fort Worth, TX
Adamov Reglazing: Fontana, CA (serves Southern California)")</f>
        <v>Service Doctor: Merrillville, IN
Perma-Glaze of Texas: Dallas/Fort Worth, TX
Adamov Reglazing: Fontana, CA (serves Southern California)</v>
      </c>
    </row>
    <row r="197" ht="12.75" hidden="1" customHeight="1">
      <c r="C197" s="40" t="s">
        <v>13959</v>
      </c>
      <c r="D197" s="1">
        <v>0.03</v>
      </c>
      <c r="E197" s="1">
        <v>1.0</v>
      </c>
      <c r="F197" s="1">
        <v>96.0</v>
      </c>
      <c r="G197" s="41">
        <v>142.0</v>
      </c>
      <c r="H197" s="1">
        <v>1254.0</v>
      </c>
      <c r="I197" s="1">
        <v>0.0</v>
      </c>
      <c r="J197" s="17" t="str">
        <f>IFERROR(__xludf.DUMMYFUNCTION("(GEMINI(""go into the website and search for about us or contact page and pull in the City and State that this website or company is based from"", C197:C591))"),"I am sorry, but I cannot browse external websites or search within them to find the city and state information. I can only use the data provided in the table and general web search results.")</f>
        <v>I am sorry, but I cannot browse external websites or search within them to find the city and state information. I can only use the data provided in the table and general web search results.</v>
      </c>
    </row>
    <row r="198" ht="12.75" hidden="1" customHeight="1">
      <c r="C198" s="40" t="s">
        <v>13960</v>
      </c>
      <c r="D198" s="1">
        <v>0.03</v>
      </c>
      <c r="E198" s="1">
        <v>3.0</v>
      </c>
      <c r="F198" s="1">
        <v>475.0</v>
      </c>
      <c r="G198" s="41">
        <v>97.0</v>
      </c>
      <c r="H198" s="1">
        <v>619.0</v>
      </c>
      <c r="I198" s="1">
        <v>0.0</v>
      </c>
      <c r="J198" s="17" t="str">
        <f>IFERROR(__xludf.DUMMYFUNCTION("(GEMINI(""go into the website and search for about us or contact page and pull in the City and State that this website or company is based from"", C198:C592))"),"I am not capable of browsing websites to extract contact information. Please try using the Gemini side panel for this task.")</f>
        <v>I am not capable of browsing websites to extract contact information. Please try using the Gemini side panel for this task.</v>
      </c>
    </row>
    <row r="199" ht="12.75" hidden="1" customHeight="1">
      <c r="C199" s="40" t="s">
        <v>13961</v>
      </c>
      <c r="D199" s="1">
        <v>0.03</v>
      </c>
      <c r="E199" s="1">
        <v>2.0</v>
      </c>
      <c r="F199" s="1">
        <v>153.0</v>
      </c>
      <c r="G199" s="41">
        <v>67.0</v>
      </c>
      <c r="H199" s="1">
        <v>341.0</v>
      </c>
      <c r="I199" s="1">
        <v>0.0</v>
      </c>
      <c r="J199" s="17" t="str">
        <f>IFERROR(__xludf.DUMMYFUNCTION("(GEMINI(""go into the website and search for about us or contact page and pull in the City and State that this website or company is based from"", C199:C593))"),"Fontana, CA")</f>
        <v>Fontana, CA</v>
      </c>
    </row>
    <row r="200" ht="12.75" hidden="1" customHeight="1">
      <c r="C200" s="40" t="s">
        <v>13962</v>
      </c>
      <c r="D200" s="1">
        <v>0.03</v>
      </c>
      <c r="E200" s="1">
        <v>1.0</v>
      </c>
      <c r="F200" s="1">
        <v>85.0</v>
      </c>
      <c r="G200" s="41">
        <v>54.0</v>
      </c>
      <c r="H200" s="1">
        <v>233.0</v>
      </c>
      <c r="I200" s="1">
        <v>0.0</v>
      </c>
      <c r="J200" s="17" t="str">
        <f>IFERROR(__xludf.DUMMYFUNCTION("(GEMINI(""go into the website and search for about us or contact page and pull in the City and State that this website or company is based from"", C200:C594))"),"I am unable to visit external websites or perform individual searches for all the websites listed in the column. I can only use the data provided in the table and the search results.")</f>
        <v>I am unable to visit external websites or perform individual searches for all the websites listed in the column. I can only use the data provided in the table and the search results.</v>
      </c>
    </row>
    <row r="201" ht="12.75" hidden="1" customHeight="1">
      <c r="C201" s="40" t="s">
        <v>13963</v>
      </c>
      <c r="D201" s="1">
        <v>0.03</v>
      </c>
      <c r="E201" s="1">
        <v>1.0</v>
      </c>
      <c r="F201" s="1">
        <v>46.0</v>
      </c>
      <c r="G201" s="41">
        <v>35.0</v>
      </c>
      <c r="H201" s="1">
        <v>282.0</v>
      </c>
      <c r="I201" s="1">
        <v>0.0</v>
      </c>
      <c r="J201" s="17" t="str">
        <f>IFERROR(__xludf.DUMMYFUNCTION("(GEMINI(""go into the website and search for about us or contact page and pull in the City and State that this website or company is based from"", C201:C595))"),"I am unable to browse external websites, such as searching for a company's ""About Us"" or ""Contact"" page, to extract City and State information. I can only provide information based on the context provided in the sheet or my general knowledge.")</f>
        <v>I am unable to browse external websites, such as searching for a company's "About Us" or "Contact" page, to extract City and State information. I can only provide information based on the context provided in the sheet or my general knowledge.</v>
      </c>
    </row>
    <row r="202" ht="12.75" hidden="1" customHeight="1">
      <c r="C202" s="40" t="s">
        <v>13964</v>
      </c>
      <c r="D202" s="1">
        <v>0.03</v>
      </c>
      <c r="E202" s="1">
        <v>2.0</v>
      </c>
      <c r="F202" s="1">
        <v>258.0</v>
      </c>
      <c r="G202" s="41">
        <v>32.0</v>
      </c>
      <c r="H202" s="1">
        <v>153.0</v>
      </c>
      <c r="I202" s="1">
        <v>0.0</v>
      </c>
      <c r="J202" s="17" t="str">
        <f>IFERROR(__xludf.DUMMYFUNCTION("(GEMINI(""go into the website and search for about us or contact page and pull in the City and State that this website or company is based from"", C202:C596))"),"The search results for amazingrefinishing.com indicate they are located in Cary, NC, and also serve Raleigh, NC; DC; Baltimore, MD; and Tampa, FL.
For anthonysreglazingfl.com, they serve Clearwater, St. Petersburg, and Tampa, FL.
For tufftubrefinishing."&amp;"com, they serve Orange County, CA.")</f>
        <v>The search results for amazingrefinishing.com indicate they are located in Cary, NC, and also serve Raleigh, NC; DC; Baltimore, MD; and Tampa, FL.
For anthonysreglazingfl.com, they serve Clearwater, St. Petersburg, and Tampa, FL.
For tufftubrefinishing.com, they serve Orange County, CA.</v>
      </c>
    </row>
    <row r="203" ht="12.75" hidden="1" customHeight="1">
      <c r="C203" s="40" t="s">
        <v>13965</v>
      </c>
      <c r="D203" s="1">
        <v>0.03</v>
      </c>
      <c r="E203" s="1">
        <v>1.0</v>
      </c>
      <c r="F203" s="1">
        <v>102.0</v>
      </c>
      <c r="G203" s="41">
        <v>31.0</v>
      </c>
      <c r="H203" s="1">
        <v>421.0</v>
      </c>
      <c r="I203" s="1">
        <v>1.0</v>
      </c>
      <c r="J203" s="17" t="str">
        <f>IFERROR(__xludf.DUMMYFUNCTION("(GEMINI(""go into the website and search for about us or contact page and pull in the City and State that this website or company is based from"", C203:C597))"),"Cary, NC")</f>
        <v>Cary, NC</v>
      </c>
    </row>
    <row r="204" ht="12.75" hidden="1" customHeight="1">
      <c r="C204" s="40" t="s">
        <v>13966</v>
      </c>
      <c r="D204" s="1">
        <v>0.03</v>
      </c>
      <c r="E204" s="1">
        <v>1.0</v>
      </c>
      <c r="F204" s="1">
        <v>155.0</v>
      </c>
      <c r="G204" s="41">
        <v>21.0</v>
      </c>
      <c r="H204" s="1">
        <v>60.0</v>
      </c>
      <c r="I204" s="1">
        <v>88.0</v>
      </c>
      <c r="J204" s="17" t="str">
        <f>IFERROR(__xludf.DUMMYFUNCTION("(GEMINI(""go into the website and search for about us or contact page and pull in the City and State that this website or company is based from"", C204:C598))"),"Anthony's Reglazing: Clearwater, St. Petersburg &amp; Tampa, Florida
Tuff Tub Refinishing: Orange County, CA
Austin Tub Surgeon: Round Rock, TX")</f>
        <v>Anthony's Reglazing: Clearwater, St. Petersburg &amp; Tampa, Florida
Tuff Tub Refinishing: Orange County, CA
Austin Tub Surgeon: Round Rock, TX</v>
      </c>
    </row>
    <row r="205" ht="12.75" hidden="1" customHeight="1">
      <c r="C205" s="40" t="s">
        <v>13967</v>
      </c>
      <c r="D205" s="1">
        <v>0.03</v>
      </c>
      <c r="E205" s="1">
        <v>3.0</v>
      </c>
      <c r="F205" s="1">
        <v>210.0</v>
      </c>
      <c r="G205" s="41">
        <v>20.0</v>
      </c>
      <c r="H205" s="1">
        <v>83.0</v>
      </c>
      <c r="I205" s="1">
        <v>0.0</v>
      </c>
      <c r="J205" s="17" t="str">
        <f>IFERROR(__xludf.DUMMYFUNCTION("(GEMINI(""go into the website and search for about us or contact page and pull in the City and State that this website or company is based from"", C205:C599))"),"Orange County, CA
Round Rock, TX")</f>
        <v>Orange County, CA
Round Rock, TX</v>
      </c>
    </row>
    <row r="206" ht="12.75" hidden="1" customHeight="1">
      <c r="C206" s="40" t="s">
        <v>13968</v>
      </c>
      <c r="D206" s="1">
        <v>0.03</v>
      </c>
      <c r="E206" s="1">
        <v>2.0</v>
      </c>
      <c r="F206" s="1">
        <v>247.0</v>
      </c>
      <c r="G206" s="41">
        <v>14.0</v>
      </c>
      <c r="H206" s="1">
        <v>67.0</v>
      </c>
      <c r="I206" s="1">
        <v>0.0</v>
      </c>
      <c r="J206" s="17" t="str">
        <f>IFERROR(__xludf.DUMMYFUNCTION("(GEMINI(""go into the website and search for about us or contact page and pull in the City and State that this website or company is based from"", C206:C600))"),"Austin Tub Surgeon is based in Round Rock, TX. Finish Pro Bathtub Refinishing provides service throughout Los Angeles County, CA.")</f>
        <v>Austin Tub Surgeon is based in Round Rock, TX. Finish Pro Bathtub Refinishing provides service throughout Los Angeles County, CA.</v>
      </c>
    </row>
    <row r="207" ht="12.75" hidden="1" customHeight="1">
      <c r="C207" s="40" t="s">
        <v>13969</v>
      </c>
      <c r="D207" s="1">
        <v>0.03</v>
      </c>
      <c r="E207" s="1">
        <v>1.0</v>
      </c>
      <c r="F207" s="1">
        <v>38.0</v>
      </c>
      <c r="G207" s="41">
        <v>11.0</v>
      </c>
      <c r="H207" s="1">
        <v>72.0</v>
      </c>
      <c r="I207" s="1">
        <v>0.0</v>
      </c>
      <c r="J207" s="17" t="str">
        <f>IFERROR(__xludf.DUMMYFUNCTION("(GEMINI(""go into the website and search for about us or contact page and pull in the City and State that this website or company is based from"", C207:C601))"),"Round Rock, TX")</f>
        <v>Round Rock, TX</v>
      </c>
    </row>
    <row r="208" ht="12.75" hidden="1" customHeight="1">
      <c r="C208" s="40" t="s">
        <v>13970</v>
      </c>
      <c r="D208" s="1">
        <v>0.03</v>
      </c>
      <c r="E208" s="1">
        <v>1.0</v>
      </c>
      <c r="F208" s="1">
        <v>136.0</v>
      </c>
      <c r="G208" s="41">
        <v>9.0</v>
      </c>
      <c r="H208" s="1">
        <v>56.0</v>
      </c>
      <c r="I208" s="1">
        <v>0.0</v>
      </c>
      <c r="J208" s="17" t="str">
        <f>IFERROR(__xludf.DUMMYFUNCTION("(GEMINI(""go into the website and search for about us or contact page and pull in the City and State that this website or company is based from"", C208:C602))"),"austintubsurgeon.com: Round Rock, TX
bathtubrefinishinglondon.com: London, Canada
finishpro360.com: Sioux Falls, SD / Granada Hills, CA
absolutetub.com: Tampa, FL
alltubsky.com: Lexington, KY")</f>
        <v>austintubsurgeon.com: Round Rock, TX
bathtubrefinishinglondon.com: London, Canada
finishpro360.com: Sioux Falls, SD / Granada Hills, CA
absolutetub.com: Tampa, FL
alltubsky.com: Lexington, KY</v>
      </c>
    </row>
    <row r="209" ht="12.75" hidden="1" customHeight="1">
      <c r="C209" s="40" t="s">
        <v>13971</v>
      </c>
      <c r="D209" s="1">
        <v>0.03</v>
      </c>
      <c r="E209" s="1">
        <v>1.0</v>
      </c>
      <c r="F209" s="1">
        <v>5.0</v>
      </c>
      <c r="G209" s="41">
        <v>5.0</v>
      </c>
      <c r="H209" s="1">
        <v>10.0</v>
      </c>
      <c r="I209" s="1">
        <v>0.0</v>
      </c>
      <c r="J209" s="17" t="str">
        <f>IFERROR(__xludf.DUMMYFUNCTION("(GEMINI(""go into the website and search for about us or contact page and pull in the City and State that this website or company is based from"", C209:C603))"),"I am unable to visit external websites or perform web searches outside of my current knowledge to retrieve the City and State for these websites.")</f>
        <v>I am unable to visit external websites or perform web searches outside of my current knowledge to retrieve the City and State for these websites.</v>
      </c>
    </row>
    <row r="210" ht="12.75" hidden="1" customHeight="1">
      <c r="C210" s="40" t="s">
        <v>13972</v>
      </c>
      <c r="D210" s="1">
        <v>0.03</v>
      </c>
      <c r="E210" s="1">
        <v>1.0</v>
      </c>
      <c r="F210" s="1">
        <v>56.0</v>
      </c>
      <c r="G210" s="41">
        <v>4.0</v>
      </c>
      <c r="H210" s="1">
        <v>3.0</v>
      </c>
      <c r="I210" s="1">
        <v>0.0</v>
      </c>
      <c r="J210" s="17" t="str">
        <f>IFERROR(__xludf.DUMMYFUNCTION("(GEMINI(""go into the website and search for about us or contact page and pull in the City and State that this website or company is based from"", C210:C604))"),"Los Angeles County, California")</f>
        <v>Los Angeles County, California</v>
      </c>
    </row>
    <row r="211" ht="12.75" hidden="1" customHeight="1">
      <c r="C211" s="40" t="s">
        <v>13973</v>
      </c>
      <c r="D211" s="1">
        <v>0.03</v>
      </c>
      <c r="E211" s="1">
        <v>1.0</v>
      </c>
      <c r="F211" s="1">
        <v>29.0</v>
      </c>
      <c r="G211" s="41">
        <v>4.0</v>
      </c>
      <c r="H211" s="1">
        <v>32.0</v>
      </c>
      <c r="I211" s="1">
        <v>0.0</v>
      </c>
      <c r="J211" s="17" t="str">
        <f>IFERROR(__xludf.DUMMYFUNCTION("(GEMINI(""go into the website and search for about us or contact page and pull in the City and State that this website or company is based from"", C211:C605))"),"Tampa, FL")</f>
        <v>Tampa, FL</v>
      </c>
    </row>
    <row r="212" ht="12.75" hidden="1" customHeight="1">
      <c r="C212" s="40" t="s">
        <v>13974</v>
      </c>
      <c r="D212" s="1">
        <v>0.03</v>
      </c>
      <c r="E212" s="1">
        <v>1.0</v>
      </c>
      <c r="F212" s="1">
        <v>257.0</v>
      </c>
      <c r="G212" s="41">
        <v>4.0</v>
      </c>
      <c r="H212" s="1">
        <v>0.0</v>
      </c>
      <c r="I212" s="1">
        <v>0.0</v>
      </c>
      <c r="J212" s="17" t="str">
        <f>IFERROR(__xludf.DUMMYFUNCTION("(GEMINI(""go into the website and search for about us or contact page and pull in the City and State that this website or company is based from"", C212:C606))"),"Please specify which website address from the table you would like me to check. I cannot browse the web or visit external links myself, but if the information is available in the provided context or search results for a specific site, I will attempt to ex"&amp;"tract it.")</f>
        <v>Please specify which website address from the table you would like me to check. I cannot browse the web or visit external links myself, but if the information is available in the provided context or search results for a specific site, I will attempt to extract it.</v>
      </c>
    </row>
    <row r="213" ht="12.75" hidden="1" customHeight="1">
      <c r="C213" s="40" t="s">
        <v>13975</v>
      </c>
      <c r="D213" s="1">
        <v>0.03</v>
      </c>
      <c r="E213" s="1">
        <v>1.0</v>
      </c>
      <c r="F213" s="1">
        <v>50.0</v>
      </c>
      <c r="G213" s="41">
        <v>1.0</v>
      </c>
      <c r="H213" s="1">
        <v>1.0</v>
      </c>
      <c r="I213" s="1">
        <v>0.0</v>
      </c>
      <c r="J213" s="17" t="str">
        <f>IFERROR(__xludf.DUMMYFUNCTION("(GEMINI(""go into the website and search for about us or contact page and pull in the City and State that this website or company is based from"", C213:C607))"),"I am unable to visit external websites to search for company location details. However, you might find this information by:  * Searching the company's website directly, typically on a ""Contact Us"" or similar page.
  * Checking online directories like Ye"&amp;"llow Pages or Whitepages.
  * Using professional networking platforms like LinkedIn.
  * Installing browser extensions like Lusha or ContactOut.")</f>
        <v>I am unable to visit external websites to search for company location details. However, you might find this information by:  * Searching the company's website directly, typically on a "Contact Us" or similar page.
  * Checking online directories like Yellow Pages or Whitepages.
  * Using professional networking platforms like LinkedIn.
  * Installing browser extensions like Lusha or ContactOut.</v>
      </c>
    </row>
    <row r="214" ht="12.75" hidden="1" customHeight="1">
      <c r="C214" s="40" t="s">
        <v>13976</v>
      </c>
      <c r="D214" s="1">
        <v>0.03</v>
      </c>
      <c r="E214" s="1">
        <v>1.0</v>
      </c>
      <c r="F214" s="1">
        <v>8.0</v>
      </c>
      <c r="G214" s="41">
        <v>1.0</v>
      </c>
      <c r="H214" s="1">
        <v>0.0</v>
      </c>
      <c r="I214" s="1">
        <v>0.0</v>
      </c>
      <c r="J214" s="17" t="str">
        <f>IFERROR(__xludf.DUMMYFUNCTION("(GEMINI(""go into the website and search for about us or contact page and pull in the City and State that this website or company is based from"", C214:C608))"),"Something went wrong. Try again.")</f>
        <v>Something went wrong. Try again.</v>
      </c>
    </row>
    <row r="215" ht="12.75" hidden="1" customHeight="1">
      <c r="C215" s="40" t="s">
        <v>13977</v>
      </c>
      <c r="D215" s="1">
        <v>0.03</v>
      </c>
      <c r="E215" s="1">
        <v>1.0</v>
      </c>
      <c r="F215" s="1">
        <v>9.0</v>
      </c>
      <c r="G215" s="41">
        <v>1.0</v>
      </c>
      <c r="H215" s="1">
        <v>6.0</v>
      </c>
      <c r="I215" s="1">
        <v>0.0</v>
      </c>
      <c r="J215" s="17" t="str">
        <f>IFERROR(__xludf.DUMMYFUNCTION("(GEMINI(""go into the website and search for about us or contact page and pull in the City and State that this website or company is based from"", C215:C609))"),"I am not capable of browsing external websites or interacting with web pages to extract specific company information such as city and state. I can only use the data provided in the table and the retrieved search results.")</f>
        <v>I am not capable of browsing external websites or interacting with web pages to extract specific company information such as city and state. I can only use the data provided in the table and the retrieved search results.</v>
      </c>
    </row>
    <row r="216" ht="12.75" hidden="1" customHeight="1">
      <c r="C216" s="40" t="s">
        <v>13978</v>
      </c>
      <c r="D216" s="1">
        <v>0.03</v>
      </c>
      <c r="E216" s="1">
        <v>1.0</v>
      </c>
      <c r="F216" s="1">
        <v>58.0</v>
      </c>
      <c r="G216" s="41">
        <v>1.0</v>
      </c>
      <c r="H216" s="1">
        <v>0.0</v>
      </c>
      <c r="I216" s="1">
        <v>0.0</v>
      </c>
      <c r="J216" s="17" t="str">
        <f>IFERROR(__xludf.DUMMYFUNCTION("(GEMINI(""go into the website and search for about us or contact page and pull in the City and State that this website or company is based from"", C216:C610))"),"gandhresurfacing.com: Not available. The search result shows a phone number (303) 829-2783, which has a 303 area code associated with the Denver, Colorado area, but the specific City and State are not explicitly stated on the contact page snippet.
dallast"&amp;"ubpros.com: Allen, TX.
The search result for a similar company, superiorfinish.com (not listed in the table but mentioned in the context of Dallas, TX) is Lewisville, TX. I will prioritize the website from the table.")</f>
        <v>gandhresurfacing.com: Not available. The search result shows a phone number (303) 829-2783, which has a 303 area code associated with the Denver, Colorado area, but the specific City and State are not explicitly stated on the contact page snippet.
dallastubpros.com: Allen, TX.
The search result for a similar company, superiorfinish.com (not listed in the table but mentioned in the context of Dallas, TX) is Lewisville, TX. I will prioritize the website from the table.</v>
      </c>
    </row>
    <row r="217" ht="12.75" hidden="1" customHeight="1">
      <c r="C217" s="40" t="s">
        <v>13979</v>
      </c>
      <c r="D217" s="1">
        <v>0.03</v>
      </c>
      <c r="E217" s="1">
        <v>1.0</v>
      </c>
      <c r="F217" s="1">
        <v>52.0</v>
      </c>
      <c r="G217" s="41">
        <v>0.0</v>
      </c>
      <c r="H217" s="1">
        <v>0.0</v>
      </c>
      <c r="I217" s="1">
        <v>0.0</v>
      </c>
      <c r="J217" s="17" t="str">
        <f>IFERROR(__xludf.DUMMYFUNCTION("(GEMINI(""go into the website and search for about us or contact page and pull in the City and State that this website or company is based from"", C217:C611))"),"Santa Ana, CA")</f>
        <v>Santa Ana, CA</v>
      </c>
    </row>
    <row r="218" ht="12.75" hidden="1" customHeight="1">
      <c r="C218" s="40" t="s">
        <v>13980</v>
      </c>
      <c r="D218" s="1">
        <v>0.03</v>
      </c>
      <c r="E218" s="1">
        <v>4.0</v>
      </c>
      <c r="F218" s="1">
        <v>30.0</v>
      </c>
      <c r="G218" s="41">
        <v>0.0</v>
      </c>
      <c r="H218" s="1">
        <v>0.0</v>
      </c>
      <c r="I218" s="1">
        <v>0.0</v>
      </c>
      <c r="J218" s="17" t="str">
        <f>IFERROR(__xludf.DUMMYFUNCTION("(GEMINI(""go into the website and search for about us or contact page and pull in the City and State that this website or company is based from"", C218:C612))"),"Miami, FL")</f>
        <v>Miami, FL</v>
      </c>
    </row>
    <row r="219" ht="12.75" hidden="1" customHeight="1">
      <c r="C219" s="40" t="s">
        <v>13981</v>
      </c>
      <c r="D219" s="1">
        <v>0.03</v>
      </c>
      <c r="E219" s="1">
        <v>1.0</v>
      </c>
      <c r="F219" s="1">
        <v>30.0</v>
      </c>
      <c r="G219" s="41">
        <v>0.0</v>
      </c>
      <c r="H219" s="1">
        <v>0.0</v>
      </c>
      <c r="I219" s="1">
        <v>0.0</v>
      </c>
      <c r="J219" s="17" t="str">
        <f>IFERROR(__xludf.DUMMYFUNCTION("(GEMINI(""go into the website and search for about us or contact page and pull in the City and State that this website or company is based from"", C219:C613))"),"I am unable to visit websites or extract specific contact information like City and State from internal website pages.")</f>
        <v>I am unable to visit websites or extract specific contact information like City and State from internal website pages.</v>
      </c>
    </row>
    <row r="220" ht="12.75" hidden="1" customHeight="1">
      <c r="C220" s="40" t="s">
        <v>13982</v>
      </c>
      <c r="D220" s="1">
        <v>0.03</v>
      </c>
      <c r="E220" s="1">
        <v>1.0</v>
      </c>
      <c r="F220" s="1">
        <v>25.0</v>
      </c>
      <c r="G220" s="41">
        <v>0.0</v>
      </c>
      <c r="H220" s="1">
        <v>0.0</v>
      </c>
      <c r="I220" s="1">
        <v>0.0</v>
      </c>
      <c r="J220" s="17" t="str">
        <f>IFERROR(__xludf.DUMMYFUNCTION("(GEMINI(""go into the website and search for about us or contact page and pull in the City and State that this website or company is based from"", C220:C614))"),"I am unable to visit external websites or perform web searches on a specific domain to extract contact information.")</f>
        <v>I am unable to visit external websites or perform web searches on a specific domain to extract contact information.</v>
      </c>
    </row>
    <row r="221" ht="12.75" hidden="1" customHeight="1">
      <c r="C221" s="40" t="s">
        <v>13983</v>
      </c>
      <c r="D221" s="1">
        <v>0.03</v>
      </c>
      <c r="E221" s="1">
        <v>1.0</v>
      </c>
      <c r="F221" s="1">
        <v>5.0</v>
      </c>
      <c r="G221" s="41">
        <v>0.0</v>
      </c>
      <c r="H221" s="1">
        <v>0.0</v>
      </c>
      <c r="I221" s="1">
        <v>0.0</v>
      </c>
      <c r="J221" s="17" t="str">
        <f>IFERROR(__xludf.DUMMYFUNCTION("(GEMINI(""go into the website and search for about us or contact page and pull in the City and State that this website or company is based from"", C221:C615))"),"Wrentham, MA")</f>
        <v>Wrentham, MA</v>
      </c>
    </row>
    <row r="222" ht="12.75" hidden="1" customHeight="1">
      <c r="C222" s="40" t="s">
        <v>13984</v>
      </c>
      <c r="D222" s="1">
        <v>0.03</v>
      </c>
      <c r="E222" s="1">
        <v>1.0</v>
      </c>
      <c r="F222" s="1">
        <v>27.0</v>
      </c>
      <c r="G222" s="41">
        <v>0.0</v>
      </c>
      <c r="H222" s="1">
        <v>0.0</v>
      </c>
      <c r="I222" s="1">
        <v>0.0</v>
      </c>
      <c r="J222" s="17" t="str">
        <f>IFERROR(__xludf.DUMMYFUNCTION("(GEMINI(""go into the website and search for about us or contact page and pull in the City and State that this website or company is based from"", C222:C616))"),"Raleigh, NC")</f>
        <v>Raleigh, NC</v>
      </c>
    </row>
    <row r="223" ht="12.75" hidden="1" customHeight="1">
      <c r="C223" s="40" t="s">
        <v>13985</v>
      </c>
      <c r="D223" s="1">
        <v>0.02</v>
      </c>
      <c r="E223" s="1">
        <v>20.0</v>
      </c>
      <c r="F223" s="1">
        <v>3571.0</v>
      </c>
      <c r="G223" s="41">
        <v>4113.0</v>
      </c>
      <c r="H223" s="1">
        <v>9842.0</v>
      </c>
      <c r="I223" s="1">
        <v>1.0</v>
      </c>
      <c r="J223" s="17" t="str">
        <f>IFERROR(__xludf.DUMMYFUNCTION("(GEMINI(""go into the website and search for about us or contact page and pull in the City and State that this website or company is based from"", C223:C617))"),"Skokie, IL")</f>
        <v>Skokie, IL</v>
      </c>
    </row>
    <row r="224" ht="12.75" hidden="1" customHeight="1">
      <c r="C224" s="40" t="s">
        <v>13986</v>
      </c>
      <c r="D224" s="1">
        <v>0.02</v>
      </c>
      <c r="E224" s="1">
        <v>2.0</v>
      </c>
      <c r="F224" s="1">
        <v>252.0</v>
      </c>
      <c r="G224" s="41">
        <v>1484.0</v>
      </c>
      <c r="H224" s="1">
        <v>9418.0</v>
      </c>
      <c r="I224" s="1">
        <v>0.0</v>
      </c>
      <c r="J224" s="17" t="str">
        <f>IFERROR(__xludf.DUMMYFUNCTION("(GEMINI(""go into the website and search for about us or contact page and pull in the City and State that this website or company is based from"", C224:C618))"),"Houston, TX")</f>
        <v>Houston, TX</v>
      </c>
    </row>
    <row r="225" ht="12.75" hidden="1" customHeight="1">
      <c r="C225" s="40" t="s">
        <v>13987</v>
      </c>
      <c r="D225" s="1">
        <v>0.02</v>
      </c>
      <c r="E225" s="1">
        <v>1.0</v>
      </c>
      <c r="F225" s="1">
        <v>18.0</v>
      </c>
      <c r="G225" s="41">
        <v>1215.0</v>
      </c>
      <c r="H225" s="1">
        <v>11319.0</v>
      </c>
      <c r="I225" s="1">
        <v>0.0</v>
      </c>
      <c r="J225" s="17" t="str">
        <f>IFERROR(__xludf.DUMMYFUNCTION("(GEMINI(""go into the website and search for about us or contact page and pull in the City and State that this website or company is based from"", C225:C619))"),"I am unable to visit external websites or extract specific information like City and State from individual web pages. I can only use the information provided in the table and my general knowledge.")</f>
        <v>I am unable to visit external websites or extract specific information like City and State from individual web pages. I can only use the information provided in the table and my general knowledge.</v>
      </c>
    </row>
    <row r="226" ht="12.75" hidden="1" customHeight="1">
      <c r="C226" s="40" t="s">
        <v>13988</v>
      </c>
      <c r="D226" s="1">
        <v>0.02</v>
      </c>
      <c r="E226" s="1">
        <v>5.0</v>
      </c>
      <c r="F226" s="1">
        <v>663.0</v>
      </c>
      <c r="G226" s="41">
        <v>824.0</v>
      </c>
      <c r="H226" s="1">
        <v>3662.0</v>
      </c>
      <c r="I226" s="1">
        <v>0.0</v>
      </c>
      <c r="J226" s="17" t="str">
        <f>IFERROR(__xludf.DUMMYFUNCTION("(GEMINI(""go into the website and search for about us or contact page and pull in the City and State that this website or company is based from"", C226:C620))"),"I cannot browse external websites or access ""About Us"" or ""Contact"" pages to extract company location details.")</f>
        <v>I cannot browse external websites or access "About Us" or "Contact" pages to extract company location details.</v>
      </c>
    </row>
    <row r="227" ht="12.75" hidden="1" customHeight="1">
      <c r="C227" s="40" t="s">
        <v>13989</v>
      </c>
      <c r="D227" s="1">
        <v>0.02</v>
      </c>
      <c r="E227" s="1">
        <v>6.0</v>
      </c>
      <c r="F227" s="1">
        <v>704.0</v>
      </c>
      <c r="G227" s="41">
        <v>817.0</v>
      </c>
      <c r="H227" s="1">
        <v>4335.0</v>
      </c>
      <c r="I227" s="1">
        <v>0.0</v>
      </c>
      <c r="J227" s="17" t="str">
        <f>IFERROR(__xludf.DUMMYFUNCTION("(GEMINI(""go into the website and search for about us or contact page and pull in the City and State that this website or company is based from"", C227:C621))"),"Please specify which website/company domain name from the table you would like me to search for the City and State.")</f>
        <v>Please specify which website/company domain name from the table you would like me to search for the City and State.</v>
      </c>
    </row>
    <row r="228" ht="12.75" hidden="1" customHeight="1">
      <c r="C228" s="40" t="s">
        <v>13990</v>
      </c>
      <c r="D228" s="1">
        <v>0.02</v>
      </c>
      <c r="E228" s="1">
        <v>3.0</v>
      </c>
      <c r="F228" s="1">
        <v>884.0</v>
      </c>
      <c r="G228" s="41">
        <v>713.0</v>
      </c>
      <c r="H228" s="1">
        <v>3133.0</v>
      </c>
      <c r="I228" s="1">
        <v>0.0</v>
      </c>
      <c r="J228" s="17" t="str">
        <f>IFERROR(__xludf.DUMMYFUNCTION("(GEMINI(""go into the website and search for about us or contact page and pull in the City and State that this website or company is based from"", C228:C622))"),"I am sorry, but I cannot browse external websites or navigate to specific pages like ""About Us"" or ""Contact"" to extract information.")</f>
        <v>I am sorry, but I cannot browse external websites or navigate to specific pages like "About Us" or "Contact" to extract information.</v>
      </c>
    </row>
    <row r="229" ht="12.75" hidden="1" customHeight="1">
      <c r="C229" s="40" t="s">
        <v>13991</v>
      </c>
      <c r="D229" s="1">
        <v>0.02</v>
      </c>
      <c r="E229" s="1">
        <v>1.0</v>
      </c>
      <c r="F229" s="1">
        <v>386.0</v>
      </c>
      <c r="G229" s="41">
        <v>582.0</v>
      </c>
      <c r="H229" s="1">
        <v>3316.0</v>
      </c>
      <c r="I229" s="1">
        <v>0.0</v>
      </c>
      <c r="J229" s="17" t="str">
        <f>IFERROR(__xludf.DUMMYFUNCTION("(GEMINI(""go into the website and search for about us or contact page and pull in the City and State that this website or company is based from"", C229:C623))"),"I am unable to browse websites or access specific pages on a website to extract location information.")</f>
        <v>I am unable to browse websites or access specific pages on a website to extract location information.</v>
      </c>
    </row>
    <row r="230" ht="12.75" hidden="1" customHeight="1">
      <c r="C230" s="40" t="s">
        <v>13992</v>
      </c>
      <c r="D230" s="1">
        <v>0.02</v>
      </c>
      <c r="E230" s="1">
        <v>2.0</v>
      </c>
      <c r="F230" s="1">
        <v>1235.0</v>
      </c>
      <c r="G230" s="41">
        <v>575.0</v>
      </c>
      <c r="H230" s="1">
        <v>1587.0</v>
      </c>
      <c r="I230" s="1">
        <v>0.0</v>
      </c>
      <c r="J230" s="17" t="str">
        <f>IFERROR(__xludf.DUMMYFUNCTION("(GEMINI(""go into the website and search for about us or contact page and pull in the City and State that this website or company is based from"", C230:C624))"),"Naperville, IL &amp; South Barrington, IL")</f>
        <v>Naperville, IL &amp; South Barrington, IL</v>
      </c>
    </row>
    <row r="231" ht="12.75" hidden="1" customHeight="1">
      <c r="C231" s="40" t="s">
        <v>13993</v>
      </c>
      <c r="D231" s="1">
        <v>0.02</v>
      </c>
      <c r="E231" s="1">
        <v>3.0</v>
      </c>
      <c r="F231" s="1">
        <v>400.0</v>
      </c>
      <c r="G231" s="41">
        <v>401.0</v>
      </c>
      <c r="H231" s="1">
        <v>1546.0</v>
      </c>
      <c r="I231" s="1">
        <v>0.0</v>
      </c>
      <c r="J231" s="17" t="str">
        <f>IFERROR(__xludf.DUMMYFUNCTION("(GEMINI(""go into the website and search for about us or contact page and pull in the City and State that this website or company is based from"", C231:C625))"),"San Diego, CA")</f>
        <v>San Diego, CA</v>
      </c>
    </row>
    <row r="232" ht="12.75" hidden="1" customHeight="1">
      <c r="C232" s="40" t="s">
        <v>13994</v>
      </c>
      <c r="D232" s="1">
        <v>0.02</v>
      </c>
      <c r="E232" s="1">
        <v>7.0</v>
      </c>
      <c r="F232" s="1">
        <v>2543.0</v>
      </c>
      <c r="G232" s="41">
        <v>373.0</v>
      </c>
      <c r="H232" s="1">
        <v>721.0</v>
      </c>
      <c r="I232" s="1">
        <v>0.0</v>
      </c>
      <c r="J232" s="17" t="str">
        <f>IFERROR(__xludf.DUMMYFUNCTION("(GEMINI(""go into the website and search for about us or contact page and pull in the City and State that this website or company is based from"", C232:C626))"),"Pasadena, MD")</f>
        <v>Pasadena, MD</v>
      </c>
    </row>
    <row r="233" ht="12.75" hidden="1" customHeight="1">
      <c r="C233" s="40" t="s">
        <v>13995</v>
      </c>
      <c r="D233" s="1">
        <v>0.02</v>
      </c>
      <c r="E233" s="1">
        <v>1.0</v>
      </c>
      <c r="F233" s="1">
        <v>390.0</v>
      </c>
      <c r="G233" s="41">
        <v>327.0</v>
      </c>
      <c r="H233" s="1">
        <v>1732.0</v>
      </c>
      <c r="I233" s="1">
        <v>0.0</v>
      </c>
      <c r="J233" s="17" t="str">
        <f>IFERROR(__xludf.DUMMYFUNCTION("(GEMINI(""go into the website and search for about us or contact page and pull in the City and State that this website or company is based from"", C233:C627))"),"I cannot access external websites to search for contact information.")</f>
        <v>I cannot access external websites to search for contact information.</v>
      </c>
    </row>
    <row r="234" ht="12.75" hidden="1" customHeight="1">
      <c r="C234" s="40" t="s">
        <v>13996</v>
      </c>
      <c r="D234" s="1">
        <v>0.02</v>
      </c>
      <c r="E234" s="1">
        <v>3.0</v>
      </c>
      <c r="F234" s="1">
        <v>1126.0</v>
      </c>
      <c r="G234" s="41">
        <v>317.0</v>
      </c>
      <c r="H234" s="1">
        <v>822.0</v>
      </c>
      <c r="I234" s="1">
        <v>0.0</v>
      </c>
      <c r="J234" s="17" t="str">
        <f>IFERROR(__xludf.DUMMYFUNCTION("(GEMINI(""go into the website and search for about us or contact page and pull in the City and State that this website or company is based from"", C234:C628))"),"I am unable to access external websites to search for company location information. I can only use the data provided in the table and my general knowledge.")</f>
        <v>I am unable to access external websites to search for company location information. I can only use the data provided in the table and my general knowledge.</v>
      </c>
    </row>
    <row r="235" ht="12.75" hidden="1" customHeight="1">
      <c r="C235" s="40" t="s">
        <v>13997</v>
      </c>
      <c r="D235" s="1">
        <v>0.02</v>
      </c>
      <c r="E235" s="1">
        <v>1.0</v>
      </c>
      <c r="F235" s="1">
        <v>945.0</v>
      </c>
      <c r="G235" s="41">
        <v>310.0</v>
      </c>
      <c r="H235" s="1">
        <v>2322.0</v>
      </c>
      <c r="I235" s="1">
        <v>0.0</v>
      </c>
      <c r="J235" s="17" t="str">
        <f>IFERROR(__xludf.DUMMYFUNCTION("(GEMINI(""go into the website and search for about us or contact page and pull in the City and State that this website or company is based from"", C235:C629))"),"Please specify which website or company you would like me to search for the city and state.")</f>
        <v>Please specify which website or company you would like me to search for the city and state.</v>
      </c>
    </row>
    <row r="236" ht="12.75" hidden="1" customHeight="1">
      <c r="C236" s="40" t="s">
        <v>13998</v>
      </c>
      <c r="D236" s="1">
        <v>0.02</v>
      </c>
      <c r="E236" s="1">
        <v>1.0</v>
      </c>
      <c r="F236" s="1">
        <v>227.0</v>
      </c>
      <c r="G236" s="41">
        <v>261.0</v>
      </c>
      <c r="H236" s="1">
        <v>1474.0</v>
      </c>
      <c r="I236" s="1">
        <v>0.0</v>
      </c>
      <c r="J236" s="17" t="str">
        <f>IFERROR(__xludf.DUMMYFUNCTION("(GEMINI(""go into the website and search for about us or contact page and pull in the City and State that this website or company is based from"", C236:C630))"),"Dallas, TX")</f>
        <v>Dallas, TX</v>
      </c>
    </row>
    <row r="237" ht="12.75" hidden="1" customHeight="1">
      <c r="C237" s="40" t="s">
        <v>13999</v>
      </c>
      <c r="D237" s="1">
        <v>0.02</v>
      </c>
      <c r="E237" s="1">
        <v>1.0</v>
      </c>
      <c r="F237" s="1">
        <v>55.0</v>
      </c>
      <c r="G237" s="41">
        <v>260.0</v>
      </c>
      <c r="H237" s="1">
        <v>1665.0</v>
      </c>
      <c r="I237" s="1">
        <v>0.0</v>
      </c>
      <c r="J237" s="17" t="str">
        <f>IFERROR(__xludf.DUMMYFUNCTION("(GEMINI(""go into the website and search for about us or contact page and pull in the City and State that this website or company is based from"", C237:C631))"),"Dallas, Texas")</f>
        <v>Dallas, Texas</v>
      </c>
    </row>
    <row r="238" ht="12.75" hidden="1" customHeight="1">
      <c r="C238" s="40" t="s">
        <v>14000</v>
      </c>
      <c r="D238" s="1">
        <v>0.02</v>
      </c>
      <c r="E238" s="1">
        <v>2.0</v>
      </c>
      <c r="F238" s="1">
        <v>531.0</v>
      </c>
      <c r="G238" s="41">
        <v>216.0</v>
      </c>
      <c r="H238" s="1">
        <v>684.0</v>
      </c>
      <c r="I238" s="1">
        <v>0.0</v>
      </c>
      <c r="J238" s="17" t="str">
        <f>IFERROR(__xludf.DUMMYFUNCTION("(GEMINI(""go into the website and search for about us or contact page and pull in the City and State that this website or company is based from"", C238:C632))"),"I am unable to visit websites or search for information within specific websites, so I cannot extract the City and State for the companies listed.")</f>
        <v>I am unable to visit websites or search for information within specific websites, so I cannot extract the City and State for the companies listed.</v>
      </c>
    </row>
    <row r="239" ht="12.75" hidden="1" customHeight="1">
      <c r="C239" s="40" t="s">
        <v>14001</v>
      </c>
      <c r="D239" s="1">
        <v>0.02</v>
      </c>
      <c r="E239" s="1">
        <v>2.0</v>
      </c>
      <c r="F239" s="1">
        <v>909.0</v>
      </c>
      <c r="G239" s="41">
        <v>201.0</v>
      </c>
      <c r="H239" s="1">
        <v>192.0</v>
      </c>
      <c r="I239" s="1">
        <v>0.0</v>
      </c>
      <c r="J239" s="17" t="str">
        <f>IFERROR(__xludf.DUMMYFUNCTION("(GEMINI(""go into the website and search for about us or contact page and pull in the City and State that this website or company is based from"", C239:C633))"),"New York, New York")</f>
        <v>New York, New York</v>
      </c>
    </row>
    <row r="240" ht="12.75" hidden="1" customHeight="1">
      <c r="C240" s="40" t="s">
        <v>14002</v>
      </c>
      <c r="D240" s="1">
        <v>0.02</v>
      </c>
      <c r="E240" s="1">
        <v>2.0</v>
      </c>
      <c r="F240" s="1">
        <v>770.0</v>
      </c>
      <c r="G240" s="41">
        <v>201.0</v>
      </c>
      <c r="H240" s="1">
        <v>409.0</v>
      </c>
      <c r="I240" s="1">
        <v>0.0</v>
      </c>
      <c r="J240" s="17" t="str">
        <f>IFERROR(__xludf.DUMMYFUNCTION("(GEMINI(""go into the website and search for about us or contact page and pull in the City and State that this website or company is based from"", C240:C634))"),"New York, NY")</f>
        <v>New York, NY</v>
      </c>
    </row>
    <row r="241" ht="12.75" hidden="1" customHeight="1">
      <c r="C241" s="40" t="s">
        <v>14003</v>
      </c>
      <c r="D241" s="1">
        <v>0.02</v>
      </c>
      <c r="E241" s="1">
        <v>1.0</v>
      </c>
      <c r="F241" s="1">
        <v>255.0</v>
      </c>
      <c r="G241" s="41">
        <v>200.0</v>
      </c>
      <c r="H241" s="1">
        <v>522.0</v>
      </c>
      <c r="I241" s="1">
        <v>1.0</v>
      </c>
      <c r="J241" s="17" t="str">
        <f>IFERROR(__xludf.DUMMYFUNCTION("(GEMINI(""go into the website and search for about us or contact page and pull in the City and State that this website or company is based from"", C241:C635))"),"Sugar Hill, Georgia")</f>
        <v>Sugar Hill, Georgia</v>
      </c>
    </row>
    <row r="242" ht="12.75" hidden="1" customHeight="1">
      <c r="C242" s="40" t="s">
        <v>14004</v>
      </c>
      <c r="D242" s="1">
        <v>0.02</v>
      </c>
      <c r="E242" s="1">
        <v>1.0</v>
      </c>
      <c r="F242" s="1">
        <v>44.0</v>
      </c>
      <c r="G242" s="41">
        <v>183.0</v>
      </c>
      <c r="H242" s="1">
        <v>856.0</v>
      </c>
      <c r="I242" s="1">
        <v>0.0</v>
      </c>
      <c r="J242" s="17" t="str">
        <f>IFERROR(__xludf.DUMMYFUNCTION("(GEMINI(""go into the website and search for about us or contact page and pull in the City and State that this website or company is based from"", C242:C636))"),"Portland, Oregon")</f>
        <v>Portland, Oregon</v>
      </c>
    </row>
    <row r="243" ht="12.75" hidden="1" customHeight="1">
      <c r="C243" s="40" t="s">
        <v>14005</v>
      </c>
      <c r="D243" s="1">
        <v>0.02</v>
      </c>
      <c r="E243" s="1">
        <v>1.0</v>
      </c>
      <c r="F243" s="1">
        <v>86.0</v>
      </c>
      <c r="G243" s="41">
        <v>142.0</v>
      </c>
      <c r="H243" s="1">
        <v>486.0</v>
      </c>
      <c r="I243" s="1">
        <v>0.0</v>
      </c>
      <c r="J243" s="17" t="str">
        <f>IFERROR(__xludf.DUMMYFUNCTION("(GEMINI(""go into the website and search for about us or contact page and pull in the City and State that this website or company is based from"", C243:C637))"),"Sydney, Australia")</f>
        <v>Sydney, Australia</v>
      </c>
    </row>
    <row r="244" ht="12.75" hidden="1" customHeight="1">
      <c r="C244" s="40" t="s">
        <v>14006</v>
      </c>
      <c r="D244" s="1">
        <v>0.02</v>
      </c>
      <c r="E244" s="1">
        <v>2.0</v>
      </c>
      <c r="F244" s="1">
        <v>316.0</v>
      </c>
      <c r="G244" s="41">
        <v>119.0</v>
      </c>
      <c r="H244" s="1">
        <v>48.0</v>
      </c>
      <c r="I244" s="1">
        <v>0.0</v>
      </c>
      <c r="J244" s="17" t="str">
        <f>IFERROR(__xludf.DUMMYFUNCTION("(GEMINI(""go into the website and search for about us or contact page and pull in the City and State that this website or company is based from"", C244:C638))"),"Sydney, New South Wales (Australia)")</f>
        <v>Sydney, New South Wales (Australia)</v>
      </c>
    </row>
    <row r="245" ht="12.75" hidden="1" customHeight="1">
      <c r="C245" s="40" t="s">
        <v>14007</v>
      </c>
      <c r="D245" s="1">
        <v>0.02</v>
      </c>
      <c r="E245" s="1">
        <v>1.0</v>
      </c>
      <c r="F245" s="1">
        <v>223.0</v>
      </c>
      <c r="G245" s="41">
        <v>109.0</v>
      </c>
      <c r="H245" s="1">
        <v>836.0</v>
      </c>
      <c r="I245" s="1">
        <v>0.0</v>
      </c>
      <c r="J245" s="17" t="str">
        <f>IFERROR(__xludf.DUMMYFUNCTION("(GEMINI(""go into the website and search for about us or contact page and pull in the City and State that this website or company is based from"", C245:C639))"),"Portland, OR, and San Diego, CA")</f>
        <v>Portland, OR, and San Diego, CA</v>
      </c>
    </row>
    <row r="246" ht="12.75" hidden="1" customHeight="1">
      <c r="C246" s="40" t="s">
        <v>14008</v>
      </c>
      <c r="D246" s="1">
        <v>0.02</v>
      </c>
      <c r="E246" s="1">
        <v>1.0</v>
      </c>
      <c r="F246" s="1">
        <v>187.0</v>
      </c>
      <c r="G246" s="41">
        <v>95.0</v>
      </c>
      <c r="H246" s="1">
        <v>608.0</v>
      </c>
      <c r="I246" s="1">
        <v>0.0</v>
      </c>
      <c r="J246" s="17" t="str">
        <f>IFERROR(__xludf.DUMMYFUNCTION("(GEMINI(""go into the website and search for about us or contact page and pull in the City and State that this website or company is based from"", C246:C640))"),"Kansas City, KS")</f>
        <v>Kansas City, KS</v>
      </c>
    </row>
    <row r="247" ht="12.75" hidden="1" customHeight="1">
      <c r="C247" s="40" t="s">
        <v>14009</v>
      </c>
      <c r="D247" s="1">
        <v>0.02</v>
      </c>
      <c r="E247" s="1">
        <v>4.0</v>
      </c>
      <c r="F247" s="1">
        <v>362.0</v>
      </c>
      <c r="G247" s="41">
        <v>74.0</v>
      </c>
      <c r="H247" s="1">
        <v>130.0</v>
      </c>
      <c r="I247" s="1">
        <v>0.0</v>
      </c>
      <c r="J247" s="17" t="str">
        <f>IFERROR(__xludf.DUMMYFUNCTION("(GEMINI(""go into the website and search for about us or contact page and pull in the City and State that this website or company is based from"", C247:C641))"),"Overland Park, KS")</f>
        <v>Overland Park, KS</v>
      </c>
    </row>
    <row r="248" ht="12.75" hidden="1" customHeight="1">
      <c r="C248" s="40" t="s">
        <v>14010</v>
      </c>
      <c r="D248" s="1">
        <v>0.02</v>
      </c>
      <c r="E248" s="1">
        <v>1.0</v>
      </c>
      <c r="F248" s="1">
        <v>265.0</v>
      </c>
      <c r="G248" s="41">
        <v>61.0</v>
      </c>
      <c r="H248" s="1">
        <v>267.0</v>
      </c>
      <c r="I248" s="1">
        <v>0.0</v>
      </c>
      <c r="J248" s="17" t="str">
        <f>IFERROR(__xludf.DUMMYFUNCTION("(GEMINI(""go into the website and search for about us or contact page and pull in the City and State that this website or company is based from"", C248:C642))"),"I am unable to browse external websites to extract information.")</f>
        <v>I am unable to browse external websites to extract information.</v>
      </c>
    </row>
    <row r="249" ht="12.75" hidden="1" customHeight="1">
      <c r="C249" s="40" t="s">
        <v>14011</v>
      </c>
      <c r="D249" s="1">
        <v>0.02</v>
      </c>
      <c r="E249" s="1">
        <v>1.0</v>
      </c>
      <c r="F249" s="1">
        <v>450.0</v>
      </c>
      <c r="G249" s="41">
        <v>59.0</v>
      </c>
      <c r="H249" s="1">
        <v>198.0</v>
      </c>
      <c r="I249" s="1">
        <v>0.0</v>
      </c>
      <c r="J249" s="17" t="str">
        <f>IFERROR(__xludf.DUMMYFUNCTION("(GEMINI(""go into the website and search for about us or contact page and pull in the City and State that this website or company is based from"", C249:C643))"),"West Memphis, AR")</f>
        <v>West Memphis, AR</v>
      </c>
    </row>
    <row r="250" ht="12.75" hidden="1" customHeight="1">
      <c r="C250" s="40" t="s">
        <v>14012</v>
      </c>
      <c r="D250" s="1">
        <v>0.02</v>
      </c>
      <c r="E250" s="1">
        <v>1.0</v>
      </c>
      <c r="F250" s="1">
        <v>115.0</v>
      </c>
      <c r="G250" s="41">
        <v>59.0</v>
      </c>
      <c r="H250" s="1">
        <v>23.0</v>
      </c>
      <c r="I250" s="1">
        <v>0.0</v>
      </c>
      <c r="J250" s="17" t="str">
        <f>IFERROR(__xludf.DUMMYFUNCTION("(GEMINI(""go into the website and search for about us or contact page and pull in the City and State that this website or company is based from"", C250:C644))"),"I am unable to visit websites or search specific pages of a website. Please provide the city and state you would like in the cell, or specify the domain for which you have external information.")</f>
        <v>I am unable to visit websites or search specific pages of a website. Please provide the city and state you would like in the cell, or specify the domain for which you have external information.</v>
      </c>
    </row>
    <row r="251" ht="12.75" hidden="1" customHeight="1">
      <c r="C251" s="40" t="s">
        <v>14013</v>
      </c>
      <c r="D251" s="1">
        <v>0.02</v>
      </c>
      <c r="E251" s="1">
        <v>1.0</v>
      </c>
      <c r="F251" s="1">
        <v>250.0</v>
      </c>
      <c r="G251" s="41">
        <v>57.0</v>
      </c>
      <c r="H251" s="1">
        <v>392.0</v>
      </c>
      <c r="I251" s="1">
        <v>0.0</v>
      </c>
      <c r="J251" s="17" t="str">
        <f>IFERROR(__xludf.DUMMYFUNCTION("(GEMINI(""go into the website and search for about us or contact page and pull in the City and State that this website or company is based from"", C251:C645))"),"I am sorry, but I cannot browse external websites or search specific pages like ""about us"" or ""contact"" pages to find location information. I can only use the information provided in the context and the Google Search snippets.")</f>
        <v>I am sorry, but I cannot browse external websites or search specific pages like "about us" or "contact" pages to find location information. I can only use the information provided in the context and the Google Search snippets.</v>
      </c>
    </row>
    <row r="252" ht="12.75" hidden="1" customHeight="1">
      <c r="C252" s="40" t="s">
        <v>14014</v>
      </c>
      <c r="D252" s="1">
        <v>0.02</v>
      </c>
      <c r="E252" s="1">
        <v>1.0</v>
      </c>
      <c r="F252" s="1">
        <v>83.0</v>
      </c>
      <c r="G252" s="41">
        <v>46.0</v>
      </c>
      <c r="H252" s="1">
        <v>331.0</v>
      </c>
      <c r="I252" s="1">
        <v>0.0</v>
      </c>
      <c r="J252" s="17" t="str">
        <f>IFERROR(__xludf.DUMMYFUNCTION("(GEMINI(""go into the website and search for about us or contact page and pull in the City and State that this website or company is based from"", C252:C646))"),"sharprefinishing.com: DFW area (Texas)
nu-tub.net: Springfield, IL
sirgroutboston.com: Greater Boston (Massachusetts)
bathtubreglazinginc.com: Stuart, FL")</f>
        <v>sharprefinishing.com: DFW area (Texas)
nu-tub.net: Springfield, IL
sirgroutboston.com: Greater Boston (Massachusetts)
bathtubreglazinginc.com: Stuart, FL</v>
      </c>
    </row>
    <row r="253" ht="12.75" hidden="1" customHeight="1">
      <c r="C253" s="40" t="s">
        <v>14015</v>
      </c>
      <c r="D253" s="1">
        <v>0.02</v>
      </c>
      <c r="E253" s="1">
        <v>1.0</v>
      </c>
      <c r="F253" s="1">
        <v>383.0</v>
      </c>
      <c r="G253" s="41">
        <v>41.0</v>
      </c>
      <c r="H253" s="1">
        <v>82.0</v>
      </c>
      <c r="I253" s="1">
        <v>0.0</v>
      </c>
      <c r="J253" s="17" t="str">
        <f>IFERROR(__xludf.DUMMYFUNCTION("(GEMINI(""go into the website and search for about us or contact page and pull in the City and State that this website or company is based from"", C253:C647))"),"Springfield, IL")</f>
        <v>Springfield, IL</v>
      </c>
    </row>
    <row r="254" ht="12.75" hidden="1" customHeight="1">
      <c r="C254" s="40" t="s">
        <v>14016</v>
      </c>
      <c r="D254" s="1">
        <v>0.02</v>
      </c>
      <c r="E254" s="1">
        <v>2.0</v>
      </c>
      <c r="F254" s="1">
        <v>246.0</v>
      </c>
      <c r="G254" s="41">
        <v>38.0</v>
      </c>
      <c r="H254" s="1">
        <v>89.0</v>
      </c>
      <c r="I254" s="1">
        <v>0.0</v>
      </c>
      <c r="J254" s="17" t="str">
        <f>IFERROR(__xludf.DUMMYFUNCTION("(GEMINI(""go into the website and search for about us or contact page and pull in the City and State that this website or company is based from"", C254:C648))"),"I am unable to browse websites to find the city and state for ""idealrefinishing.com"".")</f>
        <v>I am unable to browse websites to find the city and state for "idealrefinishing.com".</v>
      </c>
    </row>
    <row r="255" ht="12.75" hidden="1" customHeight="1">
      <c r="C255" s="40" t="s">
        <v>14017</v>
      </c>
      <c r="D255" s="1">
        <v>0.02</v>
      </c>
      <c r="E255" s="1">
        <v>1.0</v>
      </c>
      <c r="F255" s="1">
        <v>283.0</v>
      </c>
      <c r="G255" s="41">
        <v>38.0</v>
      </c>
      <c r="H255" s="1">
        <v>0.0</v>
      </c>
      <c r="I255" s="1">
        <v>0.0</v>
      </c>
      <c r="J255" s="17" t="str">
        <f>IFERROR(__xludf.DUMMYFUNCTION("(GEMINI(""go into the website and search for about us or contact page and pull in the City and State that this website or company is based from"", C255:C649))"),"Boston, MA")</f>
        <v>Boston, MA</v>
      </c>
    </row>
    <row r="256" ht="12.75" hidden="1" customHeight="1">
      <c r="C256" s="40" t="s">
        <v>14018</v>
      </c>
      <c r="D256" s="1">
        <v>0.02</v>
      </c>
      <c r="E256" s="1">
        <v>2.0</v>
      </c>
      <c r="F256" s="1">
        <v>154.0</v>
      </c>
      <c r="G256" s="41">
        <v>38.0</v>
      </c>
      <c r="H256" s="1">
        <v>178.0</v>
      </c>
      <c r="I256" s="1">
        <v>0.0</v>
      </c>
      <c r="J256" s="17" t="str">
        <f>IFERROR(__xludf.DUMMYFUNCTION("(GEMINI(""go into the website and search for about us or contact page and pull in the City and State that this website or company is based from"", C256:C650))"),"bathtubreglazinginc.com: Stuart, Florida
connecticutreglazing.com: Hartford, CT
alisfinishingtouch.com:
bathtubmagic.ca: Toronto, ON
sauguscontractor.com: Saugus, MA
nuglaze.net:
armortechresurfacing.com:
idealresurfacing.com:
prestigerefinishers.com:
drr"&amp;"esurface.com:
reglazeitnow.com:
amazingrefinishingfl.com:
covebath.com:
lakewood-tub-reglazing.com:
newsuperiortub.com:
menjivars-painting.com:
allprorefinishing.com:
tubreglazers.com:
reglazingwow.ca:
greaterdfwrefinishers.com:
spaceandhabit.com:
bathroo"&amp;"mprosnj.com:
surfacespecialists.com:
surfacespecialistsofdenver.com:
mastercraftusa.com:
dalydigs.com:
originalstyle.com:
nytubs.com:
freshlookrefinishing.com:
dwilpainting.com:
toddsbathtubs.com:
thebestrefinishing.com:
bathtubmadenew.com:
armoglazeservi"&amp;"ce.com:
tub-guy.com:
ucoatit.com:
tubzz.com:
thetubguys.net:
carillonrugs.com:
thetubguys757.com:
igloosurfaces.com:
resurfacingsolutions.net:
thebathtubdoctor.com:
24hourbath.com:
bathtubandtilerestoration.com:
tilerestoration.com:
klasskote.com:
empresa"&amp;"floors.com:
bathrefinishingresource.com:
powerpaintingplus.com:
usacountertopsmass.com:
decorative-coating.com:
aaatubntile.com:
abathreglazing.com:
aandjresurfacing.com:
bathtubrefinishingco.net:
probathtubrefinishing.com:
renewitrefinishing.com:
reglazi"&amp;"ngsolutions.com:
nycreglazing.com:
reglazingco.com:
bathtubreglazinglb.com:
bathtubrestorations.com:
amazingreglazingg.com:
eleganttubtilerefinishing.com:
whitetubs.com:
azulejossola.co.uk:
armorkote.net:
brooklyntubrefinishing.com:
patty.plus:
renewyourt"&amp;"ub.com:
jrcoatingtechnologies.com:
baufix-online.com:
wrenthambathrooms.com:
kelloggsporcelain.com:
hudsontubs.com:
newarktubreglazing.com:
keystoneresurfacing.com:
sacramentobathtubrefinishing.org:
allin1coatings.com:
fantasticresurfacing.com.au:
wrentha"&amp;"mbathtubs.com:
tiptoprestorations.com:
advancedreglazing.com:
ohiotubpros.com:
frankensteinrefinishing.com:
paintedotter.com:
enduringsurface.com:
proreglaze.com:
anamazingreglazingq.com:
pmcabathrooms.com:
familyhandyman.com:
vintagetub.com:
blockrenovat"&amp;"ion.com:
daichcoatings.com:
ibathtub.com:
thegroutmedic.com:
greatbuildz.com:
paintritepros.com:
gettilesonline.com.au:
all.biz:
streamlinebath.com:
setileconnection.com:
surfaceexperts.com:
tandlinternational.com:
surface-renew.com:
correctcaulking.com.a"&amp;"u:
nationalplastics.co.uk:
stonerestorationworks.com:
simplepracticalbeautiful.com:
peachpainting.com:
bath-works.net:
acamporainteriors.com:
roperrhodes.co.uk:
jeweledinteriors.com:
hambletonhandyman.com:
seiffertlumber.com:
getagrip.com:
trustedpros.ca:"&amp;"
aosom.ca:
georgebathroom.com:
thebesttileinstallation.com:
ctasc.com:
drench.co.uk:
bngremodel.com:
jandjconstruction.com:
homeimprovementskansascity.com:
panelcompany.co.uk:
smartcret.com:
semcofl.com:
serviceteam.co.uk:
theinteriorsaddict.com:
carpetou"&amp;"tlets.net:
columbusbathdesign.com:
monarchpainting.com.au:
bathprofessional.com:
rihi.com:
lavishceramics.com:
bathtubrefinishingstore.com:
\[suspicious link removed\]:
n2n.la:
rivercityboston.com:
arlandriafloors.com:
seattlebathtubguy.com:
lifespanhi.co"&amp;"m:
homelivinghandbook.com:
foxvalleybathtubrefinishing.com:
porcelainsuperstore.co.uk:
tileoutlet.net:
ultrabathroom.com:
superiorbathtubrefinishing.com:
bathtubguys.com:
renukrete.com:
paintpositive.com:
premierrefinishing.net:
dsapone.com:
tiledoctor.bi"&amp;"z:
bathroomwerx.com.au:
californiatilerestoration.com:
seamlessoverlays.com:
foremansnags.com:
somathomeremodeling.com:
southingtonpainting.com:
accurateplumbingtx.com:
bathrenovationhq.com:
gouldpaintingwny.com:
cincottitile.com:
ftworthrefinishing.com:
"&amp;"mrresurface.com:
stone3.com.au:
bathtubrefinishingtulsa.com:
classicallyjill.com:
borobathrooms.co.uk:
a1reglaze.com:
re-surfacepro.com:
bathroomremodeleriepa.com:
capsulegallery.com:
tubnshower.com:
mayfairbuildinggroup.com.au:
thebathtubguy.com:
capital"&amp;"bathrooms.com.au:
amazingtubsreglaze.com:
losangelesbathtubreglazing.webflow.io:
dallastubrefinishing.com:
floridatubreglazing.com:
alfredosrefinish.com:
johnsonflooringtn.com:
winchestertileservice.com:
rksbathtubandtilerestorations.com:
strivetilereglaz"&amp;"ing.com:
reglazinglosangeles0.yolasite.com:
aaarefinishing.com:
:
:
:
:
:
:
:
:
:
:
:
:
:
:
:
:
:
:
:
:
:
:
:
:
:
:
:
:
:
:
:
:
:
:
:
:
:
:
:
:
:
:
:
:
:
:
:
:
:
:
:
:
:
:
:
:
:
:
:
:
:
:
:
:
:
:
:
:
:
:
:
:
:
:
:
:
:
:
:
:
:
:
:
:
:
:
:
:
:
:
:
:
:
:
:
:"&amp;"
:
:
:
:
:
:
:
:
:
:
:
:
:
:
:
:
:
:
:
:
:
:
:
:
:
:
:
:
:
:
:
:
:
:
:
:
:
:
:
:
:
:
:
:
:
:
:
:
:
:
:
:
:
:
:
:
:
:
:
:
:
:
:
:
:
:
:
:
:
:
:
:
:
:
:
:
:
:
:
:
:
:
:
:
:
:
:
:
:
:
:
:
:
:
:
:
:
:
:
:
:
:
:
:
:
:
:
:
:
:
:
:
:
:
:
:
:
:
:
:
:
:
:
:
:
:
:
"&amp;":
:
:
:
:
:
:
:
:
:
:
:
:
:
:
:
:
:
:
:
:
:
:
:
:
:
:
:
:
:
:
:
:
:
:
:
:
:
:
:
:
:
:
:
:
:
:
:
:
:
:
:
:
:
:
:
:
:
:
:
:
:
:
:
:
:
:
:
:
:
:
:
:
:
:
:
:
:
:
:
:
:
:
:
:
:
:
:
:
:
:
:
:
:
:
:
:
:
:
:
:
:
:
:
:
:
:
:
:
:
:
:
:
:
:
:
:
:
:
:
:
:
:
:
:
:
:
:"&amp;"
:
:
:
:
:
:
:
:
:
:
:
:
:
:
:
:
:
:
:
:
:
:
:
:
:
:
:
:
:
:
:
:
:
:
:
:
:
:
:
:
:
:
:
:
:
:
:
:
:
:
:
:
:
:
:
:
:
:
:
:
:
:
:
:
:
:
:
:
:
:
:
:
:
:
:
:
:
:
:
:
:
:
:
:
:
:
:
:
:
:
:
:
:
:
:
:
:
:
:
:
:
:
:
:
:
:
:
:
:
:
:
:
:
:
:
:
:
:
:
:
:
:
:
:
:
:
:
"&amp;":
:
:
:
:
:
:
:
:
:
:
:
:
:
:
:
:
:
:
:
:
:
:
:
:
:
:
:
:
:
:
:
:
:
:
:
:
:
:
:
:
:
:
:
:
:
:
:
:
:
:
:
:
:
:
:
:
:
:
:
:
:
:
:
:
:
:
:
:
:
:
:
:
:
:
:
:
:
:
:
:
:
:
:
:
:
:
:
:
:
:
:
:
:
:
:
:
:
:
:
:
:
:
:
:
:
:
:
:
:
:
:
:
:
:
:
:
:
:
:
:
:
:
:
:
:
:
:"&amp;"
:
:
:
:
:
:
:
:
:
:
:
:
:
:
:
:
:
:
:
:
:
:
:
:
:
:
:
:
:
:
:
:
:
:
:
:
:
:
:
:
:
:
:
:
:
:
:
:
:
:
:
:
:
:
:
:
:
:
:
:
:
:
:
:
:
:
:
:
:
:
:
:
:
:
:
:
:
:
:
:
:
:
:
:
:
:
:
:
:
:
:
:
:
:
:
:
:
:
:
:
:
:
:
:
:
:
:
:
:
:
:
:
:
:
:
:
:
:
:
:
:
:
:
:
:
:
:
"&amp;":
:
:
:
:
:
:
:
:
:
:
:
:
:
:
:
:
:
:
:
:
:
:
:
:
:
:
:
:
:
:
:
:
:
:
:
:
:
:
:
:
:
:
:
:
:
:
:
:
:
:
:
:
:
:
:
:
:
:
:
:
:
:
:
:
:
:
:
:
:
:
:
:
:
:
:
:
:
:
:
:
:
:
:
:
:
:
:
:
:
:
:
:
:
:
:
:
:
:
:
:
:
:
:
:
:
:
:
:
:
:
:
:
:
:
:
:
:
:
:
:
:
:
:
:
:
:
:"&amp;"
:
:
:
:
:
:
:
:
:
:
:
:
:
:
:
:
:
:
:
:
:
:
:
:
:
:
:
:
:
:
:
:
:
:
:
:
:
:
:
:
:
:
:
:
:
:
:
:
:
:
:
:
:
:
:
:
:
:
:
:
:
:
:
:
:
:
:
:
:
:
:
:
:
:
:
:
:
:
:
:
:
:
:
:
:
:
:
:
:
:
:
:
:
:
:
:
:
:
:
:
:
:
:
:
:
:
:
:
:
:
:
:
:
:
:
:
:
:
:
:
:
:
:
:
:
:
:
"&amp;":
:
:
:
:
:
:
:
:
:
:
:
:
:
:
:
:
:
:
:
:
:
:
:
:
:
:
:
:
:
:
:
:
:
:
:
:
:
:
:
:
:
:
:
:
:
:
:
:
:
:
:
:
:
:
:
:
:
:
:
:
:
:
:
:
:
:
:
:
:
:
:
:
:
:
:
:
:
:
:
:
:
:
:
:
:
:
:
:
:
:
:
:
:
:
:
:
:
:
:
:
:
:
:
:
:
:
:
:
:
:
:
:
:
:
:
:
:
:
:
:
:
:
:
:
:
:
:"&amp;"
:
:
:
:
:
:
:
:
:
:
:
:
:
:
:
:
:
:
:
:
:
:
:
:
:
:
:
:
:
:
:
:
:
:
:
:
:
:
:
:
:
:
:
:
:
:
:
:
:
:
:
:
:
:
:
:
:
:
:
:
:
:
:
:
:
:
:
:
:
:
:
:
:
:
:
:
:
:
:
:
:
:
:
:
:
:
:
:
:
:
:
:
:
:
:
:
:
:
:
:
:
:
:
:
:
:
:
:
:
:
:
:
:
:
:
:
:
:
:
:
:
:
:
:
:
:
:
"&amp;":
:
:
:
:
:
:
:
:
:
:
:
:
:
:
:
:
:
:
:
:
:
:
:
:
:
:
:
:
:
:
:
:
:
:
:
:
:
:
:
:
:
:
:
:
:
:
:
:
:
:
:
:
:
:
:
:
:
:
:
:
:
:
:
:
:
:
:
:
:
:
:
:
:
:
:
:
:
:
:
:
:
:
:
:
:
:
:
:
:
:
:
:
:
:
:
:
:
:
:
:
:
:
:
:
:
:
:
:
:
:
:
:
:
:
:
:
:
:
:
:
:
:
:
:
:
:
:"&amp;"
:
:
:
:
:
:
:
:
:
:
:
:
:
:
:
:
:
:
:
:
:
:
:
:
:
:
:
:
:
:
:
:
:
:
:
:
:
:
:
:
:
:
:
:
:
:
:
:
:
:
:
:
:
:
:
:
:
:
:
:
:
:
:
:
:
:
:
:
:
:
:
:
:
:
:
:
:
:
:
:
:
:
:
:
:
:
:
:
:
:
:
:
:
:
:
:
:
:
:
:
:
:
:
:
:
:
:
:
:
:
:
:
:
:
:
:
:
:
:
:
:
:
:
:
:
:
:
"&amp;":
:
:
:
:
:
:
:
:
:
:
:
:
:
:
:
:
:
:
:
:
:
:
:
:
:
:
:
:
:
:
:
:
:
:
:
:
:
:
:
:
:
:
:
:
:
:
:
:
:
:
:
:
:
:
:
:
:
:
:
:
:
:
:
:
:
:
:
:
:
:
:
:
:
:
:
:
:
:
:
:
:
:
:
:
:
:
:
:
:
:
:
:
:
:
:
:
:
:
:
:
:
:
:
:
:
:
:
:
:
:
:
:
:
:
:
:
:
:
:
:
:
:
:
:
:
:
:"&amp;"
:
:
:
:
:
:
:
:
:
:
:
:
:
:
:
:
:
:
:
:
:
:
:
:
:
:
:
:
:
:
:
:
:
:
:
:
:
:
:
:
:
:
:
:
:
:
:
:
:
:
:
:
:
:
:
:
:
:
:
:
:
:
:
:
:
:
:
:
:
:
:
:
:
:
:
:
:
:
:
:
:
:
:
:
:
:
:
:
:
:
:
:
:
:
:
:
:
:
:
:
:
:
:
:
:
:
:
:
:
:
:
:
:
:
:
:
:
:
:
:
:
:
:
:
:
:
:
"&amp;":
:
:
:
:
:
:
:
:
:
:
:
:
:
:
:
:
:
:
:
:
:
:
:
:
:
:
:
:
:
:
:
:
:
:
:
:
:
:
:
:
:
:
:
:
:
:
:
:
:
:
:
:
:
:
:
:
:
:
:
:
:
:
:
:
:
:
:
:
:
:
:
:
:
:
:
:
:
:
:
:
:
:
:
:
:
:
:
:
:
:
:
:
:
:
:
:
:
:
:
:
:
:
:
:
:
:
:
:
:
:
:
:
:
:
:
:
:
:
:
:
:
:
:
:
:
:
:"&amp;"
:
:
:
:
:
:
:
:
:
:
:
:
:
:
:
:
:
:
:
:
:
:
:
:
:
:
:
:
:
:
:
:
:
:
:
:
:
:
:
:
:
:
:
:
:
:
:
:
:
:
:
:
:
:
:
:
:
:
:
:
:
:
:
:
:
:
:
:
:
:
:
:
:
:
:
:
:
:
:
:
:
:
:
:
:
:
:
:
:
:
:
:
:
:
:
:
:
:
:
:
:
:
:
:
:
:
:
:
:
:
:
:
:
:
:
:
:
:
:
:
:
:
:
:
:
:
:
"&amp;":
:
:
:
:
:
:
:
:
:
:
:
:
:
:
:
:
:
:
:
:
:
:
:
:
:
:
:
:
:
:
:
:
:
:
:
:
:
:
:
:
:
:
:
:
:
:
:
:
:
:
:
:
:
:
:
:
:
:
:
:
:
:
:
:
:
:
:
:
:
:
:
:
:
:
:
:
:
:
:
:
:
:
:
:
:
:
:
:
:
:
:
:
:
:
:
:
:
:
:
:
:
:
:
:
:
:
:
:
:
:
:
:
:
:
:
:
:
:
:
:
:
:
:
:
:
:
:"&amp;"
:
:
:
:
:
:
:
:
:
:
:
:
:
:
:
:
:
:
:
:
:
:
:
:
:
:
:
:
:
:
:
:
:
:
:
:
:
:
:
:
:
:
:
:
:
:
:
:
:
:
:
:
:
:
:
:
:
:
:
:
:
:
:
:
:
:
:
:
:
:
:
:
:
:
:
:
:
:
:
:
:
:
:
:
:
:
:
:
:
:
:
:
:
:
:
:
:
:
:
:
:
:
:
:
:
:
:
:
:
:
:
:
:
:
:
:
:
:
:
:
:
:
:
:
:
:
:
"&amp;":
:
:
:
:
:
:
:
:
:
:
:
:
:
:
:
:
:
:
:
:
:
:
:
:
:
:
:
:
:
:
:
:
:
:
:
:
:
:
:
:
:
:
:
:
:
:
:
:
:
:
:
:
:
:
:
:
:
:
:
:
:
:
:
:
:
:
:
:
:
:
:
:
:
:
:
:
:
:
:
:
:
:
:
:
:
:
:
:
:
:
:
:
:
:
:
:
:
:
:
:
:
:
:
:
:
:
:
:
:
:
:
:
:
:
:
:
:
:
:
:
:
:
:
:
:
:
:"&amp;"
:
:
:
:
:
:
:
:
:
:
:
:
:
:
:
:
:
:
:
:
:
:
:
:
:
:
:
:
:
:
:
:
:
:
:
:
:
:
:
:
:
:
:
:
:
:
:
:
:
:
:
:
:
:
:
:
:
:
:
:
:
:
:
:
:
:
:
:
:
:
:
:
:
:
:
:
:
:
:
:
:
:
:
:
:
:
:
:
:
:
:
:
:
:
:
:
:
:
:
:
:
:
:
:
:
:
:
:
:
:
:
:
:
:
:
:
:
:
:
:
:
:
:
:
:
:
:
"&amp;":
:
:
:
:
:
:
:
:
:
:
:
:
:
:
:
:
:
:
:
:
:
:
:
:
:
:
:
:
:
:
:
:
:
:
:
:
:
:
:
:
:
:
:
:
:
:
:
:
:
:
:
:
:
:
:
:
:
:
:
:
:
:
:
:
:
:
:
:
:
:
:
:
:
:
:
:
:
:
:
:
:
:
:
:
:
:
:
:
:
:
:
:
:
:
:
:
:
:
:
:
:
:
:
:
:
:
:
:
:
:
:
:
:
:
:
:
:
:
:
:
:
:
:
:
:
:
:"&amp;"
:
:
:
:
:
:
:
:
:
:
:
:
:
:
:
:
:
:
:
:
:
:
:
:
:
:
:
:
:
:
:
:
:
:
:
:
:
:
:
:
:
:
:
:
:
:
:
:
:
:
:
:
:
:
:
:
:
:
:
:
:
:
:
:
:
:
:
:
:
:
:
:
:
:
:
:
:
:
:
:
:
:
:
:
:
:
:
:
:
:
:
:
:
:
:
:
:
:
:
:
:
:
:
:
:
:
:
:
:
:
:
:
:
:
:
:
:
:
:
:
:
:
:
:
:
:
:
"&amp;":
:
:
:
:
:
:
:
:
:
:
:
:
:
:
:
:
:
:
:
:
:
:
:
:
:
:
:
:
:
:
:
:
:
:
:
:
:
:
:
:
:
:
:
:
:
:
:
:
:
:
:
:
:
:
:
:
:
:
:
:
:
:
:
:
:
:
:
:
:
:
:
:
:
:
:
:
:
:
:
:
:
:
:
:
:
:
:
:
:
:
:
:
:
:
:
:
:
:
:
:
:
:
:
:
:
:
:
:
:
:
:
:
:
:
:
:
:
:
:
:
:
:
:
:
:
:
:"&amp;"
:
:
:
:
:
:
:
:
:
:
:
:
:
:
:
:
:
:
:
:
:
:
:
:
:
:
:
:
:
:
:
:
:
:
:
:
:
:
:
:
:
:
:
:
:
:
:
:
:
:
:
:
:
:
:
:
:
:
:
:
:
:
:
:
:
:
:
:
:
:
:
:
:
:
:
:
:
:
:
:
:
:
:
:
:
:
:
:
:
:
:
:
:
:
:
:
:
:
:
:
:
:
:
:
:
:
:
:
:
:
:
:
:
:
:
:
:
:
:
:
:
:
:
:
:
:
:
"&amp;":
:
:
:
:
:
:
:
:
:
:
:
:
:
:
:
:
:
:
:
:
:
:
:
:
:
:
:
:
:
:
:
:
:
:
:
:
:
:
:
:
:
:
:
:
:
:
:
:
:
:
:
:
:
:
:
:
:
:
:
:
:
:
:
:
:
:
:
:
:
:
:
:
:
:
:
:
:
:
:
:
:
:
:
:
:
:
:
:
:
:
:
:
:
:
:
:
:
:
:
:
:
:
:
:
:
:
:
:
:
:
:
:
:
:
:
:
:
:
:
:
:
:
:
:
:
:
:"&amp;"
:
:
:
:
:
:
:
:
:
:
:
:
:
:
:
:
:
:
:
:
:
:
:
:
:
:
:
:
:
:
:
:
:
:
:
:
:
:
:
:
:
:
:
:
:
:
:
:
:
:
:
:
:
:
:
:
:
:
:
:
:
:
:
:
:
:
:
:
:
:
:
:
:
:
:
:
:
:
:
:
:
:
:
:
:
:
:
:
:
:
:
:
:
:
:
:
:
:
:
:
:
:
:
:
:
:
:
:
:
:
:
:
:
:
:
:
:
:
:
:
:
:
:
:
:
:
:
"&amp;":
:
:
:
:
:
:
:
:
:
:
:
:
:
:
:
:
:
:
:
:
:
:
:
:
:
:
:
:
:
:
:
:
:
:
:
:
:
:
:
:
:
:
:
:
:
:
:
:
:
:
:
:
:
:
:
:
:
:
:
:
:
:
:
:
:
:
:
:
:
:
:
:
:
:
:
:
:
:
:
:
:
:
:
:
:
:
:
:
:
:
:
:
:
:
:
:
:
:
:
:
:
:
:
:
:
:
:
:
:
:
:
:
:
:
:
:
:
:
:
:
:
:
:
:
:
:
:"&amp;"
:
:
:
:
:
:
:
:
:
:
:
:
:
:
:
:
:
:
:
:
:
:
:
:
:
:
:
:
:
:
:
:
:
:
:
:
:
:
:
:
:
:
:
:
:
:
:
:
:
:
:
:
:
:
:
:
:
:
:
:
:
:
:
:
:
:
:
:
:
:
:
:
:
:
:
:
:
:
:
:
:
:
:
:
:
:
:
:
:
:
:
:
:
:
:
:
:
:
:
:
:
:
:
:
:
:
:
:
:
:
:
:
:
:
:
:
:
:
:
:
:
:
:
:
:
:
:
"&amp;":
:
:
:
:
:
:
:
:
:
:
:
:
:
:
:
:
:
:
:
:
:
:
:
:
:
:
:
:
:
:
:
:
:
:
:
:
:
:
:
:
:
:
:
:
:
:
:
:
:
:
:
:
:
:
:
:
:
:
:
:
:
:
:
:
:
:
:
:
:
:
:
:
:
:
:
:
:
:
:
:
:
:
:
:
:
:
:
:
:
:
:
:
:
:
:
:
:
:
:
:
:
:
:
:
:
:
:
:
:
:
:
:
:
:
:
:
:
:
:
:
:
:
:
:
:
:
:"&amp;"
:
:
:
:
:
:
:
:
:
:
:
:
:
:
:
:
:
:
:
:
:
:
:
:
:
:
:
:
:
:
:
:
:
:
:
:
:
:
:
:
:
:
:
:
:
:
:
:
:
:
:
:
:
:
:
:
:
:
:
:
:
:
:
:
:
:
:
:
:
:
:
:
:
:
:
:
:
:
:
:
:
:
:
:
:
:
:
:
:
:
:
:
:
:
:
:
:
:
:
:
:
:
:
:
:
:
:
:
:
:
:
:
:
:
:
:
:
:
:
:
:
:
:
:
:
:
:
"&amp;":
:
:
:
:
:
:
:
:
:
:
:
:
:
:
:
:
:
:
:
:
:
:
:
:
:
:
:
:
:
:
:
:
:
:
:
:
:
:
:
:
:
:
:
:
:
:
:
:
:
:
:
:
:
:
:
:
:
:
:
:
:
:
:
:
:
:
:
:
:
:
:
:
:
:
:
:
:
:
:
:
:
:
:
:
:
:
:
:
:
:
:
:
:
:
:
:
:
:
:
:
:
:
:
:
:
:
:
:
:
:
:
:
:
:
:
:
:
:
:
:
:
:
:
:
:
:
:"&amp;"
:
:
:
:
:
:
:
:
:
:
:
:
:
:
:
:
:
:
:
:
:
:
:
:
:
:
:
:
:
:
:
:
:
:
:
:
:
:
:
:
:
:
:
:
:
:
:
:
:
:
:
:
:
:
:
:
:
:
:
:
:
:
:
:
:
:
:
:
:
:
:
:
:
:
:
:
:
:
:
:
:
:
:
:
:
:
:
:
:
:
:
:
:
:
:
:
:
:
:
:
:
:
:
:
:
:
:
:
:
:
:
:
:
:
:
:
:
:
:
:
:
:
:
:
:
:
:
"&amp;":
:
:
:
:
:
:
:
:
:
:
:
:
:
:
:
:
:
:
:
:
:
:
:
:
:
:
:
:
:
:
:
:
:
:
:
:
:
:
:
:
:
:
:
:
:
:
:
:
:
:
:
:
:
:
:
:
:
:
:
:
:
:
:
:
:
:
:
:
:
:
:
:
:
:
:
:
:
:
:
:
:
:
:
:
:
:
:
:
:
:
:
:
:
:
:
:
:
:
:
:
:
:
:
:
:
:
:
:
:
:
:
:
:
:
:
:
:
:
:
:
:
:
:
:
:
:
:"&amp;"
:
:
:
:
:
:
:
:
:
:
:
:
:
:
:
:
:
:
:
:
:
:
:
:
:
:
:
:
:
:
:
:
:
:
:
:
:
:
:
:
:
:
:
:
:
:
:
:
:
:
:
:
:
:
:
:
:
:
:
:
:
:
:
:
:
:
:
:
:
:
:
:
:
:
:
:
:
:
:
:
:
:
:
:
:
:
:
:
:
:
:
:
:
:
:
:
:
:
:
:
:
:
:
:
:
:
:
:
:
:
:
:
:
:
:
:
:
:
:
:
:
:
:
:
:
:
:
"&amp;":
:
:
:
:
:
:
:
:
:
:
:
:
:
:
:
:
:
:
:
:
:
:
:
:
:
:
:
:
:
:
:
:
:
:
:
:
:
:
:
:
:
:
:
:
:
:
:
:
:
:
:
:
:
:
:
:
:
:
:
:
:
:
:
:
:
:
:
:
:
:
:
:
:
:
:
:
:
:
:
:
:
:
:
:
:
:
:
:
:
:
:
:
:
:
:
:
:
:
:
:
:
:
:
:
:
:
:
:
:
:
:
:
:
:
:
:
:
:
:
:
:
:
:
:
:
:
:"&amp;"
:
:
:
:
:
:
:
:
:
:
:
:
:
:
:
:
:
:
:
:
:
:
:
:
:
:
:
:
:
:
:
:
:
:
:
:
:
:
:
:
:
:
:
:
:
:
:
:
:
:
:
:
:
:
:
:
:
:
:
:
:
:
:
:
:
:
:
:
:
:
:
:
:
:
:
:
:
:
:
:
:
:
:
:
:
:
:
:
:
:
:
:
:
:
:
:
:
:
:
:
:
:
:
:
:
:
:
:
:
:
:
:
:
:
:
:
:
:
:
:
:
:
:
:
:
:
:
"&amp;":
:
:
:
:
:
:
:
:
:
:
:
:
:
:
:
:
:
:
:
:
:
:
:
:
:
:
:
:
:
:
:
:
:
:
:
:
:
:
:
:
:
:
:
:
:
:
:
:
:
:
:
:
:
:
:
:
:
:
:
:
:
:
:
:
:
:
:
:
:
:
:
:
:
:
:
:
:
:
:
:
:
:
:
:
:
:
:
:
:
:
:
:
:
:
:
:
:
:
:
:
:
:
:
:
:
:
:
:
:
:
:
:
:
:
:
:
:
:
:
:
:
:
:
:
:
:
:"&amp;"
:
:
:
:
:
:
:
:
:
:
:
:
:
:
:
:
:
:
:
:
:
:
:
:
:
:
:
:
:
:
:
:
:
:
:
:
:
:
:
:
:
:
:
:
:
:
:
:
:
:
:
:
:
:
:
:
:
:
:
:
:
:
:
:
:
:
:
:
:
:
:
:
:
:
:
:
:
:
:
:
:
:
:
:
:
:
:
:
:
:
:
:
:
:
:
:
:
:
:
:
:
:
:
:
:
:
:
:
:
:
:
:
:
:
:
:
:
:
:
:
:
:
:
:
:
:
:
"&amp;":
:
:
:
:
:
:
:
:
:
:
:
:
:
:
:
:
:
:
:
:
:
:
:
:
:
:
:
:
:
:
:
:
:
:
:
:
:
:
:
:
:
:
:
:
:
:
:
:
:
:
:
:
:
:
:
:
:
:
:
:
:
:
:
:
:
:
:
:
:
:
:
:
:
:
:
:
:
:
:
:
:
:
:
:
:
:
:
:
:
:
:
:
:
:
:
:
:
:
:
:
:
:
:
:
:
:
:
:
:
:
:
:
:
:
:
:
:
:
:
:
:
:
:
:
:
:
:"&amp;"
:
:
:
:
:
:
:
:
:
:
:
:
:
:
:
:
:
:
:
:
:
:
:
:
:
:
:
:
:
:
:
:
:
:
:
:
:
:
:
:
:
:
:
:
:
:
:
:
:
:
:
:
:
:
:
:
:
:
:
:
:
:
:
:
:
:
:
:
:
:
:
:
:
:
:
:
:
:
:
:
:
:
:
:
:
:
:
:
:
:
:
:
:
:
:
:
:
:
:
:
:
:
:
:
:
:
:
:
:
:
:
:
:
:
:
:
:
:
:
:
:
:
:
:
:
:
:
"&amp;":
:
:
:
:
:
:
:
:
:
:
:
:
:
:
:
:
:
:
:
:
:
:
:
:
:
:
:
:
:
:
:
:
:
:
:
:
:
:
:
:
:
:
:
:
:
:
:
:
:
:
:
:
:
:
:
:
:
:
:
:
:
:
:
:
:
:
:
:
:
:
:
:
:
:
:
:
:
:
:
:
:
:
:
:
:
:
:
:
:
:
:
:
:
:
:
:
:
:
:
:
:
:
:
:
:
:
:
:
:
:
:
:
:
:
:
:
:
:
:
:
:
:
:
:
:
:
:"&amp;"
:
:
:
:
:
:
:
:
:
:
:
:
:
:
:
:
:
:
:
:
:
:
:
:
:
:
:
:
:
:
:
:
:
:
:
:
:
:
:
:
:
:
:
:
:
:
:
:
:
:
:
:
:
:
:
:
:
:
:
:
:
:
:
:
:
:
:
:
:
:
:
:
:
:
:
:
:
:
:
:
:
:
:
:
:
:
:
:
:
:
:
:
:
:
:
:
:
:
:
:
:
:
:
:
:
:
:
:
:
:
:
:
:
:
:
:
:
:
:
:
:
:
:
:
:
:
:
"&amp;":
:
:
:
:
:
:
:
:
:
:
:
:
:
:
:
:
:
:
:
:
:
:
:
:
:
:
:
:
:
:
:
:
:
:
:
:
:
:
:
:
:
:
:
:
:
:
:
:
:
:
:
:
:
:
:
:
:
:
:
:
:
:
:
:
:
:
:
:
:
:
:
:
:
:
:
:
:
:
:
:
:
:
:
:
:
:
:
:
:
:
:
:
:
:
:
:
:
:
:
:
:
:
:
:
:
:
:
:
:
:
:
:
:
:
:
:
:
:
:
:
:
:
:
:
:
:
:"&amp;"
:
:
:
:
:
:
:
:
:
:
:
:
:
:
:
:
:
:
:
:
:
:
:
:
:
:
:
:
:
:
:
:
:
:
:
:
:
:
:
:
:
:
:
:
:
:
:
:
:
:
:
:
:
:
:
:
:
:
:
:
:
:
:
:
:
:
:
:
:
:
:
:
:
:
:
:
:
:
:
:
:
:
:
:
:
:
:
:
:
:
:
:
:
:
:
:
:
:
:
:
:
:
:
:
:
:
:
:
:
:
:
:
:
:
:
:
:
:
:
:
:
:
:
:
:
:
:
"&amp;":
:
:
:
:
:
:
:
:
:
:
:
:
:
:
:
:
:
:
:
:
:
:
:
:
:
:
:
:
:
:
:
:
:
:
:
:
:
:
:
:
:
:
:
:
:
:
:
:
:
:
:
:
:
:
:
:
:
:
:
:
:
:
:
:
:
:
:
:
:
:
:
:
:
:
:
:
:
:
:
:
:
:
:
:
:
:
:
:
:
:
:
:
:
:
:
:
:
:
:
:
:
:
:
:
:
:
:
:
:
:
:
:
:
:
:
:
:
:
:
:
:
:
:
:
:
:
:"&amp;"
:
:
:
:
:
:
:
:
:
:
:
:
:
:
:
:
:
:
:
:
:
:
:
:
:
:
:
:
:
:
:
:
:
:
:
:
:
:
:
:
:
:
:
:
:
:
:
:
:
:
:
:
:
:
:
:
:
:
:
:
:
:
:
:
:
:
:
:
:
:
:
:
:
:
:
:
:
:
:
:
:
:
:
:
:
:
:
:
:
:
:
:
:
:
:
:
:
:
:
:
:
:
:
:
:
:
:
:
:
:
:
:
:
:
:
:
:
:
:
:
:
:
:
:
:
:
:
"&amp;":
:
:
:
:
:
:
:
:
:
:
:
:
:
:
:
:
:
:
:
:
:
:
:
:
:
:
:
:
:
:
:
:
:
:
:
:
:
:
:
:
:
:
:
:
:
:
:
:
:
:
:
:
:
:
:
:
:
:
:
:
:
:
:
:
:
:
:
:
:
:
:
:
:
:
:
:
:
:
:
:
:
:
:
:
:
:
:
:
:
:
:
:
:
:
:
:
:
:
:
:
:
:
:
:
:
:
:
:
:
:
:
:
:
:
:
:
:
:
:
:
:
:
:
:
:
:
:"&amp;"
:
:
:
:
:
:
:
:
:
:
:
:
:
:
:
:
:
:
:
:
:
:
:
:
:
:
:
:
:
:
:
:
:
:
:
:
:
:
:
:
:
:
:
:
:
:
:
:
:
:
:
:
:
:
:
:
:
:
:
:
:
:
:
:
:
:
:
:
:
:
:
:
:
:
:
:
:
:
:
:
:
:
:
:
:
:
:
:
:
:
:
:
:
:
:
:
:
:
:
:
:
:
:
:
:
:
:
:
:
:
:
:
:
:
:
:
:
:
:
:
:
:
:
:
:
:
:
"&amp;":
:
:
:
:
:
:
:
:
:
:
:
:
:
:
:
:
:
:
:
:
:
:
:
:
:
:
:
:
:
:
:
:
:
:
:
:
:
:
:
:
:
:
:
:
:
:
:
:
:
:
:
:
:
:
:
:
:
:
:
:
:
:
:
:
:
:
:
:
:
:
:
:
:
:
:
:
:
:
:
:
:
:
:
:
:
:
:
:
:
:
:
:
:
:
:
:
:
:
:
:
:
:
:
:
:
:
:
:
:
:
:
:
:
:
:
:
:
:
:
:
:
:
:
:
:
:
:"&amp;"
:
:
:
:
:
:
:
:
:
:
:
:
:
:
:
:
:
:
:
:
:
:
:
:
:
:
:
:
:
:
:
:
:
:
:
:
:
:
:
:
:
:
:
:
:
:
:
:
:
:
:
:
:
:
:
:
:
:
:
:
:
:
:
:
:
:
:
:
:
:
:
:
:
:
:
:
:
:
:
:
:
:
:
:
:
:
:
:
:
:
:
:
:
:
:
:
:
:
:
:
:
:
:
:
:
:
:
:
:
:
:
:
:
:
:
:
:
:
:
:
:
:
:
:
:
:
:
"&amp;":
:
:
:
:
:
:
:
:
:
:
:
:
:
:
:
:
:
:
:
:
:
:
:
:
:
:
:
:
:
:
:
:
:
:
:
:
:
:
:
:
:
:
:
:
:
:
:
:
:
:
:
:
:
:
:
:
:
:
:
:
:
:
:
:
:
:
:
:
:
:
:
:
:
:
:
:
:
:
:
:
:
:
:
:
:
:
:
:
:
:
:
:
:
:
:
:
:
:
:
:
:
:
:
:
:
:
:
:
:
:
:
:
:
:
:
:
:
:
:
:
:
:
:
:
:
:
:"&amp;"
:
:
:
:
:
:
:
:
:
:
:
:
:
:
:
:
:
:
:
:
:
:
:
:
:
:
:
:
:
:
:
:
:
:
:
:
:
:
:
:
:
:
:
:
:
:
:
:
:
:
:
:
:
:
:
:
:
:
:
:
:
:
:
:
:
:
:
:
:
:
:
:
:
:
:
:
:
:
:
:
:
:
:
:
:
:
:
:
:
:
:
:
:
:
:
:
:
:
:
:
:
:
:
:
:
:
:
:
:
:
:
:
:
:
:
:
:
:
:
:
:
:
:
:
:
:
:
"&amp;":
:
:
:
:
:
:
:
:
:
:
:
:
:
:
:
:
:
:
:
:
:
:
:
:
:
:
:
:
:
:
:
:
:
:
:
:
:
:
:
:
:
:
:
:
:
:
:
:
:
:
:
:
:
:
:
:
:
:
:
:
:
:
:
:
:
Barthroom and State:  - NO\_HEADER                            | Stuart, Florida
  - NO\_HEADER: connecticutreglazing.com  |"&amp;" Hartford, CT
  - NO\_HEADER: sauguscontractor.com     | Saugus, MA
  - NO\_HEADER: bathtubmagic.ca          | Toronto, ON")</f>
        <v>bathtubreglazinginc.com: Stuart, Florida
connecticutreglazing.com: Hartford, CT
alisfinishingtouch.com:
bathtubmagic.ca: Toronto, ON
sauguscontractor.com: Saugus, MA
nuglaze.net:
armortechresurfacing.com:
idealresurfacing.com:
prestigerefinishers.com:
drresurface.com:
reglazeitnow.com:
amazingrefinishingfl.com:
covebath.com:
lakewood-tub-reglazing.com:
newsuperiortub.com:
menjivars-painting.com:
allprorefinishing.com:
tubreglazers.com:
reglazingwow.ca:
greaterdfwrefinishers.com:
spaceandhabit.com:
bathroomprosnj.com:
surfacespecialists.com:
surfacespecialistsofdenver.com:
mastercraftusa.com:
dalydigs.com:
originalstyle.com:
nytubs.com:
freshlookrefinishing.com:
dwilpainting.com:
toddsbathtubs.com:
thebestrefinishing.com:
bathtubmadenew.com:
armoglazeservice.com:
tub-guy.com:
ucoatit.com:
tubzz.com:
thetubguys.net:
carillonrugs.com:
thetubguys757.com:
igloosurfaces.com:
resurfacingsolutions.net:
thebathtubdoctor.com:
24hourbath.com:
bathtubandtilerestoration.com:
tilerestoration.com:
klasskote.com:
empresafloors.com:
bathrefinishingresource.com:
powerpaintingplus.com:
usacountertopsmass.com:
decorative-coating.com:
aaatubntile.com:
abathreglazing.com:
aandjresurfacing.com:
bathtubrefinishingco.net:
probathtubrefinishing.com:
renewitrefinishing.com:
reglazingsolutions.com:
nycreglazing.com:
reglazingco.com:
bathtubreglazinglb.com:
bathtubrestorations.com:
amazingreglazingg.com:
eleganttubtilerefinishing.com:
whitetubs.com:
azulejossola.co.uk:
armorkote.net:
brooklyntubrefinishing.com:
patty.plus:
renewyourtub.com:
jrcoatingtechnologies.com:
baufix-online.com:
wrenthambathrooms.com:
kelloggsporcelain.com:
hudsontubs.com:
newarktubreglazing.com:
keystoneresurfacing.com:
sacramentobathtubrefinishing.org:
allin1coatings.com:
fantasticresurfacing.com.au:
wrenthambathtubs.com:
tiptoprestorations.com:
advancedreglazing.com:
ohiotubpros.com:
frankensteinrefinishing.com:
paintedotter.com:
enduringsurface.com:
proreglaze.com:
anamazingreglazingq.com:
pmcabathrooms.com:
familyhandyman.com:
vintagetub.com:
blockrenovation.com:
daichcoatings.com:
ibathtub.com:
thegroutmedic.com:
greatbuildz.com:
paintritepros.com:
gettilesonline.com.au:
all.biz:
streamlinebath.com:
setileconnection.com:
surfaceexperts.com:
tandlinternational.com:
surface-renew.com:
correctcaulking.com.au:
nationalplastics.co.uk:
stonerestorationworks.com:
simplepracticalbeautiful.com:
peachpainting.com:
bath-works.net:
acamporainteriors.com:
roperrhodes.co.uk:
jeweledinteriors.com:
hambletonhandyman.com:
seiffertlumber.com:
getagrip.com:
trustedpros.ca:
aosom.ca:
georgebathroom.com:
thebesttileinstallation.com:
ctasc.com:
drench.co.uk:
bngremodel.com:
jandjconstruction.com:
homeimprovementskansascity.com:
panelcompany.co.uk:
smartcret.com:
semcofl.com:
serviceteam.co.uk:
theinteriorsaddict.com:
carpetoutlets.net:
columbusbathdesign.com:
monarchpainting.com.au:
bathprofessional.com:
rihi.com:
lavishceramics.com:
bathtubrefinishingstore.com:
\[suspicious link removed\]:
n2n.la:
rivercityboston.com:
arlandriafloors.com:
seattlebathtubguy.com:
lifespanhi.com:
homelivinghandbook.com:
foxvalleybathtubrefinishing.com:
porcelainsuperstore.co.uk:
tileoutlet.net:
ultrabathroom.com:
superiorbathtubrefinishing.com:
bathtubguys.com:
renukrete.com:
paintpositive.com:
premierrefinishing.net:
dsapone.com:
tiledoctor.biz:
bathroomwerx.com.au:
californiatilerestoration.com:
seamlessoverlays.com:
foremansnags.com:
somathomeremodeling.com:
southingtonpainting.com:
accurateplumbingtx.com:
bathrenovationhq.com:
gouldpaintingwny.com:
cincottitile.com:
ftworthrefinishing.com:
mrresurface.com:
stone3.com.au:
bathtubrefinishingtulsa.com:
classicallyjill.com:
borobathrooms.co.uk:
a1reglaze.com:
re-surfacepro.com:
bathroomremodeleriepa.com:
capsulegallery.com:
tubnshower.com:
mayfairbuildinggroup.com.au:
thebathtubguy.com:
capitalbathrooms.com.au:
amazingtubsreglaze.com:
losangelesbathtubreglazing.webflow.io:
dallastubrefinishing.com:
floridatubreglazing.com:
alfredosrefinish.com:
johnsonflooringtn.com:
winchestertileservice.com:
rksbathtubandtilerestorations.com:
strivetilereglazing.com:
reglazinglosangeles0.yolasite.com:
aaarefinishing.com: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Barthroom and State:  - NO\_HEADER                            | Stuart, Florida
  - NO\_HEADER: connecticutreglazing.com  | Hartford, CT
  - NO\_HEADER: sauguscontractor.com     | Saugus, MA
  - NO\_HEADER: bathtubmagic.ca          | Toronto, ON</v>
      </c>
    </row>
    <row r="257" ht="12.75" hidden="1" customHeight="1">
      <c r="C257" s="40" t="s">
        <v>14019</v>
      </c>
      <c r="D257" s="1">
        <v>0.02</v>
      </c>
      <c r="E257" s="1">
        <v>1.0</v>
      </c>
      <c r="F257" s="1">
        <v>283.0</v>
      </c>
      <c r="G257" s="41">
        <v>29.0</v>
      </c>
      <c r="H257" s="1">
        <v>130.0</v>
      </c>
      <c r="I257" s="1">
        <v>0.0</v>
      </c>
      <c r="J257" s="17" t="str">
        <f>IFERROR(__xludf.DUMMYFUNCTION("(GEMINI(""go into the website and search for about us or contact page and pull in the City and State that this website or company is based from"", C257:C651))"),"I am unable to browse external websites to find contact information. I can only generate content based on the information provided in the chat or the current document.")</f>
        <v>I am unable to browse external websites to find contact information. I can only generate content based on the information provided in the chat or the current document.</v>
      </c>
    </row>
    <row r="258" ht="12.75" hidden="1" customHeight="1">
      <c r="C258" s="40" t="s">
        <v>14020</v>
      </c>
      <c r="D258" s="1">
        <v>0.02</v>
      </c>
      <c r="E258" s="1">
        <v>1.0</v>
      </c>
      <c r="F258" s="1">
        <v>19.0</v>
      </c>
      <c r="G258" s="41">
        <v>27.0</v>
      </c>
      <c r="H258" s="1">
        <v>175.0</v>
      </c>
      <c r="I258" s="1">
        <v>0.0</v>
      </c>
      <c r="J258" s="17" t="str">
        <f>IFERROR(__xludf.DUMMYFUNCTION("(GEMINI(""go into the website and search for about us or contact page and pull in the City and State that this website or company is based from"", C258:C652))"),"sauguscontractor.com: Saugus, MA")</f>
        <v>sauguscontractor.com: Saugus, MA</v>
      </c>
    </row>
    <row r="259" ht="12.75" hidden="1" customHeight="1">
      <c r="C259" s="40" t="s">
        <v>14021</v>
      </c>
      <c r="D259" s="1">
        <v>0.02</v>
      </c>
      <c r="E259" s="1">
        <v>2.0</v>
      </c>
      <c r="F259" s="1">
        <v>92.0</v>
      </c>
      <c r="G259" s="41">
        <v>26.0</v>
      </c>
      <c r="H259" s="1">
        <v>156.0</v>
      </c>
      <c r="I259" s="1">
        <v>0.0</v>
      </c>
      <c r="J259" s="17" t="str">
        <f>IFERROR(__xludf.DUMMYFUNCTION("(GEMINI(""go into the website and search for about us or contact page and pull in the City and State that this website or company is based from"", C259:C653))"),"I am unable to visit external websites or search specific pages on those sites to find contact information.")</f>
        <v>I am unable to visit external websites or search specific pages on those sites to find contact information.</v>
      </c>
    </row>
    <row r="260" ht="12.75" hidden="1" customHeight="1">
      <c r="C260" s="40" t="s">
        <v>14022</v>
      </c>
      <c r="D260" s="1">
        <v>0.02</v>
      </c>
      <c r="E260" s="1">
        <v>1.0</v>
      </c>
      <c r="F260" s="1">
        <v>163.0</v>
      </c>
      <c r="G260" s="41">
        <v>26.0</v>
      </c>
      <c r="H260" s="1">
        <v>56.0</v>
      </c>
      <c r="I260" s="1">
        <v>0.0</v>
      </c>
      <c r="J260" s="17" t="str">
        <f>IFERROR(__xludf.DUMMYFUNCTION("(GEMINI(""go into the website and search for about us or contact page and pull in the City and State that this website or company is based from"", C260:C654))"),"I cannot browse websites or extract location information from external sites.")</f>
        <v>I cannot browse websites or extract location information from external sites.</v>
      </c>
    </row>
    <row r="261" ht="12.75" hidden="1" customHeight="1">
      <c r="C261" s="40" t="s">
        <v>14023</v>
      </c>
      <c r="D261" s="1">
        <v>0.02</v>
      </c>
      <c r="E261" s="1">
        <v>1.0</v>
      </c>
      <c r="F261" s="1">
        <v>274.0</v>
      </c>
      <c r="G261" s="41">
        <v>23.0</v>
      </c>
      <c r="H261" s="1">
        <v>125.0</v>
      </c>
      <c r="I261" s="1">
        <v>0.0</v>
      </c>
      <c r="J261" s="17" t="str">
        <f>IFERROR(__xludf.DUMMYFUNCTION("(GEMINI(""go into the website and search for about us or contact page and pull in the City and State that this website or company is based from"", C261:C655))"),"Milton, FL")</f>
        <v>Milton, FL</v>
      </c>
    </row>
    <row r="262" ht="12.75" hidden="1" customHeight="1">
      <c r="C262" s="40" t="s">
        <v>14024</v>
      </c>
      <c r="D262" s="1">
        <v>0.02</v>
      </c>
      <c r="E262" s="1">
        <v>1.0</v>
      </c>
      <c r="F262" s="1">
        <v>172.0</v>
      </c>
      <c r="G262" s="41">
        <v>22.0</v>
      </c>
      <c r="H262" s="1">
        <v>52.0</v>
      </c>
      <c r="I262" s="1">
        <v>0.0</v>
      </c>
      <c r="J262" s="17" t="str">
        <f>IFERROR(__xludf.DUMMYFUNCTION("(GEMINI(""go into the website and search for about us or contact page and pull in the City and State that this website or company is based from"", C262:C656))"),"Portland, OR")</f>
        <v>Portland, OR</v>
      </c>
    </row>
    <row r="263" ht="12.75" hidden="1" customHeight="1">
      <c r="C263" s="40" t="s">
        <v>14025</v>
      </c>
      <c r="D263" s="1">
        <v>0.02</v>
      </c>
      <c r="E263" s="1">
        <v>1.0</v>
      </c>
      <c r="F263" s="1">
        <v>168.0</v>
      </c>
      <c r="G263" s="41">
        <v>21.0</v>
      </c>
      <c r="H263" s="1">
        <v>31.0</v>
      </c>
      <c r="I263" s="1">
        <v>0.0</v>
      </c>
      <c r="J263" s="17" t="str">
        <f>IFERROR(__xludf.DUMMYFUNCTION("(GEMINI(""go into the website and search for about us or contact page and pull in the City and State that this website or company is based from"", C263:C657))"),"Dallas, Fort Worth, Texas")</f>
        <v>Dallas, Fort Worth, Texas</v>
      </c>
    </row>
    <row r="264" ht="12.75" hidden="1" customHeight="1">
      <c r="C264" s="40" t="s">
        <v>14026</v>
      </c>
      <c r="D264" s="1">
        <v>0.02</v>
      </c>
      <c r="E264" s="1">
        <v>1.0</v>
      </c>
      <c r="F264" s="1">
        <v>200.0</v>
      </c>
      <c r="G264" s="41">
        <v>18.0</v>
      </c>
      <c r="H264" s="1">
        <v>70.0</v>
      </c>
      <c r="I264" s="1">
        <v>0.0</v>
      </c>
      <c r="J264" s="17" t="str">
        <f>IFERROR(__xludf.DUMMYFUNCTION("(GEMINI(""go into the website and search for about us or contact page and pull in the City and State that this website or company is based from"", C264:C658))"),"St Petersburg, Florida")</f>
        <v>St Petersburg, Florida</v>
      </c>
    </row>
    <row r="265" ht="12.75" hidden="1" customHeight="1">
      <c r="C265" s="40" t="s">
        <v>14027</v>
      </c>
      <c r="D265" s="1">
        <v>0.02</v>
      </c>
      <c r="E265" s="1">
        <v>1.0</v>
      </c>
      <c r="F265" s="1">
        <v>37.0</v>
      </c>
      <c r="G265" s="41">
        <v>18.0</v>
      </c>
      <c r="H265" s="1">
        <v>97.0</v>
      </c>
      <c r="I265" s="1">
        <v>0.0</v>
      </c>
      <c r="J265" s="17" t="str">
        <f>IFERROR(__xludf.DUMMYFUNCTION("(GEMINI(""go into the website and search for about us or contact page and pull in the City and State that this website or company is based from"", C265:C659))"),"I cannot visit external websites to search for company location details. I can only use the information provided in the table and the search results.")</f>
        <v>I cannot visit external websites to search for company location details. I can only use the information provided in the table and the search results.</v>
      </c>
    </row>
    <row r="266" ht="12.75" hidden="1" customHeight="1">
      <c r="C266" s="40" t="s">
        <v>14028</v>
      </c>
      <c r="D266" s="1">
        <v>0.02</v>
      </c>
      <c r="E266" s="1">
        <v>1.0</v>
      </c>
      <c r="F266" s="1">
        <v>275.0</v>
      </c>
      <c r="G266" s="41">
        <v>15.0</v>
      </c>
      <c r="H266" s="1">
        <v>3.0</v>
      </c>
      <c r="I266" s="1">
        <v>0.0</v>
      </c>
      <c r="J266" s="17" t="str">
        <f>IFERROR(__xludf.DUMMYFUNCTION("(GEMINI(""go into the website and search for about us or contact page and pull in the City and State that this website or company is based from"", C266:C660))"),"Something went wrong. Try again.")</f>
        <v>Something went wrong. Try again.</v>
      </c>
    </row>
    <row r="267" ht="12.75" hidden="1" customHeight="1">
      <c r="C267" s="40" t="s">
        <v>14029</v>
      </c>
      <c r="D267" s="1">
        <v>0.02</v>
      </c>
      <c r="E267" s="1">
        <v>1.0</v>
      </c>
      <c r="F267" s="1">
        <v>50.0</v>
      </c>
      <c r="G267" s="41">
        <v>12.0</v>
      </c>
      <c r="H267" s="1">
        <v>91.0</v>
      </c>
      <c r="I267" s="1">
        <v>11.0</v>
      </c>
      <c r="J267" s="17" t="str">
        <f>IFERROR(__xludf.DUMMYFUNCTION("(GEMINI(""go into the website and search for about us or contact page and pull in the City and State that this website or company is based from"", C267:C661))"),"amazingrefinishingfl.com: Saint Cloud, FL
covebath.com: Wellesley, MA (serving Greater Boston area)
lakewood-tub-reglazing.com: Lakewood, NJ
newsuperiortub.com: Astoria, NY
menjivars-painting.com: Revere, MA (serving the Revere, Massachusetts Area)")</f>
        <v>amazingrefinishingfl.com: Saint Cloud, FL
covebath.com: Wellesley, MA (serving Greater Boston area)
lakewood-tub-reglazing.com: Lakewood, NJ
newsuperiortub.com: Astoria, NY
menjivars-painting.com: Revere, MA (serving the Revere, Massachusetts Area)</v>
      </c>
    </row>
    <row r="268" ht="12.75" hidden="1" customHeight="1">
      <c r="C268" s="40" t="s">
        <v>14030</v>
      </c>
      <c r="D268" s="1">
        <v>0.02</v>
      </c>
      <c r="E268" s="1">
        <v>1.0</v>
      </c>
      <c r="F268" s="1">
        <v>93.0</v>
      </c>
      <c r="G268" s="41">
        <v>10.0</v>
      </c>
      <c r="H268" s="1">
        <v>0.0</v>
      </c>
      <c r="I268" s="1">
        <v>0.0</v>
      </c>
      <c r="J268" s="17" t="str">
        <f>IFERROR(__xludf.DUMMYFUNCTION("(GEMINI(""go into the website and search for about us or contact page and pull in the City and State that this website or company is based from"", C268:C662))"),"I am unable to browse specific websites to extract location information. You can often find a company's city and state on their website's ""Contact Us"" or ""About Us"" page, through online directories like Yellow Pages, or by using a business contact loo"&amp;"kup tool.")</f>
        <v>I am unable to browse specific websites to extract location information. You can often find a company's city and state on their website's "Contact Us" or "About Us" page, through online directories like Yellow Pages, or by using a business contact lookup tool.</v>
      </c>
    </row>
    <row r="269" ht="12.75" hidden="1" customHeight="1">
      <c r="C269" s="40" t="s">
        <v>14031</v>
      </c>
      <c r="D269" s="1">
        <v>0.02</v>
      </c>
      <c r="E269" s="1">
        <v>1.0</v>
      </c>
      <c r="F269" s="1">
        <v>167.0</v>
      </c>
      <c r="G269" s="41">
        <v>8.0</v>
      </c>
      <c r="H269" s="1">
        <v>6.0</v>
      </c>
      <c r="I269" s="1">
        <v>0.0</v>
      </c>
      <c r="J269" s="17" t="str">
        <f>IFERROR(__xludf.DUMMYFUNCTION("(GEMINI(""go into the website and search for about us or contact page and pull in the City and State that this website or company is based from"", C269:C663))"),"Lakewood, New Jersey")</f>
        <v>Lakewood, New Jersey</v>
      </c>
    </row>
    <row r="270" ht="12.75" hidden="1" customHeight="1">
      <c r="C270" s="40" t="s">
        <v>14032</v>
      </c>
      <c r="D270" s="1">
        <v>0.02</v>
      </c>
      <c r="E270" s="1">
        <v>1.0</v>
      </c>
      <c r="F270" s="1">
        <v>128.0</v>
      </c>
      <c r="G270" s="41">
        <v>3.0</v>
      </c>
      <c r="H270" s="1">
        <v>21.0</v>
      </c>
      <c r="I270" s="1">
        <v>0.0</v>
      </c>
      <c r="J270" s="17" t="str">
        <f>IFERROR(__xludf.DUMMYFUNCTION("(GEMINI(""go into the website and search for about us or contact page and pull in the City and State that this website or company is based from"", C270:C664))"),"Astoria, NY
Revere, MA
CT State
West Chester
Toronto, ON")</f>
        <v>Astoria, NY
Revere, MA
CT State
West Chester
Toronto, ON</v>
      </c>
    </row>
    <row r="271" ht="12.75" hidden="1" customHeight="1">
      <c r="C271" s="40" t="s">
        <v>14033</v>
      </c>
      <c r="D271" s="1">
        <v>0.02</v>
      </c>
      <c r="E271" s="1">
        <v>1.0</v>
      </c>
      <c r="F271" s="1">
        <v>104.0</v>
      </c>
      <c r="G271" s="41">
        <v>3.0</v>
      </c>
      <c r="H271" s="1">
        <v>0.0</v>
      </c>
      <c r="I271" s="1">
        <v>0.0</v>
      </c>
      <c r="J271" s="17" t="str">
        <f>IFERROR(__xludf.DUMMYFUNCTION("(GEMINI(""go into the website and search for about us or contact page and pull in the City and State that this website or company is based from"", C271:C665))"),"Revere, Massachusetts")</f>
        <v>Revere, Massachusetts</v>
      </c>
    </row>
    <row r="272" ht="12.75" hidden="1" customHeight="1">
      <c r="C272" s="40" t="s">
        <v>14034</v>
      </c>
      <c r="D272" s="1">
        <v>0.02</v>
      </c>
      <c r="E272" s="1">
        <v>1.0</v>
      </c>
      <c r="F272" s="1">
        <v>28.0</v>
      </c>
      <c r="G272" s="41">
        <v>2.0</v>
      </c>
      <c r="H272" s="1">
        <v>10.0</v>
      </c>
      <c r="I272" s="1">
        <v>0.0</v>
      </c>
      <c r="J272" s="17" t="str">
        <f>IFERROR(__xludf.DUMMYFUNCTION("(GEMINI(""go into the website and search for about us or contact page and pull in the City and State that this website or company is based from"", C272:C666))"),"I am unable to browse external websites to find the City and State for the companies listed in the table.")</f>
        <v>I am unable to browse external websites to find the City and State for the companies listed in the table.</v>
      </c>
    </row>
    <row r="273" ht="12.75" hidden="1" customHeight="1">
      <c r="C273" s="40" t="s">
        <v>14035</v>
      </c>
      <c r="D273" s="1">
        <v>0.02</v>
      </c>
      <c r="E273" s="1">
        <v>1.0</v>
      </c>
      <c r="F273" s="1">
        <v>140.0</v>
      </c>
      <c r="G273" s="41">
        <v>1.0</v>
      </c>
      <c r="H273" s="1">
        <v>0.0</v>
      </c>
      <c r="I273" s="1">
        <v>0.0</v>
      </c>
      <c r="J273" s="17" t="str">
        <f>IFERROR(__xludf.DUMMYFUNCTION("(GEMINI(""go into the website and search for about us or contact page and pull in the City and State that this website or company is based from"", C273:C667))"),"I cannot browse the internet to visit specific websites or extract information from their pages.")</f>
        <v>I cannot browse the internet to visit specific websites or extract information from their pages.</v>
      </c>
    </row>
    <row r="274" ht="12.75" hidden="1" customHeight="1">
      <c r="C274" s="40" t="s">
        <v>14036</v>
      </c>
      <c r="D274" s="1">
        <v>0.02</v>
      </c>
      <c r="E274" s="1">
        <v>1.0</v>
      </c>
      <c r="F274" s="1">
        <v>99.0</v>
      </c>
      <c r="G274" s="41">
        <v>0.0</v>
      </c>
      <c r="H274" s="1">
        <v>0.0</v>
      </c>
      <c r="I274" s="1">
        <v>0.0</v>
      </c>
      <c r="J274" s="17" t="str">
        <f>IFERROR(__xludf.DUMMYFUNCTION("(GEMINI(""go into the website and search for about us or contact page and pull in the City and State that this website or company is based from"", C274:C668))"),"Please specify which website from the list you would like me to search for the City and State.")</f>
        <v>Please specify which website from the list you would like me to search for the City and State.</v>
      </c>
    </row>
    <row r="275" ht="12.75" hidden="1" customHeight="1">
      <c r="C275" s="40" t="s">
        <v>14037</v>
      </c>
      <c r="D275" s="1">
        <v>0.02</v>
      </c>
      <c r="E275" s="1">
        <v>1.0</v>
      </c>
      <c r="F275" s="1">
        <v>33.0</v>
      </c>
      <c r="G275" s="41">
        <v>0.0</v>
      </c>
      <c r="H275" s="1">
        <v>0.0</v>
      </c>
      <c r="I275" s="1">
        <v>0.0</v>
      </c>
      <c r="J275" s="17" t="str">
        <f>IFERROR(__xludf.DUMMYFUNCTION("(GEMINI(""go into the website and search for about us or contact page and pull in the City and State that this website or company is based from"", C275:C669))"),"I cannot visit external websites or search internal pages to extract the city and state information. I can only use the data provided in the table.")</f>
        <v>I cannot visit external websites or search internal pages to extract the city and state information. I can only use the data provided in the table.</v>
      </c>
    </row>
    <row r="276" ht="12.75" hidden="1" customHeight="1">
      <c r="C276" s="40" t="s">
        <v>14038</v>
      </c>
      <c r="D276" s="1">
        <v>0.02</v>
      </c>
      <c r="E276" s="1">
        <v>1.0</v>
      </c>
      <c r="F276" s="1">
        <v>167.0</v>
      </c>
      <c r="G276" s="41">
        <v>0.0</v>
      </c>
      <c r="H276" s="1">
        <v>0.0</v>
      </c>
      <c r="I276" s="1">
        <v>0.0</v>
      </c>
      <c r="J276" s="17" t="str">
        <f>IFERROR(__xludf.DUMMYFUNCTION("(GEMINI(""go into the website and search for about us or contact page and pull in the City and State that this website or company is based from"", C276:C670))"),"New Jersey")</f>
        <v>New Jersey</v>
      </c>
    </row>
    <row r="277" ht="12.75" hidden="1" customHeight="1">
      <c r="C277" s="40" t="s">
        <v>14039</v>
      </c>
      <c r="D277" s="1">
        <v>0.01</v>
      </c>
      <c r="E277" s="1">
        <v>11.0</v>
      </c>
      <c r="F277" s="1">
        <v>3710.0</v>
      </c>
      <c r="G277" s="41">
        <v>2223.0</v>
      </c>
      <c r="H277" s="1">
        <v>10960.0</v>
      </c>
      <c r="I277" s="1">
        <v>0.0</v>
      </c>
      <c r="J277" s="17" t="str">
        <f>IFERROR(__xludf.DUMMYFUNCTION("(GEMINI(""go into the website and search for about us or contact page and pull in the City and State that this website or company is based from"", C277:C671))"),"I am unable to visit external websites or extract specific data like City and State from ""About Us"" or ""Contact"" pages. The provided table contains a list of domain names but no location information.")</f>
        <v>I am unable to visit external websites or extract specific data like City and State from "About Us" or "Contact" pages. The provided table contains a list of domain names but no location information.</v>
      </c>
    </row>
    <row r="278" ht="12.75" hidden="1" customHeight="1">
      <c r="C278" s="40" t="s">
        <v>14040</v>
      </c>
      <c r="D278" s="1">
        <v>0.01</v>
      </c>
      <c r="E278" s="1">
        <v>6.0</v>
      </c>
      <c r="F278" s="1">
        <v>2930.0</v>
      </c>
      <c r="G278" s="41">
        <v>2174.0</v>
      </c>
      <c r="H278" s="1">
        <v>9946.0</v>
      </c>
      <c r="I278" s="1">
        <v>0.0</v>
      </c>
      <c r="J278" s="17" t="str">
        <f>IFERROR(__xludf.DUMMYFUNCTION("(GEMINI(""go into the website and search for about us or contact page and pull in the City and State that this website or company is based from"", C278:C672))"),"I am unable to visit websites or perform external searches to find the City and State for each website.")</f>
        <v>I am unable to visit websites or perform external searches to find the City and State for each website.</v>
      </c>
    </row>
    <row r="279" ht="12.75" hidden="1" customHeight="1">
      <c r="C279" s="40" t="s">
        <v>14041</v>
      </c>
      <c r="D279" s="1">
        <v>0.01</v>
      </c>
      <c r="E279" s="1">
        <v>1.0</v>
      </c>
      <c r="F279" s="1">
        <v>142.0</v>
      </c>
      <c r="G279" s="41">
        <v>2167.0</v>
      </c>
      <c r="H279" s="1">
        <v>13437.0</v>
      </c>
      <c r="I279" s="1">
        <v>0.0</v>
      </c>
      <c r="J279" s="17" t="str">
        <f>IFERROR(__xludf.DUMMYFUNCTION("(GEMINI(""go into the website and search for about us or contact page and pull in the City and State that this website or company is based from"", C279:C673))"),"I am unable to visit external websites or search specific pages like ""About Us"" or ""Contact Us"" to extract location details.")</f>
        <v>I am unable to visit external websites or search specific pages like "About Us" or "Contact Us" to extract location details.</v>
      </c>
    </row>
    <row r="280" ht="12.75" hidden="1" customHeight="1">
      <c r="C280" s="40" t="s">
        <v>14042</v>
      </c>
      <c r="D280" s="1">
        <v>0.01</v>
      </c>
      <c r="E280" s="1">
        <v>4.0</v>
      </c>
      <c r="F280" s="1">
        <v>2060.0</v>
      </c>
      <c r="G280" s="41">
        <v>2158.0</v>
      </c>
      <c r="H280" s="1">
        <v>2792.0</v>
      </c>
      <c r="I280" s="1">
        <v>1.0</v>
      </c>
      <c r="J280" s="17" t="str">
        <f>IFERROR(__xludf.DUMMYFUNCTION("(GEMINI(""go into the website and search for about us or contact page and pull in the City and State that this website or company is based from"", C280:C674))"),"Please specify which website from the list you would like me to check for the city and state.")</f>
        <v>Please specify which website from the list you would like me to check for the city and state.</v>
      </c>
    </row>
    <row r="281" ht="12.75" hidden="1" customHeight="1">
      <c r="C281" s="40" t="s">
        <v>14043</v>
      </c>
      <c r="D281" s="1">
        <v>0.01</v>
      </c>
      <c r="E281" s="1">
        <v>7.0</v>
      </c>
      <c r="F281" s="1">
        <v>2890.0</v>
      </c>
      <c r="G281" s="41">
        <v>1582.0</v>
      </c>
      <c r="H281" s="1">
        <v>1300.0</v>
      </c>
      <c r="I281" s="1">
        <v>0.0</v>
      </c>
      <c r="J281" s="17" t="str">
        <f>IFERROR(__xludf.DUMMYFUNCTION("(GEMINI(""go into the website and search for about us or contact page and pull in the City and State that this website or company is based from"", C281:C675))"),"Brooklyn, New York")</f>
        <v>Brooklyn, New York</v>
      </c>
    </row>
    <row r="282" ht="12.75" hidden="1" customHeight="1">
      <c r="C282" s="40" t="s">
        <v>14044</v>
      </c>
      <c r="D282" s="1">
        <v>0.01</v>
      </c>
      <c r="E282" s="1">
        <v>1.0</v>
      </c>
      <c r="F282" s="1">
        <v>887.0</v>
      </c>
      <c r="G282" s="41">
        <v>1493.0</v>
      </c>
      <c r="H282" s="1">
        <v>1995.0</v>
      </c>
      <c r="I282" s="1">
        <v>0.0</v>
      </c>
      <c r="J282" s="17" t="str">
        <f>IFERROR(__xludf.DUMMYFUNCTION("(GEMINI(""go into the website and search for about us or contact page and pull in the City and State that this website or company is based from"", C282:C676))"),"I am unable to browse external websites to find the company's city and state.")</f>
        <v>I am unable to browse external websites to find the company's city and state.</v>
      </c>
    </row>
    <row r="283" ht="12.75" hidden="1" customHeight="1">
      <c r="C283" s="40" t="s">
        <v>14045</v>
      </c>
      <c r="D283" s="1">
        <v>0.01</v>
      </c>
      <c r="E283" s="1">
        <v>8.0</v>
      </c>
      <c r="F283" s="1">
        <v>2232.0</v>
      </c>
      <c r="G283" s="41">
        <v>1439.0</v>
      </c>
      <c r="H283" s="1">
        <v>5743.0</v>
      </c>
      <c r="I283" s="1">
        <v>0.0</v>
      </c>
      <c r="J283" s="17" t="str">
        <f>IFERROR(__xludf.DUMMYFUNCTION("(GEMINI(""go into the website and search for about us or contact page and pull in the City and State that this website or company is based from"", C283:C677))"),"Brooklyn, New York")</f>
        <v>Brooklyn, New York</v>
      </c>
    </row>
    <row r="284" ht="12.75" hidden="1" customHeight="1">
      <c r="C284" s="40" t="s">
        <v>14046</v>
      </c>
      <c r="D284" s="1">
        <v>0.01</v>
      </c>
      <c r="E284" s="1">
        <v>2.0</v>
      </c>
      <c r="F284" s="1">
        <v>260.0</v>
      </c>
      <c r="G284" s="41">
        <v>1289.0</v>
      </c>
      <c r="H284" s="1">
        <v>7761.0</v>
      </c>
      <c r="I284" s="1">
        <v>0.0</v>
      </c>
      <c r="J284" s="17" t="str">
        <f>IFERROR(__xludf.DUMMYFUNCTION("(GEMINI(""go into the website and search for about us or contact page and pull in the City and State that this website or company is based from"", C284:C678))"),"Denver, Colorado")</f>
        <v>Denver, Colorado</v>
      </c>
    </row>
    <row r="285" ht="12.75" hidden="1" customHeight="1">
      <c r="C285" s="40" t="s">
        <v>14047</v>
      </c>
      <c r="D285" s="1">
        <v>0.01</v>
      </c>
      <c r="E285" s="1">
        <v>5.0</v>
      </c>
      <c r="F285" s="1">
        <v>1457.0</v>
      </c>
      <c r="G285" s="41">
        <v>1190.0</v>
      </c>
      <c r="H285" s="1">
        <v>733.0</v>
      </c>
      <c r="I285" s="1">
        <v>0.0</v>
      </c>
      <c r="J285" s="17" t="str">
        <f>IFERROR(__xludf.DUMMYFUNCTION("(GEMINI(""go into the website and search for about us or contact page and pull in the City and State that this website or company is based from"", C285:C679))"),"dwilpainting.com: United States (Currently available in the United States, specific city/state not given)
toddsbathtubs.com: Mesa, AZ
thebestrefinishing.com: San Jose (and surrounding cities) or San Francisco/Bay Area, CA (multiple service areas listed)
b"&amp;"athtubmadenew.com: Rochester, NY
armoglazeservice.com: Chicago, IL (Service areas nationwide, but contact details suggest Chicago base)")</f>
        <v>dwilpainting.com: United States (Currently available in the United States, specific city/state not given)
toddsbathtubs.com: Mesa, AZ
thebestrefinishing.com: San Jose (and surrounding cities) or San Francisco/Bay Area, CA (multiple service areas listed)
bathtubmadenew.com: Rochester, NY
armoglazeservice.com: Chicago, IL (Service areas nationwide, but contact details suggest Chicago base)</v>
      </c>
    </row>
    <row r="286" ht="12.75" hidden="1" customHeight="1">
      <c r="C286" s="40" t="s">
        <v>14048</v>
      </c>
      <c r="D286" s="1">
        <v>0.01</v>
      </c>
      <c r="E286" s="1">
        <v>2.0</v>
      </c>
      <c r="F286" s="1">
        <v>1625.0</v>
      </c>
      <c r="G286" s="41">
        <v>844.0</v>
      </c>
      <c r="H286" s="1">
        <v>2370.0</v>
      </c>
      <c r="I286" s="1">
        <v>0.0</v>
      </c>
      <c r="J286" s="17" t="str">
        <f>IFERROR(__xludf.DUMMYFUNCTION("(GEMINI(""go into the website and search for about us or contact page and pull in the City and State that this website or company is based from"", C286:C680))"),"Tempe, AZ")</f>
        <v>Tempe, AZ</v>
      </c>
    </row>
    <row r="287" ht="12.75" hidden="1" customHeight="1">
      <c r="C287" s="40" t="s">
        <v>14049</v>
      </c>
      <c r="D287" s="1">
        <v>0.01</v>
      </c>
      <c r="E287" s="1">
        <v>2.0</v>
      </c>
      <c r="F287" s="1">
        <v>429.0</v>
      </c>
      <c r="G287" s="41">
        <v>710.0</v>
      </c>
      <c r="H287" s="1">
        <v>4636.0</v>
      </c>
      <c r="I287" s="1">
        <v>0.0</v>
      </c>
      <c r="J287" s="17" t="str">
        <f>IFERROR(__xludf.DUMMYFUNCTION("(GEMINI(""go into the website and search for about us or contact page and pull in the City and State that this website or company is based from"", C287:C681))"),"I am unable to browse external websites to find specific information on ""About Us"" or ""Contact Us"" pages.")</f>
        <v>I am unable to browse external websites to find specific information on "About Us" or "Contact Us" pages.</v>
      </c>
    </row>
    <row r="288" ht="12.75" hidden="1" customHeight="1">
      <c r="C288" s="40" t="s">
        <v>14050</v>
      </c>
      <c r="D288" s="1">
        <v>0.01</v>
      </c>
      <c r="E288" s="1">
        <v>2.0</v>
      </c>
      <c r="F288" s="1">
        <v>1481.0</v>
      </c>
      <c r="G288" s="41">
        <v>458.0</v>
      </c>
      <c r="H288" s="1">
        <v>2389.0</v>
      </c>
      <c r="I288" s="1">
        <v>0.0</v>
      </c>
      <c r="J288" s="17" t="str">
        <f>IFERROR(__xludf.DUMMYFUNCTION("(GEMINI(""go into the website and search for about us or contact page and pull in the City and State that this website or company is based from"", C288:C682))"),"Rochester, NY")</f>
        <v>Rochester, NY</v>
      </c>
    </row>
    <row r="289" ht="12.75" hidden="1" customHeight="1">
      <c r="C289" s="40" t="s">
        <v>14051</v>
      </c>
      <c r="D289" s="1">
        <v>0.01</v>
      </c>
      <c r="E289" s="1">
        <v>1.0</v>
      </c>
      <c r="F289" s="1">
        <v>141.0</v>
      </c>
      <c r="G289" s="41">
        <v>378.0</v>
      </c>
      <c r="H289" s="1">
        <v>1611.0</v>
      </c>
      <c r="I289" s="1">
        <v>0.0</v>
      </c>
      <c r="J289" s="17" t="str">
        <f>IFERROR(__xludf.DUMMYFUNCTION("(GEMINI(""go into the website and search for about us or contact page and pull in the City and State that this website or company is based from"", C289:C683))"),"armoglazeservice.com: Chicago, Illinois; Milwaukee, Wisconsin; New York, New York; Austin, Texas; Los Angeles, California
tub-guy.com: Pinellas, Hillsborough, Pasco, and Sarasota counties, Florida
ucoatit.com: Oklahoma City, Oklahoma; Royal Oak, Michigan
"&amp;"tubzz.com: Utah
thetubguys.net: Minneapolis, Minnesota; Wayzata, Minnesota")</f>
        <v>armoglazeservice.com: Chicago, Illinois; Milwaukee, Wisconsin; New York, New York; Austin, Texas; Los Angeles, California
tub-guy.com: Pinellas, Hillsborough, Pasco, and Sarasota counties, Florida
ucoatit.com: Oklahoma City, Oklahoma; Royal Oak, Michigan
tubzz.com: Utah
thetubguys.net: Minneapolis, Minnesota; Wayzata, Minnesota</v>
      </c>
    </row>
    <row r="290" ht="12.75" hidden="1" customHeight="1">
      <c r="C290" s="40" t="s">
        <v>14052</v>
      </c>
      <c r="D290" s="1">
        <v>0.01</v>
      </c>
      <c r="E290" s="1">
        <v>1.0</v>
      </c>
      <c r="F290" s="1">
        <v>264.0</v>
      </c>
      <c r="G290" s="41">
        <v>376.0</v>
      </c>
      <c r="H290" s="1">
        <v>1958.0</v>
      </c>
      <c r="I290" s="1">
        <v>0.0</v>
      </c>
      <c r="J290" s="17" t="str">
        <f>IFERROR(__xludf.DUMMYFUNCTION("(GEMINI(""go into the website and search for about us or contact page and pull in the City and State that this website or company is based from"", C290:C684))"),"I am unable to visit websites or search internal pages of a website to extract information. I can only use the data provided in the table and my general knowledge.")</f>
        <v>I am unable to visit websites or search internal pages of a website to extract information. I can only use the data provided in the table and my general knowledge.</v>
      </c>
    </row>
    <row r="291" ht="12.75" hidden="1" customHeight="1">
      <c r="C291" s="40" t="s">
        <v>14053</v>
      </c>
      <c r="D291" s="1">
        <v>0.01</v>
      </c>
      <c r="E291" s="1">
        <v>1.0</v>
      </c>
      <c r="F291" s="1">
        <v>600.0</v>
      </c>
      <c r="G291" s="41">
        <v>359.0</v>
      </c>
      <c r="H291" s="1">
        <v>730.0</v>
      </c>
      <c r="I291" s="1">
        <v>0.0</v>
      </c>
      <c r="J291" s="17" t="str">
        <f>IFERROR(__xludf.DUMMYFUNCTION("(GEMINI(""go into the website and search for about us or contact page and pull in the City and State that this website or company is based from"", C291:C685))"),"| ucoatit.com | Royal Oak, MI |
| tubzz.com | Utah |
| thetubguys.net | Minneapolis, MN or Wayzata, MN |
| carillonrugs.com | Clearwater, FL |
| thetubguys757.com | Virginia Beach, VA |")</f>
        <v>| ucoatit.com | Royal Oak, MI |
| tubzz.com | Utah |
| thetubguys.net | Minneapolis, MN or Wayzata, MN |
| carillonrugs.com | Clearwater, FL |
| thetubguys757.com | Virginia Beach, VA |</v>
      </c>
    </row>
    <row r="292" ht="12.75" hidden="1" customHeight="1">
      <c r="C292" s="40" t="s">
        <v>14054</v>
      </c>
      <c r="D292" s="1">
        <v>0.01</v>
      </c>
      <c r="E292" s="1">
        <v>1.0</v>
      </c>
      <c r="F292" s="1">
        <v>427.0</v>
      </c>
      <c r="G292" s="41">
        <v>359.0</v>
      </c>
      <c r="H292" s="1">
        <v>818.0</v>
      </c>
      <c r="I292" s="1">
        <v>0.0</v>
      </c>
      <c r="J292" s="17" t="str">
        <f>IFERROR(__xludf.DUMMYFUNCTION("(GEMINI(""go into the website and search for about us or contact page and pull in the City and State that this website or company is based from"", C292:C686))"),"Utah")</f>
        <v>Utah</v>
      </c>
    </row>
    <row r="293" ht="12.75" hidden="1" customHeight="1">
      <c r="C293" s="40" t="s">
        <v>14055</v>
      </c>
      <c r="D293" s="1">
        <v>0.01</v>
      </c>
      <c r="E293" s="1">
        <v>4.0</v>
      </c>
      <c r="F293" s="1">
        <v>982.0</v>
      </c>
      <c r="G293" s="41">
        <v>329.0</v>
      </c>
      <c r="H293" s="1">
        <v>2049.0</v>
      </c>
      <c r="I293" s="1">
        <v>0.0</v>
      </c>
      <c r="J293" s="17" t="str">
        <f>IFERROR(__xludf.DUMMYFUNCTION("(GEMINI(""go into the website and search for about us or contact page and pull in the City and State that this website or company is based from"", C293:C687))"),"Minneapolis, MN")</f>
        <v>Minneapolis, MN</v>
      </c>
    </row>
    <row r="294" ht="12.75" hidden="1" customHeight="1">
      <c r="C294" s="40" t="s">
        <v>14056</v>
      </c>
      <c r="D294" s="1">
        <v>0.01</v>
      </c>
      <c r="E294" s="1">
        <v>2.0</v>
      </c>
      <c r="F294" s="1">
        <v>570.0</v>
      </c>
      <c r="G294" s="41">
        <v>319.0</v>
      </c>
      <c r="H294" s="1">
        <v>1347.0</v>
      </c>
      <c r="I294" s="1">
        <v>0.0</v>
      </c>
      <c r="J294" s="17" t="str">
        <f>IFERROR(__xludf.DUMMYFUNCTION("(GEMINI(""go into the website and search for about us or contact page and pull in the City and State that this website or company is based from"", C294:C688))"),"Clearwater, FL
Virginia Beach, VA
Doncaster, UK
Knoxville, TN
Bainbridge, PA")</f>
        <v>Clearwater, FL
Virginia Beach, VA
Doncaster, UK
Knoxville, TN
Bainbridge, PA</v>
      </c>
    </row>
    <row r="295" ht="12.75" hidden="1" customHeight="1">
      <c r="C295" s="40" t="s">
        <v>14057</v>
      </c>
      <c r="D295" s="1">
        <v>0.01</v>
      </c>
      <c r="E295" s="1">
        <v>1.0</v>
      </c>
      <c r="F295" s="1">
        <v>358.0</v>
      </c>
      <c r="G295" s="41">
        <v>274.0</v>
      </c>
      <c r="H295" s="1">
        <v>1622.0</v>
      </c>
      <c r="I295" s="1">
        <v>0.0</v>
      </c>
      <c r="J295" s="17" t="str">
        <f>IFERROR(__xludf.DUMMYFUNCTION("(GEMINI(""go into the website and search for about us or contact page and pull in the City and State that this website or company is based from"", C295:C689))"),"Knoxville, Tennessee")</f>
        <v>Knoxville, Tennessee</v>
      </c>
    </row>
    <row r="296" ht="12.75" hidden="1" customHeight="1">
      <c r="C296" s="40" t="s">
        <v>14058</v>
      </c>
      <c r="D296" s="1">
        <v>0.01</v>
      </c>
      <c r="E296" s="1">
        <v>2.0</v>
      </c>
      <c r="F296" s="1">
        <v>945.0</v>
      </c>
      <c r="G296" s="41">
        <v>258.0</v>
      </c>
      <c r="H296" s="1">
        <v>610.0</v>
      </c>
      <c r="I296" s="1">
        <v>0.0</v>
      </c>
      <c r="J296" s="17" t="str">
        <f>IFERROR(__xludf.DUMMYFUNCTION("(GEMINI(""go into the website and search for about us or contact page and pull in the City and State that this website or company is based from"", C296:C690))"),"Denaby Main, Doncaster")</f>
        <v>Denaby Main, Doncaster</v>
      </c>
    </row>
    <row r="297" ht="12.75" hidden="1" customHeight="1">
      <c r="C297" s="40" t="s">
        <v>14059</v>
      </c>
      <c r="D297" s="1">
        <v>0.01</v>
      </c>
      <c r="E297" s="1">
        <v>3.0</v>
      </c>
      <c r="F297" s="1">
        <v>408.0</v>
      </c>
      <c r="G297" s="41">
        <v>204.0</v>
      </c>
      <c r="H297" s="1">
        <v>741.0</v>
      </c>
      <c r="I297" s="1">
        <v>0.0</v>
      </c>
      <c r="J297" s="17" t="str">
        <f>IFERROR(__xludf.DUMMYFUNCTION("(GEMINI(""go into the website and search for about us or contact page and pull in the City and State that this website or company is based from"", C297:C691))"),"I am unable to visit external websites or search specific pages like ""about us"" or ""contact"" pages to pull in the City and State for these domains. I can only provide information based on the context provided or general knowledge.")</f>
        <v>I am unable to visit external websites or search specific pages like "about us" or "contact" pages to pull in the City and State for these domains. I can only provide information based on the context provided or general knowledge.</v>
      </c>
    </row>
    <row r="298" ht="12.75" hidden="1" customHeight="1">
      <c r="C298" s="40" t="s">
        <v>14060</v>
      </c>
      <c r="D298" s="1">
        <v>0.01</v>
      </c>
      <c r="E298" s="1">
        <v>1.0</v>
      </c>
      <c r="F298" s="1">
        <v>654.0</v>
      </c>
      <c r="G298" s="41">
        <v>196.0</v>
      </c>
      <c r="H298" s="1">
        <v>1160.0</v>
      </c>
      <c r="I298" s="1">
        <v>0.0</v>
      </c>
      <c r="J298" s="17" t="str">
        <f>IFERROR(__xludf.DUMMYFUNCTION("(GEMINI(""go into the website and search for about us or contact page and pull in the City and State that this website or company is based from"", C298:C692))"),"thebathtubdoctor.com: Long Island, NY (from 516-790-5910 area code and snippet content)
24hourbath.com: San Diego, CA; Santa Ana, CA; LA County, CA; Canyon Lake, CA; San Jose, CA
bathtubandtilerestoration.com: Independence, MO
tilerestoration.com: Not fou"&amp;"nd
klasskote.com: Richfield, MN (Warehouse address)
empresafloors.com: Not found
bathrefinishingresource.com: Not found
powerpaintingplus.com: Not found
usacountertopsmass.com: Not found
decorative-coating.com: Not found
aaatubntile.com: Not found
abathre"&amp;"glazing.com: Not found
aandjresurfacing.com: Not found
bathtubrefinishingco.net: Not found
probathtubrefinishing.com: Not found
renewitrefinishing.com: Not found
reglazingsolutions.com: Not found
nycreglazing.com: Not found
reglazingco.com: Not found
bath"&amp;"tubreglazinglb.com: Not found
bathtubrestorations.com: Not found
amazingreglazingg.com: Not found
eleganttubtilerefinishing.com: Not found
whitetubs.com: Not found
azulejossola.co.uk: Not found (UK domain)
armorkote.net: Not found
brooklyntubrefinishing.c"&amp;"om: Not found
patty.plus: Not found
renewyourtub.com: Not found
jrcoatingtechnologies.com: Not found
baufix-online.com: Not found
wrenthambathrooms.com: Not found
kelloggsporcelain.com: Not found
hudsontubs.com: Not found
newarktubreglazing.com: Not found"&amp;"
keystoneresurfacing.com: Not found
sacramentobathtubrefinishing.org: Not found
allin1coatings.com: Not found
fantasticresurfacing.com.au: Not found (AU domain)
wrenthambathtubs.com: Not found
tiptoprestorations.com: Not found
advancedreglazing.com: Not f"&amp;"ound
ohiotubpros.com: Not found
frankensteinrefinishing.com: Not found
paintedotter.com: Not found
enduringsurface.com: Not found
proreglaze.com: Not found
anamazingreglazingq.com: Not found
pmcabathrooms.com: Not found
familyhandyman.com: Not found
vinta"&amp;"getub.com: Not found
blockrenovation.com: Not found
daichcoatings.com: Not found
ibathtub.com: Not found
thegroutmedic.com: Not found
greatbuildz.com: Not found
paintritepros.com: Not found
gettilesonline.com.au: Not found (AU domain)
all.biz: Not found
s"&amp;"treamlinebath.com: Not found
setileconnection.com: Not found
surfaceexperts.com: Not found
tandlinternational.com: Not found
surface-renew.com: Not found
correctcaulking.com.au: Not found (AU domain)
nationalplastics.co.uk: Not found (UK domain)
stonerest"&amp;"orationworks.com: Not found
simplepracticalbeautiful.com: Not found
peachpainting.com: Not found
bath-works.net: Not found
acamporainteriors.com: Not found
roperrhodes.co.uk: Not found (UK domain)
jeweledinteriors.com: Not found
hambletonhandyman.com: Not"&amp;" found
seiffertlumber.com: Not found
getagrip.com: Not found
trustedpros.ca: Not found (CA domain)
aosom.ca: Not found (CA domain)
georgebathroom.com: Not found
thebesttileinstallation.com: Not found
ctasc.com: Not found
drench.co.uk: Not found (UK domain"&amp;")
bngremodel.com: Not found
jandjconstruction.com: Not found
homeimprovementskansascity.com: Not found
panelcompany.co.uk: Not found (UK domain)
smartcret.com: Not found
semcofl.com: Not found
serviceteam.co.uk: Not found (UK domain)
theinteriorsaddict.co"&amp;"m: Not found
carpetoutlets.net: Not found
columbusbathdesign.com: Not found
monarchpainting.com.au: Not found (AU domain)
bathprofessional.com: Not found
rihi.com: Not found
lavishceramics.com: Not found
bathtubrefinishingstore.com: Not found
[suspicious "&amp;"link removed]: Not found
n2n.la: Not found
rivercityboston.com: Not found
arlandriafloors.com: Not found
seattlebathtubguy.com: Not found
lifespanhi.com: Not found
homelivinghandbook.com: Not found
foxvalleybathtubrefinishing.com: Not found
porcelainsuper"&amp;"store.co.uk: Not found (UK domain)
tileoutlet.net: Not found
ultrabathroom.com: Not found
superiorbathtubrefinishing.com: Not found
bathtubguys.com: Not found
renukrete.com: Not found
paintpositive.com: Not found
premierrefinishing.net: Not found
dsapone."&amp;"com: Not found
tiledoctor.biz: Not found
bathroomwerx.com.au: Not found (AU domain)
californiatilerestoration.com: Not found (Contact information found but no city/state)
seamlessoverlays.com: Not found
foremansnags.com: Not found
somathomeremodeling.com:"&amp;" Not found
southingtonpainting.com: Not found
accurateplumbingtx.com: Not found
bathrenovationhq.com: Not found
gouldpaintingwny.com: Not found
cincottitile.com: Not found
ftworthrefinishing.com: Not found
mrresurface.com: Not found
stone3.com.au: Not fou"&amp;"nd (AU domain)
bathtubrefinishingtulsa.com: Not found
classicallyjill.com: Not found
borobathrooms.co.uk: Not found (UK domain)
a1reglaze.com: Not found
re-surfacepro.com: Not found
bathroomremodeleriepa.com: Not found
capsulegallery.com: Not found
tubnsh"&amp;"ower.com: Not found
mayfairbuildinggroup.com.au: Not found (AU domain)
thebathtubguy.com: Not found
capitalbathrooms.com.au: Not found (AU domain)
amazingtubsreglaze.com: Not found
losangelesbathtubreglazing.webflow.io: Not found
dallastubrefinishing.com:"&amp;" Not found
floridatubreglazing.com: Not found
alfredosrefinish.com: Not found
johnsonflooringtn.com: Not found
winchestertileservice.com: Not found
rksbathtubandtilerestorations.com: Not found
strivetilereglazing.com: Not found
reglazinglosangeles0.yolasi"&amp;"te.com: Not found
aaarefinishing.com: Not found
(Empty cells): Not found")</f>
        <v>thebathtubdoctor.com: Long Island, NY (from 516-790-5910 area code and snippet content)
24hourbath.com: San Diego, CA; Santa Ana, CA; LA County, CA; Canyon Lake, CA; San Jose, CA
bathtubandtilerestoration.com: Independence, MO
tilerestoration.com: Not found
klasskote.com: Richfield, MN (Warehouse address)
empresafloors.com: Not found
bathrefinishingresource.com: Not found
powerpaintingplus.com: Not found
usacountertopsmass.com: Not found
decorative-coating.com: Not found
aaatubntile.com: Not found
abathreglazing.com: Not found
aandjresurfacing.com: Not found
bathtubrefinishingco.net: Not found
probathtubrefinishing.com: Not found
renewitrefinishing.com: Not found
reglazingsolutions.com: Not found
nycreglazing.com: Not found
reglazingco.com: Not found
bathtubreglazinglb.com: Not found
bathtubrestorations.com: Not found
amazingreglazingg.com: Not found
eleganttubtilerefinishing.com: Not found
whitetubs.com: Not found
azulejossola.co.uk: Not found (UK domain)
armorkote.net: Not found
brooklyntubrefinishing.com: Not found
patty.plus: Not found
renewyourtub.com: Not found
jrcoatingtechnologies.com: Not found
baufix-online.com: Not found
wrenthambathrooms.com: Not found
kelloggsporcelain.com: Not found
hudsontubs.com: Not found
newarktubreglazing.com: Not found
keystoneresurfacing.com: Not found
sacramentobathtubrefinishing.org: Not found
allin1coatings.com: Not found
fantasticresurfacing.com.au: Not found (AU domain)
wrenthambathtubs.com: Not found
tiptoprestorations.com: Not found
advancedreglazing.com: Not found
ohiotubpros.com: Not found
frankensteinrefinishing.com: Not found
paintedotter.com: Not found
enduringsurface.com: Not found
proreglaze.com: Not found
anamazingreglazingq.com: Not found
pmcabathrooms.com: Not found
familyhandyman.com: Not found
vintagetub.com: Not found
blockrenovation.com: Not found
daichcoatings.com: Not found
ibathtub.com: Not found
thegroutmedic.com: Not found
greatbuildz.com: Not found
paintritepros.com: Not found
gettilesonline.com.au: Not found (AU domain)
all.biz: Not found
streamlinebath.com: Not found
setileconnection.com: Not found
surfaceexperts.com: Not found
tandlinternational.com: Not found
surface-renew.com: Not found
correctcaulking.com.au: Not found (AU domain)
nationalplastics.co.uk: Not found (UK domain)
stonerestorationworks.com: Not found
simplepracticalbeautiful.com: Not found
peachpainting.com: Not found
bath-works.net: Not found
acamporainteriors.com: Not found
roperrhodes.co.uk: Not found (UK domain)
jeweledinteriors.com: Not found
hambletonhandyman.com: Not found
seiffertlumber.com: Not found
getagrip.com: Not found
trustedpros.ca: Not found (CA domain)
aosom.ca: Not found (CA domain)
georgebathroom.com: Not found
thebesttileinstallation.com: Not found
ctasc.com: Not found
drench.co.uk: Not found (UK domain)
bngremodel.com: Not found
jandjconstruction.com: Not found
homeimprovementskansascity.com: Not found
panelcompany.co.uk: Not found (UK domain)
smartcret.com: Not found
semcofl.com: Not found
serviceteam.co.uk: Not found (UK domain)
theinteriorsaddict.com: Not found
carpetoutlets.net: Not found
columbusbathdesign.com: Not found
monarchpainting.com.au: Not found (AU domain)
bathprofessional.com: Not found
rihi.com: Not found
lavishceramics.com: Not found
bathtubrefinishingstore.com: Not found
[suspicious link removed]: Not found
n2n.la: Not found
rivercityboston.com: Not found
arlandriafloors.com: Not found
seattlebathtubguy.com: Not found
lifespanhi.com: Not found
homelivinghandbook.com: Not found
foxvalleybathtubrefinishing.com: Not found
porcelainsuperstore.co.uk: Not found (UK domain)
tileoutlet.net: Not found
ultrabathroom.com: Not found
superiorbathtubrefinishing.com: Not found
bathtubguys.com: Not found
renukrete.com: Not found
paintpositive.com: Not found
premierrefinishing.net: Not found
dsapone.com: Not found
tiledoctor.biz: Not found
bathroomwerx.com.au: Not found (AU domain)
californiatilerestoration.com: Not found (Contact information found but no city/state)
seamlessoverlays.com: Not found
foremansnags.com: Not found
somathomeremodeling.com: Not found
southingtonpainting.com: Not found
accurateplumbingtx.com: Not found
bathrenovationhq.com: Not found
gouldpaintingwny.com: Not found
cincottitile.com: Not found
ftworthrefinishing.com: Not found
mrresurface.com: Not found
stone3.com.au: Not found (AU domain)
bathtubrefinishingtulsa.com: Not found
classicallyjill.com: Not found
borobathrooms.co.uk: Not found (UK domain)
a1reglaze.com: Not found
re-surfacepro.com: Not found
bathroomremodeleriepa.com: Not found
capsulegallery.com: Not found
tubnshower.com: Not found
mayfairbuildinggroup.com.au: Not found (AU domain)
thebathtubguy.com: Not found
capitalbathrooms.com.au: Not found (AU domain)
amazingtubsreglaze.com: Not found
losangelesbathtubreglazing.webflow.io: Not found
dallastubrefinishing.com: Not found
floridatubreglazing.com: Not found
alfredosrefinish.com: Not found
johnsonflooringtn.com: Not found
winchestertileservice.com: Not found
rksbathtubandtilerestorations.com: Not found
strivetilereglazing.com: Not found
reglazinglosangeles0.yolasite.com: Not found
aaarefinishing.com: Not found
(Empty cells): Not found</v>
      </c>
    </row>
    <row r="299" ht="12.75" hidden="1" customHeight="1">
      <c r="C299" s="40" t="s">
        <v>14061</v>
      </c>
      <c r="D299" s="1">
        <v>0.01</v>
      </c>
      <c r="E299" s="1">
        <v>2.0</v>
      </c>
      <c r="F299" s="1">
        <v>289.0</v>
      </c>
      <c r="G299" s="41">
        <v>195.0</v>
      </c>
      <c r="H299" s="1">
        <v>1254.0</v>
      </c>
      <c r="I299" s="1">
        <v>0.0</v>
      </c>
      <c r="J299" s="17" t="str">
        <f>IFERROR(__xludf.DUMMYFUNCTION("(GEMINI(""go into the website and search for about us or contact page and pull in the City and State that this website or company is based from"", C299:C693))"),"San Diego, CA")</f>
        <v>San Diego, CA</v>
      </c>
    </row>
    <row r="300" ht="12.75" hidden="1" customHeight="1">
      <c r="C300" s="40" t="s">
        <v>14062</v>
      </c>
      <c r="D300" s="1">
        <v>0.01</v>
      </c>
      <c r="E300" s="1">
        <v>1.0</v>
      </c>
      <c r="F300" s="1">
        <v>119.0</v>
      </c>
      <c r="G300" s="41">
        <v>188.0</v>
      </c>
      <c r="H300" s="1">
        <v>696.0</v>
      </c>
      <c r="I300" s="1">
        <v>0.0</v>
      </c>
      <c r="J300" s="17" t="str">
        <f>IFERROR(__xludf.DUMMYFUNCTION("(GEMINI(""go into the website and search for about us or contact page and pull in the City and State that this website or company is based from"", C300:C694))"),"I am unable to visit external websites or perform real-time web searches on specific pages of a website to extract information.")</f>
        <v>I am unable to visit external websites or perform real-time web searches on specific pages of a website to extract information.</v>
      </c>
    </row>
    <row r="301" ht="12.75" hidden="1" customHeight="1">
      <c r="C301" s="40" t="s">
        <v>14063</v>
      </c>
      <c r="D301" s="1">
        <v>0.01</v>
      </c>
      <c r="E301" s="1">
        <v>2.0</v>
      </c>
      <c r="F301" s="1">
        <v>704.0</v>
      </c>
      <c r="G301" s="41">
        <v>157.0</v>
      </c>
      <c r="H301" s="1">
        <v>546.0</v>
      </c>
      <c r="I301" s="1">
        <v>0.0</v>
      </c>
      <c r="J301" s="17" t="str">
        <f>IFERROR(__xludf.DUMMYFUNCTION("(GEMINI(""go into the website and search for about us or contact page and pull in the City and State that this website or company is based from"", C301:C695))"),"Minneapolis, Minnesota")</f>
        <v>Minneapolis, Minnesota</v>
      </c>
    </row>
    <row r="302" ht="12.75" hidden="1" customHeight="1">
      <c r="C302" s="40" t="s">
        <v>14064</v>
      </c>
      <c r="D302" s="1">
        <v>0.01</v>
      </c>
      <c r="E302" s="1">
        <v>1.0</v>
      </c>
      <c r="F302" s="1">
        <v>626.0</v>
      </c>
      <c r="G302" s="41">
        <v>130.0</v>
      </c>
      <c r="H302" s="1">
        <v>175.0</v>
      </c>
      <c r="I302" s="1">
        <v>16.0</v>
      </c>
      <c r="J302" s="17" t="str">
        <f>IFERROR(__xludf.DUMMYFUNCTION("(GEMINI(""go into the website and search for about us or contact page and pull in the City and State that this website or company is based from"", C302:C696))"),"Minneapolis, MN")</f>
        <v>Minneapolis, MN</v>
      </c>
    </row>
    <row r="303" ht="12.75" hidden="1" customHeight="1">
      <c r="C303" s="40" t="s">
        <v>14065</v>
      </c>
      <c r="D303" s="1">
        <v>0.01</v>
      </c>
      <c r="E303" s="1">
        <v>1.0</v>
      </c>
      <c r="F303" s="1">
        <v>290.0</v>
      </c>
      <c r="G303" s="41">
        <v>119.0</v>
      </c>
      <c r="H303" s="1">
        <v>550.0</v>
      </c>
      <c r="I303" s="1">
        <v>0.0</v>
      </c>
      <c r="J303" s="17" t="str">
        <f>IFERROR(__xludf.DUMMYFUNCTION("(GEMINI(""go into the website and search for about us or contact page and pull in the City and State that this website or company is based from"", C303:C697))"),"Lindon, UT")</f>
        <v>Lindon, UT</v>
      </c>
    </row>
    <row r="304" ht="12.75" hidden="1" customHeight="1">
      <c r="C304" s="40" t="s">
        <v>14066</v>
      </c>
      <c r="D304" s="1">
        <v>0.01</v>
      </c>
      <c r="E304" s="1">
        <v>3.0</v>
      </c>
      <c r="F304" s="1">
        <v>914.0</v>
      </c>
      <c r="G304" s="41">
        <v>112.0</v>
      </c>
      <c r="H304" s="1">
        <v>282.0</v>
      </c>
      <c r="I304" s="1">
        <v>0.0</v>
      </c>
      <c r="J304" s="17" t="str">
        <f>IFERROR(__xludf.DUMMYFUNCTION("(GEMINI(""go into the website and search for about us or contact page and pull in the City and State that this website or company is based from"", C304:C698))"),"Please specify which website from the list you would like me to check.")</f>
        <v>Please specify which website from the list you would like me to check.</v>
      </c>
    </row>
    <row r="305" ht="12.75" hidden="1" customHeight="1">
      <c r="C305" s="40" t="s">
        <v>14067</v>
      </c>
      <c r="D305" s="1">
        <v>0.01</v>
      </c>
      <c r="E305" s="1">
        <v>1.0</v>
      </c>
      <c r="F305" s="1">
        <v>67.0</v>
      </c>
      <c r="G305" s="41">
        <v>105.0</v>
      </c>
      <c r="H305" s="1">
        <v>524.0</v>
      </c>
      <c r="I305" s="1">
        <v>0.0</v>
      </c>
      <c r="J305" s="17" t="str">
        <f>IFERROR(__xludf.DUMMYFUNCTION("(GEMINI(""go into the website and search for about us or contact page and pull in the City and State that this website or company is based from"", C305:C699))"),"I am unable to browse external websites to find the city and state for the listed domains. I can only use the information provided in the context or perform general Google searches.")</f>
        <v>I am unable to browse external websites to find the city and state for the listed domains. I can only use the information provided in the context or perform general Google searches.</v>
      </c>
    </row>
    <row r="306" ht="12.75" hidden="1" customHeight="1">
      <c r="C306" s="40" t="s">
        <v>14068</v>
      </c>
      <c r="D306" s="1">
        <v>0.01</v>
      </c>
      <c r="E306" s="1">
        <v>1.0</v>
      </c>
      <c r="F306" s="1">
        <v>25.0</v>
      </c>
      <c r="G306" s="41">
        <v>86.0</v>
      </c>
      <c r="H306" s="1">
        <v>38.0</v>
      </c>
      <c r="I306" s="1">
        <v>0.0</v>
      </c>
      <c r="J306" s="17" t="str">
        <f>IFERROR(__xludf.DUMMYFUNCTION("(GEMINI(""go into the website and search for about us or contact page and pull in the City and State that this website or company is based from"", C306:C700))"),"Massachussets")</f>
        <v>Massachussets</v>
      </c>
    </row>
    <row r="307" ht="12.75" hidden="1" customHeight="1">
      <c r="C307" s="40" t="s">
        <v>14069</v>
      </c>
      <c r="D307" s="1">
        <v>0.01</v>
      </c>
      <c r="E307" s="1">
        <v>1.0</v>
      </c>
      <c r="F307" s="1">
        <v>67.0</v>
      </c>
      <c r="G307" s="41">
        <v>83.0</v>
      </c>
      <c r="H307" s="1">
        <v>432.0</v>
      </c>
      <c r="I307" s="1">
        <v>0.0</v>
      </c>
      <c r="J307" s="17" t="str">
        <f>IFERROR(__xludf.DUMMYFUNCTION("(GEMINI(""go into the website and search for about us or contact page and pull in the City and State that this website or company is based from"", C307:C701))"),"St. Louis, MO")</f>
        <v>St. Louis, MO</v>
      </c>
    </row>
    <row r="308" ht="12.75" hidden="1" customHeight="1">
      <c r="C308" s="40" t="s">
        <v>14070</v>
      </c>
      <c r="D308" s="1">
        <v>0.01</v>
      </c>
      <c r="E308" s="1">
        <v>1.0</v>
      </c>
      <c r="F308" s="1">
        <v>47.0</v>
      </c>
      <c r="G308" s="41">
        <v>80.0</v>
      </c>
      <c r="H308" s="1">
        <v>440.0</v>
      </c>
      <c r="I308" s="1">
        <v>0.0</v>
      </c>
      <c r="J308" s="17" t="str">
        <f>IFERROR(__xludf.DUMMYFUNCTION("(GEMINI(""go into the website and search for about us or contact page and pull in the City and State that this website or company is based from"", C308:C702))"),"I am unable to visit external websites or perform searches within them to extract company location details. I can only use the data provided in the table and my general knowledge.")</f>
        <v>I am unable to visit external websites or perform searches within them to extract company location details. I can only use the data provided in the table and my general knowledge.</v>
      </c>
    </row>
    <row r="309" ht="12.75" hidden="1" customHeight="1">
      <c r="C309" s="40" t="s">
        <v>14071</v>
      </c>
      <c r="D309" s="1">
        <v>0.01</v>
      </c>
      <c r="E309" s="1">
        <v>1.0</v>
      </c>
      <c r="F309" s="1">
        <v>221.0</v>
      </c>
      <c r="G309" s="41">
        <v>75.0</v>
      </c>
      <c r="H309" s="1">
        <v>321.0</v>
      </c>
      <c r="I309" s="1">
        <v>0.0</v>
      </c>
      <c r="J309" s="17" t="str">
        <f>IFERROR(__xludf.DUMMYFUNCTION("(GEMINI(""go into the website and search for about us or contact page and pull in the City and State that this website or company is based from"", C309:C703))"),"| NO\_HEADER                | City       | State      |
| :------------------------ | :--------- | :--------- |
| abathreglazing.com        | Union City | New Jersey |
| aandjresurfacing.com      | Richmond   | VA         |
| bathtubrefinishingco.net  | L"&amp;"akewood   | WA         |
| probathtubrefinishing.com | Northridge | CA         |
| renewitrefinishing.com    | Portland   | OR         |")</f>
        <v>| NO\_HEADER                | City       | State      |
| :------------------------ | :--------- | :--------- |
| abathreglazing.com        | Union City | New Jersey |
| aandjresurfacing.com      | Richmond   | VA         |
| bathtubrefinishingco.net  | Lakewood   | WA         |
| probathtubrefinishing.com | Northridge | CA         |
| renewitrefinishing.com    | Portland   | OR         |</v>
      </c>
    </row>
    <row r="310" ht="12.75" hidden="1" customHeight="1">
      <c r="C310" s="40" t="s">
        <v>14072</v>
      </c>
      <c r="D310" s="1">
        <v>0.01</v>
      </c>
      <c r="E310" s="1">
        <v>1.0</v>
      </c>
      <c r="F310" s="1">
        <v>123.0</v>
      </c>
      <c r="G310" s="41">
        <v>64.0</v>
      </c>
      <c r="H310" s="1">
        <v>522.0</v>
      </c>
      <c r="I310" s="1">
        <v>0.0</v>
      </c>
      <c r="J310" s="17" t="str">
        <f>IFERROR(__xludf.DUMMYFUNCTION("(GEMINI(""go into the website and search for about us or contact page and pull in the City and State that this website or company is based from"", C310:C704))"),"Richmond, VA")</f>
        <v>Richmond, VA</v>
      </c>
    </row>
    <row r="311" ht="12.75" hidden="1" customHeight="1">
      <c r="C311" s="40" t="s">
        <v>14073</v>
      </c>
      <c r="D311" s="1">
        <v>0.01</v>
      </c>
      <c r="E311" s="1">
        <v>1.0</v>
      </c>
      <c r="F311" s="1">
        <v>111.0</v>
      </c>
      <c r="G311" s="41">
        <v>61.0</v>
      </c>
      <c r="H311" s="1">
        <v>298.0</v>
      </c>
      <c r="I311" s="1">
        <v>0.0</v>
      </c>
      <c r="J311" s="17" t="str">
        <f>IFERROR(__xludf.DUMMYFUNCTION("(GEMINI(""go into the website and search for about us or contact page and pull in the City and State that this website or company is based from"", C311:C705))"),"Lakewood, WA")</f>
        <v>Lakewood, WA</v>
      </c>
    </row>
    <row r="312" ht="12.75" hidden="1" customHeight="1">
      <c r="C312" s="40" t="s">
        <v>14074</v>
      </c>
      <c r="D312" s="1">
        <v>0.01</v>
      </c>
      <c r="E312" s="1">
        <v>1.0</v>
      </c>
      <c r="F312" s="1">
        <v>37.0</v>
      </c>
      <c r="G312" s="41">
        <v>57.0</v>
      </c>
      <c r="H312" s="1">
        <v>278.0</v>
      </c>
      <c r="I312" s="1">
        <v>0.0</v>
      </c>
      <c r="J312" s="17" t="str">
        <f>IFERROR(__xludf.DUMMYFUNCTION("(GEMINI(""go into the website and search for about us or contact page and pull in the City and State that this website or company is based from"", C312:C706))"),"Northridge, CA (for probathtubrefinishing.com)")</f>
        <v>Northridge, CA (for probathtubrefinishing.com)</v>
      </c>
    </row>
    <row r="313" ht="12.75" hidden="1" customHeight="1">
      <c r="C313" s="40" t="s">
        <v>14075</v>
      </c>
      <c r="D313" s="1">
        <v>0.01</v>
      </c>
      <c r="E313" s="1">
        <v>2.0</v>
      </c>
      <c r="F313" s="1">
        <v>722.0</v>
      </c>
      <c r="G313" s="41">
        <v>50.0</v>
      </c>
      <c r="H313" s="1">
        <v>329.0</v>
      </c>
      <c r="I313" s="1">
        <v>0.0</v>
      </c>
      <c r="J313" s="17" t="str">
        <f>IFERROR(__xludf.DUMMYFUNCTION("(GEMINI(""go into the website and search for about us or contact page and pull in the City and State that this website or company is based from"", C313:C707))"),"Please specify which website you would like me to check for the city and state. The current cell is empty, and multiple websites are listed in the table context.")</f>
        <v>Please specify which website you would like me to check for the city and state. The current cell is empty, and multiple websites are listed in the table context.</v>
      </c>
    </row>
    <row r="314" ht="12.75" hidden="1" customHeight="1">
      <c r="C314" s="40" t="s">
        <v>14076</v>
      </c>
      <c r="D314" s="1">
        <v>0.01</v>
      </c>
      <c r="E314" s="1">
        <v>1.0</v>
      </c>
      <c r="F314" s="1">
        <v>4.0</v>
      </c>
      <c r="G314" s="41">
        <v>41.0</v>
      </c>
      <c r="H314" s="1">
        <v>250.0</v>
      </c>
      <c r="I314" s="1">
        <v>0.0</v>
      </c>
      <c r="J314" s="17" t="str">
        <f>IFERROR(__xludf.DUMMYFUNCTION("(GEMINI(""go into the website and search for about us or contact page and pull in the City and State that this website or company is based from"", C314:C708))"),"New York, NY")</f>
        <v>New York, NY</v>
      </c>
    </row>
    <row r="315" ht="12.75" hidden="1" customHeight="1">
      <c r="C315" s="40" t="s">
        <v>14077</v>
      </c>
      <c r="D315" s="1">
        <v>0.01</v>
      </c>
      <c r="E315" s="1">
        <v>1.0</v>
      </c>
      <c r="F315" s="1">
        <v>515.0</v>
      </c>
      <c r="G315" s="41">
        <v>40.0</v>
      </c>
      <c r="H315" s="1">
        <v>47.0</v>
      </c>
      <c r="I315" s="1">
        <v>0.0</v>
      </c>
      <c r="J315" s="17" t="str">
        <f>IFERROR(__xludf.DUMMYFUNCTION("(GEMINI(""go into the website and search for about us or contact page and pull in the City and State that this website or company is based from"", C315:C709))"),"New York, New York
Lubbock, Texas
Long Beach, California
Granville, Ohio")</f>
        <v>New York, New York
Lubbock, Texas
Long Beach, California
Granville, Ohio</v>
      </c>
    </row>
    <row r="316" ht="12.75" hidden="1" customHeight="1">
      <c r="C316" s="40" t="s">
        <v>14078</v>
      </c>
      <c r="D316" s="1">
        <v>0.01</v>
      </c>
      <c r="E316" s="1">
        <v>1.0</v>
      </c>
      <c r="F316" s="1">
        <v>53.0</v>
      </c>
      <c r="G316" s="41">
        <v>39.0</v>
      </c>
      <c r="H316" s="1">
        <v>149.0</v>
      </c>
      <c r="I316" s="1">
        <v>0.0</v>
      </c>
      <c r="J316" s="17" t="str">
        <f>IFERROR(__xludf.DUMMYFUNCTION("(GEMINI(""go into the website and search for about us or contact page and pull in the City and State that this website or company is based from"", C316:C710))"),"| NO\_HEADER                    | City         | State |
| :---------------------------- | :----------- | :---- |
| bathtubreglazinglb.com        | Long Beach   | CA    |
| bathtubrestorations.com       | Columbus     | OH    |
| eleganttubtilerefinishing"&amp;".com | Little Ferry | NJ    |")</f>
        <v>| NO\_HEADER                    | City         | State |
| :---------------------------- | :----------- | :---- |
| bathtubreglazinglb.com        | Long Beach   | CA    |
| bathtubrestorations.com       | Columbus     | OH    |
| eleganttubtilerefinishing.com | Little Ferry | NJ    |</v>
      </c>
    </row>
    <row r="317" ht="12.75" hidden="1" customHeight="1">
      <c r="C317" s="40" t="s">
        <v>14079</v>
      </c>
      <c r="D317" s="1">
        <v>0.01</v>
      </c>
      <c r="E317" s="1">
        <v>1.0</v>
      </c>
      <c r="F317" s="1">
        <v>111.0</v>
      </c>
      <c r="G317" s="41">
        <v>34.0</v>
      </c>
      <c r="H317" s="1">
        <v>298.0</v>
      </c>
      <c r="I317" s="1">
        <v>0.0</v>
      </c>
      <c r="J317" s="17" t="str">
        <f>IFERROR(__xludf.DUMMYFUNCTION("(GEMINI(""go into the website and search for about us or contact page and pull in the City and State that this website or company is based from"", C317:C711))"),"Long Beach, CA")</f>
        <v>Long Beach, CA</v>
      </c>
    </row>
    <row r="318" ht="12.75" hidden="1" customHeight="1">
      <c r="C318" s="40" t="s">
        <v>14080</v>
      </c>
      <c r="D318" s="1">
        <v>0.01</v>
      </c>
      <c r="E318" s="1">
        <v>1.0</v>
      </c>
      <c r="F318" s="1">
        <v>112.0</v>
      </c>
      <c r="G318" s="41">
        <v>30.0</v>
      </c>
      <c r="H318" s="1">
        <v>132.0</v>
      </c>
      <c r="I318" s="1">
        <v>0.0</v>
      </c>
      <c r="J318" s="17" t="str">
        <f>IFERROR(__xludf.DUMMYFUNCTION("(GEMINI(""go into the website and search for about us or contact page and pull in the City and State that this website or company is based from"", C318:C712))"),"I am unable to visit websites or navigate to specific pages like ""about us"" or ""contact"" to extract location information. Please provide the city and state if that information is available in the table or if you can specify the exact website and the l"&amp;"ocation information you would like me to retrieve from the general web search results.")</f>
        <v>I am unable to visit websites or navigate to specific pages like "about us" or "contact" to extract location information. Please provide the city and state if that information is available in the table or if you can specify the exact website and the location information you would like me to retrieve from the general web search results.</v>
      </c>
    </row>
    <row r="319" ht="12.75" hidden="1" customHeight="1">
      <c r="C319" s="40" t="s">
        <v>14081</v>
      </c>
      <c r="D319" s="1">
        <v>0.01</v>
      </c>
      <c r="E319" s="1">
        <v>1.0</v>
      </c>
      <c r="F319" s="1">
        <v>67.0</v>
      </c>
      <c r="G319" s="41">
        <v>26.0</v>
      </c>
      <c r="H319" s="1">
        <v>125.0</v>
      </c>
      <c r="I319" s="1">
        <v>0.0</v>
      </c>
      <c r="J319" s="17" t="str">
        <f>IFERROR(__xludf.DUMMYFUNCTION("(GEMINI(""go into the website and search for about us or contact page and pull in the City and State that this website or company is based from"", C319:C713))"),"Something went wrong. Try again.")</f>
        <v>Something went wrong. Try again.</v>
      </c>
    </row>
    <row r="320" ht="12.75" hidden="1" customHeight="1">
      <c r="C320" s="40" t="s">
        <v>14082</v>
      </c>
      <c r="D320" s="1">
        <v>0.01</v>
      </c>
      <c r="E320" s="1">
        <v>1.0</v>
      </c>
      <c r="F320" s="1">
        <v>126.0</v>
      </c>
      <c r="G320" s="41">
        <v>23.0</v>
      </c>
      <c r="H320" s="1">
        <v>109.0</v>
      </c>
      <c r="I320" s="1">
        <v>0.0</v>
      </c>
      <c r="J320" s="17" t="str">
        <f>IFERROR(__xludf.DUMMYFUNCTION("(GEMINI(""go into the website and search for about us or contact page and pull in the City and State that this website or company is based from"", C320:C714))"),"WhiteTubs: Chicago, IL
Azulejossola: Paterna, Valencia
Armorkote Refinishing: Perkasie, PA")</f>
        <v>WhiteTubs: Chicago, IL
Azulejossola: Paterna, Valencia
Armorkote Refinishing: Perkasie, PA</v>
      </c>
    </row>
    <row r="321" ht="12.75" hidden="1" customHeight="1">
      <c r="C321" s="40" t="s">
        <v>14083</v>
      </c>
      <c r="D321" s="1">
        <v>0.01</v>
      </c>
      <c r="E321" s="1">
        <v>1.0</v>
      </c>
      <c r="F321" s="1">
        <v>274.0</v>
      </c>
      <c r="G321" s="41">
        <v>19.0</v>
      </c>
      <c r="H321" s="1">
        <v>67.0</v>
      </c>
      <c r="I321" s="1">
        <v>0.0</v>
      </c>
      <c r="J321" s="17" t="str">
        <f>IFERROR(__xludf.DUMMYFUNCTION("(GEMINI(""go into the website and search for about us or contact page and pull in the City and State that this website or company is based from"", C321:C715))"),"Chicago, IL")</f>
        <v>Chicago, IL</v>
      </c>
    </row>
    <row r="322" ht="12.75" hidden="1" customHeight="1">
      <c r="C322" s="40" t="s">
        <v>14084</v>
      </c>
      <c r="D322" s="1">
        <v>0.01</v>
      </c>
      <c r="E322" s="1">
        <v>1.0</v>
      </c>
      <c r="F322" s="1">
        <v>135.0</v>
      </c>
      <c r="G322" s="41">
        <v>16.0</v>
      </c>
      <c r="H322" s="1">
        <v>5.0</v>
      </c>
      <c r="I322" s="1">
        <v>0.0</v>
      </c>
      <c r="J322" s="17" t="str">
        <f>IFERROR(__xludf.DUMMYFUNCTION("(GEMINI(""go into the website and search for about us or contact page and pull in the City and State that this website or company is based from"", C322:C716))"),"Perkasie, PA")</f>
        <v>Perkasie, PA</v>
      </c>
    </row>
    <row r="323" ht="12.75" hidden="1" customHeight="1">
      <c r="C323" s="40" t="s">
        <v>14085</v>
      </c>
      <c r="D323" s="1">
        <v>0.01</v>
      </c>
      <c r="E323" s="1">
        <v>1.0</v>
      </c>
      <c r="F323" s="1">
        <v>299.0</v>
      </c>
      <c r="G323" s="41">
        <v>15.0</v>
      </c>
      <c r="H323" s="1">
        <v>66.0</v>
      </c>
      <c r="I323" s="1">
        <v>0.0</v>
      </c>
      <c r="J323" s="17" t="str">
        <f>IFERROR(__xludf.DUMMYFUNCTION("(GEMINI(""go into the website and search for about us or contact page and pull in the City and State that this website or company is based from"", C323:C717))"),"Perkasie, PA")</f>
        <v>Perkasie, PA</v>
      </c>
    </row>
    <row r="324" ht="12.75" hidden="1" customHeight="1">
      <c r="C324" s="40" t="s">
        <v>14086</v>
      </c>
      <c r="D324" s="1">
        <v>0.01</v>
      </c>
      <c r="E324" s="1">
        <v>1.0</v>
      </c>
      <c r="F324" s="1">
        <v>105.0</v>
      </c>
      <c r="G324" s="41">
        <v>15.0</v>
      </c>
      <c r="H324" s="1">
        <v>94.0</v>
      </c>
      <c r="I324" s="1">
        <v>0.0</v>
      </c>
      <c r="J324" s="17" t="str">
        <f>IFERROR(__xludf.DUMMYFUNCTION("(GEMINI(""go into the website and search for about us or contact page and pull in the City and State that this website or company is based from"", C324:C718))"),"Summerfield, FL")</f>
        <v>Summerfield, FL</v>
      </c>
    </row>
    <row r="325" ht="12.75" hidden="1" customHeight="1">
      <c r="C325" s="1" t="s">
        <v>14087</v>
      </c>
      <c r="D325" s="1">
        <v>0.01</v>
      </c>
      <c r="E325" s="1">
        <v>1.0</v>
      </c>
      <c r="F325" s="1">
        <v>283.0</v>
      </c>
      <c r="G325" s="41">
        <v>15.0</v>
      </c>
      <c r="H325" s="1">
        <v>3.0</v>
      </c>
      <c r="I325" s="1">
        <v>0.0</v>
      </c>
      <c r="J325" s="17" t="str">
        <f>IFERROR(__xludf.DUMMYFUNCTION("(GEMINI(""go into the website and search for about us or contact page and pull in the City and State that this website or company is based from"", C325:C719))"),"Fort Scott, KS")</f>
        <v>Fort Scott, KS</v>
      </c>
    </row>
    <row r="326" ht="12.75" hidden="1" customHeight="1">
      <c r="C326" s="40" t="s">
        <v>14088</v>
      </c>
      <c r="D326" s="1">
        <v>0.01</v>
      </c>
      <c r="E326" s="1">
        <v>1.0</v>
      </c>
      <c r="F326" s="1">
        <v>30.0</v>
      </c>
      <c r="G326" s="41">
        <v>12.0</v>
      </c>
      <c r="H326" s="1">
        <v>0.0</v>
      </c>
      <c r="I326" s="1">
        <v>0.0</v>
      </c>
      <c r="J326" s="17" t="str">
        <f>IFERROR(__xludf.DUMMYFUNCTION("(GEMINI(""go into the website and search for about us or contact page and pull in the City and State that this website or company is based from"", C326:C720))"),"I am sorry, but I cannot perform external web searches or navigate websites to find company location information. I can only use the data provided in the sheet.")</f>
        <v>I am sorry, but I cannot perform external web searches or navigate websites to find company location information. I can only use the data provided in the sheet.</v>
      </c>
    </row>
    <row r="327" ht="12.75" hidden="1" customHeight="1">
      <c r="C327" s="40" t="s">
        <v>14089</v>
      </c>
      <c r="D327" s="1">
        <v>0.01</v>
      </c>
      <c r="E327" s="1">
        <v>1.0</v>
      </c>
      <c r="F327" s="1">
        <v>210.0</v>
      </c>
      <c r="G327" s="41">
        <v>9.0</v>
      </c>
      <c r="H327" s="1">
        <v>54.0</v>
      </c>
      <c r="I327" s="1">
        <v>0.0</v>
      </c>
      <c r="J327" s="17" t="str">
        <f>IFERROR(__xludf.DUMMYFUNCTION("(GEMINI(""go into the website and search for about us or contact page and pull in the City and State that this website or company is based from"", C327:C721))"),"Summerfield, FL")</f>
        <v>Summerfield, FL</v>
      </c>
    </row>
    <row r="328" ht="12.75" hidden="1" customHeight="1">
      <c r="C328" s="40" t="s">
        <v>14090</v>
      </c>
      <c r="D328" s="1">
        <v>0.01</v>
      </c>
      <c r="E328" s="1">
        <v>1.0</v>
      </c>
      <c r="F328" s="1">
        <v>74.0</v>
      </c>
      <c r="G328" s="41">
        <v>9.0</v>
      </c>
      <c r="H328" s="1">
        <v>2.0</v>
      </c>
      <c r="I328" s="1">
        <v>0.0</v>
      </c>
      <c r="J328" s="17" t="str">
        <f>IFERROR(__xludf.DUMMYFUNCTION("(GEMINI(""go into the website and search for about us or contact page and pull in the City and State that this website or company is based from"", C328:C722))"),"kelloggsporcelain.com is based in Eaton Rapids, MI.
hudsontubs.com is based in Orange County, NY.
I cannot search for the rest of the websites to find their city and state.")</f>
        <v>kelloggsporcelain.com is based in Eaton Rapids, MI.
hudsontubs.com is based in Orange County, NY.
I cannot search for the rest of the websites to find their city and state.</v>
      </c>
    </row>
    <row r="329" ht="12.75" hidden="1" customHeight="1">
      <c r="C329" s="40" t="s">
        <v>14091</v>
      </c>
      <c r="D329" s="1">
        <v>0.01</v>
      </c>
      <c r="E329" s="1">
        <v>1.0</v>
      </c>
      <c r="F329" s="1">
        <v>19.0</v>
      </c>
      <c r="G329" s="41">
        <v>8.0</v>
      </c>
      <c r="H329" s="1">
        <v>0.0</v>
      </c>
      <c r="I329" s="1">
        <v>0.0</v>
      </c>
      <c r="J329" s="17" t="str">
        <f>IFERROR(__xludf.DUMMYFUNCTION("(GEMINI(""go into the website and search for about us or contact page and pull in the City and State that this website or company is based from"", C329:C723))"),"Eaton Rapids, MI")</f>
        <v>Eaton Rapids, MI</v>
      </c>
    </row>
    <row r="330" ht="12.75" hidden="1" customHeight="1">
      <c r="C330" s="40" t="s">
        <v>14092</v>
      </c>
      <c r="D330" s="1">
        <v>0.01</v>
      </c>
      <c r="E330" s="1">
        <v>1.0</v>
      </c>
      <c r="F330" s="1">
        <v>104.0</v>
      </c>
      <c r="G330" s="41">
        <v>7.0</v>
      </c>
      <c r="H330" s="1">
        <v>32.0</v>
      </c>
      <c r="I330" s="1">
        <v>0.0</v>
      </c>
      <c r="J330" s="17" t="str">
        <f>IFERROR(__xludf.DUMMYFUNCTION("(GEMINI(""go into the website and search for about us or contact page and pull in the City and State that this website or company is based from"", C330:C724))"),"I am unable to browse external websites, such as searching for a contact or about us page on a URL, to pull location details.")</f>
        <v>I am unable to browse external websites, such as searching for a contact or about us page on a URL, to pull location details.</v>
      </c>
    </row>
    <row r="331" ht="12.75" hidden="1" customHeight="1">
      <c r="C331" s="40" t="s">
        <v>14093</v>
      </c>
      <c r="D331" s="1">
        <v>0.01</v>
      </c>
      <c r="E331" s="1">
        <v>1.0</v>
      </c>
      <c r="F331" s="1">
        <v>258.0</v>
      </c>
      <c r="G331" s="41">
        <v>7.0</v>
      </c>
      <c r="H331" s="1">
        <v>31.0</v>
      </c>
      <c r="I331" s="1">
        <v>0.0</v>
      </c>
      <c r="J331" s="17" t="str">
        <f>IFERROR(__xludf.DUMMYFUNCTION("(GEMINI(""go into the website and search for about us or contact page and pull in the City and State that this website or company is based from"", C331:C725))"),"Please specify which website from the list you would like me to search.")</f>
        <v>Please specify which website from the list you would like me to search.</v>
      </c>
    </row>
    <row r="332" ht="12.75" hidden="1" customHeight="1">
      <c r="C332" s="40" t="s">
        <v>14094</v>
      </c>
      <c r="D332" s="1">
        <v>0.01</v>
      </c>
      <c r="E332" s="1">
        <v>1.0</v>
      </c>
      <c r="F332" s="1">
        <v>449.0</v>
      </c>
      <c r="G332" s="41">
        <v>3.0</v>
      </c>
      <c r="H332" s="1">
        <v>13.0</v>
      </c>
      <c r="I332" s="1">
        <v>0.0</v>
      </c>
      <c r="J332" s="17" t="str">
        <f>IFERROR(__xludf.DUMMYFUNCTION("(GEMINI(""go into the website and search for about us or contact page and pull in the City and State that this website or company is based from"", C332:C726))"),"I am unable to search website content. Please select a URL from the table that has information in the search results: keystoneresurfacing.com, sacramentobathtubrefinishing.org, allin1coatings.com, or fantasticresurfacing.com.au.")</f>
        <v>I am unable to search website content. Please select a URL from the table that has information in the search results: keystoneresurfacing.com, sacramentobathtubrefinishing.org, allin1coatings.com, or fantasticresurfacing.com.au.</v>
      </c>
    </row>
    <row r="333" ht="12.75" hidden="1" customHeight="1">
      <c r="C333" s="40" t="s">
        <v>14095</v>
      </c>
      <c r="D333" s="1">
        <v>0.01</v>
      </c>
      <c r="E333" s="1">
        <v>1.0</v>
      </c>
      <c r="F333" s="1">
        <v>77.0</v>
      </c>
      <c r="G333" s="41">
        <v>3.0</v>
      </c>
      <c r="H333" s="1">
        <v>16.0</v>
      </c>
      <c r="I333" s="1">
        <v>0.0</v>
      </c>
      <c r="J333" s="17" t="str">
        <f>IFERROR(__xludf.DUMMYFUNCTION("(GEMINI(""go into the website and search for about us or contact page and pull in the City and State that this website or company is based from"", C333:C727))"),"Edwardsville, PA")</f>
        <v>Edwardsville, PA</v>
      </c>
    </row>
    <row r="334" ht="12.75" hidden="1" customHeight="1">
      <c r="C334" s="40" t="s">
        <v>14096</v>
      </c>
      <c r="D334" s="1">
        <v>0.01</v>
      </c>
      <c r="E334" s="1">
        <v>1.0</v>
      </c>
      <c r="F334" s="1">
        <v>62.0</v>
      </c>
      <c r="G334" s="41">
        <v>3.0</v>
      </c>
      <c r="H334" s="1">
        <v>20.0</v>
      </c>
      <c r="I334" s="1">
        <v>0.0</v>
      </c>
      <c r="J334" s="17" t="str">
        <f>IFERROR(__xludf.DUMMYFUNCTION("(GEMINI(""go into the website and search for about us or contact page and pull in the City and State that this website or company is based from"", C334:C728))"),"I am sorry, I cannot perform actions like visiting external websites or searching their content.")</f>
        <v>I am sorry, I cannot perform actions like visiting external websites or searching their content.</v>
      </c>
    </row>
    <row r="335" ht="12.75" hidden="1" customHeight="1">
      <c r="C335" s="40" t="s">
        <v>14097</v>
      </c>
      <c r="D335" s="1">
        <v>0.01</v>
      </c>
      <c r="E335" s="1">
        <v>1.0</v>
      </c>
      <c r="F335" s="1">
        <v>14.0</v>
      </c>
      <c r="G335" s="41">
        <v>3.0</v>
      </c>
      <c r="H335" s="1">
        <v>16.0</v>
      </c>
      <c r="I335" s="1">
        <v>0.0</v>
      </c>
      <c r="J335" s="17" t="str">
        <f>IFERROR(__xludf.DUMMYFUNCTION("(GEMINI(""go into the website and search for about us or contact page and pull in the City and State that this website or company is based from"", C335:C729))"),"I am unable to browse websites to retrieve specific contact information.")</f>
        <v>I am unable to browse websites to retrieve specific contact information.</v>
      </c>
    </row>
    <row r="336" ht="12.75" hidden="1" customHeight="1">
      <c r="C336" s="40" t="s">
        <v>14098</v>
      </c>
      <c r="D336" s="1">
        <v>0.01</v>
      </c>
      <c r="E336" s="1">
        <v>1.0</v>
      </c>
      <c r="F336" s="1">
        <v>4.0</v>
      </c>
      <c r="G336" s="41">
        <v>2.0</v>
      </c>
      <c r="H336" s="1">
        <v>5.0</v>
      </c>
      <c r="I336" s="1">
        <v>0.0</v>
      </c>
      <c r="J336" s="17" t="str">
        <f>IFERROR(__xludf.DUMMYFUNCTION("(GEMINI(""go into the website and search for about us or contact page and pull in the City and State that this website or company is based from"", C336:C730))"),"Sydney, Australia")</f>
        <v>Sydney, Australia</v>
      </c>
    </row>
    <row r="337" ht="12.75" hidden="1" customHeight="1">
      <c r="C337" s="40" t="s">
        <v>14099</v>
      </c>
      <c r="D337" s="1">
        <v>0.01</v>
      </c>
      <c r="E337" s="1">
        <v>1.0</v>
      </c>
      <c r="F337" s="1">
        <v>16.0</v>
      </c>
      <c r="G337" s="41">
        <v>2.0</v>
      </c>
      <c r="H337" s="1">
        <v>0.0</v>
      </c>
      <c r="I337" s="1">
        <v>0.0</v>
      </c>
      <c r="J337" s="17" t="str">
        <f>IFERROR(__xludf.DUMMYFUNCTION("(GEMINI(""go into the website and search for about us or contact page and pull in the City and State that this website or company is based from"", C337:C731))"),"Brooklyn, NY")</f>
        <v>Brooklyn, NY</v>
      </c>
    </row>
    <row r="338" ht="12.75" hidden="1" customHeight="1">
      <c r="C338" s="40" t="s">
        <v>14100</v>
      </c>
      <c r="D338" s="1">
        <v>0.01</v>
      </c>
      <c r="E338" s="1">
        <v>1.0</v>
      </c>
      <c r="F338" s="1">
        <v>17.0</v>
      </c>
      <c r="G338" s="41">
        <v>1.0</v>
      </c>
      <c r="H338" s="1">
        <v>5.0</v>
      </c>
      <c r="I338" s="1">
        <v>0.0</v>
      </c>
      <c r="J338" s="17" t="str">
        <f>IFERROR(__xludf.DUMMYFUNCTION("(GEMINI(""go into the website and search for about us or contact page and pull in the City and State that this website or company is based from"", C338:C732))"),"Something went wrong. Try again.")</f>
        <v>Something went wrong. Try again.</v>
      </c>
    </row>
    <row r="339" ht="12.75" hidden="1" customHeight="1">
      <c r="C339" s="40" t="s">
        <v>14101</v>
      </c>
      <c r="D339" s="1">
        <v>0.01</v>
      </c>
      <c r="E339" s="1">
        <v>1.0</v>
      </c>
      <c r="F339" s="1">
        <v>79.0</v>
      </c>
      <c r="G339" s="41">
        <v>1.0</v>
      </c>
      <c r="H339" s="1">
        <v>3.0</v>
      </c>
      <c r="I339" s="1">
        <v>0.0</v>
      </c>
      <c r="J339" s="17" t="str">
        <f>IFERROR(__xludf.DUMMYFUNCTION("(GEMINI(""go into the website and search for about us or contact page and pull in the City and State that this website or company is based from"", C339:C733))"),"I am unable to visit websites or perform new targeted searches to find the city and state for each competitor. I can only use the information provided in the table and the existing search results.")</f>
        <v>I am unable to visit websites or perform new targeted searches to find the city and state for each competitor. I can only use the information provided in the table and the existing search results.</v>
      </c>
    </row>
    <row r="340" ht="12.75" hidden="1" customHeight="1">
      <c r="C340" s="40" t="s">
        <v>14102</v>
      </c>
      <c r="D340" s="1">
        <v>0.01</v>
      </c>
      <c r="E340" s="1">
        <v>1.0</v>
      </c>
      <c r="F340" s="1">
        <v>55.0</v>
      </c>
      <c r="G340" s="41">
        <v>0.0</v>
      </c>
      <c r="H340" s="1">
        <v>0.0</v>
      </c>
      <c r="I340" s="1">
        <v>0.0</v>
      </c>
      <c r="J340" s="17" t="str">
        <f>IFERROR(__xludf.DUMMYFUNCTION("(GEMINI(""go into the website and search for about us or contact page and pull in the City and State that this website or company is based from"", C340:C734))"),"Franklin, MA")</f>
        <v>Franklin, MA</v>
      </c>
    </row>
    <row r="341" ht="12.75" hidden="1" customHeight="1">
      <c r="C341" s="40" t="s">
        <v>14103</v>
      </c>
      <c r="D341" s="1">
        <v>0.01</v>
      </c>
      <c r="E341" s="1">
        <v>1.0</v>
      </c>
      <c r="F341" s="1">
        <v>10.0</v>
      </c>
      <c r="G341" s="41">
        <v>0.0</v>
      </c>
      <c r="H341" s="1">
        <v>0.0</v>
      </c>
      <c r="I341" s="1">
        <v>2.0</v>
      </c>
      <c r="J341" s="17" t="str">
        <f>IFERROR(__xludf.DUMMYFUNCTION("(GEMINI(""go into the website and search for about us or contact page and pull in the City and State that this website or company is based from"", C341:C735))"),"New York, Pennsylvania, Vermont, Connecticut, New Jersey, Massachusetts")</f>
        <v>New York, Pennsylvania, Vermont, Connecticut, New Jersey, Massachusetts</v>
      </c>
    </row>
    <row r="342" ht="12.75" hidden="1" customHeight="1">
      <c r="C342" s="40" t="s">
        <v>14104</v>
      </c>
      <c r="D342" s="1">
        <v>0.01</v>
      </c>
      <c r="E342" s="1">
        <v>1.0</v>
      </c>
      <c r="F342" s="1">
        <v>175.0</v>
      </c>
      <c r="G342" s="41">
        <v>0.0</v>
      </c>
      <c r="H342" s="1">
        <v>0.0</v>
      </c>
      <c r="I342" s="1">
        <v>0.0</v>
      </c>
      <c r="J342" s="17" t="str">
        <f>IFERROR(__xludf.DUMMYFUNCTION("(GEMINI(""go into the website and search for about us or contact page and pull in the City and State that this website or company is based from"", C342:C736))"),"Painted Otter Refinishing (paintedotter.com): Local New York
Proreglaze (proreglaze.com): Wolf Creek, OR
PMCA Bathtub &amp; Tile Refinishing Specialist (pmcabathrooms.com): Leominster, MA")</f>
        <v>Painted Otter Refinishing (paintedotter.com): Local New York
Proreglaze (proreglaze.com): Wolf Creek, OR
PMCA Bathtub &amp; Tile Refinishing Specialist (pmcabathrooms.com): Leominster, MA</v>
      </c>
    </row>
    <row r="343" ht="12.75" hidden="1" customHeight="1">
      <c r="C343" s="40" t="s">
        <v>14105</v>
      </c>
      <c r="D343" s="1">
        <v>0.01</v>
      </c>
      <c r="E343" s="1">
        <v>1.0</v>
      </c>
      <c r="F343" s="1">
        <v>45.0</v>
      </c>
      <c r="G343" s="41">
        <v>0.0</v>
      </c>
      <c r="H343" s="1">
        <v>0.0</v>
      </c>
      <c r="I343" s="1">
        <v>0.0</v>
      </c>
      <c r="J343" s="17" t="str">
        <f>IFERROR(__xludf.DUMMYFUNCTION("(GEMINI(""go into the website and search for about us or contact page and pull in the City and State that this website or company is based from"", C343:C737))"),"I cannot visit external websites to search for company location information. I can only use the information provided in the table and the search results.")</f>
        <v>I cannot visit external websites to search for company location information. I can only use the information provided in the table and the search results.</v>
      </c>
    </row>
    <row r="344" ht="12.75" hidden="1" customHeight="1">
      <c r="C344" s="40" t="s">
        <v>14106</v>
      </c>
      <c r="D344" s="1">
        <v>0.01</v>
      </c>
      <c r="E344" s="1">
        <v>1.0</v>
      </c>
      <c r="F344" s="1">
        <v>33.0</v>
      </c>
      <c r="G344" s="41">
        <v>0.0</v>
      </c>
      <c r="H344" s="1">
        <v>0.0</v>
      </c>
      <c r="I344" s="1">
        <v>0.0</v>
      </c>
      <c r="J344" s="17" t="str">
        <f>IFERROR(__xludf.DUMMYFUNCTION("(GEMINI(""go into the website and search for about us or contact page and pull in the City and State that this website or company is based from"", C344:C738))"),"Wolf Creek, OR")</f>
        <v>Wolf Creek, OR</v>
      </c>
    </row>
    <row r="345" ht="12.75" hidden="1" customHeight="1">
      <c r="C345" s="40" t="s">
        <v>14107</v>
      </c>
      <c r="D345" s="1">
        <v>0.01</v>
      </c>
      <c r="E345" s="1">
        <v>1.0</v>
      </c>
      <c r="F345" s="1">
        <v>19.0</v>
      </c>
      <c r="G345" s="41">
        <v>0.0</v>
      </c>
      <c r="H345" s="1">
        <v>0.0</v>
      </c>
      <c r="I345" s="1">
        <v>0.0</v>
      </c>
      <c r="J345" s="17" t="str">
        <f>IFERROR(__xludf.DUMMYFUNCTION("(GEMINI(""go into the website and search for about us or contact page and pull in the City and State that this website or company is based from"", C345:C739))"),"I am unable to browse websites or search specific pages like ""about us"" or ""contact"" to extract location details.")</f>
        <v>I am unable to browse websites or search specific pages like "about us" or "contact" to extract location details.</v>
      </c>
    </row>
    <row r="346" ht="12.75" hidden="1" customHeight="1">
      <c r="C346" s="40" t="s">
        <v>14108</v>
      </c>
      <c r="D346" s="1">
        <v>0.01</v>
      </c>
      <c r="E346" s="1">
        <v>1.0</v>
      </c>
      <c r="F346" s="1">
        <v>70.0</v>
      </c>
      <c r="G346" s="41">
        <v>0.0</v>
      </c>
      <c r="H346" s="1">
        <v>0.0</v>
      </c>
      <c r="I346" s="1">
        <v>0.0</v>
      </c>
      <c r="J346" s="17" t="str">
        <f>IFERROR(__xludf.DUMMYFUNCTION("(GEMINI(""go into the website and search for about us or contact page and pull in the City and State that this website or company is based from"", C346:C740))"),"Leominster, MA")</f>
        <v>Leominster, MA</v>
      </c>
    </row>
    <row r="347" ht="12.75" hidden="1" customHeight="1">
      <c r="C347" s="40" t="s">
        <v>14109</v>
      </c>
      <c r="D347" s="1">
        <v>0.0</v>
      </c>
      <c r="E347" s="1">
        <v>6.0</v>
      </c>
      <c r="F347" s="1">
        <v>941239.0</v>
      </c>
      <c r="G347" s="41">
        <v>501394.0</v>
      </c>
      <c r="H347" s="1">
        <v>1280420.0</v>
      </c>
      <c r="I347" s="1">
        <v>6.0</v>
      </c>
      <c r="J347" s="17" t="str">
        <f>IFERROR(__xludf.DUMMYFUNCTION("(GEMINI(""go into the website and search for about us or contact page and pull in the City and State that this website or company is based from"", C347:C741))"),"PA")</f>
        <v>PA</v>
      </c>
    </row>
    <row r="348" ht="12.75" hidden="1" customHeight="1">
      <c r="C348" s="40" t="s">
        <v>14110</v>
      </c>
      <c r="D348" s="1">
        <v>0.0</v>
      </c>
      <c r="E348" s="1">
        <v>6.0</v>
      </c>
      <c r="F348" s="1">
        <v>39888.0</v>
      </c>
      <c r="G348" s="41">
        <v>147598.0</v>
      </c>
      <c r="H348" s="1">
        <v>233944.0</v>
      </c>
      <c r="I348" s="1">
        <v>200.0</v>
      </c>
      <c r="J348" s="17" t="str">
        <f>IFERROR(__xludf.DUMMYFUNCTION("(GEMINI(""go into the website and search for about us or contact page and pull in the City and State that this website or company is based from"", C348:C742))"),"Mountain Top, PA")</f>
        <v>Mountain Top, PA</v>
      </c>
    </row>
    <row r="349" ht="12.75" hidden="1" customHeight="1">
      <c r="C349" s="40" t="s">
        <v>14111</v>
      </c>
      <c r="D349" s="1">
        <v>0.0</v>
      </c>
      <c r="E349" s="1">
        <v>3.0</v>
      </c>
      <c r="F349" s="1">
        <v>35104.0</v>
      </c>
      <c r="G349" s="41">
        <v>28831.0</v>
      </c>
      <c r="H349" s="1">
        <v>97849.0</v>
      </c>
      <c r="I349" s="1">
        <v>20.0</v>
      </c>
      <c r="J349" s="17" t="str">
        <f>IFERROR(__xludf.DUMMYFUNCTION("(GEMINI(""go into the website and search for about us or contact page and pull in the City and State that this website or company is based from"", C349:C743))"),"Block Renovation: New York City, NY")</f>
        <v>Block Renovation: New York City, NY</v>
      </c>
    </row>
    <row r="350" ht="12.75" hidden="1" customHeight="1">
      <c r="C350" s="40" t="s">
        <v>14112</v>
      </c>
      <c r="D350" s="1">
        <v>0.0</v>
      </c>
      <c r="E350" s="1">
        <v>2.0</v>
      </c>
      <c r="F350" s="1">
        <v>2478.0</v>
      </c>
      <c r="G350" s="41">
        <v>5426.0</v>
      </c>
      <c r="H350" s="1">
        <v>5992.0</v>
      </c>
      <c r="I350" s="1">
        <v>4.0</v>
      </c>
      <c r="J350" s="17" t="str">
        <f>IFERROR(__xludf.DUMMYFUNCTION("(GEMINI(""go into the website and search for about us or contact page and pull in the City and State that this website or company is based from"", C350:C744))"),"New York")</f>
        <v>New York</v>
      </c>
    </row>
    <row r="351" ht="12.75" hidden="1" customHeight="1">
      <c r="C351" s="40" t="s">
        <v>14113</v>
      </c>
      <c r="D351" s="1">
        <v>0.0</v>
      </c>
      <c r="E351" s="1">
        <v>1.0</v>
      </c>
      <c r="F351" s="1">
        <v>6767.0</v>
      </c>
      <c r="G351" s="41">
        <v>4552.0</v>
      </c>
      <c r="H351" s="1">
        <v>8060.0</v>
      </c>
      <c r="I351" s="1">
        <v>0.0</v>
      </c>
      <c r="J351" s="17" t="str">
        <f>IFERROR(__xludf.DUMMYFUNCTION("(GEMINI(""go into the website and search for about us or contact page and pull in the City and State that this website or company is based from"", C351:C745))"),"The Grout Medic is located in multiple areas, including Keyport, NJ, and Aurora, CO.")</f>
        <v>The Grout Medic is located in multiple areas, including Keyport, NJ, and Aurora, CO.</v>
      </c>
    </row>
    <row r="352" ht="12.75" hidden="1" customHeight="1">
      <c r="C352" s="40" t="s">
        <v>14114</v>
      </c>
      <c r="D352" s="1">
        <v>0.0</v>
      </c>
      <c r="E352" s="1">
        <v>1.0</v>
      </c>
      <c r="F352" s="1">
        <v>6243.0</v>
      </c>
      <c r="G352" s="41">
        <v>4284.0</v>
      </c>
      <c r="H352" s="1">
        <v>10441.0</v>
      </c>
      <c r="I352" s="1">
        <v>3.0</v>
      </c>
      <c r="J352" s="17" t="str">
        <f>IFERROR(__xludf.DUMMYFUNCTION("(GEMINI(""go into the website and search for about us or contact page and pull in the City and State that this website or company is based from"", C352:C746))"),"Keyport, NJ")</f>
        <v>Keyport, NJ</v>
      </c>
    </row>
    <row r="353" ht="12.75" hidden="1" customHeight="1">
      <c r="C353" s="40" t="s">
        <v>14115</v>
      </c>
      <c r="D353" s="1">
        <v>0.0</v>
      </c>
      <c r="E353" s="1">
        <v>1.0</v>
      </c>
      <c r="F353" s="1">
        <v>15916.0</v>
      </c>
      <c r="G353" s="41">
        <v>3898.0</v>
      </c>
      <c r="H353" s="1">
        <v>25837.0</v>
      </c>
      <c r="I353" s="1">
        <v>1.0</v>
      </c>
      <c r="J353" s="17" t="str">
        <f>IFERROR(__xludf.DUMMYFUNCTION("(GEMINI(""go into the website and search for about us or contact page and pull in the City and State that this website or company is based from"", C353:C747))"),"Encino, CA")</f>
        <v>Encino, CA</v>
      </c>
    </row>
    <row r="354" ht="12.75" hidden="1" customHeight="1">
      <c r="C354" s="40" t="s">
        <v>14116</v>
      </c>
      <c r="D354" s="1">
        <v>0.0</v>
      </c>
      <c r="E354" s="1">
        <v>1.0</v>
      </c>
      <c r="F354" s="1">
        <v>9059.0</v>
      </c>
      <c r="G354" s="41">
        <v>3764.0</v>
      </c>
      <c r="H354" s="1">
        <v>3137.0</v>
      </c>
      <c r="I354" s="1">
        <v>0.0</v>
      </c>
      <c r="J354" s="17" t="str">
        <f>IFERROR(__xludf.DUMMYFUNCTION("(GEMINI(""go into the website and search for about us or contact page and pull in the City and State that this website or company is based from"", C354:C748))"),"Sacramento, CA")</f>
        <v>Sacramento, CA</v>
      </c>
    </row>
    <row r="355" ht="12.75" hidden="1" customHeight="1">
      <c r="C355" s="40" t="s">
        <v>14117</v>
      </c>
      <c r="D355" s="1">
        <v>0.0</v>
      </c>
      <c r="E355" s="1">
        <v>2.0</v>
      </c>
      <c r="F355" s="1">
        <v>4615.0</v>
      </c>
      <c r="G355" s="41">
        <v>3572.0</v>
      </c>
      <c r="H355" s="1">
        <v>3423.0</v>
      </c>
      <c r="I355" s="1">
        <v>0.0</v>
      </c>
      <c r="J355" s="17" t="str">
        <f>IFERROR(__xludf.DUMMYFUNCTION("(GEMINI(""go into the website and search for about us or contact page and pull in the City and State that this website or company is based from"", C355:C749))"),"Bankstown, NSW")</f>
        <v>Bankstown, NSW</v>
      </c>
    </row>
    <row r="356" ht="12.75" hidden="1" customHeight="1">
      <c r="C356" s="40" t="s">
        <v>14118</v>
      </c>
      <c r="D356" s="1">
        <v>0.0</v>
      </c>
      <c r="E356" s="1">
        <v>2.0</v>
      </c>
      <c r="F356" s="1">
        <v>77126.0</v>
      </c>
      <c r="G356" s="41">
        <v>3516.0</v>
      </c>
      <c r="H356" s="1">
        <v>5052.0</v>
      </c>
      <c r="I356" s="1">
        <v>0.0</v>
      </c>
      <c r="J356" s="17" t="str">
        <f>IFERROR(__xludf.DUMMYFUNCTION("(GEMINI(""go into the website and search for about us or contact page and pull in the City and State that this website or company is based from"", C356:C750))"),"Los Angeles, CA")</f>
        <v>Los Angeles, CA</v>
      </c>
    </row>
    <row r="357" ht="12.75" hidden="1" customHeight="1">
      <c r="C357" s="40" t="s">
        <v>14119</v>
      </c>
      <c r="D357" s="1">
        <v>0.0</v>
      </c>
      <c r="E357" s="1">
        <v>2.0</v>
      </c>
      <c r="F357" s="1">
        <v>12068.0</v>
      </c>
      <c r="G357" s="41">
        <v>3298.0</v>
      </c>
      <c r="H357" s="1">
        <v>5210.0</v>
      </c>
      <c r="I357" s="1">
        <v>0.0</v>
      </c>
      <c r="J357" s="17" t="str">
        <f>IFERROR(__xludf.DUMMYFUNCTION("(GEMINI(""go into the website and search for about us or contact page and pull in the City and State that this website or company is based from"", C357:C751))"),"Wilmington, North Carolina")</f>
        <v>Wilmington, North Carolina</v>
      </c>
    </row>
    <row r="358" ht="12.75" hidden="1" customHeight="1">
      <c r="C358" s="40" t="s">
        <v>14120</v>
      </c>
      <c r="D358" s="1">
        <v>0.0</v>
      </c>
      <c r="E358" s="1">
        <v>1.0</v>
      </c>
      <c r="F358" s="1">
        <v>1545.0</v>
      </c>
      <c r="G358" s="41">
        <v>2943.0</v>
      </c>
      <c r="H358" s="1">
        <v>6501.0</v>
      </c>
      <c r="I358" s="1">
        <v>7.0</v>
      </c>
      <c r="J358" s="17" t="str">
        <f>IFERROR(__xludf.DUMMYFUNCTION("(GEMINI(""go into the website and search for about us or contact page and pull in the City and State that this website or company is based from"", C358:C752))"),"Wilmington, NC")</f>
        <v>Wilmington, NC</v>
      </c>
    </row>
    <row r="359" ht="12.75" hidden="1" customHeight="1">
      <c r="C359" s="40" t="s">
        <v>14121</v>
      </c>
      <c r="D359" s="1">
        <v>0.0</v>
      </c>
      <c r="E359" s="1">
        <v>1.0</v>
      </c>
      <c r="F359" s="1">
        <v>2243.0</v>
      </c>
      <c r="G359" s="41">
        <v>2939.0</v>
      </c>
      <c r="H359" s="1">
        <v>15663.0</v>
      </c>
      <c r="I359" s="1">
        <v>0.0</v>
      </c>
      <c r="J359" s="17" t="str">
        <f>IFERROR(__xludf.DUMMYFUNCTION("(GEMINI(""go into the website and search for about us or contact page and pull in the City and State that this website or company is based from"", C359:C753))"),"surfaceexperts.com: Parker, CO (Also in Colorado Springs, Kansas City, MO, and Olathe, KS)
tandlinternational.com: Tampa, FL
surface-renew.com: North Little Rock, AR
correctcaulking.com.au: VICTORIA
nationalplastics.co.uk: Tamworth, B77 4DU (Also in Telfo"&amp;"rd, Cheltenham, Ilkeston, Merthyr, Worcester)")</f>
        <v>surfaceexperts.com: Parker, CO (Also in Colorado Springs, Kansas City, MO, and Olathe, KS)
tandlinternational.com: Tampa, FL
surface-renew.com: North Little Rock, AR
correctcaulking.com.au: VICTORIA
nationalplastics.co.uk: Tamworth, B77 4DU (Also in Telford, Cheltenham, Ilkeston, Merthyr, Worcester)</v>
      </c>
    </row>
    <row r="360" ht="12.75" hidden="1" customHeight="1">
      <c r="C360" s="40" t="s">
        <v>14122</v>
      </c>
      <c r="D360" s="1">
        <v>0.0</v>
      </c>
      <c r="E360" s="1">
        <v>3.0</v>
      </c>
      <c r="F360" s="1">
        <v>3847.0</v>
      </c>
      <c r="G360" s="41">
        <v>2678.0</v>
      </c>
      <c r="H360" s="1">
        <v>3610.0</v>
      </c>
      <c r="I360" s="1">
        <v>0.0</v>
      </c>
      <c r="J360" s="17" t="str">
        <f>IFERROR(__xludf.DUMMYFUNCTION("(GEMINI(""go into the website and search for about us or contact page and pull in the City and State that this website or company is based from"", C360:C754))"),"I am not able to browse the internet or visit specific websites to extract information such as city and state from a contact page.")</f>
        <v>I am not able to browse the internet or visit specific websites to extract information such as city and state from a contact page.</v>
      </c>
    </row>
    <row r="361" ht="12.75" hidden="1" customHeight="1">
      <c r="C361" s="40" t="s">
        <v>14123</v>
      </c>
      <c r="D361" s="1">
        <v>0.0</v>
      </c>
      <c r="E361" s="1">
        <v>1.0</v>
      </c>
      <c r="F361" s="1">
        <v>670.0</v>
      </c>
      <c r="G361" s="41">
        <v>2468.0</v>
      </c>
      <c r="H361" s="1">
        <v>15086.0</v>
      </c>
      <c r="I361" s="1">
        <v>0.0</v>
      </c>
      <c r="J361" s="17" t="str">
        <f>IFERROR(__xludf.DUMMYFUNCTION("(GEMINI(""go into the website and search for about us or contact page and pull in the City and State that this website or company is based from"", C361:C755))"),"North Little Rock, AR")</f>
        <v>North Little Rock, AR</v>
      </c>
    </row>
    <row r="362" ht="12.75" hidden="1" customHeight="1">
      <c r="C362" s="40" t="s">
        <v>14124</v>
      </c>
      <c r="D362" s="1">
        <v>0.0</v>
      </c>
      <c r="E362" s="1">
        <v>1.0</v>
      </c>
      <c r="F362" s="1">
        <v>3437.0</v>
      </c>
      <c r="G362" s="41">
        <v>2462.0</v>
      </c>
      <c r="H362" s="1">
        <v>1499.0</v>
      </c>
      <c r="I362" s="1">
        <v>0.0</v>
      </c>
      <c r="J362" s="17" t="str">
        <f>IFERROR(__xludf.DUMMYFUNCTION("(GEMINI(""go into the website and search for about us or contact page and pull in the City and State that this website or company is based from"", C362:C756))"),"Melbourne, Victoria")</f>
        <v>Melbourne, Victoria</v>
      </c>
    </row>
    <row r="363" ht="12.75" hidden="1" customHeight="1">
      <c r="C363" s="40" t="s">
        <v>14125</v>
      </c>
      <c r="D363" s="1">
        <v>0.0</v>
      </c>
      <c r="E363" s="1">
        <v>1.0</v>
      </c>
      <c r="F363" s="1">
        <v>2571.0</v>
      </c>
      <c r="G363" s="41">
        <v>2285.0</v>
      </c>
      <c r="H363" s="1">
        <v>5140.0</v>
      </c>
      <c r="I363" s="1">
        <v>0.0</v>
      </c>
      <c r="J363" s="17" t="str">
        <f>IFERROR(__xludf.DUMMYFUNCTION("(GEMINI(""go into the website and search for about us or contact page and pull in the City and State that this website or company is based from"", C363:C757))"),"Tamworth, UK")</f>
        <v>Tamworth, UK</v>
      </c>
    </row>
    <row r="364" ht="12.75" hidden="1" customHeight="1">
      <c r="C364" s="40" t="s">
        <v>14126</v>
      </c>
      <c r="D364" s="1">
        <v>0.0</v>
      </c>
      <c r="E364" s="1">
        <v>1.0</v>
      </c>
      <c r="F364" s="1">
        <v>624.0</v>
      </c>
      <c r="G364" s="41">
        <v>2255.0</v>
      </c>
      <c r="H364" s="1">
        <v>9070.0</v>
      </c>
      <c r="I364" s="1">
        <v>0.0</v>
      </c>
      <c r="J364" s="17" t="str">
        <f>IFERROR(__xludf.DUMMYFUNCTION("(GEMINI(""go into the website and search for about us or contact page and pull in the City and State that this website or company is based from"", C364:C758))"),"Please specify which website from the list you would like me to search for the City and State.")</f>
        <v>Please specify which website from the list you would like me to search for the City and State.</v>
      </c>
    </row>
    <row r="365" ht="12.75" hidden="1" customHeight="1">
      <c r="C365" s="40" t="s">
        <v>14127</v>
      </c>
      <c r="D365" s="1">
        <v>0.0</v>
      </c>
      <c r="E365" s="1">
        <v>1.0</v>
      </c>
      <c r="F365" s="1">
        <v>5336.0</v>
      </c>
      <c r="G365" s="41">
        <v>2228.0</v>
      </c>
      <c r="H365" s="1">
        <v>2375.0</v>
      </c>
      <c r="I365" s="1">
        <v>0.0</v>
      </c>
      <c r="J365" s="17" t="str">
        <f>IFERROR(__xludf.DUMMYFUNCTION("(GEMINI(""go into the website and search for about us or contact page and pull in the City and State that this website or company is based from"", C365:C759))"),"Tampa, FL")</f>
        <v>Tampa, FL</v>
      </c>
    </row>
    <row r="366" ht="12.75" hidden="1" customHeight="1">
      <c r="C366" s="40" t="s">
        <v>14128</v>
      </c>
      <c r="D366" s="1">
        <v>0.0</v>
      </c>
      <c r="E366" s="1">
        <v>1.0</v>
      </c>
      <c r="F366" s="1">
        <v>1220.0</v>
      </c>
      <c r="G366" s="41">
        <v>2225.0</v>
      </c>
      <c r="H366" s="1">
        <v>21254.0</v>
      </c>
      <c r="I366" s="1">
        <v>0.0</v>
      </c>
      <c r="J366" s="17" t="str">
        <f>IFERROR(__xludf.DUMMYFUNCTION("(GEMINI(""go into the website and search for about us or contact page and pull in the City and State that this website or company is based from"", C366:C760))"),"Tampa, FL")</f>
        <v>Tampa, FL</v>
      </c>
    </row>
    <row r="367" ht="12.75" hidden="1" customHeight="1">
      <c r="C367" s="40" t="s">
        <v>14129</v>
      </c>
      <c r="D367" s="1">
        <v>0.0</v>
      </c>
      <c r="E367" s="1">
        <v>1.0</v>
      </c>
      <c r="F367" s="1">
        <v>2118.0</v>
      </c>
      <c r="G367" s="41">
        <v>2210.0</v>
      </c>
      <c r="H367" s="1">
        <v>2117.0</v>
      </c>
      <c r="I367" s="1">
        <v>0.0</v>
      </c>
      <c r="J367" s="17" t="str">
        <f>IFERROR(__xludf.DUMMYFUNCTION("(GEMINI(""go into the website and search for about us or contact page and pull in the City and State that this website or company is based from"", C367:C761))"),"Clarence Center, New York")</f>
        <v>Clarence Center, New York</v>
      </c>
    </row>
    <row r="368" ht="12.75" hidden="1" customHeight="1">
      <c r="C368" s="40" t="s">
        <v>14130</v>
      </c>
      <c r="D368" s="1">
        <v>0.0</v>
      </c>
      <c r="E368" s="1">
        <v>1.0</v>
      </c>
      <c r="F368" s="1">
        <v>3571.0</v>
      </c>
      <c r="G368" s="41">
        <v>2167.0</v>
      </c>
      <c r="H368" s="1">
        <v>1265.0</v>
      </c>
      <c r="I368" s="1">
        <v>0.0</v>
      </c>
      <c r="J368" s="17" t="str">
        <f>IFERROR(__xludf.DUMMYFUNCTION("(GEMINI(""go into the website and search for about us or contact page and pull in the City and State that this website or company is based from"", C368:C762))"),"Something went wrong. Try again.")</f>
        <v>Something went wrong. Try again.</v>
      </c>
    </row>
    <row r="369" ht="12.75" hidden="1" customHeight="1">
      <c r="C369" s="40" t="s">
        <v>14131</v>
      </c>
      <c r="D369" s="1">
        <v>0.0</v>
      </c>
      <c r="E369" s="1">
        <v>1.0</v>
      </c>
      <c r="F369" s="1">
        <v>8172.0</v>
      </c>
      <c r="G369" s="41">
        <v>2066.0</v>
      </c>
      <c r="H369" s="1">
        <v>1518.0</v>
      </c>
      <c r="I369" s="1">
        <v>0.0</v>
      </c>
      <c r="J369" s="17" t="str">
        <f>IFERROR(__xludf.DUMMYFUNCTION("(GEMINI(""go into the website and search for about us or contact page and pull in the City and State that this website or company is based from"", C369:C763))"),"Bath, BA1 3JF, UK")</f>
        <v>Bath, BA1 3JF, UK</v>
      </c>
    </row>
    <row r="370" ht="12.75" hidden="1" customHeight="1">
      <c r="C370" s="40" t="s">
        <v>14132</v>
      </c>
      <c r="D370" s="1">
        <v>0.0</v>
      </c>
      <c r="E370" s="1">
        <v>1.0</v>
      </c>
      <c r="F370" s="1">
        <v>2818.0</v>
      </c>
      <c r="G370" s="41">
        <v>2043.0</v>
      </c>
      <c r="H370" s="1">
        <v>1214.0</v>
      </c>
      <c r="I370" s="1">
        <v>0.0</v>
      </c>
      <c r="J370" s="17" t="str">
        <f>IFERROR(__xludf.DUMMYFUNCTION("(GEMINI(""go into the website and search for about us or contact page and pull in the City and State that this website or company is based from"", C370:C764))"),"I am sorry, but I cannot browse external websites or access specific pages like ""about us"" or ""contact"" to retrieve location details.")</f>
        <v>I am sorry, but I cannot browse external websites or access specific pages like "about us" or "contact" to retrieve location details.</v>
      </c>
    </row>
    <row r="371" ht="12.75" hidden="1" customHeight="1">
      <c r="C371" s="40" t="s">
        <v>14133</v>
      </c>
      <c r="D371" s="1">
        <v>0.0</v>
      </c>
      <c r="E371" s="1">
        <v>1.0</v>
      </c>
      <c r="F371" s="1">
        <v>2980.0</v>
      </c>
      <c r="G371" s="41">
        <v>1907.0</v>
      </c>
      <c r="H371" s="1">
        <v>11076.0</v>
      </c>
      <c r="I371" s="1">
        <v>0.0</v>
      </c>
      <c r="J371" s="17" t="str">
        <f>IFERROR(__xludf.DUMMYFUNCTION("(GEMINI(""go into the website and search for about us or contact page and pull in the City and State that this website or company is based from"", C371:C765))"),"I cannot visit external websites or search within specific pages.")</f>
        <v>I cannot visit external websites or search within specific pages.</v>
      </c>
    </row>
    <row r="372" ht="12.75" hidden="1" customHeight="1">
      <c r="C372" s="40" t="s">
        <v>14134</v>
      </c>
      <c r="D372" s="1">
        <v>0.0</v>
      </c>
      <c r="E372" s="1">
        <v>1.0</v>
      </c>
      <c r="F372" s="1">
        <v>1627.0</v>
      </c>
      <c r="G372" s="41">
        <v>1906.0</v>
      </c>
      <c r="H372" s="1">
        <v>2859.0</v>
      </c>
      <c r="I372" s="1">
        <v>0.0</v>
      </c>
      <c r="J372" s="17" t="str">
        <f>IFERROR(__xludf.DUMMYFUNCTION("(GEMINI(""go into the website and search for about us or contact page and pull in the City and State that this website or company is based from"", C372:C766))"),"Davenport, IA")</f>
        <v>Davenport, IA</v>
      </c>
    </row>
    <row r="373" ht="12.75" hidden="1" customHeight="1">
      <c r="C373" s="40" t="s">
        <v>14135</v>
      </c>
      <c r="D373" s="1">
        <v>0.0</v>
      </c>
      <c r="E373" s="1">
        <v>1.0</v>
      </c>
      <c r="F373" s="1">
        <v>842.0</v>
      </c>
      <c r="G373" s="41">
        <v>1752.0</v>
      </c>
      <c r="H373" s="1">
        <v>3847.0</v>
      </c>
      <c r="I373" s="1">
        <v>0.0</v>
      </c>
      <c r="J373" s="17" t="str">
        <f>IFERROR(__xludf.DUMMYFUNCTION("(GEMINI(""go into the website and search for about us or contact page and pull in the City and State that this website or company is based from"", C373:C767))"),"Something went wrong. Try again.")</f>
        <v>Something went wrong. Try again.</v>
      </c>
    </row>
    <row r="374" ht="12.75" hidden="1" customHeight="1">
      <c r="C374" s="40" t="s">
        <v>14136</v>
      </c>
      <c r="D374" s="1">
        <v>0.0</v>
      </c>
      <c r="E374" s="1">
        <v>1.0</v>
      </c>
      <c r="F374" s="1">
        <v>20857.0</v>
      </c>
      <c r="G374" s="41">
        <v>1673.0</v>
      </c>
      <c r="H374" s="1">
        <v>4766.0</v>
      </c>
      <c r="I374" s="1">
        <v>0.0</v>
      </c>
      <c r="J374" s="17" t="str">
        <f>IFERROR(__xludf.DUMMYFUNCTION("(GEMINI(""go into the website and search for about us or contact page and pull in the City and State that this website or company is based from"", C374:C768))"),"Toronto, Ontario")</f>
        <v>Toronto, Ontario</v>
      </c>
    </row>
    <row r="375" ht="12.75" hidden="1" customHeight="1">
      <c r="C375" s="40" t="s">
        <v>14137</v>
      </c>
      <c r="D375" s="1">
        <v>0.0</v>
      </c>
      <c r="E375" s="1">
        <v>3.0</v>
      </c>
      <c r="F375" s="1">
        <v>16432.0</v>
      </c>
      <c r="G375" s="41">
        <v>1652.0</v>
      </c>
      <c r="H375" s="1">
        <v>787.0</v>
      </c>
      <c r="I375" s="1">
        <v>0.0</v>
      </c>
      <c r="J375" s="17" t="str">
        <f>IFERROR(__xludf.DUMMYFUNCTION("(GEMINI(""go into the website and search for about us or contact page and pull in the City and State that this website or company is based from"", C375:C769))"),"Markham, ON")</f>
        <v>Markham, ON</v>
      </c>
    </row>
    <row r="376" ht="12.75" hidden="1" customHeight="1">
      <c r="C376" s="40" t="s">
        <v>14138</v>
      </c>
      <c r="D376" s="1">
        <v>0.0</v>
      </c>
      <c r="E376" s="1">
        <v>1.0</v>
      </c>
      <c r="F376" s="1">
        <v>5164.0</v>
      </c>
      <c r="G376" s="41">
        <v>1635.0</v>
      </c>
      <c r="H376" s="1">
        <v>2199.0</v>
      </c>
      <c r="I376" s="1">
        <v>0.0</v>
      </c>
      <c r="J376" s="17" t="str">
        <f>IFERROR(__xludf.DUMMYFUNCTION("(GEMINI(""go into the website and search for about us or contact page and pull in the City and State that this website or company is based from"", C376:C770))"),"Shenzhen City, Guangdong Province")</f>
        <v>Shenzhen City, Guangdong Province</v>
      </c>
    </row>
    <row r="377" ht="12.75" hidden="1" customHeight="1">
      <c r="C377" s="40" t="s">
        <v>14139</v>
      </c>
      <c r="D377" s="1">
        <v>0.0</v>
      </c>
      <c r="E377" s="1">
        <v>2.0</v>
      </c>
      <c r="F377" s="1">
        <v>1833.0</v>
      </c>
      <c r="G377" s="41">
        <v>1598.0</v>
      </c>
      <c r="H377" s="1">
        <v>3887.0</v>
      </c>
      <c r="I377" s="1">
        <v>0.0</v>
      </c>
      <c r="J377" s="17" t="str">
        <f>IFERROR(__xludf.DUMMYFUNCTION("(GEMINI(""go into the website and search for about us or contact page and pull in the City and State that this website or company is based from"", C377:C771))"),"I am not capable of browsing websites, navigating to specific pages, or extracting data like City and State from a website's contact or about us page.")</f>
        <v>I am not capable of browsing websites, navigating to specific pages, or extracting data like City and State from a website's contact or about us page.</v>
      </c>
    </row>
    <row r="378" ht="12.75" hidden="1" customHeight="1">
      <c r="C378" s="40" t="s">
        <v>14140</v>
      </c>
      <c r="D378" s="1">
        <v>0.0</v>
      </c>
      <c r="E378" s="1">
        <v>1.0</v>
      </c>
      <c r="F378" s="1">
        <v>14393.0</v>
      </c>
      <c r="G378" s="41">
        <v>1580.0</v>
      </c>
      <c r="H378" s="1">
        <v>1212.0</v>
      </c>
      <c r="I378" s="1">
        <v>0.0</v>
      </c>
      <c r="J378" s="17" t="str">
        <f>IFERROR(__xludf.DUMMYFUNCTION("(GEMINI(""go into the website and search for about us or contact page and pull in the City and State that this website or company is based from"", C378:C772))"),"San Diego, CA")</f>
        <v>San Diego, CA</v>
      </c>
    </row>
    <row r="379" ht="12.75" hidden="1" customHeight="1">
      <c r="C379" s="40" t="s">
        <v>14141</v>
      </c>
      <c r="D379" s="1">
        <v>0.0</v>
      </c>
      <c r="E379" s="1">
        <v>1.0</v>
      </c>
      <c r="F379" s="1">
        <v>5132.0</v>
      </c>
      <c r="G379" s="41">
        <v>1486.0</v>
      </c>
      <c r="H379" s="1">
        <v>1839.0</v>
      </c>
      <c r="I379" s="1">
        <v>0.0</v>
      </c>
      <c r="J379" s="17" t="str">
        <f>IFERROR(__xludf.DUMMYFUNCTION("(GEMINI(""go into the website and search for about us or contact page and pull in the City and State that this website or company is based from"", C379:C773))"),"I am sorry, but as a Google Sheets expert, I can only provide formulas that work directly within Google Sheets. Sheets formulas cannot browse the internet or scrape data from websites to locate specific information like a company's City and State from ""A"&amp;"bout Us"" or ""Contact"" pages.
While Google Sheets has functions like `IMPORTXML` or `IMPORTHTML` that can sometimes pull data from a URL, they rely on the information being structured in a way that can be precisely targeted, and they cannot navigate a "&amp;"website to find specific pages.
Therefore, I cannot provide a formula to fulfill your request.")</f>
        <v>I am sorry, but as a Google Sheets expert, I can only provide formulas that work directly within Google Sheets. Sheets formulas cannot browse the internet or scrape data from websites to locate specific information like a company's City and State from "About Us" or "Contact" pages.
While Google Sheets has functions like `IMPORTXML` or `IMPORTHTML` that can sometimes pull data from a URL, they rely on the information being structured in a way that can be precisely targeted, and they cannot navigate a website to find specific pages.
Therefore, I cannot provide a formula to fulfill your request.</v>
      </c>
    </row>
    <row r="380" ht="12.75" hidden="1" customHeight="1">
      <c r="C380" s="40" t="s">
        <v>14142</v>
      </c>
      <c r="D380" s="1">
        <v>0.0</v>
      </c>
      <c r="E380" s="1">
        <v>1.0</v>
      </c>
      <c r="F380" s="1">
        <v>1035.0</v>
      </c>
      <c r="G380" s="41">
        <v>1456.0</v>
      </c>
      <c r="H380" s="1">
        <v>9355.0</v>
      </c>
      <c r="I380" s="1">
        <v>0.0</v>
      </c>
      <c r="J380" s="17" t="str">
        <f>IFERROR(__xludf.DUMMYFUNCTION("(GEMINI(""go into the website and search for about us or contact page and pull in the City and State that this website or company is based from"", C380:C774))"),"Nashville, TN")</f>
        <v>Nashville, TN</v>
      </c>
    </row>
    <row r="381" ht="12.75" hidden="1" customHeight="1">
      <c r="C381" s="40" t="s">
        <v>14143</v>
      </c>
      <c r="D381" s="1">
        <v>0.0</v>
      </c>
      <c r="E381" s="1">
        <v>2.0</v>
      </c>
      <c r="F381" s="1">
        <v>3288.0</v>
      </c>
      <c r="G381" s="41">
        <v>1447.0</v>
      </c>
      <c r="H381" s="1">
        <v>3320.0</v>
      </c>
      <c r="I381" s="1">
        <v>0.0</v>
      </c>
      <c r="J381" s="17" t="str">
        <f>IFERROR(__xludf.DUMMYFUNCTION("(GEMINI(""go into the website and search for about us or contact page and pull in the City and State that this website or company is based from"", C381:C775))"),"Aurora, Chicagoland area (IL)")</f>
        <v>Aurora, Chicagoland area (IL)</v>
      </c>
    </row>
    <row r="382" ht="12.75" hidden="1" customHeight="1">
      <c r="C382" s="40" t="s">
        <v>14144</v>
      </c>
      <c r="D382" s="1">
        <v>0.0</v>
      </c>
      <c r="E382" s="1">
        <v>1.0</v>
      </c>
      <c r="F382" s="1">
        <v>967.0</v>
      </c>
      <c r="G382" s="41">
        <v>1413.0</v>
      </c>
      <c r="H382" s="1">
        <v>14397.0</v>
      </c>
      <c r="I382" s="1">
        <v>0.0</v>
      </c>
      <c r="J382" s="17" t="str">
        <f>IFERROR(__xludf.DUMMYFUNCTION("(GEMINI(""go into the website and search for about us or contact page and pull in the City and State that this website or company is based from"", C382:C776))"),"Kansas City, KS")</f>
        <v>Kansas City, KS</v>
      </c>
    </row>
    <row r="383" ht="12.75" hidden="1" customHeight="1">
      <c r="C383" s="40" t="s">
        <v>14145</v>
      </c>
      <c r="D383" s="1">
        <v>0.0</v>
      </c>
      <c r="E383" s="1">
        <v>1.0</v>
      </c>
      <c r="F383" s="1">
        <v>6345.0</v>
      </c>
      <c r="G383" s="41">
        <v>1406.0</v>
      </c>
      <c r="H383" s="1">
        <v>3471.0</v>
      </c>
      <c r="I383" s="1">
        <v>0.0</v>
      </c>
      <c r="J383" s="17" t="str">
        <f>IFERROR(__xludf.DUMMYFUNCTION("(GEMINI(""go into the website and search for about us or contact page and pull in the City and State that this website or company is based from"", C383:C777))"),"Dartford, DA1 4FL (London &amp; The South East Branch)")</f>
        <v>Dartford, DA1 4FL (London &amp; The South East Branch)</v>
      </c>
    </row>
    <row r="384" ht="12.75" hidden="1" customHeight="1">
      <c r="C384" s="40" t="s">
        <v>14146</v>
      </c>
      <c r="D384" s="1">
        <v>0.0</v>
      </c>
      <c r="E384" s="1">
        <v>2.0</v>
      </c>
      <c r="F384" s="1">
        <v>1642.0</v>
      </c>
      <c r="G384" s="41">
        <v>1286.0</v>
      </c>
      <c r="H384" s="1">
        <v>2253.0</v>
      </c>
      <c r="I384" s="1">
        <v>0.0</v>
      </c>
      <c r="J384" s="17" t="str">
        <f>IFERROR(__xludf.DUMMYFUNCTION("(GEMINI(""go into the website and search for about us or contact page and pull in the City and State that this website or company is based from"", C384:C778))"),"I am unable to perform a web search for each website in the table. I can only provide the city and state for the websites in the provided search results. I will use the search results to find the city and state for the first website in the table for which"&amp;" I have location information.
The table begins with smartcret.com, semcofl.com, and serviceteam.co.uk. The search results contain information for semcofl.com and serviceteam.co.uk.
For semcofl.com, the search results state ""Surface Solutions Semco Flor"&amp;"ida."" This suggests the state is Florida, but the city is not explicitly stated.
For serviceteam.co.uk, the search results show a postal address in the UK: ""60 Windsor Avenue, London, SW19 2RR."" This would be London, England.
I will use my own knowle"&amp;"dge to search for the city and state of ""smartcret.com"".
Madrid, Spain")</f>
        <v>I am unable to perform a web search for each website in the table. I can only provide the city and state for the websites in the provided search results. I will use the search results to find the city and state for the first website in the table for which I have location information.
The table begins with smartcret.com, semcofl.com, and serviceteam.co.uk. The search results contain information for semcofl.com and serviceteam.co.uk.
For semcofl.com, the search results state "Surface Solutions Semco Florida." This suggests the state is Florida, but the city is not explicitly stated.
For serviceteam.co.uk, the search results show a postal address in the UK: "60 Windsor Avenue, London, SW19 2RR." This would be London, England.
I will use my own knowledge to search for the city and state of "smartcret.com".
Madrid, Spain</v>
      </c>
    </row>
    <row r="385" ht="12.75" hidden="1" customHeight="1">
      <c r="C385" s="40" t="s">
        <v>14147</v>
      </c>
      <c r="D385" s="1">
        <v>0.0</v>
      </c>
      <c r="E385" s="1">
        <v>6.0</v>
      </c>
      <c r="F385" s="1">
        <v>4254.0</v>
      </c>
      <c r="G385" s="41">
        <v>1276.0</v>
      </c>
      <c r="H385" s="1">
        <v>2435.0</v>
      </c>
      <c r="I385" s="1">
        <v>0.0</v>
      </c>
      <c r="J385" s="17" t="str">
        <f>IFERROR(__xludf.DUMMYFUNCTION("(GEMINI(""go into the website and search for about us or contact page and pull in the City and State that this website or company is based from"", C385:C779))"),"Pompano Beach, FL")</f>
        <v>Pompano Beach, FL</v>
      </c>
    </row>
    <row r="386" ht="12.75" hidden="1" customHeight="1">
      <c r="C386" s="40" t="s">
        <v>14148</v>
      </c>
      <c r="D386" s="1">
        <v>0.0</v>
      </c>
      <c r="E386" s="1">
        <v>1.0</v>
      </c>
      <c r="F386" s="1">
        <v>6548.0</v>
      </c>
      <c r="G386" s="41">
        <v>1222.0</v>
      </c>
      <c r="H386" s="1">
        <v>2678.0</v>
      </c>
      <c r="I386" s="1">
        <v>0.0</v>
      </c>
      <c r="J386" s="17" t="str">
        <f>IFERROR(__xludf.DUMMYFUNCTION("(GEMINI(""go into the website and search for about us or contact page and pull in the City and State that this website or company is based from"", C386:C780))"),"Lewis Center, OH")</f>
        <v>Lewis Center, OH</v>
      </c>
    </row>
    <row r="387" ht="12.75" hidden="1" customHeight="1">
      <c r="C387" s="40" t="s">
        <v>14149</v>
      </c>
      <c r="D387" s="1">
        <v>0.0</v>
      </c>
      <c r="E387" s="1">
        <v>1.0</v>
      </c>
      <c r="F387" s="1">
        <v>2782.0</v>
      </c>
      <c r="G387" s="41">
        <v>1180.0</v>
      </c>
      <c r="H387" s="1">
        <v>647.0</v>
      </c>
      <c r="I387" s="1">
        <v>0.0</v>
      </c>
      <c r="J387" s="17" t="str">
        <f>IFERROR(__xludf.DUMMYFUNCTION("(GEMINI(""go into the website and search for about us or contact page and pull in the City and State that this website or company is based from"", C387:C781))"),"Orlando, FL")</f>
        <v>Orlando, FL</v>
      </c>
    </row>
    <row r="388" ht="12.75" hidden="1" customHeight="1">
      <c r="C388" s="40" t="s">
        <v>14150</v>
      </c>
      <c r="D388" s="1">
        <v>0.0</v>
      </c>
      <c r="E388" s="1">
        <v>1.0</v>
      </c>
      <c r="F388" s="1">
        <v>1746.0</v>
      </c>
      <c r="G388" s="41">
        <v>1095.0</v>
      </c>
      <c r="H388" s="1">
        <v>5415.0</v>
      </c>
      <c r="I388" s="1">
        <v>0.0</v>
      </c>
      <c r="J388" s="17" t="str">
        <f>IFERROR(__xludf.DUMMYFUNCTION("(GEMINI(""go into the website and search for about us or contact page and pull in the City and State that this website or company is based from"", C388:C782))"),"I am unable to visit external websites to search for contact or ""about us"" pages.")</f>
        <v>I am unable to visit external websites to search for contact or "about us" pages.</v>
      </c>
    </row>
    <row r="389" ht="12.75" hidden="1" customHeight="1">
      <c r="C389" s="40" t="s">
        <v>14151</v>
      </c>
      <c r="D389" s="1">
        <v>0.0</v>
      </c>
      <c r="E389" s="1">
        <v>1.0</v>
      </c>
      <c r="F389" s="1">
        <v>1624.0</v>
      </c>
      <c r="G389" s="41">
        <v>963.0</v>
      </c>
      <c r="H389" s="1">
        <v>11284.0</v>
      </c>
      <c r="I389" s="1">
        <v>0.0</v>
      </c>
      <c r="J389" s="17" t="str">
        <f>IFERROR(__xludf.DUMMYFUNCTION("(GEMINI(""go into the website and search for about us or contact page and pull in the City and State that this website or company is based from"", C389:C783))"),"Lewis Center, OH")</f>
        <v>Lewis Center, OH</v>
      </c>
    </row>
    <row r="390" ht="12.75" hidden="1" customHeight="1">
      <c r="C390" s="40" t="s">
        <v>14152</v>
      </c>
      <c r="D390" s="1">
        <v>0.0</v>
      </c>
      <c r="E390" s="1">
        <v>1.0</v>
      </c>
      <c r="F390" s="1">
        <v>1204.0</v>
      </c>
      <c r="G390" s="41">
        <v>930.0</v>
      </c>
      <c r="H390" s="1">
        <v>390.0</v>
      </c>
      <c r="I390" s="1">
        <v>0.0</v>
      </c>
      <c r="J390" s="17" t="str">
        <f>IFERROR(__xludf.DUMMYFUNCTION("(GEMINI(""go into the website and search for about us or contact page and pull in the City and State that this website or company is based from"", C390:C784))"),"Campbellfield, VIC")</f>
        <v>Campbellfield, VIC</v>
      </c>
    </row>
    <row r="391" ht="12.75" hidden="1" customHeight="1">
      <c r="C391" s="40" t="s">
        <v>14153</v>
      </c>
      <c r="D391" s="1">
        <v>0.0</v>
      </c>
      <c r="E391" s="1">
        <v>1.0</v>
      </c>
      <c r="F391" s="1">
        <v>353.0</v>
      </c>
      <c r="G391" s="41">
        <v>889.0</v>
      </c>
      <c r="H391" s="1">
        <v>5791.0</v>
      </c>
      <c r="I391" s="1">
        <v>0.0</v>
      </c>
      <c r="J391" s="17" t="str">
        <f>IFERROR(__xludf.DUMMYFUNCTION("(GEMINI(""go into the website and search for about us or contact page and pull in the City and State that this website or company is based from"", C391:C785))"),"I cannot visit or navigate specific websites from the provided list to find the City and State. I can only use the data provided in the table or the general web search results.")</f>
        <v>I cannot visit or navigate specific websites from the provided list to find the City and State. I can only use the data provided in the table or the general web search results.</v>
      </c>
    </row>
    <row r="392" ht="12.75" hidden="1" customHeight="1">
      <c r="C392" s="40" t="s">
        <v>14154</v>
      </c>
      <c r="D392" s="1">
        <v>0.0</v>
      </c>
      <c r="E392" s="1">
        <v>1.0</v>
      </c>
      <c r="F392" s="1">
        <v>769.0</v>
      </c>
      <c r="G392" s="41">
        <v>838.0</v>
      </c>
      <c r="H392" s="1">
        <v>4971.0</v>
      </c>
      <c r="I392" s="1">
        <v>0.0</v>
      </c>
      <c r="J392" s="17" t="str">
        <f>IFERROR(__xludf.DUMMYFUNCTION("(GEMINI(""go into the website and search for about us or contact page and pull in the City and State that this website or company is based from"", C392:C786))"),"Something went wrong. Try again.")</f>
        <v>Something went wrong. Try again.</v>
      </c>
    </row>
    <row r="393" ht="12.75" hidden="1" customHeight="1">
      <c r="C393" s="40" t="s">
        <v>14155</v>
      </c>
      <c r="D393" s="1">
        <v>0.0</v>
      </c>
      <c r="E393" s="1">
        <v>1.0</v>
      </c>
      <c r="F393" s="1">
        <v>1176.0</v>
      </c>
      <c r="G393" s="41">
        <v>728.0</v>
      </c>
      <c r="H393" s="1">
        <v>706.0</v>
      </c>
      <c r="I393" s="1">
        <v>0.0</v>
      </c>
      <c r="J393" s="17" t="str">
        <f>IFERROR(__xludf.DUMMYFUNCTION("(GEMINI(""go into the website and search for about us or contact page and pull in the City and State that this website or company is based from"", C393:C787))"),"Somerville, MA")</f>
        <v>Somerville, MA</v>
      </c>
    </row>
    <row r="394" ht="12.75" hidden="1" customHeight="1">
      <c r="C394" s="40" t="s">
        <v>14156</v>
      </c>
      <c r="D394" s="1">
        <v>0.0</v>
      </c>
      <c r="E394" s="1">
        <v>1.0</v>
      </c>
      <c r="F394" s="1">
        <v>522.0</v>
      </c>
      <c r="G394" s="41">
        <v>717.0</v>
      </c>
      <c r="H394" s="1">
        <v>873.0</v>
      </c>
      <c r="I394" s="1">
        <v>0.0</v>
      </c>
      <c r="J394" s="17" t="str">
        <f>IFERROR(__xludf.DUMMYFUNCTION("(GEMINI(""go into the website and search for about us or contact page and pull in the City and State that this website or company is based from"", C394:C788))"),"I cannot visit external websites, search within them, or pull location data.")</f>
        <v>I cannot visit external websites, search within them, or pull location data.</v>
      </c>
    </row>
    <row r="395" ht="12.75" hidden="1" customHeight="1">
      <c r="C395" s="40" t="s">
        <v>14157</v>
      </c>
      <c r="D395" s="1">
        <v>0.0</v>
      </c>
      <c r="E395" s="1">
        <v>2.0</v>
      </c>
      <c r="F395" s="1">
        <v>762.0</v>
      </c>
      <c r="G395" s="41">
        <v>706.0</v>
      </c>
      <c r="H395" s="1">
        <v>483.0</v>
      </c>
      <c r="I395" s="1">
        <v>0.0</v>
      </c>
      <c r="J395" s="17" t="str">
        <f>IFERROR(__xludf.DUMMYFUNCTION("(GEMINI(""go into the website and search for about us or contact page and pull in the City and State that this website or company is based from"", C395:C789))"),"Morbi, Gujarat, India")</f>
        <v>Morbi, Gujarat, India</v>
      </c>
    </row>
    <row r="396" ht="12.75" hidden="1" customHeight="1">
      <c r="C396" s="40" t="s">
        <v>14158</v>
      </c>
      <c r="D396" s="1">
        <v>0.0</v>
      </c>
      <c r="E396" s="1">
        <v>1.0</v>
      </c>
      <c r="F396" s="1">
        <v>509.0</v>
      </c>
      <c r="G396" s="41">
        <v>694.0</v>
      </c>
      <c r="H396" s="1">
        <v>885.0</v>
      </c>
      <c r="I396" s="1">
        <v>0.0</v>
      </c>
      <c r="J396" s="17" t="str">
        <f>IFERROR(__xludf.DUMMYFUNCTION("(GEMINI(""go into the website and search for about us or contact page and pull in the City and State that this website or company is based from"", C396:C790))"),"Los Angeles, California")</f>
        <v>Los Angeles, California</v>
      </c>
    </row>
    <row r="397" ht="12.75" hidden="1" customHeight="1">
      <c r="C397" s="40" t="s">
        <v>14159</v>
      </c>
      <c r="D397" s="1">
        <v>0.0</v>
      </c>
      <c r="E397" s="1">
        <v>2.0</v>
      </c>
      <c r="F397" s="1">
        <v>1428.0</v>
      </c>
      <c r="G397" s="41">
        <v>686.0</v>
      </c>
      <c r="H397" s="1">
        <v>491.0</v>
      </c>
      <c r="I397" s="1">
        <v>0.0</v>
      </c>
      <c r="J397" s="17" t="str">
        <f>IFERROR(__xludf.DUMMYFUNCTION("(GEMINI(""go into the website and search for about us or contact page and pull in the City and State that this website or company is based from"", C397:C791))"),"Alexandria, VA")</f>
        <v>Alexandria, VA</v>
      </c>
    </row>
    <row r="398" ht="12.75" hidden="1" customHeight="1">
      <c r="C398" s="40" t="s">
        <v>14160</v>
      </c>
      <c r="D398" s="1">
        <v>0.0</v>
      </c>
      <c r="E398" s="1">
        <v>1.0</v>
      </c>
      <c r="F398" s="1">
        <v>1294.0</v>
      </c>
      <c r="G398" s="41">
        <v>682.0</v>
      </c>
      <c r="H398" s="1">
        <v>2331.0</v>
      </c>
      <c r="I398" s="1">
        <v>2.0</v>
      </c>
      <c r="J398" s="17" t="str">
        <f>IFERROR(__xludf.DUMMYFUNCTION("(GEMINI(""go into the website and search for about us or contact page and pull in the City and State that this website or company is based from"", C398:C792))"),"I am unable to visit websites and extract specific information like the city and state from ""about us"" or ""contact"" pages. I can only use the information provided in the spreadsheet or general web search results.")</f>
        <v>I am unable to visit websites and extract specific information like the city and state from "about us" or "contact" pages. I can only use the information provided in the spreadsheet or general web search results.</v>
      </c>
    </row>
    <row r="399" ht="12.75" hidden="1" customHeight="1">
      <c r="C399" s="40" t="s">
        <v>14161</v>
      </c>
      <c r="D399" s="1">
        <v>0.0</v>
      </c>
      <c r="E399" s="1">
        <v>1.0</v>
      </c>
      <c r="F399" s="1">
        <v>1271.0</v>
      </c>
      <c r="G399" s="41">
        <v>653.0</v>
      </c>
      <c r="H399" s="1">
        <v>2754.0</v>
      </c>
      <c r="I399" s="1">
        <v>1.0</v>
      </c>
      <c r="J399" s="17" t="str">
        <f>IFERROR(__xludf.DUMMYFUNCTION("(GEMINI(""go into the website and search for about us or contact page and pull in the City and State that this website or company is based from"", C399:C793))"),"Seattle, WA")</f>
        <v>Seattle, WA</v>
      </c>
    </row>
    <row r="400" ht="12.75" hidden="1" customHeight="1">
      <c r="C400" s="40" t="s">
        <v>14162</v>
      </c>
      <c r="D400" s="1">
        <v>0.0</v>
      </c>
      <c r="E400" s="1">
        <v>1.0</v>
      </c>
      <c r="F400" s="1">
        <v>1872.0</v>
      </c>
      <c r="G400" s="41">
        <v>562.0</v>
      </c>
      <c r="H400" s="1">
        <v>4349.0</v>
      </c>
      <c r="I400" s="1">
        <v>0.0</v>
      </c>
      <c r="J400" s="17" t="str">
        <f>IFERROR(__xludf.DUMMYFUNCTION("(GEMINI(""go into the website and search for about us or contact page and pull in the City and State that this website or company is based from"", C400:C794))"),"| NO\_HEADER                            | City           | State          |
| :------------------------------------ | :------------- | :------------- |
| lifespanhi.com                        | Salt Lake City | Utah           |
| homelivinghandbook.com   "&amp;"             |                |                |
| foxvalleybathtubrefinishing.com       | St Charles     | IL             |
| porcelainsuperstore.co.uk             | Manchester     | United Kingdom |
| tileoutlet.net                        | Carson City "&amp;"   | NV             |
| ultrabathroom.com                     |                |                |
| superiorbathtubrefinishing.com        |                |                |
| bathtubguys.com                       |                |                |
| ren"&amp;"ukrete.com                         |                |                |
| paintpositive.com                     |                |                |
| premierrefinishing.net                |                |                |
| dsapone.com                   "&amp;"        |                |                |
| tiledoctor.biz                        |                |                |
| bathroomwerx.com.au                   |                |                |
| californiatilerestoration.com         |                | "&amp;"               |
| seamlessoverlays.com                  |                |                |
| foremansnags.com                      |                |                |
| somathomeremodeling.com               |                |                |
| southing"&amp;"tonpainting.com               |                |                |
| accurateplumbingtx.com                |                |                |
| bathrenovationhq.com                  |                |                |
| gouldpaintingwny.com               "&amp;"   |                |                |
| cincottitile.com                      |                |                |
| ftworthrefinishing.com                |                |                |
| mrresurface.com                       |                |      "&amp;"          |
| stone3.com.au                         |                |                |
| bathtubrefinishingtulsa.com           |                |                |
| classicallyjill.com                   |                |                |
| borobathrooms"&amp;".co.uk                   |                |                |
| a1reglaze.com                         |                |                |
| re-surfacepro.com                     |                |                |
| bathroomremodeleriepa.com             | "&amp;"               |                |
| capsulegallery.com                    |                |                |
| tubnshower.com                        |                |                |
| mayfairbuildinggroup.com.au           |                |           "&amp;"     |
| thebathtubguy.com                     |                |                |
| capitalbathrooms.com.au               |                |                |
| amazingtubsreglaze.com                |                |                |
| losangelesbathtubr"&amp;"eglazing.webflow.io |                |                |
| dallastubrefinishing.com              |                |                |
| floridatubreglazing.com               |                |                |
| alfredosrefinish.com                  |      "&amp;"          |                |
| johnsonflooringtn.com                 |                |                |
| winchestertileservice.com             |                |                |
| rksbathtubandtilerestorations.com     |                |                "&amp;"|
| strivetilereglazing.com               |                |                |
| reglazinglosangeles0.yolasite.com     |                |                |
| aaarefinishing.com                    |                |                |")</f>
        <v>| NO\_HEADER                            | City           | State          |
| :------------------------------------ | :------------- | :------------- |
| lifespanhi.com                        | Salt Lake City | Utah           |
| homelivinghandbook.com                |                |                |
| foxvalleybathtubrefinishing.com       | St Charles     | IL             |
| porcelainsuperstore.co.uk             | Manchester     | United Kingdom |
| tileoutlet.net                        | Carson City    | NV             |
| ultrabathroom.com                     |                |                |
| superiorbathtubrefinishing.com        |                |                |
| bathtubguys.com                       |                |                |
| renukrete.com                         |                |                |
| paintpositive.com                     |                |                |
| premierrefinishing.net                |                |                |
| dsapone.com                           |                |                |
| tiledoctor.biz                        |                |                |
| bathroomwerx.com.au                   |                |                |
| californiatilerestoration.com         |                |                |
| seamlessoverlays.com                  |                |                |
| foremansnags.com                      |                |                |
| somathomeremodeling.com               |                |                |
| southingtonpainting.com               |                |                |
| accurateplumbingtx.com                |                |                |
| bathrenovationhq.com                  |                |                |
| gouldpaintingwny.com                  |                |                |
| cincottitile.com                      |                |                |
| ftworthrefinishing.com                |                |                |
| mrresurface.com                       |                |                |
| stone3.com.au                         |                |                |
| bathtubrefinishingtulsa.com           |                |                |
| classicallyjill.com                   |                |                |
| borobathrooms.co.uk                   |                |                |
| a1reglaze.com                         |                |                |
| re-surfacepro.com                     |                |                |
| bathroomremodeleriepa.com             |                |                |
| capsulegallery.com                    |                |                |
| tubnshower.com                        |                |                |
| mayfairbuildinggroup.com.au           |                |                |
| thebathtubguy.com                     |                |                |
| capitalbathrooms.com.au               |                |                |
| amazingtubsreglaze.com                |                |                |
| losangelesbathtubreglazing.webflow.io |                |                |
| dallastubrefinishing.com              |                |                |
| floridatubreglazing.com               |                |                |
| alfredosrefinish.com                  |                |                |
| johnsonflooringtn.com                 |                |                |
| winchestertileservice.com             |                |                |
| rksbathtubandtilerestorations.com     |                |                |
| strivetilereglazing.com               |                |                |
| reglazinglosangeles0.yolasite.com     |                |                |
| aaarefinishing.com                    |                |                |</v>
      </c>
    </row>
    <row r="401" ht="12.75" hidden="1" customHeight="1">
      <c r="C401" s="40" t="s">
        <v>14163</v>
      </c>
      <c r="D401" s="1">
        <v>0.0</v>
      </c>
      <c r="E401" s="1">
        <v>1.0</v>
      </c>
      <c r="F401" s="1">
        <v>10977.0</v>
      </c>
      <c r="G401" s="41">
        <v>554.0</v>
      </c>
      <c r="H401" s="1">
        <v>153.0</v>
      </c>
      <c r="I401" s="1">
        <v>0.0</v>
      </c>
      <c r="J401" s="17" t="str">
        <f>IFERROR(__xludf.DUMMYFUNCTION("(GEMINI(""go into the website and search for about us or contact page and pull in the City and State that this website or company is based from"", C401:C795))"),"St Charles, IL")</f>
        <v>St Charles, IL</v>
      </c>
    </row>
    <row r="402" ht="12.75" hidden="1" customHeight="1">
      <c r="C402" s="40" t="s">
        <v>14164</v>
      </c>
      <c r="D402" s="1">
        <v>0.0</v>
      </c>
      <c r="E402" s="1">
        <v>1.0</v>
      </c>
      <c r="F402" s="1">
        <v>1061.0</v>
      </c>
      <c r="G402" s="41">
        <v>532.0</v>
      </c>
      <c r="H402" s="1">
        <v>1945.0</v>
      </c>
      <c r="I402" s="1">
        <v>0.0</v>
      </c>
      <c r="J402" s="17" t="str">
        <f>IFERROR(__xludf.DUMMYFUNCTION("(GEMINI(""go into the website and search for about us or contact page and pull in the City and State that this website or company is based from"", C402:C796))"),"St Charles, IL")</f>
        <v>St Charles, IL</v>
      </c>
    </row>
    <row r="403" ht="12.75" hidden="1" customHeight="1">
      <c r="C403" s="40" t="s">
        <v>14165</v>
      </c>
      <c r="D403" s="1">
        <v>0.0</v>
      </c>
      <c r="E403" s="1">
        <v>2.0</v>
      </c>
      <c r="F403" s="1">
        <v>3572.0</v>
      </c>
      <c r="G403" s="41">
        <v>528.0</v>
      </c>
      <c r="H403" s="1">
        <v>401.0</v>
      </c>
      <c r="I403" s="1">
        <v>1.0</v>
      </c>
      <c r="J403" s="17" t="str">
        <f>IFERROR(__xludf.DUMMYFUNCTION("(GEMINI(""go into the website and search for about us or contact page and pull in the City and State that this website or company is based from"", C403:C797))"),"I am unable to visit external websites or search web pages to extract location information.")</f>
        <v>I am unable to visit external websites or search web pages to extract location information.</v>
      </c>
    </row>
    <row r="404" ht="12.75" hidden="1" customHeight="1">
      <c r="C404" s="40" t="s">
        <v>14166</v>
      </c>
      <c r="D404" s="1">
        <v>0.0</v>
      </c>
      <c r="E404" s="1">
        <v>2.0</v>
      </c>
      <c r="F404" s="1">
        <v>1242.0</v>
      </c>
      <c r="G404" s="41">
        <v>513.0</v>
      </c>
      <c r="H404" s="1">
        <v>3147.0</v>
      </c>
      <c r="I404" s="1">
        <v>0.0</v>
      </c>
      <c r="J404" s="17" t="str">
        <f>IFERROR(__xludf.DUMMYFUNCTION("(GEMINI(""go into the website and search for about us or contact page and pull in the City and State that this website or company is based from"", C404:C798))"),"Carson City, NV")</f>
        <v>Carson City, NV</v>
      </c>
    </row>
    <row r="405" ht="12.75" hidden="1" customHeight="1">
      <c r="C405" s="40" t="s">
        <v>14167</v>
      </c>
      <c r="D405" s="1">
        <v>0.0</v>
      </c>
      <c r="E405" s="1">
        <v>2.0</v>
      </c>
      <c r="F405" s="1">
        <v>1094.0</v>
      </c>
      <c r="G405" s="41">
        <v>474.0</v>
      </c>
      <c r="H405" s="1">
        <v>747.0</v>
      </c>
      <c r="I405" s="1">
        <v>0.0</v>
      </c>
      <c r="J405" s="17" t="str">
        <f>IFERROR(__xludf.DUMMYFUNCTION("(GEMINI(""go into the website and search for about us or contact page and pull in the City and State that this website or company is based from"", C405:C799))"),"ARCADIA, CA")</f>
        <v>ARCADIA, CA</v>
      </c>
    </row>
    <row r="406" ht="12.75" hidden="1" customHeight="1">
      <c r="C406" s="40" t="s">
        <v>14168</v>
      </c>
      <c r="D406" s="1">
        <v>0.0</v>
      </c>
      <c r="E406" s="1">
        <v>1.0</v>
      </c>
      <c r="F406" s="1">
        <v>576.0</v>
      </c>
      <c r="G406" s="41">
        <v>435.0</v>
      </c>
      <c r="H406" s="1">
        <v>1092.0</v>
      </c>
      <c r="I406" s="1">
        <v>0.0</v>
      </c>
      <c r="J406" s="17" t="str">
        <f>IFERROR(__xludf.DUMMYFUNCTION("(GEMINI(""go into the website and search for about us or contact page and pull in the City and State that this website or company is based from"", C406:C800))"),"Kissimmee, FL")</f>
        <v>Kissimmee, FL</v>
      </c>
    </row>
    <row r="407" ht="12.75" hidden="1" customHeight="1">
      <c r="C407" s="40" t="s">
        <v>14169</v>
      </c>
      <c r="D407" s="1">
        <v>0.0</v>
      </c>
      <c r="E407" s="1">
        <v>1.0</v>
      </c>
      <c r="F407" s="1">
        <v>738.0</v>
      </c>
      <c r="G407" s="41">
        <v>382.0</v>
      </c>
      <c r="H407" s="1">
        <v>2105.0</v>
      </c>
      <c r="I407" s="1">
        <v>0.0</v>
      </c>
      <c r="J407" s="17" t="str">
        <f>IFERROR(__xludf.DUMMYFUNCTION("(GEMINI(""go into the website and search for about us or contact page and pull in the City and State that this website or company is based from"", C407:C801))"),"Jacksonville, FL")</f>
        <v>Jacksonville, FL</v>
      </c>
    </row>
    <row r="408" ht="12.75" hidden="1" customHeight="1">
      <c r="C408" s="40" t="s">
        <v>14170</v>
      </c>
      <c r="D408" s="1">
        <v>0.0</v>
      </c>
      <c r="E408" s="1">
        <v>1.0</v>
      </c>
      <c r="F408" s="1">
        <v>886.0</v>
      </c>
      <c r="G408" s="41">
        <v>346.0</v>
      </c>
      <c r="H408" s="1">
        <v>1967.0</v>
      </c>
      <c r="I408" s="1">
        <v>21.0</v>
      </c>
      <c r="J408" s="17" t="str">
        <f>IFERROR(__xludf.DUMMYFUNCTION("(GEMINI(""go into the website and search for about us or contact page and pull in the City and State that this website or company is based from"", C408:C802))"),"I am unable to visit external websites or perform searches within a website to extract location data.")</f>
        <v>I am unable to visit external websites or perform searches within a website to extract location data.</v>
      </c>
    </row>
    <row r="409" ht="12.75" hidden="1" customHeight="1">
      <c r="C409" s="40" t="s">
        <v>14171</v>
      </c>
      <c r="D409" s="1">
        <v>0.0</v>
      </c>
      <c r="E409" s="1">
        <v>1.0</v>
      </c>
      <c r="F409" s="1">
        <v>1676.0</v>
      </c>
      <c r="G409" s="41">
        <v>340.0</v>
      </c>
      <c r="H409" s="1">
        <v>208.0</v>
      </c>
      <c r="I409" s="1">
        <v>0.0</v>
      </c>
      <c r="J409" s="17" t="str">
        <f>IFERROR(__xludf.DUMMYFUNCTION("(GEMINI(""go into the website and search for about us or contact page and pull in the City and State that this website or company is based from"", C409:C803))"),"Hudson, Ohio")</f>
        <v>Hudson, Ohio</v>
      </c>
    </row>
    <row r="410" ht="12.75" hidden="1" customHeight="1">
      <c r="C410" s="40" t="s">
        <v>14172</v>
      </c>
      <c r="D410" s="1">
        <v>0.0</v>
      </c>
      <c r="E410" s="1">
        <v>1.0</v>
      </c>
      <c r="F410" s="1">
        <v>339.0</v>
      </c>
      <c r="G410" s="41">
        <v>323.0</v>
      </c>
      <c r="H410" s="1">
        <v>1126.0</v>
      </c>
      <c r="I410" s="1">
        <v>0.0</v>
      </c>
      <c r="J410" s="17" t="str">
        <f>IFERROR(__xludf.DUMMYFUNCTION("(GEMINI(""go into the website and search for about us or contact page and pull in the City and State that this website or company is based from"", C410:C804))"),"I am unable to find the City and State for ""premierrefinishing.net"" in the available search results.")</f>
        <v>I am unable to find the City and State for "premierrefinishing.net" in the available search results.</v>
      </c>
    </row>
    <row r="411" ht="12.75" hidden="1" customHeight="1">
      <c r="C411" s="40" t="s">
        <v>14173</v>
      </c>
      <c r="D411" s="1">
        <v>0.0</v>
      </c>
      <c r="E411" s="1">
        <v>1.0</v>
      </c>
      <c r="F411" s="1">
        <v>1690.0</v>
      </c>
      <c r="G411" s="41">
        <v>311.0</v>
      </c>
      <c r="H411" s="1">
        <v>475.0</v>
      </c>
      <c r="I411" s="1">
        <v>0.0</v>
      </c>
      <c r="J411" s="17" t="str">
        <f>IFERROR(__xludf.DUMMYFUNCTION("(GEMINI(""go into the website and search for about us or contact page and pull in the City and State that this website or company is based from"", C411:C805))"),"Sarasota, FL or Atlanta, GA or New York, NY or Tulsa, OK")</f>
        <v>Sarasota, FL or Atlanta, GA or New York, NY or Tulsa, OK</v>
      </c>
    </row>
    <row r="412" ht="12.75" hidden="1" customHeight="1">
      <c r="C412" s="40" t="s">
        <v>14174</v>
      </c>
      <c r="D412" s="1">
        <v>0.0</v>
      </c>
      <c r="E412" s="1">
        <v>1.0</v>
      </c>
      <c r="F412" s="1">
        <v>575.0</v>
      </c>
      <c r="G412" s="41">
        <v>244.0</v>
      </c>
      <c r="H412" s="1">
        <v>153.0</v>
      </c>
      <c r="I412" s="1">
        <v>0.0</v>
      </c>
      <c r="J412" s="17" t="str">
        <f>IFERROR(__xludf.DUMMYFUNCTION("(GEMINI(""go into the website and search for about us or contact page and pull in the City and State that this website or company is based from"", C412:C806))"),"Melbourne, Perth, Adelaide, Brisbane, Sydney, Australia")</f>
        <v>Melbourne, Perth, Adelaide, Brisbane, Sydney, Australia</v>
      </c>
    </row>
    <row r="413" ht="12.75" hidden="1" customHeight="1">
      <c r="C413" s="40" t="s">
        <v>14175</v>
      </c>
      <c r="D413" s="1">
        <v>0.0</v>
      </c>
      <c r="E413" s="1">
        <v>1.0</v>
      </c>
      <c r="F413" s="1">
        <v>576.0</v>
      </c>
      <c r="G413" s="41">
        <v>238.0</v>
      </c>
      <c r="H413" s="1">
        <v>599.0</v>
      </c>
      <c r="I413" s="1">
        <v>0.0</v>
      </c>
      <c r="J413" s="17" t="str">
        <f>IFERROR(__xludf.DUMMYFUNCTION("(GEMINI(""go into the website and search for about us or contact page and pull in the City and State that this website or company is based from"", C413:C807))"),"Preston, Australia")</f>
        <v>Preston, Australia</v>
      </c>
    </row>
    <row r="414" ht="12.75" hidden="1" customHeight="1">
      <c r="C414" s="40" t="s">
        <v>14176</v>
      </c>
      <c r="D414" s="1">
        <v>0.0</v>
      </c>
      <c r="E414" s="1">
        <v>1.0</v>
      </c>
      <c r="F414" s="1">
        <v>591.0</v>
      </c>
      <c r="G414" s="41">
        <v>231.0</v>
      </c>
      <c r="H414" s="1">
        <v>393.0</v>
      </c>
      <c r="I414" s="1">
        <v>0.0</v>
      </c>
      <c r="J414" s="17" t="str">
        <f>IFERROR(__xludf.DUMMYFUNCTION("(GEMINI(""go into the website and search for about us or contact page and pull in the City and State that this website or company is based from"", C414:C808))"),"Vacaville, CA")</f>
        <v>Vacaville, CA</v>
      </c>
    </row>
    <row r="415" ht="12.75" hidden="1" customHeight="1">
      <c r="C415" s="40" t="s">
        <v>14177</v>
      </c>
      <c r="D415" s="1">
        <v>0.0</v>
      </c>
      <c r="E415" s="1">
        <v>1.0</v>
      </c>
      <c r="F415" s="1">
        <v>501.0</v>
      </c>
      <c r="G415" s="41">
        <v>220.0</v>
      </c>
      <c r="H415" s="1">
        <v>1024.0</v>
      </c>
      <c r="I415" s="1">
        <v>0.0</v>
      </c>
      <c r="J415" s="17" t="str">
        <f>IFERROR(__xludf.DUMMYFUNCTION("(GEMINI(""go into the website and search for about us or contact page and pull in the City and State that this website or company is based from"", C415:C809))"),"Melbourne, Victoria, Australia")</f>
        <v>Melbourne, Victoria, Australia</v>
      </c>
    </row>
    <row r="416" ht="12.75" hidden="1" customHeight="1">
      <c r="C416" s="40" t="s">
        <v>14178</v>
      </c>
      <c r="D416" s="1">
        <v>0.0</v>
      </c>
      <c r="E416" s="1">
        <v>1.0</v>
      </c>
      <c r="F416" s="1">
        <v>1232.0</v>
      </c>
      <c r="G416" s="41">
        <v>220.0</v>
      </c>
      <c r="H416" s="1">
        <v>381.0</v>
      </c>
      <c r="I416" s="1">
        <v>0.0</v>
      </c>
      <c r="J416" s="17" t="str">
        <f>IFERROR(__xludf.DUMMYFUNCTION("(GEMINI(""go into the website and search for about us or contact page and pull in the City and State that this website or company is based from"", C416:C810))"),"Dunstable, Bedfordshire (UK)")</f>
        <v>Dunstable, Bedfordshire (UK)</v>
      </c>
    </row>
    <row r="417" ht="12.75" hidden="1" customHeight="1">
      <c r="C417" s="40" t="s">
        <v>14179</v>
      </c>
      <c r="D417" s="1">
        <v>0.0</v>
      </c>
      <c r="E417" s="1">
        <v>1.0</v>
      </c>
      <c r="F417" s="1">
        <v>3161.0</v>
      </c>
      <c r="G417" s="41">
        <v>206.0</v>
      </c>
      <c r="H417" s="1">
        <v>64.0</v>
      </c>
      <c r="I417" s="1">
        <v>0.0</v>
      </c>
      <c r="J417" s="17" t="str">
        <f>IFERROR(__xludf.DUMMYFUNCTION("(GEMINI(""go into the website and search for about us or contact page and pull in the City and State that this website or company is based from"", C417:C811))"),"Plantsville, CT")</f>
        <v>Plantsville, CT</v>
      </c>
    </row>
    <row r="418" ht="12.75" hidden="1" customHeight="1">
      <c r="C418" s="40" t="s">
        <v>14180</v>
      </c>
      <c r="D418" s="1">
        <v>0.0</v>
      </c>
      <c r="E418" s="1">
        <v>1.0</v>
      </c>
      <c r="F418" s="1">
        <v>1798.0</v>
      </c>
      <c r="G418" s="41">
        <v>197.0</v>
      </c>
      <c r="H418" s="1">
        <v>221.0</v>
      </c>
      <c r="I418" s="1">
        <v>0.0</v>
      </c>
      <c r="J418" s="17" t="str">
        <f>IFERROR(__xludf.DUMMYFUNCTION("(GEMINI(""go into the website and search for about us or contact page and pull in the City and State that this website or company is based from"", C418:C812))"),"Plantsville, CT")</f>
        <v>Plantsville, CT</v>
      </c>
    </row>
    <row r="419" ht="12.75" hidden="1" customHeight="1">
      <c r="C419" s="40" t="s">
        <v>14181</v>
      </c>
      <c r="D419" s="1">
        <v>0.0</v>
      </c>
      <c r="E419" s="1">
        <v>1.0</v>
      </c>
      <c r="F419" s="1">
        <v>1475.0</v>
      </c>
      <c r="G419" s="41">
        <v>190.0</v>
      </c>
      <c r="H419" s="1">
        <v>1579.0</v>
      </c>
      <c r="I419" s="1">
        <v>0.0</v>
      </c>
      <c r="J419" s="17" t="str">
        <f>IFERROR(__xludf.DUMMYFUNCTION("(GEMINI(""go into the website and search for about us or contact page and pull in the City and State that this website or company is based from"", C419:C813))"),"Pearland, TX")</f>
        <v>Pearland, TX</v>
      </c>
    </row>
    <row r="420" ht="12.75" hidden="1" customHeight="1">
      <c r="C420" s="40" t="s">
        <v>14182</v>
      </c>
      <c r="D420" s="1">
        <v>0.0</v>
      </c>
      <c r="E420" s="1">
        <v>1.0</v>
      </c>
      <c r="F420" s="1">
        <v>1448.0</v>
      </c>
      <c r="G420" s="41">
        <v>174.0</v>
      </c>
      <c r="H420" s="1">
        <v>612.0</v>
      </c>
      <c r="I420" s="1">
        <v>0.0</v>
      </c>
      <c r="J420" s="17" t="str">
        <f>IFERROR(__xludf.DUMMYFUNCTION("(GEMINI(""go into the website and search for about us or contact page and pull in the City and State that this website or company is based from"", C420:C814))"),"Something went wrong. Try again.")</f>
        <v>Something went wrong. Try again.</v>
      </c>
    </row>
    <row r="421" ht="12.75" hidden="1" customHeight="1">
      <c r="C421" s="40" t="s">
        <v>14183</v>
      </c>
      <c r="D421" s="1">
        <v>0.0</v>
      </c>
      <c r="E421" s="1">
        <v>1.0</v>
      </c>
      <c r="F421" s="1">
        <v>637.0</v>
      </c>
      <c r="G421" s="41">
        <v>172.0</v>
      </c>
      <c r="H421" s="1">
        <v>125.0</v>
      </c>
      <c r="I421" s="1">
        <v>0.0</v>
      </c>
      <c r="J421" s="17" t="str">
        <f>IFERROR(__xludf.DUMMYFUNCTION("(GEMINI(""go into the website and search for about us or contact page and pull in the City and State that this website or company is based from"", C421:C815))"),"Buffalo, NY")</f>
        <v>Buffalo, NY</v>
      </c>
    </row>
    <row r="422" ht="12.75" hidden="1" customHeight="1">
      <c r="C422" s="40" t="s">
        <v>14184</v>
      </c>
      <c r="D422" s="1">
        <v>0.0</v>
      </c>
      <c r="E422" s="1">
        <v>1.0</v>
      </c>
      <c r="F422" s="1">
        <v>601.0</v>
      </c>
      <c r="G422" s="41">
        <v>170.0</v>
      </c>
      <c r="H422" s="1">
        <v>474.0</v>
      </c>
      <c r="I422" s="1">
        <v>0.0</v>
      </c>
      <c r="J422" s="17" t="str">
        <f>IFERROR(__xludf.DUMMYFUNCTION("(GEMINI(""go into the website and search for about us or contact page and pull in the City and State that this website or company is based from"", C422:C816))"),"Billerica, MA")</f>
        <v>Billerica, MA</v>
      </c>
    </row>
    <row r="423" ht="12.75" hidden="1" customHeight="1">
      <c r="C423" s="40" t="s">
        <v>14185</v>
      </c>
      <c r="D423" s="1">
        <v>0.0</v>
      </c>
      <c r="E423" s="1">
        <v>2.0</v>
      </c>
      <c r="F423" s="1">
        <v>2401.0</v>
      </c>
      <c r="G423" s="41">
        <v>166.0</v>
      </c>
      <c r="H423" s="1">
        <v>442.0</v>
      </c>
      <c r="I423" s="1">
        <v>0.0</v>
      </c>
      <c r="J423" s="17" t="str">
        <f>IFERROR(__xludf.DUMMYFUNCTION("(GEMINI(""go into the website and search for about us or contact page and pull in the City and State that this website or company is based from"", C423:C817))"),"Arlington, TX")</f>
        <v>Arlington, TX</v>
      </c>
    </row>
    <row r="424" ht="12.75" hidden="1" customHeight="1">
      <c r="C424" s="40" t="s">
        <v>14186</v>
      </c>
      <c r="D424" s="1">
        <v>0.0</v>
      </c>
      <c r="E424" s="1">
        <v>1.0</v>
      </c>
      <c r="F424" s="1">
        <v>325.0</v>
      </c>
      <c r="G424" s="41">
        <v>155.0</v>
      </c>
      <c r="H424" s="1">
        <v>834.0</v>
      </c>
      <c r="I424" s="1">
        <v>0.0</v>
      </c>
      <c r="J424" s="17" t="str">
        <f>IFERROR(__xludf.DUMMYFUNCTION("(GEMINI(""go into the website and search for about us or contact page and pull in the City and State that this website or company is based from"", C424:C818))"),"| NO\_HEADER                            | City and State    |
| :-----------------------------------: | :---------------: |
| mrresurface.com                       | Wolcott, CT       |
| stone3.com.au                         | Morningside, QLD  |
| batht"&amp;"ubrefinishingtulsa.com           | Tulsa, OK         |
| classicallyjill.com                   |                   |
| borobathrooms.co.uk                   | Bury and Rochdale |
| a1reglaze.com                         |                   |
| re-surfacepr"&amp;"o.com                     |                   |
| bathroomremodeleriepa.com             |                   |
| capsulegallery.com                    |                   |
| tubnshower.com                        |                   |
| mayfairbuildinggrou"&amp;"p.com.au           |                   |
| thebathtubguy.com                     |                   |
| capitalbathrooms.com.au               |                   |
| amazingtubsreglaze.com                |                   |
| losangelesbathtubreglazing"&amp;".webflow.io |                   |
| dallastubrefinishing.com              |                   |
| floridatubreglazing.com               |                   |
| alfredosrefinish.com                  |                   |
| johnsonflooringtn.com            "&amp;"     |                   |
| winchestertileservice.com             |                   |
| rksbathtubandtilerestorations.com     |                   |
| strivetilereglazing.com               |                   |
| reglazinglosangeles0.yolasite.com     | "&amp;"                  |
| aaarefinishing.com                    |                   |")</f>
        <v>| NO\_HEADER                            | City and State    |
| :-----------------------------------: | :---------------: |
| mrresurface.com                       | Wolcott, CT       |
| stone3.com.au                         | Morningside, QLD  |
| bathtubrefinishingtulsa.com           | Tulsa, OK         |
| classicallyjill.com                   |                   |
| borobathrooms.co.uk                   | Bury and Rochdale |
| a1reglaze.com                         |                   |
| re-surfacepro.com                     |                   |
| bathroomremodeleriepa.com             |                   |
| capsulegallery.com                    |                   |
| tubnshower.com                        |                   |
| mayfairbuildinggroup.com.au           |                   |
| thebathtubguy.com                     |                   |
| capitalbathrooms.com.au               |                   |
| amazingtubsreglaze.com                |                   |
| losangelesbathtubreglazing.webflow.io |                   |
| dallastubrefinishing.com              |                   |
| floridatubreglazing.com               |                   |
| alfredosrefinish.com                  |                   |
| johnsonflooringtn.com                 |                   |
| winchestertileservice.com             |                   |
| rksbathtubandtilerestorations.com     |                   |
| strivetilereglazing.com               |                   |
| reglazinglosangeles0.yolasite.com     |                   |
| aaarefinishing.com                    |                   |</v>
      </c>
    </row>
    <row r="425" ht="12.75" hidden="1" customHeight="1">
      <c r="C425" s="40" t="s">
        <v>14187</v>
      </c>
      <c r="D425" s="1">
        <v>0.0</v>
      </c>
      <c r="E425" s="1">
        <v>1.0</v>
      </c>
      <c r="F425" s="1">
        <v>485.0</v>
      </c>
      <c r="G425" s="41">
        <v>149.0</v>
      </c>
      <c r="H425" s="1">
        <v>163.0</v>
      </c>
      <c r="I425" s="1">
        <v>0.0</v>
      </c>
      <c r="J425" s="17" t="str">
        <f>IFERROR(__xludf.DUMMYFUNCTION("(GEMINI(""go into the website and search for about us or contact page and pull in the City and State that this website or company is based from"", C425:C819))"),"stone3.com.au: Morningside, QLD
bathtubrefinishingtulsa.com: Tulsa, OK
classicallyjill.com: Williamsburg, VA
borobathrooms.co.uk: Rochdale, UK")</f>
        <v>stone3.com.au: Morningside, QLD
bathtubrefinishingtulsa.com: Tulsa, OK
classicallyjill.com: Williamsburg, VA
borobathrooms.co.uk: Rochdale, UK</v>
      </c>
    </row>
    <row r="426" ht="12.75" hidden="1" customHeight="1">
      <c r="C426" s="40" t="s">
        <v>14188</v>
      </c>
      <c r="D426" s="1">
        <v>0.0</v>
      </c>
      <c r="E426" s="1">
        <v>1.0</v>
      </c>
      <c r="F426" s="1">
        <v>692.0</v>
      </c>
      <c r="G426" s="41">
        <v>126.0</v>
      </c>
      <c r="H426" s="1">
        <v>506.0</v>
      </c>
      <c r="I426" s="1">
        <v>0.0</v>
      </c>
      <c r="J426" s="17" t="str">
        <f>IFERROR(__xludf.DUMMYFUNCTION("(GEMINI(""go into the website and search for about us or contact page and pull in the City and State that this website or company is based from"", C426:C820))"),"Tulsa, OK")</f>
        <v>Tulsa, OK</v>
      </c>
    </row>
    <row r="427" ht="12.75" hidden="1" customHeight="1">
      <c r="C427" s="40" t="s">
        <v>14189</v>
      </c>
      <c r="D427" s="1">
        <v>0.0</v>
      </c>
      <c r="E427" s="1">
        <v>1.0</v>
      </c>
      <c r="F427" s="1">
        <v>313.0</v>
      </c>
      <c r="G427" s="41">
        <v>109.0</v>
      </c>
      <c r="H427" s="1">
        <v>148.0</v>
      </c>
      <c r="I427" s="1">
        <v>0.0</v>
      </c>
      <c r="J427" s="17" t="str">
        <f>IFERROR(__xludf.DUMMYFUNCTION("(GEMINI(""go into the website and search for about us or contact page and pull in the City and State that this website or company is based from"", C427:C821))"),"Bury/Rochdale, UK")</f>
        <v>Bury/Rochdale, UK</v>
      </c>
    </row>
    <row r="428" ht="12.75" hidden="1" customHeight="1">
      <c r="C428" s="40" t="s">
        <v>14190</v>
      </c>
      <c r="D428" s="1">
        <v>0.0</v>
      </c>
      <c r="E428" s="1">
        <v>1.0</v>
      </c>
      <c r="F428" s="1">
        <v>367.0</v>
      </c>
      <c r="G428" s="41">
        <v>103.0</v>
      </c>
      <c r="H428" s="1">
        <v>81.0</v>
      </c>
      <c r="I428" s="1">
        <v>0.0</v>
      </c>
      <c r="J428" s="17" t="str">
        <f>IFERROR(__xludf.DUMMYFUNCTION("(GEMINI(""go into the website and search for about us or contact page and pull in the City and State that this website or company is based from"", C428:C822))"),"Rochdale, UK and Bury, UK")</f>
        <v>Rochdale, UK and Bury, UK</v>
      </c>
    </row>
    <row r="429" ht="12.75" hidden="1" customHeight="1">
      <c r="C429" s="40" t="s">
        <v>14191</v>
      </c>
      <c r="D429" s="1">
        <v>0.0</v>
      </c>
      <c r="E429" s="1">
        <v>1.0</v>
      </c>
      <c r="F429" s="1">
        <v>237.0</v>
      </c>
      <c r="G429" s="41">
        <v>90.0</v>
      </c>
      <c r="H429" s="1">
        <v>479.0</v>
      </c>
      <c r="I429" s="1">
        <v>0.0</v>
      </c>
      <c r="J429" s="17" t="str">
        <f>IFERROR(__xludf.DUMMYFUNCTION("(GEMINI(""go into the website and search for about us or contact page and pull in the City and State that this website or company is based from"", C429:C823))"),"Pittsburgh, PA")</f>
        <v>Pittsburgh, PA</v>
      </c>
    </row>
    <row r="430" ht="12.75" hidden="1" customHeight="1">
      <c r="C430" s="40" t="s">
        <v>14192</v>
      </c>
      <c r="D430" s="1">
        <v>0.0</v>
      </c>
      <c r="E430" s="1">
        <v>1.0</v>
      </c>
      <c r="F430" s="1">
        <v>231.0</v>
      </c>
      <c r="G430" s="41">
        <v>85.0</v>
      </c>
      <c r="H430" s="1">
        <v>532.0</v>
      </c>
      <c r="I430" s="1">
        <v>0.0</v>
      </c>
      <c r="J430" s="17" t="str">
        <f>IFERROR(__xludf.DUMMYFUNCTION("(GEMINI(""go into the website and search for about us or contact page and pull in the City and State that this website or company is based from"", C430:C824))"),"The provided search results contain location information for some of the websites:  * re-surfacepro.com: Crafton, PA (Source \[2\])
  * bathroomremodeleriepa.com: Denver, IN or Milford, OH (Source \[2\])
  * thebathtubguy.com: No specific city/state found"&amp;" in snippets (Source \[2\])
  * seattlebathtubguy.com (related to thebathtubguy.com, but a different URL): Seattle, WA (Source \[2\])")</f>
        <v>The provided search results contain location information for some of the websites:  * re-surfacepro.com: Crafton, PA (Source \[2\])
  * bathroomremodeleriepa.com: Denver, IN or Milford, OH (Source \[2\])
  * thebathtubguy.com: No specific city/state found in snippets (Source \[2\])
  * seattlebathtubguy.com (related to thebathtubguy.com, but a different URL): Seattle, WA (Source \[2\])</v>
      </c>
    </row>
    <row r="431" ht="12.75" hidden="1" customHeight="1">
      <c r="C431" s="40" t="s">
        <v>14193</v>
      </c>
      <c r="D431" s="1">
        <v>0.0</v>
      </c>
      <c r="E431" s="1">
        <v>1.0</v>
      </c>
      <c r="F431" s="1">
        <v>2178.0</v>
      </c>
      <c r="G431" s="41">
        <v>74.0</v>
      </c>
      <c r="H431" s="1">
        <v>32.0</v>
      </c>
      <c r="I431" s="1">
        <v>0.0</v>
      </c>
      <c r="J431" s="17" t="str">
        <f>IFERROR(__xludf.DUMMYFUNCTION("(GEMINI(""go into the website and search for about us or contact page and pull in the City and State that this website or company is based from"", C431:C825))"),"Oyster Bay, NY")</f>
        <v>Oyster Bay, NY</v>
      </c>
    </row>
    <row r="432" ht="12.75" hidden="1" customHeight="1">
      <c r="C432" s="40" t="s">
        <v>14194</v>
      </c>
      <c r="D432" s="1">
        <v>0.0</v>
      </c>
      <c r="E432" s="1">
        <v>1.0</v>
      </c>
      <c r="F432" s="1">
        <v>2360.0</v>
      </c>
      <c r="G432" s="41">
        <v>69.0</v>
      </c>
      <c r="H432" s="1">
        <v>5.0</v>
      </c>
      <c r="I432" s="1">
        <v>0.0</v>
      </c>
      <c r="J432" s="17" t="str">
        <f>IFERROR(__xludf.DUMMYFUNCTION("(GEMINI(""go into the website and search for about us or contact page and pull in the City and State that this website or company is based from"", C432:C826))"),"New York, NY")</f>
        <v>New York, NY</v>
      </c>
    </row>
    <row r="433" ht="12.75" hidden="1" customHeight="1">
      <c r="C433" s="40" t="s">
        <v>14195</v>
      </c>
      <c r="D433" s="1">
        <v>0.0</v>
      </c>
      <c r="E433" s="1">
        <v>1.0</v>
      </c>
      <c r="F433" s="1">
        <v>896.0</v>
      </c>
      <c r="G433" s="41">
        <v>57.0</v>
      </c>
      <c r="H433" s="1">
        <v>173.0</v>
      </c>
      <c r="I433" s="1">
        <v>0.0</v>
      </c>
      <c r="J433" s="17" t="str">
        <f>IFERROR(__xludf.DUMMYFUNCTION("(GEMINI(""go into the website and search for about us or contact page and pull in the City and State that this website or company is based from"", C433:C827))"),"Unley, SA")</f>
        <v>Unley, SA</v>
      </c>
    </row>
    <row r="434" ht="12.75" hidden="1" customHeight="1">
      <c r="C434" s="40" t="s">
        <v>14196</v>
      </c>
      <c r="D434" s="1">
        <v>0.0</v>
      </c>
      <c r="E434" s="1">
        <v>1.0</v>
      </c>
      <c r="F434" s="1">
        <v>853.0</v>
      </c>
      <c r="G434" s="41">
        <v>48.0</v>
      </c>
      <c r="H434" s="1">
        <v>50.0</v>
      </c>
      <c r="I434" s="1">
        <v>0.0</v>
      </c>
      <c r="J434" s="17" t="str">
        <f>IFERROR(__xludf.DUMMYFUNCTION("(GEMINI(""go into the website and search for about us or contact page and pull in the City and State that this website or company is based from"", C434:C828))"),"mayfairbuildinggroup.com.au: Adelaide, South Australia
thebathtubguy.com: Arkansas City, KS (or Michigan)
capitalbathrooms.com.au: Gold Coast/South Brisbane
amazingtubsreglaze.com: Decatur, IL")</f>
        <v>mayfairbuildinggroup.com.au: Adelaide, South Australia
thebathtubguy.com: Arkansas City, KS (or Michigan)
capitalbathrooms.com.au: Gold Coast/South Brisbane
amazingtubsreglaze.com: Decatur, IL</v>
      </c>
    </row>
    <row r="435" ht="12.75" hidden="1" customHeight="1">
      <c r="C435" s="40" t="s">
        <v>14197</v>
      </c>
      <c r="D435" s="1">
        <v>0.0</v>
      </c>
      <c r="E435" s="1">
        <v>1.0</v>
      </c>
      <c r="F435" s="1">
        <v>378.0</v>
      </c>
      <c r="G435" s="41">
        <v>13.0</v>
      </c>
      <c r="H435" s="1">
        <v>70.0</v>
      </c>
      <c r="I435" s="1">
        <v>0.0</v>
      </c>
      <c r="J435" s="17" t="str">
        <f>IFERROR(__xludf.DUMMYFUNCTION("(GEMINI(""go into the website and search for about us or contact page and pull in the City and State that this website or company is based from"", C435:C829))"),"* thebathtubguy.com: Arkansas City, KS
  * amazingtubsreglaze.com: Central Illinois (The search snippet mentions Central Illinois, but not a specific city.)")</f>
        <v>* thebathtubguy.com: Arkansas City, KS
  * amazingtubsreglaze.com: Central Illinois (The search snippet mentions Central Illinois, but not a specific city.)</v>
      </c>
    </row>
    <row r="436" ht="12.75" hidden="1" customHeight="1">
      <c r="C436" s="40" t="s">
        <v>14198</v>
      </c>
      <c r="D436" s="1">
        <v>0.0</v>
      </c>
      <c r="E436" s="1">
        <v>1.0</v>
      </c>
      <c r="F436" s="1">
        <v>1500.0</v>
      </c>
      <c r="G436" s="41">
        <v>3.0</v>
      </c>
      <c r="H436" s="1">
        <v>0.0</v>
      </c>
      <c r="I436" s="1">
        <v>2.0</v>
      </c>
      <c r="J436" s="17" t="str">
        <f>IFERROR(__xludf.DUMMYFUNCTION("(GEMINI(""go into the website and search for about us or contact page and pull in the City and State that this website or company is based from"", C436:C830))"),"Decatur, IL")</f>
        <v>Decatur, IL</v>
      </c>
    </row>
    <row r="437" ht="12.75" hidden="1" customHeight="1">
      <c r="C437" s="40" t="s">
        <v>14199</v>
      </c>
      <c r="D437" s="1">
        <v>0.0</v>
      </c>
      <c r="E437" s="1">
        <v>1.0</v>
      </c>
      <c r="F437" s="1">
        <v>260.0</v>
      </c>
      <c r="G437" s="41">
        <v>2.0</v>
      </c>
      <c r="H437" s="1">
        <v>5.0</v>
      </c>
      <c r="I437" s="1">
        <v>0.0</v>
      </c>
      <c r="J437" s="17" t="str">
        <f>IFERROR(__xludf.DUMMYFUNCTION("(GEMINI(""go into the website and search for about us or contact page and pull in the City and State that this website or company is based from"", C437:C831))"),"amazingtubsreglaze.com: Decatur, IL
alfredosrefinish.com: Arleta/Los Angeles City, CA
losangelesbathtubreglazing.webflow.io: Information not available in search results.")</f>
        <v>amazingtubsreglaze.com: Decatur, IL
alfredosrefinish.com: Arleta/Los Angeles City, CA
losangelesbathtubreglazing.webflow.io: Information not available in search results.</v>
      </c>
    </row>
    <row r="438" ht="12.75" hidden="1" customHeight="1">
      <c r="C438" s="40" t="s">
        <v>14200</v>
      </c>
      <c r="D438" s="1">
        <v>0.0</v>
      </c>
      <c r="E438" s="1">
        <v>1.0</v>
      </c>
      <c r="F438" s="1">
        <v>5.0</v>
      </c>
      <c r="G438" s="41">
        <v>1.0</v>
      </c>
      <c r="H438" s="1">
        <v>2.0</v>
      </c>
      <c r="I438" s="1">
        <v>0.0</v>
      </c>
      <c r="J438" s="17" t="str">
        <f>IFERROR(__xludf.DUMMYFUNCTION("(GEMINI(""go into the website and search for about us or contact page and pull in the City and State that this website or company is based from"", C438:C832))"),"Simi Valley, CA")</f>
        <v>Simi Valley, CA</v>
      </c>
    </row>
    <row r="439" ht="12.75" hidden="1" customHeight="1">
      <c r="C439" s="40" t="s">
        <v>14201</v>
      </c>
      <c r="D439" s="1">
        <v>0.0</v>
      </c>
      <c r="E439" s="1">
        <v>1.0</v>
      </c>
      <c r="F439" s="1">
        <v>18.0</v>
      </c>
      <c r="G439" s="41">
        <v>0.0</v>
      </c>
      <c r="H439" s="1">
        <v>0.0</v>
      </c>
      <c r="I439" s="1">
        <v>0.0</v>
      </c>
      <c r="J439" s="17" t="str">
        <f>IFERROR(__xludf.DUMMYFUNCTION("(GEMINI(""go into the website and search for about us or contact page and pull in the City and State that this website or company is based from"", C439:C833))"),"Los Angeles, California")</f>
        <v>Los Angeles, California</v>
      </c>
    </row>
    <row r="440" ht="12.75" hidden="1" customHeight="1">
      <c r="C440" s="40" t="s">
        <v>14202</v>
      </c>
      <c r="D440" s="1">
        <v>0.0</v>
      </c>
      <c r="E440" s="1">
        <v>1.0</v>
      </c>
      <c r="F440" s="1">
        <v>12.0</v>
      </c>
      <c r="G440" s="41">
        <v>0.0</v>
      </c>
      <c r="H440" s="1">
        <v>0.0</v>
      </c>
      <c r="I440" s="1">
        <v>0.0</v>
      </c>
      <c r="J440" s="17" t="str">
        <f>IFERROR(__xludf.DUMMYFUNCTION("(GEMINI(""go into the website and search for about us or contact page and pull in the City and State that this website or company is based from"", C440:C834))"),"Alfredos Refinish Bathtub refinish in los angeles , Bathtub reglaze: Los Angeles, California
johnsonflooringtn.com: Winchester, Tennessee")</f>
        <v>Alfredos Refinish Bathtub refinish in los angeles , Bathtub reglaze: Los Angeles, California
johnsonflooringtn.com: Winchester, Tennessee</v>
      </c>
    </row>
    <row r="441" ht="12.75" hidden="1" customHeight="1">
      <c r="C441" s="40" t="s">
        <v>14203</v>
      </c>
      <c r="D441" s="1">
        <v>0.0</v>
      </c>
      <c r="E441" s="1">
        <v>1.0</v>
      </c>
      <c r="F441" s="1">
        <v>26.0</v>
      </c>
      <c r="G441" s="41">
        <v>0.0</v>
      </c>
      <c r="H441" s="1">
        <v>0.0</v>
      </c>
      <c r="I441" s="1">
        <v>0.0</v>
      </c>
      <c r="J441" s="17" t="str">
        <f>IFERROR(__xludf.DUMMYFUNCTION("(GEMINI(""go into the website and search for about us or contact page and pull in the City and State that this website or company is based from"", C441:C835))"),"Los Angeles, California")</f>
        <v>Los Angeles, California</v>
      </c>
    </row>
    <row r="442" ht="12.75" hidden="1" customHeight="1">
      <c r="C442" s="40" t="s">
        <v>14204</v>
      </c>
      <c r="D442" s="1">
        <v>0.0</v>
      </c>
      <c r="E442" s="1">
        <v>1.0</v>
      </c>
      <c r="F442" s="1">
        <v>46.0</v>
      </c>
      <c r="G442" s="41">
        <v>0.0</v>
      </c>
      <c r="H442" s="1">
        <v>0.0</v>
      </c>
      <c r="I442" s="1">
        <v>0.0</v>
      </c>
      <c r="J442" s="17" t="str">
        <f>IFERROR(__xludf.DUMMYFUNCTION("(GEMINI(""go into the website and search for about us or contact page and pull in the City and State that this website or company is based from"", C442:C836))"),"johnsonflooringtn.com: Winchester, Tennessee
aaarefinishing.com: Los Angeles, California (Servicing Los Angeles County, San Diego County, Orange County, Riverside County &amp; Ventura County areas in Southern California)
winchestertileservice.com: Location in"&amp;"formation not found.
rksbathtubandtilerestorations.com: Location information not found.
strivetilereglazing.com: Location information not found.
reglazinglosangeles0.yolasite.com: Location information not found.")</f>
        <v>johnsonflooringtn.com: Winchester, Tennessee
aaarefinishing.com: Los Angeles, California (Servicing Los Angeles County, San Diego County, Orange County, Riverside County &amp; Ventura County areas in Southern California)
winchestertileservice.com: Location information not found.
rksbathtubandtilerestorations.com: Location information not found.
strivetilereglazing.com: Location information not found.
reglazinglosangeles0.yolasite.com: Location information not found.</v>
      </c>
    </row>
    <row r="443" ht="12.75" customHeight="1">
      <c r="C443" s="40" t="s">
        <v>14205</v>
      </c>
      <c r="D443" s="1">
        <v>0.0</v>
      </c>
      <c r="E443" s="1">
        <v>1.0</v>
      </c>
      <c r="F443" s="1">
        <v>5.0</v>
      </c>
      <c r="G443" s="41">
        <v>0.0</v>
      </c>
      <c r="H443" s="1">
        <v>0.0</v>
      </c>
      <c r="I443" s="1">
        <v>0.0</v>
      </c>
      <c r="J443" s="17" t="str">
        <f>IFERROR(__xludf.DUMMYFUNCTION("(GEMINI(""go into the website and search for about us or contact page and pull in the City and State that this website or company is based from"", C443:C837))"),"Los Angeles, Southern California")</f>
        <v>Los Angeles, Southern California</v>
      </c>
      <c r="K443" s="1" t="s">
        <v>277</v>
      </c>
    </row>
    <row r="444" ht="12.75" customHeight="1">
      <c r="C444" s="40" t="s">
        <v>14206</v>
      </c>
      <c r="D444" s="1">
        <v>0.0</v>
      </c>
      <c r="E444" s="1">
        <v>1.0</v>
      </c>
      <c r="F444" s="1">
        <v>2.0</v>
      </c>
      <c r="G444" s="41">
        <v>0.0</v>
      </c>
      <c r="H444" s="1">
        <v>0.0</v>
      </c>
      <c r="I444" s="1">
        <v>0.0</v>
      </c>
      <c r="J444" s="17" t="str">
        <f>IFERROR(__xludf.DUMMYFUNCTION("(GEMINI(""go into the website and search for about us or contact page and pull in the City and State that this website or company is based from"", C444:C838))"),"Los Angeles, California")</f>
        <v>Los Angeles, California</v>
      </c>
      <c r="K444" s="1" t="s">
        <v>277</v>
      </c>
    </row>
    <row r="445" ht="12.75" customHeight="1">
      <c r="C445" s="40" t="s">
        <v>14207</v>
      </c>
      <c r="D445" s="1">
        <v>0.0</v>
      </c>
      <c r="E445" s="1">
        <v>1.0</v>
      </c>
      <c r="F445" s="1">
        <v>12.0</v>
      </c>
      <c r="G445" s="41">
        <v>0.0</v>
      </c>
      <c r="H445" s="1">
        <v>0.0</v>
      </c>
      <c r="I445" s="1">
        <v>0.0</v>
      </c>
      <c r="J445" s="17" t="str">
        <f>IFERROR(__xludf.DUMMYFUNCTION("(GEMINI(""go into the website and search for about us or contact page and pull in the City and State that this website or company is based from"", C445:C839))"),"Southern California")</f>
        <v>Southern California</v>
      </c>
      <c r="K445" s="1" t="s">
        <v>277</v>
      </c>
    </row>
    <row r="446" ht="12.75" customHeight="1">
      <c r="C446" s="40" t="s">
        <v>14208</v>
      </c>
      <c r="D446" s="1">
        <v>0.0</v>
      </c>
      <c r="E446" s="1">
        <v>1.0</v>
      </c>
      <c r="F446" s="1">
        <v>4.0</v>
      </c>
      <c r="G446" s="41">
        <v>0.0</v>
      </c>
      <c r="H446" s="1">
        <v>0.0</v>
      </c>
      <c r="I446" s="1">
        <v>0.0</v>
      </c>
      <c r="J446" s="17" t="str">
        <f>IFERROR(__xludf.DUMMYFUNCTION("(GEMINI(""go into the website and search for about us or contact page and pull in the City and State that this website or company is based from"", C446:C840))"),"Los Angeles, California")</f>
        <v>Los Angeles, California</v>
      </c>
      <c r="K446" s="1" t="s">
        <v>277</v>
      </c>
    </row>
    <row r="447" ht="12.75" customHeight="1">
      <c r="C447" s="40" t="s">
        <v>14209</v>
      </c>
      <c r="D447" s="1">
        <v>0.0</v>
      </c>
      <c r="E447" s="1">
        <v>2.0</v>
      </c>
      <c r="F447" s="1">
        <v>25.0</v>
      </c>
      <c r="G447" s="41">
        <v>0.0</v>
      </c>
      <c r="H447" s="1">
        <v>0.0</v>
      </c>
      <c r="I447" s="1">
        <v>0.0</v>
      </c>
      <c r="J447" s="17" t="str">
        <f>IFERROR(__xludf.DUMMYFUNCTION("(GEMINI(""go into the website and search for about us or contact page and pull in the City and State that this website or company is based from"", C447:C841))"),"Los Angeles, California")</f>
        <v>Los Angeles, California</v>
      </c>
      <c r="K447" s="1" t="s">
        <v>277</v>
      </c>
    </row>
    <row r="448" ht="12.75" customHeight="1">
      <c r="G448" s="39"/>
    </row>
    <row r="449" ht="12.75" customHeight="1">
      <c r="G449" s="39"/>
    </row>
    <row r="450" ht="12.75" customHeight="1">
      <c r="G450" s="39"/>
    </row>
    <row r="451" ht="12.75" customHeight="1">
      <c r="G451" s="39"/>
    </row>
    <row r="452" ht="12.75" customHeight="1">
      <c r="G452" s="39"/>
    </row>
    <row r="453" ht="12.75" customHeight="1">
      <c r="G453" s="39"/>
    </row>
    <row r="454" ht="12.75" customHeight="1">
      <c r="G454" s="39"/>
    </row>
    <row r="455" ht="12.75" customHeight="1">
      <c r="G455" s="39"/>
    </row>
    <row r="456" ht="12.75" customHeight="1">
      <c r="G456" s="39"/>
    </row>
    <row r="457" ht="12.75" customHeight="1">
      <c r="G457" s="39"/>
    </row>
    <row r="458" ht="12.75" customHeight="1">
      <c r="G458" s="39"/>
    </row>
    <row r="459" ht="12.75" customHeight="1">
      <c r="G459" s="39"/>
    </row>
    <row r="460" ht="12.75" customHeight="1">
      <c r="G460" s="39"/>
    </row>
    <row r="461" ht="12.75" customHeight="1">
      <c r="G461" s="39"/>
    </row>
    <row r="462" ht="12.75" customHeight="1">
      <c r="G462" s="39"/>
    </row>
    <row r="463" ht="12.75" customHeight="1">
      <c r="G463" s="39"/>
    </row>
    <row r="464" ht="12.75" customHeight="1">
      <c r="G464" s="39"/>
    </row>
    <row r="465" ht="12.75" customHeight="1">
      <c r="G465" s="39"/>
    </row>
    <row r="466" ht="12.75" customHeight="1">
      <c r="G466" s="39"/>
    </row>
    <row r="467" ht="12.75" customHeight="1">
      <c r="G467" s="39"/>
    </row>
    <row r="468" ht="12.75" customHeight="1">
      <c r="G468" s="39"/>
    </row>
    <row r="469" ht="12.75" customHeight="1">
      <c r="G469" s="39"/>
    </row>
    <row r="470" ht="12.75" customHeight="1">
      <c r="G470" s="39"/>
    </row>
    <row r="471" ht="12.75" customHeight="1">
      <c r="G471" s="39"/>
    </row>
    <row r="472" ht="12.75" customHeight="1">
      <c r="G472" s="39"/>
    </row>
    <row r="473" ht="12.75" customHeight="1">
      <c r="G473" s="39"/>
    </row>
    <row r="474" ht="12.75" customHeight="1">
      <c r="G474" s="39"/>
    </row>
    <row r="475" ht="12.75" customHeight="1">
      <c r="G475" s="39"/>
    </row>
    <row r="476" ht="12.75" customHeight="1">
      <c r="G476" s="39"/>
    </row>
    <row r="477" ht="12.75" customHeight="1">
      <c r="G477" s="39"/>
    </row>
    <row r="478" ht="12.75" customHeight="1">
      <c r="G478" s="39"/>
    </row>
    <row r="479" ht="12.75" customHeight="1">
      <c r="G479" s="39"/>
    </row>
    <row r="480" ht="12.75" customHeight="1">
      <c r="G480" s="39"/>
    </row>
    <row r="481" ht="12.75" customHeight="1">
      <c r="G481" s="39"/>
    </row>
    <row r="482" ht="12.75" customHeight="1">
      <c r="G482" s="39"/>
    </row>
    <row r="483" ht="12.75" customHeight="1">
      <c r="G483" s="39"/>
    </row>
    <row r="484" ht="12.75" customHeight="1">
      <c r="G484" s="39"/>
    </row>
    <row r="485" ht="12.75" customHeight="1">
      <c r="G485" s="39"/>
    </row>
    <row r="486" ht="12.75" customHeight="1">
      <c r="G486" s="39"/>
    </row>
    <row r="487" ht="12.75" customHeight="1">
      <c r="G487" s="39"/>
    </row>
    <row r="488" ht="12.75" customHeight="1">
      <c r="G488" s="39"/>
    </row>
    <row r="489" ht="12.75" customHeight="1">
      <c r="G489" s="39"/>
    </row>
    <row r="490" ht="12.75" customHeight="1">
      <c r="G490" s="39"/>
    </row>
    <row r="491" ht="12.75" customHeight="1">
      <c r="G491" s="39"/>
    </row>
    <row r="492" ht="12.75" customHeight="1">
      <c r="G492" s="39"/>
    </row>
    <row r="493" ht="12.75" customHeight="1">
      <c r="G493" s="39"/>
    </row>
    <row r="494" ht="12.75" customHeight="1">
      <c r="G494" s="39"/>
    </row>
    <row r="495" ht="12.75" customHeight="1">
      <c r="G495" s="39"/>
    </row>
    <row r="496" ht="12.75" customHeight="1">
      <c r="G496" s="39"/>
    </row>
    <row r="497" ht="12.75" customHeight="1">
      <c r="G497" s="39"/>
    </row>
    <row r="498" ht="12.75" customHeight="1">
      <c r="G498" s="39"/>
    </row>
    <row r="499" ht="12.75" customHeight="1">
      <c r="G499" s="39"/>
    </row>
    <row r="500" ht="12.75" customHeight="1">
      <c r="G500" s="39"/>
    </row>
    <row r="501" ht="12.75" customHeight="1">
      <c r="G501" s="39"/>
    </row>
    <row r="502" ht="12.75" customHeight="1">
      <c r="G502" s="39"/>
    </row>
    <row r="503" ht="12.75" customHeight="1">
      <c r="G503" s="39"/>
    </row>
    <row r="504" ht="12.75" customHeight="1">
      <c r="G504" s="39"/>
    </row>
    <row r="505" ht="12.75" customHeight="1">
      <c r="G505" s="39"/>
    </row>
    <row r="506" ht="12.75" customHeight="1">
      <c r="G506" s="39"/>
    </row>
    <row r="507" ht="12.75" customHeight="1">
      <c r="G507" s="39"/>
    </row>
    <row r="508" ht="12.75" customHeight="1">
      <c r="G508" s="39"/>
    </row>
    <row r="509" ht="12.75" customHeight="1">
      <c r="G509" s="39"/>
    </row>
    <row r="510" ht="12.75" customHeight="1">
      <c r="G510" s="39"/>
    </row>
    <row r="511" ht="12.75" customHeight="1">
      <c r="G511" s="39"/>
    </row>
    <row r="512" ht="12.75" customHeight="1">
      <c r="G512" s="39"/>
    </row>
    <row r="513" ht="12.75" customHeight="1">
      <c r="G513" s="39"/>
    </row>
    <row r="514" ht="12.75" customHeight="1">
      <c r="G514" s="39"/>
    </row>
    <row r="515" ht="12.75" customHeight="1">
      <c r="G515" s="39"/>
    </row>
    <row r="516" ht="12.75" customHeight="1">
      <c r="G516" s="39"/>
    </row>
    <row r="517" ht="12.75" customHeight="1">
      <c r="G517" s="39"/>
    </row>
    <row r="518" ht="12.75" customHeight="1">
      <c r="G518" s="39"/>
    </row>
    <row r="519" ht="12.75" customHeight="1">
      <c r="G519" s="39"/>
    </row>
    <row r="520" ht="12.75" customHeight="1">
      <c r="G520" s="39"/>
    </row>
    <row r="521" ht="12.75" customHeight="1">
      <c r="G521" s="39"/>
    </row>
    <row r="522" ht="12.75" customHeight="1">
      <c r="G522" s="39"/>
    </row>
    <row r="523" ht="12.75" customHeight="1">
      <c r="G523" s="39"/>
    </row>
    <row r="524" ht="12.75" customHeight="1">
      <c r="G524" s="39"/>
    </row>
    <row r="525" ht="12.75" customHeight="1">
      <c r="G525" s="39"/>
    </row>
    <row r="526" ht="12.75" customHeight="1">
      <c r="G526" s="39"/>
    </row>
    <row r="527" ht="12.75" customHeight="1">
      <c r="G527" s="39"/>
    </row>
    <row r="528" ht="12.75" customHeight="1">
      <c r="G528" s="39"/>
    </row>
    <row r="529" ht="12.75" customHeight="1">
      <c r="G529" s="39"/>
    </row>
    <row r="530" ht="12.75" customHeight="1">
      <c r="G530" s="39"/>
    </row>
    <row r="531" ht="12.75" customHeight="1">
      <c r="G531" s="39"/>
    </row>
    <row r="532" ht="12.75" customHeight="1">
      <c r="G532" s="39"/>
    </row>
    <row r="533" ht="12.75" customHeight="1">
      <c r="G533" s="39"/>
    </row>
    <row r="534" ht="12.75" customHeight="1">
      <c r="G534" s="39"/>
    </row>
    <row r="535" ht="12.75" customHeight="1">
      <c r="G535" s="39"/>
    </row>
    <row r="536" ht="12.75" customHeight="1">
      <c r="G536" s="39"/>
    </row>
    <row r="537" ht="12.75" customHeight="1">
      <c r="G537" s="39"/>
    </row>
    <row r="538" ht="12.75" customHeight="1">
      <c r="G538" s="39"/>
    </row>
    <row r="539" ht="12.75" customHeight="1">
      <c r="G539" s="39"/>
    </row>
    <row r="540" ht="12.75" customHeight="1">
      <c r="G540" s="39"/>
    </row>
    <row r="541" ht="12.75" customHeight="1">
      <c r="G541" s="39"/>
    </row>
    <row r="542" ht="12.75" customHeight="1">
      <c r="G542" s="39"/>
    </row>
    <row r="543" ht="12.75" customHeight="1">
      <c r="G543" s="39"/>
    </row>
    <row r="544" ht="12.75" customHeight="1">
      <c r="G544" s="39"/>
    </row>
    <row r="545" ht="12.75" customHeight="1">
      <c r="G545" s="39"/>
    </row>
    <row r="546" ht="12.75" customHeight="1">
      <c r="G546" s="39"/>
    </row>
    <row r="547" ht="12.75" customHeight="1">
      <c r="G547" s="39"/>
    </row>
    <row r="548" ht="12.75" customHeight="1">
      <c r="G548" s="39"/>
    </row>
    <row r="549" ht="12.75" customHeight="1">
      <c r="G549" s="39"/>
    </row>
    <row r="550" ht="12.75" customHeight="1">
      <c r="G550" s="39"/>
    </row>
    <row r="551" ht="12.75" customHeight="1">
      <c r="G551" s="39"/>
    </row>
    <row r="552" ht="12.75" customHeight="1">
      <c r="G552" s="39"/>
    </row>
    <row r="553" ht="12.75" customHeight="1">
      <c r="G553" s="39"/>
    </row>
    <row r="554" ht="12.75" customHeight="1">
      <c r="G554" s="39"/>
    </row>
    <row r="555" ht="12.75" customHeight="1">
      <c r="G555" s="39"/>
    </row>
    <row r="556" ht="12.75" customHeight="1">
      <c r="G556" s="39"/>
    </row>
    <row r="557" ht="12.75" customHeight="1">
      <c r="G557" s="39"/>
    </row>
    <row r="558" ht="12.75" customHeight="1">
      <c r="G558" s="39"/>
    </row>
    <row r="559" ht="12.75" customHeight="1">
      <c r="G559" s="39"/>
    </row>
    <row r="560" ht="12.75" customHeight="1">
      <c r="G560" s="39"/>
    </row>
    <row r="561" ht="12.75" customHeight="1">
      <c r="G561" s="39"/>
    </row>
    <row r="562" ht="12.75" customHeight="1">
      <c r="G562" s="39"/>
    </row>
    <row r="563" ht="12.75" customHeight="1">
      <c r="G563" s="39"/>
    </row>
    <row r="564" ht="12.75" customHeight="1">
      <c r="G564" s="39"/>
    </row>
    <row r="565" ht="12.75" customHeight="1">
      <c r="G565" s="39"/>
    </row>
    <row r="566" ht="12.75" customHeight="1">
      <c r="G566" s="39"/>
    </row>
    <row r="567" ht="12.75" customHeight="1">
      <c r="G567" s="39"/>
    </row>
    <row r="568" ht="12.75" customHeight="1">
      <c r="G568" s="39"/>
    </row>
    <row r="569" ht="12.75" customHeight="1">
      <c r="G569" s="39"/>
    </row>
    <row r="570" ht="12.75" customHeight="1">
      <c r="G570" s="39"/>
    </row>
    <row r="571" ht="12.75" customHeight="1">
      <c r="G571" s="39"/>
    </row>
    <row r="572" ht="12.75" customHeight="1">
      <c r="G572" s="39"/>
    </row>
    <row r="573" ht="12.75" customHeight="1">
      <c r="G573" s="39"/>
    </row>
    <row r="574" ht="12.75" customHeight="1">
      <c r="G574" s="39"/>
    </row>
    <row r="575" ht="12.75" customHeight="1">
      <c r="G575" s="39"/>
    </row>
    <row r="576" ht="12.75" customHeight="1">
      <c r="G576" s="39"/>
    </row>
    <row r="577" ht="12.75" customHeight="1">
      <c r="G577" s="39"/>
    </row>
    <row r="578" ht="12.75" customHeight="1">
      <c r="G578" s="39"/>
    </row>
    <row r="579" ht="12.75" customHeight="1">
      <c r="G579" s="39"/>
    </row>
    <row r="580" ht="12.75" customHeight="1">
      <c r="G580" s="39"/>
    </row>
    <row r="581" ht="12.75" customHeight="1">
      <c r="G581" s="39"/>
    </row>
    <row r="582" ht="12.75" customHeight="1">
      <c r="G582" s="39"/>
    </row>
    <row r="583" ht="12.75" customHeight="1">
      <c r="G583" s="39"/>
    </row>
    <row r="584" ht="12.75" customHeight="1">
      <c r="G584" s="39"/>
    </row>
    <row r="585" ht="12.75" customHeight="1">
      <c r="G585" s="39"/>
    </row>
    <row r="586" ht="12.75" customHeight="1">
      <c r="G586" s="39"/>
    </row>
    <row r="587" ht="12.75" customHeight="1">
      <c r="G587" s="39"/>
    </row>
    <row r="588" ht="12.75" customHeight="1">
      <c r="G588" s="39"/>
    </row>
    <row r="589" ht="12.75" customHeight="1">
      <c r="G589" s="39"/>
    </row>
    <row r="590" ht="12.75" customHeight="1">
      <c r="G590" s="39"/>
    </row>
    <row r="591" ht="12.75" customHeight="1">
      <c r="G591" s="39"/>
    </row>
    <row r="592" ht="12.75" customHeight="1">
      <c r="G592" s="39"/>
    </row>
    <row r="593" ht="12.75" customHeight="1">
      <c r="G593" s="39"/>
    </row>
    <row r="594" ht="12.75" customHeight="1">
      <c r="G594" s="39"/>
    </row>
    <row r="595" ht="12.75" customHeight="1">
      <c r="G595" s="39"/>
    </row>
    <row r="596" ht="12.75" customHeight="1">
      <c r="G596" s="39"/>
    </row>
    <row r="597" ht="12.75" customHeight="1">
      <c r="G597" s="39"/>
    </row>
    <row r="598" ht="12.75" customHeight="1">
      <c r="G598" s="39"/>
    </row>
    <row r="599" ht="12.75" customHeight="1">
      <c r="G599" s="39"/>
    </row>
    <row r="600" ht="12.75" customHeight="1">
      <c r="G600" s="39"/>
    </row>
    <row r="601" ht="12.75" customHeight="1">
      <c r="G601" s="39"/>
    </row>
    <row r="602" ht="12.75" customHeight="1">
      <c r="G602" s="39"/>
    </row>
    <row r="603" ht="12.75" customHeight="1">
      <c r="G603" s="39"/>
    </row>
    <row r="604" ht="12.75" customHeight="1">
      <c r="G604" s="39"/>
    </row>
    <row r="605" ht="12.75" customHeight="1">
      <c r="G605" s="39"/>
    </row>
    <row r="606" ht="12.75" customHeight="1">
      <c r="G606" s="39"/>
    </row>
    <row r="607" ht="12.75" customHeight="1">
      <c r="G607" s="39"/>
    </row>
    <row r="608" ht="12.75" customHeight="1">
      <c r="G608" s="39"/>
    </row>
    <row r="609" ht="12.75" customHeight="1">
      <c r="G609" s="39"/>
    </row>
    <row r="610" ht="12.75" customHeight="1">
      <c r="G610" s="39"/>
    </row>
    <row r="611" ht="12.75" customHeight="1">
      <c r="G611" s="39"/>
    </row>
    <row r="612" ht="12.75" customHeight="1">
      <c r="G612" s="39"/>
    </row>
    <row r="613" ht="12.75" customHeight="1">
      <c r="G613" s="39"/>
    </row>
    <row r="614" ht="12.75" customHeight="1">
      <c r="G614" s="39"/>
    </row>
    <row r="615" ht="12.75" customHeight="1">
      <c r="G615" s="39"/>
    </row>
    <row r="616" ht="12.75" customHeight="1">
      <c r="G616" s="39"/>
    </row>
    <row r="617" ht="12.75" customHeight="1">
      <c r="G617" s="39"/>
    </row>
    <row r="618" ht="12.75" customHeight="1">
      <c r="G618" s="39"/>
    </row>
    <row r="619" ht="12.75" customHeight="1">
      <c r="G619" s="39"/>
    </row>
    <row r="620" ht="12.75" customHeight="1">
      <c r="G620" s="39"/>
    </row>
    <row r="621" ht="12.75" customHeight="1">
      <c r="G621" s="39"/>
    </row>
    <row r="622" ht="12.75" customHeight="1">
      <c r="G622" s="39"/>
    </row>
    <row r="623" ht="12.75" customHeight="1">
      <c r="G623" s="39"/>
    </row>
    <row r="624" ht="12.75" customHeight="1">
      <c r="G624" s="39"/>
    </row>
    <row r="625" ht="12.75" customHeight="1">
      <c r="G625" s="39"/>
    </row>
    <row r="626" ht="12.75" customHeight="1">
      <c r="G626" s="39"/>
    </row>
    <row r="627" ht="12.75" customHeight="1">
      <c r="G627" s="39"/>
    </row>
    <row r="628" ht="12.75" customHeight="1">
      <c r="G628" s="39"/>
    </row>
    <row r="629" ht="12.75" customHeight="1">
      <c r="G629" s="39"/>
    </row>
    <row r="630" ht="12.75" customHeight="1">
      <c r="G630" s="39"/>
    </row>
    <row r="631" ht="12.75" customHeight="1">
      <c r="G631" s="39"/>
    </row>
    <row r="632" ht="12.75" customHeight="1">
      <c r="G632" s="39"/>
    </row>
    <row r="633" ht="12.75" customHeight="1">
      <c r="G633" s="39"/>
    </row>
    <row r="634" ht="12.75" customHeight="1">
      <c r="G634" s="39"/>
    </row>
    <row r="635" ht="12.75" customHeight="1">
      <c r="G635" s="39"/>
    </row>
    <row r="636" ht="12.75" customHeight="1">
      <c r="G636" s="39"/>
    </row>
    <row r="637" ht="12.75" customHeight="1">
      <c r="G637" s="39"/>
    </row>
    <row r="638" ht="12.75" customHeight="1">
      <c r="G638" s="39"/>
    </row>
    <row r="639" ht="12.75" customHeight="1">
      <c r="G639" s="39"/>
    </row>
    <row r="640" ht="12.75" customHeight="1">
      <c r="G640" s="39"/>
    </row>
    <row r="641" ht="12.75" customHeight="1">
      <c r="G641" s="39"/>
    </row>
    <row r="642" ht="12.75" customHeight="1">
      <c r="G642" s="39"/>
    </row>
    <row r="643" ht="12.75" customHeight="1">
      <c r="G643" s="39"/>
    </row>
    <row r="644" ht="12.75" customHeight="1">
      <c r="G644" s="39"/>
    </row>
    <row r="645" ht="12.75" customHeight="1">
      <c r="G645" s="39"/>
    </row>
    <row r="646" ht="12.75" customHeight="1">
      <c r="G646" s="39"/>
    </row>
    <row r="647" ht="12.75" customHeight="1">
      <c r="G647" s="39"/>
    </row>
    <row r="648" ht="12.75" customHeight="1">
      <c r="G648" s="39"/>
    </row>
    <row r="649" ht="12.75" customHeight="1">
      <c r="G649" s="39"/>
    </row>
    <row r="650" ht="12.75" customHeight="1">
      <c r="G650" s="39"/>
    </row>
    <row r="651" ht="12.75" customHeight="1">
      <c r="G651" s="39"/>
    </row>
    <row r="652" ht="12.75" customHeight="1">
      <c r="G652" s="39"/>
    </row>
    <row r="653" ht="12.75" customHeight="1">
      <c r="G653" s="39"/>
    </row>
    <row r="654" ht="12.75" customHeight="1">
      <c r="G654" s="39"/>
    </row>
    <row r="655" ht="12.75" customHeight="1">
      <c r="G655" s="39"/>
    </row>
    <row r="656" ht="12.75" customHeight="1">
      <c r="G656" s="39"/>
    </row>
    <row r="657" ht="12.75" customHeight="1">
      <c r="G657" s="39"/>
    </row>
    <row r="658" ht="12.75" customHeight="1">
      <c r="G658" s="39"/>
    </row>
    <row r="659" ht="12.75" customHeight="1">
      <c r="G659" s="39"/>
    </row>
    <row r="660" ht="12.75" customHeight="1">
      <c r="G660" s="39"/>
    </row>
    <row r="661" ht="12.75" customHeight="1">
      <c r="G661" s="39"/>
    </row>
    <row r="662" ht="12.75" customHeight="1">
      <c r="G662" s="39"/>
    </row>
    <row r="663" ht="12.75" customHeight="1">
      <c r="G663" s="39"/>
    </row>
    <row r="664" ht="12.75" customHeight="1">
      <c r="G664" s="39"/>
    </row>
    <row r="665" ht="12.75" customHeight="1">
      <c r="G665" s="39"/>
    </row>
    <row r="666" ht="12.75" customHeight="1">
      <c r="G666" s="39"/>
    </row>
    <row r="667" ht="12.75" customHeight="1">
      <c r="G667" s="39"/>
    </row>
    <row r="668" ht="12.75" customHeight="1">
      <c r="G668" s="39"/>
    </row>
    <row r="669" ht="12.75" customHeight="1">
      <c r="G669" s="39"/>
    </row>
    <row r="670" ht="12.75" customHeight="1">
      <c r="G670" s="39"/>
    </row>
    <row r="671" ht="12.75" customHeight="1">
      <c r="G671" s="39"/>
    </row>
    <row r="672" ht="12.75" customHeight="1">
      <c r="G672" s="39"/>
    </row>
    <row r="673" ht="12.75" customHeight="1">
      <c r="G673" s="39"/>
    </row>
    <row r="674" ht="12.75" customHeight="1">
      <c r="G674" s="39"/>
    </row>
    <row r="675" ht="12.75" customHeight="1">
      <c r="G675" s="39"/>
    </row>
    <row r="676" ht="12.75" customHeight="1">
      <c r="G676" s="39"/>
    </row>
    <row r="677" ht="12.75" customHeight="1">
      <c r="G677" s="39"/>
    </row>
    <row r="678" ht="12.75" customHeight="1">
      <c r="G678" s="39"/>
    </row>
    <row r="679" ht="12.75" customHeight="1">
      <c r="G679" s="39"/>
    </row>
    <row r="680" ht="12.75" customHeight="1">
      <c r="G680" s="39"/>
    </row>
    <row r="681" ht="12.75" customHeight="1">
      <c r="G681" s="39"/>
    </row>
    <row r="682" ht="12.75" customHeight="1">
      <c r="G682" s="39"/>
    </row>
    <row r="683" ht="12.75" customHeight="1">
      <c r="G683" s="39"/>
    </row>
    <row r="684" ht="12.75" customHeight="1">
      <c r="G684" s="39"/>
    </row>
    <row r="685" ht="12.75" customHeight="1">
      <c r="G685" s="39"/>
    </row>
    <row r="686" ht="12.75" customHeight="1">
      <c r="G686" s="39"/>
    </row>
    <row r="687" ht="12.75" customHeight="1">
      <c r="G687" s="39"/>
    </row>
    <row r="688" ht="12.75" customHeight="1">
      <c r="G688" s="39"/>
    </row>
    <row r="689" ht="12.75" customHeight="1">
      <c r="G689" s="39"/>
    </row>
    <row r="690" ht="12.75" customHeight="1">
      <c r="G690" s="39"/>
    </row>
    <row r="691" ht="12.75" customHeight="1">
      <c r="G691" s="39"/>
    </row>
    <row r="692" ht="12.75" customHeight="1">
      <c r="G692" s="39"/>
    </row>
    <row r="693" ht="12.75" customHeight="1">
      <c r="G693" s="39"/>
    </row>
    <row r="694" ht="12.75" customHeight="1">
      <c r="G694" s="39"/>
    </row>
    <row r="695" ht="12.75" customHeight="1">
      <c r="G695" s="39"/>
    </row>
    <row r="696" ht="12.75" customHeight="1">
      <c r="G696" s="39"/>
    </row>
    <row r="697" ht="12.75" customHeight="1">
      <c r="G697" s="39"/>
    </row>
    <row r="698" ht="12.75" customHeight="1">
      <c r="G698" s="39"/>
    </row>
    <row r="699" ht="12.75" customHeight="1">
      <c r="G699" s="39"/>
    </row>
    <row r="700" ht="12.75" customHeight="1">
      <c r="G700" s="39"/>
    </row>
    <row r="701" ht="12.75" customHeight="1">
      <c r="G701" s="39"/>
    </row>
    <row r="702" ht="12.75" customHeight="1">
      <c r="G702" s="39"/>
    </row>
    <row r="703" ht="12.75" customHeight="1">
      <c r="G703" s="39"/>
    </row>
    <row r="704" ht="12.75" customHeight="1">
      <c r="G704" s="39"/>
    </row>
    <row r="705" ht="12.75" customHeight="1">
      <c r="G705" s="39"/>
    </row>
    <row r="706" ht="12.75" customHeight="1">
      <c r="G706" s="39"/>
    </row>
    <row r="707" ht="12.75" customHeight="1">
      <c r="G707" s="39"/>
    </row>
    <row r="708" ht="12.75" customHeight="1">
      <c r="G708" s="39"/>
    </row>
    <row r="709" ht="12.75" customHeight="1">
      <c r="G709" s="39"/>
    </row>
    <row r="710" ht="12.75" customHeight="1">
      <c r="G710" s="39"/>
    </row>
    <row r="711" ht="12.75" customHeight="1">
      <c r="G711" s="39"/>
    </row>
    <row r="712" ht="12.75" customHeight="1">
      <c r="G712" s="39"/>
    </row>
    <row r="713" ht="12.75" customHeight="1">
      <c r="G713" s="39"/>
    </row>
    <row r="714" ht="12.75" customHeight="1">
      <c r="G714" s="39"/>
    </row>
    <row r="715" ht="12.75" customHeight="1">
      <c r="G715" s="39"/>
    </row>
    <row r="716" ht="12.75" customHeight="1">
      <c r="G716" s="39"/>
    </row>
    <row r="717" ht="12.75" customHeight="1">
      <c r="G717" s="39"/>
    </row>
    <row r="718" ht="12.75" customHeight="1">
      <c r="G718" s="39"/>
    </row>
    <row r="719" ht="12.75" customHeight="1">
      <c r="G719" s="39"/>
    </row>
    <row r="720" ht="12.75" customHeight="1">
      <c r="G720" s="39"/>
    </row>
    <row r="721" ht="12.75" customHeight="1">
      <c r="G721" s="39"/>
    </row>
    <row r="722" ht="12.75" customHeight="1">
      <c r="G722" s="39"/>
    </row>
    <row r="723" ht="12.75" customHeight="1">
      <c r="G723" s="39"/>
    </row>
    <row r="724" ht="12.75" customHeight="1">
      <c r="G724" s="39"/>
    </row>
    <row r="725" ht="12.75" customHeight="1">
      <c r="G725" s="39"/>
    </row>
    <row r="726" ht="12.75" customHeight="1">
      <c r="G726" s="39"/>
    </row>
    <row r="727" ht="12.75" customHeight="1">
      <c r="G727" s="39"/>
    </row>
    <row r="728" ht="12.75" customHeight="1">
      <c r="G728" s="39"/>
    </row>
    <row r="729" ht="12.75" customHeight="1">
      <c r="G729" s="39"/>
    </row>
    <row r="730" ht="12.75" customHeight="1">
      <c r="G730" s="39"/>
    </row>
    <row r="731" ht="12.75" customHeight="1">
      <c r="G731" s="39"/>
    </row>
    <row r="732" ht="12.75" customHeight="1">
      <c r="G732" s="39"/>
    </row>
    <row r="733" ht="12.75" customHeight="1">
      <c r="G733" s="39"/>
    </row>
    <row r="734" ht="12.75" customHeight="1">
      <c r="G734" s="39"/>
    </row>
    <row r="735" ht="12.75" customHeight="1">
      <c r="G735" s="39"/>
    </row>
    <row r="736" ht="12.75" customHeight="1">
      <c r="G736" s="39"/>
    </row>
    <row r="737" ht="12.75" customHeight="1">
      <c r="G737" s="39"/>
    </row>
    <row r="738" ht="12.75" customHeight="1">
      <c r="G738" s="39"/>
    </row>
    <row r="739" ht="12.75" customHeight="1">
      <c r="G739" s="39"/>
    </row>
    <row r="740" ht="12.75" customHeight="1">
      <c r="G740" s="39"/>
    </row>
    <row r="741" ht="12.75" customHeight="1">
      <c r="G741" s="39"/>
    </row>
    <row r="742" ht="12.75" customHeight="1">
      <c r="G742" s="39"/>
    </row>
    <row r="743" ht="12.75" customHeight="1">
      <c r="G743" s="39"/>
    </row>
    <row r="744" ht="12.75" customHeight="1">
      <c r="G744" s="39"/>
    </row>
    <row r="745" ht="12.75" customHeight="1">
      <c r="G745" s="39"/>
    </row>
    <row r="746" ht="12.75" customHeight="1">
      <c r="G746" s="39"/>
    </row>
    <row r="747" ht="12.75" customHeight="1">
      <c r="G747" s="39"/>
    </row>
    <row r="748" ht="12.75" customHeight="1">
      <c r="G748" s="39"/>
    </row>
    <row r="749" ht="12.75" customHeight="1">
      <c r="G749" s="39"/>
    </row>
    <row r="750" ht="12.75" customHeight="1">
      <c r="G750" s="39"/>
    </row>
    <row r="751" ht="12.75" customHeight="1">
      <c r="G751" s="39"/>
    </row>
    <row r="752" ht="12.75" customHeight="1">
      <c r="G752" s="39"/>
    </row>
    <row r="753" ht="12.75" customHeight="1">
      <c r="G753" s="39"/>
    </row>
    <row r="754" ht="12.75" customHeight="1">
      <c r="G754" s="39"/>
    </row>
    <row r="755" ht="12.75" customHeight="1">
      <c r="G755" s="39"/>
    </row>
    <row r="756" ht="12.75" customHeight="1">
      <c r="G756" s="39"/>
    </row>
    <row r="757" ht="12.75" customHeight="1">
      <c r="G757" s="39"/>
    </row>
    <row r="758" ht="12.75" customHeight="1">
      <c r="G758" s="39"/>
    </row>
    <row r="759" ht="12.75" customHeight="1">
      <c r="G759" s="39"/>
    </row>
    <row r="760" ht="12.75" customHeight="1">
      <c r="G760" s="39"/>
    </row>
    <row r="761" ht="12.75" customHeight="1">
      <c r="G761" s="39"/>
    </row>
    <row r="762" ht="12.75" customHeight="1">
      <c r="G762" s="39"/>
    </row>
    <row r="763" ht="12.75" customHeight="1">
      <c r="G763" s="39"/>
    </row>
    <row r="764" ht="12.75" customHeight="1">
      <c r="G764" s="39"/>
    </row>
    <row r="765" ht="12.75" customHeight="1">
      <c r="G765" s="39"/>
    </row>
    <row r="766" ht="12.75" customHeight="1">
      <c r="G766" s="39"/>
    </row>
    <row r="767" ht="12.75" customHeight="1">
      <c r="G767" s="39"/>
    </row>
    <row r="768" ht="12.75" customHeight="1">
      <c r="G768" s="39"/>
    </row>
    <row r="769" ht="12.75" customHeight="1">
      <c r="G769" s="39"/>
    </row>
    <row r="770" ht="12.75" customHeight="1">
      <c r="G770" s="39"/>
    </row>
    <row r="771" ht="12.75" customHeight="1">
      <c r="G771" s="39"/>
    </row>
    <row r="772" ht="12.75" customHeight="1">
      <c r="G772" s="39"/>
    </row>
    <row r="773" ht="12.75" customHeight="1">
      <c r="G773" s="39"/>
    </row>
    <row r="774" ht="12.75" customHeight="1">
      <c r="G774" s="39"/>
    </row>
    <row r="775" ht="12.75" customHeight="1">
      <c r="G775" s="39"/>
    </row>
    <row r="776" ht="12.75" customHeight="1">
      <c r="G776" s="39"/>
    </row>
    <row r="777" ht="12.75" customHeight="1">
      <c r="G777" s="39"/>
    </row>
    <row r="778" ht="12.75" customHeight="1">
      <c r="G778" s="39"/>
    </row>
    <row r="779" ht="12.75" customHeight="1">
      <c r="G779" s="39"/>
    </row>
    <row r="780" ht="12.75" customHeight="1">
      <c r="G780" s="39"/>
    </row>
    <row r="781" ht="12.75" customHeight="1">
      <c r="G781" s="39"/>
    </row>
    <row r="782" ht="12.75" customHeight="1">
      <c r="G782" s="39"/>
    </row>
    <row r="783" ht="12.75" customHeight="1">
      <c r="G783" s="39"/>
    </row>
    <row r="784" ht="12.75" customHeight="1">
      <c r="G784" s="39"/>
    </row>
    <row r="785" ht="12.75" customHeight="1">
      <c r="G785" s="39"/>
    </row>
    <row r="786" ht="12.75" customHeight="1">
      <c r="G786" s="39"/>
    </row>
    <row r="787" ht="12.75" customHeight="1">
      <c r="G787" s="39"/>
    </row>
    <row r="788" ht="12.75" customHeight="1">
      <c r="G788" s="39"/>
    </row>
    <row r="789" ht="12.75" customHeight="1">
      <c r="G789" s="39"/>
    </row>
    <row r="790" ht="12.75" customHeight="1">
      <c r="G790" s="39"/>
    </row>
    <row r="791" ht="12.75" customHeight="1">
      <c r="G791" s="39"/>
    </row>
    <row r="792" ht="12.75" customHeight="1">
      <c r="G792" s="39"/>
    </row>
    <row r="793" ht="12.75" customHeight="1">
      <c r="G793" s="39"/>
    </row>
    <row r="794" ht="12.75" customHeight="1">
      <c r="G794" s="39"/>
    </row>
    <row r="795" ht="12.75" customHeight="1">
      <c r="G795" s="39"/>
    </row>
    <row r="796" ht="12.75" customHeight="1">
      <c r="G796" s="39"/>
    </row>
    <row r="797" ht="12.75" customHeight="1">
      <c r="G797" s="39"/>
    </row>
    <row r="798" ht="12.75" customHeight="1">
      <c r="G798" s="39"/>
    </row>
    <row r="799" ht="12.75" customHeight="1">
      <c r="G799" s="39"/>
    </row>
    <row r="800" ht="12.75" customHeight="1">
      <c r="G800" s="39"/>
    </row>
    <row r="801" ht="12.75" customHeight="1">
      <c r="G801" s="39"/>
    </row>
    <row r="802" ht="12.75" customHeight="1">
      <c r="G802" s="39"/>
    </row>
    <row r="803" ht="12.75" customHeight="1">
      <c r="G803" s="39"/>
    </row>
    <row r="804" ht="12.75" customHeight="1">
      <c r="G804" s="39"/>
    </row>
    <row r="805" ht="12.75" customHeight="1">
      <c r="G805" s="39"/>
    </row>
    <row r="806" ht="12.75" customHeight="1">
      <c r="G806" s="39"/>
    </row>
    <row r="807" ht="12.75" customHeight="1">
      <c r="G807" s="39"/>
    </row>
    <row r="808" ht="12.75" customHeight="1">
      <c r="G808" s="39"/>
    </row>
    <row r="809" ht="12.75" customHeight="1">
      <c r="G809" s="39"/>
    </row>
    <row r="810" ht="12.75" customHeight="1">
      <c r="G810" s="39"/>
    </row>
    <row r="811" ht="12.75" customHeight="1">
      <c r="G811" s="39"/>
    </row>
    <row r="812" ht="12.75" customHeight="1">
      <c r="G812" s="39"/>
    </row>
    <row r="813" ht="12.75" customHeight="1">
      <c r="G813" s="39"/>
    </row>
    <row r="814" ht="12.75" customHeight="1">
      <c r="G814" s="39"/>
    </row>
    <row r="815" ht="12.75" customHeight="1">
      <c r="G815" s="39"/>
    </row>
    <row r="816" ht="12.75" customHeight="1">
      <c r="G816" s="39"/>
    </row>
    <row r="817" ht="12.75" customHeight="1">
      <c r="G817" s="39"/>
    </row>
    <row r="818" ht="12.75" customHeight="1">
      <c r="G818" s="39"/>
    </row>
    <row r="819" ht="12.75" customHeight="1">
      <c r="G819" s="39"/>
    </row>
    <row r="820" ht="12.75" customHeight="1">
      <c r="G820" s="39"/>
    </row>
    <row r="821" ht="12.75" customHeight="1">
      <c r="G821" s="39"/>
    </row>
    <row r="822" ht="12.75" customHeight="1">
      <c r="G822" s="39"/>
    </row>
    <row r="823" ht="12.75" customHeight="1">
      <c r="G823" s="39"/>
    </row>
    <row r="824" ht="12.75" customHeight="1">
      <c r="G824" s="39"/>
    </row>
    <row r="825" ht="12.75" customHeight="1">
      <c r="G825" s="39"/>
    </row>
    <row r="826" ht="12.75" customHeight="1">
      <c r="G826" s="39"/>
    </row>
    <row r="827" ht="12.75" customHeight="1">
      <c r="G827" s="39"/>
    </row>
    <row r="828" ht="12.75" customHeight="1">
      <c r="G828" s="39"/>
    </row>
    <row r="829" ht="12.75" customHeight="1">
      <c r="G829" s="39"/>
    </row>
    <row r="830" ht="12.75" customHeight="1">
      <c r="G830" s="39"/>
    </row>
    <row r="831" ht="12.75" customHeight="1">
      <c r="G831" s="39"/>
    </row>
    <row r="832" ht="12.75" customHeight="1">
      <c r="G832" s="39"/>
    </row>
    <row r="833" ht="12.75" customHeight="1">
      <c r="G833" s="39"/>
    </row>
    <row r="834" ht="12.75" customHeight="1">
      <c r="G834" s="39"/>
    </row>
    <row r="835" ht="12.75" customHeight="1">
      <c r="G835" s="39"/>
    </row>
    <row r="836" ht="12.75" customHeight="1">
      <c r="G836" s="39"/>
    </row>
    <row r="837" ht="12.75" customHeight="1">
      <c r="G837" s="39"/>
    </row>
    <row r="838" ht="12.75" customHeight="1">
      <c r="G838" s="39"/>
    </row>
    <row r="839" ht="12.75" customHeight="1">
      <c r="G839" s="39"/>
    </row>
    <row r="840" ht="12.75" customHeight="1">
      <c r="G840" s="39"/>
    </row>
    <row r="841" ht="12.75" customHeight="1">
      <c r="G841" s="39"/>
    </row>
    <row r="842" ht="12.75" customHeight="1">
      <c r="G842" s="39"/>
    </row>
    <row r="843" ht="12.75" customHeight="1">
      <c r="G843" s="39"/>
    </row>
    <row r="844" ht="12.75" customHeight="1">
      <c r="G844" s="39"/>
    </row>
    <row r="845" ht="12.75" customHeight="1">
      <c r="G845" s="39"/>
    </row>
    <row r="846" ht="12.75" customHeight="1">
      <c r="G846" s="39"/>
    </row>
    <row r="847" ht="12.75" customHeight="1">
      <c r="G847" s="39"/>
    </row>
    <row r="848" ht="12.75" customHeight="1">
      <c r="G848" s="39"/>
    </row>
    <row r="849" ht="12.75" customHeight="1">
      <c r="G849" s="39"/>
    </row>
    <row r="850" ht="12.75" customHeight="1">
      <c r="G850" s="39"/>
    </row>
    <row r="851" ht="12.75" customHeight="1">
      <c r="G851" s="39"/>
    </row>
    <row r="852" ht="12.75" customHeight="1">
      <c r="G852" s="39"/>
    </row>
    <row r="853" ht="12.75" customHeight="1">
      <c r="G853" s="39"/>
    </row>
    <row r="854" ht="12.75" customHeight="1">
      <c r="G854" s="39"/>
    </row>
    <row r="855" ht="12.75" customHeight="1">
      <c r="G855" s="39"/>
    </row>
    <row r="856" ht="12.75" customHeight="1">
      <c r="G856" s="39"/>
    </row>
    <row r="857" ht="12.75" customHeight="1">
      <c r="G857" s="39"/>
    </row>
    <row r="858" ht="12.75" customHeight="1">
      <c r="G858" s="39"/>
    </row>
    <row r="859" ht="12.75" customHeight="1">
      <c r="G859" s="39"/>
    </row>
    <row r="860" ht="12.75" customHeight="1">
      <c r="G860" s="39"/>
    </row>
    <row r="861" ht="12.75" customHeight="1">
      <c r="G861" s="39"/>
    </row>
    <row r="862" ht="12.75" customHeight="1">
      <c r="G862" s="39"/>
    </row>
    <row r="863" ht="12.75" customHeight="1">
      <c r="G863" s="39"/>
    </row>
    <row r="864" ht="12.75" customHeight="1">
      <c r="G864" s="39"/>
    </row>
    <row r="865" ht="12.75" customHeight="1">
      <c r="G865" s="39"/>
    </row>
    <row r="866" ht="12.75" customHeight="1">
      <c r="G866" s="39"/>
    </row>
    <row r="867" ht="12.75" customHeight="1">
      <c r="G867" s="39"/>
    </row>
    <row r="868" ht="12.75" customHeight="1">
      <c r="G868" s="39"/>
    </row>
    <row r="869" ht="12.75" customHeight="1">
      <c r="G869" s="39"/>
    </row>
    <row r="870" ht="12.75" customHeight="1">
      <c r="G870" s="39"/>
    </row>
    <row r="871" ht="12.75" customHeight="1">
      <c r="G871" s="39"/>
    </row>
    <row r="872" ht="12.75" customHeight="1">
      <c r="G872" s="39"/>
    </row>
    <row r="873" ht="12.75" customHeight="1">
      <c r="G873" s="39"/>
    </row>
    <row r="874" ht="12.75" customHeight="1">
      <c r="G874" s="39"/>
    </row>
    <row r="875" ht="12.75" customHeight="1">
      <c r="G875" s="39"/>
    </row>
    <row r="876" ht="12.75" customHeight="1">
      <c r="G876" s="39"/>
    </row>
    <row r="877" ht="12.75" customHeight="1">
      <c r="G877" s="39"/>
    </row>
    <row r="878" ht="12.75" customHeight="1">
      <c r="G878" s="39"/>
    </row>
    <row r="879" ht="12.75" customHeight="1">
      <c r="G879" s="39"/>
    </row>
    <row r="880" ht="12.75" customHeight="1">
      <c r="G880" s="39"/>
    </row>
    <row r="881" ht="12.75" customHeight="1">
      <c r="G881" s="39"/>
    </row>
    <row r="882" ht="12.75" customHeight="1">
      <c r="G882" s="39"/>
    </row>
    <row r="883" ht="12.75" customHeight="1">
      <c r="G883" s="39"/>
    </row>
    <row r="884" ht="12.75" customHeight="1">
      <c r="G884" s="39"/>
    </row>
    <row r="885" ht="12.75" customHeight="1">
      <c r="G885" s="39"/>
    </row>
    <row r="886" ht="12.75" customHeight="1">
      <c r="G886" s="39"/>
    </row>
    <row r="887" ht="12.75" customHeight="1">
      <c r="G887" s="39"/>
    </row>
    <row r="888" ht="12.75" customHeight="1">
      <c r="G888" s="39"/>
    </row>
    <row r="889" ht="12.75" customHeight="1">
      <c r="G889" s="39"/>
    </row>
    <row r="890" ht="12.75" customHeight="1">
      <c r="G890" s="39"/>
    </row>
    <row r="891" ht="12.75" customHeight="1">
      <c r="G891" s="39"/>
    </row>
    <row r="892" ht="12.75" customHeight="1">
      <c r="G892" s="39"/>
    </row>
    <row r="893" ht="12.75" customHeight="1">
      <c r="G893" s="39"/>
    </row>
    <row r="894" ht="12.75" customHeight="1">
      <c r="G894" s="39"/>
    </row>
    <row r="895" ht="12.75" customHeight="1">
      <c r="G895" s="39"/>
    </row>
    <row r="896" ht="12.75" customHeight="1">
      <c r="G896" s="39"/>
    </row>
    <row r="897" ht="12.75" customHeight="1">
      <c r="G897" s="39"/>
    </row>
    <row r="898" ht="12.75" customHeight="1">
      <c r="G898" s="39"/>
    </row>
    <row r="899" ht="12.75" customHeight="1">
      <c r="G899" s="39"/>
    </row>
    <row r="900" ht="12.75" customHeight="1">
      <c r="G900" s="39"/>
    </row>
    <row r="901" ht="12.75" customHeight="1">
      <c r="G901" s="39"/>
    </row>
    <row r="902" ht="12.75" customHeight="1">
      <c r="G902" s="39"/>
    </row>
    <row r="903" ht="12.75" customHeight="1">
      <c r="G903" s="39"/>
    </row>
    <row r="904" ht="12.75" customHeight="1">
      <c r="G904" s="39"/>
    </row>
    <row r="905" ht="12.75" customHeight="1">
      <c r="G905" s="39"/>
    </row>
    <row r="906" ht="12.75" customHeight="1">
      <c r="G906" s="39"/>
    </row>
    <row r="907" ht="12.75" customHeight="1">
      <c r="G907" s="39"/>
    </row>
    <row r="908" ht="12.75" customHeight="1">
      <c r="G908" s="39"/>
    </row>
    <row r="909" ht="12.75" customHeight="1">
      <c r="G909" s="39"/>
    </row>
    <row r="910" ht="12.75" customHeight="1">
      <c r="G910" s="39"/>
    </row>
    <row r="911" ht="12.75" customHeight="1">
      <c r="G911" s="39"/>
    </row>
    <row r="912" ht="12.75" customHeight="1">
      <c r="G912" s="39"/>
    </row>
    <row r="913" ht="12.75" customHeight="1">
      <c r="G913" s="39"/>
    </row>
    <row r="914" ht="12.75" customHeight="1">
      <c r="G914" s="39"/>
    </row>
    <row r="915" ht="12.75" customHeight="1">
      <c r="G915" s="39"/>
    </row>
    <row r="916" ht="12.75" customHeight="1">
      <c r="G916" s="39"/>
    </row>
    <row r="917" ht="12.75" customHeight="1">
      <c r="G917" s="39"/>
    </row>
    <row r="918" ht="12.75" customHeight="1">
      <c r="G918" s="39"/>
    </row>
    <row r="919" ht="12.75" customHeight="1">
      <c r="G919" s="39"/>
    </row>
    <row r="920" ht="12.75" customHeight="1">
      <c r="G920" s="39"/>
    </row>
    <row r="921" ht="12.75" customHeight="1">
      <c r="G921" s="39"/>
    </row>
    <row r="922" ht="12.75" customHeight="1">
      <c r="G922" s="39"/>
    </row>
    <row r="923" ht="12.75" customHeight="1">
      <c r="G923" s="39"/>
    </row>
    <row r="924" ht="12.75" customHeight="1">
      <c r="G924" s="39"/>
    </row>
    <row r="925" ht="12.75" customHeight="1">
      <c r="G925" s="39"/>
    </row>
    <row r="926" ht="12.75" customHeight="1">
      <c r="G926" s="39"/>
    </row>
    <row r="927" ht="12.75" customHeight="1">
      <c r="G927" s="39"/>
    </row>
    <row r="928" ht="12.75" customHeight="1">
      <c r="G928" s="39"/>
    </row>
    <row r="929" ht="12.75" customHeight="1">
      <c r="G929" s="39"/>
    </row>
    <row r="930" ht="12.75" customHeight="1">
      <c r="G930" s="39"/>
    </row>
    <row r="931" ht="12.75" customHeight="1">
      <c r="G931" s="39"/>
    </row>
    <row r="932" ht="12.75" customHeight="1">
      <c r="G932" s="39"/>
    </row>
    <row r="933" ht="12.75" customHeight="1">
      <c r="G933" s="39"/>
    </row>
    <row r="934" ht="12.75" customHeight="1">
      <c r="G934" s="39"/>
    </row>
    <row r="935" ht="12.75" customHeight="1">
      <c r="G935" s="39"/>
    </row>
    <row r="936" ht="12.75" customHeight="1">
      <c r="G936" s="39"/>
    </row>
    <row r="937" ht="12.75" customHeight="1">
      <c r="G937" s="39"/>
    </row>
    <row r="938" ht="12.75" customHeight="1">
      <c r="G938" s="39"/>
    </row>
    <row r="939" ht="12.75" customHeight="1">
      <c r="G939" s="39"/>
    </row>
    <row r="940" ht="12.75" customHeight="1">
      <c r="G940" s="39"/>
    </row>
    <row r="941" ht="12.75" customHeight="1">
      <c r="G941" s="39"/>
    </row>
    <row r="942" ht="12.75" customHeight="1">
      <c r="G942" s="39"/>
    </row>
    <row r="943" ht="12.75" customHeight="1">
      <c r="G943" s="39"/>
    </row>
    <row r="944" ht="12.75" customHeight="1">
      <c r="G944" s="39"/>
    </row>
    <row r="945" ht="12.75" customHeight="1">
      <c r="G945" s="39"/>
    </row>
    <row r="946" ht="12.75" customHeight="1">
      <c r="G946" s="39"/>
    </row>
    <row r="947" ht="12.75" customHeight="1">
      <c r="G947" s="39"/>
    </row>
    <row r="948" ht="12.75" customHeight="1">
      <c r="G948" s="39"/>
    </row>
    <row r="949" ht="12.75" customHeight="1">
      <c r="G949" s="39"/>
    </row>
    <row r="950" ht="12.75" customHeight="1">
      <c r="G950" s="39"/>
    </row>
    <row r="951" ht="12.75" customHeight="1">
      <c r="G951" s="39"/>
    </row>
    <row r="952" ht="12.75" customHeight="1">
      <c r="G952" s="39"/>
    </row>
    <row r="953" ht="12.75" customHeight="1">
      <c r="G953" s="39"/>
    </row>
    <row r="954" ht="12.75" customHeight="1">
      <c r="G954" s="39"/>
    </row>
    <row r="955" ht="12.75" customHeight="1">
      <c r="G955" s="39"/>
    </row>
    <row r="956" ht="12.75" customHeight="1">
      <c r="G956" s="39"/>
    </row>
    <row r="957" ht="12.75" customHeight="1">
      <c r="G957" s="39"/>
    </row>
    <row r="958" ht="12.75" customHeight="1">
      <c r="G958" s="39"/>
    </row>
    <row r="959" ht="12.75" customHeight="1">
      <c r="G959" s="39"/>
    </row>
    <row r="960" ht="12.75" customHeight="1">
      <c r="G960" s="39"/>
    </row>
    <row r="961" ht="12.75" customHeight="1">
      <c r="G961" s="39"/>
    </row>
    <row r="962" ht="12.75" customHeight="1">
      <c r="G962" s="39"/>
    </row>
    <row r="963" ht="12.75" customHeight="1">
      <c r="G963" s="39"/>
    </row>
    <row r="964" ht="12.75" customHeight="1">
      <c r="G964" s="39"/>
    </row>
    <row r="965" ht="12.75" customHeight="1">
      <c r="G965" s="39"/>
    </row>
    <row r="966" ht="12.75" customHeight="1">
      <c r="G966" s="39"/>
    </row>
    <row r="967" ht="12.75" customHeight="1">
      <c r="G967" s="39"/>
    </row>
    <row r="968" ht="12.75" customHeight="1">
      <c r="G968" s="39"/>
    </row>
    <row r="969" ht="12.75" customHeight="1">
      <c r="G969" s="39"/>
    </row>
    <row r="970" ht="12.75" customHeight="1">
      <c r="G970" s="39"/>
    </row>
    <row r="971" ht="12.75" customHeight="1">
      <c r="G971" s="39"/>
    </row>
    <row r="972" ht="12.75" customHeight="1">
      <c r="G972" s="39"/>
    </row>
    <row r="973" ht="12.75" customHeight="1">
      <c r="G973" s="39"/>
    </row>
    <row r="974" ht="12.75" customHeight="1">
      <c r="G974" s="39"/>
    </row>
    <row r="975" ht="12.75" customHeight="1">
      <c r="G975" s="39"/>
    </row>
    <row r="976" ht="12.75" customHeight="1">
      <c r="G976" s="39"/>
    </row>
    <row r="977" ht="12.75" customHeight="1">
      <c r="G977" s="39"/>
    </row>
    <row r="978" ht="12.75" customHeight="1">
      <c r="G978" s="39"/>
    </row>
    <row r="979" ht="12.75" customHeight="1">
      <c r="G979" s="39"/>
    </row>
    <row r="980" ht="12.75" customHeight="1">
      <c r="G980" s="39"/>
    </row>
    <row r="981" ht="12.75" customHeight="1">
      <c r="G981" s="39"/>
    </row>
    <row r="982" ht="12.75" customHeight="1">
      <c r="G982" s="39"/>
    </row>
    <row r="983" ht="12.75" customHeight="1">
      <c r="G983" s="39"/>
    </row>
    <row r="984" ht="12.75" customHeight="1">
      <c r="G984" s="39"/>
    </row>
    <row r="985" ht="12.75" customHeight="1">
      <c r="G985" s="39"/>
    </row>
    <row r="986" ht="12.75" customHeight="1">
      <c r="G986" s="39"/>
    </row>
    <row r="987" ht="12.75" customHeight="1">
      <c r="G987" s="39"/>
    </row>
    <row r="988" ht="12.75" customHeight="1">
      <c r="G988" s="39"/>
    </row>
    <row r="989" ht="12.75" customHeight="1">
      <c r="G989" s="39"/>
    </row>
    <row r="990" ht="12.75" customHeight="1">
      <c r="G990" s="39"/>
    </row>
    <row r="991" ht="12.75" customHeight="1">
      <c r="G991" s="39"/>
    </row>
    <row r="992" ht="12.75" customHeight="1">
      <c r="G992" s="39"/>
    </row>
    <row r="993" ht="12.75" customHeight="1">
      <c r="G993" s="39"/>
    </row>
    <row r="994" ht="12.75" customHeight="1">
      <c r="G994" s="39"/>
    </row>
    <row r="995" ht="12.75" customHeight="1">
      <c r="G995" s="39"/>
    </row>
    <row r="996" ht="12.75" customHeight="1">
      <c r="G996" s="39"/>
    </row>
    <row r="997" ht="12.75" customHeight="1">
      <c r="G997" s="39"/>
    </row>
    <row r="998" ht="12.75" customHeight="1">
      <c r="G998" s="39"/>
    </row>
    <row r="999" ht="12.75" customHeight="1">
      <c r="G999" s="39"/>
    </row>
    <row r="1000" ht="12.75" customHeight="1">
      <c r="G1000" s="39"/>
    </row>
  </sheetData>
  <autoFilter ref="$C$6:$K$447">
    <filterColumn colId="0">
      <filters>
        <filter val="setileconnection.com"/>
        <filter val="bath-works.net"/>
        <filter val="rihi.com"/>
        <filter val="scvfloorsmith.com"/>
        <filter val="theinteriorsaddict.com"/>
        <filter val="ftworthrefinishing.com"/>
        <filter val="originalstyle.com"/>
        <filter val="bathtubreglazinglb.com"/>
        <filter val="reglazeitnow.com"/>
        <filter val="anamazingreglazingq.com"/>
        <filter val="refinishedbathsolutions.com"/>
        <filter val="resurfacingsolutions.net"/>
        <filter val="connecticutreglazing.com"/>
        <filter val="surfacerenew.net"/>
        <filter val="allnewtub.com"/>
        <filter val="lakewood-tub-reglazing.com"/>
        <filter val="combath.com"/>
        <filter val="drench.co.uk"/>
        <filter val="johnsonflooringtn.com"/>
        <filter val="thebathtubdoctor.com"/>
        <filter val="finishpro360.com"/>
        <filter val="hudsontubs.com"/>
        <filter val="camposbathtub.com"/>
        <filter val="powerpaintingplus.com"/>
        <filter val="bathrefinishingsolutions.com"/>
        <filter val="reglazinglosangeles.com"/>
        <filter val="capsulegallery.com"/>
        <filter val="torresconstructionpainting.com"/>
        <filter val="ucoatit.com"/>
        <filter val="seattlebathtubguy.com"/>
        <filter val="igloosurfaces.com"/>
        <filter val="reglazinglosangeles.net"/>
        <filter val="bathtubrefinishers.com"/>
        <filter val="thebestrefinishing.com"/>
        <filter val="monarchpainting.com.au"/>
        <filter val="refinishing-pros.com"/>
        <filter val="vintagetub.com"/>
        <filter val="bathrenovationhq.com"/>
        <filter val="splashreglazing.com"/>
        <filter val="amazingreglazingg.com"/>
        <filter val="pacificreglazing.com"/>
        <filter val="adamovreglazing.com"/>
        <filter val="simplyreglaze.com"/>
        <filter val="amazingtileandtubreglazing.com"/>
        <filter val="nytubs.com"/>
        <filter val="uglytub.com"/>
        <filter val="dwilpainting.com"/>
        <filter val="columbusbathdesign.com"/>
        <filter val="amazingtubsreglaze.com"/>
        <filter val="probathtubrefinishing.com"/>
        <filter val="yoursisterspotshop.com"/>
        <filter val="megareglazing.com"/>
        <filter val="bathtubrefinishingca.com"/>
        <filter val="amazingrefinishingfl.com"/>
        <filter val="bathtubrefinishinglondon.com"/>
        <filter val="uniquerefinishers.com"/>
        <filter val="topreglazing.com"/>
        <filter val="somathomeremodeling.com"/>
        <filter val="re-surfacepro.com"/>
        <filter val="blackstonetubrefinishers.ca"/>
        <filter val="supremebathrefinishing.com"/>
        <filter val="seiffertlumber.com"/>
        <filter val="bathrefinishingresource.com"/>
        <filter val="bathtubrefinishingco.net"/>
        <filter val="everglazecoatings.com"/>
        <filter val="hambletonhandyman.com"/>
        <filter val="toprefinishing.com"/>
        <filter val="kcreglazing.com"/>
        <filter val="proreglaze.com"/>
        <filter val="tubboys.com"/>
        <filter val="stlreglazing.com"/>
        <filter val="welspunflooring.com"/>
        <filter val="winchestertileservice.com"/>
        <filter val="armoglazeservice.com"/>
        <filter val="jrcoatingtechnologies.com"/>
        <filter val="bathroomremodeleriepa.com"/>
        <filter val="reglazinglosangeles0.yolasite.com"/>
        <filter val="homelivinghandbook.com"/>
        <filter val="rubadubtubreglazing.com"/>
        <filter val="newshinebathtubrefinishing.com"/>
        <filter val="accurateplumbingtx.com"/>
        <filter val="whiteglovereglazing.com"/>
        <filter val="jemcoreglazers.com"/>
        <filter val="bathtubrefinishingfl.com"/>
        <filter val="armortechresurfacing.com"/>
        <filter val="tubfusion.com"/>
        <filter val="tubbydiy.com"/>
        <filter val="californiatilerestoration.com"/>
        <filter val="specializedrefinishing.com"/>
        <filter val="newsuperiortub.com"/>
        <filter val="brooklyntubrefinishing.com"/>
        <filter val="ibathtub.com"/>
        <filter val="menjivars-painting.com"/>
        <filter val="bathtubandtilerestoration.com"/>
        <filter val="europeanreglazing.com"/>
        <filter val="trustedpros.ca"/>
        <filter val="durafinish.net"/>
        <filter val="gettilesonline.com.au"/>
        <filter val="peachpainting.com"/>
        <filter val="diamondreglazing.com"/>
        <filter val="bathtub-master.com"/>
        <filter val="toddsbathtubs.com"/>
        <filter val="nufinishpro.com"/>
        <filter val="reglazingwow.ca"/>
        <filter val="alisfinishingtouch.com"/>
        <filter val="bathtubrefinishingdallas.com"/>
        <filter val="thebathtubguy.com"/>
        <filter val="amazingrefinishing.com"/>
        <filter val="arlandriafloors.com"/>
        <filter val="wilmingtontubreglazing.com"/>
        <filter val="renewitrefinishing.com"/>
        <filter val="cincottitile.com"/>
        <filter val="bathtubrefinishingtulsa.com"/>
        <filter val="brooksbrothershandyman.com"/>
        <filter val="bathroomprosnj.com"/>
        <filter val="bathroomwerx.com.au"/>
        <filter val="freshlookrefinishing.com"/>
        <filter val="alfredosrefinish.com"/>
        <filter val="ceconcreteri.com"/>
        <filter val="mayfairbuildinggroup.com.au"/>
        <filter val="nationalplastics.co.uk"/>
        <filter val="coloradotubrepair.com"/>
        <filter val="patty.plus"/>
        <filter val="jannetintl.com"/>
        <filter val="homeimprovementskansascity.com"/>
        <filter val="paintpositive.com"/>
        <filter val="ogdenbathtubrefinishing.com"/>
        <filter val="sacramentobathtubrefinishing.org"/>
        <filter val="getagrip.com"/>
        <filter val="dsapone.com"/>
        <filter val="gouldpaintingwny.com"/>
        <filter val="jpglazing.com"/>
        <filter val="klasskote.com"/>
        <filter val="stone3.com.au"/>
        <filter val="shinytubreglazing.com"/>
        <filter val="thetubguys.net"/>
        <filter val="topkote.com"/>
        <filter val="n2n.la"/>
        <filter val="rksbathtubandtilerestorations.com"/>
        <filter val="greaterdfwrefinishers.com"/>
        <filter val="thegroutmedic.com"/>
        <filter val="all.biz"/>
        <filter val="permacerambathroom.com"/>
        <filter val="carpetoutlets.net"/>
        <filter val="abathreglazing.com"/>
        <filter val="reglazingnyc.com"/>
        <filter val="chipstubandtilerefinish.com"/>
        <filter val="idealresurfacing.com"/>
        <filter val="anthonysreglazing.com"/>
        <filter val="superiorbathtubrefinishing.com"/>
        <filter val="nuglaze.net"/>
        <filter val="alltubsky.com"/>
        <filter val="simplepracticalbeautiful.com"/>
        <filter val="myrefreshrefinishing.com"/>
        <filter val="napcoltd.com"/>
        <filter val="bathtubguys.com"/>
        <filter val="floridatubreglazing.com"/>
        <filter val="drresurface.com"/>
        <filter val="baystaterefinishing.com"/>
        <filter val="hightechreglazing.com"/>
        <filter val="dallasbathtubrefinishing.com"/>
        <filter val="bathtubrefinishingtampa.net"/>
        <filter val="thebesttileinstallation.com"/>
        <filter val="renov8co.com"/>
        <filter val="sirgroutboston.com"/>
        <filter val="smartcret.com"/>
        <filter val="thetubguys757.com"/>
        <filter val="usacountertopsmass.com"/>
        <filter val="nu-tub.net"/>
        <filter val="prestigerefinishers.com"/>
        <filter val="absolutetub.com"/>
        <filter val="panelcompany.co.uk"/>
        <filter val="dalydigs.com"/>
        <filter val="losangelesbathtubreglazing.webflow.io"/>
        <filter val="bryansreglazing.com"/>
        <filter val="tiledoctor.biz"/>
        <filter val="aandjresurfacing.com"/>
        <filter val="bathinnovations.com"/>
        <filter val="amazingreglazingri.com"/>
        <filter val="fivestarreglazing.com"/>
        <filter val="rapidrefinishingco.com"/>
        <filter val="austintubsurgeon.com"/>
        <filter val="topnotchhardwoodfloors.com"/>
        <filter val="mastercraftusa.com"/>
        <filter val="bathtubreglazinginc.com"/>
        <filter val="lifespanhi.com"/>
        <filter val="carillonrugs.com"/>
        <filter val="bathtubmadenew.com"/>
        <filter val="idealrefinishing.com"/>
        <filter val="blockrenovation.com"/>
        <filter val="tandlinternational.com"/>
        <filter val="kelloggsporcelain.com"/>
        <filter val="tubzz.com"/>
        <filter val="refinishingprimebath.com"/>
        <filter val="paylessbathmakeover.com"/>
        <filter val="streamlinebath.com"/>
        <filter val="pmcabathrooms.com"/>
        <filter val="wrenthambathtubs.com"/>
        <filter val="bathtubrefinishingstore.com"/>
        <filter val="reglazingsolutions.com"/>
        <filter val="gandhresurfacing.com"/>
        <filter val="boiserefinishing.com"/>
        <filter val="anthonysreglazingfl.com"/>
        <filter val="resurfacelouisville.com"/>
        <filter val="daichcoatings.com"/>
        <filter val="jetsglazing.com"/>
        <filter val="aosom.ca"/>
        <filter val="classicallyjill.com"/>
        <filter val="thesurfacedoctors.com"/>
        <filter val="borobathrooms.co.uk"/>
        <filter val="wrenthambathrooms.com"/>
        <filter val="whitetubs.com"/>
        <filter val="protubrefinishing.com"/>
        <filter val="wvhbathtub.com"/>
        <filter val="surface-renew.com"/>
        <filter val="strivetilereglazing.com"/>
        <filter val="latubs.com"/>
        <filter val="freshtubrefinishing.com"/>
        <filter val="aaatubntile.com"/>
        <filter val="unitedtradelinks.com.au"/>
        <filter val="eleganttubtilerefinishing.com"/>
        <filter val="porcelainsuperstore.co.uk"/>
        <filter val="capitalbathrooms.com.au"/>
        <filter val="24hourbath.com"/>
        <filter val="bathroomsurfacesolutions.com"/>
        <filter val="lavishceramics.com"/>
        <filter val="tubreglazers.com"/>
        <filter val="yournewtubs.com"/>
        <filter val="southingtonpainting.com"/>
        <filter val="tilerestoration.com"/>
        <filter val="surfaceexperts.com"/>
        <filter val="masterteckrepair.com"/>
        <filter val="allin1coatings.com"/>
        <filter val="seamlessoverlays.com"/>
        <filter val="dallastubrefinishing.com"/>
        <filter val="bathtubresurfacingsite.com"/>
        <filter val="paintritepros.com"/>
        <filter val="ctasc.com"/>
        <filter val="stonerestorationworks.com"/>
        <filter val="standardbathtubreglazing.com"/>
        <filter val="familyhandyman.com"/>
        <filter val="americantubreglazing.com"/>
        <filter val="sharprefinishing.com"/>
        <filter val="nycreglazing.com"/>
        <filter val="newarktubreglazing.com"/>
        <filter val="renukrete.com"/>
        <filter val="bngremodel.com"/>
        <filter val="foremansnags.com"/>
        <filter val="chicagotubandtile.com"/>
        <filter val="paramount-reglaze.com"/>
        <filter val="aaarefinishing.com"/>
        <filter val="a-1reglazing-inc.com"/>
        <filter val="uniquereglaze.com"/>
        <filter val="baufix-online.com"/>
        <filter val="keystoneresurfacing.com"/>
        <filter val="universaltile.net"/>
        <filter val="jandjconstruction.com"/>
        <filter val="a1reglaze.com"/>
        <filter val="reglazepros.com"/>
        <filter val="azulejossola.co.uk"/>
        <filter val="tub-guy.com"/>
        <filter val="tubnshower.com"/>
        <filter val="dallastubpros.com"/>
        <filter val="sustainablereglazing.com"/>
        <filter val="prontorefinishing.com"/>
        <filter val="ohiotubpros.com"/>
        <filter val="smartfloorsusa.com"/>
        <filter val="keybathroomtilerestoration.com"/>
        <filter val="bathtubmagic.ca"/>
        <filter val="excellencereglazing.com"/>
        <filter val="bathprofessional.com"/>
        <filter val="reglazingstudio.com"/>
        <filter val="njbathtubrefinishers.com"/>
        <filter val="floridarefinishing.com"/>
        <filter val="greatbuildz.com"/>
        <filter val="affordabletubrefinishingtx.com"/>
        <filter val="georgebathroom.com"/>
        <filter val="tubcoaters.com"/>
        <filter val="paintedotter.com"/>
        <filter val="simprobda.com"/>
        <filter val="rivercityboston.com"/>
        <filter val="longislandtubrefinishing.com"/>
        <filter val="thermo-glaze.com.au"/>
        <filter val="surfacespecialists.com"/>
        <filter val="armorkote.net"/>
        <filter val="fantasticresurfacing.com.au"/>
        <filter val="serviceteam.co.uk"/>
        <filter val="servicedoctor.net"/>
        <filter val="premierrefinishing.net"/>
        <filter val="marylandtubntile.com"/>
        <filter val="advancedreglazing.com"/>
        <filter val="mrresurface.com"/>
        <filter val="covebath.com"/>
        <filter val="tubguyrefinishing.com"/>
        <filter val="tampatubandtilerefinishing.com"/>
        <filter val="acamporainteriors.com"/>
        <filter val="ultrabathroom.com"/>
        <filter val="empresafloors.com"/>
        <filter val="frankensteinrefinishing.com"/>
        <filter val="sauguscontractor.com"/>
        <filter val="renewyourtub.com"/>
        <filter val="allprorefinishing.com"/>
        <filter val="roperrhodes.co.uk"/>
        <filter val="jeweledinteriors.com"/>
        <filter val="surfacespecialistsofdenver.com"/>
        <filter val="correctcaulking.com.au"/>
        <filter val="bathtubdenver.net"/>
        <filter val="enduringsurface.com"/>
        <filter val="varmora.com"/>
        <filter val="decorative-coating.com"/>
        <filter val="repelecarpet.com"/>
        <filter val="reglazingco.com"/>
        <filter val="tileoutlet.net"/>
        <filter val="tiptoprestorations.com"/>
        <filter val="spaceandhabit.com"/>
        <filter val="tufftubrefinishing.com"/>
        <filter val="semcofl.com"/>
        <filter val="permaglazetx.com"/>
        <filter val="thetubpros.com"/>
        <filter val="suncoasttubandtilerefinishing.com"/>
        <filter val="bathremodelingraleighnc.com"/>
        <filter val="bathtubrestorations.com"/>
        <filter val="foxvalleybathtubrefinishing.com"/>
      </filters>
    </filterColumn>
    <filterColumn colId="8">
      <filters>
        <filter val="Y\"/>
        <filter val="Yes"/>
        <filter val="Y"/>
      </filters>
    </filterColumn>
    <sortState ref="C6:K447">
      <sortCondition descending="1" ref="G6:G447"/>
    </sortState>
  </autoFilter>
  <conditionalFormatting sqref="G1:G1000">
    <cfRule type="cellIs" dxfId="0" priority="1" operator="greaterThan">
      <formula>1000</formula>
    </cfRule>
  </conditionalFormatting>
  <hyperlinks>
    <hyperlink r:id="rId1" ref="B2"/>
    <hyperlink r:id="rId2" ref="B3"/>
    <hyperlink r:id="rId3" ref="C4"/>
    <hyperlink r:id="rId4" ref="C53"/>
    <hyperlink r:id="rId5" ref="C68"/>
    <hyperlink r:id="rId6" ref="C93"/>
    <hyperlink r:id="rId7" ref="C121"/>
    <hyperlink r:id="rId8" ref="C122"/>
    <hyperlink r:id="rId9" ref="C125"/>
    <hyperlink r:id="rId10" ref="C129"/>
    <hyperlink r:id="rId11" ref="C131"/>
    <hyperlink r:id="rId12" ref="C132"/>
    <hyperlink r:id="rId13" ref="C134"/>
    <hyperlink r:id="rId14" ref="C135"/>
    <hyperlink r:id="rId15" ref="C136"/>
    <hyperlink r:id="rId16" ref="C137"/>
    <hyperlink r:id="rId17" ref="C138"/>
    <hyperlink r:id="rId18" ref="C139"/>
    <hyperlink r:id="rId19" ref="C140"/>
    <hyperlink r:id="rId20" ref="C141"/>
    <hyperlink r:id="rId21" ref="C142"/>
    <hyperlink r:id="rId22" ref="C143"/>
    <hyperlink r:id="rId23" ref="C144"/>
    <hyperlink r:id="rId24" ref="C145"/>
    <hyperlink r:id="rId25" ref="C146"/>
    <hyperlink r:id="rId26" ref="C147"/>
    <hyperlink r:id="rId27" ref="C148"/>
    <hyperlink r:id="rId28" ref="C149"/>
    <hyperlink r:id="rId29" ref="C150"/>
    <hyperlink r:id="rId30" ref="C151"/>
    <hyperlink r:id="rId31" ref="C152"/>
    <hyperlink r:id="rId32" ref="C153"/>
    <hyperlink r:id="rId33" ref="C154"/>
    <hyperlink r:id="rId34" ref="C155"/>
    <hyperlink r:id="rId35" ref="C156"/>
    <hyperlink r:id="rId36" ref="C157"/>
    <hyperlink r:id="rId37" ref="C158"/>
    <hyperlink r:id="rId38" ref="C159"/>
    <hyperlink r:id="rId39" ref="C160"/>
    <hyperlink r:id="rId40" ref="C161"/>
    <hyperlink r:id="rId41" ref="C162"/>
    <hyperlink r:id="rId42" ref="C163"/>
    <hyperlink r:id="rId43" ref="C164"/>
    <hyperlink r:id="rId44" ref="C165"/>
    <hyperlink r:id="rId45" ref="C166"/>
    <hyperlink r:id="rId46" ref="C167"/>
    <hyperlink r:id="rId47" ref="C168"/>
    <hyperlink r:id="rId48" ref="C169"/>
    <hyperlink r:id="rId49" ref="C170"/>
    <hyperlink r:id="rId50" ref="C171"/>
    <hyperlink r:id="rId51" ref="C172"/>
    <hyperlink r:id="rId52" ref="C173"/>
    <hyperlink r:id="rId53" ref="C174"/>
    <hyperlink r:id="rId54" ref="C175"/>
    <hyperlink r:id="rId55" ref="C176"/>
    <hyperlink r:id="rId56" ref="C177"/>
    <hyperlink r:id="rId57" ref="C178"/>
    <hyperlink r:id="rId58" ref="C179"/>
    <hyperlink r:id="rId59" ref="C180"/>
    <hyperlink r:id="rId60" ref="C181"/>
    <hyperlink r:id="rId61" ref="C182"/>
    <hyperlink r:id="rId62" ref="C183"/>
    <hyperlink r:id="rId63" ref="C184"/>
    <hyperlink r:id="rId64" ref="C185"/>
    <hyperlink r:id="rId65" ref="C186"/>
    <hyperlink r:id="rId66" ref="C187"/>
    <hyperlink r:id="rId67" ref="C188"/>
    <hyperlink r:id="rId68" ref="C189"/>
    <hyperlink r:id="rId69" ref="C190"/>
    <hyperlink r:id="rId70" ref="C191"/>
    <hyperlink r:id="rId71" ref="C192"/>
    <hyperlink r:id="rId72" ref="C193"/>
    <hyperlink r:id="rId73" ref="C194"/>
    <hyperlink r:id="rId74" ref="C195"/>
    <hyperlink r:id="rId75" ref="C196"/>
    <hyperlink r:id="rId76" ref="C197"/>
    <hyperlink r:id="rId77" ref="C198"/>
    <hyperlink r:id="rId78" ref="C199"/>
    <hyperlink r:id="rId79" ref="C200"/>
    <hyperlink r:id="rId80" ref="C201"/>
    <hyperlink r:id="rId81" ref="C202"/>
    <hyperlink r:id="rId82" ref="C203"/>
    <hyperlink r:id="rId83" ref="C204"/>
    <hyperlink r:id="rId84" ref="C205"/>
    <hyperlink r:id="rId85" ref="C206"/>
    <hyperlink r:id="rId86" ref="C207"/>
    <hyperlink r:id="rId87" ref="C208"/>
    <hyperlink r:id="rId88" ref="C209"/>
    <hyperlink r:id="rId89" ref="C210"/>
    <hyperlink r:id="rId90" ref="C211"/>
    <hyperlink r:id="rId91" ref="C212"/>
    <hyperlink r:id="rId92" ref="C213"/>
    <hyperlink r:id="rId93" ref="C214"/>
    <hyperlink r:id="rId94" ref="C215"/>
    <hyperlink r:id="rId95" ref="C216"/>
    <hyperlink r:id="rId96" ref="C217"/>
    <hyperlink r:id="rId97" ref="C218"/>
    <hyperlink r:id="rId98" ref="C219"/>
    <hyperlink r:id="rId99" ref="C220"/>
    <hyperlink r:id="rId100" ref="C221"/>
    <hyperlink r:id="rId101" ref="C222"/>
    <hyperlink r:id="rId102" ref="C223"/>
    <hyperlink r:id="rId103" ref="C224"/>
    <hyperlink r:id="rId104" ref="C225"/>
    <hyperlink r:id="rId105" ref="C226"/>
    <hyperlink r:id="rId106" ref="C227"/>
    <hyperlink r:id="rId107" ref="C228"/>
    <hyperlink r:id="rId108" ref="C229"/>
    <hyperlink r:id="rId109" ref="C230"/>
    <hyperlink r:id="rId110" ref="C231"/>
    <hyperlink r:id="rId111" ref="C232"/>
    <hyperlink r:id="rId112" ref="C233"/>
    <hyperlink r:id="rId113" ref="C234"/>
    <hyperlink r:id="rId114" ref="C235"/>
    <hyperlink r:id="rId115" ref="C236"/>
    <hyperlink r:id="rId116" ref="C237"/>
    <hyperlink r:id="rId117" ref="C238"/>
    <hyperlink r:id="rId118" ref="C239"/>
    <hyperlink r:id="rId119" ref="C240"/>
    <hyperlink r:id="rId120" ref="C241"/>
    <hyperlink r:id="rId121" ref="C242"/>
    <hyperlink r:id="rId122" ref="C243"/>
    <hyperlink r:id="rId123" ref="C244"/>
    <hyperlink r:id="rId124" ref="C245"/>
    <hyperlink r:id="rId125" ref="C246"/>
    <hyperlink r:id="rId126" ref="C247"/>
    <hyperlink r:id="rId127" ref="C248"/>
    <hyperlink r:id="rId128" ref="C249"/>
    <hyperlink r:id="rId129" ref="C250"/>
    <hyperlink r:id="rId130" ref="C251"/>
    <hyperlink r:id="rId131" ref="C252"/>
    <hyperlink r:id="rId132" ref="C253"/>
    <hyperlink r:id="rId133" ref="C254"/>
    <hyperlink r:id="rId134" ref="C255"/>
    <hyperlink r:id="rId135" ref="C256"/>
    <hyperlink r:id="rId136" ref="C257"/>
    <hyperlink r:id="rId137" ref="C258"/>
    <hyperlink r:id="rId138" ref="C259"/>
    <hyperlink r:id="rId139" ref="C260"/>
    <hyperlink r:id="rId140" ref="C261"/>
    <hyperlink r:id="rId141" ref="C262"/>
    <hyperlink r:id="rId142" ref="C263"/>
    <hyperlink r:id="rId143" ref="C264"/>
    <hyperlink r:id="rId144" ref="C265"/>
    <hyperlink r:id="rId145" ref="C266"/>
    <hyperlink r:id="rId146" ref="C267"/>
    <hyperlink r:id="rId147" ref="C268"/>
    <hyperlink r:id="rId148" ref="C269"/>
    <hyperlink r:id="rId149" ref="C270"/>
    <hyperlink r:id="rId150" ref="C271"/>
    <hyperlink r:id="rId151" ref="C272"/>
    <hyperlink r:id="rId152" ref="C273"/>
    <hyperlink r:id="rId153" ref="C274"/>
    <hyperlink r:id="rId154" ref="C275"/>
    <hyperlink r:id="rId155" ref="C276"/>
    <hyperlink r:id="rId156" ref="C277"/>
    <hyperlink r:id="rId157" ref="C278"/>
    <hyperlink r:id="rId158" ref="C279"/>
    <hyperlink r:id="rId159" ref="C280"/>
    <hyperlink r:id="rId160" ref="C281"/>
    <hyperlink r:id="rId161" ref="C282"/>
    <hyperlink r:id="rId162" ref="C283"/>
    <hyperlink r:id="rId163" ref="C284"/>
    <hyperlink r:id="rId164" ref="C285"/>
    <hyperlink r:id="rId165" ref="C286"/>
    <hyperlink r:id="rId166" ref="C287"/>
    <hyperlink r:id="rId167" ref="C288"/>
    <hyperlink r:id="rId168" ref="C289"/>
    <hyperlink r:id="rId169" ref="C290"/>
    <hyperlink r:id="rId170" ref="C291"/>
    <hyperlink r:id="rId171" ref="C292"/>
    <hyperlink r:id="rId172" ref="C293"/>
    <hyperlink r:id="rId173" ref="C294"/>
    <hyperlink r:id="rId174" ref="C295"/>
    <hyperlink r:id="rId175" ref="C296"/>
    <hyperlink r:id="rId176" ref="C297"/>
    <hyperlink r:id="rId177" ref="C298"/>
    <hyperlink r:id="rId178" ref="C299"/>
    <hyperlink r:id="rId179" ref="C300"/>
    <hyperlink r:id="rId180" ref="C301"/>
    <hyperlink r:id="rId181" ref="C302"/>
    <hyperlink r:id="rId182" ref="C303"/>
    <hyperlink r:id="rId183" ref="C304"/>
    <hyperlink r:id="rId184" ref="C305"/>
    <hyperlink r:id="rId185" ref="C306"/>
    <hyperlink r:id="rId186" ref="C307"/>
    <hyperlink r:id="rId187" ref="C308"/>
    <hyperlink r:id="rId188" ref="C309"/>
    <hyperlink r:id="rId189" ref="C310"/>
    <hyperlink r:id="rId190" ref="C311"/>
    <hyperlink r:id="rId191" ref="C312"/>
    <hyperlink r:id="rId192" ref="C313"/>
    <hyperlink r:id="rId193" ref="C314"/>
    <hyperlink r:id="rId194" ref="C315"/>
    <hyperlink r:id="rId195" ref="C316"/>
    <hyperlink r:id="rId196" ref="C317"/>
    <hyperlink r:id="rId197" ref="C318"/>
    <hyperlink r:id="rId198" ref="C319"/>
    <hyperlink r:id="rId199" ref="C320"/>
    <hyperlink r:id="rId200" ref="C321"/>
    <hyperlink r:id="rId201" ref="C322"/>
    <hyperlink r:id="rId202" ref="C323"/>
    <hyperlink r:id="rId203" ref="C324"/>
    <hyperlink r:id="rId204" ref="C326"/>
    <hyperlink r:id="rId205" ref="C327"/>
    <hyperlink r:id="rId206" ref="C328"/>
    <hyperlink r:id="rId207" ref="C329"/>
    <hyperlink r:id="rId208" ref="C330"/>
    <hyperlink r:id="rId209" ref="C331"/>
    <hyperlink r:id="rId210" ref="C332"/>
    <hyperlink r:id="rId211" ref="C333"/>
    <hyperlink r:id="rId212" ref="C334"/>
    <hyperlink r:id="rId213" ref="C335"/>
    <hyperlink r:id="rId214" ref="C336"/>
    <hyperlink r:id="rId215" ref="C337"/>
    <hyperlink r:id="rId216" ref="C338"/>
    <hyperlink r:id="rId217" ref="C339"/>
    <hyperlink r:id="rId218" ref="C340"/>
    <hyperlink r:id="rId219" ref="C341"/>
    <hyperlink r:id="rId220" ref="C342"/>
    <hyperlink r:id="rId221" ref="C343"/>
    <hyperlink r:id="rId222" ref="C344"/>
    <hyperlink r:id="rId223" ref="C345"/>
    <hyperlink r:id="rId224" ref="C346"/>
    <hyperlink r:id="rId225" ref="C347"/>
    <hyperlink r:id="rId226" ref="C348"/>
    <hyperlink r:id="rId227" ref="C349"/>
    <hyperlink r:id="rId228" ref="C350"/>
    <hyperlink r:id="rId229" ref="C351"/>
    <hyperlink r:id="rId230" ref="C352"/>
    <hyperlink r:id="rId231" ref="C353"/>
    <hyperlink r:id="rId232" ref="C354"/>
    <hyperlink r:id="rId233" ref="C355"/>
    <hyperlink r:id="rId234" ref="C356"/>
    <hyperlink r:id="rId235" ref="C357"/>
    <hyperlink r:id="rId236" ref="C358"/>
    <hyperlink r:id="rId237" ref="C359"/>
    <hyperlink r:id="rId238" ref="C360"/>
    <hyperlink r:id="rId239" ref="C361"/>
    <hyperlink r:id="rId240" ref="C362"/>
    <hyperlink r:id="rId241" ref="C363"/>
    <hyperlink r:id="rId242" ref="C364"/>
    <hyperlink r:id="rId243" ref="C365"/>
    <hyperlink r:id="rId244" ref="C366"/>
    <hyperlink r:id="rId245" ref="C367"/>
    <hyperlink r:id="rId246" ref="C368"/>
    <hyperlink r:id="rId247" ref="C369"/>
    <hyperlink r:id="rId248" ref="C370"/>
    <hyperlink r:id="rId249" ref="C371"/>
    <hyperlink r:id="rId250" ref="C372"/>
    <hyperlink r:id="rId251" ref="C373"/>
    <hyperlink r:id="rId252" ref="C374"/>
    <hyperlink r:id="rId253" ref="C375"/>
    <hyperlink r:id="rId254" ref="C376"/>
    <hyperlink r:id="rId255" ref="C377"/>
    <hyperlink r:id="rId256" ref="C378"/>
    <hyperlink r:id="rId257" ref="C379"/>
    <hyperlink r:id="rId258" ref="C380"/>
    <hyperlink r:id="rId259" ref="C381"/>
    <hyperlink r:id="rId260" ref="C382"/>
    <hyperlink r:id="rId261" ref="C383"/>
    <hyperlink r:id="rId262" ref="C384"/>
    <hyperlink r:id="rId263" ref="C385"/>
    <hyperlink r:id="rId264" ref="C386"/>
    <hyperlink r:id="rId265" ref="C387"/>
    <hyperlink r:id="rId266" ref="C388"/>
    <hyperlink r:id="rId267" ref="C389"/>
    <hyperlink r:id="rId268" ref="C390"/>
    <hyperlink r:id="rId269" ref="C391"/>
    <hyperlink r:id="rId270" ref="C392"/>
    <hyperlink r:id="rId271" ref="C393"/>
    <hyperlink r:id="rId272" ref="C394"/>
    <hyperlink r:id="rId273" ref="C395"/>
    <hyperlink r:id="rId274" ref="C396"/>
    <hyperlink r:id="rId275" ref="C397"/>
    <hyperlink r:id="rId276" ref="C398"/>
    <hyperlink r:id="rId277" ref="C399"/>
    <hyperlink r:id="rId278" ref="C400"/>
    <hyperlink r:id="rId279" ref="C401"/>
    <hyperlink r:id="rId280" ref="C402"/>
    <hyperlink r:id="rId281" ref="C403"/>
    <hyperlink r:id="rId282" ref="C404"/>
    <hyperlink r:id="rId283" ref="C405"/>
    <hyperlink r:id="rId284" ref="C406"/>
    <hyperlink r:id="rId285" ref="C407"/>
    <hyperlink r:id="rId286" ref="C408"/>
    <hyperlink r:id="rId287" ref="C409"/>
    <hyperlink r:id="rId288" ref="C410"/>
    <hyperlink r:id="rId289" ref="C411"/>
    <hyperlink r:id="rId290" ref="C412"/>
    <hyperlink r:id="rId291" ref="C413"/>
    <hyperlink r:id="rId292" ref="C414"/>
    <hyperlink r:id="rId293" ref="C415"/>
    <hyperlink r:id="rId294" ref="C416"/>
    <hyperlink r:id="rId295" ref="C417"/>
    <hyperlink r:id="rId296" ref="C418"/>
    <hyperlink r:id="rId297" ref="C419"/>
    <hyperlink r:id="rId298" ref="C420"/>
    <hyperlink r:id="rId299" ref="C421"/>
    <hyperlink r:id="rId300" ref="C422"/>
    <hyperlink r:id="rId301" ref="C423"/>
    <hyperlink r:id="rId302" ref="C424"/>
    <hyperlink r:id="rId303" ref="C425"/>
    <hyperlink r:id="rId304" ref="C426"/>
    <hyperlink r:id="rId305" ref="C427"/>
    <hyperlink r:id="rId306" ref="C428"/>
    <hyperlink r:id="rId307" ref="C429"/>
    <hyperlink r:id="rId308" ref="C430"/>
    <hyperlink r:id="rId309" ref="C431"/>
    <hyperlink r:id="rId310" ref="C432"/>
    <hyperlink r:id="rId311" ref="C433"/>
    <hyperlink r:id="rId312" ref="C434"/>
    <hyperlink r:id="rId313" ref="C435"/>
    <hyperlink r:id="rId314" ref="C436"/>
    <hyperlink r:id="rId315" ref="C437"/>
    <hyperlink r:id="rId316" ref="C438"/>
    <hyperlink r:id="rId317" ref="C439"/>
    <hyperlink r:id="rId318" ref="C440"/>
    <hyperlink r:id="rId319" ref="C441"/>
    <hyperlink r:id="rId320" ref="C442"/>
    <hyperlink r:id="rId321" ref="C443"/>
    <hyperlink r:id="rId322" ref="C444"/>
    <hyperlink r:id="rId323" ref="C445"/>
    <hyperlink r:id="rId324" ref="C446"/>
    <hyperlink r:id="rId325" ref="C447"/>
  </hyperlinks>
  <drawing r:id="rId326"/>
</worksheet>
</file>